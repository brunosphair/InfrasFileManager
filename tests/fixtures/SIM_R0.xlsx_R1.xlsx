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EstaPasta_de_trabalho"/>
  <bookViews>
    <workbookView visibility="visible" minimized="0" showHorizontalScroll="1" showVerticalScroll="1" showSheetTabs="1" xWindow="-105" yWindow="-105" windowWidth="38625" windowHeight="21105" tabRatio="600" firstSheet="0" activeTab="3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LD" sheetId="2" state="visible" r:id="rId2"/>
    <sheet xmlns:r="http://schemas.openxmlformats.org/officeDocument/2006/relationships" name="Estrutura (2027)" sheetId="3" state="visible" r:id="rId3"/>
    <sheet xmlns:r="http://schemas.openxmlformats.org/officeDocument/2006/relationships" name="Gerador" sheetId="4" state="visible" r:id="rId4"/>
    <sheet xmlns:r="http://schemas.openxmlformats.org/officeDocument/2006/relationships" name="GRD-XXX" sheetId="5" state="visible" r:id="rId5"/>
    <sheet xmlns:r="http://schemas.openxmlformats.org/officeDocument/2006/relationships" name="GRD-001" sheetId="6" state="visible" r:id="rId6"/>
    <sheet xmlns:r="http://schemas.openxmlformats.org/officeDocument/2006/relationships" name="GRD-002" sheetId="7" state="visible" r:id="rId7"/>
  </sheets>
  <definedNames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_0A0B2A92_7A55_4948_BC0A_6D3A79D124F1_.wvu.FilterData" localSheetId="1" hidden="1">LD!#REF!</definedName>
    <definedName name="Z_0A0B2A92_7A55_4948_BC0A_6D3A79D124F1_.wvu.PrintTitles" localSheetId="1" hidden="1">LD!$1:$11</definedName>
    <definedName name="Z_29601CE5_FA1A_466D_A435_067A337E23E9_.wvu.FilterData" localSheetId="1" hidden="1">LD!#REF!</definedName>
    <definedName name="Z_29601CE5_FA1A_466D_A435_067A337E23E9_.wvu.PrintTitles" localSheetId="1" hidden="1">LD!$1:$11</definedName>
    <definedName name="_xlnm.Print_Titles" localSheetId="1">'LD'!$1:$11</definedName>
    <definedName name="_xlnm.Print_Area" localSheetId="1">'LD'!$B$1:$J$17</definedName>
    <definedName name="_xlnm.Print_Area" localSheetId="2">'Estrutura (2027)'!$A$1:$W$151</definedName>
    <definedName name="_xlnm.Print_Area" localSheetId="4">'GRD-XXX'!$A$1:$R$32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000"/>
    <numFmt numFmtId="166" formatCode="0000"/>
  </numFmts>
  <fonts count="59"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sz val="8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color theme="1"/>
      <sz val="9"/>
    </font>
    <font>
      <name val="Arial"/>
      <family val="2"/>
      <sz val="15"/>
    </font>
    <font>
      <name val="Calibri"/>
      <family val="2"/>
      <color indexed="9"/>
      <sz val="11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color theme="1"/>
      <sz val="7.5"/>
    </font>
    <font>
      <name val="Arial"/>
      <family val="2"/>
      <b val="1"/>
      <color theme="1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sz val="15"/>
    </font>
    <font>
      <name val="Arial"/>
      <family val="2"/>
      <sz val="9"/>
      <u val="single"/>
    </font>
    <font>
      <name val="Arial"/>
      <family val="2"/>
      <sz val="11"/>
    </font>
    <font>
      <name val="Arial"/>
      <family val="2"/>
      <b val="1"/>
      <color theme="1"/>
      <sz val="9"/>
    </font>
    <font>
      <name val="Arial"/>
      <family val="2"/>
      <b val="1"/>
      <color theme="0"/>
      <sz val="9"/>
    </font>
    <font>
      <name val="Arial"/>
      <family val="2"/>
      <color theme="0"/>
      <sz val="9"/>
    </font>
    <font>
      <name val="Arial"/>
      <family val="2"/>
      <b val="1"/>
      <sz val="12"/>
    </font>
    <font>
      <name val="Arial"/>
      <family val="2"/>
      <color indexed="9"/>
      <sz val="8"/>
    </font>
    <font>
      <name val="Arial"/>
      <family val="2"/>
      <b val="1"/>
      <sz val="10"/>
    </font>
    <font>
      <name val="Arial"/>
      <family val="2"/>
      <color indexed="9"/>
      <sz val="10"/>
    </font>
    <font>
      <name val="Arial"/>
      <family val="2"/>
      <sz val="7"/>
    </font>
    <font>
      <name val="Arial"/>
      <family val="2"/>
      <sz val="10"/>
    </font>
    <font>
      <name val="Arial"/>
      <family val="2"/>
      <sz val="6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0" tint="-0.249977111117893"/>
      <sz val="8"/>
    </font>
    <font>
      <name val="Arial"/>
      <family val="2"/>
      <color rgb="FFFF0000"/>
      <sz val="8"/>
    </font>
    <font>
      <name val="Arial"/>
      <family val="2"/>
      <b val="1"/>
      <sz val="8"/>
    </font>
    <font>
      <name val="Arial"/>
      <family val="2"/>
      <color theme="1"/>
      <sz val="8"/>
    </font>
    <font>
      <name val="Arial"/>
      <family val="2"/>
      <color theme="0" tint="-0.3499862666707358"/>
      <sz val="8"/>
    </font>
    <font>
      <name val="Calibri"/>
      <charset val="1"/>
      <family val="2"/>
      <color theme="1"/>
      <sz val="11"/>
    </font>
    <font>
      <name val="Calibri"/>
      <charset val="1"/>
      <family val="2"/>
      <color theme="0" tint="-0.3499862666707358"/>
      <sz val="11"/>
    </font>
    <font>
      <name val="Calibri"/>
      <family val="2"/>
      <b val="1"/>
      <color rgb="FFFFFFFF"/>
      <sz val="9"/>
    </font>
    <font>
      <name val="Calibri"/>
      <family val="2"/>
      <color rgb="FF1E1E1E"/>
      <sz val="11"/>
      <scheme val="minor"/>
    </font>
    <font>
      <name val="Calibri"/>
      <family val="2"/>
      <color rgb="FF1E1E1E"/>
      <sz val="10"/>
    </font>
    <font>
      <name val="Calibri"/>
      <family val="2"/>
      <b val="1"/>
      <color rgb="FF1E1E1E"/>
      <sz val="10"/>
    </font>
    <font>
      <name val="Calibri"/>
      <family val="2"/>
      <b val="1"/>
      <color rgb="FF1E1E1E"/>
      <sz val="15"/>
      <scheme val="minor"/>
    </font>
    <font>
      <name val="Calibri"/>
      <family val="2"/>
      <b val="1"/>
      <i val="1"/>
      <color rgb="FF1E1E1E"/>
      <sz val="15"/>
      <u val="single"/>
    </font>
    <font>
      <name val="Calibri"/>
      <family val="2"/>
      <i val="1"/>
      <color rgb="FF1E1E1E"/>
      <sz val="10"/>
    </font>
    <font>
      <name val="Calibri"/>
      <family val="2"/>
      <b val="1"/>
      <color rgb="FF1E1E1E"/>
      <sz val="9"/>
    </font>
    <font>
      <name val="Calibri"/>
      <family val="2"/>
      <b val="1"/>
      <color rgb="FF1E1E1E"/>
      <sz val="9"/>
      <scheme val="minor"/>
    </font>
    <font>
      <name val="Calibri"/>
      <family val="2"/>
      <b val="1"/>
      <i val="1"/>
      <color rgb="FF1E1E1E"/>
      <sz val="9"/>
    </font>
    <font>
      <name val="Calibri"/>
      <family val="2"/>
      <b val="1"/>
      <color rgb="FF1E1E1E"/>
      <sz val="18"/>
    </font>
    <font>
      <name val="Calibri"/>
      <family val="2"/>
      <b val="1"/>
      <color rgb="FF1E1E1E"/>
      <sz val="13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4"/>
      <scheme val="minor"/>
    </font>
    <font>
      <name val="Calibri"/>
      <family val="2"/>
      <b val="1"/>
      <i val="1"/>
      <color rgb="FFFFFFFF"/>
      <sz val="14"/>
      <u val="single"/>
    </font>
    <font>
      <name val="Calibri"/>
      <family val="2"/>
      <b val="1"/>
      <color rgb="FF1B3566"/>
      <sz val="10"/>
    </font>
    <font>
      <name val="Calibri"/>
      <family val="2"/>
      <color rgb="FF1B3566"/>
      <sz val="10"/>
    </font>
    <font>
      <name val="Calibri"/>
      <family val="2"/>
      <b val="1"/>
      <color rgb="FF1B3566"/>
      <sz val="10"/>
      <scheme val="minor"/>
    </font>
    <font>
      <name val="Calibri"/>
      <family val="2"/>
      <b val="1"/>
      <color theme="0"/>
      <sz val="14"/>
    </font>
  </fonts>
  <fills count="2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7447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1B3566"/>
        <bgColor indexed="64"/>
      </patternFill>
    </fill>
    <fill>
      <patternFill patternType="solid">
        <fgColor rgb="FF425DAA"/>
        <bgColor indexed="64"/>
      </patternFill>
    </fill>
    <fill>
      <patternFill patternType="solid">
        <fgColor rgb="FF425DAA"/>
        <bgColor rgb="FFD9D9D9"/>
      </patternFill>
    </fill>
    <fill>
      <patternFill patternType="solid">
        <fgColor rgb="FF425DAA"/>
        <bgColor rgb="FFBFBFBF"/>
      </patternFill>
    </fill>
    <fill>
      <patternFill patternType="solid">
        <fgColor rgb="FFCDD8ED"/>
        <bgColor rgb="FFBFBFBF"/>
      </patternFill>
    </fill>
    <fill>
      <patternFill patternType="solid">
        <fgColor rgb="FFCDD8ED"/>
        <bgColor indexed="64"/>
      </patternFill>
    </fill>
    <fill>
      <patternFill patternType="solid">
        <fgColor rgb="FFF5F7FC"/>
        <bgColor indexed="64"/>
      </patternFill>
    </fill>
    <fill>
      <patternFill patternType="solid">
        <fgColor rgb="FFF5F7FC"/>
        <bgColor rgb="FFD9D9D9"/>
      </patternFill>
    </fill>
    <fill>
      <patternFill patternType="solid">
        <fgColor rgb="FFF5F7FC"/>
        <bgColor rgb="FFBFBFBF"/>
      </patternFill>
    </fill>
    <fill>
      <patternFill patternType="solid">
        <fgColor theme="0" tint="-0.1499984740745262"/>
        <bgColor rgb="FFD9D9D9"/>
      </patternFill>
    </fill>
  </fills>
  <borders count="15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98C8"/>
      </left>
      <right style="thin">
        <color rgb="FF8098C8"/>
      </right>
      <top style="thin">
        <color rgb="FF8098C8"/>
      </top>
      <bottom style="thin">
        <color rgb="FF8098C8"/>
      </bottom>
      <diagonal/>
    </border>
    <border>
      <left style="thin">
        <color rgb="FF8098C8"/>
      </left>
      <right style="thin">
        <color rgb="FF8098C8"/>
      </right>
      <top style="thin">
        <color rgb="FF8098C8"/>
      </top>
      <bottom/>
      <diagonal/>
    </border>
    <border>
      <left/>
      <right style="medium">
        <color rgb="FF1B3566"/>
      </right>
      <top/>
      <bottom/>
      <diagonal/>
    </border>
    <border>
      <left/>
      <right/>
      <top style="hair">
        <color rgb="FF8098C8"/>
      </top>
      <bottom/>
      <diagonal/>
    </border>
    <border>
      <left/>
      <right/>
      <top style="hair">
        <color rgb="FF8098C8"/>
      </top>
      <bottom style="thin">
        <color rgb="FF8098C8"/>
      </bottom>
      <diagonal/>
    </border>
    <border>
      <left/>
      <right style="thin">
        <color theme="3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8098C8"/>
      </left>
      <right style="thin">
        <color rgb="FF8098C8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rgb="FF8098C8"/>
      </right>
      <top style="thin">
        <color theme="0"/>
      </top>
      <bottom/>
      <diagonal/>
    </border>
    <border>
      <left/>
      <right style="thin">
        <color rgb="FF8098C8"/>
      </right>
      <top style="hair">
        <color rgb="FF3C5082"/>
      </top>
      <bottom/>
      <diagonal/>
    </border>
    <border>
      <left/>
      <right style="thin">
        <color rgb="FF8098C8"/>
      </right>
      <top style="hair">
        <color rgb="FF3C5082"/>
      </top>
      <bottom style="hair">
        <color rgb="FF3C5082"/>
      </bottom>
      <diagonal/>
    </border>
    <border>
      <left style="thin">
        <color auto="1"/>
      </left>
      <right style="thin">
        <color theme="3"/>
      </right>
      <top style="thin">
        <color auto="1"/>
      </top>
      <bottom/>
      <diagonal/>
    </border>
    <border>
      <left style="thin">
        <color auto="1"/>
      </left>
      <right style="thin">
        <color theme="3"/>
      </right>
      <top style="thin">
        <color theme="0"/>
      </top>
      <bottom style="thin">
        <color auto="1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0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8" fillId="0" borderId="0"/>
    <xf numFmtId="0" fontId="28" fillId="0" borderId="0"/>
    <xf numFmtId="0" fontId="28" fillId="0" borderId="0"/>
    <xf numFmtId="0" fontId="8" fillId="4" borderId="0"/>
    <xf numFmtId="0" fontId="8" fillId="5" borderId="0"/>
    <xf numFmtId="0" fontId="2" fillId="0" borderId="0"/>
    <xf numFmtId="0" fontId="2" fillId="0" borderId="0"/>
    <xf numFmtId="0" fontId="28" fillId="0" borderId="0"/>
    <xf numFmtId="0" fontId="30" fillId="0" borderId="0"/>
    <xf numFmtId="0" fontId="28" fillId="0" borderId="0"/>
    <xf numFmtId="0" fontId="38" fillId="0" borderId="0"/>
  </cellStyleXfs>
  <cellXfs count="435">
    <xf numFmtId="0" fontId="0" fillId="0" borderId="0" pivotButton="0" quotePrefix="0" xfId="0"/>
    <xf numFmtId="0" fontId="12" fillId="0" borderId="0" pivotButton="0" quotePrefix="0" xfId="0"/>
    <xf numFmtId="0" fontId="11" fillId="0" borderId="46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12" fillId="0" borderId="45" applyAlignment="1" pivotButton="0" quotePrefix="0" xfId="0">
      <alignment horizontal="center" vertical="center"/>
    </xf>
    <xf numFmtId="0" fontId="12" fillId="0" borderId="4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2" fillId="0" borderId="42" applyAlignment="1" pivotButton="0" quotePrefix="0" xfId="0">
      <alignment horizontal="center" vertical="center"/>
    </xf>
    <xf numFmtId="0" fontId="12" fillId="0" borderId="4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/>
    </xf>
    <xf numFmtId="0" fontId="11" fillId="0" borderId="32" applyAlignment="1" pivotButton="0" quotePrefix="0" xfId="0">
      <alignment horizontal="center"/>
    </xf>
    <xf numFmtId="0" fontId="13" fillId="0" borderId="38" pivotButton="0" quotePrefix="0" xfId="0"/>
    <xf numFmtId="0" fontId="13" fillId="0" borderId="0" pivotButton="0" quotePrefix="0" xfId="0"/>
    <xf numFmtId="0" fontId="13" fillId="0" borderId="29" pivotButton="0" quotePrefix="0" xfId="0"/>
    <xf numFmtId="0" fontId="23" fillId="0" borderId="9" applyAlignment="1" pivotButton="0" quotePrefix="0" xfId="7">
      <alignment vertical="center" wrapText="1"/>
    </xf>
    <xf numFmtId="0" fontId="23" fillId="0" borderId="10" applyAlignment="1" pivotButton="0" quotePrefix="0" xfId="7">
      <alignment vertical="center" wrapText="1"/>
    </xf>
    <xf numFmtId="0" fontId="1" fillId="0" borderId="0" pivotButton="0" quotePrefix="0" xfId="7"/>
    <xf numFmtId="0" fontId="23" fillId="0" borderId="2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1" fillId="0" borderId="14" applyAlignment="1" pivotButton="0" quotePrefix="0" xfId="7">
      <alignment vertical="center"/>
    </xf>
    <xf numFmtId="0" fontId="26" fillId="0" borderId="9" applyAlignment="1" pivotButton="0" quotePrefix="0" xfId="7">
      <alignment vertical="center"/>
    </xf>
    <xf numFmtId="0" fontId="1" fillId="0" borderId="9" applyAlignment="1" pivotButton="0" quotePrefix="0" xfId="7">
      <alignment vertical="center"/>
    </xf>
    <xf numFmtId="0" fontId="4" fillId="0" borderId="0" pivotButton="0" quotePrefix="0" xfId="7"/>
    <xf numFmtId="0" fontId="24" fillId="0" borderId="0" applyAlignment="1" pivotButton="0" quotePrefix="0" xfId="7">
      <alignment vertical="center"/>
    </xf>
    <xf numFmtId="0" fontId="3" fillId="0" borderId="2" applyAlignment="1" pivotButton="0" quotePrefix="0" xfId="7">
      <alignment vertical="center"/>
    </xf>
    <xf numFmtId="0" fontId="3" fillId="0" borderId="0" applyAlignment="1" pivotButton="0" quotePrefix="0" xfId="7">
      <alignment horizontal="center" vertical="center"/>
    </xf>
    <xf numFmtId="0" fontId="24" fillId="0" borderId="2" applyAlignment="1" pivotButton="0" quotePrefix="0" xfId="8">
      <alignment horizontal="left" vertical="center" wrapText="1"/>
    </xf>
    <xf numFmtId="0" fontId="24" fillId="0" borderId="2" applyAlignment="1" pivotButton="0" quotePrefix="0" xfId="8">
      <alignment vertical="center" wrapText="1"/>
    </xf>
    <xf numFmtId="0" fontId="29" fillId="0" borderId="67" applyAlignment="1" pivotButton="0" quotePrefix="0" xfId="7">
      <alignment horizontal="center" vertical="center" wrapText="1"/>
    </xf>
    <xf numFmtId="0" fontId="27" fillId="0" borderId="68" applyAlignment="1" pivotButton="0" quotePrefix="1" xfId="7">
      <alignment horizontal="center" vertical="center" wrapText="1"/>
    </xf>
    <xf numFmtId="0" fontId="27" fillId="0" borderId="15" applyAlignment="1" pivotButton="0" quotePrefix="0" xfId="7">
      <alignment horizontal="center" vertical="center" wrapText="1"/>
    </xf>
    <xf numFmtId="0" fontId="27" fillId="0" borderId="16" applyAlignment="1" pivotButton="0" quotePrefix="0" xfId="7">
      <alignment horizontal="center" vertical="center" wrapText="1"/>
    </xf>
    <xf numFmtId="0" fontId="3" fillId="0" borderId="0" pivotButton="0" quotePrefix="0" xfId="7"/>
    <xf numFmtId="0" fontId="7" fillId="2" borderId="8" applyAlignment="1" pivotButton="0" quotePrefix="0" xfId="1">
      <alignment vertical="center" wrapText="1"/>
    </xf>
    <xf numFmtId="0" fontId="4" fillId="0" borderId="0" pivotButton="0" quotePrefix="0" xfId="1"/>
    <xf numFmtId="0" fontId="7" fillId="2" borderId="4" applyAlignment="1" pivotButton="0" quotePrefix="0" xfId="1">
      <alignment vertical="center" wrapText="1"/>
    </xf>
    <xf numFmtId="0" fontId="7" fillId="2" borderId="6" applyAlignment="1" pivotButton="0" quotePrefix="0" xfId="1">
      <alignment vertical="center" wrapText="1"/>
    </xf>
    <xf numFmtId="0" fontId="4" fillId="0" borderId="8" applyAlignment="1" pivotButton="0" quotePrefix="0" xfId="1">
      <alignment horizontal="center"/>
    </xf>
    <xf numFmtId="0" fontId="4" fillId="0" borderId="17" applyAlignment="1" pivotButton="0" quotePrefix="0" xfId="1">
      <alignment horizontal="left" vertical="top"/>
    </xf>
    <xf numFmtId="0" fontId="5" fillId="0" borderId="4" applyAlignment="1" pivotButton="0" quotePrefix="0" xfId="1">
      <alignment vertical="top" wrapText="1"/>
    </xf>
    <xf numFmtId="0" fontId="9" fillId="0" borderId="18" applyAlignment="1" pivotButton="0" quotePrefix="0" xfId="1">
      <alignment horizontal="center" vertical="center"/>
    </xf>
    <xf numFmtId="0" fontId="9" fillId="0" borderId="18" applyAlignment="1" pivotButton="0" quotePrefix="0" xfId="1">
      <alignment horizontal="center"/>
    </xf>
    <xf numFmtId="0" fontId="4" fillId="0" borderId="0" applyAlignment="1" pivotButton="0" quotePrefix="0" xfId="1">
      <alignment horizontal="left" vertical="top" wrapText="1"/>
    </xf>
    <xf numFmtId="0" fontId="4" fillId="0" borderId="0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/>
    </xf>
    <xf numFmtId="0" fontId="4" fillId="0" borderId="10" applyAlignment="1" pivotButton="0" quotePrefix="0" xfId="1">
      <alignment horizontal="left"/>
    </xf>
    <xf numFmtId="0" fontId="4" fillId="0" borderId="4" pivotButton="0" quotePrefix="0" xfId="1"/>
    <xf numFmtId="0" fontId="5" fillId="0" borderId="0" applyAlignment="1" pivotButton="0" quotePrefix="0" xfId="1">
      <alignment horizontal="center" vertical="center" wrapText="1"/>
    </xf>
    <xf numFmtId="0" fontId="22" fillId="0" borderId="0" pivotButton="0" quotePrefix="0" xfId="1"/>
    <xf numFmtId="0" fontId="4" fillId="0" borderId="6" pivotButton="0" quotePrefix="0" xfId="1"/>
    <xf numFmtId="0" fontId="4" fillId="0" borderId="2" applyAlignment="1" pivotButton="0" quotePrefix="0" xfId="1">
      <alignment horizontal="center" vertical="center" wrapText="1"/>
    </xf>
    <xf numFmtId="0" fontId="4" fillId="0" borderId="2" applyAlignment="1" pivotButton="0" quotePrefix="0" xfId="1">
      <alignment vertical="center" wrapText="1"/>
    </xf>
    <xf numFmtId="0" fontId="4" fillId="0" borderId="0" applyAlignment="1" pivotButton="0" quotePrefix="0" xfId="1">
      <alignment vertical="center"/>
    </xf>
    <xf numFmtId="0" fontId="4" fillId="0" borderId="2" applyAlignment="1" pivotButton="0" quotePrefix="0" xfId="1">
      <alignment horizontal="left" vertical="center"/>
    </xf>
    <xf numFmtId="0" fontId="4" fillId="0" borderId="2" applyAlignment="1" pivotButton="0" quotePrefix="0" xfId="1">
      <alignment vertical="top"/>
    </xf>
    <xf numFmtId="0" fontId="4" fillId="0" borderId="2" applyAlignment="1" pivotButton="0" quotePrefix="0" xfId="1">
      <alignment horizontal="center"/>
    </xf>
    <xf numFmtId="0" fontId="4" fillId="0" borderId="5" applyAlignment="1" pivotButton="0" quotePrefix="0" xfId="1">
      <alignment horizontal="left" vertical="top"/>
    </xf>
    <xf numFmtId="0" fontId="5" fillId="0" borderId="67" pivotButton="0" quotePrefix="0" xfId="1"/>
    <xf numFmtId="0" fontId="5" fillId="0" borderId="67" pivotButton="0" quotePrefix="1" xfId="1"/>
    <xf numFmtId="0" fontId="4" fillId="3" borderId="18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3" fillId="6" borderId="17" applyAlignment="1" pivotButton="0" quotePrefix="0" xfId="0">
      <alignment horizontal="center" vertical="center" wrapText="1"/>
    </xf>
    <xf numFmtId="0" fontId="3" fillId="7" borderId="17" applyAlignment="1" pivotButton="0" quotePrefix="0" xfId="0">
      <alignment horizontal="center" vertical="center" wrapText="1"/>
    </xf>
    <xf numFmtId="0" fontId="3" fillId="8" borderId="17" applyAlignment="1" pivotButton="0" quotePrefix="0" xfId="0">
      <alignment horizontal="center" vertical="center" wrapText="1"/>
    </xf>
    <xf numFmtId="0" fontId="4" fillId="0" borderId="0" applyAlignment="1" pivotButton="0" quotePrefix="0" xfId="1">
      <alignment vertical="center" wrapText="1"/>
    </xf>
    <xf numFmtId="0" fontId="4" fillId="0" borderId="67" applyAlignment="1" pivotButton="0" quotePrefix="0" xfId="1">
      <alignment vertical="center" wrapText="1"/>
    </xf>
    <xf numFmtId="0" fontId="4" fillId="6" borderId="58" applyAlignment="1" pivotButton="0" quotePrefix="0" xfId="1">
      <alignment horizontal="center" vertical="center" wrapText="1"/>
    </xf>
    <xf numFmtId="0" fontId="21" fillId="9" borderId="0" applyAlignment="1" pivotButton="0" quotePrefix="0" xfId="1">
      <alignment vertical="center"/>
    </xf>
    <xf numFmtId="0" fontId="22" fillId="9" borderId="0" applyAlignment="1" pivotButton="0" quotePrefix="0" xfId="1">
      <alignment vertical="center"/>
    </xf>
    <xf numFmtId="0" fontId="4" fillId="0" borderId="0" applyAlignment="1" pivotButton="0" quotePrefix="0" xfId="1">
      <alignment horizontal="center"/>
    </xf>
    <xf numFmtId="0" fontId="4" fillId="0" borderId="58" applyAlignment="1" pivotButton="0" quotePrefix="0" xfId="1">
      <alignment vertical="center" wrapText="1"/>
    </xf>
    <xf numFmtId="0" fontId="4" fillId="0" borderId="58" applyAlignment="1" pivotButton="0" quotePrefix="0" xfId="1">
      <alignment horizontal="center" vertical="center" wrapText="1"/>
    </xf>
    <xf numFmtId="1" fontId="4" fillId="0" borderId="58" applyAlignment="1" pivotButton="0" quotePrefix="0" xfId="1">
      <alignment horizontal="center" vertical="center" wrapText="1"/>
    </xf>
    <xf numFmtId="0" fontId="6" fillId="0" borderId="58" applyAlignment="1" pivotButton="0" quotePrefix="0" xfId="1">
      <alignment horizontal="center" vertical="center" wrapText="1"/>
    </xf>
    <xf numFmtId="0" fontId="4" fillId="7" borderId="56" applyAlignment="1" pivotButton="0" quotePrefix="0" xfId="1">
      <alignment horizontal="center" vertical="center" wrapText="1"/>
    </xf>
    <xf numFmtId="0" fontId="4" fillId="7" borderId="58" applyAlignment="1" pivotButton="0" quotePrefix="0" xfId="1">
      <alignment horizontal="center" vertical="center" wrapText="1"/>
    </xf>
    <xf numFmtId="0" fontId="18" fillId="3" borderId="58" applyAlignment="1" pivotButton="0" quotePrefix="0" xfId="1">
      <alignment horizontal="center" vertical="center" wrapText="1"/>
    </xf>
    <xf numFmtId="0" fontId="4" fillId="3" borderId="58" applyAlignment="1" pivotButton="0" quotePrefix="0" xfId="1">
      <alignment horizontal="center" vertical="center" wrapText="1"/>
    </xf>
    <xf numFmtId="0" fontId="4" fillId="8" borderId="58" applyAlignment="1" pivotButton="0" quotePrefix="0" xfId="1">
      <alignment horizontal="center" vertical="center" wrapText="1"/>
    </xf>
    <xf numFmtId="0" fontId="4" fillId="0" borderId="56" applyAlignment="1" pivotButton="0" quotePrefix="0" xfId="1">
      <alignment horizontal="center" vertical="center" wrapText="1"/>
    </xf>
    <xf numFmtId="0" fontId="6" fillId="0" borderId="56" applyAlignment="1" pivotButton="0" quotePrefix="0" xfId="1">
      <alignment horizontal="center" vertical="center" wrapText="1"/>
    </xf>
    <xf numFmtId="0" fontId="4" fillId="3" borderId="56" applyAlignment="1" pivotButton="0" quotePrefix="0" xfId="1">
      <alignment horizontal="center" vertical="center" wrapText="1"/>
    </xf>
    <xf numFmtId="0" fontId="4" fillId="8" borderId="56" applyAlignment="1" pivotButton="0" quotePrefix="0" xfId="1">
      <alignment horizontal="center" vertical="center" wrapText="1"/>
    </xf>
    <xf numFmtId="0" fontId="4" fillId="6" borderId="56" applyAlignment="1" pivotButton="0" quotePrefix="0" xfId="1">
      <alignment horizontal="center" vertical="center" wrapText="1"/>
    </xf>
    <xf numFmtId="0" fontId="4" fillId="0" borderId="67" pivotButton="0" quotePrefix="0" xfId="1"/>
    <xf numFmtId="0" fontId="4" fillId="0" borderId="57" applyAlignment="1" pivotButton="0" quotePrefix="0" xfId="1">
      <alignment horizontal="center" vertical="center" wrapText="1"/>
    </xf>
    <xf numFmtId="0" fontId="6" fillId="0" borderId="57" applyAlignment="1" pivotButton="0" quotePrefix="0" xfId="1">
      <alignment horizontal="center" vertical="center" wrapText="1"/>
    </xf>
    <xf numFmtId="0" fontId="4" fillId="3" borderId="57" applyAlignment="1" pivotButton="0" quotePrefix="0" xfId="1">
      <alignment horizontal="center" vertical="center" wrapText="1"/>
    </xf>
    <xf numFmtId="0" fontId="4" fillId="8" borderId="57" applyAlignment="1" pivotButton="0" quotePrefix="0" xfId="1">
      <alignment horizontal="center" vertical="center" wrapText="1"/>
    </xf>
    <xf numFmtId="0" fontId="4" fillId="6" borderId="57" applyAlignment="1" pivotButton="0" quotePrefix="0" xfId="1">
      <alignment horizontal="center" vertical="center" wrapText="1"/>
    </xf>
    <xf numFmtId="0" fontId="4" fillId="7" borderId="57" applyAlignment="1" pivotButton="0" quotePrefix="0" xfId="1">
      <alignment horizontal="center" vertical="center" wrapText="1"/>
    </xf>
    <xf numFmtId="0" fontId="4" fillId="0" borderId="56" applyAlignment="1" pivotButton="0" quotePrefix="0" xfId="1">
      <alignment vertical="center" wrapText="1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/>
    </xf>
    <xf numFmtId="0" fontId="4" fillId="3" borderId="67" applyAlignment="1" pivotButton="0" quotePrefix="0" xfId="1">
      <alignment vertical="center" wrapText="1"/>
    </xf>
    <xf numFmtId="0" fontId="30" fillId="0" borderId="58" applyAlignment="1" pivotButton="0" quotePrefix="0" xfId="9">
      <alignment vertical="center" wrapText="1"/>
    </xf>
    <xf numFmtId="0" fontId="16" fillId="0" borderId="50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6" fillId="0" borderId="54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164" fontId="4" fillId="0" borderId="0" pivotButton="0" quotePrefix="0" xfId="1"/>
    <xf numFmtId="165" fontId="4" fillId="0" borderId="0" pivotButton="0" quotePrefix="0" xfId="1"/>
    <xf numFmtId="164" fontId="30" fillId="0" borderId="0" pivotButton="0" quotePrefix="0" xfId="9"/>
    <xf numFmtId="165" fontId="22" fillId="0" borderId="0" pivotButton="0" quotePrefix="0" xfId="1"/>
    <xf numFmtId="164" fontId="22" fillId="0" borderId="0" pivotButton="0" quotePrefix="0" xfId="1"/>
    <xf numFmtId="164" fontId="4" fillId="6" borderId="17" applyAlignment="1" pivotButton="0" quotePrefix="0" xfId="0">
      <alignment horizontal="center" vertical="center" wrapText="1"/>
    </xf>
    <xf numFmtId="165" fontId="3" fillId="7" borderId="17" applyAlignment="1" pivotButton="0" quotePrefix="0" xfId="0">
      <alignment horizontal="center" vertical="center" wrapText="1"/>
    </xf>
    <xf numFmtId="164" fontId="4" fillId="7" borderId="17" applyAlignment="1" pivotButton="0" quotePrefix="0" xfId="0">
      <alignment horizontal="center" vertical="center" wrapText="1"/>
    </xf>
    <xf numFmtId="165" fontId="3" fillId="3" borderId="17" applyAlignment="1" pivotButton="0" quotePrefix="0" xfId="0">
      <alignment horizontal="center" vertical="center" wrapText="1"/>
    </xf>
    <xf numFmtId="164" fontId="4" fillId="3" borderId="17" applyAlignment="1" pivotButton="0" quotePrefix="0" xfId="0">
      <alignment horizontal="center" vertical="center" wrapText="1"/>
    </xf>
    <xf numFmtId="165" fontId="3" fillId="8" borderId="17" applyAlignment="1" pivotButton="0" quotePrefix="0" xfId="0">
      <alignment horizontal="center" vertical="center" wrapText="1"/>
    </xf>
    <xf numFmtId="164" fontId="4" fillId="8" borderId="17" applyAlignment="1" pivotButton="0" quotePrefix="0" xfId="0">
      <alignment horizontal="center" vertical="center" wrapText="1"/>
    </xf>
    <xf numFmtId="164" fontId="22" fillId="9" borderId="0" applyAlignment="1" pivotButton="0" quotePrefix="0" xfId="1">
      <alignment vertical="center"/>
    </xf>
    <xf numFmtId="165" fontId="22" fillId="9" borderId="0" applyAlignment="1" pivotButton="0" quotePrefix="0" xfId="1">
      <alignment vertical="center"/>
    </xf>
    <xf numFmtId="164" fontId="4" fillId="0" borderId="58" applyAlignment="1" pivotButton="0" quotePrefix="0" xfId="1">
      <alignment horizontal="center" vertical="center" wrapText="1"/>
    </xf>
    <xf numFmtId="164" fontId="4" fillId="6" borderId="58" applyAlignment="1" pivotButton="0" quotePrefix="0" xfId="1">
      <alignment horizontal="center" vertical="center" wrapText="1"/>
    </xf>
    <xf numFmtId="165" fontId="4" fillId="7" borderId="58" applyAlignment="1" pivotButton="0" quotePrefix="0" xfId="1">
      <alignment horizontal="center" vertical="center" wrapText="1"/>
    </xf>
    <xf numFmtId="164" fontId="4" fillId="7" borderId="56" applyAlignment="1" pivotButton="0" quotePrefix="0" xfId="1">
      <alignment horizontal="center" vertical="center" wrapText="1"/>
    </xf>
    <xf numFmtId="165" fontId="4" fillId="3" borderId="58" applyAlignment="1" pivotButton="0" quotePrefix="0" xfId="1">
      <alignment horizontal="center" vertical="center" wrapText="1"/>
    </xf>
    <xf numFmtId="164" fontId="4" fillId="3" borderId="58" applyAlignment="1" pivotButton="0" quotePrefix="0" xfId="1">
      <alignment horizontal="center" vertical="center" wrapText="1"/>
    </xf>
    <xf numFmtId="165" fontId="4" fillId="8" borderId="58" applyAlignment="1" pivotButton="0" quotePrefix="0" xfId="1">
      <alignment horizontal="center" vertical="center" wrapText="1"/>
    </xf>
    <xf numFmtId="164" fontId="4" fillId="8" borderId="58" applyAlignment="1" pivotButton="0" quotePrefix="0" xfId="1">
      <alignment horizontal="center" vertical="center" wrapText="1"/>
    </xf>
    <xf numFmtId="165" fontId="4" fillId="6" borderId="58" applyAlignment="1" pivotButton="0" quotePrefix="0" xfId="1">
      <alignment horizontal="center" vertical="center" wrapText="1"/>
    </xf>
    <xf numFmtId="164" fontId="4" fillId="7" borderId="58" applyAlignment="1" pivotButton="0" quotePrefix="0" xfId="1">
      <alignment horizontal="center" vertical="center" wrapText="1"/>
    </xf>
    <xf numFmtId="165" fontId="4" fillId="3" borderId="56" applyAlignment="1" pivotButton="0" quotePrefix="0" xfId="1">
      <alignment horizontal="center" vertical="center" wrapText="1"/>
    </xf>
    <xf numFmtId="165" fontId="4" fillId="8" borderId="56" applyAlignment="1" pivotButton="0" quotePrefix="0" xfId="1">
      <alignment horizontal="center" vertical="center" wrapText="1"/>
    </xf>
    <xf numFmtId="165" fontId="4" fillId="6" borderId="56" applyAlignment="1" pivotButton="0" quotePrefix="0" xfId="1">
      <alignment horizontal="center" vertical="center" wrapText="1"/>
    </xf>
    <xf numFmtId="164" fontId="4" fillId="6" borderId="56" applyAlignment="1" pivotButton="0" quotePrefix="0" xfId="1">
      <alignment horizontal="center" vertical="center" wrapText="1"/>
    </xf>
    <xf numFmtId="165" fontId="4" fillId="7" borderId="56" applyAlignment="1" pivotButton="0" quotePrefix="0" xfId="1">
      <alignment horizontal="center" vertical="center" wrapText="1"/>
    </xf>
    <xf numFmtId="164" fontId="4" fillId="3" borderId="56" applyAlignment="1" pivotButton="0" quotePrefix="0" xfId="1">
      <alignment horizontal="center" vertical="center" wrapText="1"/>
    </xf>
    <xf numFmtId="164" fontId="4" fillId="8" borderId="56" applyAlignment="1" pivotButton="0" quotePrefix="0" xfId="1">
      <alignment horizontal="center" vertical="center" wrapText="1"/>
    </xf>
    <xf numFmtId="165" fontId="4" fillId="3" borderId="57" applyAlignment="1" pivotButton="0" quotePrefix="0" xfId="1">
      <alignment horizontal="center" vertical="center" wrapText="1"/>
    </xf>
    <xf numFmtId="165" fontId="4" fillId="8" borderId="57" applyAlignment="1" pivotButton="0" quotePrefix="0" xfId="1">
      <alignment horizontal="center" vertical="center" wrapText="1"/>
    </xf>
    <xf numFmtId="164" fontId="4" fillId="8" borderId="57" applyAlignment="1" pivotButton="0" quotePrefix="0" xfId="1">
      <alignment horizontal="center" vertical="center" wrapText="1"/>
    </xf>
    <xf numFmtId="165" fontId="4" fillId="6" borderId="57" applyAlignment="1" pivotButton="0" quotePrefix="0" xfId="1">
      <alignment horizontal="center" vertical="center" wrapText="1"/>
    </xf>
    <xf numFmtId="164" fontId="4" fillId="6" borderId="57" applyAlignment="1" pivotButton="0" quotePrefix="0" xfId="1">
      <alignment horizontal="center" vertical="center" wrapText="1"/>
    </xf>
    <xf numFmtId="165" fontId="4" fillId="7" borderId="57" applyAlignment="1" pivotButton="0" quotePrefix="0" xfId="1">
      <alignment horizontal="center" vertical="center" wrapText="1"/>
    </xf>
    <xf numFmtId="164" fontId="4" fillId="7" borderId="57" applyAlignment="1" pivotButton="0" quotePrefix="0" xfId="1">
      <alignment horizontal="center" vertical="center" wrapText="1"/>
    </xf>
    <xf numFmtId="164" fontId="4" fillId="3" borderId="57" applyAlignment="1" pivotButton="0" quotePrefix="0" xfId="1">
      <alignment horizontal="center" vertical="center" wrapText="1"/>
    </xf>
    <xf numFmtId="0" fontId="1" fillId="0" borderId="0" pivotButton="0" quotePrefix="0" xfId="10"/>
    <xf numFmtId="0" fontId="1" fillId="0" borderId="0" applyAlignment="1" pivotButton="0" quotePrefix="0" xfId="10">
      <alignment horizontal="left"/>
    </xf>
    <xf numFmtId="0" fontId="1" fillId="0" borderId="0" pivotButton="0" quotePrefix="0" xfId="10"/>
    <xf numFmtId="0" fontId="1" fillId="0" borderId="102" pivotButton="0" quotePrefix="0" xfId="10"/>
    <xf numFmtId="0" fontId="1" fillId="0" borderId="101" pivotButton="0" quotePrefix="0" xfId="10"/>
    <xf numFmtId="0" fontId="37" fillId="0" borderId="112" applyAlignment="1" pivotButton="0" quotePrefix="0" xfId="10">
      <alignment vertical="center"/>
    </xf>
    <xf numFmtId="0" fontId="37" fillId="0" borderId="95" applyAlignment="1" pivotButton="0" quotePrefix="0" xfId="10">
      <alignment horizontal="center" vertical="center"/>
    </xf>
    <xf numFmtId="0" fontId="3" fillId="0" borderId="0" applyAlignment="1" pivotButton="0" quotePrefix="0" xfId="10">
      <alignment horizontal="center" vertical="center"/>
    </xf>
    <xf numFmtId="0" fontId="25" fillId="0" borderId="102" pivotButton="0" quotePrefix="0" xfId="10"/>
    <xf numFmtId="0" fontId="35" fillId="0" borderId="101" applyAlignment="1" pivotButton="0" quotePrefix="0" xfId="10">
      <alignment vertical="center"/>
    </xf>
    <xf numFmtId="0" fontId="35" fillId="0" borderId="112" applyAlignment="1" pivotButton="0" quotePrefix="0" xfId="10">
      <alignment vertical="center"/>
    </xf>
    <xf numFmtId="0" fontId="35" fillId="0" borderId="95" applyAlignment="1" pivotButton="0" quotePrefix="0" xfId="10">
      <alignment horizontal="center" vertical="center"/>
    </xf>
    <xf numFmtId="0" fontId="3" fillId="0" borderId="0" applyAlignment="1" pivotButton="0" quotePrefix="0" xfId="10">
      <alignment vertical="center" textRotation="90" wrapText="1"/>
    </xf>
    <xf numFmtId="0" fontId="1" fillId="7" borderId="102" pivotButton="0" quotePrefix="0" xfId="10"/>
    <xf numFmtId="0" fontId="3" fillId="7" borderId="101" applyAlignment="1" pivotButton="0" quotePrefix="0" xfId="10">
      <alignment vertical="center"/>
    </xf>
    <xf numFmtId="0" fontId="3" fillId="7" borderId="112" applyAlignment="1" pivotButton="0" quotePrefix="0" xfId="10">
      <alignment vertical="center"/>
    </xf>
    <xf numFmtId="0" fontId="3" fillId="7" borderId="95" applyAlignment="1" pivotButton="0" quotePrefix="0" xfId="10">
      <alignment horizontal="center" vertical="center"/>
    </xf>
    <xf numFmtId="0" fontId="3" fillId="0" borderId="101" applyAlignment="1" pivotButton="0" quotePrefix="0" xfId="10">
      <alignment vertical="center"/>
    </xf>
    <xf numFmtId="0" fontId="3" fillId="0" borderId="112" applyAlignment="1" pivotButton="0" quotePrefix="0" xfId="10">
      <alignment vertical="center"/>
    </xf>
    <xf numFmtId="0" fontId="3" fillId="0" borderId="95" applyAlignment="1" pivotButton="0" quotePrefix="0" xfId="10">
      <alignment horizontal="center" vertical="center"/>
    </xf>
    <xf numFmtId="0" fontId="3" fillId="0" borderId="0" applyAlignment="1" pivotButton="0" quotePrefix="0" xfId="10">
      <alignment vertical="center"/>
    </xf>
    <xf numFmtId="0" fontId="3" fillId="7" borderId="102" applyAlignment="1" pivotButton="0" quotePrefix="0" xfId="10">
      <alignment vertical="center" wrapText="1"/>
    </xf>
    <xf numFmtId="0" fontId="35" fillId="0" borderId="112" applyAlignment="1" pivotButton="0" quotePrefix="0" xfId="10">
      <alignment horizontal="center" vertical="center"/>
    </xf>
    <xf numFmtId="0" fontId="3" fillId="0" borderId="112" applyAlignment="1" pivotButton="0" quotePrefix="0" xfId="10">
      <alignment horizontal="center" vertical="center"/>
    </xf>
    <xf numFmtId="0" fontId="33" fillId="0" borderId="102" applyAlignment="1" pivotButton="0" quotePrefix="0" xfId="10">
      <alignment horizontal="left" vertical="center"/>
    </xf>
    <xf numFmtId="0" fontId="33" fillId="0" borderId="112" applyAlignment="1" pivotButton="0" quotePrefix="0" xfId="10">
      <alignment horizontal="left" vertical="center"/>
    </xf>
    <xf numFmtId="0" fontId="3" fillId="0" borderId="102" applyAlignment="1" pivotButton="0" quotePrefix="0" xfId="10">
      <alignment horizontal="left" vertical="center"/>
    </xf>
    <xf numFmtId="0" fontId="3" fillId="0" borderId="112" applyAlignment="1" pivotButton="0" quotePrefix="0" xfId="10">
      <alignment horizontal="left" vertical="center"/>
    </xf>
    <xf numFmtId="0" fontId="34" fillId="0" borderId="0" pivotButton="0" quotePrefix="0" xfId="10"/>
    <xf numFmtId="0" fontId="37" fillId="0" borderId="102" applyAlignment="1" pivotButton="0" quotePrefix="0" xfId="10">
      <alignment horizontal="left" vertical="center"/>
    </xf>
    <xf numFmtId="0" fontId="37" fillId="0" borderId="112" applyAlignment="1" pivotButton="0" quotePrefix="0" xfId="10">
      <alignment horizontal="left" vertical="center"/>
    </xf>
    <xf numFmtId="0" fontId="36" fillId="0" borderId="102" applyAlignment="1" pivotButton="0" quotePrefix="0" xfId="10">
      <alignment horizontal="left" vertical="center"/>
    </xf>
    <xf numFmtId="0" fontId="36" fillId="0" borderId="112" applyAlignment="1" pivotButton="0" quotePrefix="0" xfId="10">
      <alignment horizontal="left" vertical="center"/>
    </xf>
    <xf numFmtId="0" fontId="36" fillId="0" borderId="112" applyAlignment="1" pivotButton="0" quotePrefix="0" xfId="10">
      <alignment horizontal="center" vertical="center"/>
    </xf>
    <xf numFmtId="0" fontId="1" fillId="7" borderId="102" pivotButton="0" quotePrefix="0" xfId="10"/>
    <xf numFmtId="0" fontId="1" fillId="7" borderId="5" pivotButton="0" quotePrefix="0" xfId="10"/>
    <xf numFmtId="0" fontId="3" fillId="7" borderId="99" applyAlignment="1" pivotButton="0" quotePrefix="0" xfId="10">
      <alignment vertical="center"/>
    </xf>
    <xf numFmtId="0" fontId="3" fillId="7" borderId="98" applyAlignment="1" pivotButton="0" quotePrefix="0" xfId="10">
      <alignment vertical="center"/>
    </xf>
    <xf numFmtId="0" fontId="1" fillId="0" borderId="0" applyAlignment="1" pivotButton="0" quotePrefix="0" xfId="10">
      <alignment horizontal="center" vertical="center" wrapText="1"/>
    </xf>
    <xf numFmtId="0" fontId="1" fillId="0" borderId="0" pivotButton="0" quotePrefix="1" xfId="10"/>
    <xf numFmtId="0" fontId="1" fillId="0" borderId="0" applyAlignment="1" pivotButton="0" quotePrefix="0" xfId="10">
      <alignment horizontal="center" vertical="center"/>
    </xf>
    <xf numFmtId="0" fontId="1" fillId="0" borderId="110" pivotButton="0" quotePrefix="0" xfId="10"/>
    <xf numFmtId="0" fontId="1" fillId="0" borderId="3" pivotButton="0" quotePrefix="0" xfId="10"/>
    <xf numFmtId="0" fontId="3" fillId="0" borderId="0" pivotButton="0" quotePrefix="0" xfId="10"/>
    <xf numFmtId="0" fontId="3" fillId="0" borderId="109" pivotButton="0" quotePrefix="0" xfId="10"/>
    <xf numFmtId="0" fontId="3" fillId="0" borderId="31" pivotButton="0" quotePrefix="0" xfId="10"/>
    <xf numFmtId="0" fontId="3" fillId="0" borderId="4" applyAlignment="1" pivotButton="0" quotePrefix="0" xfId="10">
      <alignment horizontal="left"/>
    </xf>
    <xf numFmtId="0" fontId="1" fillId="0" borderId="4" pivotButton="0" quotePrefix="0" xfId="10"/>
    <xf numFmtId="0" fontId="1" fillId="0" borderId="77" pivotButton="0" quotePrefix="0" xfId="10"/>
    <xf numFmtId="0" fontId="3" fillId="0" borderId="4" pivotButton="0" quotePrefix="0" xfId="10"/>
    <xf numFmtId="0" fontId="3" fillId="0" borderId="75" pivotButton="0" quotePrefix="0" xfId="10"/>
    <xf numFmtId="0" fontId="3" fillId="0" borderId="0" applyAlignment="1" pivotButton="0" quotePrefix="0" xfId="10">
      <alignment horizontal="left"/>
    </xf>
    <xf numFmtId="0" fontId="3" fillId="0" borderId="5" pivotButton="0" quotePrefix="0" xfId="10"/>
    <xf numFmtId="0" fontId="3" fillId="0" borderId="99" pivotButton="0" quotePrefix="0" xfId="10"/>
    <xf numFmtId="0" fontId="1" fillId="0" borderId="88" pivotButton="0" quotePrefix="0" xfId="10"/>
    <xf numFmtId="0" fontId="1" fillId="0" borderId="108" pivotButton="0" quotePrefix="0" xfId="10"/>
    <xf numFmtId="0" fontId="1" fillId="0" borderId="107" pivotButton="0" quotePrefix="0" xfId="10"/>
    <xf numFmtId="0" fontId="1" fillId="0" borderId="5" pivotButton="0" quotePrefix="0" xfId="10"/>
    <xf numFmtId="0" fontId="1" fillId="0" borderId="99" pivotButton="0" quotePrefix="0" xfId="10"/>
    <xf numFmtId="0" fontId="25" fillId="0" borderId="0" applyAlignment="1" pivotButton="0" quotePrefix="0" xfId="10">
      <alignment horizontal="center" vertical="center" wrapText="1"/>
    </xf>
    <xf numFmtId="0" fontId="25" fillId="0" borderId="0" applyAlignment="1" pivotButton="0" quotePrefix="0" xfId="10">
      <alignment horizontal="left" vertical="center"/>
    </xf>
    <xf numFmtId="166" fontId="31" fillId="9" borderId="94" applyAlignment="1" pivotButton="0" quotePrefix="0" xfId="10">
      <alignment horizontal="center" vertical="center"/>
    </xf>
    <xf numFmtId="0" fontId="15" fillId="0" borderId="21" applyAlignment="1" pivotButton="0" quotePrefix="0" xfId="10">
      <alignment horizontal="center" vertical="center" wrapText="1"/>
    </xf>
    <xf numFmtId="0" fontId="15" fillId="0" borderId="106" applyAlignment="1" pivotButton="0" quotePrefix="0" xfId="10">
      <alignment horizontal="center" vertical="center" wrapText="1"/>
    </xf>
    <xf numFmtId="166" fontId="31" fillId="9" borderId="105" applyAlignment="1" pivotButton="0" quotePrefix="0" xfId="10">
      <alignment horizontal="center" vertical="center"/>
    </xf>
    <xf numFmtId="0" fontId="1" fillId="0" borderId="21" applyAlignment="1" pivotButton="0" quotePrefix="0" xfId="10">
      <alignment horizontal="center" vertical="center" textRotation="90" wrapText="1"/>
    </xf>
    <xf numFmtId="0" fontId="1" fillId="0" borderId="31" pivotButton="0" quotePrefix="0" xfId="10"/>
    <xf numFmtId="0" fontId="1" fillId="0" borderId="31" applyAlignment="1" pivotButton="0" quotePrefix="0" xfId="10">
      <alignment horizontal="center" vertical="center" textRotation="90" wrapText="1"/>
    </xf>
    <xf numFmtId="0" fontId="1" fillId="0" borderId="73" applyAlignment="1" pivotButton="0" quotePrefix="0" xfId="10">
      <alignment horizontal="center" vertical="center" textRotation="90" wrapText="1"/>
    </xf>
    <xf numFmtId="0" fontId="1" fillId="0" borderId="0" applyAlignment="1" pivotButton="0" quotePrefix="0" xfId="10">
      <alignment horizontal="center" vertical="center" wrapText="1"/>
    </xf>
    <xf numFmtId="0" fontId="1" fillId="0" borderId="0" applyAlignment="1" pivotButton="0" quotePrefix="0" xfId="10">
      <alignment horizontal="center" vertical="center" textRotation="90" wrapText="1"/>
    </xf>
    <xf numFmtId="0" fontId="1" fillId="0" borderId="94" applyAlignment="1" pivotButton="0" quotePrefix="0" xfId="10">
      <alignment horizontal="center" vertical="center" textRotation="90" wrapText="1"/>
    </xf>
    <xf numFmtId="0" fontId="37" fillId="0" borderId="112" applyAlignment="1" pivotButton="0" quotePrefix="0" xfId="10">
      <alignment horizontal="center" vertical="center"/>
    </xf>
    <xf numFmtId="0" fontId="39" fillId="0" borderId="95" pivotButton="0" quotePrefix="0" xfId="11"/>
    <xf numFmtId="0" fontId="39" fillId="0" borderId="95" applyAlignment="1" pivotButton="0" quotePrefix="0" xfId="11">
      <alignment horizontal="center" vertical="center"/>
    </xf>
    <xf numFmtId="0" fontId="41" fillId="18" borderId="0" pivotButton="0" quotePrefix="0" xfId="0"/>
    <xf numFmtId="0" fontId="44" fillId="18" borderId="0" applyAlignment="1" pivotButton="0" quotePrefix="0" xfId="0">
      <alignment horizontal="center" vertical="center"/>
    </xf>
    <xf numFmtId="0" fontId="48" fillId="18" borderId="0" applyAlignment="1" pivotButton="0" quotePrefix="0" xfId="0">
      <alignment horizontal="left" vertical="center"/>
    </xf>
    <xf numFmtId="0" fontId="49" fillId="18" borderId="0" applyAlignment="1" pivotButton="0" quotePrefix="0" xfId="0">
      <alignment horizontal="left" vertical="center"/>
    </xf>
    <xf numFmtId="0" fontId="50" fillId="18" borderId="0" applyAlignment="1" pivotButton="0" quotePrefix="0" xfId="0">
      <alignment vertical="center"/>
    </xf>
    <xf numFmtId="0" fontId="41" fillId="18" borderId="0" applyAlignment="1" pivotButton="0" quotePrefix="0" xfId="0">
      <alignment horizontal="center"/>
    </xf>
    <xf numFmtId="0" fontId="42" fillId="12" borderId="0" pivotButton="0" quotePrefix="0" xfId="0"/>
    <xf numFmtId="0" fontId="52" fillId="12" borderId="0" applyAlignment="1" pivotButton="0" quotePrefix="0" xfId="0">
      <alignment horizontal="center" vertical="center"/>
    </xf>
    <xf numFmtId="0" fontId="53" fillId="12" borderId="0" applyAlignment="1" pivotButton="0" quotePrefix="0" xfId="0">
      <alignment horizontal="center" vertical="center"/>
    </xf>
    <xf numFmtId="0" fontId="40" fillId="13" borderId="0" applyAlignment="1" pivotButton="0" quotePrefix="0" xfId="0">
      <alignment horizontal="left" vertical="center"/>
    </xf>
    <xf numFmtId="0" fontId="40" fillId="14" borderId="0" applyAlignment="1" pivotButton="0" quotePrefix="0" xfId="0">
      <alignment horizontal="center" vertical="center"/>
    </xf>
    <xf numFmtId="0" fontId="55" fillId="16" borderId="113" applyAlignment="1" pivotButton="0" quotePrefix="0" xfId="0">
      <alignment horizontal="center" vertical="center"/>
    </xf>
    <xf numFmtId="0" fontId="55" fillId="16" borderId="114" applyAlignment="1" pivotButton="0" quotePrefix="0" xfId="0">
      <alignment horizontal="center" vertical="center"/>
    </xf>
    <xf numFmtId="0" fontId="57" fillId="17" borderId="114" applyAlignment="1" pivotButton="0" quotePrefix="0" xfId="0">
      <alignment horizontal="center" vertical="center"/>
    </xf>
    <xf numFmtId="0" fontId="41" fillId="6" borderId="0" pivotButton="0" quotePrefix="0" xfId="0"/>
    <xf numFmtId="0" fontId="51" fillId="18" borderId="0" applyAlignment="1" pivotButton="0" quotePrefix="0" xfId="0">
      <alignment vertical="center"/>
    </xf>
    <xf numFmtId="0" fontId="41" fillId="18" borderId="0" pivotButton="0" quotePrefix="0" xfId="0"/>
    <xf numFmtId="0" fontId="45" fillId="18" borderId="0" applyAlignment="1" pivotButton="0" quotePrefix="0" xfId="0">
      <alignment vertical="center"/>
    </xf>
    <xf numFmtId="0" fontId="46" fillId="18" borderId="0" pivotButton="0" quotePrefix="0" xfId="0"/>
    <xf numFmtId="0" fontId="56" fillId="21" borderId="116" applyAlignment="1" pivotButton="0" quotePrefix="0" xfId="0">
      <alignment horizontal="left" vertical="center"/>
    </xf>
    <xf numFmtId="0" fontId="56" fillId="7" borderId="116" applyAlignment="1" pivotButton="0" quotePrefix="0" xfId="0">
      <alignment horizontal="left" vertical="center"/>
    </xf>
    <xf numFmtId="0" fontId="56" fillId="21" borderId="117" applyAlignment="1" pivotButton="0" quotePrefix="0" xfId="0">
      <alignment horizontal="left" vertical="center"/>
    </xf>
    <xf numFmtId="0" fontId="49" fillId="18" borderId="119" applyAlignment="1" pivotButton="0" quotePrefix="0" xfId="0">
      <alignment vertical="center"/>
    </xf>
    <xf numFmtId="0" fontId="56" fillId="7" borderId="17" applyAlignment="1" pivotButton="0" quotePrefix="0" xfId="0">
      <alignment vertical="center"/>
    </xf>
    <xf numFmtId="0" fontId="46" fillId="18" borderId="121" pivotButton="0" quotePrefix="0" xfId="0"/>
    <xf numFmtId="0" fontId="56" fillId="7" borderId="119" applyAlignment="1" pivotButton="0" quotePrefix="0" xfId="0">
      <alignment vertical="center"/>
    </xf>
    <xf numFmtId="0" fontId="55" fillId="16" borderId="122" applyAlignment="1" pivotButton="0" quotePrefix="0" xfId="0">
      <alignment horizontal="center" vertical="center"/>
    </xf>
    <xf numFmtId="0" fontId="48" fillId="18" borderId="119" applyAlignment="1" pivotButton="0" quotePrefix="0" xfId="0">
      <alignment horizontal="left" vertical="center"/>
    </xf>
    <xf numFmtId="0" fontId="55" fillId="16" borderId="123" applyAlignment="1" pivotButton="0" quotePrefix="0" xfId="0">
      <alignment horizontal="center" vertical="center"/>
    </xf>
    <xf numFmtId="0" fontId="41" fillId="18" borderId="119" pivotButton="0" quotePrefix="0" xfId="0"/>
    <xf numFmtId="0" fontId="41" fillId="18" borderId="124" pivotButton="0" quotePrefix="0" xfId="0"/>
    <xf numFmtId="0" fontId="41" fillId="18" borderId="125" pivotButton="0" quotePrefix="0" xfId="0"/>
    <xf numFmtId="0" fontId="48" fillId="18" borderId="121" applyAlignment="1" pivotButton="0" quotePrefix="0" xfId="0">
      <alignment horizontal="left" vertical="center"/>
    </xf>
    <xf numFmtId="0" fontId="41" fillId="18" borderId="126" pivotButton="0" quotePrefix="0" xfId="0"/>
    <xf numFmtId="0" fontId="41" fillId="18" borderId="127" pivotButton="0" quotePrefix="0" xfId="0"/>
    <xf numFmtId="0" fontId="40" fillId="12" borderId="131" applyAlignment="1" pivotButton="0" quotePrefix="0" xfId="0">
      <alignment horizontal="left" vertical="center"/>
    </xf>
    <xf numFmtId="0" fontId="40" fillId="12" borderId="132" applyAlignment="1" pivotButton="0" quotePrefix="0" xfId="0">
      <alignment horizontal="left" vertical="center"/>
    </xf>
    <xf numFmtId="0" fontId="40" fillId="12" borderId="133" applyAlignment="1" pivotButton="0" quotePrefix="0" xfId="0">
      <alignment horizontal="left" vertical="center"/>
    </xf>
    <xf numFmtId="0" fontId="41" fillId="18" borderId="118" pivotButton="0" quotePrefix="0" xfId="0"/>
    <xf numFmtId="0" fontId="43" fillId="19" borderId="134" applyAlignment="1" pivotButton="0" quotePrefix="0" xfId="0">
      <alignment horizontal="center" vertical="center"/>
    </xf>
    <xf numFmtId="0" fontId="47" fillId="20" borderId="135" applyAlignment="1" pivotButton="0" quotePrefix="0" xfId="0">
      <alignment horizontal="center" vertical="center"/>
    </xf>
    <xf numFmtId="0" fontId="47" fillId="20" borderId="118" applyAlignment="1" pivotButton="0" quotePrefix="0" xfId="0">
      <alignment horizontal="left" vertical="center"/>
    </xf>
    <xf numFmtId="0" fontId="41" fillId="18" borderId="118" pivotButton="0" quotePrefix="0" xfId="0"/>
    <xf numFmtId="0" fontId="50" fillId="18" borderId="118" applyAlignment="1" pivotButton="0" quotePrefix="0" xfId="0">
      <alignment vertical="center"/>
    </xf>
    <xf numFmtId="0" fontId="58" fillId="12" borderId="0" applyAlignment="1" pivotButton="0" quotePrefix="0" xfId="0">
      <alignment horizontal="center" vertical="center"/>
    </xf>
    <xf numFmtId="0" fontId="41" fillId="18" borderId="136" pivotButton="0" quotePrefix="0" xfId="0"/>
    <xf numFmtId="0" fontId="40" fillId="15" borderId="137" applyAlignment="1" pivotButton="0" quotePrefix="0" xfId="0">
      <alignment horizontal="center" vertical="center"/>
    </xf>
    <xf numFmtId="0" fontId="13" fillId="0" borderId="61" applyAlignment="1" pivotButton="0" quotePrefix="0" xfId="0">
      <alignment vertical="center"/>
    </xf>
    <xf numFmtId="0" fontId="0" fillId="0" borderId="79" pivotButton="0" quotePrefix="0" xfId="0"/>
    <xf numFmtId="0" fontId="0" fillId="0" borderId="80" pivotButton="0" quotePrefix="0" xfId="0"/>
    <xf numFmtId="0" fontId="16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12" fillId="0" borderId="41" applyAlignment="1" pivotButton="0" quotePrefix="0" xfId="0">
      <alignment horizontal="left" vertical="center"/>
    </xf>
    <xf numFmtId="0" fontId="0" fillId="0" borderId="83" pivotButton="0" quotePrefix="0" xfId="0"/>
    <xf numFmtId="0" fontId="0" fillId="0" borderId="86" pivotButton="0" quotePrefix="0" xfId="0"/>
    <xf numFmtId="0" fontId="15" fillId="0" borderId="49" applyAlignment="1" pivotButton="0" quotePrefix="0" xfId="0">
      <alignment horizontal="right" vertical="center"/>
    </xf>
    <xf numFmtId="0" fontId="0" fillId="0" borderId="24" pivotButton="0" quotePrefix="0" xfId="0"/>
    <xf numFmtId="0" fontId="16" fillId="0" borderId="12" applyAlignment="1" pivotButton="0" quotePrefix="0" xfId="0">
      <alignment horizontal="center" vertical="center"/>
    </xf>
    <xf numFmtId="0" fontId="0" fillId="0" borderId="12" pivotButton="0" quotePrefix="0" xfId="0"/>
    <xf numFmtId="0" fontId="16" fillId="0" borderId="54" applyAlignment="1" pivotButton="0" quotePrefix="0" xfId="0">
      <alignment horizontal="center" vertical="center"/>
    </xf>
    <xf numFmtId="0" fontId="15" fillId="0" borderId="55" applyAlignment="1" pivotButton="0" quotePrefix="0" xfId="0">
      <alignment horizontal="right" vertical="center"/>
    </xf>
    <xf numFmtId="0" fontId="15" fillId="0" borderId="53" applyAlignment="1" pivotButton="0" quotePrefix="0" xfId="0">
      <alignment horizontal="right" vertical="center"/>
    </xf>
    <xf numFmtId="0" fontId="16" fillId="0" borderId="23" applyAlignment="1" pivotButton="0" quotePrefix="0" xfId="0">
      <alignment horizontal="center" vertical="center"/>
    </xf>
    <xf numFmtId="0" fontId="13" fillId="0" borderId="60" applyAlignment="1" pivotButton="0" quotePrefix="0" xfId="0">
      <alignment vertical="center"/>
    </xf>
    <xf numFmtId="0" fontId="13" fillId="0" borderId="63" applyAlignment="1" pivotButton="0" quotePrefix="0" xfId="0">
      <alignment vertical="center"/>
    </xf>
    <xf numFmtId="0" fontId="0" fillId="0" borderId="84" pivotButton="0" quotePrefix="0" xfId="0"/>
    <xf numFmtId="0" fontId="0" fillId="0" borderId="85" pivotButton="0" quotePrefix="0" xfId="0"/>
    <xf numFmtId="0" fontId="0" fillId="0" borderId="93" pivotButton="0" quotePrefix="0" xfId="0"/>
    <xf numFmtId="0" fontId="13" fillId="0" borderId="50" applyAlignment="1" pivotButton="0" quotePrefix="0" xfId="0">
      <alignment vertical="center"/>
    </xf>
    <xf numFmtId="0" fontId="0" fillId="0" borderId="87" pivotButton="0" quotePrefix="0" xfId="0"/>
    <xf numFmtId="0" fontId="0" fillId="0" borderId="52" pivotButton="0" quotePrefix="0" xfId="0"/>
    <xf numFmtId="0" fontId="16" fillId="0" borderId="35" applyAlignment="1" pivotButton="0" quotePrefix="0" xfId="0">
      <alignment horizontal="center" vertical="center"/>
    </xf>
    <xf numFmtId="0" fontId="0" fillId="0" borderId="92" pivotButton="0" quotePrefix="0" xfId="0"/>
    <xf numFmtId="0" fontId="0" fillId="0" borderId="51" pivotButton="0" quotePrefix="0" xfId="0"/>
    <xf numFmtId="0" fontId="12" fillId="0" borderId="4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90" pivotButton="0" quotePrefix="0" xfId="0"/>
    <xf numFmtId="0" fontId="16" fillId="0" borderId="24" applyAlignment="1" pivotButton="0" quotePrefix="0" xfId="0">
      <alignment horizontal="center" vertical="center"/>
    </xf>
    <xf numFmtId="0" fontId="13" fillId="0" borderId="70" applyAlignment="1" pivotButton="0" quotePrefix="0" xfId="0">
      <alignment horizontal="left"/>
    </xf>
    <xf numFmtId="0" fontId="0" fillId="0" borderId="19" pivotButton="0" quotePrefix="0" xfId="0"/>
    <xf numFmtId="0" fontId="0" fillId="0" borderId="34" pivotButton="0" quotePrefix="0" xfId="0"/>
    <xf numFmtId="0" fontId="13" fillId="0" borderId="62" applyAlignment="1" pivotButton="0" quotePrefix="0" xfId="0">
      <alignment vertical="center"/>
    </xf>
    <xf numFmtId="0" fontId="0" fillId="0" borderId="81" pivotButton="0" quotePrefix="0" xfId="0"/>
    <xf numFmtId="0" fontId="0" fillId="0" borderId="82" pivotButton="0" quotePrefix="0" xfId="0"/>
    <xf numFmtId="0" fontId="20" fillId="0" borderId="74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76" pivotButton="0" quotePrefix="0" xfId="0"/>
    <xf numFmtId="0" fontId="0" fillId="0" borderId="3" pivotButton="0" quotePrefix="0" xfId="0"/>
    <xf numFmtId="0" fontId="0" fillId="0" borderId="78" pivotButton="0" quotePrefix="0" xfId="0"/>
    <xf numFmtId="0" fontId="0" fillId="0" borderId="48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88" pivotButton="0" quotePrefix="0" xfId="0"/>
    <xf numFmtId="0" fontId="0" fillId="0" borderId="89" pivotButton="0" quotePrefix="0" xfId="0"/>
    <xf numFmtId="0" fontId="12" fillId="0" borderId="20" applyAlignment="1" pivotButton="0" quotePrefix="0" xfId="0">
      <alignment horizontal="center"/>
    </xf>
    <xf numFmtId="0" fontId="0" fillId="0" borderId="20" pivotButton="0" quotePrefix="0" xfId="0"/>
    <xf numFmtId="0" fontId="12" fillId="0" borderId="0" pivotButton="0" quotePrefix="0" xfId="0"/>
    <xf numFmtId="0" fontId="0" fillId="0" borderId="29" pivotButton="0" quotePrefix="0" xfId="0"/>
    <xf numFmtId="0" fontId="13" fillId="0" borderId="71" applyAlignment="1" pivotButton="0" quotePrefix="0" xfId="0">
      <alignment horizontal="left"/>
    </xf>
    <xf numFmtId="0" fontId="0" fillId="0" borderId="13" pivotButton="0" quotePrefix="0" xfId="0"/>
    <xf numFmtId="0" fontId="0" fillId="0" borderId="27" pivotButton="0" quotePrefix="0" xfId="0"/>
    <xf numFmtId="0" fontId="11" fillId="0" borderId="36" applyAlignment="1" pivotButton="0" quotePrefix="0" xfId="0">
      <alignment horizontal="left" wrapText="1"/>
    </xf>
    <xf numFmtId="0" fontId="0" fillId="0" borderId="28" pivotButton="0" quotePrefix="0" xfId="0"/>
    <xf numFmtId="0" fontId="0" fillId="0" borderId="11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7" pivotButton="0" quotePrefix="0" xfId="0"/>
    <xf numFmtId="0" fontId="14" fillId="0" borderId="73" applyAlignment="1" pivotButton="0" quotePrefix="0" xfId="0">
      <alignment horizontal="center" vertical="center"/>
    </xf>
    <xf numFmtId="0" fontId="12" fillId="0" borderId="43" applyAlignment="1" pivotButton="0" quotePrefix="0" xfId="0">
      <alignment horizontal="left" vertical="center"/>
    </xf>
    <xf numFmtId="0" fontId="0" fillId="0" borderId="91" pivotButton="0" quotePrefix="0" xfId="0"/>
    <xf numFmtId="0" fontId="11" fillId="0" borderId="72" applyAlignment="1" pivotButton="0" quotePrefix="1" xfId="0">
      <alignment horizontal="center"/>
    </xf>
    <xf numFmtId="0" fontId="16" fillId="0" borderId="33" applyAlignment="1" pivotButton="0" quotePrefix="0" xfId="0">
      <alignment horizontal="center"/>
    </xf>
    <xf numFmtId="0" fontId="11" fillId="0" borderId="54" applyAlignment="1" pivotButton="0" quotePrefix="0" xfId="0">
      <alignment horizontal="center"/>
    </xf>
    <xf numFmtId="0" fontId="12" fillId="0" borderId="69" applyAlignment="1" pivotButton="0" quotePrefix="0" xfId="0">
      <alignment horizontal="center" vertical="center"/>
    </xf>
    <xf numFmtId="0" fontId="13" fillId="0" borderId="9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16" fillId="0" borderId="51" applyAlignment="1" pivotButton="0" quotePrefix="0" xfId="0">
      <alignment horizontal="center" vertical="center"/>
    </xf>
    <xf numFmtId="0" fontId="16" fillId="0" borderId="50" applyAlignment="1" pivotButton="0" quotePrefix="0" xfId="0">
      <alignment horizontal="center" vertical="center"/>
    </xf>
    <xf numFmtId="0" fontId="16" fillId="0" borderId="52" applyAlignment="1" pivotButton="0" quotePrefix="0" xfId="0">
      <alignment horizontal="center" vertical="center"/>
    </xf>
    <xf numFmtId="0" fontId="13" fillId="0" borderId="23" applyAlignment="1" pivotButton="0" quotePrefix="0" xfId="0">
      <alignment vertical="center"/>
    </xf>
    <xf numFmtId="0" fontId="15" fillId="0" borderId="36" applyAlignment="1" pivotButton="0" quotePrefix="0" xfId="0">
      <alignment horizontal="right" vertical="center"/>
    </xf>
    <xf numFmtId="0" fontId="16" fillId="0" borderId="26" applyAlignment="1" pivotButton="0" quotePrefix="0" xfId="0">
      <alignment horizontal="center" vertical="center"/>
    </xf>
    <xf numFmtId="0" fontId="5" fillId="7" borderId="95" applyAlignment="1" pivotButton="0" quotePrefix="0" xfId="1">
      <alignment horizontal="center"/>
    </xf>
    <xf numFmtId="0" fontId="0" fillId="0" borderId="14" pivotButton="0" quotePrefix="0" xfId="0"/>
    <xf numFmtId="0" fontId="0" fillId="0" borderId="1" pivotButton="0" quotePrefix="0" xfId="0"/>
    <xf numFmtId="164" fontId="4" fillId="0" borderId="0" pivotButton="0" quotePrefix="0" xfId="1"/>
    <xf numFmtId="0" fontId="4" fillId="0" borderId="0" pivotButton="0" quotePrefix="0" xfId="1"/>
    <xf numFmtId="0" fontId="5" fillId="8" borderId="95" applyAlignment="1" pivotButton="0" quotePrefix="0" xfId="1">
      <alignment horizontal="center"/>
    </xf>
    <xf numFmtId="0" fontId="5" fillId="6" borderId="95" applyAlignment="1" pivotButton="0" quotePrefix="0" xfId="1">
      <alignment horizontal="center"/>
    </xf>
    <xf numFmtId="0" fontId="5" fillId="3" borderId="95" applyAlignment="1" pivotButton="0" quotePrefix="0" xfId="1">
      <alignment horizontal="center"/>
    </xf>
    <xf numFmtId="0" fontId="4" fillId="0" borderId="3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center"/>
    </xf>
    <xf numFmtId="165" fontId="4" fillId="0" borderId="0" pivotButton="0" quotePrefix="0" xfId="1"/>
    <xf numFmtId="0" fontId="4" fillId="0" borderId="17" applyAlignment="1" pivotButton="0" quotePrefix="0" xfId="1">
      <alignment horizontal="center" vertical="top"/>
    </xf>
    <xf numFmtId="0" fontId="0" fillId="0" borderId="9" pivotButton="0" quotePrefix="0" xfId="0"/>
    <xf numFmtId="0" fontId="0" fillId="0" borderId="10" pivotButton="0" quotePrefix="0" xfId="0"/>
    <xf numFmtId="0" fontId="19" fillId="2" borderId="95" applyAlignment="1" pivotButton="0" quotePrefix="0" xfId="1">
      <alignment horizontal="center" vertical="center" wrapText="1"/>
    </xf>
    <xf numFmtId="0" fontId="0" fillId="0" borderId="18" pivotButton="0" quotePrefix="0" xfId="0"/>
    <xf numFmtId="0" fontId="0" fillId="0" borderId="59" pivotButton="0" quotePrefix="0" xfId="0"/>
    <xf numFmtId="0" fontId="10" fillId="0" borderId="95" applyAlignment="1" pivotButton="0" quotePrefix="0" xfId="1">
      <alignment horizontal="left" vertical="center" wrapText="1"/>
    </xf>
    <xf numFmtId="0" fontId="0" fillId="0" borderId="4" pivotButton="0" quotePrefix="0" xfId="0"/>
    <xf numFmtId="0" fontId="4" fillId="0" borderId="0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0" fillId="0" borderId="5" pivotButton="0" quotePrefix="0" xfId="0"/>
    <xf numFmtId="0" fontId="10" fillId="0" borderId="1" applyAlignment="1" pivotButton="0" quotePrefix="0" xfId="1">
      <alignment horizontal="center" vertical="center" wrapText="1"/>
    </xf>
    <xf numFmtId="0" fontId="17" fillId="2" borderId="18" applyAlignment="1" pivotButton="0" quotePrefix="0" xfId="1">
      <alignment horizontal="center" vertical="center" wrapText="1"/>
    </xf>
    <xf numFmtId="0" fontId="17" fillId="2" borderId="59" applyAlignment="1" pivotButton="0" quotePrefix="0" xfId="1">
      <alignment horizontal="center" vertical="center" wrapText="1"/>
    </xf>
    <xf numFmtId="0" fontId="32" fillId="9" borderId="111" applyAlignment="1" pivotButton="0" quotePrefix="0" xfId="10">
      <alignment horizontal="center" vertical="center" wrapText="1"/>
    </xf>
    <xf numFmtId="0" fontId="32" fillId="9" borderId="19" applyAlignment="1" pivotButton="0" quotePrefix="0" xfId="10">
      <alignment horizontal="center" vertical="center" wrapText="1"/>
    </xf>
    <xf numFmtId="0" fontId="32" fillId="9" borderId="20" applyAlignment="1" pivotButton="0" quotePrefix="0" xfId="10">
      <alignment horizontal="center" vertical="center" wrapText="1"/>
    </xf>
    <xf numFmtId="0" fontId="32" fillId="9" borderId="76" applyAlignment="1" pivotButton="0" quotePrefix="0" xfId="10">
      <alignment horizontal="center" vertical="center" wrapText="1"/>
    </xf>
    <xf numFmtId="0" fontId="32" fillId="9" borderId="0" applyAlignment="1" pivotButton="0" quotePrefix="0" xfId="10">
      <alignment horizontal="center" vertical="center" wrapText="1"/>
    </xf>
    <xf numFmtId="0" fontId="32" fillId="9" borderId="29" applyAlignment="1" pivotButton="0" quotePrefix="0" xfId="10">
      <alignment horizontal="center" vertical="center" wrapText="1"/>
    </xf>
    <xf numFmtId="0" fontId="32" fillId="9" borderId="78" applyAlignment="1" pivotButton="0" quotePrefix="0" xfId="10">
      <alignment horizontal="center" vertical="center" wrapText="1"/>
    </xf>
    <xf numFmtId="0" fontId="32" fillId="9" borderId="31" applyAlignment="1" pivotButton="0" quotePrefix="0" xfId="10">
      <alignment horizontal="center" vertical="center" wrapText="1"/>
    </xf>
    <xf numFmtId="0" fontId="32" fillId="9" borderId="32" applyAlignment="1" pivotButton="0" quotePrefix="0" xfId="10">
      <alignment horizontal="center" vertical="center" wrapText="1"/>
    </xf>
    <xf numFmtId="0" fontId="32" fillId="9" borderId="75" applyAlignment="1" pivotButton="0" quotePrefix="0" xfId="10">
      <alignment horizontal="center" vertical="center" wrapText="1"/>
    </xf>
    <xf numFmtId="0" fontId="32" fillId="9" borderId="77" applyAlignment="1" pivotButton="0" quotePrefix="0" xfId="10">
      <alignment horizontal="center" vertical="center" wrapText="1"/>
    </xf>
    <xf numFmtId="0" fontId="32" fillId="9" borderId="3" applyAlignment="1" pivotButton="0" quotePrefix="0" xfId="10">
      <alignment horizontal="center" vertical="center" wrapText="1"/>
    </xf>
    <xf numFmtId="0" fontId="32" fillId="9" borderId="99" applyAlignment="1" pivotButton="0" quotePrefix="0" xfId="10">
      <alignment horizontal="center" vertical="center" wrapText="1"/>
    </xf>
    <xf numFmtId="0" fontId="32" fillId="9" borderId="5" applyAlignment="1" pivotButton="0" quotePrefix="0" xfId="10">
      <alignment horizontal="center" vertical="center" wrapText="1"/>
    </xf>
    <xf numFmtId="0" fontId="51" fillId="18" borderId="120" applyAlignment="1" pivotButton="0" quotePrefix="0" xfId="0">
      <alignment horizontal="center" vertical="center"/>
    </xf>
    <xf numFmtId="0" fontId="51" fillId="18" borderId="126" applyAlignment="1" pivotButton="0" quotePrefix="0" xfId="0">
      <alignment horizontal="center" vertical="center"/>
    </xf>
    <xf numFmtId="0" fontId="50" fillId="14" borderId="0" applyAlignment="1" pivotButton="0" quotePrefix="0" xfId="0">
      <alignment horizontal="center" vertical="center"/>
    </xf>
    <xf numFmtId="0" fontId="50" fillId="14" borderId="118" applyAlignment="1" pivotButton="0" quotePrefix="0" xfId="0">
      <alignment horizontal="center" vertical="center"/>
    </xf>
    <xf numFmtId="0" fontId="51" fillId="18" borderId="128" applyAlignment="1" pivotButton="0" quotePrefix="0" xfId="0">
      <alignment horizontal="center" vertical="center"/>
    </xf>
    <xf numFmtId="0" fontId="51" fillId="18" borderId="129" applyAlignment="1" pivotButton="0" quotePrefix="0" xfId="0">
      <alignment horizontal="center" vertical="center"/>
    </xf>
    <xf numFmtId="0" fontId="51" fillId="18" borderId="130" applyAlignment="1" pivotButton="0" quotePrefix="0" xfId="0">
      <alignment horizontal="center" vertical="center"/>
    </xf>
    <xf numFmtId="0" fontId="50" fillId="18" borderId="0" applyAlignment="1" pivotButton="0" quotePrefix="0" xfId="0">
      <alignment horizontal="center" vertical="center"/>
    </xf>
    <xf numFmtId="0" fontId="54" fillId="12" borderId="0" applyAlignment="1" pivotButton="0" quotePrefix="0" xfId="0">
      <alignment horizontal="center" vertical="center"/>
    </xf>
    <xf numFmtId="0" fontId="54" fillId="12" borderId="115" applyAlignment="1" pivotButton="0" quotePrefix="0" xfId="0">
      <alignment horizontal="center" vertical="center"/>
    </xf>
    <xf numFmtId="0" fontId="24" fillId="0" borderId="14" applyAlignment="1" pivotButton="0" quotePrefix="0" xfId="7">
      <alignment horizontal="center" vertical="center" wrapText="1"/>
    </xf>
    <xf numFmtId="0" fontId="27" fillId="0" borderId="103" applyAlignment="1" pivotButton="0" quotePrefix="0" xfId="7">
      <alignment horizontal="left" vertical="center" wrapText="1"/>
    </xf>
    <xf numFmtId="0" fontId="0" fillId="0" borderId="101" pivotButton="0" quotePrefix="0" xfId="0"/>
    <xf numFmtId="0" fontId="0" fillId="0" borderId="104" pivotButton="0" quotePrefix="0" xfId="0"/>
    <xf numFmtId="0" fontId="27" fillId="0" borderId="103" applyAlignment="1" pivotButton="0" quotePrefix="0" xfId="7">
      <alignment horizontal="center" vertical="center" wrapText="1"/>
    </xf>
    <xf numFmtId="0" fontId="24" fillId="0" borderId="2" applyAlignment="1" pivotButton="0" quotePrefix="0" xfId="8">
      <alignment horizontal="center" vertical="center" wrapText="1"/>
    </xf>
    <xf numFmtId="0" fontId="27" fillId="0" borderId="18" applyAlignment="1" pivotButton="0" quotePrefix="0" xfId="7">
      <alignment horizontal="center" vertical="center"/>
    </xf>
    <xf numFmtId="0" fontId="4" fillId="0" borderId="0" pivotButton="0" quotePrefix="0" xfId="7"/>
    <xf numFmtId="0" fontId="24" fillId="0" borderId="14" applyAlignment="1" pivotButton="0" quotePrefix="0" xfId="7">
      <alignment horizontal="center" vertical="center"/>
    </xf>
    <xf numFmtId="0" fontId="3" fillId="11" borderId="95" applyAlignment="1" pivotButton="0" quotePrefix="0" xfId="8">
      <alignment horizontal="left" vertical="center" wrapText="1"/>
    </xf>
    <xf numFmtId="0" fontId="27" fillId="10" borderId="67" applyAlignment="1" pivotButton="0" quotePrefix="0" xfId="7">
      <alignment horizontal="center" vertical="center"/>
    </xf>
    <xf numFmtId="0" fontId="0" fillId="0" borderId="102" pivotButton="0" quotePrefix="0" xfId="0"/>
    <xf numFmtId="0" fontId="24" fillId="0" borderId="0" applyAlignment="1" pivotButton="0" quotePrefix="0" xfId="7">
      <alignment horizontal="center" vertical="center"/>
    </xf>
    <xf numFmtId="0" fontId="27" fillId="10" borderId="95" applyAlignment="1" pivotButton="0" quotePrefix="0" xfId="8">
      <alignment horizontal="center" vertical="center" wrapText="1"/>
    </xf>
    <xf numFmtId="0" fontId="27" fillId="0" borderId="17" applyAlignment="1" pivotButton="0" quotePrefix="0" xfId="7">
      <alignment horizontal="center" vertical="center"/>
    </xf>
    <xf numFmtId="0" fontId="24" fillId="0" borderId="9" applyAlignment="1" pivotButton="0" quotePrefix="0" xfId="7">
      <alignment horizontal="center" vertical="center" wrapText="1"/>
    </xf>
    <xf numFmtId="0" fontId="24" fillId="0" borderId="2" applyAlignment="1" pivotButton="0" quotePrefix="0" xfId="7">
      <alignment horizontal="center" vertical="center"/>
    </xf>
    <xf numFmtId="0" fontId="3" fillId="0" borderId="67" applyAlignment="1" pivotButton="0" quotePrefix="0" xfId="7">
      <alignment horizontal="center" vertical="center"/>
    </xf>
    <xf numFmtId="0" fontId="27" fillId="0" borderId="59" applyAlignment="1" pivotButton="0" quotePrefix="0" xfId="7">
      <alignment horizontal="center" vertical="center"/>
    </xf>
    <xf numFmtId="0" fontId="27" fillId="10" borderId="17" applyAlignment="1" pivotButton="0" quotePrefix="0" xfId="7">
      <alignment horizontal="center" vertical="center"/>
    </xf>
    <xf numFmtId="14" fontId="3" fillId="0" borderId="67" applyAlignment="1" pivotButton="0" quotePrefix="1" xfId="7">
      <alignment horizontal="center" vertical="center" wrapText="1"/>
    </xf>
    <xf numFmtId="0" fontId="1" fillId="0" borderId="96" applyAlignment="1" pivotButton="0" quotePrefix="0" xfId="7">
      <alignment horizontal="center" vertical="center" wrapText="1"/>
    </xf>
    <xf numFmtId="0" fontId="0" fillId="0" borderId="97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65" pivotButton="0" quotePrefix="0" xfId="0"/>
    <xf numFmtId="0" fontId="25" fillId="10" borderId="67" applyAlignment="1" pivotButton="0" quotePrefix="0" xfId="7">
      <alignment horizontal="center" vertical="center"/>
    </xf>
    <xf numFmtId="0" fontId="27" fillId="11" borderId="95" applyAlignment="1" pivotButton="0" quotePrefix="0" xfId="7">
      <alignment horizontal="center" vertical="center"/>
    </xf>
    <xf numFmtId="0" fontId="3" fillId="0" borderId="67" applyAlignment="1" pivotButton="0" quotePrefix="1" xfId="7">
      <alignment horizontal="center" vertical="center" wrapText="1"/>
    </xf>
    <xf numFmtId="0" fontId="27" fillId="11" borderId="67" applyAlignment="1" pivotButton="0" quotePrefix="0" xfId="7">
      <alignment horizontal="center" vertical="center"/>
    </xf>
    <xf numFmtId="0" fontId="23" fillId="0" borderId="100" applyAlignment="1" pivotButton="0" quotePrefix="0" xfId="7">
      <alignment horizontal="center" vertical="center" wrapText="1"/>
    </xf>
    <xf numFmtId="0" fontId="0" fillId="0" borderId="75" pivotButton="0" quotePrefix="0" xfId="0"/>
    <xf numFmtId="0" fontId="0" fillId="0" borderId="64" pivotButton="0" quotePrefix="0" xfId="0"/>
    <xf numFmtId="0" fontId="0" fillId="0" borderId="66" pivotButton="0" quotePrefix="0" xfId="0"/>
    <xf numFmtId="0" fontId="32" fillId="9" borderId="142" applyAlignment="1" pivotButton="0" quotePrefix="0" xfId="10">
      <alignment horizontal="center" vertical="center" wrapText="1"/>
    </xf>
    <xf numFmtId="0" fontId="0" fillId="0" borderId="143" pivotButton="0" quotePrefix="0" xfId="0"/>
    <xf numFmtId="0" fontId="0" fillId="0" borderId="144" pivotButton="0" quotePrefix="0" xfId="0"/>
    <xf numFmtId="0" fontId="32" fillId="9" borderId="145" applyAlignment="1" pivotButton="0" quotePrefix="0" xfId="10">
      <alignment horizontal="center" vertical="center" wrapText="1"/>
    </xf>
    <xf numFmtId="0" fontId="0" fillId="0" borderId="32" pivotButton="0" quotePrefix="0" xfId="0"/>
    <xf numFmtId="0" fontId="0" fillId="0" borderId="115" pivotButton="0" quotePrefix="0" xfId="0"/>
    <xf numFmtId="0" fontId="0" fillId="0" borderId="118" pivotButton="0" quotePrefix="0" xfId="0"/>
    <xf numFmtId="0" fontId="51" fillId="18" borderId="146" applyAlignment="1" pivotButton="0" quotePrefix="0" xfId="0">
      <alignment horizontal="center" vertical="center"/>
    </xf>
    <xf numFmtId="0" fontId="0" fillId="0" borderId="129" pivotButton="0" quotePrefix="0" xfId="0"/>
    <xf numFmtId="0" fontId="0" fillId="0" borderId="130" pivotButton="0" quotePrefix="0" xfId="0"/>
    <xf numFmtId="0" fontId="0" fillId="0" borderId="126" pivotButton="0" quotePrefix="0" xfId="0"/>
  </cellXfs>
  <cellStyles count="12">
    <cellStyle name="Normal" xfId="0" builtinId="0"/>
    <cellStyle name="Normal 3" xfId="1"/>
    <cellStyle name="Normal 2 2 2" xfId="2"/>
    <cellStyle name="Normal 4" xfId="3"/>
    <cellStyle name="Énfasis1 2" xfId="4"/>
    <cellStyle name="Énfasis2 2" xfId="5"/>
    <cellStyle name="Normal 2" xfId="6"/>
    <cellStyle name="Normal_PE-G-607_Formato_Excel_Rev_0" xfId="7"/>
    <cellStyle name="Normal 5" xfId="8"/>
    <cellStyle name="Hiperlink" xfId="9" builtinId="8"/>
    <cellStyle name="Normal 6" xfId="10"/>
    <cellStyle name="Normal 2 2" xfId="11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drawing1.xml><?xml version="1.0" encoding="utf-8"?>
<wsDr xmlns="http://schemas.openxmlformats.org/drawingml/2006/spreadsheetDrawing">
  <twoCellAnchor editAs="oneCell">
    <from>
      <col>8</col>
      <colOff>104732</colOff>
      <row>0</row>
      <rowOff>123265</rowOff>
    </from>
    <to>
      <col>11</col>
      <colOff>473779</colOff>
      <row>3</row>
      <rowOff>112395</rowOff>
    </to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95707" y="123265"/>
          <a:ext cx="1616822" cy="4844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473320</colOff>
      <row>0</row>
      <rowOff>36634</rowOff>
    </from>
    <to>
      <col>11</col>
      <colOff>585080</colOff>
      <row>3</row>
      <rowOff>159726</rowOff>
    </to>
    <pic>
      <nvPicPr>
        <cNvPr id="3" name="Imagem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966070" y="36634"/>
          <a:ext cx="111760" cy="61839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7</col>
      <colOff>224118</colOff>
      <row>0</row>
      <rowOff>179295</rowOff>
    </from>
    <to>
      <col>9</col>
      <colOff>667220</colOff>
      <row>3</row>
      <rowOff>18364</rowOff>
    </to>
    <pic>
      <nvPicPr>
        <cNvPr id="3" name="Imagem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987118" y="179295"/>
          <a:ext cx="1619721" cy="4778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739588</colOff>
      <row>0</row>
      <rowOff>100854</rowOff>
    </from>
    <to>
      <col>9</col>
      <colOff>854523</colOff>
      <row>3</row>
      <rowOff>73885</rowOff>
    </to>
    <pic>
      <nvPicPr>
        <cNvPr id="4" name="Imagem 3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679206" y="100854"/>
          <a:ext cx="111760" cy="6117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oneCellAnchor>
    <from>
      <col>1</col>
      <colOff>307300</colOff>
      <row>1</row>
      <rowOff>734439</rowOff>
    </from>
    <ext cx="1226853" cy="374650"/>
    <pic>
      <nvPicPr>
        <cNvPr id="2" name="Imagem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16900" y="324864"/>
          <a:ext cx="1226853" cy="374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12</col>
      <colOff>209550</colOff>
      <row>0</row>
      <rowOff>85725</rowOff>
    </from>
    <to>
      <col>17</col>
      <colOff>314325</colOff>
      <row>1</row>
      <rowOff>257175</rowOff>
    </to>
    <pic>
      <nvPicPr>
        <cNvPr id="2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610100" y="85725"/>
          <a:ext cx="1619250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17</col>
      <colOff>390525</colOff>
      <row>0</row>
      <rowOff>9525</rowOff>
    </from>
    <to>
      <col>18</col>
      <colOff>0</colOff>
      <row>1</row>
      <rowOff>295275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05550" y="9525"/>
          <a:ext cx="114300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12</col>
      <colOff>209550</colOff>
      <row>0</row>
      <rowOff>85725</rowOff>
    </from>
    <to>
      <col>17</col>
      <colOff>314325</colOff>
      <row>1</row>
      <rowOff>257175</rowOff>
    </to>
    <pic>
      <nvPicPr>
        <cNvPr id="2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610100" y="85725"/>
          <a:ext cx="1619250" cy="4953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17</col>
      <colOff>390525</colOff>
      <row>0</row>
      <rowOff>9525</rowOff>
    </from>
    <to>
      <col>18</col>
      <colOff>0</colOff>
      <row>1</row>
      <rowOff>295275</rowOff>
    </to>
    <pic>
      <nvPicPr>
        <cNvPr id="3" name="Imagem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305550" y="9525"/>
          <a:ext cx="114300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P44"/>
  <sheetViews>
    <sheetView showGridLines="0" zoomScaleNormal="100" zoomScaleSheetLayoutView="85" zoomScalePageLayoutView="85" workbookViewId="0">
      <selection activeCell="O20" sqref="O20"/>
    </sheetView>
  </sheetViews>
  <sheetFormatPr baseColWidth="8" defaultColWidth="9.140625" defaultRowHeight="14.25"/>
  <cols>
    <col width="8.7109375" customWidth="1" style="313" min="1" max="2"/>
    <col width="10" customWidth="1" style="313" min="3" max="3"/>
    <col width="4" customWidth="1" style="313" min="4" max="4"/>
    <col width="9.28515625" customWidth="1" style="313" min="5" max="5"/>
    <col width="4.7109375" customWidth="1" style="313" min="6" max="6"/>
    <col width="14" customWidth="1" style="313" min="7" max="7"/>
    <col width="0.42578125" customWidth="1" style="313" min="8" max="8"/>
    <col width="4.140625" customWidth="1" style="313" min="9" max="9"/>
    <col width="9.28515625" customWidth="1" style="313" min="10" max="10"/>
    <col width="5.28515625" customWidth="1" style="313" min="11" max="11"/>
    <col width="8.7109375" customWidth="1" style="313" min="12" max="12"/>
    <col width="9.140625" customWidth="1" style="313" min="13" max="13"/>
    <col width="9.140625" customWidth="1" style="313" min="14" max="16384"/>
  </cols>
  <sheetData>
    <row r="1" ht="11.25" customHeight="1">
      <c r="A1" s="330" t="inlineStr">
        <is>
          <t>LOGO CLIENTE</t>
        </is>
      </c>
      <c r="B1" s="297" t="n"/>
      <c r="C1" s="298" t="n"/>
      <c r="D1" s="296" t="inlineStr">
        <is>
          <t>NÚMERO INFRAS:</t>
        </is>
      </c>
      <c r="E1" s="297" t="n"/>
      <c r="F1" s="297" t="n"/>
      <c r="G1" s="297" t="n"/>
      <c r="H1" s="298" t="n"/>
      <c r="I1" s="311" t="n"/>
      <c r="J1" s="297" t="n"/>
      <c r="K1" s="297" t="n"/>
      <c r="L1" s="312" t="n"/>
    </row>
    <row r="2" ht="17.1" customHeight="1">
      <c r="A2" s="319" t="n"/>
      <c r="C2" s="320" t="n"/>
      <c r="D2" s="329" t="inlineStr">
        <is>
          <t>IFS-2226-020-G-LD-00001</t>
        </is>
      </c>
      <c r="E2" s="293" t="n"/>
      <c r="F2" s="293" t="n"/>
      <c r="G2" s="293" t="n"/>
      <c r="H2" s="276" t="n"/>
      <c r="L2" s="314" t="n"/>
    </row>
    <row r="3" ht="11.25" customHeight="1">
      <c r="A3" s="319" t="n"/>
      <c r="C3" s="320" t="n"/>
      <c r="D3" s="315" t="inlineStr">
        <is>
          <t>NÚMERO CLIENTE</t>
        </is>
      </c>
      <c r="E3" s="316" t="n"/>
      <c r="F3" s="316" t="n"/>
      <c r="G3" s="316" t="n"/>
      <c r="H3" s="317" t="n"/>
      <c r="L3" s="314" t="n"/>
    </row>
    <row r="4" ht="17.1" customHeight="1">
      <c r="A4" s="319" t="n"/>
      <c r="C4" s="320" t="n"/>
      <c r="D4" s="327" t="inlineStr">
        <is>
          <t>--</t>
        </is>
      </c>
      <c r="H4" s="320" t="n"/>
      <c r="L4" s="314" t="n"/>
    </row>
    <row r="5" ht="11.25" customHeight="1">
      <c r="A5" s="318" t="inlineStr">
        <is>
          <t>PROJETO CONCEITUAL/BÁSICO/EXECUTIVO
EXEMPLO (NOME DO PORTO)
EXEMPLO (PROJETO DE DRAGAGEM)
LISTA DE DOCUMENTOS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7" t="n"/>
      <c r="L5" s="11" t="inlineStr">
        <is>
          <t>REV:</t>
        </is>
      </c>
      <c r="M5" s="12" t="n"/>
      <c r="N5" s="12" t="n"/>
      <c r="O5" s="12" t="n"/>
      <c r="P5" s="12" t="n"/>
    </row>
    <row r="6" ht="19.7" customHeight="1">
      <c r="A6" s="319" t="n"/>
      <c r="K6" s="320" t="n"/>
      <c r="L6" s="9" t="n">
        <v>1</v>
      </c>
    </row>
    <row r="7" ht="11.25" customHeight="1">
      <c r="A7" s="319" t="n"/>
      <c r="K7" s="320" t="n"/>
      <c r="L7" s="13" t="inlineStr">
        <is>
          <t>FOLHA:</t>
        </is>
      </c>
      <c r="M7" s="12" t="n"/>
      <c r="N7" s="12" t="n"/>
      <c r="O7" s="12" t="n"/>
      <c r="P7" s="12" t="n"/>
    </row>
    <row r="8" ht="19.7" customHeight="1" thickBot="1">
      <c r="A8" s="321" t="n"/>
      <c r="B8" s="322" t="n"/>
      <c r="C8" s="322" t="n"/>
      <c r="D8" s="322" t="n"/>
      <c r="E8" s="322" t="n"/>
      <c r="F8" s="322" t="n"/>
      <c r="G8" s="322" t="n"/>
      <c r="H8" s="322" t="n"/>
      <c r="I8" s="322" t="n"/>
      <c r="J8" s="322" t="n"/>
      <c r="K8" s="323" t="n"/>
      <c r="L8" s="10" t="n"/>
    </row>
    <row r="9" ht="11.25" customHeight="1" thickBot="1"/>
    <row r="10" ht="23.25" customHeight="1">
      <c r="A10" s="324" t="inlineStr">
        <is>
          <t>CONTROLE DE REVISÕES</t>
        </is>
      </c>
      <c r="B10" s="297" t="n"/>
      <c r="C10" s="297" t="n"/>
      <c r="D10" s="297" t="n"/>
      <c r="E10" s="297" t="n"/>
      <c r="F10" s="297" t="n"/>
      <c r="G10" s="297" t="n"/>
      <c r="H10" s="297" t="n"/>
      <c r="I10" s="297" t="n"/>
      <c r="J10" s="297" t="n"/>
      <c r="K10" s="297" t="n"/>
      <c r="L10" s="312" t="n"/>
    </row>
    <row r="11" ht="14.25" customHeight="1">
      <c r="A11" s="302" t="inlineStr">
        <is>
          <t>TIPO DE EMISSÃO (T.E.)</t>
        </is>
      </c>
      <c r="B11" s="303" t="n"/>
      <c r="C11" s="281" t="inlineStr">
        <is>
          <t>(A)     PRELIMINAR</t>
        </is>
      </c>
      <c r="D11" s="266" t="n"/>
      <c r="E11" s="267" t="n"/>
      <c r="F11" s="265" t="inlineStr">
        <is>
          <t>(D)     PARA COTAÇÃO</t>
        </is>
      </c>
      <c r="G11" s="266" t="n"/>
      <c r="H11" s="266" t="n"/>
      <c r="I11" s="267" t="n"/>
      <c r="J11" s="265" t="inlineStr">
        <is>
          <t>(G)     CONFORME CONSTRUÍDO</t>
        </is>
      </c>
      <c r="K11" s="266" t="n"/>
      <c r="L11" s="267" t="n"/>
    </row>
    <row r="12" ht="14.25" customHeight="1">
      <c r="A12" s="304" t="n"/>
      <c r="B12" s="305" t="n"/>
      <c r="C12" s="299" t="inlineStr">
        <is>
          <t>(B)     PARA COMENTÁRIOS</t>
        </is>
      </c>
      <c r="D12" s="300" t="n"/>
      <c r="E12" s="301" t="n"/>
      <c r="F12" s="337" t="inlineStr">
        <is>
          <t>(E)     PARA CONSTRUÇÃO</t>
        </is>
      </c>
      <c r="G12" s="271" t="n"/>
      <c r="H12" s="271" t="n"/>
      <c r="I12" s="274" t="n"/>
      <c r="J12" s="337" t="inlineStr">
        <is>
          <t>(H)     CANCELADO</t>
        </is>
      </c>
      <c r="K12" s="271" t="n"/>
      <c r="L12" s="274" t="n"/>
    </row>
    <row r="13" ht="14.25" customHeight="1" thickBot="1">
      <c r="A13" s="306" t="n"/>
      <c r="B13" s="307" t="n"/>
      <c r="C13" s="282" t="inlineStr">
        <is>
          <t>(C)     PARA CONHECIMENTO</t>
        </is>
      </c>
      <c r="D13" s="283" t="n"/>
      <c r="E13" s="284" t="n"/>
      <c r="F13" s="286" t="inlineStr">
        <is>
          <t>(F)     CONFORME COMPRADO</t>
        </is>
      </c>
      <c r="G13" s="287" t="n"/>
      <c r="H13" s="287" t="n"/>
      <c r="I13" s="288" t="n"/>
      <c r="J13" s="286" t="inlineStr">
        <is>
          <t>(I)      APROVADO</t>
        </is>
      </c>
      <c r="K13" s="287" t="n"/>
      <c r="L13" s="288" t="n"/>
    </row>
    <row r="14" ht="11.25" customHeight="1" thickBot="1"/>
    <row r="15" ht="20.1" customHeight="1">
      <c r="A15" s="2" t="inlineStr">
        <is>
          <t>REV.</t>
        </is>
      </c>
      <c r="B15" s="308" t="inlineStr">
        <is>
          <t>T.E.</t>
        </is>
      </c>
      <c r="C15" s="308" t="inlineStr">
        <is>
          <t>DESCRIÇÃO</t>
        </is>
      </c>
      <c r="D15" s="309" t="n"/>
      <c r="E15" s="309" t="n"/>
      <c r="F15" s="309" t="n"/>
      <c r="G15" s="309" t="n"/>
      <c r="H15" s="309" t="n"/>
      <c r="I15" s="309" t="n"/>
      <c r="J15" s="309" t="n"/>
      <c r="K15" s="309" t="n"/>
      <c r="L15" s="310" t="n"/>
    </row>
    <row r="16" ht="20.1" customHeight="1">
      <c r="A16" s="3" t="n">
        <v>0</v>
      </c>
      <c r="B16" s="4" t="inlineStr">
        <is>
          <t>C</t>
        </is>
      </c>
      <c r="C16" s="292" t="inlineStr">
        <is>
          <t>IFS-GRD-2226-001</t>
        </is>
      </c>
      <c r="D16" s="293" t="n"/>
      <c r="E16" s="293" t="n"/>
      <c r="F16" s="293" t="n"/>
      <c r="G16" s="293" t="n"/>
      <c r="H16" s="293" t="n"/>
      <c r="I16" s="293" t="n"/>
      <c r="J16" s="293" t="n"/>
      <c r="K16" s="293" t="n"/>
      <c r="L16" s="294" t="n"/>
    </row>
    <row r="17" ht="20.1" customHeight="1">
      <c r="A17" s="5" t="n">
        <v>1</v>
      </c>
      <c r="B17" s="6" t="inlineStr">
        <is>
          <t>C</t>
        </is>
      </c>
      <c r="C17" s="270" t="inlineStr">
        <is>
          <t>IFS-GRD-9999-002</t>
        </is>
      </c>
      <c r="D17" s="271" t="n"/>
      <c r="E17" s="271" t="n"/>
      <c r="F17" s="271" t="n"/>
      <c r="G17" s="271" t="n"/>
      <c r="H17" s="271" t="n"/>
      <c r="I17" s="271" t="n"/>
      <c r="J17" s="271" t="n"/>
      <c r="K17" s="271" t="n"/>
      <c r="L17" s="272" t="n"/>
    </row>
    <row r="18" ht="20.1" customHeight="1">
      <c r="A18" s="5" t="n"/>
      <c r="B18" s="6" t="n"/>
      <c r="C18" s="270" t="n"/>
      <c r="D18" s="271" t="n"/>
      <c r="E18" s="271" t="n"/>
      <c r="F18" s="271" t="n"/>
      <c r="G18" s="271" t="n"/>
      <c r="H18" s="271" t="n"/>
      <c r="I18" s="271" t="n"/>
      <c r="J18" s="271" t="n"/>
      <c r="K18" s="271" t="n"/>
      <c r="L18" s="272" t="n"/>
    </row>
    <row r="19" ht="20.1" customHeight="1">
      <c r="A19" s="5" t="n"/>
      <c r="B19" s="6" t="n"/>
      <c r="C19" s="270" t="n"/>
      <c r="D19" s="271" t="n"/>
      <c r="E19" s="271" t="n"/>
      <c r="F19" s="271" t="n"/>
      <c r="G19" s="271" t="n"/>
      <c r="H19" s="271" t="n"/>
      <c r="I19" s="271" t="n"/>
      <c r="J19" s="271" t="n"/>
      <c r="K19" s="271" t="n"/>
      <c r="L19" s="272" t="n"/>
    </row>
    <row r="20" ht="20.1" customHeight="1">
      <c r="A20" s="5" t="n"/>
      <c r="B20" s="6" t="n"/>
      <c r="C20" s="270" t="n"/>
      <c r="D20" s="271" t="n"/>
      <c r="E20" s="271" t="n"/>
      <c r="F20" s="271" t="n"/>
      <c r="G20" s="271" t="n"/>
      <c r="H20" s="271" t="n"/>
      <c r="I20" s="271" t="n"/>
      <c r="J20" s="271" t="n"/>
      <c r="K20" s="271" t="n"/>
      <c r="L20" s="272" t="n"/>
    </row>
    <row r="21" ht="20.1" customHeight="1">
      <c r="A21" s="5" t="n"/>
      <c r="B21" s="6" t="n"/>
      <c r="C21" s="270" t="n"/>
      <c r="D21" s="271" t="n"/>
      <c r="E21" s="271" t="n"/>
      <c r="F21" s="271" t="n"/>
      <c r="G21" s="271" t="n"/>
      <c r="H21" s="271" t="n"/>
      <c r="I21" s="271" t="n"/>
      <c r="J21" s="271" t="n"/>
      <c r="K21" s="271" t="n"/>
      <c r="L21" s="272" t="n"/>
    </row>
    <row r="22" ht="20.1" customHeight="1">
      <c r="A22" s="5" t="n"/>
      <c r="B22" s="6" t="n"/>
      <c r="C22" s="270" t="n"/>
      <c r="D22" s="271" t="n"/>
      <c r="E22" s="271" t="n"/>
      <c r="F22" s="271" t="n"/>
      <c r="G22" s="271" t="n"/>
      <c r="H22" s="271" t="n"/>
      <c r="I22" s="271" t="n"/>
      <c r="J22" s="271" t="n"/>
      <c r="K22" s="271" t="n"/>
      <c r="L22" s="272" t="n"/>
    </row>
    <row r="23" ht="20.1" customHeight="1">
      <c r="A23" s="5" t="n"/>
      <c r="B23" s="6" t="n"/>
      <c r="C23" s="270" t="n"/>
      <c r="D23" s="271" t="n"/>
      <c r="E23" s="271" t="n"/>
      <c r="F23" s="271" t="n"/>
      <c r="G23" s="271" t="n"/>
      <c r="H23" s="271" t="n"/>
      <c r="I23" s="271" t="n"/>
      <c r="J23" s="271" t="n"/>
      <c r="K23" s="271" t="n"/>
      <c r="L23" s="272" t="n"/>
    </row>
    <row r="24" ht="20.1" customHeight="1">
      <c r="A24" s="5" t="n"/>
      <c r="B24" s="6" t="n"/>
      <c r="C24" s="270" t="n"/>
      <c r="D24" s="271" t="n"/>
      <c r="E24" s="271" t="n"/>
      <c r="F24" s="271" t="n"/>
      <c r="G24" s="271" t="n"/>
      <c r="H24" s="271" t="n"/>
      <c r="I24" s="271" t="n"/>
      <c r="J24" s="271" t="n"/>
      <c r="K24" s="271" t="n"/>
      <c r="L24" s="272" t="n"/>
    </row>
    <row r="25" ht="20.1" customHeight="1">
      <c r="A25" s="5" t="n"/>
      <c r="B25" s="6" t="n"/>
      <c r="C25" s="270" t="n"/>
      <c r="D25" s="271" t="n"/>
      <c r="E25" s="271" t="n"/>
      <c r="F25" s="271" t="n"/>
      <c r="G25" s="271" t="n"/>
      <c r="H25" s="271" t="n"/>
      <c r="I25" s="271" t="n"/>
      <c r="J25" s="271" t="n"/>
      <c r="K25" s="271" t="n"/>
      <c r="L25" s="272" t="n"/>
    </row>
    <row r="26" ht="20.1" customHeight="1">
      <c r="A26" s="5" t="n"/>
      <c r="B26" s="6" t="n"/>
      <c r="C26" s="270" t="n"/>
      <c r="D26" s="271" t="n"/>
      <c r="E26" s="271" t="n"/>
      <c r="F26" s="271" t="n"/>
      <c r="G26" s="271" t="n"/>
      <c r="H26" s="271" t="n"/>
      <c r="I26" s="271" t="n"/>
      <c r="J26" s="271" t="n"/>
      <c r="K26" s="271" t="n"/>
      <c r="L26" s="272" t="n"/>
    </row>
    <row r="27" ht="20.1" customHeight="1">
      <c r="A27" s="5" t="n"/>
      <c r="B27" s="6" t="n"/>
      <c r="C27" s="270" t="n"/>
      <c r="D27" s="271" t="n"/>
      <c r="E27" s="271" t="n"/>
      <c r="F27" s="271" t="n"/>
      <c r="G27" s="271" t="n"/>
      <c r="H27" s="271" t="n"/>
      <c r="I27" s="271" t="n"/>
      <c r="J27" s="271" t="n"/>
      <c r="K27" s="271" t="n"/>
      <c r="L27" s="272" t="n"/>
    </row>
    <row r="28" ht="20.1" customHeight="1">
      <c r="A28" s="5" t="n"/>
      <c r="B28" s="6" t="n"/>
      <c r="C28" s="270" t="n"/>
      <c r="D28" s="271" t="n"/>
      <c r="E28" s="271" t="n"/>
      <c r="F28" s="271" t="n"/>
      <c r="G28" s="271" t="n"/>
      <c r="H28" s="271" t="n"/>
      <c r="I28" s="271" t="n"/>
      <c r="J28" s="271" t="n"/>
      <c r="K28" s="271" t="n"/>
      <c r="L28" s="272" t="n"/>
    </row>
    <row r="29" ht="20.1" customHeight="1" thickBot="1">
      <c r="A29" s="7" t="n"/>
      <c r="B29" s="8" t="n"/>
      <c r="C29" s="325" t="n"/>
      <c r="D29" s="287" t="n"/>
      <c r="E29" s="287" t="n"/>
      <c r="F29" s="287" t="n"/>
      <c r="G29" s="287" t="n"/>
      <c r="H29" s="287" t="n"/>
      <c r="I29" s="287" t="n"/>
      <c r="J29" s="287" t="n"/>
      <c r="K29" s="287" t="n"/>
      <c r="L29" s="326" t="n"/>
    </row>
    <row r="30" ht="11.25" customHeight="1" thickBot="1"/>
    <row r="31" ht="16.5" customHeight="1">
      <c r="A31" s="328" t="n"/>
      <c r="B31" s="291" t="n"/>
      <c r="C31" s="334" t="inlineStr">
        <is>
          <t>REV. 0</t>
        </is>
      </c>
      <c r="D31" s="291" t="n"/>
      <c r="E31" s="289" t="inlineStr">
        <is>
          <t>REV. 1</t>
        </is>
      </c>
      <c r="F31" s="291" t="n"/>
      <c r="G31" s="289" t="inlineStr">
        <is>
          <t>REV. 2</t>
        </is>
      </c>
      <c r="H31" s="289" t="inlineStr">
        <is>
          <t>REV. 3</t>
        </is>
      </c>
      <c r="I31" s="290" t="n"/>
      <c r="J31" s="291" t="n"/>
      <c r="K31" s="289" t="inlineStr">
        <is>
          <t>REV. 4</t>
        </is>
      </c>
      <c r="L31" s="291" t="n"/>
    </row>
    <row r="32" ht="16.5" customHeight="1">
      <c r="A32" s="273" t="inlineStr">
        <is>
          <t>DATA</t>
        </is>
      </c>
      <c r="B32" s="274" t="n"/>
      <c r="C32" s="295" t="inlineStr">
        <is>
          <t>13/03/26</t>
        </is>
      </c>
      <c r="D32" s="274" t="n"/>
      <c r="E32" s="280" t="inlineStr">
        <is>
          <t>10/06/26</t>
        </is>
      </c>
      <c r="F32" s="274" t="n"/>
      <c r="G32" s="280" t="n"/>
      <c r="H32" s="280" t="n"/>
      <c r="I32" s="271" t="n"/>
      <c r="J32" s="274" t="n"/>
      <c r="K32" s="280" t="n"/>
      <c r="L32" s="274" t="n"/>
    </row>
    <row r="33" ht="16.5" customHeight="1">
      <c r="A33" s="273" t="inlineStr">
        <is>
          <t>EXECUÇÃO</t>
        </is>
      </c>
      <c r="B33" s="274" t="n"/>
      <c r="C33" s="295" t="inlineStr">
        <is>
          <t>PAM</t>
        </is>
      </c>
      <c r="D33" s="274" t="n"/>
      <c r="E33" s="280" t="inlineStr">
        <is>
          <t>ABC</t>
        </is>
      </c>
      <c r="F33" s="274" t="n"/>
      <c r="G33" s="280" t="n"/>
      <c r="H33" s="280" t="n"/>
      <c r="I33" s="271" t="n"/>
      <c r="J33" s="274" t="n"/>
      <c r="K33" s="280" t="n"/>
      <c r="L33" s="274" t="n"/>
    </row>
    <row r="34" ht="16.5" customHeight="1">
      <c r="A34" s="273" t="inlineStr">
        <is>
          <t>VERIFICAÇÃO</t>
        </is>
      </c>
      <c r="B34" s="274" t="n"/>
      <c r="C34" s="295" t="inlineStr">
        <is>
          <t>XXX</t>
        </is>
      </c>
      <c r="D34" s="274" t="n"/>
      <c r="E34" s="280" t="inlineStr">
        <is>
          <t>DEF</t>
        </is>
      </c>
      <c r="F34" s="274" t="n"/>
      <c r="G34" s="280" t="n"/>
      <c r="H34" s="280" t="n"/>
      <c r="I34" s="271" t="n"/>
      <c r="J34" s="274" t="n"/>
      <c r="K34" s="280" t="n"/>
      <c r="L34" s="274" t="n"/>
    </row>
    <row r="35" ht="16.5" customHeight="1">
      <c r="A35" s="278" t="inlineStr">
        <is>
          <t>APROVAÇÃO</t>
        </is>
      </c>
      <c r="B35" s="269" t="n"/>
      <c r="C35" s="339" t="inlineStr">
        <is>
          <t>XXX</t>
        </is>
      </c>
      <c r="D35" s="269" t="n"/>
      <c r="E35" s="268" t="inlineStr">
        <is>
          <t>GHI</t>
        </is>
      </c>
      <c r="F35" s="269" t="n"/>
      <c r="G35" s="268" t="n"/>
      <c r="H35" s="268" t="n"/>
      <c r="I35" s="285" t="n"/>
      <c r="J35" s="269" t="n"/>
      <c r="K35" s="268" t="n"/>
      <c r="L35" s="269" t="n"/>
    </row>
    <row r="36" ht="16.5" customHeight="1">
      <c r="A36" s="279" t="n"/>
      <c r="B36" s="276" t="n"/>
      <c r="C36" s="275" t="inlineStr">
        <is>
          <t>REV. 5</t>
        </is>
      </c>
      <c r="D36" s="276" t="n"/>
      <c r="E36" s="277" t="inlineStr">
        <is>
          <t>REV. 6</t>
        </is>
      </c>
      <c r="F36" s="276" t="n"/>
      <c r="G36" s="277" t="inlineStr">
        <is>
          <t>REV. 7</t>
        </is>
      </c>
      <c r="H36" s="277" t="inlineStr">
        <is>
          <t>REV. 8</t>
        </is>
      </c>
      <c r="I36" s="293" t="n"/>
      <c r="J36" s="276" t="n"/>
      <c r="K36" s="277" t="inlineStr">
        <is>
          <t>REV. 9</t>
        </is>
      </c>
      <c r="L36" s="276" t="n"/>
    </row>
    <row r="37" ht="16.5" customHeight="1">
      <c r="A37" s="273" t="inlineStr">
        <is>
          <t>DATA</t>
        </is>
      </c>
      <c r="B37" s="274" t="n"/>
      <c r="C37" s="295" t="n"/>
      <c r="D37" s="274" t="n"/>
      <c r="E37" s="280" t="n"/>
      <c r="F37" s="274" t="n"/>
      <c r="G37" s="280" t="n"/>
      <c r="H37" s="280" t="n"/>
      <c r="I37" s="271" t="n"/>
      <c r="J37" s="274" t="n"/>
      <c r="K37" s="280" t="n"/>
      <c r="L37" s="274" t="n"/>
    </row>
    <row r="38" ht="16.5" customHeight="1">
      <c r="A38" s="273" t="inlineStr">
        <is>
          <t>EXECUÇÃO</t>
        </is>
      </c>
      <c r="B38" s="274" t="n"/>
      <c r="C38" s="295" t="n"/>
      <c r="D38" s="274" t="n"/>
      <c r="E38" s="280" t="n"/>
      <c r="F38" s="274" t="n"/>
      <c r="G38" s="280" t="n"/>
      <c r="H38" s="280" t="n"/>
      <c r="I38" s="271" t="n"/>
      <c r="J38" s="274" t="n"/>
      <c r="K38" s="280" t="n"/>
      <c r="L38" s="274" t="n"/>
    </row>
    <row r="39" ht="16.5" customHeight="1">
      <c r="A39" s="273" t="inlineStr">
        <is>
          <t>VERIFICAÇÃO</t>
        </is>
      </c>
      <c r="B39" s="274" t="n"/>
      <c r="C39" s="295" t="n"/>
      <c r="D39" s="274" t="n"/>
      <c r="E39" s="280" t="n"/>
      <c r="F39" s="274" t="n"/>
      <c r="G39" s="280" t="n"/>
      <c r="H39" s="280" t="n"/>
      <c r="I39" s="271" t="n"/>
      <c r="J39" s="274" t="n"/>
      <c r="K39" s="280" t="n"/>
      <c r="L39" s="274" t="n"/>
    </row>
    <row r="40" ht="16.5" customHeight="1" thickBot="1">
      <c r="A40" s="338" t="inlineStr">
        <is>
          <t>APROVAÇÃO</t>
        </is>
      </c>
      <c r="B40" s="288" t="n"/>
      <c r="C40" s="336" t="n"/>
      <c r="D40" s="288" t="n"/>
      <c r="E40" s="335" t="n"/>
      <c r="F40" s="288" t="n"/>
      <c r="G40" s="335" t="n"/>
      <c r="H40" s="335" t="n"/>
      <c r="I40" s="287" t="n"/>
      <c r="J40" s="288" t="n"/>
      <c r="K40" s="335" t="n"/>
      <c r="L40" s="288" t="n"/>
    </row>
    <row r="41" ht="9.75" customHeight="1" thickBot="1"/>
    <row r="42" ht="25.35" customHeight="1" thickBot="1">
      <c r="A42" s="331" t="inlineStr">
        <is>
          <t>AS INFORMAÇÕES DESTE DOCUMENTO SÃO DE PROPRIEDADE DA INFRAS ENGENHARIA, SENDO PROIBIDA SUA UTILIZAÇÃO FORA DA SUA FINALIDADE SEM UMA PRÉVIA AUTORIZAÇÃO.</t>
        </is>
      </c>
      <c r="B42" s="332" t="n"/>
      <c r="C42" s="332" t="n"/>
      <c r="D42" s="332" t="n"/>
      <c r="E42" s="332" t="n"/>
      <c r="F42" s="332" t="n"/>
      <c r="G42" s="332" t="n"/>
      <c r="H42" s="332" t="n"/>
      <c r="I42" s="332" t="n"/>
      <c r="J42" s="332" t="n"/>
      <c r="K42" s="332" t="n"/>
      <c r="L42" s="333" t="n"/>
    </row>
    <row r="43" ht="6.75" customHeight="1" thickBot="1"/>
    <row r="44" ht="28.35" customHeight="1" thickBot="1">
      <c r="A44" s="331" t="inlineStr">
        <is>
          <t>WWW.INFRAS.COM.BR   -   CONTATO@IINFRAS.COM.BR
RUA HERMANN BLUMENAU, 110 – CENTRO – 88020-020 – FLORIANÓPOLIS-SC</t>
        </is>
      </c>
      <c r="B44" s="332" t="n"/>
      <c r="C44" s="332" t="n"/>
      <c r="D44" s="332" t="n"/>
      <c r="E44" s="332" t="n"/>
      <c r="F44" s="332" t="n"/>
      <c r="G44" s="332" t="n"/>
      <c r="H44" s="332" t="n"/>
      <c r="I44" s="332" t="n"/>
      <c r="J44" s="332" t="n"/>
      <c r="K44" s="332" t="n"/>
      <c r="L44" s="333" t="n"/>
    </row>
  </sheetData>
  <mergeCells count="85">
    <mergeCell ref="C23:L23"/>
    <mergeCell ref="K33:L33"/>
    <mergeCell ref="J11:L11"/>
    <mergeCell ref="K35:L35"/>
    <mergeCell ref="C18:L18"/>
    <mergeCell ref="D2:H2"/>
    <mergeCell ref="E34:F34"/>
    <mergeCell ref="A1:C4"/>
    <mergeCell ref="A33:B33"/>
    <mergeCell ref="C36:D36"/>
    <mergeCell ref="C20:L20"/>
    <mergeCell ref="E36:F36"/>
    <mergeCell ref="A35:B35"/>
    <mergeCell ref="H38:J38"/>
    <mergeCell ref="I1:L4"/>
    <mergeCell ref="C22:L22"/>
    <mergeCell ref="J13:L13"/>
    <mergeCell ref="H31:J31"/>
    <mergeCell ref="K37:L37"/>
    <mergeCell ref="H40:J40"/>
    <mergeCell ref="A39:B39"/>
    <mergeCell ref="F13:I13"/>
    <mergeCell ref="D1:H1"/>
    <mergeCell ref="C12:E12"/>
    <mergeCell ref="A11:B13"/>
    <mergeCell ref="E38:F38"/>
    <mergeCell ref="K32:L32"/>
    <mergeCell ref="A37:B37"/>
    <mergeCell ref="C15:L15"/>
    <mergeCell ref="C40:D40"/>
    <mergeCell ref="C24:L24"/>
    <mergeCell ref="E40:F40"/>
    <mergeCell ref="H33:J33"/>
    <mergeCell ref="C13:E13"/>
    <mergeCell ref="C26:L26"/>
    <mergeCell ref="H35:J35"/>
    <mergeCell ref="C16:L16"/>
    <mergeCell ref="D3:H3"/>
    <mergeCell ref="C25:L25"/>
    <mergeCell ref="A34:B34"/>
    <mergeCell ref="C34:D34"/>
    <mergeCell ref="A36:B36"/>
    <mergeCell ref="E39:F39"/>
    <mergeCell ref="C28:L28"/>
    <mergeCell ref="H32:J32"/>
    <mergeCell ref="C11:E11"/>
    <mergeCell ref="A42:L42"/>
    <mergeCell ref="A5:K8"/>
    <mergeCell ref="K31:L31"/>
    <mergeCell ref="C31:D31"/>
    <mergeCell ref="K40:L40"/>
    <mergeCell ref="E31:F31"/>
    <mergeCell ref="A32:B32"/>
    <mergeCell ref="A44:L44"/>
    <mergeCell ref="A38:B38"/>
    <mergeCell ref="C32:D32"/>
    <mergeCell ref="C38:D38"/>
    <mergeCell ref="E32:F32"/>
    <mergeCell ref="H34:J34"/>
    <mergeCell ref="A40:B40"/>
    <mergeCell ref="H39:J39"/>
    <mergeCell ref="C27:L27"/>
    <mergeCell ref="K34:L34"/>
    <mergeCell ref="H36:J36"/>
    <mergeCell ref="C33:D33"/>
    <mergeCell ref="E33:F33"/>
    <mergeCell ref="C17:L17"/>
    <mergeCell ref="K36:L36"/>
    <mergeCell ref="C35:D35"/>
    <mergeCell ref="E35:F35"/>
    <mergeCell ref="C19:L19"/>
    <mergeCell ref="H37:J37"/>
    <mergeCell ref="F11:I11"/>
    <mergeCell ref="J12:L12"/>
    <mergeCell ref="A10:L10"/>
    <mergeCell ref="F12:I12"/>
    <mergeCell ref="C29:L29"/>
    <mergeCell ref="D4:H4"/>
    <mergeCell ref="K39:L39"/>
    <mergeCell ref="C39:D39"/>
    <mergeCell ref="K38:L38"/>
    <mergeCell ref="C37:D37"/>
    <mergeCell ref="C21:L21"/>
    <mergeCell ref="E37:F37"/>
    <mergeCell ref="A31:B31"/>
  </mergeCells>
  <pageMargins left="0.7874015748031497" right="0.5905511811023623" top="0.7874015748031497" bottom="0.5905511811023623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outlinePr summaryBelow="1" summaryRight="1"/>
    <pageSetUpPr fitToPage="1"/>
  </sheetPr>
  <dimension ref="A1:ST300"/>
  <sheetViews>
    <sheetView showGridLines="0" topLeftCell="B1" zoomScale="85" zoomScaleNormal="85" zoomScaleSheetLayoutView="70" zoomScalePageLayoutView="55" workbookViewId="0">
      <selection activeCell="L7" sqref="L7"/>
    </sheetView>
  </sheetViews>
  <sheetFormatPr baseColWidth="8" defaultColWidth="8.85546875" defaultRowHeight="12"/>
  <cols>
    <col hidden="1" width="40.85546875" customWidth="1" style="349" min="1" max="1"/>
    <col width="33" customWidth="1" style="349" min="2" max="2"/>
    <col width="34" customWidth="1" style="359" min="3" max="3"/>
    <col width="8.42578125" customWidth="1" style="349" min="4" max="6"/>
    <col width="10.28515625" bestFit="1" customWidth="1" style="349" min="7" max="7"/>
    <col width="8.42578125" customWidth="1" style="349" min="8" max="8"/>
    <col width="9.28515625" customWidth="1" style="349" min="9" max="9"/>
    <col width="13.140625" customWidth="1" style="349" min="10" max="10"/>
    <col width="5" bestFit="1" customWidth="1" style="95" min="11" max="11"/>
    <col width="4.140625" bestFit="1" customWidth="1" style="344" min="12" max="12"/>
    <col width="4.7109375" bestFit="1" customWidth="1" style="344" min="13" max="13"/>
    <col width="8.7109375" customWidth="1" style="343" min="14" max="14"/>
    <col width="4.7109375" bestFit="1" customWidth="1" style="344" min="15" max="15"/>
    <col width="4.140625" bestFit="1" customWidth="1" style="344" min="16" max="16"/>
    <col width="4.7109375" bestFit="1" customWidth="1" style="350" min="17" max="17"/>
    <col width="8.7109375" customWidth="1" style="343" min="18" max="18"/>
    <col width="4.7109375" bestFit="1" customWidth="1" style="344" min="19" max="19"/>
    <col width="4.140625" bestFit="1" customWidth="1" style="344" min="20" max="20"/>
    <col width="4.7109375" bestFit="1" customWidth="1" style="350" min="21" max="21"/>
    <col width="8.7109375" customWidth="1" style="343" min="22" max="22"/>
    <col width="4.7109375" bestFit="1" customWidth="1" style="344" min="23" max="23"/>
    <col width="4.140625" bestFit="1" customWidth="1" style="344" min="24" max="24"/>
    <col width="4.7109375" bestFit="1" customWidth="1" style="350" min="25" max="25"/>
    <col width="8.7109375" customWidth="1" style="343" min="26" max="26"/>
    <col width="4.7109375" bestFit="1" customWidth="1" style="344" min="27" max="27"/>
    <col width="4.140625" bestFit="1" customWidth="1" style="344" min="28" max="28"/>
    <col width="4.7109375" bestFit="1" customWidth="1" style="344" min="29" max="29"/>
    <col width="8.7109375" customWidth="1" style="344" min="30" max="30"/>
    <col width="4.7109375" bestFit="1" customWidth="1" style="344" min="31" max="31"/>
    <col width="4.140625" bestFit="1" customWidth="1" style="344" min="32" max="32"/>
    <col width="4.7109375" bestFit="1" customWidth="1" style="344" min="33" max="33"/>
    <col width="8.7109375" customWidth="1" style="344" min="34" max="34"/>
    <col width="4.7109375" bestFit="1" customWidth="1" style="344" min="35" max="35"/>
    <col width="4.140625" bestFit="1" customWidth="1" style="344" min="36" max="36"/>
    <col width="4.7109375" bestFit="1" customWidth="1" style="344" min="37" max="37"/>
    <col width="8.7109375" customWidth="1" style="344" min="38" max="38"/>
    <col width="4.7109375" bestFit="1" customWidth="1" style="344" min="39" max="39"/>
    <col width="4.140625" bestFit="1" customWidth="1" style="344" min="40" max="40"/>
    <col width="4.7109375" bestFit="1" customWidth="1" style="344" min="41" max="41"/>
    <col width="8.7109375" customWidth="1" style="344" min="42" max="42"/>
    <col width="4.7109375" bestFit="1" customWidth="1" style="344" min="43" max="43"/>
    <col width="4.140625" bestFit="1" customWidth="1" style="344" min="44" max="44"/>
    <col width="4.7109375" bestFit="1" customWidth="1" style="344" min="45" max="45"/>
    <col width="8.7109375" customWidth="1" style="344" min="46" max="46"/>
    <col width="4.7109375" bestFit="1" customWidth="1" style="344" min="47" max="47"/>
    <col width="4.140625" bestFit="1" customWidth="1" style="344" min="48" max="48"/>
    <col width="4.7109375" bestFit="1" customWidth="1" style="344" min="49" max="49"/>
    <col width="8.7109375" customWidth="1" style="344" min="50" max="50"/>
    <col width="4.7109375" bestFit="1" customWidth="1" style="344" min="51" max="51"/>
    <col width="4.140625" bestFit="1" customWidth="1" style="344" min="52" max="52"/>
    <col width="4.7109375" bestFit="1" customWidth="1" style="344" min="53" max="53"/>
    <col width="8.7109375" customWidth="1" style="344" min="54" max="54"/>
    <col width="4.7109375" bestFit="1" customWidth="1" style="344" min="55" max="55"/>
    <col width="4.140625" bestFit="1" customWidth="1" style="344" min="56" max="56"/>
    <col width="4.7109375" bestFit="1" customWidth="1" style="344" min="57" max="57"/>
    <col width="8.7109375" customWidth="1" style="344" min="58" max="58"/>
    <col width="8.85546875" customWidth="1" style="344" min="59" max="77"/>
    <col width="8.85546875" customWidth="1" style="86" min="78" max="78"/>
    <col width="4.7109375" bestFit="1" customWidth="1" style="86" min="79" max="79"/>
    <col width="5" bestFit="1" customWidth="1" style="86" min="80" max="87"/>
    <col width="4.7109375" bestFit="1" customWidth="1" style="86" min="88" max="88"/>
    <col width="4.28515625" bestFit="1" customWidth="1" style="86" min="89" max="89"/>
    <col width="4.7109375" bestFit="1" customWidth="1" style="86" min="90" max="97"/>
    <col width="5" bestFit="1" customWidth="1" style="86" min="98" max="98"/>
    <col width="4.7109375" bestFit="1" customWidth="1" style="86" min="99" max="99"/>
    <col width="5" bestFit="1" customWidth="1" style="86" min="100" max="108"/>
    <col width="4.7109375" bestFit="1" customWidth="1" style="86" min="109" max="109"/>
    <col width="5" bestFit="1" customWidth="1" style="86" min="110" max="118"/>
    <col width="4.7109375" bestFit="1" customWidth="1" style="86" min="119" max="119"/>
    <col width="5" bestFit="1" customWidth="1" style="86" min="120" max="128"/>
    <col width="4.7109375" bestFit="1" customWidth="1" style="86" min="129" max="129"/>
    <col width="5" bestFit="1" customWidth="1" style="86" min="130" max="138"/>
    <col width="4.7109375" bestFit="1" customWidth="1" style="86" min="139" max="139"/>
    <col width="5" bestFit="1" customWidth="1" style="86" min="140" max="148"/>
    <col width="4.7109375" bestFit="1" customWidth="1" style="86" min="149" max="149"/>
    <col width="5" bestFit="1" customWidth="1" style="86" min="150" max="158"/>
    <col width="4.7109375" bestFit="1" customWidth="1" style="86" min="159" max="159"/>
    <col width="5" bestFit="1" customWidth="1" style="86" min="160" max="168"/>
    <col width="4.7109375" bestFit="1" customWidth="1" style="86" min="169" max="169"/>
    <col width="5" bestFit="1" customWidth="1" style="86" min="170" max="177"/>
    <col width="4.7109375" bestFit="1" customWidth="1" style="86" min="178" max="178"/>
    <col width="8.85546875" customWidth="1" style="344" min="179" max="207"/>
    <col width="3.42578125" customWidth="1" style="344" min="208" max="208"/>
    <col width="18.7109375" customWidth="1" style="344" min="209" max="209"/>
    <col width="19.7109375" customWidth="1" style="344" min="210" max="210"/>
    <col width="24.42578125" customWidth="1" style="344" min="211" max="211"/>
    <col width="11" customWidth="1" style="344" min="212" max="212"/>
    <col width="11.85546875" customWidth="1" style="344" min="213" max="213"/>
    <col width="12.42578125" customWidth="1" style="344" min="214" max="214"/>
    <col width="26.7109375" customWidth="1" style="344" min="215" max="216"/>
    <col width="28.140625" customWidth="1" style="344" min="217" max="217"/>
    <col width="4.85546875" customWidth="1" style="344" min="218" max="218"/>
    <col width="3.7109375" customWidth="1" style="344" min="219" max="219"/>
    <col width="7.7109375" bestFit="1" customWidth="1" style="344" min="220" max="220"/>
    <col width="4.85546875" customWidth="1" style="344" min="221" max="221"/>
    <col width="4.28515625" customWidth="1" style="344" min="222" max="222"/>
    <col width="9.28515625" customWidth="1" style="344" min="223" max="223"/>
    <col width="5.140625" bestFit="1" customWidth="1" style="344" min="224" max="224"/>
    <col width="4.28515625" customWidth="1" style="344" min="225" max="225"/>
    <col width="8" bestFit="1" customWidth="1" style="344" min="226" max="226"/>
    <col width="11" customWidth="1" style="344" min="227" max="227"/>
    <col width="10.42578125" customWidth="1" style="344" min="228" max="229"/>
    <col width="8.85546875" customWidth="1" style="344" min="230" max="230"/>
    <col width="11.42578125" customWidth="1" style="344" min="231" max="231"/>
    <col width="18.42578125" customWidth="1" style="344" min="232" max="232"/>
    <col width="14.7109375" customWidth="1" style="344" min="233" max="233"/>
    <col width="13.28515625" customWidth="1" style="344" min="234" max="234"/>
    <col width="9.7109375" customWidth="1" style="344" min="235" max="235"/>
    <col width="25" customWidth="1" style="344" min="236" max="236"/>
    <col width="9.140625" customWidth="1" style="344" min="237" max="237"/>
    <col width="8.85546875" customWidth="1" style="344" min="238" max="463"/>
    <col width="3.42578125" customWidth="1" style="344" min="464" max="464"/>
    <col width="18.7109375" customWidth="1" style="344" min="465" max="465"/>
    <col width="19.7109375" customWidth="1" style="344" min="466" max="466"/>
    <col width="24.42578125" customWidth="1" style="344" min="467" max="467"/>
    <col width="11" customWidth="1" style="344" min="468" max="468"/>
    <col width="11.85546875" customWidth="1" style="344" min="469" max="469"/>
    <col width="12.42578125" customWidth="1" style="344" min="470" max="470"/>
    <col width="26.7109375" customWidth="1" style="344" min="471" max="472"/>
    <col width="28.140625" customWidth="1" style="344" min="473" max="473"/>
    <col width="4.85546875" customWidth="1" style="344" min="474" max="474"/>
    <col width="3.7109375" customWidth="1" style="344" min="475" max="475"/>
    <col width="7.7109375" bestFit="1" customWidth="1" style="344" min="476" max="476"/>
    <col width="4.85546875" customWidth="1" style="344" min="477" max="477"/>
    <col width="4.28515625" customWidth="1" style="344" min="478" max="478"/>
    <col width="9.28515625" customWidth="1" style="344" min="479" max="479"/>
    <col width="5.140625" bestFit="1" customWidth="1" style="344" min="480" max="480"/>
    <col width="4.28515625" customWidth="1" style="344" min="481" max="481"/>
    <col width="8" bestFit="1" customWidth="1" style="344" min="482" max="482"/>
    <col width="11" customWidth="1" style="344" min="483" max="483"/>
    <col width="10.42578125" customWidth="1" style="344" min="484" max="485"/>
    <col width="8.85546875" customWidth="1" style="344" min="486" max="486"/>
    <col width="11.42578125" customWidth="1" style="344" min="487" max="487"/>
    <col width="18.42578125" customWidth="1" style="344" min="488" max="488"/>
    <col width="14.7109375" customWidth="1" style="344" min="489" max="489"/>
    <col width="13.28515625" customWidth="1" style="344" min="490" max="490"/>
    <col width="9.7109375" customWidth="1" style="344" min="491" max="491"/>
    <col width="25" customWidth="1" style="344" min="492" max="492"/>
    <col width="9.140625" customWidth="1" style="344" min="493" max="493"/>
    <col width="8.85546875" customWidth="1" style="344" min="494" max="719"/>
    <col width="3.42578125" customWidth="1" style="344" min="720" max="720"/>
    <col width="18.7109375" customWidth="1" style="344" min="721" max="721"/>
    <col width="19.7109375" customWidth="1" style="344" min="722" max="722"/>
    <col width="24.42578125" customWidth="1" style="344" min="723" max="723"/>
    <col width="11" customWidth="1" style="344" min="724" max="724"/>
    <col width="11.85546875" customWidth="1" style="344" min="725" max="725"/>
    <col width="12.42578125" customWidth="1" style="344" min="726" max="726"/>
    <col width="26.7109375" customWidth="1" style="344" min="727" max="728"/>
    <col width="28.140625" customWidth="1" style="344" min="729" max="729"/>
    <col width="4.85546875" customWidth="1" style="344" min="730" max="730"/>
    <col width="3.7109375" customWidth="1" style="344" min="731" max="731"/>
    <col width="7.7109375" bestFit="1" customWidth="1" style="344" min="732" max="732"/>
    <col width="4.85546875" customWidth="1" style="344" min="733" max="733"/>
    <col width="4.28515625" customWidth="1" style="344" min="734" max="734"/>
    <col width="9.28515625" customWidth="1" style="344" min="735" max="735"/>
    <col width="5.140625" bestFit="1" customWidth="1" style="344" min="736" max="736"/>
    <col width="4.28515625" customWidth="1" style="344" min="737" max="737"/>
    <col width="8" bestFit="1" customWidth="1" style="344" min="738" max="738"/>
    <col width="11" customWidth="1" style="344" min="739" max="739"/>
    <col width="10.42578125" customWidth="1" style="344" min="740" max="741"/>
    <col width="8.85546875" customWidth="1" style="344" min="742" max="742"/>
    <col width="11.42578125" customWidth="1" style="344" min="743" max="743"/>
    <col width="18.42578125" customWidth="1" style="344" min="744" max="744"/>
    <col width="14.7109375" customWidth="1" style="344" min="745" max="745"/>
    <col width="13.28515625" customWidth="1" style="344" min="746" max="746"/>
    <col width="9.7109375" customWidth="1" style="344" min="747" max="747"/>
    <col width="25" customWidth="1" style="344" min="748" max="748"/>
    <col width="9.140625" customWidth="1" style="344" min="749" max="749"/>
    <col width="8.85546875" customWidth="1" style="344" min="750" max="975"/>
    <col width="3.42578125" customWidth="1" style="344" min="976" max="976"/>
    <col width="18.7109375" customWidth="1" style="344" min="977" max="977"/>
    <col width="19.7109375" customWidth="1" style="344" min="978" max="978"/>
    <col width="24.42578125" customWidth="1" style="344" min="979" max="979"/>
    <col width="11" customWidth="1" style="344" min="980" max="980"/>
    <col width="11.85546875" customWidth="1" style="344" min="981" max="981"/>
    <col width="12.42578125" customWidth="1" style="344" min="982" max="982"/>
    <col width="26.7109375" customWidth="1" style="344" min="983" max="984"/>
    <col width="28.140625" customWidth="1" style="344" min="985" max="985"/>
    <col width="4.85546875" customWidth="1" style="344" min="986" max="986"/>
    <col width="3.7109375" customWidth="1" style="344" min="987" max="987"/>
    <col width="7.7109375" bestFit="1" customWidth="1" style="344" min="988" max="988"/>
    <col width="4.85546875" customWidth="1" style="344" min="989" max="989"/>
    <col width="4.28515625" customWidth="1" style="344" min="990" max="990"/>
    <col width="9.28515625" customWidth="1" style="344" min="991" max="991"/>
    <col width="5.140625" bestFit="1" customWidth="1" style="344" min="992" max="992"/>
    <col width="4.28515625" customWidth="1" style="344" min="993" max="993"/>
    <col width="8" bestFit="1" customWidth="1" style="344" min="994" max="994"/>
    <col width="11" customWidth="1" style="344" min="995" max="995"/>
    <col width="10.42578125" customWidth="1" style="344" min="996" max="997"/>
    <col width="8.85546875" customWidth="1" style="344" min="998" max="998"/>
    <col width="11.42578125" customWidth="1" style="344" min="999" max="999"/>
    <col width="18.42578125" customWidth="1" style="344" min="1000" max="1000"/>
    <col width="14.7109375" customWidth="1" style="344" min="1001" max="1001"/>
    <col width="13.28515625" customWidth="1" style="344" min="1002" max="1002"/>
    <col width="9.7109375" customWidth="1" style="344" min="1003" max="1003"/>
    <col width="25" customWidth="1" style="344" min="1004" max="1004"/>
    <col width="9.140625" customWidth="1" style="344" min="1005" max="1005"/>
    <col width="8.85546875" customWidth="1" style="344" min="1006" max="1231"/>
    <col width="3.42578125" customWidth="1" style="344" min="1232" max="1232"/>
    <col width="18.7109375" customWidth="1" style="344" min="1233" max="1233"/>
    <col width="19.7109375" customWidth="1" style="344" min="1234" max="1234"/>
    <col width="24.42578125" customWidth="1" style="344" min="1235" max="1235"/>
    <col width="11" customWidth="1" style="344" min="1236" max="1236"/>
    <col width="11.85546875" customWidth="1" style="344" min="1237" max="1237"/>
    <col width="12.42578125" customWidth="1" style="344" min="1238" max="1238"/>
    <col width="26.7109375" customWidth="1" style="344" min="1239" max="1240"/>
    <col width="28.140625" customWidth="1" style="344" min="1241" max="1241"/>
    <col width="4.85546875" customWidth="1" style="344" min="1242" max="1242"/>
    <col width="3.7109375" customWidth="1" style="344" min="1243" max="1243"/>
    <col width="7.7109375" bestFit="1" customWidth="1" style="344" min="1244" max="1244"/>
    <col width="4.85546875" customWidth="1" style="344" min="1245" max="1245"/>
    <col width="4.28515625" customWidth="1" style="344" min="1246" max="1246"/>
    <col width="9.28515625" customWidth="1" style="344" min="1247" max="1247"/>
    <col width="5.140625" bestFit="1" customWidth="1" style="344" min="1248" max="1248"/>
    <col width="4.28515625" customWidth="1" style="344" min="1249" max="1249"/>
    <col width="8" bestFit="1" customWidth="1" style="344" min="1250" max="1250"/>
    <col width="11" customWidth="1" style="344" min="1251" max="1251"/>
    <col width="10.42578125" customWidth="1" style="344" min="1252" max="1253"/>
    <col width="8.85546875" customWidth="1" style="344" min="1254" max="1254"/>
    <col width="11.42578125" customWidth="1" style="344" min="1255" max="1255"/>
    <col width="18.42578125" customWidth="1" style="344" min="1256" max="1256"/>
    <col width="14.7109375" customWidth="1" style="344" min="1257" max="1257"/>
    <col width="13.28515625" customWidth="1" style="344" min="1258" max="1258"/>
    <col width="9.7109375" customWidth="1" style="344" min="1259" max="1259"/>
    <col width="25" customWidth="1" style="344" min="1260" max="1260"/>
    <col width="9.140625" customWidth="1" style="344" min="1261" max="1261"/>
    <col width="8.85546875" customWidth="1" style="344" min="1262" max="1487"/>
    <col width="3.42578125" customWidth="1" style="344" min="1488" max="1488"/>
    <col width="18.7109375" customWidth="1" style="344" min="1489" max="1489"/>
    <col width="19.7109375" customWidth="1" style="344" min="1490" max="1490"/>
    <col width="24.42578125" customWidth="1" style="344" min="1491" max="1491"/>
    <col width="11" customWidth="1" style="344" min="1492" max="1492"/>
    <col width="11.85546875" customWidth="1" style="344" min="1493" max="1493"/>
    <col width="12.42578125" customWidth="1" style="344" min="1494" max="1494"/>
    <col width="26.7109375" customWidth="1" style="344" min="1495" max="1496"/>
    <col width="28.140625" customWidth="1" style="344" min="1497" max="1497"/>
    <col width="4.85546875" customWidth="1" style="344" min="1498" max="1498"/>
    <col width="3.7109375" customWidth="1" style="344" min="1499" max="1499"/>
    <col width="7.7109375" bestFit="1" customWidth="1" style="344" min="1500" max="1500"/>
    <col width="4.85546875" customWidth="1" style="344" min="1501" max="1501"/>
    <col width="4.28515625" customWidth="1" style="344" min="1502" max="1502"/>
    <col width="9.28515625" customWidth="1" style="344" min="1503" max="1503"/>
    <col width="5.140625" bestFit="1" customWidth="1" style="344" min="1504" max="1504"/>
    <col width="4.28515625" customWidth="1" style="344" min="1505" max="1505"/>
    <col width="8" bestFit="1" customWidth="1" style="344" min="1506" max="1506"/>
    <col width="11" customWidth="1" style="344" min="1507" max="1507"/>
    <col width="10.42578125" customWidth="1" style="344" min="1508" max="1509"/>
    <col width="8.85546875" customWidth="1" style="344" min="1510" max="1510"/>
    <col width="11.42578125" customWidth="1" style="344" min="1511" max="1511"/>
    <col width="18.42578125" customWidth="1" style="344" min="1512" max="1512"/>
    <col width="14.7109375" customWidth="1" style="344" min="1513" max="1513"/>
    <col width="13.28515625" customWidth="1" style="344" min="1514" max="1514"/>
    <col width="9.7109375" customWidth="1" style="344" min="1515" max="1515"/>
    <col width="25" customWidth="1" style="344" min="1516" max="1516"/>
    <col width="9.140625" customWidth="1" style="344" min="1517" max="1517"/>
    <col width="8.85546875" customWidth="1" style="344" min="1518" max="1743"/>
    <col width="3.42578125" customWidth="1" style="344" min="1744" max="1744"/>
    <col width="18.7109375" customWidth="1" style="344" min="1745" max="1745"/>
    <col width="19.7109375" customWidth="1" style="344" min="1746" max="1746"/>
    <col width="24.42578125" customWidth="1" style="344" min="1747" max="1747"/>
    <col width="11" customWidth="1" style="344" min="1748" max="1748"/>
    <col width="11.85546875" customWidth="1" style="344" min="1749" max="1749"/>
    <col width="12.42578125" customWidth="1" style="344" min="1750" max="1750"/>
    <col width="26.7109375" customWidth="1" style="344" min="1751" max="1752"/>
    <col width="28.140625" customWidth="1" style="344" min="1753" max="1753"/>
    <col width="4.85546875" customWidth="1" style="344" min="1754" max="1754"/>
    <col width="3.7109375" customWidth="1" style="344" min="1755" max="1755"/>
    <col width="7.7109375" bestFit="1" customWidth="1" style="344" min="1756" max="1756"/>
    <col width="4.85546875" customWidth="1" style="344" min="1757" max="1757"/>
    <col width="4.28515625" customWidth="1" style="344" min="1758" max="1758"/>
    <col width="9.28515625" customWidth="1" style="344" min="1759" max="1759"/>
    <col width="5.140625" bestFit="1" customWidth="1" style="344" min="1760" max="1760"/>
    <col width="4.28515625" customWidth="1" style="344" min="1761" max="1761"/>
    <col width="8" bestFit="1" customWidth="1" style="344" min="1762" max="1762"/>
    <col width="11" customWidth="1" style="344" min="1763" max="1763"/>
    <col width="10.42578125" customWidth="1" style="344" min="1764" max="1765"/>
    <col width="8.85546875" customWidth="1" style="344" min="1766" max="1766"/>
    <col width="11.42578125" customWidth="1" style="344" min="1767" max="1767"/>
    <col width="18.42578125" customWidth="1" style="344" min="1768" max="1768"/>
    <col width="14.7109375" customWidth="1" style="344" min="1769" max="1769"/>
    <col width="13.28515625" customWidth="1" style="344" min="1770" max="1770"/>
    <col width="9.7109375" customWidth="1" style="344" min="1771" max="1771"/>
    <col width="25" customWidth="1" style="344" min="1772" max="1772"/>
    <col width="9.140625" customWidth="1" style="344" min="1773" max="1773"/>
    <col width="8.85546875" customWidth="1" style="344" min="1774" max="1999"/>
    <col width="3.42578125" customWidth="1" style="344" min="2000" max="2000"/>
    <col width="18.7109375" customWidth="1" style="344" min="2001" max="2001"/>
    <col width="19.7109375" customWidth="1" style="344" min="2002" max="2002"/>
    <col width="24.42578125" customWidth="1" style="344" min="2003" max="2003"/>
    <col width="11" customWidth="1" style="344" min="2004" max="2004"/>
    <col width="11.85546875" customWidth="1" style="344" min="2005" max="2005"/>
    <col width="12.42578125" customWidth="1" style="344" min="2006" max="2006"/>
    <col width="26.7109375" customWidth="1" style="344" min="2007" max="2008"/>
    <col width="28.140625" customWidth="1" style="344" min="2009" max="2009"/>
    <col width="4.85546875" customWidth="1" style="344" min="2010" max="2010"/>
    <col width="3.7109375" customWidth="1" style="344" min="2011" max="2011"/>
    <col width="7.7109375" bestFit="1" customWidth="1" style="344" min="2012" max="2012"/>
    <col width="4.85546875" customWidth="1" style="344" min="2013" max="2013"/>
    <col width="4.28515625" customWidth="1" style="344" min="2014" max="2014"/>
    <col width="9.28515625" customWidth="1" style="344" min="2015" max="2015"/>
    <col width="5.140625" bestFit="1" customWidth="1" style="344" min="2016" max="2016"/>
    <col width="4.28515625" customWidth="1" style="344" min="2017" max="2017"/>
    <col width="8" bestFit="1" customWidth="1" style="344" min="2018" max="2018"/>
    <col width="11" customWidth="1" style="344" min="2019" max="2019"/>
    <col width="10.42578125" customWidth="1" style="344" min="2020" max="2021"/>
    <col width="8.85546875" customWidth="1" style="344" min="2022" max="2022"/>
    <col width="11.42578125" customWidth="1" style="344" min="2023" max="2023"/>
    <col width="18.42578125" customWidth="1" style="344" min="2024" max="2024"/>
    <col width="14.7109375" customWidth="1" style="344" min="2025" max="2025"/>
    <col width="13.28515625" customWidth="1" style="344" min="2026" max="2026"/>
    <col width="9.7109375" customWidth="1" style="344" min="2027" max="2027"/>
    <col width="25" customWidth="1" style="344" min="2028" max="2028"/>
    <col width="9.140625" customWidth="1" style="344" min="2029" max="2029"/>
    <col width="8.85546875" customWidth="1" style="344" min="2030" max="2255"/>
    <col width="3.42578125" customWidth="1" style="344" min="2256" max="2256"/>
    <col width="18.7109375" customWidth="1" style="344" min="2257" max="2257"/>
    <col width="19.7109375" customWidth="1" style="344" min="2258" max="2258"/>
    <col width="24.42578125" customWidth="1" style="344" min="2259" max="2259"/>
    <col width="11" customWidth="1" style="344" min="2260" max="2260"/>
    <col width="11.85546875" customWidth="1" style="344" min="2261" max="2261"/>
    <col width="12.42578125" customWidth="1" style="344" min="2262" max="2262"/>
    <col width="26.7109375" customWidth="1" style="344" min="2263" max="2264"/>
    <col width="28.140625" customWidth="1" style="344" min="2265" max="2265"/>
    <col width="4.85546875" customWidth="1" style="344" min="2266" max="2266"/>
    <col width="3.7109375" customWidth="1" style="344" min="2267" max="2267"/>
    <col width="7.7109375" bestFit="1" customWidth="1" style="344" min="2268" max="2268"/>
    <col width="4.85546875" customWidth="1" style="344" min="2269" max="2269"/>
    <col width="4.28515625" customWidth="1" style="344" min="2270" max="2270"/>
    <col width="9.28515625" customWidth="1" style="344" min="2271" max="2271"/>
    <col width="5.140625" bestFit="1" customWidth="1" style="344" min="2272" max="2272"/>
    <col width="4.28515625" customWidth="1" style="344" min="2273" max="2273"/>
    <col width="8" bestFit="1" customWidth="1" style="344" min="2274" max="2274"/>
    <col width="11" customWidth="1" style="344" min="2275" max="2275"/>
    <col width="10.42578125" customWidth="1" style="344" min="2276" max="2277"/>
    <col width="8.85546875" customWidth="1" style="344" min="2278" max="2278"/>
    <col width="11.42578125" customWidth="1" style="344" min="2279" max="2279"/>
    <col width="18.42578125" customWidth="1" style="344" min="2280" max="2280"/>
    <col width="14.7109375" customWidth="1" style="344" min="2281" max="2281"/>
    <col width="13.28515625" customWidth="1" style="344" min="2282" max="2282"/>
    <col width="9.7109375" customWidth="1" style="344" min="2283" max="2283"/>
    <col width="25" customWidth="1" style="344" min="2284" max="2284"/>
    <col width="9.140625" customWidth="1" style="344" min="2285" max="2285"/>
    <col width="8.85546875" customWidth="1" style="344" min="2286" max="2511"/>
    <col width="3.42578125" customWidth="1" style="344" min="2512" max="2512"/>
    <col width="18.7109375" customWidth="1" style="344" min="2513" max="2513"/>
    <col width="19.7109375" customWidth="1" style="344" min="2514" max="2514"/>
    <col width="24.42578125" customWidth="1" style="344" min="2515" max="2515"/>
    <col width="11" customWidth="1" style="344" min="2516" max="2516"/>
    <col width="11.85546875" customWidth="1" style="344" min="2517" max="2517"/>
    <col width="12.42578125" customWidth="1" style="344" min="2518" max="2518"/>
    <col width="26.7109375" customWidth="1" style="344" min="2519" max="2520"/>
    <col width="28.140625" customWidth="1" style="344" min="2521" max="2521"/>
    <col width="4.85546875" customWidth="1" style="344" min="2522" max="2522"/>
    <col width="3.7109375" customWidth="1" style="344" min="2523" max="2523"/>
    <col width="7.7109375" bestFit="1" customWidth="1" style="344" min="2524" max="2524"/>
    <col width="4.85546875" customWidth="1" style="344" min="2525" max="2525"/>
    <col width="4.28515625" customWidth="1" style="344" min="2526" max="2526"/>
    <col width="9.28515625" customWidth="1" style="344" min="2527" max="2527"/>
    <col width="5.140625" bestFit="1" customWidth="1" style="344" min="2528" max="2528"/>
    <col width="4.28515625" customWidth="1" style="344" min="2529" max="2529"/>
    <col width="8" bestFit="1" customWidth="1" style="344" min="2530" max="2530"/>
    <col width="11" customWidth="1" style="344" min="2531" max="2531"/>
    <col width="10.42578125" customWidth="1" style="344" min="2532" max="2533"/>
    <col width="8.85546875" customWidth="1" style="344" min="2534" max="2534"/>
    <col width="11.42578125" customWidth="1" style="344" min="2535" max="2535"/>
    <col width="18.42578125" customWidth="1" style="344" min="2536" max="2536"/>
    <col width="14.7109375" customWidth="1" style="344" min="2537" max="2537"/>
    <col width="13.28515625" customWidth="1" style="344" min="2538" max="2538"/>
    <col width="9.7109375" customWidth="1" style="344" min="2539" max="2539"/>
    <col width="25" customWidth="1" style="344" min="2540" max="2540"/>
    <col width="9.140625" customWidth="1" style="344" min="2541" max="2541"/>
    <col width="8.85546875" customWidth="1" style="344" min="2542" max="2767"/>
    <col width="3.42578125" customWidth="1" style="344" min="2768" max="2768"/>
    <col width="18.7109375" customWidth="1" style="344" min="2769" max="2769"/>
    <col width="19.7109375" customWidth="1" style="344" min="2770" max="2770"/>
    <col width="24.42578125" customWidth="1" style="344" min="2771" max="2771"/>
    <col width="11" customWidth="1" style="344" min="2772" max="2772"/>
    <col width="11.85546875" customWidth="1" style="344" min="2773" max="2773"/>
    <col width="12.42578125" customWidth="1" style="344" min="2774" max="2774"/>
    <col width="26.7109375" customWidth="1" style="344" min="2775" max="2776"/>
    <col width="28.140625" customWidth="1" style="344" min="2777" max="2777"/>
    <col width="4.85546875" customWidth="1" style="344" min="2778" max="2778"/>
    <col width="3.7109375" customWidth="1" style="344" min="2779" max="2779"/>
    <col width="7.7109375" bestFit="1" customWidth="1" style="344" min="2780" max="2780"/>
    <col width="4.85546875" customWidth="1" style="344" min="2781" max="2781"/>
    <col width="4.28515625" customWidth="1" style="344" min="2782" max="2782"/>
    <col width="9.28515625" customWidth="1" style="344" min="2783" max="2783"/>
    <col width="5.140625" bestFit="1" customWidth="1" style="344" min="2784" max="2784"/>
    <col width="4.28515625" customWidth="1" style="344" min="2785" max="2785"/>
    <col width="8" bestFit="1" customWidth="1" style="344" min="2786" max="2786"/>
    <col width="11" customWidth="1" style="344" min="2787" max="2787"/>
    <col width="10.42578125" customWidth="1" style="344" min="2788" max="2789"/>
    <col width="8.85546875" customWidth="1" style="344" min="2790" max="2790"/>
    <col width="11.42578125" customWidth="1" style="344" min="2791" max="2791"/>
    <col width="18.42578125" customWidth="1" style="344" min="2792" max="2792"/>
    <col width="14.7109375" customWidth="1" style="344" min="2793" max="2793"/>
    <col width="13.28515625" customWidth="1" style="344" min="2794" max="2794"/>
    <col width="9.7109375" customWidth="1" style="344" min="2795" max="2795"/>
    <col width="25" customWidth="1" style="344" min="2796" max="2796"/>
    <col width="9.140625" customWidth="1" style="344" min="2797" max="2797"/>
    <col width="8.85546875" customWidth="1" style="344" min="2798" max="3023"/>
    <col width="3.42578125" customWidth="1" style="344" min="3024" max="3024"/>
    <col width="18.7109375" customWidth="1" style="344" min="3025" max="3025"/>
    <col width="19.7109375" customWidth="1" style="344" min="3026" max="3026"/>
    <col width="24.42578125" customWidth="1" style="344" min="3027" max="3027"/>
    <col width="11" customWidth="1" style="344" min="3028" max="3028"/>
    <col width="11.85546875" customWidth="1" style="344" min="3029" max="3029"/>
    <col width="12.42578125" customWidth="1" style="344" min="3030" max="3030"/>
    <col width="26.7109375" customWidth="1" style="344" min="3031" max="3032"/>
    <col width="28.140625" customWidth="1" style="344" min="3033" max="3033"/>
    <col width="4.85546875" customWidth="1" style="344" min="3034" max="3034"/>
    <col width="3.7109375" customWidth="1" style="344" min="3035" max="3035"/>
    <col width="7.7109375" bestFit="1" customWidth="1" style="344" min="3036" max="3036"/>
    <col width="4.85546875" customWidth="1" style="344" min="3037" max="3037"/>
    <col width="4.28515625" customWidth="1" style="344" min="3038" max="3038"/>
    <col width="9.28515625" customWidth="1" style="344" min="3039" max="3039"/>
    <col width="5.140625" bestFit="1" customWidth="1" style="344" min="3040" max="3040"/>
    <col width="4.28515625" customWidth="1" style="344" min="3041" max="3041"/>
    <col width="8" bestFit="1" customWidth="1" style="344" min="3042" max="3042"/>
    <col width="11" customWidth="1" style="344" min="3043" max="3043"/>
    <col width="10.42578125" customWidth="1" style="344" min="3044" max="3045"/>
    <col width="8.85546875" customWidth="1" style="344" min="3046" max="3046"/>
    <col width="11.42578125" customWidth="1" style="344" min="3047" max="3047"/>
    <col width="18.42578125" customWidth="1" style="344" min="3048" max="3048"/>
    <col width="14.7109375" customWidth="1" style="344" min="3049" max="3049"/>
    <col width="13.28515625" customWidth="1" style="344" min="3050" max="3050"/>
    <col width="9.7109375" customWidth="1" style="344" min="3051" max="3051"/>
    <col width="25" customWidth="1" style="344" min="3052" max="3052"/>
    <col width="9.140625" customWidth="1" style="344" min="3053" max="3053"/>
    <col width="8.85546875" customWidth="1" style="344" min="3054" max="3279"/>
    <col width="3.42578125" customWidth="1" style="344" min="3280" max="3280"/>
    <col width="18.7109375" customWidth="1" style="344" min="3281" max="3281"/>
    <col width="19.7109375" customWidth="1" style="344" min="3282" max="3282"/>
    <col width="24.42578125" customWidth="1" style="344" min="3283" max="3283"/>
    <col width="11" customWidth="1" style="344" min="3284" max="3284"/>
    <col width="11.85546875" customWidth="1" style="344" min="3285" max="3285"/>
    <col width="12.42578125" customWidth="1" style="344" min="3286" max="3286"/>
    <col width="26.7109375" customWidth="1" style="344" min="3287" max="3288"/>
    <col width="28.140625" customWidth="1" style="344" min="3289" max="3289"/>
    <col width="4.85546875" customWidth="1" style="344" min="3290" max="3290"/>
    <col width="3.7109375" customWidth="1" style="344" min="3291" max="3291"/>
    <col width="7.7109375" bestFit="1" customWidth="1" style="344" min="3292" max="3292"/>
    <col width="4.85546875" customWidth="1" style="344" min="3293" max="3293"/>
    <col width="4.28515625" customWidth="1" style="344" min="3294" max="3294"/>
    <col width="9.28515625" customWidth="1" style="344" min="3295" max="3295"/>
    <col width="5.140625" bestFit="1" customWidth="1" style="344" min="3296" max="3296"/>
    <col width="4.28515625" customWidth="1" style="344" min="3297" max="3297"/>
    <col width="8" bestFit="1" customWidth="1" style="344" min="3298" max="3298"/>
    <col width="11" customWidth="1" style="344" min="3299" max="3299"/>
    <col width="10.42578125" customWidth="1" style="344" min="3300" max="3301"/>
    <col width="8.85546875" customWidth="1" style="344" min="3302" max="3302"/>
    <col width="11.42578125" customWidth="1" style="344" min="3303" max="3303"/>
    <col width="18.42578125" customWidth="1" style="344" min="3304" max="3304"/>
    <col width="14.7109375" customWidth="1" style="344" min="3305" max="3305"/>
    <col width="13.28515625" customWidth="1" style="344" min="3306" max="3306"/>
    <col width="9.7109375" customWidth="1" style="344" min="3307" max="3307"/>
    <col width="25" customWidth="1" style="344" min="3308" max="3308"/>
    <col width="9.140625" customWidth="1" style="344" min="3309" max="3309"/>
    <col width="8.85546875" customWidth="1" style="344" min="3310" max="3535"/>
    <col width="3.42578125" customWidth="1" style="344" min="3536" max="3536"/>
    <col width="18.7109375" customWidth="1" style="344" min="3537" max="3537"/>
    <col width="19.7109375" customWidth="1" style="344" min="3538" max="3538"/>
    <col width="24.42578125" customWidth="1" style="344" min="3539" max="3539"/>
    <col width="11" customWidth="1" style="344" min="3540" max="3540"/>
    <col width="11.85546875" customWidth="1" style="344" min="3541" max="3541"/>
    <col width="12.42578125" customWidth="1" style="344" min="3542" max="3542"/>
    <col width="26.7109375" customWidth="1" style="344" min="3543" max="3544"/>
    <col width="28.140625" customWidth="1" style="344" min="3545" max="3545"/>
    <col width="4.85546875" customWidth="1" style="344" min="3546" max="3546"/>
    <col width="3.7109375" customWidth="1" style="344" min="3547" max="3547"/>
    <col width="7.7109375" bestFit="1" customWidth="1" style="344" min="3548" max="3548"/>
    <col width="4.85546875" customWidth="1" style="344" min="3549" max="3549"/>
    <col width="4.28515625" customWidth="1" style="344" min="3550" max="3550"/>
    <col width="9.28515625" customWidth="1" style="344" min="3551" max="3551"/>
    <col width="5.140625" bestFit="1" customWidth="1" style="344" min="3552" max="3552"/>
    <col width="4.28515625" customWidth="1" style="344" min="3553" max="3553"/>
    <col width="8" bestFit="1" customWidth="1" style="344" min="3554" max="3554"/>
    <col width="11" customWidth="1" style="344" min="3555" max="3555"/>
    <col width="10.42578125" customWidth="1" style="344" min="3556" max="3557"/>
    <col width="8.85546875" customWidth="1" style="344" min="3558" max="3558"/>
    <col width="11.42578125" customWidth="1" style="344" min="3559" max="3559"/>
    <col width="18.42578125" customWidth="1" style="344" min="3560" max="3560"/>
    <col width="14.7109375" customWidth="1" style="344" min="3561" max="3561"/>
    <col width="13.28515625" customWidth="1" style="344" min="3562" max="3562"/>
    <col width="9.7109375" customWidth="1" style="344" min="3563" max="3563"/>
    <col width="25" customWidth="1" style="344" min="3564" max="3564"/>
    <col width="9.140625" customWidth="1" style="344" min="3565" max="3565"/>
    <col width="8.85546875" customWidth="1" style="344" min="3566" max="3791"/>
    <col width="3.42578125" customWidth="1" style="344" min="3792" max="3792"/>
    <col width="18.7109375" customWidth="1" style="344" min="3793" max="3793"/>
    <col width="19.7109375" customWidth="1" style="344" min="3794" max="3794"/>
    <col width="24.42578125" customWidth="1" style="344" min="3795" max="3795"/>
    <col width="11" customWidth="1" style="344" min="3796" max="3796"/>
    <col width="11.85546875" customWidth="1" style="344" min="3797" max="3797"/>
    <col width="12.42578125" customWidth="1" style="344" min="3798" max="3798"/>
    <col width="26.7109375" customWidth="1" style="344" min="3799" max="3800"/>
    <col width="28.140625" customWidth="1" style="344" min="3801" max="3801"/>
    <col width="4.85546875" customWidth="1" style="344" min="3802" max="3802"/>
    <col width="3.7109375" customWidth="1" style="344" min="3803" max="3803"/>
    <col width="7.7109375" bestFit="1" customWidth="1" style="344" min="3804" max="3804"/>
    <col width="4.85546875" customWidth="1" style="344" min="3805" max="3805"/>
    <col width="4.28515625" customWidth="1" style="344" min="3806" max="3806"/>
    <col width="9.28515625" customWidth="1" style="344" min="3807" max="3807"/>
    <col width="5.140625" bestFit="1" customWidth="1" style="344" min="3808" max="3808"/>
    <col width="4.28515625" customWidth="1" style="344" min="3809" max="3809"/>
    <col width="8" bestFit="1" customWidth="1" style="344" min="3810" max="3810"/>
    <col width="11" customWidth="1" style="344" min="3811" max="3811"/>
    <col width="10.42578125" customWidth="1" style="344" min="3812" max="3813"/>
    <col width="8.85546875" customWidth="1" style="344" min="3814" max="3814"/>
    <col width="11.42578125" customWidth="1" style="344" min="3815" max="3815"/>
    <col width="18.42578125" customWidth="1" style="344" min="3816" max="3816"/>
    <col width="14.7109375" customWidth="1" style="344" min="3817" max="3817"/>
    <col width="13.28515625" customWidth="1" style="344" min="3818" max="3818"/>
    <col width="9.7109375" customWidth="1" style="344" min="3819" max="3819"/>
    <col width="25" customWidth="1" style="344" min="3820" max="3820"/>
    <col width="9.140625" customWidth="1" style="344" min="3821" max="3821"/>
    <col width="8.85546875" customWidth="1" style="344" min="3822" max="4047"/>
    <col width="3.42578125" customWidth="1" style="344" min="4048" max="4048"/>
    <col width="18.7109375" customWidth="1" style="344" min="4049" max="4049"/>
    <col width="19.7109375" customWidth="1" style="344" min="4050" max="4050"/>
    <col width="24.42578125" customWidth="1" style="344" min="4051" max="4051"/>
    <col width="11" customWidth="1" style="344" min="4052" max="4052"/>
    <col width="11.85546875" customWidth="1" style="344" min="4053" max="4053"/>
    <col width="12.42578125" customWidth="1" style="344" min="4054" max="4054"/>
    <col width="26.7109375" customWidth="1" style="344" min="4055" max="4056"/>
    <col width="28.140625" customWidth="1" style="344" min="4057" max="4057"/>
    <col width="4.85546875" customWidth="1" style="344" min="4058" max="4058"/>
    <col width="3.7109375" customWidth="1" style="344" min="4059" max="4059"/>
    <col width="7.7109375" bestFit="1" customWidth="1" style="344" min="4060" max="4060"/>
    <col width="4.85546875" customWidth="1" style="344" min="4061" max="4061"/>
    <col width="4.28515625" customWidth="1" style="344" min="4062" max="4062"/>
    <col width="9.28515625" customWidth="1" style="344" min="4063" max="4063"/>
    <col width="5.140625" bestFit="1" customWidth="1" style="344" min="4064" max="4064"/>
    <col width="4.28515625" customWidth="1" style="344" min="4065" max="4065"/>
    <col width="8" bestFit="1" customWidth="1" style="344" min="4066" max="4066"/>
    <col width="11" customWidth="1" style="344" min="4067" max="4067"/>
    <col width="10.42578125" customWidth="1" style="344" min="4068" max="4069"/>
    <col width="8.85546875" customWidth="1" style="344" min="4070" max="4070"/>
    <col width="11.42578125" customWidth="1" style="344" min="4071" max="4071"/>
    <col width="18.42578125" customWidth="1" style="344" min="4072" max="4072"/>
    <col width="14.7109375" customWidth="1" style="344" min="4073" max="4073"/>
    <col width="13.28515625" customWidth="1" style="344" min="4074" max="4074"/>
    <col width="9.7109375" customWidth="1" style="344" min="4075" max="4075"/>
    <col width="25" customWidth="1" style="344" min="4076" max="4076"/>
    <col width="9.140625" customWidth="1" style="344" min="4077" max="4077"/>
    <col width="8.85546875" customWidth="1" style="344" min="4078" max="4303"/>
    <col width="3.42578125" customWidth="1" style="344" min="4304" max="4304"/>
    <col width="18.7109375" customWidth="1" style="344" min="4305" max="4305"/>
    <col width="19.7109375" customWidth="1" style="344" min="4306" max="4306"/>
    <col width="24.42578125" customWidth="1" style="344" min="4307" max="4307"/>
    <col width="11" customWidth="1" style="344" min="4308" max="4308"/>
    <col width="11.85546875" customWidth="1" style="344" min="4309" max="4309"/>
    <col width="12.42578125" customWidth="1" style="344" min="4310" max="4310"/>
    <col width="26.7109375" customWidth="1" style="344" min="4311" max="4312"/>
    <col width="28.140625" customWidth="1" style="344" min="4313" max="4313"/>
    <col width="4.85546875" customWidth="1" style="344" min="4314" max="4314"/>
    <col width="3.7109375" customWidth="1" style="344" min="4315" max="4315"/>
    <col width="7.7109375" bestFit="1" customWidth="1" style="344" min="4316" max="4316"/>
    <col width="4.85546875" customWidth="1" style="344" min="4317" max="4317"/>
    <col width="4.28515625" customWidth="1" style="344" min="4318" max="4318"/>
    <col width="9.28515625" customWidth="1" style="344" min="4319" max="4319"/>
    <col width="5.140625" bestFit="1" customWidth="1" style="344" min="4320" max="4320"/>
    <col width="4.28515625" customWidth="1" style="344" min="4321" max="4321"/>
    <col width="8" bestFit="1" customWidth="1" style="344" min="4322" max="4322"/>
    <col width="11" customWidth="1" style="344" min="4323" max="4323"/>
    <col width="10.42578125" customWidth="1" style="344" min="4324" max="4325"/>
    <col width="8.85546875" customWidth="1" style="344" min="4326" max="4326"/>
    <col width="11.42578125" customWidth="1" style="344" min="4327" max="4327"/>
    <col width="18.42578125" customWidth="1" style="344" min="4328" max="4328"/>
    <col width="14.7109375" customWidth="1" style="344" min="4329" max="4329"/>
    <col width="13.28515625" customWidth="1" style="344" min="4330" max="4330"/>
    <col width="9.7109375" customWidth="1" style="344" min="4331" max="4331"/>
    <col width="25" customWidth="1" style="344" min="4332" max="4332"/>
    <col width="9.140625" customWidth="1" style="344" min="4333" max="4333"/>
    <col width="8.85546875" customWidth="1" style="344" min="4334" max="4559"/>
    <col width="3.42578125" customWidth="1" style="344" min="4560" max="4560"/>
    <col width="18.7109375" customWidth="1" style="344" min="4561" max="4561"/>
    <col width="19.7109375" customWidth="1" style="344" min="4562" max="4562"/>
    <col width="24.42578125" customWidth="1" style="344" min="4563" max="4563"/>
    <col width="11" customWidth="1" style="344" min="4564" max="4564"/>
    <col width="11.85546875" customWidth="1" style="344" min="4565" max="4565"/>
    <col width="12.42578125" customWidth="1" style="344" min="4566" max="4566"/>
    <col width="26.7109375" customWidth="1" style="344" min="4567" max="4568"/>
    <col width="28.140625" customWidth="1" style="344" min="4569" max="4569"/>
    <col width="4.85546875" customWidth="1" style="344" min="4570" max="4570"/>
    <col width="3.7109375" customWidth="1" style="344" min="4571" max="4571"/>
    <col width="7.7109375" bestFit="1" customWidth="1" style="344" min="4572" max="4572"/>
    <col width="4.85546875" customWidth="1" style="344" min="4573" max="4573"/>
    <col width="4.28515625" customWidth="1" style="344" min="4574" max="4574"/>
    <col width="9.28515625" customWidth="1" style="344" min="4575" max="4575"/>
    <col width="5.140625" bestFit="1" customWidth="1" style="344" min="4576" max="4576"/>
    <col width="4.28515625" customWidth="1" style="344" min="4577" max="4577"/>
    <col width="8" bestFit="1" customWidth="1" style="344" min="4578" max="4578"/>
    <col width="11" customWidth="1" style="344" min="4579" max="4579"/>
    <col width="10.42578125" customWidth="1" style="344" min="4580" max="4581"/>
    <col width="8.85546875" customWidth="1" style="344" min="4582" max="4582"/>
    <col width="11.42578125" customWidth="1" style="344" min="4583" max="4583"/>
    <col width="18.42578125" customWidth="1" style="344" min="4584" max="4584"/>
    <col width="14.7109375" customWidth="1" style="344" min="4585" max="4585"/>
    <col width="13.28515625" customWidth="1" style="344" min="4586" max="4586"/>
    <col width="9.7109375" customWidth="1" style="344" min="4587" max="4587"/>
    <col width="25" customWidth="1" style="344" min="4588" max="4588"/>
    <col width="9.140625" customWidth="1" style="344" min="4589" max="4589"/>
    <col width="8.85546875" customWidth="1" style="344" min="4590" max="4815"/>
    <col width="3.42578125" customWidth="1" style="344" min="4816" max="4816"/>
    <col width="18.7109375" customWidth="1" style="344" min="4817" max="4817"/>
    <col width="19.7109375" customWidth="1" style="344" min="4818" max="4818"/>
    <col width="24.42578125" customWidth="1" style="344" min="4819" max="4819"/>
    <col width="11" customWidth="1" style="344" min="4820" max="4820"/>
    <col width="11.85546875" customWidth="1" style="344" min="4821" max="4821"/>
    <col width="12.42578125" customWidth="1" style="344" min="4822" max="4822"/>
    <col width="26.7109375" customWidth="1" style="344" min="4823" max="4824"/>
    <col width="28.140625" customWidth="1" style="344" min="4825" max="4825"/>
    <col width="4.85546875" customWidth="1" style="344" min="4826" max="4826"/>
    <col width="3.7109375" customWidth="1" style="344" min="4827" max="4827"/>
    <col width="7.7109375" bestFit="1" customWidth="1" style="344" min="4828" max="4828"/>
    <col width="4.85546875" customWidth="1" style="344" min="4829" max="4829"/>
    <col width="4.28515625" customWidth="1" style="344" min="4830" max="4830"/>
    <col width="9.28515625" customWidth="1" style="344" min="4831" max="4831"/>
    <col width="5.140625" bestFit="1" customWidth="1" style="344" min="4832" max="4832"/>
    <col width="4.28515625" customWidth="1" style="344" min="4833" max="4833"/>
    <col width="8" bestFit="1" customWidth="1" style="344" min="4834" max="4834"/>
    <col width="11" customWidth="1" style="344" min="4835" max="4835"/>
    <col width="10.42578125" customWidth="1" style="344" min="4836" max="4837"/>
    <col width="8.85546875" customWidth="1" style="344" min="4838" max="4838"/>
    <col width="11.42578125" customWidth="1" style="344" min="4839" max="4839"/>
    <col width="18.42578125" customWidth="1" style="344" min="4840" max="4840"/>
    <col width="14.7109375" customWidth="1" style="344" min="4841" max="4841"/>
    <col width="13.28515625" customWidth="1" style="344" min="4842" max="4842"/>
    <col width="9.7109375" customWidth="1" style="344" min="4843" max="4843"/>
    <col width="25" customWidth="1" style="344" min="4844" max="4844"/>
    <col width="9.140625" customWidth="1" style="344" min="4845" max="4845"/>
    <col width="8.85546875" customWidth="1" style="344" min="4846" max="5071"/>
    <col width="3.42578125" customWidth="1" style="344" min="5072" max="5072"/>
    <col width="18.7109375" customWidth="1" style="344" min="5073" max="5073"/>
    <col width="19.7109375" customWidth="1" style="344" min="5074" max="5074"/>
    <col width="24.42578125" customWidth="1" style="344" min="5075" max="5075"/>
    <col width="11" customWidth="1" style="344" min="5076" max="5076"/>
    <col width="11.85546875" customWidth="1" style="344" min="5077" max="5077"/>
    <col width="12.42578125" customWidth="1" style="344" min="5078" max="5078"/>
    <col width="26.7109375" customWidth="1" style="344" min="5079" max="5080"/>
    <col width="28.140625" customWidth="1" style="344" min="5081" max="5081"/>
    <col width="4.85546875" customWidth="1" style="344" min="5082" max="5082"/>
    <col width="3.7109375" customWidth="1" style="344" min="5083" max="5083"/>
    <col width="7.7109375" bestFit="1" customWidth="1" style="344" min="5084" max="5084"/>
    <col width="4.85546875" customWidth="1" style="344" min="5085" max="5085"/>
    <col width="4.28515625" customWidth="1" style="344" min="5086" max="5086"/>
    <col width="9.28515625" customWidth="1" style="344" min="5087" max="5087"/>
    <col width="5.140625" bestFit="1" customWidth="1" style="344" min="5088" max="5088"/>
    <col width="4.28515625" customWidth="1" style="344" min="5089" max="5089"/>
    <col width="8" bestFit="1" customWidth="1" style="344" min="5090" max="5090"/>
    <col width="11" customWidth="1" style="344" min="5091" max="5091"/>
    <col width="10.42578125" customWidth="1" style="344" min="5092" max="5093"/>
    <col width="8.85546875" customWidth="1" style="344" min="5094" max="5094"/>
    <col width="11.42578125" customWidth="1" style="344" min="5095" max="5095"/>
    <col width="18.42578125" customWidth="1" style="344" min="5096" max="5096"/>
    <col width="14.7109375" customWidth="1" style="344" min="5097" max="5097"/>
    <col width="13.28515625" customWidth="1" style="344" min="5098" max="5098"/>
    <col width="9.7109375" customWidth="1" style="344" min="5099" max="5099"/>
    <col width="25" customWidth="1" style="344" min="5100" max="5100"/>
    <col width="9.140625" customWidth="1" style="344" min="5101" max="5101"/>
    <col width="8.85546875" customWidth="1" style="344" min="5102" max="5327"/>
    <col width="3.42578125" customWidth="1" style="344" min="5328" max="5328"/>
    <col width="18.7109375" customWidth="1" style="344" min="5329" max="5329"/>
    <col width="19.7109375" customWidth="1" style="344" min="5330" max="5330"/>
    <col width="24.42578125" customWidth="1" style="344" min="5331" max="5331"/>
    <col width="11" customWidth="1" style="344" min="5332" max="5332"/>
    <col width="11.85546875" customWidth="1" style="344" min="5333" max="5333"/>
    <col width="12.42578125" customWidth="1" style="344" min="5334" max="5334"/>
    <col width="26.7109375" customWidth="1" style="344" min="5335" max="5336"/>
    <col width="28.140625" customWidth="1" style="344" min="5337" max="5337"/>
    <col width="4.85546875" customWidth="1" style="344" min="5338" max="5338"/>
    <col width="3.7109375" customWidth="1" style="344" min="5339" max="5339"/>
    <col width="7.7109375" bestFit="1" customWidth="1" style="344" min="5340" max="5340"/>
    <col width="4.85546875" customWidth="1" style="344" min="5341" max="5341"/>
    <col width="4.28515625" customWidth="1" style="344" min="5342" max="5342"/>
    <col width="9.28515625" customWidth="1" style="344" min="5343" max="5343"/>
    <col width="5.140625" bestFit="1" customWidth="1" style="344" min="5344" max="5344"/>
    <col width="4.28515625" customWidth="1" style="344" min="5345" max="5345"/>
    <col width="8" bestFit="1" customWidth="1" style="344" min="5346" max="5346"/>
    <col width="11" customWidth="1" style="344" min="5347" max="5347"/>
    <col width="10.42578125" customWidth="1" style="344" min="5348" max="5349"/>
    <col width="8.85546875" customWidth="1" style="344" min="5350" max="5350"/>
    <col width="11.42578125" customWidth="1" style="344" min="5351" max="5351"/>
    <col width="18.42578125" customWidth="1" style="344" min="5352" max="5352"/>
    <col width="14.7109375" customWidth="1" style="344" min="5353" max="5353"/>
    <col width="13.28515625" customWidth="1" style="344" min="5354" max="5354"/>
    <col width="9.7109375" customWidth="1" style="344" min="5355" max="5355"/>
    <col width="25" customWidth="1" style="344" min="5356" max="5356"/>
    <col width="9.140625" customWidth="1" style="344" min="5357" max="5357"/>
    <col width="8.85546875" customWidth="1" style="344" min="5358" max="5583"/>
    <col width="3.42578125" customWidth="1" style="344" min="5584" max="5584"/>
    <col width="18.7109375" customWidth="1" style="344" min="5585" max="5585"/>
    <col width="19.7109375" customWidth="1" style="344" min="5586" max="5586"/>
    <col width="24.42578125" customWidth="1" style="344" min="5587" max="5587"/>
    <col width="11" customWidth="1" style="344" min="5588" max="5588"/>
    <col width="11.85546875" customWidth="1" style="344" min="5589" max="5589"/>
    <col width="12.42578125" customWidth="1" style="344" min="5590" max="5590"/>
    <col width="26.7109375" customWidth="1" style="344" min="5591" max="5592"/>
    <col width="28.140625" customWidth="1" style="344" min="5593" max="5593"/>
    <col width="4.85546875" customWidth="1" style="344" min="5594" max="5594"/>
    <col width="3.7109375" customWidth="1" style="344" min="5595" max="5595"/>
    <col width="7.7109375" bestFit="1" customWidth="1" style="344" min="5596" max="5596"/>
    <col width="4.85546875" customWidth="1" style="344" min="5597" max="5597"/>
    <col width="4.28515625" customWidth="1" style="344" min="5598" max="5598"/>
    <col width="9.28515625" customWidth="1" style="344" min="5599" max="5599"/>
    <col width="5.140625" bestFit="1" customWidth="1" style="344" min="5600" max="5600"/>
    <col width="4.28515625" customWidth="1" style="344" min="5601" max="5601"/>
    <col width="8" bestFit="1" customWidth="1" style="344" min="5602" max="5602"/>
    <col width="11" customWidth="1" style="344" min="5603" max="5603"/>
    <col width="10.42578125" customWidth="1" style="344" min="5604" max="5605"/>
    <col width="8.85546875" customWidth="1" style="344" min="5606" max="5606"/>
    <col width="11.42578125" customWidth="1" style="344" min="5607" max="5607"/>
    <col width="18.42578125" customWidth="1" style="344" min="5608" max="5608"/>
    <col width="14.7109375" customWidth="1" style="344" min="5609" max="5609"/>
    <col width="13.28515625" customWidth="1" style="344" min="5610" max="5610"/>
    <col width="9.7109375" customWidth="1" style="344" min="5611" max="5611"/>
    <col width="25" customWidth="1" style="344" min="5612" max="5612"/>
    <col width="9.140625" customWidth="1" style="344" min="5613" max="5613"/>
    <col width="8.85546875" customWidth="1" style="344" min="5614" max="5839"/>
    <col width="3.42578125" customWidth="1" style="344" min="5840" max="5840"/>
    <col width="18.7109375" customWidth="1" style="344" min="5841" max="5841"/>
    <col width="19.7109375" customWidth="1" style="344" min="5842" max="5842"/>
    <col width="24.42578125" customWidth="1" style="344" min="5843" max="5843"/>
    <col width="11" customWidth="1" style="344" min="5844" max="5844"/>
    <col width="11.85546875" customWidth="1" style="344" min="5845" max="5845"/>
    <col width="12.42578125" customWidth="1" style="344" min="5846" max="5846"/>
    <col width="26.7109375" customWidth="1" style="344" min="5847" max="5848"/>
    <col width="28.140625" customWidth="1" style="344" min="5849" max="5849"/>
    <col width="4.85546875" customWidth="1" style="344" min="5850" max="5850"/>
    <col width="3.7109375" customWidth="1" style="344" min="5851" max="5851"/>
    <col width="7.7109375" bestFit="1" customWidth="1" style="344" min="5852" max="5852"/>
    <col width="4.85546875" customWidth="1" style="344" min="5853" max="5853"/>
    <col width="4.28515625" customWidth="1" style="344" min="5854" max="5854"/>
    <col width="9.28515625" customWidth="1" style="344" min="5855" max="5855"/>
    <col width="5.140625" bestFit="1" customWidth="1" style="344" min="5856" max="5856"/>
    <col width="4.28515625" customWidth="1" style="344" min="5857" max="5857"/>
    <col width="8" bestFit="1" customWidth="1" style="344" min="5858" max="5858"/>
    <col width="11" customWidth="1" style="344" min="5859" max="5859"/>
    <col width="10.42578125" customWidth="1" style="344" min="5860" max="5861"/>
    <col width="8.85546875" customWidth="1" style="344" min="5862" max="5862"/>
    <col width="11.42578125" customWidth="1" style="344" min="5863" max="5863"/>
    <col width="18.42578125" customWidth="1" style="344" min="5864" max="5864"/>
    <col width="14.7109375" customWidth="1" style="344" min="5865" max="5865"/>
    <col width="13.28515625" customWidth="1" style="344" min="5866" max="5866"/>
    <col width="9.7109375" customWidth="1" style="344" min="5867" max="5867"/>
    <col width="25" customWidth="1" style="344" min="5868" max="5868"/>
    <col width="9.140625" customWidth="1" style="344" min="5869" max="5869"/>
    <col width="8.85546875" customWidth="1" style="344" min="5870" max="6095"/>
    <col width="3.42578125" customWidth="1" style="344" min="6096" max="6096"/>
    <col width="18.7109375" customWidth="1" style="344" min="6097" max="6097"/>
    <col width="19.7109375" customWidth="1" style="344" min="6098" max="6098"/>
    <col width="24.42578125" customWidth="1" style="344" min="6099" max="6099"/>
    <col width="11" customWidth="1" style="344" min="6100" max="6100"/>
    <col width="11.85546875" customWidth="1" style="344" min="6101" max="6101"/>
    <col width="12.42578125" customWidth="1" style="344" min="6102" max="6102"/>
    <col width="26.7109375" customWidth="1" style="344" min="6103" max="6104"/>
    <col width="28.140625" customWidth="1" style="344" min="6105" max="6105"/>
    <col width="4.85546875" customWidth="1" style="344" min="6106" max="6106"/>
    <col width="3.7109375" customWidth="1" style="344" min="6107" max="6107"/>
    <col width="7.7109375" bestFit="1" customWidth="1" style="344" min="6108" max="6108"/>
    <col width="4.85546875" customWidth="1" style="344" min="6109" max="6109"/>
    <col width="4.28515625" customWidth="1" style="344" min="6110" max="6110"/>
    <col width="9.28515625" customWidth="1" style="344" min="6111" max="6111"/>
    <col width="5.140625" bestFit="1" customWidth="1" style="344" min="6112" max="6112"/>
    <col width="4.28515625" customWidth="1" style="344" min="6113" max="6113"/>
    <col width="8" bestFit="1" customWidth="1" style="344" min="6114" max="6114"/>
    <col width="11" customWidth="1" style="344" min="6115" max="6115"/>
    <col width="10.42578125" customWidth="1" style="344" min="6116" max="6117"/>
    <col width="8.85546875" customWidth="1" style="344" min="6118" max="6118"/>
    <col width="11.42578125" customWidth="1" style="344" min="6119" max="6119"/>
    <col width="18.42578125" customWidth="1" style="344" min="6120" max="6120"/>
    <col width="14.7109375" customWidth="1" style="344" min="6121" max="6121"/>
    <col width="13.28515625" customWidth="1" style="344" min="6122" max="6122"/>
    <col width="9.7109375" customWidth="1" style="344" min="6123" max="6123"/>
    <col width="25" customWidth="1" style="344" min="6124" max="6124"/>
    <col width="9.140625" customWidth="1" style="344" min="6125" max="6125"/>
    <col width="8.85546875" customWidth="1" style="344" min="6126" max="6351"/>
    <col width="3.42578125" customWidth="1" style="344" min="6352" max="6352"/>
    <col width="18.7109375" customWidth="1" style="344" min="6353" max="6353"/>
    <col width="19.7109375" customWidth="1" style="344" min="6354" max="6354"/>
    <col width="24.42578125" customWidth="1" style="344" min="6355" max="6355"/>
    <col width="11" customWidth="1" style="344" min="6356" max="6356"/>
    <col width="11.85546875" customWidth="1" style="344" min="6357" max="6357"/>
    <col width="12.42578125" customWidth="1" style="344" min="6358" max="6358"/>
    <col width="26.7109375" customWidth="1" style="344" min="6359" max="6360"/>
    <col width="28.140625" customWidth="1" style="344" min="6361" max="6361"/>
    <col width="4.85546875" customWidth="1" style="344" min="6362" max="6362"/>
    <col width="3.7109375" customWidth="1" style="344" min="6363" max="6363"/>
    <col width="7.7109375" bestFit="1" customWidth="1" style="344" min="6364" max="6364"/>
    <col width="4.85546875" customWidth="1" style="344" min="6365" max="6365"/>
    <col width="4.28515625" customWidth="1" style="344" min="6366" max="6366"/>
    <col width="9.28515625" customWidth="1" style="344" min="6367" max="6367"/>
    <col width="5.140625" bestFit="1" customWidth="1" style="344" min="6368" max="6368"/>
    <col width="4.28515625" customWidth="1" style="344" min="6369" max="6369"/>
    <col width="8" bestFit="1" customWidth="1" style="344" min="6370" max="6370"/>
    <col width="11" customWidth="1" style="344" min="6371" max="6371"/>
    <col width="10.42578125" customWidth="1" style="344" min="6372" max="6373"/>
    <col width="8.85546875" customWidth="1" style="344" min="6374" max="6374"/>
    <col width="11.42578125" customWidth="1" style="344" min="6375" max="6375"/>
    <col width="18.42578125" customWidth="1" style="344" min="6376" max="6376"/>
    <col width="14.7109375" customWidth="1" style="344" min="6377" max="6377"/>
    <col width="13.28515625" customWidth="1" style="344" min="6378" max="6378"/>
    <col width="9.7109375" customWidth="1" style="344" min="6379" max="6379"/>
    <col width="25" customWidth="1" style="344" min="6380" max="6380"/>
    <col width="9.140625" customWidth="1" style="344" min="6381" max="6381"/>
    <col width="8.85546875" customWidth="1" style="344" min="6382" max="6607"/>
    <col width="3.42578125" customWidth="1" style="344" min="6608" max="6608"/>
    <col width="18.7109375" customWidth="1" style="344" min="6609" max="6609"/>
    <col width="19.7109375" customWidth="1" style="344" min="6610" max="6610"/>
    <col width="24.42578125" customWidth="1" style="344" min="6611" max="6611"/>
    <col width="11" customWidth="1" style="344" min="6612" max="6612"/>
    <col width="11.85546875" customWidth="1" style="344" min="6613" max="6613"/>
    <col width="12.42578125" customWidth="1" style="344" min="6614" max="6614"/>
    <col width="26.7109375" customWidth="1" style="344" min="6615" max="6616"/>
    <col width="28.140625" customWidth="1" style="344" min="6617" max="6617"/>
    <col width="4.85546875" customWidth="1" style="344" min="6618" max="6618"/>
    <col width="3.7109375" customWidth="1" style="344" min="6619" max="6619"/>
    <col width="7.7109375" bestFit="1" customWidth="1" style="344" min="6620" max="6620"/>
    <col width="4.85546875" customWidth="1" style="344" min="6621" max="6621"/>
    <col width="4.28515625" customWidth="1" style="344" min="6622" max="6622"/>
    <col width="9.28515625" customWidth="1" style="344" min="6623" max="6623"/>
    <col width="5.140625" bestFit="1" customWidth="1" style="344" min="6624" max="6624"/>
    <col width="4.28515625" customWidth="1" style="344" min="6625" max="6625"/>
    <col width="8" bestFit="1" customWidth="1" style="344" min="6626" max="6626"/>
    <col width="11" customWidth="1" style="344" min="6627" max="6627"/>
    <col width="10.42578125" customWidth="1" style="344" min="6628" max="6629"/>
    <col width="8.85546875" customWidth="1" style="344" min="6630" max="6630"/>
    <col width="11.42578125" customWidth="1" style="344" min="6631" max="6631"/>
    <col width="18.42578125" customWidth="1" style="344" min="6632" max="6632"/>
    <col width="14.7109375" customWidth="1" style="344" min="6633" max="6633"/>
    <col width="13.28515625" customWidth="1" style="344" min="6634" max="6634"/>
    <col width="9.7109375" customWidth="1" style="344" min="6635" max="6635"/>
    <col width="25" customWidth="1" style="344" min="6636" max="6636"/>
    <col width="9.140625" customWidth="1" style="344" min="6637" max="6637"/>
    <col width="8.85546875" customWidth="1" style="344" min="6638" max="6863"/>
    <col width="3.42578125" customWidth="1" style="344" min="6864" max="6864"/>
    <col width="18.7109375" customWidth="1" style="344" min="6865" max="6865"/>
    <col width="19.7109375" customWidth="1" style="344" min="6866" max="6866"/>
    <col width="24.42578125" customWidth="1" style="344" min="6867" max="6867"/>
    <col width="11" customWidth="1" style="344" min="6868" max="6868"/>
    <col width="11.85546875" customWidth="1" style="344" min="6869" max="6869"/>
    <col width="12.42578125" customWidth="1" style="344" min="6870" max="6870"/>
    <col width="26.7109375" customWidth="1" style="344" min="6871" max="6872"/>
    <col width="28.140625" customWidth="1" style="344" min="6873" max="6873"/>
    <col width="4.85546875" customWidth="1" style="344" min="6874" max="6874"/>
    <col width="3.7109375" customWidth="1" style="344" min="6875" max="6875"/>
    <col width="7.7109375" bestFit="1" customWidth="1" style="344" min="6876" max="6876"/>
    <col width="4.85546875" customWidth="1" style="344" min="6877" max="6877"/>
    <col width="4.28515625" customWidth="1" style="344" min="6878" max="6878"/>
    <col width="9.28515625" customWidth="1" style="344" min="6879" max="6879"/>
    <col width="5.140625" bestFit="1" customWidth="1" style="344" min="6880" max="6880"/>
    <col width="4.28515625" customWidth="1" style="344" min="6881" max="6881"/>
    <col width="8" bestFit="1" customWidth="1" style="344" min="6882" max="6882"/>
    <col width="11" customWidth="1" style="344" min="6883" max="6883"/>
    <col width="10.42578125" customWidth="1" style="344" min="6884" max="6885"/>
    <col width="8.85546875" customWidth="1" style="344" min="6886" max="6886"/>
    <col width="11.42578125" customWidth="1" style="344" min="6887" max="6887"/>
    <col width="18.42578125" customWidth="1" style="344" min="6888" max="6888"/>
    <col width="14.7109375" customWidth="1" style="344" min="6889" max="6889"/>
    <col width="13.28515625" customWidth="1" style="344" min="6890" max="6890"/>
    <col width="9.7109375" customWidth="1" style="344" min="6891" max="6891"/>
    <col width="25" customWidth="1" style="344" min="6892" max="6892"/>
    <col width="9.140625" customWidth="1" style="344" min="6893" max="6893"/>
    <col width="8.85546875" customWidth="1" style="344" min="6894" max="7119"/>
    <col width="3.42578125" customWidth="1" style="344" min="7120" max="7120"/>
    <col width="18.7109375" customWidth="1" style="344" min="7121" max="7121"/>
    <col width="19.7109375" customWidth="1" style="344" min="7122" max="7122"/>
    <col width="24.42578125" customWidth="1" style="344" min="7123" max="7123"/>
    <col width="11" customWidth="1" style="344" min="7124" max="7124"/>
    <col width="11.85546875" customWidth="1" style="344" min="7125" max="7125"/>
    <col width="12.42578125" customWidth="1" style="344" min="7126" max="7126"/>
    <col width="26.7109375" customWidth="1" style="344" min="7127" max="7128"/>
    <col width="28.140625" customWidth="1" style="344" min="7129" max="7129"/>
    <col width="4.85546875" customWidth="1" style="344" min="7130" max="7130"/>
    <col width="3.7109375" customWidth="1" style="344" min="7131" max="7131"/>
    <col width="7.7109375" bestFit="1" customWidth="1" style="344" min="7132" max="7132"/>
    <col width="4.85546875" customWidth="1" style="344" min="7133" max="7133"/>
    <col width="4.28515625" customWidth="1" style="344" min="7134" max="7134"/>
    <col width="9.28515625" customWidth="1" style="344" min="7135" max="7135"/>
    <col width="5.140625" bestFit="1" customWidth="1" style="344" min="7136" max="7136"/>
    <col width="4.28515625" customWidth="1" style="344" min="7137" max="7137"/>
    <col width="8" bestFit="1" customWidth="1" style="344" min="7138" max="7138"/>
    <col width="11" customWidth="1" style="344" min="7139" max="7139"/>
    <col width="10.42578125" customWidth="1" style="344" min="7140" max="7141"/>
    <col width="8.85546875" customWidth="1" style="344" min="7142" max="7142"/>
    <col width="11.42578125" customWidth="1" style="344" min="7143" max="7143"/>
    <col width="18.42578125" customWidth="1" style="344" min="7144" max="7144"/>
    <col width="14.7109375" customWidth="1" style="344" min="7145" max="7145"/>
    <col width="13.28515625" customWidth="1" style="344" min="7146" max="7146"/>
    <col width="9.7109375" customWidth="1" style="344" min="7147" max="7147"/>
    <col width="25" customWidth="1" style="344" min="7148" max="7148"/>
    <col width="9.140625" customWidth="1" style="344" min="7149" max="7149"/>
    <col width="8.85546875" customWidth="1" style="344" min="7150" max="7375"/>
    <col width="3.42578125" customWidth="1" style="344" min="7376" max="7376"/>
    <col width="18.7109375" customWidth="1" style="344" min="7377" max="7377"/>
    <col width="19.7109375" customWidth="1" style="344" min="7378" max="7378"/>
    <col width="24.42578125" customWidth="1" style="344" min="7379" max="7379"/>
    <col width="11" customWidth="1" style="344" min="7380" max="7380"/>
    <col width="11.85546875" customWidth="1" style="344" min="7381" max="7381"/>
    <col width="12.42578125" customWidth="1" style="344" min="7382" max="7382"/>
    <col width="26.7109375" customWidth="1" style="344" min="7383" max="7384"/>
    <col width="28.140625" customWidth="1" style="344" min="7385" max="7385"/>
    <col width="4.85546875" customWidth="1" style="344" min="7386" max="7386"/>
    <col width="3.7109375" customWidth="1" style="344" min="7387" max="7387"/>
    <col width="7.7109375" bestFit="1" customWidth="1" style="344" min="7388" max="7388"/>
    <col width="4.85546875" customWidth="1" style="344" min="7389" max="7389"/>
    <col width="4.28515625" customWidth="1" style="344" min="7390" max="7390"/>
    <col width="9.28515625" customWidth="1" style="344" min="7391" max="7391"/>
    <col width="5.140625" bestFit="1" customWidth="1" style="344" min="7392" max="7392"/>
    <col width="4.28515625" customWidth="1" style="344" min="7393" max="7393"/>
    <col width="8" bestFit="1" customWidth="1" style="344" min="7394" max="7394"/>
    <col width="11" customWidth="1" style="344" min="7395" max="7395"/>
    <col width="10.42578125" customWidth="1" style="344" min="7396" max="7397"/>
    <col width="8.85546875" customWidth="1" style="344" min="7398" max="7398"/>
    <col width="11.42578125" customWidth="1" style="344" min="7399" max="7399"/>
    <col width="18.42578125" customWidth="1" style="344" min="7400" max="7400"/>
    <col width="14.7109375" customWidth="1" style="344" min="7401" max="7401"/>
    <col width="13.28515625" customWidth="1" style="344" min="7402" max="7402"/>
    <col width="9.7109375" customWidth="1" style="344" min="7403" max="7403"/>
    <col width="25" customWidth="1" style="344" min="7404" max="7404"/>
    <col width="9.140625" customWidth="1" style="344" min="7405" max="7405"/>
    <col width="8.85546875" customWidth="1" style="344" min="7406" max="7631"/>
    <col width="3.42578125" customWidth="1" style="344" min="7632" max="7632"/>
    <col width="18.7109375" customWidth="1" style="344" min="7633" max="7633"/>
    <col width="19.7109375" customWidth="1" style="344" min="7634" max="7634"/>
    <col width="24.42578125" customWidth="1" style="344" min="7635" max="7635"/>
    <col width="11" customWidth="1" style="344" min="7636" max="7636"/>
    <col width="11.85546875" customWidth="1" style="344" min="7637" max="7637"/>
    <col width="12.42578125" customWidth="1" style="344" min="7638" max="7638"/>
    <col width="26.7109375" customWidth="1" style="344" min="7639" max="7640"/>
    <col width="28.140625" customWidth="1" style="344" min="7641" max="7641"/>
    <col width="4.85546875" customWidth="1" style="344" min="7642" max="7642"/>
    <col width="3.7109375" customWidth="1" style="344" min="7643" max="7643"/>
    <col width="7.7109375" bestFit="1" customWidth="1" style="344" min="7644" max="7644"/>
    <col width="4.85546875" customWidth="1" style="344" min="7645" max="7645"/>
    <col width="4.28515625" customWidth="1" style="344" min="7646" max="7646"/>
    <col width="9.28515625" customWidth="1" style="344" min="7647" max="7647"/>
    <col width="5.140625" bestFit="1" customWidth="1" style="344" min="7648" max="7648"/>
    <col width="4.28515625" customWidth="1" style="344" min="7649" max="7649"/>
    <col width="8" bestFit="1" customWidth="1" style="344" min="7650" max="7650"/>
    <col width="11" customWidth="1" style="344" min="7651" max="7651"/>
    <col width="10.42578125" customWidth="1" style="344" min="7652" max="7653"/>
    <col width="8.85546875" customWidth="1" style="344" min="7654" max="7654"/>
    <col width="11.42578125" customWidth="1" style="344" min="7655" max="7655"/>
    <col width="18.42578125" customWidth="1" style="344" min="7656" max="7656"/>
    <col width="14.7109375" customWidth="1" style="344" min="7657" max="7657"/>
    <col width="13.28515625" customWidth="1" style="344" min="7658" max="7658"/>
    <col width="9.7109375" customWidth="1" style="344" min="7659" max="7659"/>
    <col width="25" customWidth="1" style="344" min="7660" max="7660"/>
    <col width="9.140625" customWidth="1" style="344" min="7661" max="7661"/>
    <col width="8.85546875" customWidth="1" style="344" min="7662" max="7887"/>
    <col width="3.42578125" customWidth="1" style="344" min="7888" max="7888"/>
    <col width="18.7109375" customWidth="1" style="344" min="7889" max="7889"/>
    <col width="19.7109375" customWidth="1" style="344" min="7890" max="7890"/>
    <col width="24.42578125" customWidth="1" style="344" min="7891" max="7891"/>
    <col width="11" customWidth="1" style="344" min="7892" max="7892"/>
    <col width="11.85546875" customWidth="1" style="344" min="7893" max="7893"/>
    <col width="12.42578125" customWidth="1" style="344" min="7894" max="7894"/>
    <col width="26.7109375" customWidth="1" style="344" min="7895" max="7896"/>
    <col width="28.140625" customWidth="1" style="344" min="7897" max="7897"/>
    <col width="4.85546875" customWidth="1" style="344" min="7898" max="7898"/>
    <col width="3.7109375" customWidth="1" style="344" min="7899" max="7899"/>
    <col width="7.7109375" bestFit="1" customWidth="1" style="344" min="7900" max="7900"/>
    <col width="4.85546875" customWidth="1" style="344" min="7901" max="7901"/>
    <col width="4.28515625" customWidth="1" style="344" min="7902" max="7902"/>
    <col width="9.28515625" customWidth="1" style="344" min="7903" max="7903"/>
    <col width="5.140625" bestFit="1" customWidth="1" style="344" min="7904" max="7904"/>
    <col width="4.28515625" customWidth="1" style="344" min="7905" max="7905"/>
    <col width="8" bestFit="1" customWidth="1" style="344" min="7906" max="7906"/>
    <col width="11" customWidth="1" style="344" min="7907" max="7907"/>
    <col width="10.42578125" customWidth="1" style="344" min="7908" max="7909"/>
    <col width="8.85546875" customWidth="1" style="344" min="7910" max="7910"/>
    <col width="11.42578125" customWidth="1" style="344" min="7911" max="7911"/>
    <col width="18.42578125" customWidth="1" style="344" min="7912" max="7912"/>
    <col width="14.7109375" customWidth="1" style="344" min="7913" max="7913"/>
    <col width="13.28515625" customWidth="1" style="344" min="7914" max="7914"/>
    <col width="9.7109375" customWidth="1" style="344" min="7915" max="7915"/>
    <col width="25" customWidth="1" style="344" min="7916" max="7916"/>
    <col width="9.140625" customWidth="1" style="344" min="7917" max="7917"/>
    <col width="8.85546875" customWidth="1" style="344" min="7918" max="8143"/>
    <col width="3.42578125" customWidth="1" style="344" min="8144" max="8144"/>
    <col width="18.7109375" customWidth="1" style="344" min="8145" max="8145"/>
    <col width="19.7109375" customWidth="1" style="344" min="8146" max="8146"/>
    <col width="24.42578125" customWidth="1" style="344" min="8147" max="8147"/>
    <col width="11" customWidth="1" style="344" min="8148" max="8148"/>
    <col width="11.85546875" customWidth="1" style="344" min="8149" max="8149"/>
    <col width="12.42578125" customWidth="1" style="344" min="8150" max="8150"/>
    <col width="26.7109375" customWidth="1" style="344" min="8151" max="8152"/>
    <col width="28.140625" customWidth="1" style="344" min="8153" max="8153"/>
    <col width="4.85546875" customWidth="1" style="344" min="8154" max="8154"/>
    <col width="3.7109375" customWidth="1" style="344" min="8155" max="8155"/>
    <col width="7.7109375" bestFit="1" customWidth="1" style="344" min="8156" max="8156"/>
    <col width="4.85546875" customWidth="1" style="344" min="8157" max="8157"/>
    <col width="4.28515625" customWidth="1" style="344" min="8158" max="8158"/>
    <col width="9.28515625" customWidth="1" style="344" min="8159" max="8159"/>
    <col width="5.140625" bestFit="1" customWidth="1" style="344" min="8160" max="8160"/>
    <col width="4.28515625" customWidth="1" style="344" min="8161" max="8161"/>
    <col width="8" bestFit="1" customWidth="1" style="344" min="8162" max="8162"/>
    <col width="11" customWidth="1" style="344" min="8163" max="8163"/>
    <col width="10.42578125" customWidth="1" style="344" min="8164" max="8165"/>
    <col width="8.85546875" customWidth="1" style="344" min="8166" max="8166"/>
    <col width="11.42578125" customWidth="1" style="344" min="8167" max="8167"/>
    <col width="18.42578125" customWidth="1" style="344" min="8168" max="8168"/>
    <col width="14.7109375" customWidth="1" style="344" min="8169" max="8169"/>
    <col width="13.28515625" customWidth="1" style="344" min="8170" max="8170"/>
    <col width="9.7109375" customWidth="1" style="344" min="8171" max="8171"/>
    <col width="25" customWidth="1" style="344" min="8172" max="8172"/>
    <col width="9.140625" customWidth="1" style="344" min="8173" max="8173"/>
    <col width="8.85546875" customWidth="1" style="344" min="8174" max="8399"/>
    <col width="3.42578125" customWidth="1" style="344" min="8400" max="8400"/>
    <col width="18.7109375" customWidth="1" style="344" min="8401" max="8401"/>
    <col width="19.7109375" customWidth="1" style="344" min="8402" max="8402"/>
    <col width="24.42578125" customWidth="1" style="344" min="8403" max="8403"/>
    <col width="11" customWidth="1" style="344" min="8404" max="8404"/>
    <col width="11.85546875" customWidth="1" style="344" min="8405" max="8405"/>
    <col width="12.42578125" customWidth="1" style="344" min="8406" max="8406"/>
    <col width="26.7109375" customWidth="1" style="344" min="8407" max="8408"/>
    <col width="28.140625" customWidth="1" style="344" min="8409" max="8409"/>
    <col width="4.85546875" customWidth="1" style="344" min="8410" max="8410"/>
    <col width="3.7109375" customWidth="1" style="344" min="8411" max="8411"/>
    <col width="7.7109375" bestFit="1" customWidth="1" style="344" min="8412" max="8412"/>
    <col width="4.85546875" customWidth="1" style="344" min="8413" max="8413"/>
    <col width="4.28515625" customWidth="1" style="344" min="8414" max="8414"/>
    <col width="9.28515625" customWidth="1" style="344" min="8415" max="8415"/>
    <col width="5.140625" bestFit="1" customWidth="1" style="344" min="8416" max="8416"/>
    <col width="4.28515625" customWidth="1" style="344" min="8417" max="8417"/>
    <col width="8" bestFit="1" customWidth="1" style="344" min="8418" max="8418"/>
    <col width="11" customWidth="1" style="344" min="8419" max="8419"/>
    <col width="10.42578125" customWidth="1" style="344" min="8420" max="8421"/>
    <col width="8.85546875" customWidth="1" style="344" min="8422" max="8422"/>
    <col width="11.42578125" customWidth="1" style="344" min="8423" max="8423"/>
    <col width="18.42578125" customWidth="1" style="344" min="8424" max="8424"/>
    <col width="14.7109375" customWidth="1" style="344" min="8425" max="8425"/>
    <col width="13.28515625" customWidth="1" style="344" min="8426" max="8426"/>
    <col width="9.7109375" customWidth="1" style="344" min="8427" max="8427"/>
    <col width="25" customWidth="1" style="344" min="8428" max="8428"/>
    <col width="9.140625" customWidth="1" style="344" min="8429" max="8429"/>
    <col width="8.85546875" customWidth="1" style="344" min="8430" max="8655"/>
    <col width="3.42578125" customWidth="1" style="344" min="8656" max="8656"/>
    <col width="18.7109375" customWidth="1" style="344" min="8657" max="8657"/>
    <col width="19.7109375" customWidth="1" style="344" min="8658" max="8658"/>
    <col width="24.42578125" customWidth="1" style="344" min="8659" max="8659"/>
    <col width="11" customWidth="1" style="344" min="8660" max="8660"/>
    <col width="11.85546875" customWidth="1" style="344" min="8661" max="8661"/>
    <col width="12.42578125" customWidth="1" style="344" min="8662" max="8662"/>
    <col width="26.7109375" customWidth="1" style="344" min="8663" max="8664"/>
    <col width="28.140625" customWidth="1" style="344" min="8665" max="8665"/>
    <col width="4.85546875" customWidth="1" style="344" min="8666" max="8666"/>
    <col width="3.7109375" customWidth="1" style="344" min="8667" max="8667"/>
    <col width="7.7109375" bestFit="1" customWidth="1" style="344" min="8668" max="8668"/>
    <col width="4.85546875" customWidth="1" style="344" min="8669" max="8669"/>
    <col width="4.28515625" customWidth="1" style="344" min="8670" max="8670"/>
    <col width="9.28515625" customWidth="1" style="344" min="8671" max="8671"/>
    <col width="5.140625" bestFit="1" customWidth="1" style="344" min="8672" max="8672"/>
    <col width="4.28515625" customWidth="1" style="344" min="8673" max="8673"/>
    <col width="8" bestFit="1" customWidth="1" style="344" min="8674" max="8674"/>
    <col width="11" customWidth="1" style="344" min="8675" max="8675"/>
    <col width="10.42578125" customWidth="1" style="344" min="8676" max="8677"/>
    <col width="8.85546875" customWidth="1" style="344" min="8678" max="8678"/>
    <col width="11.42578125" customWidth="1" style="344" min="8679" max="8679"/>
    <col width="18.42578125" customWidth="1" style="344" min="8680" max="8680"/>
    <col width="14.7109375" customWidth="1" style="344" min="8681" max="8681"/>
    <col width="13.28515625" customWidth="1" style="344" min="8682" max="8682"/>
    <col width="9.7109375" customWidth="1" style="344" min="8683" max="8683"/>
    <col width="25" customWidth="1" style="344" min="8684" max="8684"/>
    <col width="9.140625" customWidth="1" style="344" min="8685" max="8685"/>
    <col width="8.85546875" customWidth="1" style="344" min="8686" max="8911"/>
    <col width="3.42578125" customWidth="1" style="344" min="8912" max="8912"/>
    <col width="18.7109375" customWidth="1" style="344" min="8913" max="8913"/>
    <col width="19.7109375" customWidth="1" style="344" min="8914" max="8914"/>
    <col width="24.42578125" customWidth="1" style="344" min="8915" max="8915"/>
    <col width="11" customWidth="1" style="344" min="8916" max="8916"/>
    <col width="11.85546875" customWidth="1" style="344" min="8917" max="8917"/>
    <col width="12.42578125" customWidth="1" style="344" min="8918" max="8918"/>
    <col width="26.7109375" customWidth="1" style="344" min="8919" max="8920"/>
    <col width="28.140625" customWidth="1" style="344" min="8921" max="8921"/>
    <col width="4.85546875" customWidth="1" style="344" min="8922" max="8922"/>
    <col width="3.7109375" customWidth="1" style="344" min="8923" max="8923"/>
    <col width="7.7109375" bestFit="1" customWidth="1" style="344" min="8924" max="8924"/>
    <col width="4.85546875" customWidth="1" style="344" min="8925" max="8925"/>
    <col width="4.28515625" customWidth="1" style="344" min="8926" max="8926"/>
    <col width="9.28515625" customWidth="1" style="344" min="8927" max="8927"/>
    <col width="5.140625" bestFit="1" customWidth="1" style="344" min="8928" max="8928"/>
    <col width="4.28515625" customWidth="1" style="344" min="8929" max="8929"/>
    <col width="8" bestFit="1" customWidth="1" style="344" min="8930" max="8930"/>
    <col width="11" customWidth="1" style="344" min="8931" max="8931"/>
    <col width="10.42578125" customWidth="1" style="344" min="8932" max="8933"/>
    <col width="8.85546875" customWidth="1" style="344" min="8934" max="8934"/>
    <col width="11.42578125" customWidth="1" style="344" min="8935" max="8935"/>
    <col width="18.42578125" customWidth="1" style="344" min="8936" max="8936"/>
    <col width="14.7109375" customWidth="1" style="344" min="8937" max="8937"/>
    <col width="13.28515625" customWidth="1" style="344" min="8938" max="8938"/>
    <col width="9.7109375" customWidth="1" style="344" min="8939" max="8939"/>
    <col width="25" customWidth="1" style="344" min="8940" max="8940"/>
    <col width="9.140625" customWidth="1" style="344" min="8941" max="8941"/>
    <col width="8.85546875" customWidth="1" style="344" min="8942" max="9167"/>
    <col width="3.42578125" customWidth="1" style="344" min="9168" max="9168"/>
    <col width="18.7109375" customWidth="1" style="344" min="9169" max="9169"/>
    <col width="19.7109375" customWidth="1" style="344" min="9170" max="9170"/>
    <col width="24.42578125" customWidth="1" style="344" min="9171" max="9171"/>
    <col width="11" customWidth="1" style="344" min="9172" max="9172"/>
    <col width="11.85546875" customWidth="1" style="344" min="9173" max="9173"/>
    <col width="12.42578125" customWidth="1" style="344" min="9174" max="9174"/>
    <col width="26.7109375" customWidth="1" style="344" min="9175" max="9176"/>
    <col width="28.140625" customWidth="1" style="344" min="9177" max="9177"/>
    <col width="4.85546875" customWidth="1" style="344" min="9178" max="9178"/>
    <col width="3.7109375" customWidth="1" style="344" min="9179" max="9179"/>
    <col width="7.7109375" bestFit="1" customWidth="1" style="344" min="9180" max="9180"/>
    <col width="4.85546875" customWidth="1" style="344" min="9181" max="9181"/>
    <col width="4.28515625" customWidth="1" style="344" min="9182" max="9182"/>
    <col width="9.28515625" customWidth="1" style="344" min="9183" max="9183"/>
    <col width="5.140625" bestFit="1" customWidth="1" style="344" min="9184" max="9184"/>
    <col width="4.28515625" customWidth="1" style="344" min="9185" max="9185"/>
    <col width="8" bestFit="1" customWidth="1" style="344" min="9186" max="9186"/>
    <col width="11" customWidth="1" style="344" min="9187" max="9187"/>
    <col width="10.42578125" customWidth="1" style="344" min="9188" max="9189"/>
    <col width="8.85546875" customWidth="1" style="344" min="9190" max="9190"/>
    <col width="11.42578125" customWidth="1" style="344" min="9191" max="9191"/>
    <col width="18.42578125" customWidth="1" style="344" min="9192" max="9192"/>
    <col width="14.7109375" customWidth="1" style="344" min="9193" max="9193"/>
    <col width="13.28515625" customWidth="1" style="344" min="9194" max="9194"/>
    <col width="9.7109375" customWidth="1" style="344" min="9195" max="9195"/>
    <col width="25" customWidth="1" style="344" min="9196" max="9196"/>
    <col width="9.140625" customWidth="1" style="344" min="9197" max="9197"/>
    <col width="8.85546875" customWidth="1" style="344" min="9198" max="9423"/>
    <col width="3.42578125" customWidth="1" style="344" min="9424" max="9424"/>
    <col width="18.7109375" customWidth="1" style="344" min="9425" max="9425"/>
    <col width="19.7109375" customWidth="1" style="344" min="9426" max="9426"/>
    <col width="24.42578125" customWidth="1" style="344" min="9427" max="9427"/>
    <col width="11" customWidth="1" style="344" min="9428" max="9428"/>
    <col width="11.85546875" customWidth="1" style="344" min="9429" max="9429"/>
    <col width="12.42578125" customWidth="1" style="344" min="9430" max="9430"/>
    <col width="26.7109375" customWidth="1" style="344" min="9431" max="9432"/>
    <col width="28.140625" customWidth="1" style="344" min="9433" max="9433"/>
    <col width="4.85546875" customWidth="1" style="344" min="9434" max="9434"/>
    <col width="3.7109375" customWidth="1" style="344" min="9435" max="9435"/>
    <col width="7.7109375" bestFit="1" customWidth="1" style="344" min="9436" max="9436"/>
    <col width="4.85546875" customWidth="1" style="344" min="9437" max="9437"/>
    <col width="4.28515625" customWidth="1" style="344" min="9438" max="9438"/>
    <col width="9.28515625" customWidth="1" style="344" min="9439" max="9439"/>
    <col width="5.140625" bestFit="1" customWidth="1" style="344" min="9440" max="9440"/>
    <col width="4.28515625" customWidth="1" style="344" min="9441" max="9441"/>
    <col width="8" bestFit="1" customWidth="1" style="344" min="9442" max="9442"/>
    <col width="11" customWidth="1" style="344" min="9443" max="9443"/>
    <col width="10.42578125" customWidth="1" style="344" min="9444" max="9445"/>
    <col width="8.85546875" customWidth="1" style="344" min="9446" max="9446"/>
    <col width="11.42578125" customWidth="1" style="344" min="9447" max="9447"/>
    <col width="18.42578125" customWidth="1" style="344" min="9448" max="9448"/>
    <col width="14.7109375" customWidth="1" style="344" min="9449" max="9449"/>
    <col width="13.28515625" customWidth="1" style="344" min="9450" max="9450"/>
    <col width="9.7109375" customWidth="1" style="344" min="9451" max="9451"/>
    <col width="25" customWidth="1" style="344" min="9452" max="9452"/>
    <col width="9.140625" customWidth="1" style="344" min="9453" max="9453"/>
    <col width="8.85546875" customWidth="1" style="344" min="9454" max="9679"/>
    <col width="3.42578125" customWidth="1" style="344" min="9680" max="9680"/>
    <col width="18.7109375" customWidth="1" style="344" min="9681" max="9681"/>
    <col width="19.7109375" customWidth="1" style="344" min="9682" max="9682"/>
    <col width="24.42578125" customWidth="1" style="344" min="9683" max="9683"/>
    <col width="11" customWidth="1" style="344" min="9684" max="9684"/>
    <col width="11.85546875" customWidth="1" style="344" min="9685" max="9685"/>
    <col width="12.42578125" customWidth="1" style="344" min="9686" max="9686"/>
    <col width="26.7109375" customWidth="1" style="344" min="9687" max="9688"/>
    <col width="28.140625" customWidth="1" style="344" min="9689" max="9689"/>
    <col width="4.85546875" customWidth="1" style="344" min="9690" max="9690"/>
    <col width="3.7109375" customWidth="1" style="344" min="9691" max="9691"/>
    <col width="7.7109375" bestFit="1" customWidth="1" style="344" min="9692" max="9692"/>
    <col width="4.85546875" customWidth="1" style="344" min="9693" max="9693"/>
    <col width="4.28515625" customWidth="1" style="344" min="9694" max="9694"/>
    <col width="9.28515625" customWidth="1" style="344" min="9695" max="9695"/>
    <col width="5.140625" bestFit="1" customWidth="1" style="344" min="9696" max="9696"/>
    <col width="4.28515625" customWidth="1" style="344" min="9697" max="9697"/>
    <col width="8" bestFit="1" customWidth="1" style="344" min="9698" max="9698"/>
    <col width="11" customWidth="1" style="344" min="9699" max="9699"/>
    <col width="10.42578125" customWidth="1" style="344" min="9700" max="9701"/>
    <col width="8.85546875" customWidth="1" style="344" min="9702" max="9702"/>
    <col width="11.42578125" customWidth="1" style="344" min="9703" max="9703"/>
    <col width="18.42578125" customWidth="1" style="344" min="9704" max="9704"/>
    <col width="14.7109375" customWidth="1" style="344" min="9705" max="9705"/>
    <col width="13.28515625" customWidth="1" style="344" min="9706" max="9706"/>
    <col width="9.7109375" customWidth="1" style="344" min="9707" max="9707"/>
    <col width="25" customWidth="1" style="344" min="9708" max="9708"/>
    <col width="9.140625" customWidth="1" style="344" min="9709" max="9709"/>
    <col width="8.85546875" customWidth="1" style="344" min="9710" max="9935"/>
    <col width="3.42578125" customWidth="1" style="344" min="9936" max="9936"/>
    <col width="18.7109375" customWidth="1" style="344" min="9937" max="9937"/>
    <col width="19.7109375" customWidth="1" style="344" min="9938" max="9938"/>
    <col width="24.42578125" customWidth="1" style="344" min="9939" max="9939"/>
    <col width="11" customWidth="1" style="344" min="9940" max="9940"/>
    <col width="11.85546875" customWidth="1" style="344" min="9941" max="9941"/>
    <col width="12.42578125" customWidth="1" style="344" min="9942" max="9942"/>
    <col width="26.7109375" customWidth="1" style="344" min="9943" max="9944"/>
    <col width="28.140625" customWidth="1" style="344" min="9945" max="9945"/>
    <col width="4.85546875" customWidth="1" style="344" min="9946" max="9946"/>
    <col width="3.7109375" customWidth="1" style="344" min="9947" max="9947"/>
    <col width="7.7109375" bestFit="1" customWidth="1" style="344" min="9948" max="9948"/>
    <col width="4.85546875" customWidth="1" style="344" min="9949" max="9949"/>
    <col width="4.28515625" customWidth="1" style="344" min="9950" max="9950"/>
    <col width="9.28515625" customWidth="1" style="344" min="9951" max="9951"/>
    <col width="5.140625" bestFit="1" customWidth="1" style="344" min="9952" max="9952"/>
    <col width="4.28515625" customWidth="1" style="344" min="9953" max="9953"/>
    <col width="8" bestFit="1" customWidth="1" style="344" min="9954" max="9954"/>
    <col width="11" customWidth="1" style="344" min="9955" max="9955"/>
    <col width="10.42578125" customWidth="1" style="344" min="9956" max="9957"/>
    <col width="8.85546875" customWidth="1" style="344" min="9958" max="9958"/>
    <col width="11.42578125" customWidth="1" style="344" min="9959" max="9959"/>
    <col width="18.42578125" customWidth="1" style="344" min="9960" max="9960"/>
    <col width="14.7109375" customWidth="1" style="344" min="9961" max="9961"/>
    <col width="13.28515625" customWidth="1" style="344" min="9962" max="9962"/>
    <col width="9.7109375" customWidth="1" style="344" min="9963" max="9963"/>
    <col width="25" customWidth="1" style="344" min="9964" max="9964"/>
    <col width="9.140625" customWidth="1" style="344" min="9965" max="9965"/>
    <col width="8.85546875" customWidth="1" style="344" min="9966" max="10191"/>
    <col width="3.42578125" customWidth="1" style="344" min="10192" max="10192"/>
    <col width="18.7109375" customWidth="1" style="344" min="10193" max="10193"/>
    <col width="19.7109375" customWidth="1" style="344" min="10194" max="10194"/>
    <col width="24.42578125" customWidth="1" style="344" min="10195" max="10195"/>
    <col width="11" customWidth="1" style="344" min="10196" max="10196"/>
    <col width="11.85546875" customWidth="1" style="344" min="10197" max="10197"/>
    <col width="12.42578125" customWidth="1" style="344" min="10198" max="10198"/>
    <col width="26.7109375" customWidth="1" style="344" min="10199" max="10200"/>
    <col width="28.140625" customWidth="1" style="344" min="10201" max="10201"/>
    <col width="4.85546875" customWidth="1" style="344" min="10202" max="10202"/>
    <col width="3.7109375" customWidth="1" style="344" min="10203" max="10203"/>
    <col width="7.7109375" bestFit="1" customWidth="1" style="344" min="10204" max="10204"/>
    <col width="4.85546875" customWidth="1" style="344" min="10205" max="10205"/>
    <col width="4.28515625" customWidth="1" style="344" min="10206" max="10206"/>
    <col width="9.28515625" customWidth="1" style="344" min="10207" max="10207"/>
    <col width="5.140625" bestFit="1" customWidth="1" style="344" min="10208" max="10208"/>
    <col width="4.28515625" customWidth="1" style="344" min="10209" max="10209"/>
    <col width="8" bestFit="1" customWidth="1" style="344" min="10210" max="10210"/>
    <col width="11" customWidth="1" style="344" min="10211" max="10211"/>
    <col width="10.42578125" customWidth="1" style="344" min="10212" max="10213"/>
    <col width="8.85546875" customWidth="1" style="344" min="10214" max="10214"/>
    <col width="11.42578125" customWidth="1" style="344" min="10215" max="10215"/>
    <col width="18.42578125" customWidth="1" style="344" min="10216" max="10216"/>
    <col width="14.7109375" customWidth="1" style="344" min="10217" max="10217"/>
    <col width="13.28515625" customWidth="1" style="344" min="10218" max="10218"/>
    <col width="9.7109375" customWidth="1" style="344" min="10219" max="10219"/>
    <col width="25" customWidth="1" style="344" min="10220" max="10220"/>
    <col width="9.140625" customWidth="1" style="344" min="10221" max="10221"/>
    <col width="8.85546875" customWidth="1" style="344" min="10222" max="10447"/>
    <col width="3.42578125" customWidth="1" style="344" min="10448" max="10448"/>
    <col width="18.7109375" customWidth="1" style="344" min="10449" max="10449"/>
    <col width="19.7109375" customWidth="1" style="344" min="10450" max="10450"/>
    <col width="24.42578125" customWidth="1" style="344" min="10451" max="10451"/>
    <col width="11" customWidth="1" style="344" min="10452" max="10452"/>
    <col width="11.85546875" customWidth="1" style="344" min="10453" max="10453"/>
    <col width="12.42578125" customWidth="1" style="344" min="10454" max="10454"/>
    <col width="26.7109375" customWidth="1" style="344" min="10455" max="10456"/>
    <col width="28.140625" customWidth="1" style="344" min="10457" max="10457"/>
    <col width="4.85546875" customWidth="1" style="344" min="10458" max="10458"/>
    <col width="3.7109375" customWidth="1" style="344" min="10459" max="10459"/>
    <col width="7.7109375" bestFit="1" customWidth="1" style="344" min="10460" max="10460"/>
    <col width="4.85546875" customWidth="1" style="344" min="10461" max="10461"/>
    <col width="4.28515625" customWidth="1" style="344" min="10462" max="10462"/>
    <col width="9.28515625" customWidth="1" style="344" min="10463" max="10463"/>
    <col width="5.140625" bestFit="1" customWidth="1" style="344" min="10464" max="10464"/>
    <col width="4.28515625" customWidth="1" style="344" min="10465" max="10465"/>
    <col width="8" bestFit="1" customWidth="1" style="344" min="10466" max="10466"/>
    <col width="11" customWidth="1" style="344" min="10467" max="10467"/>
    <col width="10.42578125" customWidth="1" style="344" min="10468" max="10469"/>
    <col width="8.85546875" customWidth="1" style="344" min="10470" max="10470"/>
    <col width="11.42578125" customWidth="1" style="344" min="10471" max="10471"/>
    <col width="18.42578125" customWidth="1" style="344" min="10472" max="10472"/>
    <col width="14.7109375" customWidth="1" style="344" min="10473" max="10473"/>
    <col width="13.28515625" customWidth="1" style="344" min="10474" max="10474"/>
    <col width="9.7109375" customWidth="1" style="344" min="10475" max="10475"/>
    <col width="25" customWidth="1" style="344" min="10476" max="10476"/>
    <col width="9.140625" customWidth="1" style="344" min="10477" max="10477"/>
    <col width="8.85546875" customWidth="1" style="344" min="10478" max="10703"/>
    <col width="3.42578125" customWidth="1" style="344" min="10704" max="10704"/>
    <col width="18.7109375" customWidth="1" style="344" min="10705" max="10705"/>
    <col width="19.7109375" customWidth="1" style="344" min="10706" max="10706"/>
    <col width="24.42578125" customWidth="1" style="344" min="10707" max="10707"/>
    <col width="11" customWidth="1" style="344" min="10708" max="10708"/>
    <col width="11.85546875" customWidth="1" style="344" min="10709" max="10709"/>
    <col width="12.42578125" customWidth="1" style="344" min="10710" max="10710"/>
    <col width="26.7109375" customWidth="1" style="344" min="10711" max="10712"/>
    <col width="28.140625" customWidth="1" style="344" min="10713" max="10713"/>
    <col width="4.85546875" customWidth="1" style="344" min="10714" max="10714"/>
    <col width="3.7109375" customWidth="1" style="344" min="10715" max="10715"/>
    <col width="7.7109375" bestFit="1" customWidth="1" style="344" min="10716" max="10716"/>
    <col width="4.85546875" customWidth="1" style="344" min="10717" max="10717"/>
    <col width="4.28515625" customWidth="1" style="344" min="10718" max="10718"/>
    <col width="9.28515625" customWidth="1" style="344" min="10719" max="10719"/>
    <col width="5.140625" bestFit="1" customWidth="1" style="344" min="10720" max="10720"/>
    <col width="4.28515625" customWidth="1" style="344" min="10721" max="10721"/>
    <col width="8" bestFit="1" customWidth="1" style="344" min="10722" max="10722"/>
    <col width="11" customWidth="1" style="344" min="10723" max="10723"/>
    <col width="10.42578125" customWidth="1" style="344" min="10724" max="10725"/>
    <col width="8.85546875" customWidth="1" style="344" min="10726" max="10726"/>
    <col width="11.42578125" customWidth="1" style="344" min="10727" max="10727"/>
    <col width="18.42578125" customWidth="1" style="344" min="10728" max="10728"/>
    <col width="14.7109375" customWidth="1" style="344" min="10729" max="10729"/>
    <col width="13.28515625" customWidth="1" style="344" min="10730" max="10730"/>
    <col width="9.7109375" customWidth="1" style="344" min="10731" max="10731"/>
    <col width="25" customWidth="1" style="344" min="10732" max="10732"/>
    <col width="9.140625" customWidth="1" style="344" min="10733" max="10733"/>
    <col width="8.85546875" customWidth="1" style="344" min="10734" max="10959"/>
    <col width="3.42578125" customWidth="1" style="344" min="10960" max="10960"/>
    <col width="18.7109375" customWidth="1" style="344" min="10961" max="10961"/>
    <col width="19.7109375" customWidth="1" style="344" min="10962" max="10962"/>
    <col width="24.42578125" customWidth="1" style="344" min="10963" max="10963"/>
    <col width="11" customWidth="1" style="344" min="10964" max="10964"/>
    <col width="11.85546875" customWidth="1" style="344" min="10965" max="10965"/>
    <col width="12.42578125" customWidth="1" style="344" min="10966" max="10966"/>
    <col width="26.7109375" customWidth="1" style="344" min="10967" max="10968"/>
    <col width="28.140625" customWidth="1" style="344" min="10969" max="10969"/>
    <col width="4.85546875" customWidth="1" style="344" min="10970" max="10970"/>
    <col width="3.7109375" customWidth="1" style="344" min="10971" max="10971"/>
    <col width="7.7109375" bestFit="1" customWidth="1" style="344" min="10972" max="10972"/>
    <col width="4.85546875" customWidth="1" style="344" min="10973" max="10973"/>
    <col width="4.28515625" customWidth="1" style="344" min="10974" max="10974"/>
    <col width="9.28515625" customWidth="1" style="344" min="10975" max="10975"/>
    <col width="5.140625" bestFit="1" customWidth="1" style="344" min="10976" max="10976"/>
    <col width="4.28515625" customWidth="1" style="344" min="10977" max="10977"/>
    <col width="8" bestFit="1" customWidth="1" style="344" min="10978" max="10978"/>
    <col width="11" customWidth="1" style="344" min="10979" max="10979"/>
    <col width="10.42578125" customWidth="1" style="344" min="10980" max="10981"/>
    <col width="8.85546875" customWidth="1" style="344" min="10982" max="10982"/>
    <col width="11.42578125" customWidth="1" style="344" min="10983" max="10983"/>
    <col width="18.42578125" customWidth="1" style="344" min="10984" max="10984"/>
    <col width="14.7109375" customWidth="1" style="344" min="10985" max="10985"/>
    <col width="13.28515625" customWidth="1" style="344" min="10986" max="10986"/>
    <col width="9.7109375" customWidth="1" style="344" min="10987" max="10987"/>
    <col width="25" customWidth="1" style="344" min="10988" max="10988"/>
    <col width="9.140625" customWidth="1" style="344" min="10989" max="10989"/>
    <col width="8.85546875" customWidth="1" style="344" min="10990" max="11215"/>
    <col width="3.42578125" customWidth="1" style="344" min="11216" max="11216"/>
    <col width="18.7109375" customWidth="1" style="344" min="11217" max="11217"/>
    <col width="19.7109375" customWidth="1" style="344" min="11218" max="11218"/>
    <col width="24.42578125" customWidth="1" style="344" min="11219" max="11219"/>
    <col width="11" customWidth="1" style="344" min="11220" max="11220"/>
    <col width="11.85546875" customWidth="1" style="344" min="11221" max="11221"/>
    <col width="12.42578125" customWidth="1" style="344" min="11222" max="11222"/>
    <col width="26.7109375" customWidth="1" style="344" min="11223" max="11224"/>
    <col width="28.140625" customWidth="1" style="344" min="11225" max="11225"/>
    <col width="4.85546875" customWidth="1" style="344" min="11226" max="11226"/>
    <col width="3.7109375" customWidth="1" style="344" min="11227" max="11227"/>
    <col width="7.7109375" bestFit="1" customWidth="1" style="344" min="11228" max="11228"/>
    <col width="4.85546875" customWidth="1" style="344" min="11229" max="11229"/>
    <col width="4.28515625" customWidth="1" style="344" min="11230" max="11230"/>
    <col width="9.28515625" customWidth="1" style="344" min="11231" max="11231"/>
    <col width="5.140625" bestFit="1" customWidth="1" style="344" min="11232" max="11232"/>
    <col width="4.28515625" customWidth="1" style="344" min="11233" max="11233"/>
    <col width="8" bestFit="1" customWidth="1" style="344" min="11234" max="11234"/>
    <col width="11" customWidth="1" style="344" min="11235" max="11235"/>
    <col width="10.42578125" customWidth="1" style="344" min="11236" max="11237"/>
    <col width="8.85546875" customWidth="1" style="344" min="11238" max="11238"/>
    <col width="11.42578125" customWidth="1" style="344" min="11239" max="11239"/>
    <col width="18.42578125" customWidth="1" style="344" min="11240" max="11240"/>
    <col width="14.7109375" customWidth="1" style="344" min="11241" max="11241"/>
    <col width="13.28515625" customWidth="1" style="344" min="11242" max="11242"/>
    <col width="9.7109375" customWidth="1" style="344" min="11243" max="11243"/>
    <col width="25" customWidth="1" style="344" min="11244" max="11244"/>
    <col width="9.140625" customWidth="1" style="344" min="11245" max="11245"/>
    <col width="8.85546875" customWidth="1" style="344" min="11246" max="11471"/>
    <col width="3.42578125" customWidth="1" style="344" min="11472" max="11472"/>
    <col width="18.7109375" customWidth="1" style="344" min="11473" max="11473"/>
    <col width="19.7109375" customWidth="1" style="344" min="11474" max="11474"/>
    <col width="24.42578125" customWidth="1" style="344" min="11475" max="11475"/>
    <col width="11" customWidth="1" style="344" min="11476" max="11476"/>
    <col width="11.85546875" customWidth="1" style="344" min="11477" max="11477"/>
    <col width="12.42578125" customWidth="1" style="344" min="11478" max="11478"/>
    <col width="26.7109375" customWidth="1" style="344" min="11479" max="11480"/>
    <col width="28.140625" customWidth="1" style="344" min="11481" max="11481"/>
    <col width="4.85546875" customWidth="1" style="344" min="11482" max="11482"/>
    <col width="3.7109375" customWidth="1" style="344" min="11483" max="11483"/>
    <col width="7.7109375" bestFit="1" customWidth="1" style="344" min="11484" max="11484"/>
    <col width="4.85546875" customWidth="1" style="344" min="11485" max="11485"/>
    <col width="4.28515625" customWidth="1" style="344" min="11486" max="11486"/>
    <col width="9.28515625" customWidth="1" style="344" min="11487" max="11487"/>
    <col width="5.140625" bestFit="1" customWidth="1" style="344" min="11488" max="11488"/>
    <col width="4.28515625" customWidth="1" style="344" min="11489" max="11489"/>
    <col width="8" bestFit="1" customWidth="1" style="344" min="11490" max="11490"/>
    <col width="11" customWidth="1" style="344" min="11491" max="11491"/>
    <col width="10.42578125" customWidth="1" style="344" min="11492" max="11493"/>
    <col width="8.85546875" customWidth="1" style="344" min="11494" max="11494"/>
    <col width="11.42578125" customWidth="1" style="344" min="11495" max="11495"/>
    <col width="18.42578125" customWidth="1" style="344" min="11496" max="11496"/>
    <col width="14.7109375" customWidth="1" style="344" min="11497" max="11497"/>
    <col width="13.28515625" customWidth="1" style="344" min="11498" max="11498"/>
    <col width="9.7109375" customWidth="1" style="344" min="11499" max="11499"/>
    <col width="25" customWidth="1" style="344" min="11500" max="11500"/>
    <col width="9.140625" customWidth="1" style="344" min="11501" max="11501"/>
    <col width="8.85546875" customWidth="1" style="344" min="11502" max="11727"/>
    <col width="3.42578125" customWidth="1" style="344" min="11728" max="11728"/>
    <col width="18.7109375" customWidth="1" style="344" min="11729" max="11729"/>
    <col width="19.7109375" customWidth="1" style="344" min="11730" max="11730"/>
    <col width="24.42578125" customWidth="1" style="344" min="11731" max="11731"/>
    <col width="11" customWidth="1" style="344" min="11732" max="11732"/>
    <col width="11.85546875" customWidth="1" style="344" min="11733" max="11733"/>
    <col width="12.42578125" customWidth="1" style="344" min="11734" max="11734"/>
    <col width="26.7109375" customWidth="1" style="344" min="11735" max="11736"/>
    <col width="28.140625" customWidth="1" style="344" min="11737" max="11737"/>
    <col width="4.85546875" customWidth="1" style="344" min="11738" max="11738"/>
    <col width="3.7109375" customWidth="1" style="344" min="11739" max="11739"/>
    <col width="7.7109375" bestFit="1" customWidth="1" style="344" min="11740" max="11740"/>
    <col width="4.85546875" customWidth="1" style="344" min="11741" max="11741"/>
    <col width="4.28515625" customWidth="1" style="344" min="11742" max="11742"/>
    <col width="9.28515625" customWidth="1" style="344" min="11743" max="11743"/>
    <col width="5.140625" bestFit="1" customWidth="1" style="344" min="11744" max="11744"/>
    <col width="4.28515625" customWidth="1" style="344" min="11745" max="11745"/>
    <col width="8" bestFit="1" customWidth="1" style="344" min="11746" max="11746"/>
    <col width="11" customWidth="1" style="344" min="11747" max="11747"/>
    <col width="10.42578125" customWidth="1" style="344" min="11748" max="11749"/>
    <col width="8.85546875" customWidth="1" style="344" min="11750" max="11750"/>
    <col width="11.42578125" customWidth="1" style="344" min="11751" max="11751"/>
    <col width="18.42578125" customWidth="1" style="344" min="11752" max="11752"/>
    <col width="14.7109375" customWidth="1" style="344" min="11753" max="11753"/>
    <col width="13.28515625" customWidth="1" style="344" min="11754" max="11754"/>
    <col width="9.7109375" customWidth="1" style="344" min="11755" max="11755"/>
    <col width="25" customWidth="1" style="344" min="11756" max="11756"/>
    <col width="9.140625" customWidth="1" style="344" min="11757" max="11757"/>
    <col width="8.85546875" customWidth="1" style="344" min="11758" max="11983"/>
    <col width="3.42578125" customWidth="1" style="344" min="11984" max="11984"/>
    <col width="18.7109375" customWidth="1" style="344" min="11985" max="11985"/>
    <col width="19.7109375" customWidth="1" style="344" min="11986" max="11986"/>
    <col width="24.42578125" customWidth="1" style="344" min="11987" max="11987"/>
    <col width="11" customWidth="1" style="344" min="11988" max="11988"/>
    <col width="11.85546875" customWidth="1" style="344" min="11989" max="11989"/>
    <col width="12.42578125" customWidth="1" style="344" min="11990" max="11990"/>
    <col width="26.7109375" customWidth="1" style="344" min="11991" max="11992"/>
    <col width="28.140625" customWidth="1" style="344" min="11993" max="11993"/>
    <col width="4.85546875" customWidth="1" style="344" min="11994" max="11994"/>
    <col width="3.7109375" customWidth="1" style="344" min="11995" max="11995"/>
    <col width="7.7109375" bestFit="1" customWidth="1" style="344" min="11996" max="11996"/>
    <col width="4.85546875" customWidth="1" style="344" min="11997" max="11997"/>
    <col width="4.28515625" customWidth="1" style="344" min="11998" max="11998"/>
    <col width="9.28515625" customWidth="1" style="344" min="11999" max="11999"/>
    <col width="5.140625" bestFit="1" customWidth="1" style="344" min="12000" max="12000"/>
    <col width="4.28515625" customWidth="1" style="344" min="12001" max="12001"/>
    <col width="8" bestFit="1" customWidth="1" style="344" min="12002" max="12002"/>
    <col width="11" customWidth="1" style="344" min="12003" max="12003"/>
    <col width="10.42578125" customWidth="1" style="344" min="12004" max="12005"/>
    <col width="8.85546875" customWidth="1" style="344" min="12006" max="12006"/>
    <col width="11.42578125" customWidth="1" style="344" min="12007" max="12007"/>
    <col width="18.42578125" customWidth="1" style="344" min="12008" max="12008"/>
    <col width="14.7109375" customWidth="1" style="344" min="12009" max="12009"/>
    <col width="13.28515625" customWidth="1" style="344" min="12010" max="12010"/>
    <col width="9.7109375" customWidth="1" style="344" min="12011" max="12011"/>
    <col width="25" customWidth="1" style="344" min="12012" max="12012"/>
    <col width="9.140625" customWidth="1" style="344" min="12013" max="12013"/>
    <col width="8.85546875" customWidth="1" style="344" min="12014" max="12239"/>
    <col width="3.42578125" customWidth="1" style="344" min="12240" max="12240"/>
    <col width="18.7109375" customWidth="1" style="344" min="12241" max="12241"/>
    <col width="19.7109375" customWidth="1" style="344" min="12242" max="12242"/>
    <col width="24.42578125" customWidth="1" style="344" min="12243" max="12243"/>
    <col width="11" customWidth="1" style="344" min="12244" max="12244"/>
    <col width="11.85546875" customWidth="1" style="344" min="12245" max="12245"/>
    <col width="12.42578125" customWidth="1" style="344" min="12246" max="12246"/>
    <col width="26.7109375" customWidth="1" style="344" min="12247" max="12248"/>
    <col width="28.140625" customWidth="1" style="344" min="12249" max="12249"/>
    <col width="4.85546875" customWidth="1" style="344" min="12250" max="12250"/>
    <col width="3.7109375" customWidth="1" style="344" min="12251" max="12251"/>
    <col width="7.7109375" bestFit="1" customWidth="1" style="344" min="12252" max="12252"/>
    <col width="4.85546875" customWidth="1" style="344" min="12253" max="12253"/>
    <col width="4.28515625" customWidth="1" style="344" min="12254" max="12254"/>
    <col width="9.28515625" customWidth="1" style="344" min="12255" max="12255"/>
    <col width="5.140625" bestFit="1" customWidth="1" style="344" min="12256" max="12256"/>
    <col width="4.28515625" customWidth="1" style="344" min="12257" max="12257"/>
    <col width="8" bestFit="1" customWidth="1" style="344" min="12258" max="12258"/>
    <col width="11" customWidth="1" style="344" min="12259" max="12259"/>
    <col width="10.42578125" customWidth="1" style="344" min="12260" max="12261"/>
    <col width="8.85546875" customWidth="1" style="344" min="12262" max="12262"/>
    <col width="11.42578125" customWidth="1" style="344" min="12263" max="12263"/>
    <col width="18.42578125" customWidth="1" style="344" min="12264" max="12264"/>
    <col width="14.7109375" customWidth="1" style="344" min="12265" max="12265"/>
    <col width="13.28515625" customWidth="1" style="344" min="12266" max="12266"/>
    <col width="9.7109375" customWidth="1" style="344" min="12267" max="12267"/>
    <col width="25" customWidth="1" style="344" min="12268" max="12268"/>
    <col width="9.140625" customWidth="1" style="344" min="12269" max="12269"/>
    <col width="8.85546875" customWidth="1" style="344" min="12270" max="12495"/>
    <col width="3.42578125" customWidth="1" style="344" min="12496" max="12496"/>
    <col width="18.7109375" customWidth="1" style="344" min="12497" max="12497"/>
    <col width="19.7109375" customWidth="1" style="344" min="12498" max="12498"/>
    <col width="24.42578125" customWidth="1" style="344" min="12499" max="12499"/>
    <col width="11" customWidth="1" style="344" min="12500" max="12500"/>
    <col width="11.85546875" customWidth="1" style="344" min="12501" max="12501"/>
    <col width="12.42578125" customWidth="1" style="344" min="12502" max="12502"/>
    <col width="26.7109375" customWidth="1" style="344" min="12503" max="12504"/>
    <col width="28.140625" customWidth="1" style="344" min="12505" max="12505"/>
    <col width="4.85546875" customWidth="1" style="344" min="12506" max="12506"/>
    <col width="3.7109375" customWidth="1" style="344" min="12507" max="12507"/>
    <col width="7.7109375" bestFit="1" customWidth="1" style="344" min="12508" max="12508"/>
    <col width="4.85546875" customWidth="1" style="344" min="12509" max="12509"/>
    <col width="4.28515625" customWidth="1" style="344" min="12510" max="12510"/>
    <col width="9.28515625" customWidth="1" style="344" min="12511" max="12511"/>
    <col width="5.140625" bestFit="1" customWidth="1" style="344" min="12512" max="12512"/>
    <col width="4.28515625" customWidth="1" style="344" min="12513" max="12513"/>
    <col width="8" bestFit="1" customWidth="1" style="344" min="12514" max="12514"/>
    <col width="11" customWidth="1" style="344" min="12515" max="12515"/>
    <col width="10.42578125" customWidth="1" style="344" min="12516" max="12517"/>
    <col width="8.85546875" customWidth="1" style="344" min="12518" max="12518"/>
    <col width="11.42578125" customWidth="1" style="344" min="12519" max="12519"/>
    <col width="18.42578125" customWidth="1" style="344" min="12520" max="12520"/>
    <col width="14.7109375" customWidth="1" style="344" min="12521" max="12521"/>
    <col width="13.28515625" customWidth="1" style="344" min="12522" max="12522"/>
    <col width="9.7109375" customWidth="1" style="344" min="12523" max="12523"/>
    <col width="25" customWidth="1" style="344" min="12524" max="12524"/>
    <col width="9.140625" customWidth="1" style="344" min="12525" max="12525"/>
    <col width="8.85546875" customWidth="1" style="344" min="12526" max="12751"/>
    <col width="3.42578125" customWidth="1" style="344" min="12752" max="12752"/>
    <col width="18.7109375" customWidth="1" style="344" min="12753" max="12753"/>
    <col width="19.7109375" customWidth="1" style="344" min="12754" max="12754"/>
    <col width="24.42578125" customWidth="1" style="344" min="12755" max="12755"/>
    <col width="11" customWidth="1" style="344" min="12756" max="12756"/>
    <col width="11.85546875" customWidth="1" style="344" min="12757" max="12757"/>
    <col width="12.42578125" customWidth="1" style="344" min="12758" max="12758"/>
    <col width="26.7109375" customWidth="1" style="344" min="12759" max="12760"/>
    <col width="28.140625" customWidth="1" style="344" min="12761" max="12761"/>
    <col width="4.85546875" customWidth="1" style="344" min="12762" max="12762"/>
    <col width="3.7109375" customWidth="1" style="344" min="12763" max="12763"/>
    <col width="7.7109375" bestFit="1" customWidth="1" style="344" min="12764" max="12764"/>
    <col width="4.85546875" customWidth="1" style="344" min="12765" max="12765"/>
    <col width="4.28515625" customWidth="1" style="344" min="12766" max="12766"/>
    <col width="9.28515625" customWidth="1" style="344" min="12767" max="12767"/>
    <col width="5.140625" bestFit="1" customWidth="1" style="344" min="12768" max="12768"/>
    <col width="4.28515625" customWidth="1" style="344" min="12769" max="12769"/>
    <col width="8" bestFit="1" customWidth="1" style="344" min="12770" max="12770"/>
    <col width="11" customWidth="1" style="344" min="12771" max="12771"/>
    <col width="10.42578125" customWidth="1" style="344" min="12772" max="12773"/>
    <col width="8.85546875" customWidth="1" style="344" min="12774" max="12774"/>
    <col width="11.42578125" customWidth="1" style="344" min="12775" max="12775"/>
    <col width="18.42578125" customWidth="1" style="344" min="12776" max="12776"/>
    <col width="14.7109375" customWidth="1" style="344" min="12777" max="12777"/>
    <col width="13.28515625" customWidth="1" style="344" min="12778" max="12778"/>
    <col width="9.7109375" customWidth="1" style="344" min="12779" max="12779"/>
    <col width="25" customWidth="1" style="344" min="12780" max="12780"/>
    <col width="9.140625" customWidth="1" style="344" min="12781" max="12781"/>
    <col width="8.85546875" customWidth="1" style="344" min="12782" max="13007"/>
    <col width="3.42578125" customWidth="1" style="344" min="13008" max="13008"/>
    <col width="18.7109375" customWidth="1" style="344" min="13009" max="13009"/>
    <col width="19.7109375" customWidth="1" style="344" min="13010" max="13010"/>
    <col width="24.42578125" customWidth="1" style="344" min="13011" max="13011"/>
    <col width="11" customWidth="1" style="344" min="13012" max="13012"/>
    <col width="11.85546875" customWidth="1" style="344" min="13013" max="13013"/>
    <col width="12.42578125" customWidth="1" style="344" min="13014" max="13014"/>
    <col width="26.7109375" customWidth="1" style="344" min="13015" max="13016"/>
    <col width="28.140625" customWidth="1" style="344" min="13017" max="13017"/>
    <col width="4.85546875" customWidth="1" style="344" min="13018" max="13018"/>
    <col width="3.7109375" customWidth="1" style="344" min="13019" max="13019"/>
    <col width="7.7109375" bestFit="1" customWidth="1" style="344" min="13020" max="13020"/>
    <col width="4.85546875" customWidth="1" style="344" min="13021" max="13021"/>
    <col width="4.28515625" customWidth="1" style="344" min="13022" max="13022"/>
    <col width="9.28515625" customWidth="1" style="344" min="13023" max="13023"/>
    <col width="5.140625" bestFit="1" customWidth="1" style="344" min="13024" max="13024"/>
    <col width="4.28515625" customWidth="1" style="344" min="13025" max="13025"/>
    <col width="8" bestFit="1" customWidth="1" style="344" min="13026" max="13026"/>
    <col width="11" customWidth="1" style="344" min="13027" max="13027"/>
    <col width="10.42578125" customWidth="1" style="344" min="13028" max="13029"/>
    <col width="8.85546875" customWidth="1" style="344" min="13030" max="13030"/>
    <col width="11.42578125" customWidth="1" style="344" min="13031" max="13031"/>
    <col width="18.42578125" customWidth="1" style="344" min="13032" max="13032"/>
    <col width="14.7109375" customWidth="1" style="344" min="13033" max="13033"/>
    <col width="13.28515625" customWidth="1" style="344" min="13034" max="13034"/>
    <col width="9.7109375" customWidth="1" style="344" min="13035" max="13035"/>
    <col width="25" customWidth="1" style="344" min="13036" max="13036"/>
    <col width="9.140625" customWidth="1" style="344" min="13037" max="13037"/>
    <col width="8.85546875" customWidth="1" style="344" min="13038" max="13263"/>
    <col width="3.42578125" customWidth="1" style="344" min="13264" max="13264"/>
    <col width="18.7109375" customWidth="1" style="344" min="13265" max="13265"/>
    <col width="19.7109375" customWidth="1" style="344" min="13266" max="13266"/>
    <col width="24.42578125" customWidth="1" style="344" min="13267" max="13267"/>
    <col width="11" customWidth="1" style="344" min="13268" max="13268"/>
    <col width="11.85546875" customWidth="1" style="344" min="13269" max="13269"/>
    <col width="12.42578125" customWidth="1" style="344" min="13270" max="13270"/>
    <col width="26.7109375" customWidth="1" style="344" min="13271" max="13272"/>
    <col width="28.140625" customWidth="1" style="344" min="13273" max="13273"/>
    <col width="4.85546875" customWidth="1" style="344" min="13274" max="13274"/>
    <col width="3.7109375" customWidth="1" style="344" min="13275" max="13275"/>
    <col width="7.7109375" bestFit="1" customWidth="1" style="344" min="13276" max="13276"/>
    <col width="4.85546875" customWidth="1" style="344" min="13277" max="13277"/>
    <col width="4.28515625" customWidth="1" style="344" min="13278" max="13278"/>
    <col width="9.28515625" customWidth="1" style="344" min="13279" max="13279"/>
    <col width="5.140625" bestFit="1" customWidth="1" style="344" min="13280" max="13280"/>
    <col width="4.28515625" customWidth="1" style="344" min="13281" max="13281"/>
    <col width="8" bestFit="1" customWidth="1" style="344" min="13282" max="13282"/>
    <col width="11" customWidth="1" style="344" min="13283" max="13283"/>
    <col width="10.42578125" customWidth="1" style="344" min="13284" max="13285"/>
    <col width="8.85546875" customWidth="1" style="344" min="13286" max="13286"/>
    <col width="11.42578125" customWidth="1" style="344" min="13287" max="13287"/>
    <col width="18.42578125" customWidth="1" style="344" min="13288" max="13288"/>
    <col width="14.7109375" customWidth="1" style="344" min="13289" max="13289"/>
    <col width="13.28515625" customWidth="1" style="344" min="13290" max="13290"/>
    <col width="9.7109375" customWidth="1" style="344" min="13291" max="13291"/>
    <col width="25" customWidth="1" style="344" min="13292" max="13292"/>
    <col width="9.140625" customWidth="1" style="344" min="13293" max="13293"/>
    <col width="8.85546875" customWidth="1" style="344" min="13294" max="13519"/>
    <col width="3.42578125" customWidth="1" style="344" min="13520" max="13520"/>
    <col width="18.7109375" customWidth="1" style="344" min="13521" max="13521"/>
    <col width="19.7109375" customWidth="1" style="344" min="13522" max="13522"/>
    <col width="24.42578125" customWidth="1" style="344" min="13523" max="13523"/>
    <col width="11" customWidth="1" style="344" min="13524" max="13524"/>
    <col width="11.85546875" customWidth="1" style="344" min="13525" max="13525"/>
    <col width="12.42578125" customWidth="1" style="344" min="13526" max="13526"/>
    <col width="26.7109375" customWidth="1" style="344" min="13527" max="13528"/>
    <col width="28.140625" customWidth="1" style="344" min="13529" max="13529"/>
    <col width="4.85546875" customWidth="1" style="344" min="13530" max="13530"/>
    <col width="3.7109375" customWidth="1" style="344" min="13531" max="13531"/>
    <col width="7.7109375" bestFit="1" customWidth="1" style="344" min="13532" max="13532"/>
    <col width="4.85546875" customWidth="1" style="344" min="13533" max="13533"/>
    <col width="4.28515625" customWidth="1" style="344" min="13534" max="13534"/>
    <col width="9.28515625" customWidth="1" style="344" min="13535" max="13535"/>
    <col width="5.140625" bestFit="1" customWidth="1" style="344" min="13536" max="13536"/>
    <col width="4.28515625" customWidth="1" style="344" min="13537" max="13537"/>
    <col width="8" bestFit="1" customWidth="1" style="344" min="13538" max="13538"/>
    <col width="11" customWidth="1" style="344" min="13539" max="13539"/>
    <col width="10.42578125" customWidth="1" style="344" min="13540" max="13541"/>
    <col width="8.85546875" customWidth="1" style="344" min="13542" max="13542"/>
    <col width="11.42578125" customWidth="1" style="344" min="13543" max="13543"/>
    <col width="18.42578125" customWidth="1" style="344" min="13544" max="13544"/>
    <col width="14.7109375" customWidth="1" style="344" min="13545" max="13545"/>
    <col width="13.28515625" customWidth="1" style="344" min="13546" max="13546"/>
    <col width="9.7109375" customWidth="1" style="344" min="13547" max="13547"/>
    <col width="25" customWidth="1" style="344" min="13548" max="13548"/>
    <col width="9.140625" customWidth="1" style="344" min="13549" max="13549"/>
    <col width="8.85546875" customWidth="1" style="344" min="13550" max="13775"/>
    <col width="3.42578125" customWidth="1" style="344" min="13776" max="13776"/>
    <col width="18.7109375" customWidth="1" style="344" min="13777" max="13777"/>
    <col width="19.7109375" customWidth="1" style="344" min="13778" max="13778"/>
    <col width="24.42578125" customWidth="1" style="344" min="13779" max="13779"/>
    <col width="11" customWidth="1" style="344" min="13780" max="13780"/>
    <col width="11.85546875" customWidth="1" style="344" min="13781" max="13781"/>
    <col width="12.42578125" customWidth="1" style="344" min="13782" max="13782"/>
    <col width="26.7109375" customWidth="1" style="344" min="13783" max="13784"/>
    <col width="28.140625" customWidth="1" style="344" min="13785" max="13785"/>
    <col width="4.85546875" customWidth="1" style="344" min="13786" max="13786"/>
    <col width="3.7109375" customWidth="1" style="344" min="13787" max="13787"/>
    <col width="7.7109375" bestFit="1" customWidth="1" style="344" min="13788" max="13788"/>
    <col width="4.85546875" customWidth="1" style="344" min="13789" max="13789"/>
    <col width="4.28515625" customWidth="1" style="344" min="13790" max="13790"/>
    <col width="9.28515625" customWidth="1" style="344" min="13791" max="13791"/>
    <col width="5.140625" bestFit="1" customWidth="1" style="344" min="13792" max="13792"/>
    <col width="4.28515625" customWidth="1" style="344" min="13793" max="13793"/>
    <col width="8" bestFit="1" customWidth="1" style="344" min="13794" max="13794"/>
    <col width="11" customWidth="1" style="344" min="13795" max="13795"/>
    <col width="10.42578125" customWidth="1" style="344" min="13796" max="13797"/>
    <col width="8.85546875" customWidth="1" style="344" min="13798" max="13798"/>
    <col width="11.42578125" customWidth="1" style="344" min="13799" max="13799"/>
    <col width="18.42578125" customWidth="1" style="344" min="13800" max="13800"/>
    <col width="14.7109375" customWidth="1" style="344" min="13801" max="13801"/>
    <col width="13.28515625" customWidth="1" style="344" min="13802" max="13802"/>
    <col width="9.7109375" customWidth="1" style="344" min="13803" max="13803"/>
    <col width="25" customWidth="1" style="344" min="13804" max="13804"/>
    <col width="9.140625" customWidth="1" style="344" min="13805" max="13805"/>
    <col width="8.85546875" customWidth="1" style="344" min="13806" max="14031"/>
    <col width="3.42578125" customWidth="1" style="344" min="14032" max="14032"/>
    <col width="18.7109375" customWidth="1" style="344" min="14033" max="14033"/>
    <col width="19.7109375" customWidth="1" style="344" min="14034" max="14034"/>
    <col width="24.42578125" customWidth="1" style="344" min="14035" max="14035"/>
    <col width="11" customWidth="1" style="344" min="14036" max="14036"/>
    <col width="11.85546875" customWidth="1" style="344" min="14037" max="14037"/>
    <col width="12.42578125" customWidth="1" style="344" min="14038" max="14038"/>
    <col width="26.7109375" customWidth="1" style="344" min="14039" max="14040"/>
    <col width="28.140625" customWidth="1" style="344" min="14041" max="14041"/>
    <col width="4.85546875" customWidth="1" style="344" min="14042" max="14042"/>
    <col width="3.7109375" customWidth="1" style="344" min="14043" max="14043"/>
    <col width="7.7109375" bestFit="1" customWidth="1" style="344" min="14044" max="14044"/>
    <col width="4.85546875" customWidth="1" style="344" min="14045" max="14045"/>
    <col width="4.28515625" customWidth="1" style="344" min="14046" max="14046"/>
    <col width="9.28515625" customWidth="1" style="344" min="14047" max="14047"/>
    <col width="5.140625" bestFit="1" customWidth="1" style="344" min="14048" max="14048"/>
    <col width="4.28515625" customWidth="1" style="344" min="14049" max="14049"/>
    <col width="8" bestFit="1" customWidth="1" style="344" min="14050" max="14050"/>
    <col width="11" customWidth="1" style="344" min="14051" max="14051"/>
    <col width="10.42578125" customWidth="1" style="344" min="14052" max="14053"/>
    <col width="8.85546875" customWidth="1" style="344" min="14054" max="14054"/>
    <col width="11.42578125" customWidth="1" style="344" min="14055" max="14055"/>
    <col width="18.42578125" customWidth="1" style="344" min="14056" max="14056"/>
    <col width="14.7109375" customWidth="1" style="344" min="14057" max="14057"/>
    <col width="13.28515625" customWidth="1" style="344" min="14058" max="14058"/>
    <col width="9.7109375" customWidth="1" style="344" min="14059" max="14059"/>
    <col width="25" customWidth="1" style="344" min="14060" max="14060"/>
    <col width="9.140625" customWidth="1" style="344" min="14061" max="14061"/>
    <col width="8.85546875" customWidth="1" style="344" min="14062" max="14287"/>
    <col width="3.42578125" customWidth="1" style="344" min="14288" max="14288"/>
    <col width="18.7109375" customWidth="1" style="344" min="14289" max="14289"/>
    <col width="19.7109375" customWidth="1" style="344" min="14290" max="14290"/>
    <col width="24.42578125" customWidth="1" style="344" min="14291" max="14291"/>
    <col width="11" customWidth="1" style="344" min="14292" max="14292"/>
    <col width="11.85546875" customWidth="1" style="344" min="14293" max="14293"/>
    <col width="12.42578125" customWidth="1" style="344" min="14294" max="14294"/>
    <col width="26.7109375" customWidth="1" style="344" min="14295" max="14296"/>
    <col width="28.140625" customWidth="1" style="344" min="14297" max="14297"/>
    <col width="4.85546875" customWidth="1" style="344" min="14298" max="14298"/>
    <col width="3.7109375" customWidth="1" style="344" min="14299" max="14299"/>
    <col width="7.7109375" bestFit="1" customWidth="1" style="344" min="14300" max="14300"/>
    <col width="4.85546875" customWidth="1" style="344" min="14301" max="14301"/>
    <col width="4.28515625" customWidth="1" style="344" min="14302" max="14302"/>
    <col width="9.28515625" customWidth="1" style="344" min="14303" max="14303"/>
    <col width="5.140625" bestFit="1" customWidth="1" style="344" min="14304" max="14304"/>
    <col width="4.28515625" customWidth="1" style="344" min="14305" max="14305"/>
    <col width="8" bestFit="1" customWidth="1" style="344" min="14306" max="14306"/>
    <col width="11" customWidth="1" style="344" min="14307" max="14307"/>
    <col width="10.42578125" customWidth="1" style="344" min="14308" max="14309"/>
    <col width="8.85546875" customWidth="1" style="344" min="14310" max="14310"/>
    <col width="11.42578125" customWidth="1" style="344" min="14311" max="14311"/>
    <col width="18.42578125" customWidth="1" style="344" min="14312" max="14312"/>
    <col width="14.7109375" customWidth="1" style="344" min="14313" max="14313"/>
    <col width="13.28515625" customWidth="1" style="344" min="14314" max="14314"/>
    <col width="9.7109375" customWidth="1" style="344" min="14315" max="14315"/>
    <col width="25" customWidth="1" style="344" min="14316" max="14316"/>
    <col width="9.140625" customWidth="1" style="344" min="14317" max="14317"/>
    <col width="8.85546875" customWidth="1" style="344" min="14318" max="14543"/>
    <col width="3.42578125" customWidth="1" style="344" min="14544" max="14544"/>
    <col width="18.7109375" customWidth="1" style="344" min="14545" max="14545"/>
    <col width="19.7109375" customWidth="1" style="344" min="14546" max="14546"/>
    <col width="24.42578125" customWidth="1" style="344" min="14547" max="14547"/>
    <col width="11" customWidth="1" style="344" min="14548" max="14548"/>
    <col width="11.85546875" customWidth="1" style="344" min="14549" max="14549"/>
    <col width="12.42578125" customWidth="1" style="344" min="14550" max="14550"/>
    <col width="26.7109375" customWidth="1" style="344" min="14551" max="14552"/>
    <col width="28.140625" customWidth="1" style="344" min="14553" max="14553"/>
    <col width="4.85546875" customWidth="1" style="344" min="14554" max="14554"/>
    <col width="3.7109375" customWidth="1" style="344" min="14555" max="14555"/>
    <col width="7.7109375" bestFit="1" customWidth="1" style="344" min="14556" max="14556"/>
    <col width="4.85546875" customWidth="1" style="344" min="14557" max="14557"/>
    <col width="4.28515625" customWidth="1" style="344" min="14558" max="14558"/>
    <col width="9.28515625" customWidth="1" style="344" min="14559" max="14559"/>
    <col width="5.140625" bestFit="1" customWidth="1" style="344" min="14560" max="14560"/>
    <col width="4.28515625" customWidth="1" style="344" min="14561" max="14561"/>
    <col width="8" bestFit="1" customWidth="1" style="344" min="14562" max="14562"/>
    <col width="11" customWidth="1" style="344" min="14563" max="14563"/>
    <col width="10.42578125" customWidth="1" style="344" min="14564" max="14565"/>
    <col width="8.85546875" customWidth="1" style="344" min="14566" max="14566"/>
    <col width="11.42578125" customWidth="1" style="344" min="14567" max="14567"/>
    <col width="18.42578125" customWidth="1" style="344" min="14568" max="14568"/>
    <col width="14.7109375" customWidth="1" style="344" min="14569" max="14569"/>
    <col width="13.28515625" customWidth="1" style="344" min="14570" max="14570"/>
    <col width="9.7109375" customWidth="1" style="344" min="14571" max="14571"/>
    <col width="25" customWidth="1" style="344" min="14572" max="14572"/>
    <col width="9.140625" customWidth="1" style="344" min="14573" max="14573"/>
    <col width="8.85546875" customWidth="1" style="344" min="14574" max="14799"/>
    <col width="3.42578125" customWidth="1" style="344" min="14800" max="14800"/>
    <col width="18.7109375" customWidth="1" style="344" min="14801" max="14801"/>
    <col width="19.7109375" customWidth="1" style="344" min="14802" max="14802"/>
    <col width="24.42578125" customWidth="1" style="344" min="14803" max="14803"/>
    <col width="11" customWidth="1" style="344" min="14804" max="14804"/>
    <col width="11.85546875" customWidth="1" style="344" min="14805" max="14805"/>
    <col width="12.42578125" customWidth="1" style="344" min="14806" max="14806"/>
    <col width="26.7109375" customWidth="1" style="344" min="14807" max="14808"/>
    <col width="28.140625" customWidth="1" style="344" min="14809" max="14809"/>
    <col width="4.85546875" customWidth="1" style="344" min="14810" max="14810"/>
    <col width="3.7109375" customWidth="1" style="344" min="14811" max="14811"/>
    <col width="7.7109375" bestFit="1" customWidth="1" style="344" min="14812" max="14812"/>
    <col width="4.85546875" customWidth="1" style="344" min="14813" max="14813"/>
    <col width="4.28515625" customWidth="1" style="344" min="14814" max="14814"/>
    <col width="9.28515625" customWidth="1" style="344" min="14815" max="14815"/>
    <col width="5.140625" bestFit="1" customWidth="1" style="344" min="14816" max="14816"/>
    <col width="4.28515625" customWidth="1" style="344" min="14817" max="14817"/>
    <col width="8" bestFit="1" customWidth="1" style="344" min="14818" max="14818"/>
    <col width="11" customWidth="1" style="344" min="14819" max="14819"/>
    <col width="10.42578125" customWidth="1" style="344" min="14820" max="14821"/>
    <col width="8.85546875" customWidth="1" style="344" min="14822" max="14822"/>
    <col width="11.42578125" customWidth="1" style="344" min="14823" max="14823"/>
    <col width="18.42578125" customWidth="1" style="344" min="14824" max="14824"/>
    <col width="14.7109375" customWidth="1" style="344" min="14825" max="14825"/>
    <col width="13.28515625" customWidth="1" style="344" min="14826" max="14826"/>
    <col width="9.7109375" customWidth="1" style="344" min="14827" max="14827"/>
    <col width="25" customWidth="1" style="344" min="14828" max="14828"/>
    <col width="9.140625" customWidth="1" style="344" min="14829" max="14829"/>
    <col width="8.85546875" customWidth="1" style="344" min="14830" max="15055"/>
    <col width="3.42578125" customWidth="1" style="344" min="15056" max="15056"/>
    <col width="18.7109375" customWidth="1" style="344" min="15057" max="15057"/>
    <col width="19.7109375" customWidth="1" style="344" min="15058" max="15058"/>
    <col width="24.42578125" customWidth="1" style="344" min="15059" max="15059"/>
    <col width="11" customWidth="1" style="344" min="15060" max="15060"/>
    <col width="11.85546875" customWidth="1" style="344" min="15061" max="15061"/>
    <col width="12.42578125" customWidth="1" style="344" min="15062" max="15062"/>
    <col width="26.7109375" customWidth="1" style="344" min="15063" max="15064"/>
    <col width="28.140625" customWidth="1" style="344" min="15065" max="15065"/>
    <col width="4.85546875" customWidth="1" style="344" min="15066" max="15066"/>
    <col width="3.7109375" customWidth="1" style="344" min="15067" max="15067"/>
    <col width="7.7109375" bestFit="1" customWidth="1" style="344" min="15068" max="15068"/>
    <col width="4.85546875" customWidth="1" style="344" min="15069" max="15069"/>
    <col width="4.28515625" customWidth="1" style="344" min="15070" max="15070"/>
    <col width="9.28515625" customWidth="1" style="344" min="15071" max="15071"/>
    <col width="5.140625" bestFit="1" customWidth="1" style="344" min="15072" max="15072"/>
    <col width="4.28515625" customWidth="1" style="344" min="15073" max="15073"/>
    <col width="8" bestFit="1" customWidth="1" style="344" min="15074" max="15074"/>
    <col width="11" customWidth="1" style="344" min="15075" max="15075"/>
    <col width="10.42578125" customWidth="1" style="344" min="15076" max="15077"/>
    <col width="8.85546875" customWidth="1" style="344" min="15078" max="15078"/>
    <col width="11.42578125" customWidth="1" style="344" min="15079" max="15079"/>
    <col width="18.42578125" customWidth="1" style="344" min="15080" max="15080"/>
    <col width="14.7109375" customWidth="1" style="344" min="15081" max="15081"/>
    <col width="13.28515625" customWidth="1" style="344" min="15082" max="15082"/>
    <col width="9.7109375" customWidth="1" style="344" min="15083" max="15083"/>
    <col width="25" customWidth="1" style="344" min="15084" max="15084"/>
    <col width="9.140625" customWidth="1" style="344" min="15085" max="15085"/>
    <col width="8.85546875" customWidth="1" style="344" min="15086" max="15311"/>
    <col width="3.42578125" customWidth="1" style="344" min="15312" max="15312"/>
    <col width="18.7109375" customWidth="1" style="344" min="15313" max="15313"/>
    <col width="19.7109375" customWidth="1" style="344" min="15314" max="15314"/>
    <col width="24.42578125" customWidth="1" style="344" min="15315" max="15315"/>
    <col width="11" customWidth="1" style="344" min="15316" max="15316"/>
    <col width="11.85546875" customWidth="1" style="344" min="15317" max="15317"/>
    <col width="12.42578125" customWidth="1" style="344" min="15318" max="15318"/>
    <col width="26.7109375" customWidth="1" style="344" min="15319" max="15320"/>
    <col width="28.140625" customWidth="1" style="344" min="15321" max="15321"/>
    <col width="4.85546875" customWidth="1" style="344" min="15322" max="15322"/>
    <col width="3.7109375" customWidth="1" style="344" min="15323" max="15323"/>
    <col width="7.7109375" bestFit="1" customWidth="1" style="344" min="15324" max="15324"/>
    <col width="4.85546875" customWidth="1" style="344" min="15325" max="15325"/>
    <col width="4.28515625" customWidth="1" style="344" min="15326" max="15326"/>
    <col width="9.28515625" customWidth="1" style="344" min="15327" max="15327"/>
    <col width="5.140625" bestFit="1" customWidth="1" style="344" min="15328" max="15328"/>
    <col width="4.28515625" customWidth="1" style="344" min="15329" max="15329"/>
    <col width="8" bestFit="1" customWidth="1" style="344" min="15330" max="15330"/>
    <col width="11" customWidth="1" style="344" min="15331" max="15331"/>
    <col width="10.42578125" customWidth="1" style="344" min="15332" max="15333"/>
    <col width="8.85546875" customWidth="1" style="344" min="15334" max="15334"/>
    <col width="11.42578125" customWidth="1" style="344" min="15335" max="15335"/>
    <col width="18.42578125" customWidth="1" style="344" min="15336" max="15336"/>
    <col width="14.7109375" customWidth="1" style="344" min="15337" max="15337"/>
    <col width="13.28515625" customWidth="1" style="344" min="15338" max="15338"/>
    <col width="9.7109375" customWidth="1" style="344" min="15339" max="15339"/>
    <col width="25" customWidth="1" style="344" min="15340" max="15340"/>
    <col width="9.140625" customWidth="1" style="344" min="15341" max="15341"/>
    <col width="8.85546875" customWidth="1" style="344" min="15342" max="15567"/>
    <col width="3.42578125" customWidth="1" style="344" min="15568" max="15568"/>
    <col width="18.7109375" customWidth="1" style="344" min="15569" max="15569"/>
    <col width="19.7109375" customWidth="1" style="344" min="15570" max="15570"/>
    <col width="24.42578125" customWidth="1" style="344" min="15571" max="15571"/>
    <col width="11" customWidth="1" style="344" min="15572" max="15572"/>
    <col width="11.85546875" customWidth="1" style="344" min="15573" max="15573"/>
    <col width="12.42578125" customWidth="1" style="344" min="15574" max="15574"/>
    <col width="26.7109375" customWidth="1" style="344" min="15575" max="15576"/>
    <col width="28.140625" customWidth="1" style="344" min="15577" max="15577"/>
    <col width="4.85546875" customWidth="1" style="344" min="15578" max="15578"/>
    <col width="3.7109375" customWidth="1" style="344" min="15579" max="15579"/>
    <col width="7.7109375" bestFit="1" customWidth="1" style="344" min="15580" max="15580"/>
    <col width="4.85546875" customWidth="1" style="344" min="15581" max="15581"/>
    <col width="4.28515625" customWidth="1" style="344" min="15582" max="15582"/>
    <col width="9.28515625" customWidth="1" style="344" min="15583" max="15583"/>
    <col width="5.140625" bestFit="1" customWidth="1" style="344" min="15584" max="15584"/>
    <col width="4.28515625" customWidth="1" style="344" min="15585" max="15585"/>
    <col width="8" bestFit="1" customWidth="1" style="344" min="15586" max="15586"/>
    <col width="11" customWidth="1" style="344" min="15587" max="15587"/>
    <col width="10.42578125" customWidth="1" style="344" min="15588" max="15589"/>
    <col width="8.85546875" customWidth="1" style="344" min="15590" max="15590"/>
    <col width="11.42578125" customWidth="1" style="344" min="15591" max="15591"/>
    <col width="18.42578125" customWidth="1" style="344" min="15592" max="15592"/>
    <col width="14.7109375" customWidth="1" style="344" min="15593" max="15593"/>
    <col width="13.28515625" customWidth="1" style="344" min="15594" max="15594"/>
    <col width="9.7109375" customWidth="1" style="344" min="15595" max="15595"/>
    <col width="25" customWidth="1" style="344" min="15596" max="15596"/>
    <col width="9.140625" customWidth="1" style="344" min="15597" max="15597"/>
    <col width="8.85546875" customWidth="1" style="344" min="15598" max="15823"/>
    <col width="3.42578125" customWidth="1" style="344" min="15824" max="15824"/>
    <col width="18.7109375" customWidth="1" style="344" min="15825" max="15825"/>
    <col width="19.7109375" customWidth="1" style="344" min="15826" max="15826"/>
    <col width="24.42578125" customWidth="1" style="344" min="15827" max="15827"/>
    <col width="11" customWidth="1" style="344" min="15828" max="15828"/>
    <col width="11.85546875" customWidth="1" style="344" min="15829" max="15829"/>
    <col width="12.42578125" customWidth="1" style="344" min="15830" max="15830"/>
    <col width="26.7109375" customWidth="1" style="344" min="15831" max="15832"/>
    <col width="28.140625" customWidth="1" style="344" min="15833" max="15833"/>
    <col width="4.85546875" customWidth="1" style="344" min="15834" max="15834"/>
    <col width="3.7109375" customWidth="1" style="344" min="15835" max="15835"/>
    <col width="7.7109375" bestFit="1" customWidth="1" style="344" min="15836" max="15836"/>
    <col width="4.85546875" customWidth="1" style="344" min="15837" max="15837"/>
    <col width="4.28515625" customWidth="1" style="344" min="15838" max="15838"/>
    <col width="9.28515625" customWidth="1" style="344" min="15839" max="15839"/>
    <col width="5.140625" bestFit="1" customWidth="1" style="344" min="15840" max="15840"/>
    <col width="4.28515625" customWidth="1" style="344" min="15841" max="15841"/>
    <col width="8" bestFit="1" customWidth="1" style="344" min="15842" max="15842"/>
    <col width="11" customWidth="1" style="344" min="15843" max="15843"/>
    <col width="10.42578125" customWidth="1" style="344" min="15844" max="15845"/>
    <col width="8.85546875" customWidth="1" style="344" min="15846" max="15846"/>
    <col width="11.42578125" customWidth="1" style="344" min="15847" max="15847"/>
    <col width="18.42578125" customWidth="1" style="344" min="15848" max="15848"/>
    <col width="14.7109375" customWidth="1" style="344" min="15849" max="15849"/>
    <col width="13.28515625" customWidth="1" style="344" min="15850" max="15850"/>
    <col width="9.7109375" customWidth="1" style="344" min="15851" max="15851"/>
    <col width="25" customWidth="1" style="344" min="15852" max="15852"/>
    <col width="9.140625" customWidth="1" style="344" min="15853" max="15853"/>
    <col width="8.85546875" customWidth="1" style="344" min="15854" max="16079"/>
    <col width="3.42578125" customWidth="1" style="344" min="16080" max="16080"/>
    <col width="18.7109375" customWidth="1" style="344" min="16081" max="16081"/>
    <col width="19.7109375" customWidth="1" style="344" min="16082" max="16082"/>
    <col width="24.42578125" customWidth="1" style="344" min="16083" max="16083"/>
    <col width="11" customWidth="1" style="344" min="16084" max="16084"/>
    <col width="11.85546875" customWidth="1" style="344" min="16085" max="16085"/>
    <col width="12.42578125" customWidth="1" style="344" min="16086" max="16086"/>
    <col width="26.7109375" customWidth="1" style="344" min="16087" max="16088"/>
    <col width="28.140625" customWidth="1" style="344" min="16089" max="16089"/>
    <col width="4.85546875" customWidth="1" style="344" min="16090" max="16090"/>
    <col width="3.7109375" customWidth="1" style="344" min="16091" max="16091"/>
    <col width="7.7109375" bestFit="1" customWidth="1" style="344" min="16092" max="16092"/>
    <col width="4.85546875" customWidth="1" style="344" min="16093" max="16093"/>
    <col width="4.28515625" customWidth="1" style="344" min="16094" max="16094"/>
    <col width="9.28515625" customWidth="1" style="344" min="16095" max="16095"/>
    <col width="5.140625" bestFit="1" customWidth="1" style="344" min="16096" max="16096"/>
    <col width="4.28515625" customWidth="1" style="344" min="16097" max="16097"/>
    <col width="8" bestFit="1" customWidth="1" style="344" min="16098" max="16098"/>
    <col width="11" customWidth="1" style="344" min="16099" max="16099"/>
    <col width="10.42578125" customWidth="1" style="344" min="16100" max="16101"/>
    <col width="8.85546875" customWidth="1" style="344" min="16102" max="16102"/>
    <col width="11.42578125" customWidth="1" style="344" min="16103" max="16103"/>
    <col width="18.42578125" customWidth="1" style="344" min="16104" max="16104"/>
    <col width="14.7109375" customWidth="1" style="344" min="16105" max="16105"/>
    <col width="13.28515625" customWidth="1" style="344" min="16106" max="16106"/>
    <col width="9.7109375" customWidth="1" style="344" min="16107" max="16107"/>
    <col width="25" customWidth="1" style="344" min="16108" max="16108"/>
    <col width="9.140625" customWidth="1" style="344" min="16109" max="16109"/>
    <col width="8.85546875" customWidth="1" style="344" min="16110" max="16384"/>
  </cols>
  <sheetData>
    <row r="1" ht="17.1" customHeight="1">
      <c r="A1" s="33" t="n"/>
      <c r="B1" s="354" t="inlineStr">
        <is>
          <t>LOGO CLIENTE</t>
        </is>
      </c>
      <c r="C1" s="351" t="inlineStr">
        <is>
          <t>NÚMERO INFRAS ENGENHARIA</t>
        </is>
      </c>
      <c r="D1" s="352" t="n"/>
      <c r="E1" s="352" t="n"/>
      <c r="F1" s="352" t="n"/>
      <c r="G1" s="353" t="n"/>
      <c r="H1" s="363" t="n"/>
      <c r="I1" s="352" t="n"/>
      <c r="J1" s="353" t="n"/>
      <c r="K1" s="344" t="n"/>
      <c r="O1" s="343" t="n"/>
      <c r="P1" s="343" t="n"/>
      <c r="Q1" s="343" t="n"/>
      <c r="S1" s="343" t="n"/>
      <c r="T1" s="343" t="n"/>
      <c r="U1" s="343" t="n"/>
      <c r="W1" s="343" t="n"/>
      <c r="X1" s="343" t="n"/>
      <c r="Y1" s="343" t="n"/>
      <c r="AA1" s="343" t="n"/>
      <c r="AB1" s="343" t="n"/>
      <c r="AC1" s="343" t="n"/>
      <c r="AD1" s="343" t="n"/>
      <c r="AE1" s="343" t="n"/>
      <c r="AF1" s="343" t="n"/>
      <c r="AG1" s="343" t="n"/>
      <c r="AH1" s="343" t="n"/>
      <c r="AI1" s="343" t="n"/>
      <c r="AJ1" s="343" t="n"/>
      <c r="AK1" s="343" t="n"/>
      <c r="AL1" s="343" t="n"/>
      <c r="AM1" s="343" t="n"/>
      <c r="AN1" s="343" t="n"/>
      <c r="AO1" s="343" t="n"/>
      <c r="AP1" s="343" t="n"/>
      <c r="AQ1" s="343" t="n"/>
      <c r="AR1" s="343" t="n"/>
      <c r="AS1" s="343" t="n"/>
      <c r="AT1" s="343" t="n"/>
      <c r="AU1" s="343" t="n"/>
      <c r="AV1" s="343" t="n"/>
      <c r="AW1" s="343" t="n"/>
      <c r="AX1" s="343" t="n"/>
      <c r="AY1" s="343" t="n"/>
      <c r="AZ1" s="343" t="n"/>
      <c r="BA1" s="343" t="n"/>
      <c r="BB1" s="343" t="n"/>
      <c r="BC1" s="343" t="n"/>
      <c r="BD1" s="343" t="n"/>
      <c r="BE1" s="343" t="n"/>
      <c r="BF1" s="343" t="n"/>
      <c r="BZ1" s="344" t="n"/>
      <c r="CA1" s="344" t="n"/>
      <c r="CB1" s="344" t="n"/>
      <c r="CC1" s="344" t="n"/>
      <c r="CD1" s="344" t="n"/>
      <c r="CE1" s="344" t="n"/>
      <c r="CF1" s="344" t="n"/>
      <c r="CG1" s="344" t="n"/>
      <c r="CH1" s="344" t="n"/>
      <c r="CI1" s="344" t="n"/>
      <c r="CJ1" s="344" t="n"/>
      <c r="CK1" s="344" t="n"/>
      <c r="CL1" s="344" t="n"/>
      <c r="CM1" s="344" t="n"/>
      <c r="CN1" s="344" t="n"/>
      <c r="CO1" s="344" t="n"/>
      <c r="CP1" s="344" t="n"/>
      <c r="CQ1" s="344" t="n"/>
      <c r="CR1" s="344" t="n"/>
      <c r="CS1" s="344" t="n"/>
      <c r="CT1" s="344" t="n"/>
      <c r="CU1" s="344" t="n"/>
      <c r="CV1" s="344" t="n"/>
      <c r="CW1" s="344" t="n"/>
      <c r="CX1" s="344" t="n"/>
      <c r="CY1" s="344" t="n"/>
      <c r="CZ1" s="344" t="n"/>
      <c r="DA1" s="344" t="n"/>
      <c r="DB1" s="344" t="n"/>
      <c r="DC1" s="344" t="n"/>
      <c r="DD1" s="344" t="n"/>
      <c r="DE1" s="344" t="n"/>
      <c r="DF1" s="344" t="n"/>
      <c r="DG1" s="344" t="n"/>
      <c r="DH1" s="344" t="n"/>
      <c r="DI1" s="344" t="n"/>
      <c r="DJ1" s="344" t="n"/>
      <c r="DK1" s="344" t="n"/>
      <c r="DL1" s="344" t="n"/>
      <c r="DM1" s="344" t="n"/>
      <c r="DN1" s="344" t="n"/>
      <c r="DO1" s="344" t="n"/>
      <c r="DP1" s="344" t="n"/>
      <c r="DQ1" s="344" t="n"/>
      <c r="DR1" s="344" t="n"/>
      <c r="DS1" s="344" t="n"/>
      <c r="DT1" s="344" t="n"/>
      <c r="DU1" s="344" t="n"/>
      <c r="DV1" s="344" t="n"/>
      <c r="DW1" s="344" t="n"/>
      <c r="DX1" s="344" t="n"/>
      <c r="DY1" s="344" t="n"/>
      <c r="DZ1" s="344" t="n"/>
      <c r="EA1" s="344" t="n"/>
      <c r="EB1" s="344" t="n"/>
      <c r="EC1" s="344" t="n"/>
      <c r="ED1" s="344" t="n"/>
      <c r="EE1" s="344" t="n"/>
      <c r="EF1" s="344" t="n"/>
      <c r="EG1" s="344" t="n"/>
      <c r="EH1" s="344" t="n"/>
      <c r="EI1" s="344" t="n"/>
      <c r="EJ1" s="344" t="n"/>
      <c r="EK1" s="344" t="n"/>
      <c r="EL1" s="344" t="n"/>
      <c r="EM1" s="344" t="n"/>
      <c r="EN1" s="344" t="n"/>
      <c r="EO1" s="344" t="n"/>
      <c r="EP1" s="344" t="n"/>
      <c r="EQ1" s="344" t="n"/>
      <c r="ER1" s="344" t="n"/>
      <c r="ES1" s="344" t="n"/>
      <c r="ET1" s="344" t="n"/>
      <c r="EU1" s="344" t="n"/>
      <c r="EV1" s="344" t="n"/>
      <c r="EW1" s="344" t="n"/>
      <c r="EX1" s="344" t="n"/>
      <c r="EY1" s="344" t="n"/>
      <c r="EZ1" s="344" t="n"/>
      <c r="FA1" s="344" t="n"/>
      <c r="FB1" s="344" t="n"/>
      <c r="FC1" s="344" t="n"/>
      <c r="FD1" s="344" t="n"/>
      <c r="FE1" s="344" t="n"/>
      <c r="FF1" s="344" t="n"/>
      <c r="FG1" s="344" t="n"/>
      <c r="FH1" s="344" t="n"/>
      <c r="FI1" s="344" t="n"/>
      <c r="FJ1" s="344" t="n"/>
      <c r="FK1" s="344" t="n"/>
      <c r="FL1" s="344" t="n"/>
      <c r="FM1" s="344" t="n"/>
      <c r="FN1" s="344" t="n"/>
      <c r="FO1" s="344" t="n"/>
      <c r="FP1" s="344" t="n"/>
      <c r="FQ1" s="344" t="n"/>
      <c r="FR1" s="344" t="n"/>
      <c r="FS1" s="344" t="n"/>
      <c r="FT1" s="344" t="n"/>
      <c r="FU1" s="344" t="n"/>
      <c r="FV1" s="344" t="n"/>
    </row>
    <row r="2" ht="17.1" customHeight="1">
      <c r="A2" s="35" t="n"/>
      <c r="B2" s="355" t="n"/>
      <c r="C2" s="364">
        <f>+Capa!D2</f>
        <v/>
      </c>
      <c r="G2" s="305" t="n"/>
      <c r="J2" s="305" t="n"/>
      <c r="K2" s="344" t="n"/>
      <c r="O2" s="343" t="n"/>
      <c r="P2" s="343" t="n"/>
      <c r="Q2" s="343" t="n"/>
      <c r="S2" s="343" t="n"/>
      <c r="T2" s="343" t="n"/>
      <c r="U2" s="343" t="n"/>
      <c r="W2" s="343" t="n"/>
      <c r="X2" s="343" t="n"/>
      <c r="Y2" s="343" t="n"/>
      <c r="AA2" s="343" t="n"/>
      <c r="AB2" s="343" t="n"/>
      <c r="AC2" s="343" t="n"/>
      <c r="AD2" s="343" t="n"/>
      <c r="AE2" s="343" t="n"/>
      <c r="AF2" s="343" t="n"/>
      <c r="AG2" s="343" t="n"/>
      <c r="AH2" s="343" t="n"/>
      <c r="AI2" s="343" t="n"/>
      <c r="AJ2" s="343" t="n"/>
      <c r="AK2" s="343" t="n"/>
      <c r="AL2" s="343" t="n"/>
      <c r="AM2" s="343" t="n"/>
      <c r="AN2" s="343" t="n"/>
      <c r="AO2" s="343" t="n"/>
      <c r="AP2" s="343" t="n"/>
      <c r="AQ2" s="343" t="n"/>
      <c r="AR2" s="343" t="n"/>
      <c r="AS2" s="343" t="n"/>
      <c r="AT2" s="343" t="n"/>
      <c r="AU2" s="343" t="n"/>
      <c r="AV2" s="343" t="n"/>
      <c r="AW2" s="343" t="n"/>
      <c r="AX2" s="343" t="n"/>
      <c r="AY2" s="343" t="n"/>
      <c r="AZ2" s="343" t="n"/>
      <c r="BA2" s="343" t="n"/>
      <c r="BB2" s="343" t="n"/>
      <c r="BC2" s="343" t="n"/>
      <c r="BD2" s="343" t="n"/>
      <c r="BE2" s="343" t="n"/>
      <c r="BF2" s="343" t="n"/>
      <c r="BZ2" s="344" t="n"/>
      <c r="CA2" s="344" t="n"/>
      <c r="CB2" s="344" t="n"/>
      <c r="CC2" s="344" t="n"/>
      <c r="CD2" s="344" t="n"/>
      <c r="CE2" s="344" t="n"/>
      <c r="CF2" s="344" t="n"/>
      <c r="CG2" s="344" t="n"/>
      <c r="CH2" s="344" t="n"/>
      <c r="CI2" s="344" t="n"/>
      <c r="CJ2" s="344" t="n"/>
      <c r="CK2" s="344" t="n"/>
      <c r="CL2" s="344" t="n"/>
      <c r="CM2" s="344" t="n"/>
      <c r="CN2" s="344" t="n"/>
      <c r="CO2" s="344" t="n"/>
      <c r="CP2" s="344" t="n"/>
      <c r="CQ2" s="344" t="n"/>
      <c r="CR2" s="344" t="n"/>
      <c r="CS2" s="344" t="n"/>
      <c r="CT2" s="344" t="n"/>
      <c r="CU2" s="344" t="n"/>
      <c r="CV2" s="344" t="n"/>
      <c r="CW2" s="344" t="n"/>
      <c r="CX2" s="344" t="n"/>
      <c r="CY2" s="344" t="n"/>
      <c r="CZ2" s="344" t="n"/>
      <c r="DA2" s="344" t="n"/>
      <c r="DB2" s="344" t="n"/>
      <c r="DC2" s="344" t="n"/>
      <c r="DD2" s="344" t="n"/>
      <c r="DE2" s="344" t="n"/>
      <c r="DF2" s="344" t="n"/>
      <c r="DG2" s="344" t="n"/>
      <c r="DH2" s="344" t="n"/>
      <c r="DI2" s="344" t="n"/>
      <c r="DJ2" s="344" t="n"/>
      <c r="DK2" s="344" t="n"/>
      <c r="DL2" s="344" t="n"/>
      <c r="DM2" s="344" t="n"/>
      <c r="DN2" s="344" t="n"/>
      <c r="DO2" s="344" t="n"/>
      <c r="DP2" s="344" t="n"/>
      <c r="DQ2" s="344" t="n"/>
      <c r="DR2" s="344" t="n"/>
      <c r="DS2" s="344" t="n"/>
      <c r="DT2" s="344" t="n"/>
      <c r="DU2" s="344" t="n"/>
      <c r="DV2" s="344" t="n"/>
      <c r="DW2" s="344" t="n"/>
      <c r="DX2" s="344" t="n"/>
      <c r="DY2" s="344" t="n"/>
      <c r="DZ2" s="344" t="n"/>
      <c r="EA2" s="344" t="n"/>
      <c r="EB2" s="344" t="n"/>
      <c r="EC2" s="344" t="n"/>
      <c r="ED2" s="344" t="n"/>
      <c r="EE2" s="344" t="n"/>
      <c r="EF2" s="344" t="n"/>
      <c r="EG2" s="344" t="n"/>
      <c r="EH2" s="344" t="n"/>
      <c r="EI2" s="344" t="n"/>
      <c r="EJ2" s="344" t="n"/>
      <c r="EK2" s="344" t="n"/>
      <c r="EL2" s="344" t="n"/>
      <c r="EM2" s="344" t="n"/>
      <c r="EN2" s="344" t="n"/>
      <c r="EO2" s="344" t="n"/>
      <c r="EP2" s="344" t="n"/>
      <c r="EQ2" s="344" t="n"/>
      <c r="ER2" s="344" t="n"/>
      <c r="ES2" s="344" t="n"/>
      <c r="ET2" s="344" t="n"/>
      <c r="EU2" s="344" t="n"/>
      <c r="EV2" s="344" t="n"/>
      <c r="EW2" s="344" t="n"/>
      <c r="EX2" s="344" t="n"/>
      <c r="EY2" s="344" t="n"/>
      <c r="EZ2" s="344" t="n"/>
      <c r="FA2" s="344" t="n"/>
      <c r="FB2" s="344" t="n"/>
      <c r="FC2" s="344" t="n"/>
      <c r="FD2" s="344" t="n"/>
      <c r="FE2" s="344" t="n"/>
      <c r="FF2" s="344" t="n"/>
      <c r="FG2" s="344" t="n"/>
      <c r="FH2" s="344" t="n"/>
      <c r="FI2" s="344" t="n"/>
      <c r="FJ2" s="344" t="n"/>
      <c r="FK2" s="344" t="n"/>
      <c r="FL2" s="344" t="n"/>
      <c r="FM2" s="344" t="n"/>
      <c r="FN2" s="344" t="n"/>
      <c r="FO2" s="344" t="n"/>
      <c r="FP2" s="344" t="n"/>
      <c r="FQ2" s="344" t="n"/>
      <c r="FR2" s="344" t="n"/>
      <c r="FS2" s="344" t="n"/>
      <c r="FT2" s="344" t="n"/>
      <c r="FU2" s="344" t="n"/>
      <c r="FV2" s="344" t="n"/>
    </row>
    <row r="3" ht="17.1" customHeight="1">
      <c r="A3" s="35" t="n"/>
      <c r="B3" s="355" t="n"/>
      <c r="C3" s="351" t="inlineStr">
        <is>
          <t>NÚMERO CLIENTE</t>
        </is>
      </c>
      <c r="D3" s="352" t="n"/>
      <c r="E3" s="352" t="n"/>
      <c r="F3" s="352" t="n"/>
      <c r="G3" s="353" t="n"/>
      <c r="J3" s="305" t="n"/>
      <c r="K3" s="344" t="n"/>
      <c r="O3" s="343" t="n"/>
      <c r="P3" s="343" t="n"/>
      <c r="Q3" s="343" t="n"/>
      <c r="S3" s="343" t="n"/>
      <c r="T3" s="343" t="n"/>
      <c r="U3" s="343" t="n"/>
      <c r="W3" s="343" t="n"/>
      <c r="X3" s="343" t="n"/>
      <c r="Y3" s="343" t="n"/>
      <c r="AA3" s="343" t="n"/>
      <c r="AB3" s="343" t="n"/>
      <c r="AC3" s="343" t="n"/>
      <c r="AD3" s="343" t="n"/>
      <c r="AE3" s="343" t="n"/>
      <c r="AF3" s="343" t="n"/>
      <c r="AG3" s="343" t="n"/>
      <c r="AH3" s="343" t="n"/>
      <c r="AI3" s="343" t="n"/>
      <c r="AJ3" s="343" t="n"/>
      <c r="AK3" s="343" t="n"/>
      <c r="AL3" s="343" t="n"/>
      <c r="AM3" s="343" t="n"/>
      <c r="AN3" s="343" t="n"/>
      <c r="AO3" s="343" t="n"/>
      <c r="AP3" s="343" t="n"/>
      <c r="AQ3" s="343" t="n"/>
      <c r="AR3" s="343" t="n"/>
      <c r="AS3" s="343" t="n"/>
      <c r="AT3" s="343" t="n"/>
      <c r="AU3" s="343" t="n"/>
      <c r="AV3" s="343" t="n"/>
      <c r="AW3" s="343" t="n"/>
      <c r="AX3" s="343" t="n"/>
      <c r="AY3" s="343" t="n"/>
      <c r="AZ3" s="343" t="n"/>
      <c r="BA3" s="343" t="n"/>
      <c r="BB3" s="343" t="n"/>
      <c r="BC3" s="343" t="n"/>
      <c r="BD3" s="343" t="n"/>
      <c r="BE3" s="343" t="n"/>
      <c r="BF3" s="343" t="n"/>
      <c r="BZ3" s="344" t="n"/>
      <c r="CA3" s="344" t="n"/>
      <c r="CB3" s="344" t="n"/>
      <c r="CC3" s="344" t="n"/>
      <c r="CD3" s="344" t="n"/>
      <c r="CE3" s="344" t="n"/>
      <c r="CF3" s="344" t="n"/>
      <c r="CG3" s="344" t="n"/>
      <c r="CH3" s="344" t="n"/>
      <c r="CI3" s="344" t="n"/>
      <c r="CJ3" s="344" t="n"/>
      <c r="CK3" s="344" t="n"/>
      <c r="CL3" s="344" t="n"/>
      <c r="CM3" s="344" t="n"/>
      <c r="CN3" s="344" t="n"/>
      <c r="CO3" s="344" t="n"/>
      <c r="CP3" s="344" t="n"/>
      <c r="CQ3" s="344" t="n"/>
      <c r="CR3" s="344" t="n"/>
      <c r="CS3" s="344" t="n"/>
      <c r="CT3" s="344" t="n"/>
      <c r="CU3" s="344" t="n"/>
      <c r="CV3" s="344" t="n"/>
      <c r="CW3" s="344" t="n"/>
      <c r="CX3" s="344" t="n"/>
      <c r="CY3" s="344" t="n"/>
      <c r="CZ3" s="344" t="n"/>
      <c r="DA3" s="344" t="n"/>
      <c r="DB3" s="344" t="n"/>
      <c r="DC3" s="344" t="n"/>
      <c r="DD3" s="344" t="n"/>
      <c r="DE3" s="344" t="n"/>
      <c r="DF3" s="344" t="n"/>
      <c r="DG3" s="344" t="n"/>
      <c r="DH3" s="344" t="n"/>
      <c r="DI3" s="344" t="n"/>
      <c r="DJ3" s="344" t="n"/>
      <c r="DK3" s="344" t="n"/>
      <c r="DL3" s="344" t="n"/>
      <c r="DM3" s="344" t="n"/>
      <c r="DN3" s="344" t="n"/>
      <c r="DO3" s="344" t="n"/>
      <c r="DP3" s="344" t="n"/>
      <c r="DQ3" s="344" t="n"/>
      <c r="DR3" s="344" t="n"/>
      <c r="DS3" s="344" t="n"/>
      <c r="DT3" s="344" t="n"/>
      <c r="DU3" s="344" t="n"/>
      <c r="DV3" s="344" t="n"/>
      <c r="DW3" s="344" t="n"/>
      <c r="DX3" s="344" t="n"/>
      <c r="DY3" s="344" t="n"/>
      <c r="DZ3" s="344" t="n"/>
      <c r="EA3" s="344" t="n"/>
      <c r="EB3" s="344" t="n"/>
      <c r="EC3" s="344" t="n"/>
      <c r="ED3" s="344" t="n"/>
      <c r="EE3" s="344" t="n"/>
      <c r="EF3" s="344" t="n"/>
      <c r="EG3" s="344" t="n"/>
      <c r="EH3" s="344" t="n"/>
      <c r="EI3" s="344" t="n"/>
      <c r="EJ3" s="344" t="n"/>
      <c r="EK3" s="344" t="n"/>
      <c r="EL3" s="344" t="n"/>
      <c r="EM3" s="344" t="n"/>
      <c r="EN3" s="344" t="n"/>
      <c r="EO3" s="344" t="n"/>
      <c r="EP3" s="344" t="n"/>
      <c r="EQ3" s="344" t="n"/>
      <c r="ER3" s="344" t="n"/>
      <c r="ES3" s="344" t="n"/>
      <c r="ET3" s="344" t="n"/>
      <c r="EU3" s="344" t="n"/>
      <c r="EV3" s="344" t="n"/>
      <c r="EW3" s="344" t="n"/>
      <c r="EX3" s="344" t="n"/>
      <c r="EY3" s="344" t="n"/>
      <c r="EZ3" s="344" t="n"/>
      <c r="FA3" s="344" t="n"/>
      <c r="FB3" s="344" t="n"/>
      <c r="FC3" s="344" t="n"/>
      <c r="FD3" s="344" t="n"/>
      <c r="FE3" s="344" t="n"/>
      <c r="FF3" s="344" t="n"/>
      <c r="FG3" s="344" t="n"/>
      <c r="FH3" s="344" t="n"/>
      <c r="FI3" s="344" t="n"/>
      <c r="FJ3" s="344" t="n"/>
      <c r="FK3" s="344" t="n"/>
      <c r="FL3" s="344" t="n"/>
      <c r="FM3" s="344" t="n"/>
      <c r="FN3" s="344" t="n"/>
      <c r="FO3" s="344" t="n"/>
      <c r="FP3" s="344" t="n"/>
      <c r="FQ3" s="344" t="n"/>
      <c r="FR3" s="344" t="n"/>
      <c r="FS3" s="344" t="n"/>
      <c r="FT3" s="344" t="n"/>
      <c r="FU3" s="344" t="n"/>
      <c r="FV3" s="344" t="n"/>
    </row>
    <row r="4" ht="17.1" customHeight="1">
      <c r="A4" s="36" t="n"/>
      <c r="B4" s="356" t="n"/>
      <c r="C4" s="365">
        <f>+Capa!D4</f>
        <v/>
      </c>
      <c r="D4" s="361" t="n"/>
      <c r="E4" s="361" t="n"/>
      <c r="F4" s="361" t="n"/>
      <c r="G4" s="362" t="n"/>
      <c r="H4" s="361" t="n"/>
      <c r="I4" s="361" t="n"/>
      <c r="J4" s="362" t="n"/>
      <c r="K4" s="344" t="n"/>
      <c r="O4" s="343" t="n"/>
      <c r="P4" s="343" t="n"/>
      <c r="Q4" s="343" t="n"/>
      <c r="S4" s="343" t="n"/>
      <c r="T4" s="343" t="n"/>
      <c r="U4" s="343" t="n"/>
      <c r="W4" s="343" t="n"/>
      <c r="X4" s="343" t="n"/>
      <c r="Y4" s="343" t="n"/>
      <c r="AA4" s="343" t="n"/>
      <c r="AB4" s="343" t="n"/>
      <c r="AC4" s="343" t="n"/>
      <c r="AD4" s="343" t="n"/>
      <c r="AE4" s="343" t="n"/>
      <c r="AF4" s="343" t="n"/>
      <c r="AG4" s="343" t="n"/>
      <c r="AH4" s="343" t="n"/>
      <c r="AI4" s="343" t="n"/>
      <c r="AJ4" s="343" t="n"/>
      <c r="AK4" s="343" t="n"/>
      <c r="AL4" s="343" t="n"/>
      <c r="AM4" s="343" t="n"/>
      <c r="AN4" s="343" t="n"/>
      <c r="AO4" s="343" t="n"/>
      <c r="AP4" s="343" t="n"/>
      <c r="AQ4" s="343" t="n"/>
      <c r="AR4" s="343" t="n"/>
      <c r="AS4" s="343" t="n"/>
      <c r="AT4" s="343" t="n"/>
      <c r="AU4" s="343" t="n"/>
      <c r="AV4" s="343" t="n"/>
      <c r="AW4" s="343" t="n"/>
      <c r="AX4" s="343" t="n"/>
      <c r="AY4" s="343" t="n"/>
      <c r="AZ4" s="343" t="n"/>
      <c r="BA4" s="343" t="n"/>
      <c r="BB4" s="343" t="n"/>
      <c r="BC4" s="343" t="n"/>
      <c r="BD4" s="343" t="n"/>
      <c r="BE4" s="343" t="n"/>
      <c r="BF4" s="343" t="n"/>
      <c r="BZ4" s="344" t="n"/>
      <c r="CA4" s="344" t="n"/>
      <c r="CB4" s="344" t="n"/>
      <c r="CC4" s="344" t="n"/>
      <c r="CD4" s="344" t="n"/>
      <c r="CE4" s="344" t="n"/>
      <c r="CF4" s="344" t="n"/>
      <c r="CG4" s="344" t="n"/>
      <c r="CH4" s="344" t="n"/>
      <c r="CI4" s="344" t="n"/>
      <c r="CJ4" s="344" t="n"/>
      <c r="CK4" s="344" t="n"/>
      <c r="CL4" s="344" t="n"/>
      <c r="CM4" s="344" t="n"/>
      <c r="CN4" s="344" t="n"/>
      <c r="CO4" s="344" t="n"/>
      <c r="CP4" s="344" t="n"/>
      <c r="CQ4" s="344" t="n"/>
      <c r="CR4" s="344" t="n"/>
      <c r="CS4" s="344" t="n"/>
      <c r="CT4" s="344" t="n"/>
      <c r="CU4" s="344" t="n"/>
      <c r="CV4" s="344" t="n"/>
      <c r="CW4" s="344" t="n"/>
      <c r="CX4" s="344" t="n"/>
      <c r="CY4" s="344" t="n"/>
      <c r="CZ4" s="344" t="n"/>
      <c r="DA4" s="344" t="n"/>
      <c r="DB4" s="344" t="n"/>
      <c r="DC4" s="344" t="n"/>
      <c r="DD4" s="344" t="n"/>
      <c r="DE4" s="344" t="n"/>
      <c r="DF4" s="344" t="n"/>
      <c r="DG4" s="344" t="n"/>
      <c r="DH4" s="344" t="n"/>
      <c r="DI4" s="344" t="n"/>
      <c r="DJ4" s="344" t="n"/>
      <c r="DK4" s="344" t="n"/>
      <c r="DL4" s="344" t="n"/>
      <c r="DM4" s="344" t="n"/>
      <c r="DN4" s="344" t="n"/>
      <c r="DO4" s="344" t="n"/>
      <c r="DP4" s="344" t="n"/>
      <c r="DQ4" s="344" t="n"/>
      <c r="DR4" s="344" t="n"/>
      <c r="DS4" s="344" t="n"/>
      <c r="DT4" s="344" t="n"/>
      <c r="DU4" s="344" t="n"/>
      <c r="DV4" s="344" t="n"/>
      <c r="DW4" s="344" t="n"/>
      <c r="DX4" s="344" t="n"/>
      <c r="DY4" s="344" t="n"/>
      <c r="DZ4" s="344" t="n"/>
      <c r="EA4" s="344" t="n"/>
      <c r="EB4" s="344" t="n"/>
      <c r="EC4" s="344" t="n"/>
      <c r="ED4" s="344" t="n"/>
      <c r="EE4" s="344" t="n"/>
      <c r="EF4" s="344" t="n"/>
      <c r="EG4" s="344" t="n"/>
      <c r="EH4" s="344" t="n"/>
      <c r="EI4" s="344" t="n"/>
      <c r="EJ4" s="344" t="n"/>
      <c r="EK4" s="344" t="n"/>
      <c r="EL4" s="344" t="n"/>
      <c r="EM4" s="344" t="n"/>
      <c r="EN4" s="344" t="n"/>
      <c r="EO4" s="344" t="n"/>
      <c r="EP4" s="344" t="n"/>
      <c r="EQ4" s="344" t="n"/>
      <c r="ER4" s="344" t="n"/>
      <c r="ES4" s="344" t="n"/>
      <c r="ET4" s="344" t="n"/>
      <c r="EU4" s="344" t="n"/>
      <c r="EV4" s="344" t="n"/>
      <c r="EW4" s="344" t="n"/>
      <c r="EX4" s="344" t="n"/>
      <c r="EY4" s="344" t="n"/>
      <c r="EZ4" s="344" t="n"/>
      <c r="FA4" s="344" t="n"/>
      <c r="FB4" s="344" t="n"/>
      <c r="FC4" s="344" t="n"/>
      <c r="FD4" s="344" t="n"/>
      <c r="FE4" s="344" t="n"/>
      <c r="FF4" s="344" t="n"/>
      <c r="FG4" s="344" t="n"/>
      <c r="FH4" s="344" t="n"/>
      <c r="FI4" s="344" t="n"/>
      <c r="FJ4" s="344" t="n"/>
      <c r="FK4" s="344" t="n"/>
      <c r="FL4" s="344" t="n"/>
      <c r="FM4" s="344" t="n"/>
      <c r="FN4" s="344" t="n"/>
      <c r="FO4" s="344" t="n"/>
      <c r="FP4" s="344" t="n"/>
      <c r="FQ4" s="344" t="n"/>
      <c r="FR4" s="344" t="n"/>
      <c r="FS4" s="344" t="n"/>
      <c r="FT4" s="344" t="n"/>
      <c r="FU4" s="344" t="n"/>
      <c r="FV4" s="344" t="n"/>
    </row>
    <row r="5" ht="21" customHeight="1">
      <c r="A5" s="37" t="n"/>
      <c r="B5" s="357">
        <f>+Capa!A5</f>
        <v/>
      </c>
      <c r="C5" s="352" t="n"/>
      <c r="D5" s="352" t="n"/>
      <c r="E5" s="352" t="n"/>
      <c r="F5" s="352" t="n"/>
      <c r="G5" s="352" t="n"/>
      <c r="H5" s="352" t="n"/>
      <c r="I5" s="353" t="n"/>
      <c r="J5" s="38" t="inlineStr">
        <is>
          <t>REV.</t>
        </is>
      </c>
      <c r="K5" s="344" t="n"/>
      <c r="P5" s="343" t="n"/>
      <c r="Q5" s="343" t="n"/>
      <c r="S5" s="343" t="n"/>
      <c r="T5" s="343" t="n"/>
      <c r="U5" s="343" t="n"/>
      <c r="W5" s="343" t="n"/>
      <c r="X5" s="343" t="n"/>
      <c r="Y5" s="343" t="n"/>
      <c r="AA5" s="343" t="n"/>
      <c r="AB5" s="343" t="n"/>
      <c r="AC5" s="343" t="n"/>
      <c r="AD5" s="343" t="n"/>
      <c r="AE5" s="343" t="n"/>
      <c r="AF5" s="343" t="n"/>
      <c r="AG5" s="343" t="n"/>
      <c r="AH5" s="343" t="n"/>
      <c r="AI5" s="343" t="n"/>
      <c r="AJ5" s="343" t="n"/>
      <c r="AK5" s="343" t="n"/>
      <c r="AL5" s="343" t="n"/>
      <c r="AM5" s="343" t="n"/>
      <c r="AN5" s="343" t="n"/>
      <c r="AO5" s="343" t="n"/>
      <c r="AP5" s="343" t="n"/>
      <c r="AQ5" s="343" t="n"/>
      <c r="AR5" s="343" t="n"/>
      <c r="AS5" s="343" t="n"/>
      <c r="AT5" s="343" t="n"/>
      <c r="AU5" s="343" t="n"/>
      <c r="AV5" s="343" t="n"/>
      <c r="AW5" s="343" t="n"/>
      <c r="AX5" s="343" t="n"/>
      <c r="AY5" s="343" t="n"/>
      <c r="AZ5" s="343" t="n"/>
      <c r="BA5" s="343" t="n"/>
      <c r="BB5" s="343" t="n"/>
      <c r="BC5" s="343" t="n"/>
      <c r="BD5" s="343" t="n"/>
      <c r="BE5" s="343" t="n"/>
      <c r="BF5" s="343" t="n"/>
      <c r="BZ5" s="344" t="n"/>
      <c r="CA5" s="344" t="n"/>
      <c r="CB5" s="344" t="n"/>
      <c r="CC5" s="344" t="n"/>
      <c r="CD5" s="344" t="n"/>
      <c r="CE5" s="344" t="n"/>
      <c r="CF5" s="344" t="n"/>
      <c r="CG5" s="344" t="n"/>
      <c r="CH5" s="344" t="n"/>
      <c r="CI5" s="344" t="n"/>
      <c r="CJ5" s="344" t="n"/>
      <c r="CK5" s="344" t="n"/>
      <c r="CL5" s="344" t="n"/>
      <c r="CM5" s="344" t="n"/>
      <c r="CN5" s="344" t="n"/>
      <c r="CO5" s="344" t="n"/>
      <c r="CP5" s="344" t="n"/>
      <c r="CQ5" s="344" t="n"/>
      <c r="CR5" s="344" t="n"/>
      <c r="CS5" s="344" t="n"/>
      <c r="CT5" s="344" t="n"/>
      <c r="CU5" s="344" t="n"/>
      <c r="CV5" s="344" t="n"/>
      <c r="CW5" s="344" t="n"/>
      <c r="CX5" s="344" t="n"/>
      <c r="CY5" s="344" t="n"/>
      <c r="CZ5" s="344" t="n"/>
      <c r="DA5" s="344" t="n"/>
      <c r="DB5" s="344" t="n"/>
      <c r="DC5" s="344" t="n"/>
      <c r="DD5" s="344" t="n"/>
      <c r="DE5" s="344" t="n"/>
      <c r="DF5" s="344" t="n"/>
      <c r="DG5" s="344" t="n"/>
      <c r="DH5" s="344" t="n"/>
      <c r="DI5" s="344" t="n"/>
      <c r="DJ5" s="344" t="n"/>
      <c r="DK5" s="344" t="n"/>
      <c r="DL5" s="344" t="n"/>
      <c r="DM5" s="344" t="n"/>
      <c r="DN5" s="344" t="n"/>
      <c r="DO5" s="344" t="n"/>
      <c r="DP5" s="344" t="n"/>
      <c r="DQ5" s="344" t="n"/>
      <c r="DR5" s="344" t="n"/>
      <c r="DS5" s="344" t="n"/>
      <c r="DT5" s="344" t="n"/>
      <c r="DU5" s="344" t="n"/>
      <c r="DV5" s="344" t="n"/>
      <c r="DW5" s="344" t="n"/>
      <c r="DX5" s="344" t="n"/>
      <c r="DY5" s="344" t="n"/>
      <c r="DZ5" s="344" t="n"/>
      <c r="EA5" s="344" t="n"/>
      <c r="EB5" s="344" t="n"/>
      <c r="EC5" s="344" t="n"/>
      <c r="ED5" s="344" t="n"/>
      <c r="EE5" s="344" t="n"/>
      <c r="EF5" s="344" t="n"/>
      <c r="EG5" s="344" t="n"/>
      <c r="EH5" s="344" t="n"/>
      <c r="EI5" s="344" t="n"/>
      <c r="EJ5" s="344" t="n"/>
      <c r="EK5" s="344" t="n"/>
      <c r="EL5" s="344" t="n"/>
      <c r="EM5" s="344" t="n"/>
      <c r="EN5" s="344" t="n"/>
      <c r="EO5" s="344" t="n"/>
      <c r="EP5" s="344" t="n"/>
      <c r="EQ5" s="344" t="n"/>
      <c r="ER5" s="344" t="n"/>
      <c r="ES5" s="344" t="n"/>
      <c r="ET5" s="344" t="n"/>
      <c r="EU5" s="344" t="n"/>
      <c r="EV5" s="344" t="n"/>
      <c r="EW5" s="344" t="n"/>
      <c r="EX5" s="344" t="n"/>
      <c r="EY5" s="344" t="n"/>
      <c r="EZ5" s="344" t="n"/>
      <c r="FA5" s="344" t="n"/>
      <c r="FB5" s="344" t="n"/>
      <c r="FC5" s="344" t="n"/>
      <c r="FD5" s="344" t="n"/>
      <c r="FE5" s="344" t="n"/>
      <c r="FF5" s="344" t="n"/>
      <c r="FG5" s="344" t="n"/>
      <c r="FH5" s="344" t="n"/>
      <c r="FI5" s="344" t="n"/>
      <c r="FJ5" s="344" t="n"/>
      <c r="FK5" s="344" t="n"/>
      <c r="FL5" s="344" t="n"/>
      <c r="FM5" s="344" t="n"/>
      <c r="FN5" s="344" t="n"/>
      <c r="FO5" s="344" t="n"/>
      <c r="FP5" s="344" t="n"/>
      <c r="FQ5" s="344" t="n"/>
      <c r="FR5" s="344" t="n"/>
      <c r="FS5" s="344" t="n"/>
      <c r="FT5" s="344" t="n"/>
      <c r="FU5" s="344" t="n"/>
      <c r="FV5" s="344" t="n"/>
      <c r="RS5" s="343" t="n"/>
      <c r="RT5" s="343" t="n"/>
      <c r="RU5" s="343" t="n"/>
      <c r="RV5" s="343" t="n"/>
      <c r="RW5" s="343" t="n"/>
      <c r="RX5" s="343" t="n"/>
      <c r="RY5" s="343" t="n"/>
      <c r="RZ5" s="343" t="n"/>
      <c r="SA5" s="343" t="n"/>
      <c r="SB5" s="343" t="n"/>
      <c r="SC5" s="343" t="n"/>
      <c r="SD5" s="343" t="n"/>
      <c r="SE5" s="343" t="n"/>
      <c r="SF5" s="343" t="n"/>
      <c r="SG5" s="343" t="n"/>
      <c r="SH5" s="343" t="n"/>
      <c r="SI5" s="343" t="n"/>
      <c r="SJ5" s="343" t="n"/>
      <c r="SK5" s="343" t="n"/>
      <c r="SL5" s="343" t="n"/>
      <c r="SM5" s="343" t="n"/>
      <c r="SN5" s="343" t="n"/>
      <c r="SO5" s="343" t="n"/>
      <c r="SP5" s="343" t="n"/>
      <c r="SQ5" s="343" t="n"/>
      <c r="SR5" s="343" t="n"/>
      <c r="SS5" s="343" t="n"/>
      <c r="ST5" s="343" t="n"/>
    </row>
    <row r="6" ht="21" customHeight="1">
      <c r="A6" s="39" t="n"/>
      <c r="B6" s="358" t="n"/>
      <c r="I6" s="305" t="n"/>
      <c r="J6" s="40">
        <f>+Capa!L6</f>
        <v/>
      </c>
      <c r="K6" s="344" t="n"/>
      <c r="L6" s="350" t="n"/>
      <c r="N6" s="106" t="n"/>
      <c r="O6" s="343" t="n"/>
      <c r="P6" s="343" t="n"/>
      <c r="Q6" s="343" t="n"/>
      <c r="S6" s="343" t="n"/>
      <c r="T6" s="343" t="n"/>
      <c r="U6" s="343" t="n"/>
      <c r="W6" s="343" t="n"/>
      <c r="X6" s="343" t="n"/>
      <c r="Y6" s="343" t="n"/>
      <c r="AA6" s="343" t="n"/>
      <c r="AB6" s="343" t="n"/>
      <c r="AC6" s="343" t="n"/>
      <c r="AD6" s="343" t="n"/>
      <c r="AE6" s="343" t="n"/>
      <c r="AF6" s="343" t="n"/>
      <c r="AG6" s="343" t="n"/>
      <c r="AH6" s="343" t="n"/>
      <c r="AI6" s="343" t="n"/>
      <c r="AJ6" s="343" t="n"/>
      <c r="AK6" s="343" t="n"/>
      <c r="AL6" s="343" t="n"/>
      <c r="AM6" s="343" t="n"/>
      <c r="AN6" s="343" t="n"/>
      <c r="AO6" s="343" t="n"/>
      <c r="AP6" s="343" t="n"/>
      <c r="AQ6" s="343" t="n"/>
      <c r="AR6" s="343" t="n"/>
      <c r="AS6" s="343" t="n"/>
      <c r="AT6" s="343" t="n"/>
      <c r="AU6" s="343" t="n"/>
      <c r="AV6" s="343" t="n"/>
      <c r="AW6" s="343" t="n"/>
      <c r="AX6" s="343" t="n"/>
      <c r="AY6" s="343" t="n"/>
      <c r="AZ6" s="343" t="n"/>
      <c r="BA6" s="343" t="n"/>
      <c r="BB6" s="343" t="n"/>
      <c r="BC6" s="343" t="n"/>
      <c r="BD6" s="343" t="n"/>
      <c r="BE6" s="343" t="n"/>
      <c r="BF6" s="343" t="n"/>
      <c r="BZ6" s="344" t="n"/>
      <c r="CA6" s="344" t="n"/>
      <c r="CB6" s="344" t="n"/>
      <c r="CC6" s="344" t="n"/>
      <c r="CD6" s="344" t="n"/>
      <c r="CE6" s="344" t="n"/>
      <c r="CF6" s="344" t="n"/>
      <c r="CG6" s="344" t="n"/>
      <c r="CH6" s="344" t="n"/>
      <c r="CI6" s="344" t="n"/>
      <c r="CJ6" s="344" t="n"/>
      <c r="CK6" s="344" t="n"/>
      <c r="CL6" s="344" t="n"/>
      <c r="CM6" s="344" t="n"/>
      <c r="CN6" s="344" t="n"/>
      <c r="CO6" s="344" t="n"/>
      <c r="CP6" s="344" t="n"/>
      <c r="CQ6" s="344" t="n"/>
      <c r="CR6" s="344" t="n"/>
      <c r="CS6" s="344" t="n"/>
      <c r="CT6" s="344" t="n"/>
      <c r="CU6" s="344" t="n"/>
      <c r="CV6" s="344" t="n"/>
      <c r="CW6" s="344" t="n"/>
      <c r="CX6" s="344" t="n"/>
      <c r="CY6" s="344" t="n"/>
      <c r="CZ6" s="344" t="n"/>
      <c r="DA6" s="344" t="n"/>
      <c r="DB6" s="344" t="n"/>
      <c r="DC6" s="344" t="n"/>
      <c r="DD6" s="344" t="n"/>
      <c r="DE6" s="344" t="n"/>
      <c r="DF6" s="344" t="n"/>
      <c r="DG6" s="344" t="n"/>
      <c r="DH6" s="344" t="n"/>
      <c r="DI6" s="344" t="n"/>
      <c r="DJ6" s="344" t="n"/>
      <c r="DK6" s="344" t="n"/>
      <c r="DL6" s="344" t="n"/>
      <c r="DM6" s="344" t="n"/>
      <c r="DN6" s="344" t="n"/>
      <c r="DO6" s="344" t="n"/>
      <c r="DP6" s="344" t="n"/>
      <c r="DQ6" s="344" t="n"/>
      <c r="DR6" s="344" t="n"/>
      <c r="DS6" s="344" t="n"/>
      <c r="DT6" s="344" t="n"/>
      <c r="DU6" s="344" t="n"/>
      <c r="DV6" s="344" t="n"/>
      <c r="DW6" s="344" t="n"/>
      <c r="DX6" s="344" t="n"/>
      <c r="DY6" s="344" t="n"/>
      <c r="DZ6" s="344" t="n"/>
      <c r="EA6" s="344" t="n"/>
      <c r="EB6" s="344" t="n"/>
      <c r="EC6" s="344" t="n"/>
      <c r="ED6" s="344" t="n"/>
      <c r="EE6" s="344" t="n"/>
      <c r="EF6" s="344" t="n"/>
      <c r="EG6" s="344" t="n"/>
      <c r="EH6" s="344" t="n"/>
      <c r="EI6" s="344" t="n"/>
      <c r="EJ6" s="344" t="n"/>
      <c r="EK6" s="344" t="n"/>
      <c r="EL6" s="344" t="n"/>
      <c r="EM6" s="344" t="n"/>
      <c r="EN6" s="344" t="n"/>
      <c r="EO6" s="344" t="n"/>
      <c r="EP6" s="344" t="n"/>
      <c r="EQ6" s="344" t="n"/>
      <c r="ER6" s="344" t="n"/>
      <c r="ES6" s="344" t="n"/>
      <c r="ET6" s="344" t="n"/>
      <c r="EU6" s="344" t="n"/>
      <c r="EV6" s="344" t="n"/>
      <c r="EW6" s="344" t="n"/>
      <c r="EX6" s="344" t="n"/>
      <c r="EY6" s="344" t="n"/>
      <c r="EZ6" s="344" t="n"/>
      <c r="FA6" s="344" t="n"/>
      <c r="FB6" s="344" t="n"/>
      <c r="FC6" s="344" t="n"/>
      <c r="FD6" s="344" t="n"/>
      <c r="FE6" s="344" t="n"/>
      <c r="FF6" s="344" t="n"/>
      <c r="FG6" s="344" t="n"/>
      <c r="FH6" s="344" t="n"/>
      <c r="FI6" s="344" t="n"/>
      <c r="FJ6" s="344" t="n"/>
      <c r="FK6" s="344" t="n"/>
      <c r="FL6" s="344" t="n"/>
      <c r="FM6" s="344" t="n"/>
      <c r="FN6" s="344" t="n"/>
      <c r="FO6" s="344" t="n"/>
      <c r="FP6" s="344" t="n"/>
      <c r="FQ6" s="344" t="n"/>
      <c r="FR6" s="344" t="n"/>
      <c r="FS6" s="344" t="n"/>
      <c r="FT6" s="344" t="n"/>
      <c r="FU6" s="344" t="n"/>
      <c r="FV6" s="344" t="n"/>
    </row>
    <row r="7" ht="21" customHeight="1">
      <c r="A7" s="39" t="n"/>
      <c r="B7" s="358" t="n"/>
      <c r="I7" s="305" t="n"/>
      <c r="J7" s="38" t="inlineStr">
        <is>
          <t>PÁGINA</t>
        </is>
      </c>
      <c r="K7" s="344" t="n"/>
      <c r="N7" s="343" t="n"/>
      <c r="O7" s="343" t="n"/>
      <c r="P7" s="343" t="n"/>
      <c r="Q7" s="343" t="n"/>
      <c r="R7" s="343" t="n"/>
      <c r="S7" s="343" t="n"/>
      <c r="T7" s="343" t="n"/>
      <c r="U7" s="343" t="n"/>
      <c r="V7" s="343" t="n"/>
      <c r="W7" s="343" t="n"/>
      <c r="X7" s="343" t="n"/>
      <c r="Y7" s="343" t="n"/>
      <c r="Z7" s="343" t="n"/>
      <c r="AA7" s="343" t="n"/>
      <c r="AB7" s="343" t="n"/>
      <c r="AC7" s="343" t="n"/>
      <c r="AD7" s="343" t="n"/>
      <c r="AE7" s="343" t="n"/>
      <c r="AF7" s="343" t="n"/>
      <c r="AG7" s="343" t="n"/>
      <c r="AH7" s="343" t="n"/>
      <c r="AI7" s="343" t="n"/>
      <c r="AJ7" s="343" t="n"/>
      <c r="AK7" s="343" t="n"/>
      <c r="AL7" s="343" t="n"/>
      <c r="AM7" s="343" t="n"/>
      <c r="AN7" s="343" t="n"/>
      <c r="AO7" s="343" t="n"/>
      <c r="AP7" s="343" t="n"/>
      <c r="AQ7" s="343" t="n"/>
      <c r="AR7" s="343" t="n"/>
      <c r="AS7" s="343" t="n"/>
      <c r="AT7" s="343" t="n"/>
      <c r="AU7" s="343" t="n"/>
      <c r="AV7" s="343" t="n"/>
      <c r="AW7" s="343" t="n"/>
      <c r="AX7" s="343" t="n"/>
      <c r="AY7" s="343" t="n"/>
      <c r="AZ7" s="343" t="n"/>
      <c r="BA7" s="343" t="n"/>
      <c r="BB7" s="343" t="n"/>
      <c r="BC7" s="343" t="n"/>
      <c r="BD7" s="343" t="n"/>
      <c r="BE7" s="343" t="n"/>
      <c r="BF7" s="343" t="n"/>
      <c r="BZ7" s="344" t="n"/>
      <c r="CA7" s="344" t="n"/>
      <c r="CB7" s="344" t="n"/>
      <c r="CC7" s="344" t="n"/>
      <c r="CD7" s="344" t="n"/>
      <c r="CE7" s="344" t="n"/>
      <c r="CF7" s="344" t="n"/>
      <c r="CG7" s="344" t="n"/>
      <c r="CH7" s="344" t="n"/>
      <c r="CI7" s="344" t="n"/>
      <c r="CJ7" s="344" t="n"/>
      <c r="CK7" s="344" t="n"/>
      <c r="CL7" s="344" t="n"/>
      <c r="CM7" s="344" t="n"/>
      <c r="CN7" s="344" t="n"/>
      <c r="CO7" s="344" t="n"/>
      <c r="CP7" s="344" t="n"/>
      <c r="CQ7" s="344" t="n"/>
      <c r="CR7" s="344" t="n"/>
      <c r="CS7" s="344" t="n"/>
      <c r="CT7" s="344" t="n"/>
      <c r="CU7" s="344" t="n"/>
      <c r="CV7" s="344" t="n"/>
      <c r="CW7" s="344" t="n"/>
      <c r="CX7" s="344" t="n"/>
      <c r="CY7" s="344" t="n"/>
      <c r="CZ7" s="344" t="n"/>
      <c r="DA7" s="344" t="n"/>
      <c r="DB7" s="344" t="n"/>
      <c r="DC7" s="344" t="n"/>
      <c r="DD7" s="344" t="n"/>
      <c r="DE7" s="344" t="n"/>
      <c r="DF7" s="344" t="n"/>
      <c r="DG7" s="344" t="n"/>
      <c r="DH7" s="344" t="n"/>
      <c r="DI7" s="344" t="n"/>
      <c r="DJ7" s="344" t="n"/>
      <c r="DK7" s="344" t="n"/>
      <c r="DL7" s="344" t="n"/>
      <c r="DM7" s="344" t="n"/>
      <c r="DN7" s="344" t="n"/>
      <c r="DO7" s="344" t="n"/>
      <c r="DP7" s="344" t="n"/>
      <c r="DQ7" s="344" t="n"/>
      <c r="DR7" s="344" t="n"/>
      <c r="DS7" s="344" t="n"/>
      <c r="DT7" s="344" t="n"/>
      <c r="DU7" s="344" t="n"/>
      <c r="DV7" s="344" t="n"/>
      <c r="DW7" s="344" t="n"/>
      <c r="DX7" s="344" t="n"/>
      <c r="DY7" s="344" t="n"/>
      <c r="DZ7" s="344" t="n"/>
      <c r="EA7" s="344" t="n"/>
      <c r="EB7" s="344" t="n"/>
      <c r="EC7" s="344" t="n"/>
      <c r="ED7" s="344" t="n"/>
      <c r="EE7" s="344" t="n"/>
      <c r="EF7" s="344" t="n"/>
      <c r="EG7" s="344" t="n"/>
      <c r="EH7" s="344" t="n"/>
      <c r="EI7" s="344" t="n"/>
      <c r="EJ7" s="344" t="n"/>
      <c r="EK7" s="344" t="n"/>
      <c r="EL7" s="344" t="n"/>
      <c r="EM7" s="344" t="n"/>
      <c r="EN7" s="344" t="n"/>
      <c r="EO7" s="344" t="n"/>
      <c r="EP7" s="344" t="n"/>
      <c r="EQ7" s="344" t="n"/>
      <c r="ER7" s="344" t="n"/>
      <c r="ES7" s="344" t="n"/>
      <c r="ET7" s="344" t="n"/>
      <c r="EU7" s="344" t="n"/>
      <c r="EV7" s="344" t="n"/>
      <c r="EW7" s="344" t="n"/>
      <c r="EX7" s="344" t="n"/>
      <c r="EY7" s="344" t="n"/>
      <c r="EZ7" s="344" t="n"/>
      <c r="FA7" s="344" t="n"/>
      <c r="FB7" s="344" t="n"/>
      <c r="FC7" s="344" t="n"/>
      <c r="FD7" s="344" t="n"/>
      <c r="FE7" s="344" t="n"/>
      <c r="FF7" s="344" t="n"/>
      <c r="FG7" s="344" t="n"/>
      <c r="FH7" s="344" t="n"/>
      <c r="FI7" s="344" t="n"/>
      <c r="FJ7" s="344" t="n"/>
      <c r="FK7" s="344" t="n"/>
      <c r="FL7" s="344" t="n"/>
      <c r="FM7" s="344" t="n"/>
      <c r="FN7" s="344" t="n"/>
      <c r="FO7" s="344" t="n"/>
      <c r="FP7" s="344" t="n"/>
      <c r="FQ7" s="344" t="n"/>
      <c r="FR7" s="344" t="n"/>
      <c r="FS7" s="344" t="n"/>
      <c r="FT7" s="344" t="n"/>
      <c r="FU7" s="344" t="n"/>
      <c r="FV7" s="344" t="n"/>
    </row>
    <row r="8" ht="21" customHeight="1">
      <c r="A8" s="39" t="n"/>
      <c r="B8" s="360" t="n"/>
      <c r="C8" s="361" t="n"/>
      <c r="D8" s="361" t="n"/>
      <c r="E8" s="361" t="n"/>
      <c r="F8" s="361" t="n"/>
      <c r="G8" s="361" t="n"/>
      <c r="H8" s="361" t="n"/>
      <c r="I8" s="362" t="n"/>
      <c r="J8" s="41" t="n">
        <v>1</v>
      </c>
      <c r="K8" s="344" t="n"/>
      <c r="BZ8" s="344" t="n"/>
      <c r="CA8" s="344" t="n"/>
      <c r="CB8" s="344" t="n"/>
      <c r="CC8" s="344" t="n"/>
      <c r="CD8" s="344" t="n"/>
      <c r="CE8" s="344" t="n"/>
      <c r="CF8" s="344" t="n"/>
      <c r="CG8" s="344" t="n"/>
      <c r="CH8" s="344" t="n"/>
      <c r="CI8" s="344" t="n"/>
      <c r="CJ8" s="344" t="n"/>
      <c r="CK8" s="344" t="n"/>
      <c r="CL8" s="344" t="n"/>
      <c r="CM8" s="344" t="n"/>
      <c r="CN8" s="344" t="n"/>
      <c r="CO8" s="344" t="n"/>
      <c r="CP8" s="344" t="n"/>
      <c r="CQ8" s="344" t="n"/>
      <c r="CR8" s="344" t="n"/>
      <c r="CS8" s="344" t="n"/>
      <c r="CT8" s="344" t="n"/>
      <c r="CU8" s="344" t="n"/>
      <c r="CV8" s="344" t="n"/>
      <c r="CW8" s="344" t="n"/>
      <c r="CX8" s="344" t="n"/>
      <c r="CY8" s="344" t="n"/>
      <c r="CZ8" s="344" t="n"/>
      <c r="DA8" s="344" t="n"/>
      <c r="DB8" s="344" t="n"/>
      <c r="DC8" s="344" t="n"/>
      <c r="DD8" s="344" t="n"/>
      <c r="DE8" s="344" t="n"/>
      <c r="DF8" s="344" t="n"/>
      <c r="DG8" s="344" t="n"/>
      <c r="DH8" s="344" t="n"/>
      <c r="DI8" s="344" t="n"/>
      <c r="DJ8" s="344" t="n"/>
      <c r="DK8" s="344" t="n"/>
      <c r="DL8" s="344" t="n"/>
      <c r="DM8" s="344" t="n"/>
      <c r="DN8" s="344" t="n"/>
      <c r="DO8" s="344" t="n"/>
      <c r="DP8" s="344" t="n"/>
      <c r="DQ8" s="344" t="n"/>
      <c r="DR8" s="344" t="n"/>
      <c r="DS8" s="344" t="n"/>
      <c r="DT8" s="344" t="n"/>
      <c r="DU8" s="344" t="n"/>
      <c r="DV8" s="344" t="n"/>
      <c r="DW8" s="344" t="n"/>
      <c r="DX8" s="344" t="n"/>
      <c r="DY8" s="344" t="n"/>
      <c r="DZ8" s="344" t="n"/>
      <c r="EA8" s="344" t="n"/>
      <c r="EB8" s="344" t="n"/>
      <c r="EC8" s="344" t="n"/>
      <c r="ED8" s="344" t="n"/>
      <c r="EE8" s="344" t="n"/>
      <c r="EF8" s="344" t="n"/>
      <c r="EG8" s="344" t="n"/>
      <c r="EH8" s="344" t="n"/>
      <c r="EI8" s="344" t="n"/>
      <c r="EJ8" s="344" t="n"/>
      <c r="EK8" s="344" t="n"/>
      <c r="EL8" s="344" t="n"/>
      <c r="EM8" s="344" t="n"/>
      <c r="EN8" s="344" t="n"/>
      <c r="EO8" s="344" t="n"/>
      <c r="EP8" s="344" t="n"/>
      <c r="EQ8" s="344" t="n"/>
      <c r="ER8" s="344" t="n"/>
      <c r="ES8" s="344" t="n"/>
      <c r="ET8" s="344" t="n"/>
      <c r="EU8" s="344" t="n"/>
      <c r="EV8" s="344" t="n"/>
      <c r="EW8" s="344" t="n"/>
      <c r="EX8" s="344" t="n"/>
      <c r="EY8" s="344" t="n"/>
      <c r="EZ8" s="344" t="n"/>
      <c r="FA8" s="344" t="n"/>
      <c r="FB8" s="344" t="n"/>
      <c r="FC8" s="344" t="n"/>
      <c r="FD8" s="344" t="n"/>
      <c r="FE8" s="344" t="n"/>
      <c r="FF8" s="344" t="n"/>
      <c r="FG8" s="344" t="n"/>
      <c r="FH8" s="344" t="n"/>
      <c r="FI8" s="344" t="n"/>
      <c r="FJ8" s="344" t="n"/>
      <c r="FK8" s="344" t="n"/>
      <c r="FL8" s="344" t="n"/>
      <c r="FM8" s="344" t="n"/>
      <c r="FN8" s="344" t="n"/>
      <c r="FO8" s="344" t="n"/>
      <c r="FP8" s="344" t="n"/>
      <c r="FQ8" s="344" t="n"/>
      <c r="FR8" s="344" t="n"/>
      <c r="FS8" s="344" t="n"/>
      <c r="FT8" s="344" t="n"/>
      <c r="FU8" s="344" t="n"/>
      <c r="FV8" s="344" t="n"/>
    </row>
    <row r="9" ht="9.6" customHeight="1">
      <c r="A9" s="37" t="n"/>
      <c r="B9" s="42" t="n"/>
      <c r="C9" s="43" t="n"/>
      <c r="D9" s="42" t="n"/>
      <c r="E9" s="42" t="n"/>
      <c r="F9" s="42" t="n"/>
      <c r="G9" s="42" t="n"/>
      <c r="H9" s="44" t="n"/>
      <c r="I9" s="44" t="n"/>
      <c r="J9" s="45" t="n"/>
      <c r="K9" s="344" t="n"/>
      <c r="BZ9" s="344" t="n"/>
      <c r="CA9" s="344" t="n"/>
      <c r="CB9" s="344" t="n"/>
      <c r="CC9" s="344" t="n"/>
      <c r="CD9" s="344" t="n"/>
      <c r="CE9" s="344" t="n"/>
      <c r="CF9" s="344" t="n"/>
      <c r="CG9" s="344" t="n"/>
      <c r="CH9" s="344" t="n"/>
      <c r="CI9" s="344" t="n"/>
      <c r="CJ9" s="344" t="n"/>
      <c r="CK9" s="344" t="n"/>
      <c r="CL9" s="344" t="n"/>
      <c r="CM9" s="344" t="n"/>
      <c r="CN9" s="344" t="n"/>
      <c r="CO9" s="344" t="n"/>
      <c r="CP9" s="344" t="n"/>
      <c r="CQ9" s="344" t="n"/>
      <c r="CR9" s="344" t="n"/>
      <c r="CS9" s="344" t="n"/>
      <c r="CT9" s="344" t="n"/>
      <c r="CU9" s="344" t="n"/>
      <c r="CV9" s="344" t="n"/>
      <c r="CW9" s="344" t="n"/>
      <c r="CX9" s="344" t="n"/>
      <c r="CY9" s="344" t="n"/>
      <c r="CZ9" s="344" t="n"/>
      <c r="DA9" s="344" t="n"/>
      <c r="DB9" s="344" t="n"/>
      <c r="DC9" s="344" t="n"/>
      <c r="DD9" s="344" t="n"/>
      <c r="DE9" s="344" t="n"/>
      <c r="DF9" s="344" t="n"/>
      <c r="DG9" s="344" t="n"/>
      <c r="DH9" s="344" t="n"/>
      <c r="DI9" s="344" t="n"/>
      <c r="DJ9" s="344" t="n"/>
      <c r="DK9" s="344" t="n"/>
      <c r="DL9" s="344" t="n"/>
      <c r="DM9" s="344" t="n"/>
      <c r="DN9" s="344" t="n"/>
      <c r="DO9" s="344" t="n"/>
      <c r="DP9" s="344" t="n"/>
      <c r="DQ9" s="344" t="n"/>
      <c r="DR9" s="344" t="n"/>
      <c r="DS9" s="344" t="n"/>
      <c r="DT9" s="344" t="n"/>
      <c r="DU9" s="344" t="n"/>
      <c r="DV9" s="344" t="n"/>
      <c r="DW9" s="344" t="n"/>
      <c r="DX9" s="344" t="n"/>
      <c r="DY9" s="344" t="n"/>
      <c r="DZ9" s="344" t="n"/>
      <c r="EA9" s="344" t="n"/>
      <c r="EB9" s="344" t="n"/>
      <c r="EC9" s="344" t="n"/>
      <c r="ED9" s="344" t="n"/>
      <c r="EE9" s="344" t="n"/>
      <c r="EF9" s="344" t="n"/>
      <c r="EG9" s="344" t="n"/>
      <c r="EH9" s="344" t="n"/>
      <c r="EI9" s="344" t="n"/>
      <c r="EJ9" s="344" t="n"/>
      <c r="EK9" s="344" t="n"/>
      <c r="EL9" s="344" t="n"/>
      <c r="EM9" s="344" t="n"/>
      <c r="EN9" s="344" t="n"/>
      <c r="EO9" s="344" t="n"/>
      <c r="EP9" s="344" t="n"/>
      <c r="EQ9" s="344" t="n"/>
      <c r="ER9" s="344" t="n"/>
      <c r="ES9" s="344" t="n"/>
      <c r="ET9" s="344" t="n"/>
      <c r="EU9" s="344" t="n"/>
      <c r="EV9" s="344" t="n"/>
      <c r="EW9" s="344" t="n"/>
      <c r="EX9" s="344" t="n"/>
      <c r="EY9" s="344" t="n"/>
      <c r="EZ9" s="344" t="n"/>
      <c r="FA9" s="344" t="n"/>
      <c r="FB9" s="344" t="n"/>
      <c r="FC9" s="344" t="n"/>
      <c r="FD9" s="344" t="n"/>
      <c r="FE9" s="344" t="n"/>
      <c r="FF9" s="344" t="n"/>
      <c r="FG9" s="344" t="n"/>
      <c r="FH9" s="344" t="n"/>
      <c r="FI9" s="344" t="n"/>
      <c r="FJ9" s="344" t="n"/>
      <c r="FK9" s="344" t="n"/>
      <c r="FL9" s="344" t="n"/>
      <c r="FM9" s="344" t="n"/>
      <c r="FN9" s="344" t="n"/>
      <c r="FO9" s="344" t="n"/>
      <c r="FP9" s="344" t="n"/>
      <c r="FQ9" s="344" t="n"/>
      <c r="FR9" s="344" t="n"/>
      <c r="FS9" s="344" t="n"/>
      <c r="FT9" s="344" t="n"/>
      <c r="FU9" s="344" t="n"/>
      <c r="FV9" s="344" t="n"/>
    </row>
    <row r="10" ht="25.9" customHeight="1">
      <c r="A10" s="46" t="n"/>
      <c r="B10" s="47" t="inlineStr">
        <is>
          <t>TIPO DE EMISSÃO:</t>
        </is>
      </c>
      <c r="C10" s="348" t="inlineStr">
        <is>
          <t>(A) PRELIMINAR         (B) PARA COMENTÁRIOS            (C) PARA CONHECIMENTO         (D) PARA COTAÇÃO        (E) PARA CONSTRUÇÃO        (F) CONFORME COMPRADO     (G) CONFORME CONSTRUIDO     (H) CANCELADO     (I) APROVADO</t>
        </is>
      </c>
      <c r="J10" s="305" t="n"/>
      <c r="K10" s="48" t="n">
        <v>0</v>
      </c>
      <c r="L10" s="48" t="n"/>
      <c r="M10" s="48" t="n"/>
      <c r="N10" s="48" t="n"/>
      <c r="O10" s="48" t="n">
        <v>1</v>
      </c>
      <c r="P10" s="48" t="n"/>
      <c r="Q10" s="48" t="n"/>
      <c r="R10" s="48" t="n"/>
      <c r="S10" s="48" t="n">
        <v>2</v>
      </c>
      <c r="T10" s="48" t="n"/>
      <c r="U10" s="48" t="n"/>
      <c r="V10" s="48" t="n"/>
      <c r="W10" s="48" t="n">
        <v>3</v>
      </c>
      <c r="X10" s="48" t="n"/>
      <c r="Y10" s="107" t="n"/>
      <c r="Z10" s="108" t="n"/>
      <c r="AA10" s="48" t="n">
        <v>4</v>
      </c>
      <c r="AB10" s="48" t="n"/>
      <c r="AC10" s="48" t="n"/>
      <c r="AD10" s="48" t="n"/>
      <c r="AE10" s="48" t="n">
        <v>5</v>
      </c>
      <c r="AF10" s="48" t="n"/>
      <c r="AG10" s="48" t="n"/>
      <c r="AH10" s="48" t="n"/>
      <c r="AI10" s="48" t="n">
        <v>6</v>
      </c>
      <c r="AJ10" s="48" t="n"/>
      <c r="AK10" s="48" t="n"/>
      <c r="AL10" s="48" t="n"/>
      <c r="AM10" s="48" t="n">
        <v>7</v>
      </c>
      <c r="AN10" s="48" t="n"/>
      <c r="AO10" s="48" t="n"/>
      <c r="AP10" s="48" t="n"/>
      <c r="AQ10" s="48" t="n">
        <v>8</v>
      </c>
      <c r="AR10" s="48" t="n"/>
      <c r="AS10" s="48" t="n"/>
      <c r="AT10" s="48" t="n"/>
      <c r="AU10" s="48" t="n">
        <v>9</v>
      </c>
      <c r="AV10" s="48" t="n"/>
      <c r="AW10" s="48" t="n"/>
      <c r="AX10" s="48" t="n"/>
      <c r="AY10" s="48" t="n">
        <v>10</v>
      </c>
      <c r="AZ10" s="48" t="n"/>
      <c r="BA10" s="48" t="n"/>
      <c r="BB10" s="48" t="n"/>
      <c r="BC10" s="48" t="n">
        <v>11</v>
      </c>
      <c r="BD10" s="48" t="n"/>
      <c r="BE10" s="48" t="n"/>
      <c r="BF10" s="48" t="n"/>
      <c r="BZ10" s="344" t="n"/>
      <c r="CA10" s="344" t="n"/>
      <c r="CB10" s="344" t="n"/>
      <c r="CC10" s="344" t="n"/>
      <c r="CD10" s="344" t="n"/>
      <c r="CE10" s="344" t="n"/>
      <c r="CF10" s="344" t="n"/>
      <c r="CG10" s="344" t="n"/>
      <c r="CH10" s="344" t="n"/>
      <c r="CI10" s="344" t="n"/>
      <c r="CJ10" s="344" t="n"/>
      <c r="CK10" s="344" t="n"/>
      <c r="CL10" s="344" t="n"/>
      <c r="CM10" s="344" t="n"/>
      <c r="CN10" s="344" t="n"/>
      <c r="CO10" s="344" t="n"/>
      <c r="CP10" s="344" t="n"/>
      <c r="CQ10" s="344" t="n"/>
      <c r="CR10" s="344" t="n"/>
      <c r="CS10" s="344" t="n"/>
      <c r="CT10" s="344" t="n"/>
      <c r="CU10" s="344" t="n"/>
      <c r="CV10" s="344" t="n"/>
      <c r="CW10" s="344" t="n"/>
      <c r="CX10" s="344" t="n"/>
      <c r="CY10" s="344" t="n"/>
      <c r="CZ10" s="344" t="n"/>
      <c r="DA10" s="344" t="n"/>
      <c r="DB10" s="344" t="n"/>
      <c r="DC10" s="344" t="n"/>
      <c r="DD10" s="344" t="n"/>
      <c r="DE10" s="344" t="n"/>
      <c r="DF10" s="344" t="n"/>
      <c r="DG10" s="344" t="n"/>
      <c r="DH10" s="344" t="n"/>
      <c r="DI10" s="344" t="n"/>
      <c r="DJ10" s="344" t="n"/>
      <c r="DK10" s="344" t="n"/>
      <c r="DL10" s="344" t="n"/>
      <c r="DM10" s="344" t="n"/>
      <c r="DN10" s="344" t="n"/>
      <c r="DO10" s="344" t="n"/>
      <c r="DP10" s="344" t="n"/>
      <c r="DQ10" s="344" t="n"/>
      <c r="DR10" s="344" t="n"/>
      <c r="DS10" s="344" t="n"/>
      <c r="DT10" s="344" t="n"/>
      <c r="DU10" s="344" t="n"/>
      <c r="DV10" s="344" t="n"/>
      <c r="DW10" s="344" t="n"/>
      <c r="DX10" s="344" t="n"/>
      <c r="DY10" s="344" t="n"/>
      <c r="DZ10" s="344" t="n"/>
      <c r="EA10" s="344" t="n"/>
      <c r="EB10" s="344" t="n"/>
      <c r="EC10" s="344" t="n"/>
      <c r="ED10" s="344" t="n"/>
      <c r="EE10" s="344" t="n"/>
      <c r="EF10" s="344" t="n"/>
      <c r="EG10" s="344" t="n"/>
      <c r="EH10" s="344" t="n"/>
      <c r="EI10" s="344" t="n"/>
      <c r="EJ10" s="344" t="n"/>
      <c r="EK10" s="344" t="n"/>
      <c r="EL10" s="344" t="n"/>
      <c r="EM10" s="344" t="n"/>
      <c r="EN10" s="344" t="n"/>
      <c r="EO10" s="344" t="n"/>
      <c r="EP10" s="344" t="n"/>
      <c r="EQ10" s="344" t="n"/>
      <c r="ER10" s="344" t="n"/>
      <c r="ES10" s="344" t="n"/>
      <c r="ET10" s="344" t="n"/>
      <c r="EU10" s="344" t="n"/>
      <c r="EV10" s="344" t="n"/>
      <c r="EW10" s="344" t="n"/>
      <c r="EX10" s="344" t="n"/>
      <c r="EY10" s="344" t="n"/>
      <c r="EZ10" s="344" t="n"/>
      <c r="FA10" s="344" t="n"/>
      <c r="FB10" s="344" t="n"/>
      <c r="FC10" s="344" t="n"/>
      <c r="FD10" s="344" t="n"/>
      <c r="FE10" s="344" t="n"/>
      <c r="FF10" s="344" t="n"/>
      <c r="FG10" s="344" t="n"/>
      <c r="FH10" s="344" t="n"/>
      <c r="FI10" s="344" t="n"/>
      <c r="FJ10" s="344" t="n"/>
      <c r="FK10" s="344" t="n"/>
      <c r="FL10" s="344" t="n"/>
      <c r="FM10" s="344" t="n"/>
      <c r="FN10" s="344" t="n"/>
      <c r="FO10" s="344" t="n"/>
      <c r="FP10" s="344" t="n"/>
      <c r="FQ10" s="344" t="n"/>
      <c r="FR10" s="344" t="n"/>
      <c r="FS10" s="344" t="n"/>
      <c r="FT10" s="344" t="n"/>
      <c r="FU10" s="344" t="n"/>
      <c r="FV10" s="344" t="n"/>
    </row>
    <row r="11" ht="14.45" customHeight="1">
      <c r="A11" s="49" t="n"/>
      <c r="B11" s="50" t="n"/>
      <c r="C11" s="51" t="n"/>
      <c r="D11" s="52" t="n"/>
      <c r="E11" s="53" t="n"/>
      <c r="F11" s="53" t="n"/>
      <c r="G11" s="53" t="n"/>
      <c r="H11" s="54" t="n"/>
      <c r="I11" s="55" t="n"/>
      <c r="J11" s="56" t="n"/>
      <c r="K11" s="346" t="inlineStr">
        <is>
          <t>EMISSÃO INICIAL</t>
        </is>
      </c>
      <c r="L11" s="341" t="n"/>
      <c r="M11" s="341" t="n"/>
      <c r="N11" s="342" t="n"/>
      <c r="O11" s="340" t="inlineStr">
        <is>
          <t>REVISÃO 01</t>
        </is>
      </c>
      <c r="P11" s="341" t="n"/>
      <c r="Q11" s="341" t="n"/>
      <c r="R11" s="342" t="n"/>
      <c r="S11" s="347" t="inlineStr">
        <is>
          <t>REVISÃO 02</t>
        </is>
      </c>
      <c r="T11" s="341" t="n"/>
      <c r="U11" s="341" t="n"/>
      <c r="V11" s="342" t="n"/>
      <c r="W11" s="345" t="inlineStr">
        <is>
          <t>REVISÃO 03</t>
        </is>
      </c>
      <c r="X11" s="341" t="n"/>
      <c r="Y11" s="341" t="n"/>
      <c r="Z11" s="342" t="n"/>
      <c r="AA11" s="346" t="inlineStr">
        <is>
          <t>REVISÃO 04</t>
        </is>
      </c>
      <c r="AB11" s="341" t="n"/>
      <c r="AC11" s="341" t="n"/>
      <c r="AD11" s="342" t="n"/>
      <c r="AE11" s="340" t="inlineStr">
        <is>
          <t>REVISÃO 05</t>
        </is>
      </c>
      <c r="AF11" s="341" t="n"/>
      <c r="AG11" s="341" t="n"/>
      <c r="AH11" s="342" t="n"/>
      <c r="AI11" s="347" t="inlineStr">
        <is>
          <t>REVISÃO 06</t>
        </is>
      </c>
      <c r="AJ11" s="341" t="n"/>
      <c r="AK11" s="341" t="n"/>
      <c r="AL11" s="342" t="n"/>
      <c r="AM11" s="345" t="inlineStr">
        <is>
          <t>REVISÃO 07</t>
        </is>
      </c>
      <c r="AN11" s="341" t="n"/>
      <c r="AO11" s="341" t="n"/>
      <c r="AP11" s="342" t="n"/>
      <c r="AQ11" s="346" t="inlineStr">
        <is>
          <t>REVISÃO 08</t>
        </is>
      </c>
      <c r="AR11" s="341" t="n"/>
      <c r="AS11" s="341" t="n"/>
      <c r="AT11" s="342" t="n"/>
      <c r="AU11" s="340" t="inlineStr">
        <is>
          <t>REVISÃO 09</t>
        </is>
      </c>
      <c r="AV11" s="341" t="n"/>
      <c r="AW11" s="341" t="n"/>
      <c r="AX11" s="342" t="n"/>
      <c r="AY11" s="347" t="inlineStr">
        <is>
          <t>REVISÃO 10</t>
        </is>
      </c>
      <c r="AZ11" s="341" t="n"/>
      <c r="BA11" s="341" t="n"/>
      <c r="BB11" s="342" t="n"/>
      <c r="BC11" s="345" t="inlineStr">
        <is>
          <t>REVISÃO 11</t>
        </is>
      </c>
      <c r="BD11" s="341" t="n"/>
      <c r="BE11" s="341" t="n"/>
      <c r="BF11" s="342" t="n"/>
      <c r="BZ11" s="57" t="inlineStr">
        <is>
          <t>GRD</t>
        </is>
      </c>
      <c r="CA11" s="58" t="inlineStr">
        <is>
          <t>001</t>
        </is>
      </c>
      <c r="CB11" s="58" t="inlineStr">
        <is>
          <t>002</t>
        </is>
      </c>
      <c r="CC11" s="58" t="inlineStr">
        <is>
          <t>003</t>
        </is>
      </c>
      <c r="CD11" s="58" t="inlineStr">
        <is>
          <t>004</t>
        </is>
      </c>
      <c r="CE11" s="58" t="inlineStr">
        <is>
          <t>005</t>
        </is>
      </c>
      <c r="CF11" s="58" t="inlineStr">
        <is>
          <t>006</t>
        </is>
      </c>
      <c r="CG11" s="58" t="inlineStr">
        <is>
          <t>007</t>
        </is>
      </c>
      <c r="CH11" s="58" t="inlineStr">
        <is>
          <t>008</t>
        </is>
      </c>
      <c r="CI11" s="58" t="inlineStr">
        <is>
          <t>009</t>
        </is>
      </c>
      <c r="CJ11" s="58" t="inlineStr">
        <is>
          <t>010</t>
        </is>
      </c>
      <c r="CK11" s="58" t="inlineStr">
        <is>
          <t>011</t>
        </is>
      </c>
      <c r="CL11" s="58" t="inlineStr">
        <is>
          <t>012</t>
        </is>
      </c>
      <c r="CM11" s="58" t="inlineStr">
        <is>
          <t>013</t>
        </is>
      </c>
      <c r="CN11" s="58" t="inlineStr">
        <is>
          <t>014</t>
        </is>
      </c>
      <c r="CO11" s="58" t="inlineStr">
        <is>
          <t>015</t>
        </is>
      </c>
      <c r="CP11" s="58" t="inlineStr">
        <is>
          <t>016</t>
        </is>
      </c>
      <c r="CQ11" s="58" t="inlineStr">
        <is>
          <t>017</t>
        </is>
      </c>
      <c r="CR11" s="58" t="inlineStr">
        <is>
          <t>018</t>
        </is>
      </c>
      <c r="CS11" s="58" t="inlineStr">
        <is>
          <t>019</t>
        </is>
      </c>
      <c r="CT11" s="58" t="inlineStr">
        <is>
          <t>020</t>
        </is>
      </c>
      <c r="CU11" s="58" t="inlineStr">
        <is>
          <t>021</t>
        </is>
      </c>
      <c r="CV11" s="58" t="inlineStr">
        <is>
          <t>022</t>
        </is>
      </c>
      <c r="CW11" s="58" t="inlineStr">
        <is>
          <t>023</t>
        </is>
      </c>
      <c r="CX11" s="58" t="inlineStr">
        <is>
          <t>024</t>
        </is>
      </c>
      <c r="CY11" s="58" t="inlineStr">
        <is>
          <t>025</t>
        </is>
      </c>
      <c r="CZ11" s="58" t="inlineStr">
        <is>
          <t>026</t>
        </is>
      </c>
      <c r="DA11" s="58" t="inlineStr">
        <is>
          <t>027</t>
        </is>
      </c>
      <c r="DB11" s="58" t="inlineStr">
        <is>
          <t>028</t>
        </is>
      </c>
      <c r="DC11" s="58" t="inlineStr">
        <is>
          <t>029</t>
        </is>
      </c>
      <c r="DD11" s="58" t="inlineStr">
        <is>
          <t>030</t>
        </is>
      </c>
      <c r="DE11" s="58" t="inlineStr">
        <is>
          <t>031</t>
        </is>
      </c>
      <c r="DF11" s="58" t="inlineStr">
        <is>
          <t>032</t>
        </is>
      </c>
      <c r="DG11" s="58" t="inlineStr">
        <is>
          <t>033</t>
        </is>
      </c>
      <c r="DH11" s="58" t="inlineStr">
        <is>
          <t>034</t>
        </is>
      </c>
      <c r="DI11" s="58" t="inlineStr">
        <is>
          <t>035</t>
        </is>
      </c>
      <c r="DJ11" s="58" t="inlineStr">
        <is>
          <t>036</t>
        </is>
      </c>
      <c r="DK11" s="58" t="inlineStr">
        <is>
          <t>037</t>
        </is>
      </c>
      <c r="DL11" s="58" t="inlineStr">
        <is>
          <t>038</t>
        </is>
      </c>
      <c r="DM11" s="58" t="inlineStr">
        <is>
          <t>039</t>
        </is>
      </c>
      <c r="DN11" s="58" t="inlineStr">
        <is>
          <t>040</t>
        </is>
      </c>
      <c r="DO11" s="58" t="inlineStr">
        <is>
          <t>041</t>
        </is>
      </c>
      <c r="DP11" s="58" t="inlineStr">
        <is>
          <t>042</t>
        </is>
      </c>
      <c r="DQ11" s="58" t="inlineStr">
        <is>
          <t>043</t>
        </is>
      </c>
      <c r="DR11" s="58" t="inlineStr">
        <is>
          <t>044</t>
        </is>
      </c>
      <c r="DS11" s="58" t="inlineStr">
        <is>
          <t>045</t>
        </is>
      </c>
      <c r="DT11" s="58" t="inlineStr">
        <is>
          <t>046</t>
        </is>
      </c>
      <c r="DU11" s="58" t="inlineStr">
        <is>
          <t>047</t>
        </is>
      </c>
      <c r="DV11" s="58" t="inlineStr">
        <is>
          <t>048</t>
        </is>
      </c>
      <c r="DW11" s="58" t="inlineStr">
        <is>
          <t>049</t>
        </is>
      </c>
      <c r="DX11" s="58" t="inlineStr">
        <is>
          <t>050</t>
        </is>
      </c>
      <c r="DY11" s="58" t="inlineStr">
        <is>
          <t>051</t>
        </is>
      </c>
      <c r="DZ11" s="58" t="inlineStr">
        <is>
          <t>052</t>
        </is>
      </c>
      <c r="EA11" s="58" t="inlineStr">
        <is>
          <t>053</t>
        </is>
      </c>
      <c r="EB11" s="58" t="inlineStr">
        <is>
          <t>054</t>
        </is>
      </c>
      <c r="EC11" s="58" t="inlineStr">
        <is>
          <t>055</t>
        </is>
      </c>
      <c r="ED11" s="58" t="inlineStr">
        <is>
          <t>056</t>
        </is>
      </c>
      <c r="EE11" s="58" t="inlineStr">
        <is>
          <t>057</t>
        </is>
      </c>
      <c r="EF11" s="58" t="inlineStr">
        <is>
          <t>058</t>
        </is>
      </c>
      <c r="EG11" s="58" t="inlineStr">
        <is>
          <t>059</t>
        </is>
      </c>
      <c r="EH11" s="58" t="inlineStr">
        <is>
          <t>060</t>
        </is>
      </c>
      <c r="EI11" s="58" t="inlineStr">
        <is>
          <t>061</t>
        </is>
      </c>
      <c r="EJ11" s="58" t="inlineStr">
        <is>
          <t>062</t>
        </is>
      </c>
      <c r="EK11" s="58" t="inlineStr">
        <is>
          <t>063</t>
        </is>
      </c>
      <c r="EL11" s="58" t="inlineStr">
        <is>
          <t>064</t>
        </is>
      </c>
      <c r="EM11" s="58" t="inlineStr">
        <is>
          <t>065</t>
        </is>
      </c>
      <c r="EN11" s="58" t="inlineStr">
        <is>
          <t>066</t>
        </is>
      </c>
      <c r="EO11" s="58" t="inlineStr">
        <is>
          <t>067</t>
        </is>
      </c>
      <c r="EP11" s="58" t="inlineStr">
        <is>
          <t>068</t>
        </is>
      </c>
      <c r="EQ11" s="58" t="inlineStr">
        <is>
          <t>069</t>
        </is>
      </c>
      <c r="ER11" s="58" t="inlineStr">
        <is>
          <t>070</t>
        </is>
      </c>
      <c r="ES11" s="58" t="inlineStr">
        <is>
          <t>071</t>
        </is>
      </c>
      <c r="ET11" s="58" t="inlineStr">
        <is>
          <t>072</t>
        </is>
      </c>
      <c r="EU11" s="58" t="inlineStr">
        <is>
          <t>073</t>
        </is>
      </c>
      <c r="EV11" s="58" t="inlineStr">
        <is>
          <t>074</t>
        </is>
      </c>
      <c r="EW11" s="58" t="inlineStr">
        <is>
          <t>075</t>
        </is>
      </c>
      <c r="EX11" s="58" t="inlineStr">
        <is>
          <t>076</t>
        </is>
      </c>
      <c r="EY11" s="58" t="inlineStr">
        <is>
          <t>077</t>
        </is>
      </c>
      <c r="EZ11" s="58" t="inlineStr">
        <is>
          <t>078</t>
        </is>
      </c>
      <c r="FA11" s="58" t="inlineStr">
        <is>
          <t>079</t>
        </is>
      </c>
      <c r="FB11" s="58" t="inlineStr">
        <is>
          <t>080</t>
        </is>
      </c>
      <c r="FC11" s="58" t="inlineStr">
        <is>
          <t>081</t>
        </is>
      </c>
      <c r="FD11" s="58" t="inlineStr">
        <is>
          <t>082</t>
        </is>
      </c>
      <c r="FE11" s="58" t="inlineStr">
        <is>
          <t>083</t>
        </is>
      </c>
      <c r="FF11" s="58" t="inlineStr">
        <is>
          <t>084</t>
        </is>
      </c>
      <c r="FG11" s="58" t="inlineStr">
        <is>
          <t>085</t>
        </is>
      </c>
      <c r="FH11" s="58" t="inlineStr">
        <is>
          <t>086</t>
        </is>
      </c>
      <c r="FI11" s="58" t="inlineStr">
        <is>
          <t>087</t>
        </is>
      </c>
      <c r="FJ11" s="58" t="inlineStr">
        <is>
          <t>088</t>
        </is>
      </c>
      <c r="FK11" s="58" t="inlineStr">
        <is>
          <t>089</t>
        </is>
      </c>
      <c r="FL11" s="58" t="inlineStr">
        <is>
          <t>090</t>
        </is>
      </c>
      <c r="FM11" s="58" t="inlineStr">
        <is>
          <t>091</t>
        </is>
      </c>
      <c r="FN11" s="58" t="inlineStr">
        <is>
          <t>092</t>
        </is>
      </c>
      <c r="FO11" s="58" t="inlineStr">
        <is>
          <t>093</t>
        </is>
      </c>
      <c r="FP11" s="58" t="inlineStr">
        <is>
          <t>094</t>
        </is>
      </c>
      <c r="FQ11" s="58" t="inlineStr">
        <is>
          <t>095</t>
        </is>
      </c>
      <c r="FR11" s="58" t="inlineStr">
        <is>
          <t>096</t>
        </is>
      </c>
      <c r="FS11" s="58" t="inlineStr">
        <is>
          <t>097</t>
        </is>
      </c>
      <c r="FT11" s="58" t="inlineStr">
        <is>
          <t>098</t>
        </is>
      </c>
      <c r="FU11" s="58" t="inlineStr">
        <is>
          <t>099</t>
        </is>
      </c>
      <c r="FV11" s="58" t="inlineStr">
        <is>
          <t>100</t>
        </is>
      </c>
    </row>
    <row r="12" ht="27.75" customFormat="1" customHeight="1" s="66">
      <c r="A12" s="43" t="n"/>
      <c r="B12" s="59" t="inlineStr">
        <is>
          <t>NÚMERO INFRAS</t>
        </is>
      </c>
      <c r="C12" s="59" t="inlineStr">
        <is>
          <t>TÍTULO</t>
        </is>
      </c>
      <c r="D12" s="60" t="inlineStr">
        <is>
          <t>REV.</t>
        </is>
      </c>
      <c r="E12" s="61" t="inlineStr">
        <is>
          <t>T. E.</t>
        </is>
      </c>
      <c r="F12" s="61" t="inlineStr">
        <is>
          <t>GRD</t>
        </is>
      </c>
      <c r="G12" s="59" t="inlineStr">
        <is>
          <t>DATA</t>
        </is>
      </c>
      <c r="H12" s="62" t="inlineStr">
        <is>
          <t>PÁGS/ FOLHAS</t>
        </is>
      </c>
      <c r="I12" s="62" t="inlineStr">
        <is>
          <t>FORMATO</t>
        </is>
      </c>
      <c r="J12" s="62" t="inlineStr">
        <is>
          <t>A1 EQUIV.</t>
        </is>
      </c>
      <c r="K12" s="63" t="inlineStr">
        <is>
          <t>REV.</t>
        </is>
      </c>
      <c r="L12" s="63" t="inlineStr">
        <is>
          <t>T. E.</t>
        </is>
      </c>
      <c r="M12" s="63" t="inlineStr">
        <is>
          <t>GRD</t>
        </is>
      </c>
      <c r="N12" s="109" t="inlineStr">
        <is>
          <t>DATA</t>
        </is>
      </c>
      <c r="O12" s="64" t="inlineStr">
        <is>
          <t>REV.</t>
        </is>
      </c>
      <c r="P12" s="64" t="inlineStr">
        <is>
          <t>T. E.</t>
        </is>
      </c>
      <c r="Q12" s="110" t="inlineStr">
        <is>
          <t>GRD</t>
        </is>
      </c>
      <c r="R12" s="111" t="inlineStr">
        <is>
          <t>DATA</t>
        </is>
      </c>
      <c r="S12" s="60" t="inlineStr">
        <is>
          <t>REV.</t>
        </is>
      </c>
      <c r="T12" s="60" t="inlineStr">
        <is>
          <t>T. E.</t>
        </is>
      </c>
      <c r="U12" s="112" t="inlineStr">
        <is>
          <t>GRD</t>
        </is>
      </c>
      <c r="V12" s="113" t="inlineStr">
        <is>
          <t>DATA</t>
        </is>
      </c>
      <c r="W12" s="65" t="inlineStr">
        <is>
          <t>REV.</t>
        </is>
      </c>
      <c r="X12" s="65" t="inlineStr">
        <is>
          <t>T. E.</t>
        </is>
      </c>
      <c r="Y12" s="114" t="inlineStr">
        <is>
          <t>GRD</t>
        </is>
      </c>
      <c r="Z12" s="115" t="inlineStr">
        <is>
          <t>DATA</t>
        </is>
      </c>
      <c r="AA12" s="63" t="inlineStr">
        <is>
          <t>REV.</t>
        </is>
      </c>
      <c r="AB12" s="63" t="inlineStr">
        <is>
          <t>T. E.</t>
        </is>
      </c>
      <c r="AC12" s="63" t="inlineStr">
        <is>
          <t>GRD</t>
        </is>
      </c>
      <c r="AD12" s="109" t="inlineStr">
        <is>
          <t>DATA</t>
        </is>
      </c>
      <c r="AE12" s="64" t="inlineStr">
        <is>
          <t>REV.</t>
        </is>
      </c>
      <c r="AF12" s="64" t="inlineStr">
        <is>
          <t>T. E.</t>
        </is>
      </c>
      <c r="AG12" s="110" t="inlineStr">
        <is>
          <t>GRD</t>
        </is>
      </c>
      <c r="AH12" s="111" t="inlineStr">
        <is>
          <t>DATA</t>
        </is>
      </c>
      <c r="AI12" s="60" t="inlineStr">
        <is>
          <t>REV.</t>
        </is>
      </c>
      <c r="AJ12" s="60" t="inlineStr">
        <is>
          <t>T. E.</t>
        </is>
      </c>
      <c r="AK12" s="112" t="inlineStr">
        <is>
          <t>GRD</t>
        </is>
      </c>
      <c r="AL12" s="113" t="inlineStr">
        <is>
          <t>DATA</t>
        </is>
      </c>
      <c r="AM12" s="65" t="inlineStr">
        <is>
          <t>REV.</t>
        </is>
      </c>
      <c r="AN12" s="65" t="inlineStr">
        <is>
          <t>T. E.</t>
        </is>
      </c>
      <c r="AO12" s="114" t="inlineStr">
        <is>
          <t>GRD</t>
        </is>
      </c>
      <c r="AP12" s="115" t="inlineStr">
        <is>
          <t>DATA</t>
        </is>
      </c>
      <c r="AQ12" s="63" t="inlineStr">
        <is>
          <t>REV.</t>
        </is>
      </c>
      <c r="AR12" s="63" t="inlineStr">
        <is>
          <t>T. E.</t>
        </is>
      </c>
      <c r="AS12" s="63" t="inlineStr">
        <is>
          <t>GRD</t>
        </is>
      </c>
      <c r="AT12" s="109" t="inlineStr">
        <is>
          <t>DATA</t>
        </is>
      </c>
      <c r="AU12" s="64" t="inlineStr">
        <is>
          <t>REV.</t>
        </is>
      </c>
      <c r="AV12" s="64" t="inlineStr">
        <is>
          <t>T. E.</t>
        </is>
      </c>
      <c r="AW12" s="110" t="inlineStr">
        <is>
          <t>GRD</t>
        </is>
      </c>
      <c r="AX12" s="111" t="inlineStr">
        <is>
          <t>DATA</t>
        </is>
      </c>
      <c r="AY12" s="60" t="inlineStr">
        <is>
          <t>REV.</t>
        </is>
      </c>
      <c r="AZ12" s="60" t="inlineStr">
        <is>
          <t>T. E.</t>
        </is>
      </c>
      <c r="BA12" s="112" t="inlineStr">
        <is>
          <t>GRD</t>
        </is>
      </c>
      <c r="BB12" s="113" t="inlineStr">
        <is>
          <t>DATA</t>
        </is>
      </c>
      <c r="BC12" s="65" t="inlineStr">
        <is>
          <t>REV.</t>
        </is>
      </c>
      <c r="BD12" s="65" t="inlineStr">
        <is>
          <t>T. E.</t>
        </is>
      </c>
      <c r="BE12" s="114" t="inlineStr">
        <is>
          <t>GRD</t>
        </is>
      </c>
      <c r="BF12" s="115" t="inlineStr">
        <is>
          <t>DATA</t>
        </is>
      </c>
      <c r="BZ12" s="67" t="n"/>
      <c r="CA12" s="67" t="n"/>
      <c r="CB12" s="67" t="n"/>
      <c r="CC12" s="67" t="n"/>
      <c r="CD12" s="67" t="n"/>
      <c r="CE12" s="67" t="n"/>
      <c r="CF12" s="67" t="n"/>
      <c r="CG12" s="67" t="n"/>
      <c r="CH12" s="67" t="n"/>
      <c r="CI12" s="67" t="n"/>
      <c r="CJ12" s="67" t="n"/>
      <c r="CK12" s="67" t="n"/>
      <c r="CL12" s="67" t="n"/>
      <c r="CM12" s="67" t="n"/>
      <c r="CN12" s="67" t="n"/>
      <c r="CO12" s="67" t="n"/>
      <c r="CP12" s="67" t="n"/>
      <c r="CQ12" s="67" t="n"/>
      <c r="CR12" s="67" t="n"/>
      <c r="CS12" s="67" t="n"/>
      <c r="CT12" s="67" t="n"/>
      <c r="CU12" s="67" t="n"/>
      <c r="CV12" s="67" t="n"/>
      <c r="CW12" s="67" t="n"/>
      <c r="CX12" s="67" t="n"/>
      <c r="CY12" s="67" t="n"/>
      <c r="CZ12" s="67" t="n"/>
      <c r="DA12" s="67" t="n"/>
      <c r="DB12" s="67" t="n"/>
      <c r="DC12" s="67" t="n"/>
      <c r="DD12" s="67" t="n"/>
      <c r="DE12" s="67" t="n"/>
      <c r="DF12" s="67" t="n"/>
      <c r="DG12" s="67" t="n"/>
      <c r="DH12" s="67" t="n"/>
      <c r="DI12" s="67" t="n"/>
      <c r="DJ12" s="67" t="n"/>
      <c r="DK12" s="67" t="n"/>
      <c r="DL12" s="67" t="n"/>
      <c r="DM12" s="67" t="n"/>
      <c r="DN12" s="67" t="n"/>
      <c r="DO12" s="67" t="n"/>
      <c r="DP12" s="67" t="n"/>
      <c r="DQ12" s="67" t="n"/>
      <c r="DR12" s="67" t="n"/>
      <c r="DS12" s="67" t="n"/>
      <c r="DT12" s="67" t="n"/>
      <c r="DU12" s="67" t="n"/>
      <c r="DV12" s="67" t="n"/>
      <c r="DW12" s="67" t="n"/>
      <c r="DX12" s="67" t="n"/>
      <c r="DY12" s="67" t="n"/>
      <c r="DZ12" s="67" t="n"/>
      <c r="EA12" s="67" t="n"/>
      <c r="EB12" s="67" t="n"/>
      <c r="EC12" s="67" t="n"/>
      <c r="ED12" s="67" t="n"/>
      <c r="EE12" s="67" t="n"/>
      <c r="EF12" s="67" t="n"/>
      <c r="EG12" s="67" t="n"/>
      <c r="EH12" s="67" t="n"/>
      <c r="EI12" s="67" t="n"/>
      <c r="EJ12" s="67" t="n"/>
      <c r="EK12" s="67" t="n"/>
      <c r="EL12" s="67" t="n"/>
      <c r="EM12" s="67" t="n"/>
      <c r="EN12" s="67" t="n"/>
      <c r="EO12" s="67" t="n"/>
      <c r="EP12" s="67" t="n"/>
      <c r="EQ12" s="67" t="n"/>
      <c r="ER12" s="67" t="n"/>
      <c r="ES12" s="67" t="n"/>
      <c r="ET12" s="67" t="n"/>
      <c r="EU12" s="67" t="n"/>
      <c r="EV12" s="67" t="n"/>
      <c r="EW12" s="67" t="n"/>
      <c r="EX12" s="67" t="n"/>
      <c r="EY12" s="67" t="n"/>
      <c r="EZ12" s="67" t="n"/>
      <c r="FA12" s="67" t="n"/>
      <c r="FB12" s="67" t="n"/>
      <c r="FC12" s="67" t="n"/>
      <c r="FD12" s="67" t="n"/>
      <c r="FE12" s="67" t="n"/>
      <c r="FF12" s="67" t="n"/>
      <c r="FG12" s="67" t="n"/>
      <c r="FH12" s="67" t="n"/>
      <c r="FI12" s="67" t="n"/>
      <c r="FJ12" s="67" t="n"/>
      <c r="FK12" s="67" t="n"/>
      <c r="FL12" s="67" t="n"/>
      <c r="FM12" s="67" t="n"/>
      <c r="FN12" s="67" t="n"/>
      <c r="FO12" s="67" t="n"/>
      <c r="FP12" s="67" t="n"/>
      <c r="FQ12" s="67" t="n"/>
      <c r="FR12" s="67" t="n"/>
      <c r="FS12" s="67" t="n"/>
      <c r="FT12" s="67" t="n"/>
      <c r="FU12" s="67" t="n"/>
      <c r="FV12" s="67" t="n"/>
    </row>
    <row r="13" ht="22.5" customFormat="1" customHeight="1" s="66">
      <c r="A13" s="68" t="n"/>
      <c r="B13" s="69" t="inlineStr">
        <is>
          <t>GERAL</t>
        </is>
      </c>
      <c r="C13" s="70" t="n"/>
      <c r="D13" s="70" t="n"/>
      <c r="E13" s="70" t="n"/>
      <c r="F13" s="70" t="n"/>
      <c r="G13" s="70" t="n"/>
      <c r="H13" s="70" t="n"/>
      <c r="I13" s="70" t="n"/>
      <c r="J13" s="70" t="n"/>
      <c r="K13" s="70" t="n"/>
      <c r="L13" s="70" t="n"/>
      <c r="M13" s="70" t="n"/>
      <c r="N13" s="116" t="n"/>
      <c r="O13" s="70" t="n"/>
      <c r="P13" s="70" t="n"/>
      <c r="Q13" s="117" t="n"/>
      <c r="R13" s="116" t="n"/>
      <c r="S13" s="70" t="n"/>
      <c r="T13" s="70" t="n"/>
      <c r="U13" s="117" t="n"/>
      <c r="V13" s="116" t="n"/>
      <c r="W13" s="70" t="n"/>
      <c r="X13" s="70" t="n"/>
      <c r="Y13" s="117" t="n"/>
      <c r="Z13" s="116" t="n"/>
      <c r="AA13" s="70" t="n"/>
      <c r="AB13" s="70" t="n"/>
      <c r="AC13" s="70" t="n"/>
      <c r="AD13" s="116" t="n"/>
      <c r="AE13" s="70" t="n"/>
      <c r="AF13" s="70" t="n"/>
      <c r="AG13" s="117" t="n"/>
      <c r="AH13" s="116" t="n"/>
      <c r="AI13" s="70" t="n"/>
      <c r="AJ13" s="70" t="n"/>
      <c r="AK13" s="117" t="n"/>
      <c r="AL13" s="116" t="n"/>
      <c r="AM13" s="70" t="n"/>
      <c r="AN13" s="70" t="n"/>
      <c r="AO13" s="117" t="n"/>
      <c r="AP13" s="116" t="n"/>
      <c r="AQ13" s="70" t="n"/>
      <c r="AR13" s="70" t="n"/>
      <c r="AS13" s="70" t="n"/>
      <c r="AT13" s="116" t="n"/>
      <c r="AU13" s="70" t="n"/>
      <c r="AV13" s="70" t="n"/>
      <c r="AW13" s="117" t="n"/>
      <c r="AX13" s="116" t="n"/>
      <c r="AY13" s="70" t="n"/>
      <c r="AZ13" s="70" t="n"/>
      <c r="BA13" s="117" t="n"/>
      <c r="BB13" s="116" t="n"/>
      <c r="BC13" s="70" t="n"/>
      <c r="BD13" s="70" t="n"/>
      <c r="BE13" s="117" t="n"/>
      <c r="BF13" s="116" t="n"/>
      <c r="BZ13" s="67" t="n"/>
      <c r="CA13" s="67" t="n"/>
      <c r="CB13" s="67" t="n"/>
      <c r="CC13" s="67" t="n"/>
      <c r="CD13" s="67" t="n"/>
      <c r="CE13" s="67" t="n"/>
      <c r="CF13" s="67" t="n"/>
      <c r="CG13" s="67" t="n"/>
      <c r="CH13" s="67" t="n"/>
      <c r="CI13" s="67" t="n"/>
      <c r="CJ13" s="67" t="n"/>
      <c r="CK13" s="67" t="n"/>
      <c r="CL13" s="67" t="n"/>
      <c r="CM13" s="67" t="n"/>
      <c r="CN13" s="67" t="n"/>
      <c r="CO13" s="67" t="n"/>
      <c r="CP13" s="67" t="n"/>
      <c r="CQ13" s="67" t="n"/>
      <c r="CR13" s="67" t="n"/>
      <c r="CS13" s="67" t="n"/>
      <c r="CT13" s="67" t="n"/>
      <c r="CU13" s="67" t="n"/>
      <c r="CV13" s="67" t="n"/>
      <c r="CW13" s="67" t="n"/>
      <c r="CX13" s="67" t="n"/>
      <c r="CY13" s="67" t="n"/>
      <c r="CZ13" s="67" t="n"/>
      <c r="DA13" s="67" t="n"/>
      <c r="DB13" s="67" t="n"/>
      <c r="DC13" s="67" t="n"/>
      <c r="DD13" s="67" t="n"/>
      <c r="DE13" s="67" t="n"/>
      <c r="DF13" s="67" t="n"/>
      <c r="DG13" s="67" t="n"/>
      <c r="DH13" s="67" t="n"/>
      <c r="DI13" s="67" t="n"/>
      <c r="DJ13" s="67" t="n"/>
      <c r="DK13" s="67" t="n"/>
      <c r="DL13" s="67" t="n"/>
      <c r="DM13" s="67" t="n"/>
      <c r="DN13" s="67" t="n"/>
      <c r="DO13" s="67" t="n"/>
      <c r="DP13" s="67" t="n"/>
      <c r="DQ13" s="67" t="n"/>
      <c r="DR13" s="67" t="n"/>
      <c r="DS13" s="67" t="n"/>
      <c r="DT13" s="67" t="n"/>
      <c r="DU13" s="67" t="n"/>
      <c r="DV13" s="67" t="n"/>
      <c r="DW13" s="67" t="n"/>
      <c r="DX13" s="67" t="n"/>
      <c r="DY13" s="67" t="n"/>
      <c r="DZ13" s="67" t="n"/>
      <c r="EA13" s="67" t="n"/>
      <c r="EB13" s="67" t="n"/>
      <c r="EC13" s="67" t="n"/>
      <c r="ED13" s="67" t="n"/>
      <c r="EE13" s="67" t="n"/>
      <c r="EF13" s="67" t="n"/>
      <c r="EG13" s="67" t="n"/>
      <c r="EH13" s="67" t="n"/>
      <c r="EI13" s="67" t="n"/>
      <c r="EJ13" s="67" t="n"/>
      <c r="EK13" s="67" t="n"/>
      <c r="EL13" s="67" t="n"/>
      <c r="EM13" s="67" t="n"/>
      <c r="EN13" s="67" t="n"/>
      <c r="EO13" s="67" t="n"/>
      <c r="EP13" s="67" t="n"/>
      <c r="EQ13" s="67" t="n"/>
      <c r="ER13" s="67" t="n"/>
      <c r="ES13" s="67" t="n"/>
      <c r="ET13" s="67" t="n"/>
      <c r="EU13" s="67" t="n"/>
      <c r="EV13" s="67" t="n"/>
      <c r="EW13" s="67" t="n"/>
      <c r="EX13" s="67" t="n"/>
      <c r="EY13" s="67" t="n"/>
      <c r="EZ13" s="67" t="n"/>
      <c r="FA13" s="67" t="n"/>
      <c r="FB13" s="67" t="n"/>
      <c r="FC13" s="67" t="n"/>
      <c r="FD13" s="67" t="n"/>
      <c r="FE13" s="67" t="n"/>
      <c r="FF13" s="67" t="n"/>
      <c r="FG13" s="67" t="n"/>
      <c r="FH13" s="67" t="n"/>
      <c r="FI13" s="67" t="n"/>
      <c r="FJ13" s="67" t="n"/>
      <c r="FK13" s="67" t="n"/>
      <c r="FL13" s="67" t="n"/>
      <c r="FM13" s="67" t="n"/>
      <c r="FN13" s="67" t="n"/>
      <c r="FO13" s="67" t="n"/>
      <c r="FP13" s="67" t="n"/>
      <c r="FQ13" s="67" t="n"/>
      <c r="FR13" s="67" t="n"/>
      <c r="FS13" s="67" t="n"/>
      <c r="FT13" s="67" t="n"/>
      <c r="FU13" s="67" t="n"/>
      <c r="FV13" s="67" t="n"/>
    </row>
    <row r="14" ht="12" customFormat="1" customHeight="1" s="66">
      <c r="A14" s="349" t="n"/>
      <c r="B14" s="68" t="inlineStr">
        <is>
          <t>IFS-3312-123-D-DC-00001</t>
        </is>
      </c>
      <c r="C14" s="97" t="n"/>
      <c r="D14" s="73">
        <f>IF(K14="","",MAX($CA14:$FV14))</f>
        <v/>
      </c>
      <c r="E14" s="74">
        <f t="array" ref="E14">IF($K14="","",OFFSET($A$1,ROW($B14)-1,11+$D14*4,))</f>
        <v/>
      </c>
      <c r="F14" s="74">
        <f t="array" ref="F14">IF($K14="","",OFFSET($A$1,ROW($B14)-1,12+$D14*4,))</f>
        <v/>
      </c>
      <c r="G14" s="118">
        <f t="array" ref="G14">IF($K14="","",OFFSET($A$1,ROW($B14)-1,13+$D14*4,))</f>
        <v/>
      </c>
      <c r="H14" s="73" t="n"/>
      <c r="I14" s="75" t="n"/>
      <c r="J14" s="75">
        <f>IF(I14="A4",H14/8,IF(I14="A3",H14/4,IF(I14="A2",H14/2,IF(I14="A1",H14/1,IF(I14="A0",H14*2,"")))))</f>
        <v/>
      </c>
      <c r="K14" s="68">
        <f t="array" ref="K14">IFERROR(OFFSET($BZ$11,ROW($B14)-11,MATCH(K$10,$CA14:$FV14,0),),"")</f>
        <v/>
      </c>
      <c r="L14" s="68">
        <f>IF(K14="","",IF(VLOOKUP($B14,INDIRECT("'GRD-"&amp;M14&amp;"'!$B:$R"),16,FALSE)="","",VLOOKUP($B14,INDIRECT("'GRD-"&amp;M14&amp;"'!$B:$R"),16,FALSE)))</f>
        <v/>
      </c>
      <c r="M14" s="68">
        <f t="array" ref="M14">IF(K14="","",IFERROR(OFFSET($BZ$11,0,MATCH($K14,$CA14:$FV14,0),),""))</f>
        <v/>
      </c>
      <c r="N14" s="119">
        <f t="array" ref="N14">IF(K14="","",INDIRECT("'GRD-"&amp;M14&amp;"'!$L$7"))</f>
        <v/>
      </c>
      <c r="O14" s="76">
        <f t="array" ref="O14">IFERROR(OFFSET($BZ$11,ROW($B14)-11,MATCH(O$10,$CA14:$FV14,0),),"")</f>
        <v/>
      </c>
      <c r="P14" s="77">
        <f>IF(O14="","",IF(VLOOKUP($B14,INDIRECT("'GRD-"&amp;Q14&amp;"'!$B:$R"),16,FALSE)="","",VLOOKUP($B14,INDIRECT("'GRD-"&amp;Q14&amp;"'!$B:$R"),16,FALSE)))</f>
        <v/>
      </c>
      <c r="Q14" s="120">
        <f t="array" ref="Q14">IF(O14="","",IFERROR(OFFSET($BZ$11,0,MATCH($O14,$CA14:$FV14,0),),""))</f>
        <v/>
      </c>
      <c r="R14" s="121">
        <f t="array" ref="R14">IF(O14="","",INDIRECT("'GRD-"&amp;Q14&amp;"'!$L$7"))</f>
        <v/>
      </c>
      <c r="S14" s="78">
        <f t="array" ref="S14">IFERROR(OFFSET($BZ$11,ROW($B14)-11,MATCH(S$10,$CA14:$FV14,0),),"")</f>
        <v/>
      </c>
      <c r="T14" s="79">
        <f>IF(S14="","",IF(VLOOKUP($B14,INDIRECT("'GRD-"&amp;U14&amp;"'!$B:$R"),16,FALSE)="","",VLOOKUP($B14,INDIRECT("'GRD-"&amp;U14&amp;"'!$B:$R"),16,FALSE)))</f>
        <v/>
      </c>
      <c r="U14" s="122">
        <f t="array" ref="U14">IF(S14="","",IFERROR(OFFSET($BZ$11,0,MATCH($S14,$CA14:$FV14,0),),""))</f>
        <v/>
      </c>
      <c r="V14" s="123">
        <f t="array" ref="V14">IF(S14="","",INDIRECT("'GRD-"&amp;U14&amp;"'!$L$7"))</f>
        <v/>
      </c>
      <c r="W14" s="80">
        <f t="array" ref="W14">IFERROR(OFFSET($BZ$11,ROW($B14)-11,MATCH(W$10,$CA14:$FV14,0),),"")</f>
        <v/>
      </c>
      <c r="X14" s="80">
        <f>IF(W14="","",IF(VLOOKUP($B14,INDIRECT("'GRD-"&amp;Y14&amp;"'!$B:$R"),16,FALSE)="","",VLOOKUP($B14,INDIRECT("'GRD-"&amp;Y14&amp;"'!$B:$R"),16,FALSE)))</f>
        <v/>
      </c>
      <c r="Y14" s="124">
        <f t="array" ref="Y14">IF(W14="","",IFERROR(OFFSET($BZ$11,0,MATCH($W14,$CA14:$FV14,0),),""))</f>
        <v/>
      </c>
      <c r="Z14" s="125">
        <f t="array" ref="Z14">IF(W14="","",INDIRECT("'GRD-"&amp;Y14&amp;"'!$L$7"))</f>
        <v/>
      </c>
      <c r="AA14" s="68">
        <f t="array" ref="AA14">IFERROR(OFFSET($BZ$11,ROW($B14)-11,MATCH(AA$10,$CA14:$FV14,0),),"")</f>
        <v/>
      </c>
      <c r="AB14" s="68">
        <f>IF(AA14="","",IF(VLOOKUP($B14,INDIRECT("'GRD-"&amp;AC14&amp;"'!$B:$R"),16,FALSE)="","",VLOOKUP($B14,INDIRECT("'GRD-"&amp;AC14&amp;"'!$B:$R"),16,FALSE)))</f>
        <v/>
      </c>
      <c r="AC14" s="126">
        <f t="array" ref="AC14">IF(AA14="","",IFERROR(OFFSET($BZ$11,0,MATCH($AA14,$CA14:$FV14,0),),""))</f>
        <v/>
      </c>
      <c r="AD14" s="119">
        <f t="array" ref="AD14">IF(AA14="","",INDIRECT("'GRD-"&amp;AC14&amp;"'!$L$7"))</f>
        <v/>
      </c>
      <c r="AE14" s="77">
        <f t="array" ref="AE14">IFERROR(OFFSET($BZ$11,ROW($B14)-11,MATCH(AE$10,$CA14:$FV14,0),),"")</f>
        <v/>
      </c>
      <c r="AF14" s="77">
        <f>IF(AE14="","",IF(VLOOKUP($B14,INDIRECT("'GRD-"&amp;AG14&amp;"'!$B:$R"),16,FALSE)="","",VLOOKUP($B14,INDIRECT("'GRD-"&amp;AG14&amp;"'!$B:$R"),16,FALSE)))</f>
        <v/>
      </c>
      <c r="AG14" s="120">
        <f t="array" ref="AG14">IF(AE14="","",IFERROR(OFFSET($BZ$11,0,MATCH($AE14,$CA14:$FV14,0),),""))</f>
        <v/>
      </c>
      <c r="AH14" s="127">
        <f t="array" ref="AH14">IF(AE14="","",INDIRECT("'GRD-"&amp;AG14&amp;"'!$L$7"))</f>
        <v/>
      </c>
      <c r="AI14" s="79">
        <f t="array" ref="AI14">IFERROR(OFFSET($BZ$11,ROW($B14)-11,MATCH(AI$10,$CA14:$FV14,0),),"")</f>
        <v/>
      </c>
      <c r="AJ14" s="79">
        <f>IF(AI14="","",IF(VLOOKUP($B14,INDIRECT("'GRD-"&amp;AK14&amp;"'!$B:$R"),16,FALSE)="","",VLOOKUP($B14,INDIRECT("'GRD-"&amp;AK14&amp;"'!$B:$R"),16,FALSE)))</f>
        <v/>
      </c>
      <c r="AK14" s="122">
        <f t="array" ref="AK14">IF(AI14="","",IFERROR(OFFSET($BZ$11,0,MATCH($AI14,$CA14:$FV14,0),),""))</f>
        <v/>
      </c>
      <c r="AL14" s="123">
        <f t="array" ref="AL14">IF(AI14="","",INDIRECT("'GRD-"&amp;AK14&amp;"'!$L$7"))</f>
        <v/>
      </c>
      <c r="AM14" s="80">
        <f t="array" ref="AM14">IFERROR(OFFSET($BZ$11,ROW($B14)-11,MATCH(AM$10,$CA14:$FV14,0),),"")</f>
        <v/>
      </c>
      <c r="AN14" s="80">
        <f>IF(AM14="","",IF(VLOOKUP($B14,INDIRECT("'GRD-"&amp;AO14&amp;"'!$B:$R"),16,FALSE)="","",VLOOKUP($B14,INDIRECT("'GRD-"&amp;AO14&amp;"'!$B:$R"),16,FALSE)))</f>
        <v/>
      </c>
      <c r="AO14" s="124">
        <f t="array" ref="AO14">IF(AM14="","",IFERROR(OFFSET($BZ$11,0,MATCH($AM14,$CA14:$FV14,0),),""))</f>
        <v/>
      </c>
      <c r="AP14" s="125">
        <f t="array" ref="AP14">IF(AM14="","",INDIRECT("'GRD-"&amp;AO14&amp;"'!$L$7"))</f>
        <v/>
      </c>
      <c r="AQ14" s="68">
        <f t="array" ref="AQ14">IFERROR(OFFSET($BZ$11,ROW($B14)-11,MATCH(AQ$10,$CA14:$FV14,0),),"")</f>
        <v/>
      </c>
      <c r="AR14" s="68">
        <f>IF(AQ14="","",IF(VLOOKUP($B14,INDIRECT("'GRD-"&amp;AS14&amp;"'!$B:$R"),16,FALSE)="","",VLOOKUP($B14,INDIRECT("'GRD-"&amp;AS14&amp;"'!$B:$R"),16,FALSE)))</f>
        <v/>
      </c>
      <c r="AS14" s="126">
        <f t="array" ref="AS14">IF(AQ14="","",IFERROR(OFFSET($BZ$11,0,MATCH($AQ14,$CA14:$FV14,0),),""))</f>
        <v/>
      </c>
      <c r="AT14" s="119">
        <f t="array" ref="AT14">IF(AQ14="","",INDIRECT("'GRD-"&amp;AS14&amp;"'!$L$7"))</f>
        <v/>
      </c>
      <c r="AU14" s="77">
        <f t="array" ref="AU14">IFERROR(OFFSET($BZ$11,ROW($B14)-11,MATCH(AU$10,$CA14:$FV14,0),),"")</f>
        <v/>
      </c>
      <c r="AV14" s="77">
        <f>IF(AU14="","",IF(VLOOKUP($B14,INDIRECT("'GRD-"&amp;AW14&amp;"'!$B:$R"),16,FALSE)="","",VLOOKUP($B14,INDIRECT("'GRD-"&amp;AW14&amp;"'!$B:$R"),16,FALSE)))</f>
        <v/>
      </c>
      <c r="AW14" s="120">
        <f t="array" ref="AW14">IF(AU14="","",IFERROR(OFFSET($BZ$11,0,MATCH($AU14,$CA14:$FV14,0),),""))</f>
        <v/>
      </c>
      <c r="AX14" s="127">
        <f t="array" ref="AX14">IF(AU14="","",INDIRECT("'GRD-"&amp;AW14&amp;"'!$L$7"))</f>
        <v/>
      </c>
      <c r="AY14" s="79">
        <f t="array" ref="AY14">IFERROR(OFFSET($BZ$11,ROW($B14)-11,MATCH(AY$10,$CA14:$FV14,0),),"")</f>
        <v/>
      </c>
      <c r="AZ14" s="79">
        <f>IF(AY14="","",IF(VLOOKUP($B14,INDIRECT("'GRD-"&amp;BA14&amp;"'!$B:$R"),16,FALSE)="","",VLOOKUP($B14,INDIRECT("'GRD-"&amp;BA14&amp;"'!$B:$R"),16,FALSE)))</f>
        <v/>
      </c>
      <c r="BA14" s="122">
        <f t="array" ref="BA14">IF(AY14="","",IFERROR(OFFSET($BZ$11,0,MATCH($AY14,$CA14:$FV14,0),),""))</f>
        <v/>
      </c>
      <c r="BB14" s="123">
        <f t="array" ref="BB14">IF(AY14="","",INDIRECT("'GRD-"&amp;BA14&amp;"'!$L$7"))</f>
        <v/>
      </c>
      <c r="BC14" s="80">
        <f t="array" ref="BC14">IFERROR(OFFSET($BZ$11,ROW($B14)-11,MATCH(BC$10,$CA14:$FV14,0),),"")</f>
        <v/>
      </c>
      <c r="BD14" s="80">
        <f>IF(BC14="","",IF(VLOOKUP($B14,INDIRECT("'GRD-"&amp;BE14&amp;"'!$B:$R"),16,FALSE)="","",VLOOKUP($B14,INDIRECT("'GRD-"&amp;BE14&amp;"'!$B:$R"),16,FALSE)))</f>
        <v/>
      </c>
      <c r="BE14" s="124">
        <f t="array" ref="BE14">IF(BC14="","",IFERROR(OFFSET($BZ$11,0,MATCH($BC14,$CA14:$FV14,0),),""))</f>
        <v/>
      </c>
      <c r="BF14" s="125">
        <f t="array" ref="BF14">IF(BC14="","",INDIRECT("'GRD-"&amp;BE14&amp;"'!$L$7"))</f>
        <v/>
      </c>
      <c r="BZ14" s="67" t="n"/>
      <c r="CA14" s="96">
        <f>IFERROR(VLOOKUP($B14,INDIRECT("'GRD-"&amp;CA$11&amp;"'!B:R"),15,FALSE),"")</f>
        <v/>
      </c>
      <c r="CB14" s="96">
        <f>IFERROR(VLOOKUP($B14,INDIRECT("'GRD-"&amp;CB$11&amp;"'!B:R"),15,FALSE),"")</f>
        <v/>
      </c>
      <c r="CC14" s="96">
        <f>IFERROR(VLOOKUP($B14,INDIRECT("'GRD-"&amp;CC$11&amp;"'!B:R"),15,FALSE),"")</f>
        <v/>
      </c>
      <c r="CD14" s="96">
        <f>IFERROR(VLOOKUP($B14,INDIRECT("'GRD-"&amp;CD$11&amp;"'!B:R"),15,FALSE),"")</f>
        <v/>
      </c>
      <c r="CE14" s="96">
        <f>IFERROR(VLOOKUP($B14,INDIRECT("'GRD-"&amp;CE$11&amp;"'!B:R"),15,FALSE),"")</f>
        <v/>
      </c>
      <c r="CF14" s="96">
        <f>IFERROR(VLOOKUP($B14,INDIRECT("'GRD-"&amp;CF$11&amp;"'!B:R"),15,FALSE),"")</f>
        <v/>
      </c>
      <c r="CG14" s="96">
        <f>IFERROR(VLOOKUP($B14,INDIRECT("'GRD-"&amp;CG$11&amp;"'!B:R"),15,FALSE),"")</f>
        <v/>
      </c>
      <c r="CH14" s="96">
        <f>IFERROR(VLOOKUP($B14,INDIRECT("'GRD-"&amp;CH$11&amp;"'!B:R"),15,FALSE),"")</f>
        <v/>
      </c>
      <c r="CI14" s="96">
        <f>IFERROR(VLOOKUP($B14,INDIRECT("'GRD-"&amp;CI$11&amp;"'!B:R"),15,FALSE),"")</f>
        <v/>
      </c>
      <c r="CJ14" s="96">
        <f>IFERROR(VLOOKUP($B14,INDIRECT("'GRD-"&amp;CJ$11&amp;"'!B:R"),15,FALSE),"")</f>
        <v/>
      </c>
      <c r="CK14" s="96">
        <f>IFERROR(VLOOKUP($B14,INDIRECT("'GRD-"&amp;CK$11&amp;"'!B:R"),15,FALSE),"")</f>
        <v/>
      </c>
      <c r="CL14" s="96">
        <f>IFERROR(VLOOKUP($B14,INDIRECT("'GRD-"&amp;CL$11&amp;"'!B:R"),15,FALSE),"")</f>
        <v/>
      </c>
      <c r="CM14" s="96">
        <f>IFERROR(VLOOKUP($B14,INDIRECT("'GRD-"&amp;CM$11&amp;"'!B:R"),15,FALSE),"")</f>
        <v/>
      </c>
      <c r="CN14" s="96">
        <f>IFERROR(VLOOKUP($B14,INDIRECT("'GRD-"&amp;CN$11&amp;"'!B:R"),15,FALSE),"")</f>
        <v/>
      </c>
      <c r="CO14" s="96">
        <f>IFERROR(VLOOKUP($B14,INDIRECT("'GRD-"&amp;CO$11&amp;"'!B:R"),15,FALSE),"")</f>
        <v/>
      </c>
      <c r="CP14" s="96">
        <f>IFERROR(VLOOKUP($B14,INDIRECT("'GRD-"&amp;CP$11&amp;"'!B:R"),15,FALSE),"")</f>
        <v/>
      </c>
      <c r="CQ14" s="96">
        <f>IFERROR(VLOOKUP($B14,INDIRECT("'GRD-"&amp;CQ$11&amp;"'!B:R"),15,FALSE),"")</f>
        <v/>
      </c>
      <c r="CR14" s="96">
        <f>IFERROR(VLOOKUP($B14,INDIRECT("'GRD-"&amp;CR$11&amp;"'!B:R"),15,FALSE),"")</f>
        <v/>
      </c>
      <c r="CS14" s="96">
        <f>IFERROR(VLOOKUP($B14,INDIRECT("'GRD-"&amp;CS$11&amp;"'!B:R"),15,FALSE),"")</f>
        <v/>
      </c>
      <c r="CT14" s="96">
        <f>IFERROR(VLOOKUP($B14,INDIRECT("'GRD-"&amp;CT$11&amp;"'!B:R"),15,FALSE),"")</f>
        <v/>
      </c>
      <c r="CU14" s="96">
        <f>IFERROR(VLOOKUP($B14,INDIRECT("'GRD-"&amp;CU$11&amp;"'!B:R"),15,FALSE),"")</f>
        <v/>
      </c>
      <c r="CV14" s="96">
        <f>IFERROR(VLOOKUP($B14,INDIRECT("'GRD-"&amp;CV$11&amp;"'!B:R"),15,FALSE),"")</f>
        <v/>
      </c>
      <c r="CW14" s="96">
        <f>IFERROR(VLOOKUP($B14,INDIRECT("'GRD-"&amp;CW$11&amp;"'!B:R"),15,FALSE),"")</f>
        <v/>
      </c>
      <c r="CX14" s="96">
        <f>IFERROR(VLOOKUP($B14,INDIRECT("'GRD-"&amp;CX$11&amp;"'!B:R"),15,FALSE),"")</f>
        <v/>
      </c>
      <c r="CY14" s="96">
        <f>IFERROR(VLOOKUP($B14,INDIRECT("'GRD-"&amp;CY$11&amp;"'!B:R"),15,FALSE),"")</f>
        <v/>
      </c>
      <c r="CZ14" s="96">
        <f>IFERROR(VLOOKUP($B14,INDIRECT("'GRD-"&amp;CZ$11&amp;"'!B:R"),15,FALSE),"")</f>
        <v/>
      </c>
      <c r="DA14" s="96">
        <f>IFERROR(VLOOKUP($B14,INDIRECT("'GRD-"&amp;DA$11&amp;"'!B:R"),15,FALSE),"")</f>
        <v/>
      </c>
      <c r="DB14" s="96">
        <f>IFERROR(VLOOKUP($B14,INDIRECT("'GRD-"&amp;DB$11&amp;"'!B:R"),15,FALSE),"")</f>
        <v/>
      </c>
      <c r="DC14" s="96">
        <f>IFERROR(VLOOKUP($B14,INDIRECT("'GRD-"&amp;DC$11&amp;"'!B:R"),15,FALSE),"")</f>
        <v/>
      </c>
      <c r="DD14" s="96">
        <f>IFERROR(VLOOKUP($B14,INDIRECT("'GRD-"&amp;DD$11&amp;"'!B:R"),15,FALSE),"")</f>
        <v/>
      </c>
      <c r="DE14" s="96">
        <f>IFERROR(VLOOKUP($B14,INDIRECT("'GRD-"&amp;DE$11&amp;"'!B:R"),15,FALSE),"")</f>
        <v/>
      </c>
      <c r="DF14" s="96">
        <f>IFERROR(VLOOKUP($B14,INDIRECT("'GRD-"&amp;DF$11&amp;"'!B:R"),15,FALSE),"")</f>
        <v/>
      </c>
      <c r="DG14" s="96">
        <f>IFERROR(VLOOKUP($B14,INDIRECT("'GRD-"&amp;DG$11&amp;"'!B:R"),15,FALSE),"")</f>
        <v/>
      </c>
      <c r="DH14" s="96">
        <f>IFERROR(VLOOKUP($B14,INDIRECT("'GRD-"&amp;DH$11&amp;"'!B:R"),15,FALSE),"")</f>
        <v/>
      </c>
      <c r="DI14" s="96">
        <f>IFERROR(VLOOKUP($B14,INDIRECT("'GRD-"&amp;DI$11&amp;"'!B:R"),15,FALSE),"")</f>
        <v/>
      </c>
      <c r="DJ14" s="96">
        <f>IFERROR(VLOOKUP($B14,INDIRECT("'GRD-"&amp;DJ$11&amp;"'!B:R"),15,FALSE),"")</f>
        <v/>
      </c>
      <c r="DK14" s="96">
        <f>IFERROR(VLOOKUP($B14,INDIRECT("'GRD-"&amp;DK$11&amp;"'!B:R"),15,FALSE),"")</f>
        <v/>
      </c>
      <c r="DL14" s="96">
        <f>IFERROR(VLOOKUP($B14,INDIRECT("'GRD-"&amp;DL$11&amp;"'!B:R"),15,FALSE),"")</f>
        <v/>
      </c>
      <c r="DM14" s="96">
        <f>IFERROR(VLOOKUP($B14,INDIRECT("'GRD-"&amp;DM$11&amp;"'!B:R"),15,FALSE),"")</f>
        <v/>
      </c>
      <c r="DN14" s="96">
        <f>IFERROR(VLOOKUP($B14,INDIRECT("'GRD-"&amp;DN$11&amp;"'!B:R"),15,FALSE),"")</f>
        <v/>
      </c>
      <c r="DO14" s="96">
        <f>IFERROR(VLOOKUP($B14,INDIRECT("'GRD-"&amp;DO$11&amp;"'!B:R"),15,FALSE),"")</f>
        <v/>
      </c>
      <c r="DP14" s="96">
        <f>IFERROR(VLOOKUP($B14,INDIRECT("'GRD-"&amp;DP$11&amp;"'!B:R"),15,FALSE),"")</f>
        <v/>
      </c>
      <c r="DQ14" s="96">
        <f>IFERROR(VLOOKUP($B14,INDIRECT("'GRD-"&amp;DQ$11&amp;"'!B:R"),15,FALSE),"")</f>
        <v/>
      </c>
      <c r="DR14" s="96">
        <f>IFERROR(VLOOKUP($B14,INDIRECT("'GRD-"&amp;DR$11&amp;"'!B:R"),15,FALSE),"")</f>
        <v/>
      </c>
      <c r="DS14" s="96">
        <f>IFERROR(VLOOKUP($B14,INDIRECT("'GRD-"&amp;DS$11&amp;"'!B:R"),15,FALSE),"")</f>
        <v/>
      </c>
      <c r="DT14" s="96">
        <f>IFERROR(VLOOKUP($B14,INDIRECT("'GRD-"&amp;DT$11&amp;"'!B:R"),15,FALSE),"")</f>
        <v/>
      </c>
      <c r="DU14" s="96">
        <f>IFERROR(VLOOKUP($B14,INDIRECT("'GRD-"&amp;DU$11&amp;"'!B:R"),15,FALSE),"")</f>
        <v/>
      </c>
      <c r="DV14" s="96">
        <f>IFERROR(VLOOKUP($B14,INDIRECT("'GRD-"&amp;DV$11&amp;"'!B:R"),15,FALSE),"")</f>
        <v/>
      </c>
      <c r="DW14" s="96">
        <f>IFERROR(VLOOKUP($B14,INDIRECT("'GRD-"&amp;DW$11&amp;"'!B:R"),15,FALSE),"")</f>
        <v/>
      </c>
      <c r="DX14" s="96">
        <f>IFERROR(VLOOKUP($B14,INDIRECT("'GRD-"&amp;DX$11&amp;"'!B:R"),15,FALSE),"")</f>
        <v/>
      </c>
      <c r="DY14" s="96">
        <f>IFERROR(VLOOKUP($B14,INDIRECT("'GRD-"&amp;DY$11&amp;"'!B:R"),15,FALSE),"")</f>
        <v/>
      </c>
      <c r="DZ14" s="96">
        <f>IFERROR(VLOOKUP($B14,INDIRECT("'GRD-"&amp;DZ$11&amp;"'!B:R"),15,FALSE),"")</f>
        <v/>
      </c>
      <c r="EA14" s="96">
        <f>IFERROR(VLOOKUP($B14,INDIRECT("'GRD-"&amp;EA$11&amp;"'!B:R"),15,FALSE),"")</f>
        <v/>
      </c>
      <c r="EB14" s="96">
        <f>IFERROR(VLOOKUP($B14,INDIRECT("'GRD-"&amp;EB$11&amp;"'!B:R"),15,FALSE),"")</f>
        <v/>
      </c>
      <c r="EC14" s="96">
        <f>IFERROR(VLOOKUP($B14,INDIRECT("'GRD-"&amp;EC$11&amp;"'!B:R"),15,FALSE),"")</f>
        <v/>
      </c>
      <c r="ED14" s="96">
        <f>IFERROR(VLOOKUP($B14,INDIRECT("'GRD-"&amp;ED$11&amp;"'!B:R"),15,FALSE),"")</f>
        <v/>
      </c>
      <c r="EE14" s="96">
        <f>IFERROR(VLOOKUP($B14,INDIRECT("'GRD-"&amp;EE$11&amp;"'!B:R"),15,FALSE),"")</f>
        <v/>
      </c>
      <c r="EF14" s="96">
        <f>IFERROR(VLOOKUP($B14,INDIRECT("'GRD-"&amp;EF$11&amp;"'!B:R"),15,FALSE),"")</f>
        <v/>
      </c>
      <c r="EG14" s="96">
        <f>IFERROR(VLOOKUP($B14,INDIRECT("'GRD-"&amp;EG$11&amp;"'!B:R"),15,FALSE),"")</f>
        <v/>
      </c>
      <c r="EH14" s="96">
        <f>IFERROR(VLOOKUP($B14,INDIRECT("'GRD-"&amp;EH$11&amp;"'!B:R"),15,FALSE),"")</f>
        <v/>
      </c>
      <c r="EI14" s="96">
        <f>IFERROR(VLOOKUP($B14,INDIRECT("'GRD-"&amp;EI$11&amp;"'!B:R"),15,FALSE),"")</f>
        <v/>
      </c>
      <c r="EJ14" s="96">
        <f>IFERROR(VLOOKUP($B14,INDIRECT("'GRD-"&amp;EJ$11&amp;"'!B:R"),15,FALSE),"")</f>
        <v/>
      </c>
      <c r="EK14" s="96">
        <f>IFERROR(VLOOKUP($B14,INDIRECT("'GRD-"&amp;EK$11&amp;"'!B:R"),15,FALSE),"")</f>
        <v/>
      </c>
      <c r="EL14" s="96">
        <f>IFERROR(VLOOKUP($B14,INDIRECT("'GRD-"&amp;EL$11&amp;"'!B:R"),15,FALSE),"")</f>
        <v/>
      </c>
      <c r="EM14" s="96">
        <f>IFERROR(VLOOKUP($B14,INDIRECT("'GRD-"&amp;EM$11&amp;"'!B:R"),15,FALSE),"")</f>
        <v/>
      </c>
      <c r="EN14" s="96">
        <f>IFERROR(VLOOKUP($B14,INDIRECT("'GRD-"&amp;EN$11&amp;"'!B:R"),15,FALSE),"")</f>
        <v/>
      </c>
      <c r="EO14" s="96">
        <f>IFERROR(VLOOKUP($B14,INDIRECT("'GRD-"&amp;EO$11&amp;"'!B:R"),15,FALSE),"")</f>
        <v/>
      </c>
      <c r="EP14" s="96">
        <f>IFERROR(VLOOKUP($B14,INDIRECT("'GRD-"&amp;EP$11&amp;"'!B:R"),15,FALSE),"")</f>
        <v/>
      </c>
      <c r="EQ14" s="96">
        <f>IFERROR(VLOOKUP($B14,INDIRECT("'GRD-"&amp;EQ$11&amp;"'!B:R"),15,FALSE),"")</f>
        <v/>
      </c>
      <c r="ER14" s="96">
        <f>IFERROR(VLOOKUP($B14,INDIRECT("'GRD-"&amp;ER$11&amp;"'!B:R"),15,FALSE),"")</f>
        <v/>
      </c>
      <c r="ES14" s="96">
        <f>IFERROR(VLOOKUP($B14,INDIRECT("'GRD-"&amp;ES$11&amp;"'!B:R"),15,FALSE),"")</f>
        <v/>
      </c>
      <c r="ET14" s="96">
        <f>IFERROR(VLOOKUP($B14,INDIRECT("'GRD-"&amp;ET$11&amp;"'!B:R"),15,FALSE),"")</f>
        <v/>
      </c>
      <c r="EU14" s="96">
        <f>IFERROR(VLOOKUP($B14,INDIRECT("'GRD-"&amp;EU$11&amp;"'!B:R"),15,FALSE),"")</f>
        <v/>
      </c>
      <c r="EV14" s="96">
        <f>IFERROR(VLOOKUP($B14,INDIRECT("'GRD-"&amp;EV$11&amp;"'!B:R"),15,FALSE),"")</f>
        <v/>
      </c>
      <c r="EW14" s="96">
        <f>IFERROR(VLOOKUP($B14,INDIRECT("'GRD-"&amp;EW$11&amp;"'!B:R"),15,FALSE),"")</f>
        <v/>
      </c>
      <c r="EX14" s="96">
        <f>IFERROR(VLOOKUP($B14,INDIRECT("'GRD-"&amp;EX$11&amp;"'!B:R"),15,FALSE),"")</f>
        <v/>
      </c>
      <c r="EY14" s="96">
        <f>IFERROR(VLOOKUP($B14,INDIRECT("'GRD-"&amp;EY$11&amp;"'!B:R"),15,FALSE),"")</f>
        <v/>
      </c>
      <c r="EZ14" s="96">
        <f>IFERROR(VLOOKUP($B14,INDIRECT("'GRD-"&amp;EZ$11&amp;"'!B:R"),15,FALSE),"")</f>
        <v/>
      </c>
      <c r="FA14" s="96">
        <f>IFERROR(VLOOKUP($B14,INDIRECT("'GRD-"&amp;FA$11&amp;"'!B:R"),15,FALSE),"")</f>
        <v/>
      </c>
      <c r="FB14" s="96">
        <f>IFERROR(VLOOKUP($B14,INDIRECT("'GRD-"&amp;FB$11&amp;"'!B:R"),15,FALSE),"")</f>
        <v/>
      </c>
      <c r="FC14" s="96">
        <f>IFERROR(VLOOKUP($B14,INDIRECT("'GRD-"&amp;FC$11&amp;"'!B:R"),15,FALSE),"")</f>
        <v/>
      </c>
      <c r="FD14" s="96">
        <f>IFERROR(VLOOKUP($B14,INDIRECT("'GRD-"&amp;FD$11&amp;"'!B:R"),15,FALSE),"")</f>
        <v/>
      </c>
      <c r="FE14" s="96">
        <f>IFERROR(VLOOKUP($B14,INDIRECT("'GRD-"&amp;FE$11&amp;"'!B:R"),15,FALSE),"")</f>
        <v/>
      </c>
      <c r="FF14" s="96">
        <f>IFERROR(VLOOKUP($B14,INDIRECT("'GRD-"&amp;FF$11&amp;"'!B:R"),15,FALSE),"")</f>
        <v/>
      </c>
      <c r="FG14" s="96">
        <f>IFERROR(VLOOKUP($B14,INDIRECT("'GRD-"&amp;FG$11&amp;"'!B:R"),15,FALSE),"")</f>
        <v/>
      </c>
      <c r="FH14" s="96">
        <f>IFERROR(VLOOKUP($B14,INDIRECT("'GRD-"&amp;FH$11&amp;"'!B:R"),15,FALSE),"")</f>
        <v/>
      </c>
      <c r="FI14" s="96">
        <f>IFERROR(VLOOKUP($B14,INDIRECT("'GRD-"&amp;FI$11&amp;"'!B:R"),15,FALSE),"")</f>
        <v/>
      </c>
      <c r="FJ14" s="96">
        <f>IFERROR(VLOOKUP($B14,INDIRECT("'GRD-"&amp;FJ$11&amp;"'!B:R"),15,FALSE),"")</f>
        <v/>
      </c>
      <c r="FK14" s="96">
        <f>IFERROR(VLOOKUP($B14,INDIRECT("'GRD-"&amp;FK$11&amp;"'!B:R"),15,FALSE),"")</f>
        <v/>
      </c>
      <c r="FL14" s="96">
        <f>IFERROR(VLOOKUP($B14,INDIRECT("'GRD-"&amp;FL$11&amp;"'!B:R"),15,FALSE),"")</f>
        <v/>
      </c>
      <c r="FM14" s="96">
        <f>IFERROR(VLOOKUP($B14,INDIRECT("'GRD-"&amp;FM$11&amp;"'!B:R"),15,FALSE),"")</f>
        <v/>
      </c>
      <c r="FN14" s="96">
        <f>IFERROR(VLOOKUP($B14,INDIRECT("'GRD-"&amp;FN$11&amp;"'!B:R"),15,FALSE),"")</f>
        <v/>
      </c>
      <c r="FO14" s="96">
        <f>IFERROR(VLOOKUP($B14,INDIRECT("'GRD-"&amp;FO$11&amp;"'!B:R"),15,FALSE),"")</f>
        <v/>
      </c>
      <c r="FP14" s="96">
        <f>IFERROR(VLOOKUP($B14,INDIRECT("'GRD-"&amp;FP$11&amp;"'!B:R"),15,FALSE),"")</f>
        <v/>
      </c>
      <c r="FQ14" s="96">
        <f>IFERROR(VLOOKUP($B14,INDIRECT("'GRD-"&amp;FQ$11&amp;"'!B:R"),15,FALSE),"")</f>
        <v/>
      </c>
      <c r="FR14" s="96">
        <f>IFERROR(VLOOKUP($B14,INDIRECT("'GRD-"&amp;FR$11&amp;"'!B:R"),15,FALSE),"")</f>
        <v/>
      </c>
      <c r="FS14" s="96">
        <f>IFERROR(VLOOKUP($B14,INDIRECT("'GRD-"&amp;FS$11&amp;"'!B:R"),15,FALSE),"")</f>
        <v/>
      </c>
      <c r="FT14" s="96">
        <f>IFERROR(VLOOKUP($B14,INDIRECT("'GRD-"&amp;FT$11&amp;"'!B:R"),15,FALSE),"")</f>
        <v/>
      </c>
      <c r="FU14" s="96">
        <f>IFERROR(VLOOKUP($B14,INDIRECT("'GRD-"&amp;FU$11&amp;"'!B:R"),15,FALSE),"")</f>
        <v/>
      </c>
      <c r="FV14" s="96">
        <f>IFERROR(VLOOKUP($B14,INDIRECT("'GRD-"&amp;FV$11&amp;"'!B:R"),15,FALSE),"")</f>
        <v/>
      </c>
    </row>
    <row r="15" ht="12" customFormat="1" customHeight="1" s="66">
      <c r="A15" s="349" t="n"/>
      <c r="B15" s="68" t="inlineStr">
        <is>
          <t>LISTE OS DOCUMENTOS AQUI...</t>
        </is>
      </c>
      <c r="C15" s="72" t="n"/>
      <c r="D15" s="73">
        <f>IF(K15="","",MAX($CA15:$FV15))</f>
        <v/>
      </c>
      <c r="E15" s="74">
        <f t="array" ref="E15">IF($K15="","",OFFSET($A$1,ROW($B15)-1,11+$D15*4,))</f>
        <v/>
      </c>
      <c r="F15" s="74">
        <f t="array" ref="F15">IF($K15="","",OFFSET($A$1,ROW($B15)-1,12+$D15*4,))</f>
        <v/>
      </c>
      <c r="G15" s="118">
        <f t="array" ref="G15">IF($K15="","",OFFSET($A$1,ROW($B15)-1,13+$D15*4,))</f>
        <v/>
      </c>
      <c r="H15" s="81" t="n"/>
      <c r="I15" s="82" t="n"/>
      <c r="J15" s="75">
        <f>IF(I15="A4",H15/8,IF(I15="A3",H15/4,IF(I15="A2",H15/2,IF(I15="A1",H15/1,IF(I15="A0",H15*2,"")))))</f>
        <v/>
      </c>
      <c r="K15" s="68">
        <f t="array" ref="K15">IFERROR(OFFSET($BZ$11,ROW($B15)-11,MATCH(K$10,$CA15:$FV15,0),),"")</f>
        <v/>
      </c>
      <c r="L15" s="68">
        <f>IF(K15="","",IF(VLOOKUP($B15,INDIRECT("'GRD-"&amp;M15&amp;"'!$B:$R"),16,FALSE)="","",VLOOKUP($B15,INDIRECT("'GRD-"&amp;M15&amp;"'!$B:$R"),16,FALSE)))</f>
        <v/>
      </c>
      <c r="M15" s="68">
        <f t="array" ref="M15">IF(K15="","",IFERROR(OFFSET($BZ$11,0,MATCH($K15,$CA15:$FV15,0),),""))</f>
        <v/>
      </c>
      <c r="N15" s="119">
        <f t="array" ref="N15">IF(K15="","",INDIRECT("'GRD-"&amp;M15&amp;"'!$L$7"))</f>
        <v/>
      </c>
      <c r="O15" s="76">
        <f t="array" ref="O15">IFERROR(OFFSET($BZ$11,ROW($B15)-11,MATCH(O$10,$CA15:$FV15,0),),"")</f>
        <v/>
      </c>
      <c r="P15" s="77">
        <f>IF(O15="","",IF(VLOOKUP($B15,INDIRECT("'GRD-"&amp;Q15&amp;"'!$B:$R"),16,FALSE)="","",VLOOKUP($B15,INDIRECT("'GRD-"&amp;Q15&amp;"'!$B:$R"),16,FALSE)))</f>
        <v/>
      </c>
      <c r="Q15" s="120">
        <f t="array" ref="Q15">IF(O15="","",IFERROR(OFFSET($BZ$11,0,MATCH($O15,$CA15:$FV15,0),),""))</f>
        <v/>
      </c>
      <c r="R15" s="121">
        <f t="array" ref="R15">IF(O15="","",INDIRECT("'GRD-"&amp;Q15&amp;"'!$L$7"))</f>
        <v/>
      </c>
      <c r="S15" s="83">
        <f t="array" ref="S15">IFERROR(OFFSET($BZ$11,ROW($B15)-11,MATCH(S$10,$CA15:$FV15,0),),"")</f>
        <v/>
      </c>
      <c r="T15" s="83">
        <f>IF(S15="","",IF(VLOOKUP($B15,INDIRECT("'GRD-"&amp;U15&amp;"'!$B:$R"),16,FALSE)="","",VLOOKUP($B15,INDIRECT("'GRD-"&amp;U15&amp;"'!$B:$R"),16,FALSE)))</f>
        <v/>
      </c>
      <c r="U15" s="128">
        <f t="array" ref="U15">IF(S15="","",IFERROR(OFFSET($BZ$11,0,MATCH($S15,$CA15:$FV15,0),),""))</f>
        <v/>
      </c>
      <c r="V15" s="123">
        <f t="array" ref="V15">IF(S15="","",INDIRECT("'GRD-"&amp;U15&amp;"'!$L$7"))</f>
        <v/>
      </c>
      <c r="W15" s="80">
        <f t="array" ref="W15">IFERROR(OFFSET($BZ$11,ROW($B15)-11,MATCH(W$10,$CA15:$FV15,0),),"")</f>
        <v/>
      </c>
      <c r="X15" s="84">
        <f>IF(W15="","",IF(VLOOKUP($B15,INDIRECT("'GRD-"&amp;Y15&amp;"'!$B:$R"),16,FALSE)="","",VLOOKUP($B15,INDIRECT("'GRD-"&amp;Y15&amp;"'!$B:$R"),16,FALSE)))</f>
        <v/>
      </c>
      <c r="Y15" s="129">
        <f t="array" ref="Y15">IF(W15="","",IFERROR(OFFSET($BZ$11,0,MATCH($W15,$CA15:$FV15,0),),""))</f>
        <v/>
      </c>
      <c r="Z15" s="125">
        <f t="array" ref="Z15">IF(W15="","",INDIRECT("'GRD-"&amp;Y15&amp;"'!$L$7"))</f>
        <v/>
      </c>
      <c r="AA15" s="68">
        <f t="array" ref="AA15">IFERROR(OFFSET($BZ$11,ROW($B15)-11,MATCH(AA$10,$CA15:$FV15,0),),"")</f>
        <v/>
      </c>
      <c r="AB15" s="85">
        <f>IF(AA15="","",IF(VLOOKUP($B15,INDIRECT("'GRD-"&amp;AC15&amp;"'!$B:$R"),16,FALSE)="","",VLOOKUP($B15,INDIRECT("'GRD-"&amp;AC15&amp;"'!$B:$R"),16,FALSE)))</f>
        <v/>
      </c>
      <c r="AC15" s="130">
        <f t="array" ref="AC15">IF(AA15="","",IFERROR(OFFSET($BZ$11,0,MATCH($AA15,$CA15:$FV15,0),),""))</f>
        <v/>
      </c>
      <c r="AD15" s="131">
        <f t="array" ref="AD15">IF(AA15="","",INDIRECT("'GRD-"&amp;AC15&amp;"'!$L$7"))</f>
        <v/>
      </c>
      <c r="AE15" s="76">
        <f t="array" ref="AE15">IFERROR(OFFSET($BZ$11,ROW($B15)-11,MATCH(AE$10,$CA15:$FV15,0),),"")</f>
        <v/>
      </c>
      <c r="AF15" s="76">
        <f>IF(AE15="","",IF(VLOOKUP($B15,INDIRECT("'GRD-"&amp;AG15&amp;"'!$B:$R"),16,FALSE)="","",VLOOKUP($B15,INDIRECT("'GRD-"&amp;AG15&amp;"'!$B:$R"),16,FALSE)))</f>
        <v/>
      </c>
      <c r="AG15" s="132">
        <f t="array" ref="AG15">IF(AE15="","",IFERROR(OFFSET($BZ$11,0,MATCH($AE15,$CA15:$FV15,0),),""))</f>
        <v/>
      </c>
      <c r="AH15" s="127">
        <f t="array" ref="AH15">IF(AE15="","",INDIRECT("'GRD-"&amp;AG15&amp;"'!$L$7"))</f>
        <v/>
      </c>
      <c r="AI15" s="79">
        <f t="array" ref="AI15">IFERROR(OFFSET($BZ$11,ROW($B15)-11,MATCH(AI$10,$CA15:$FV15,0),),"")</f>
        <v/>
      </c>
      <c r="AJ15" s="83">
        <f>IF(AI15="","",IF(VLOOKUP($B15,INDIRECT("'GRD-"&amp;AK15&amp;"'!$B:$R"),16,FALSE)="","",VLOOKUP($B15,INDIRECT("'GRD-"&amp;AK15&amp;"'!$B:$R"),16,FALSE)))</f>
        <v/>
      </c>
      <c r="AK15" s="128">
        <f t="array" ref="AK15">IF(AI15="","",IFERROR(OFFSET($BZ$11,0,MATCH($AI15,$CA15:$FV15,0),),""))</f>
        <v/>
      </c>
      <c r="AL15" s="123">
        <f t="array" ref="AL15">IF(AI15="","",INDIRECT("'GRD-"&amp;AK15&amp;"'!$L$7"))</f>
        <v/>
      </c>
      <c r="AM15" s="80">
        <f t="array" ref="AM15">IFERROR(OFFSET($BZ$11,ROW($B15)-11,MATCH(AM$10,$CA15:$FV15,0),),"")</f>
        <v/>
      </c>
      <c r="AN15" s="84">
        <f>IF(AM15="","",IF(VLOOKUP($B15,INDIRECT("'GRD-"&amp;AO15&amp;"'!$B:$R"),16,FALSE)="","",VLOOKUP($B15,INDIRECT("'GRD-"&amp;AO15&amp;"'!$B:$R"),16,FALSE)))</f>
        <v/>
      </c>
      <c r="AO15" s="129">
        <f t="array" ref="AO15">IF(AM15="","",IFERROR(OFFSET($BZ$11,0,MATCH($AM15,$CA15:$FV15,0),),""))</f>
        <v/>
      </c>
      <c r="AP15" s="125">
        <f t="array" ref="AP15">IF(AM15="","",INDIRECT("'GRD-"&amp;AO15&amp;"'!$L$7"))</f>
        <v/>
      </c>
      <c r="AQ15" s="68">
        <f t="array" ref="AQ15">IFERROR(OFFSET($BZ$11,ROW($B15)-11,MATCH(AQ$10,$CA15:$FV15,0),),"")</f>
        <v/>
      </c>
      <c r="AR15" s="85">
        <f>IF(AQ15="","",IF(VLOOKUP($B15,INDIRECT("'GRD-"&amp;AS15&amp;"'!$B:$R"),16,FALSE)="","",VLOOKUP($B15,INDIRECT("'GRD-"&amp;AS15&amp;"'!$B:$R"),16,FALSE)))</f>
        <v/>
      </c>
      <c r="AS15" s="130">
        <f t="array" ref="AS15">IF(AQ15="","",IFERROR(OFFSET($BZ$11,0,MATCH($AQ15,$CA15:$FV15,0),),""))</f>
        <v/>
      </c>
      <c r="AT15" s="131">
        <f t="array" ref="AT15">IF(AQ15="","",INDIRECT("'GRD-"&amp;AS15&amp;"'!$L$7"))</f>
        <v/>
      </c>
      <c r="AU15" s="76">
        <f t="array" ref="AU15">IFERROR(OFFSET($BZ$11,ROW($B15)-11,MATCH(AU$10,$CA15:$FV15,0),),"")</f>
        <v/>
      </c>
      <c r="AV15" s="76">
        <f>IF(AU15="","",IF(VLOOKUP($B15,INDIRECT("'GRD-"&amp;AW15&amp;"'!$B:$R"),16,FALSE)="","",VLOOKUP($B15,INDIRECT("'GRD-"&amp;AW15&amp;"'!$B:$R"),16,FALSE)))</f>
        <v/>
      </c>
      <c r="AW15" s="132">
        <f t="array" ref="AW15">IF(AU15="","",IFERROR(OFFSET($BZ$11,0,MATCH($AU15,$CA15:$FV15,0),),""))</f>
        <v/>
      </c>
      <c r="AX15" s="127">
        <f t="array" ref="AX15">IF(AU15="","",INDIRECT("'GRD-"&amp;AW15&amp;"'!$L$7"))</f>
        <v/>
      </c>
      <c r="AY15" s="79">
        <f t="array" ref="AY15">IFERROR(OFFSET($BZ$11,ROW($B15)-11,MATCH(AY$10,$CA15:$FV15,0),),"")</f>
        <v/>
      </c>
      <c r="AZ15" s="83">
        <f>IF(AY15="","",IF(VLOOKUP($B15,INDIRECT("'GRD-"&amp;BA15&amp;"'!$B:$R"),16,FALSE)="","",VLOOKUP($B15,INDIRECT("'GRD-"&amp;BA15&amp;"'!$B:$R"),16,FALSE)))</f>
        <v/>
      </c>
      <c r="BA15" s="128">
        <f t="array" ref="BA15">IF(AY15="","",IFERROR(OFFSET($BZ$11,0,MATCH($AY15,$CA15:$FV15,0),),""))</f>
        <v/>
      </c>
      <c r="BB15" s="123">
        <f t="array" ref="BB15">IF(AY15="","",INDIRECT("'GRD-"&amp;BA15&amp;"'!$L$7"))</f>
        <v/>
      </c>
      <c r="BC15" s="80">
        <f t="array" ref="BC15">IFERROR(OFFSET($BZ$11,ROW($B15)-11,MATCH(BC$10,$CA15:$FV15,0),),"")</f>
        <v/>
      </c>
      <c r="BD15" s="84">
        <f>IF(BC15="","",IF(VLOOKUP($B15,INDIRECT("'GRD-"&amp;BE15&amp;"'!$B:$R"),16,FALSE)="","",VLOOKUP($B15,INDIRECT("'GRD-"&amp;BE15&amp;"'!$B:$R"),16,FALSE)))</f>
        <v/>
      </c>
      <c r="BE15" s="129">
        <f t="array" ref="BE15">IF(BC15="","",IFERROR(OFFSET($BZ$11,0,MATCH($BC15,$CA15:$FV15,0),),""))</f>
        <v/>
      </c>
      <c r="BF15" s="125">
        <f t="array" ref="BF15">IF(BC15="","",INDIRECT("'GRD-"&amp;BE15&amp;"'!$L$7"))</f>
        <v/>
      </c>
      <c r="BZ15" s="67" t="n"/>
      <c r="CA15" s="96">
        <f>IFERROR(VLOOKUP($B15,INDIRECT("'GRD-"&amp;CA$11&amp;"'!B:R"),15,FALSE),"")</f>
        <v/>
      </c>
      <c r="CB15" s="96">
        <f>IFERROR(VLOOKUP($B15,INDIRECT("'GRD-"&amp;CB$11&amp;"'!B:R"),15,FALSE),"")</f>
        <v/>
      </c>
      <c r="CC15" s="96">
        <f>IFERROR(VLOOKUP($B15,INDIRECT("'GRD-"&amp;CC$11&amp;"'!B:R"),15,FALSE),"")</f>
        <v/>
      </c>
      <c r="CD15" s="96">
        <f>IFERROR(VLOOKUP($B15,INDIRECT("'GRD-"&amp;CD$11&amp;"'!B:R"),15,FALSE),"")</f>
        <v/>
      </c>
      <c r="CE15" s="96">
        <f>IFERROR(VLOOKUP($B15,INDIRECT("'GRD-"&amp;CE$11&amp;"'!B:R"),15,FALSE),"")</f>
        <v/>
      </c>
      <c r="CF15" s="96">
        <f>IFERROR(VLOOKUP($B15,INDIRECT("'GRD-"&amp;CF$11&amp;"'!B:R"),15,FALSE),"")</f>
        <v/>
      </c>
      <c r="CG15" s="96">
        <f>IFERROR(VLOOKUP($B15,INDIRECT("'GRD-"&amp;CG$11&amp;"'!B:R"),15,FALSE),"")</f>
        <v/>
      </c>
      <c r="CH15" s="96">
        <f>IFERROR(VLOOKUP($B15,INDIRECT("'GRD-"&amp;CH$11&amp;"'!B:R"),15,FALSE),"")</f>
        <v/>
      </c>
      <c r="CI15" s="96">
        <f>IFERROR(VLOOKUP($B15,INDIRECT("'GRD-"&amp;CI$11&amp;"'!B:R"),15,FALSE),"")</f>
        <v/>
      </c>
      <c r="CJ15" s="96">
        <f>IFERROR(VLOOKUP($B15,INDIRECT("'GRD-"&amp;CJ$11&amp;"'!B:R"),15,FALSE),"")</f>
        <v/>
      </c>
      <c r="CK15" s="96">
        <f>IFERROR(VLOOKUP($B15,INDIRECT("'GRD-"&amp;CK$11&amp;"'!B:R"),15,FALSE),"")</f>
        <v/>
      </c>
      <c r="CL15" s="96">
        <f>IFERROR(VLOOKUP($B15,INDIRECT("'GRD-"&amp;CL$11&amp;"'!B:R"),15,FALSE),"")</f>
        <v/>
      </c>
      <c r="CM15" s="96">
        <f>IFERROR(VLOOKUP($B15,INDIRECT("'GRD-"&amp;CM$11&amp;"'!B:R"),15,FALSE),"")</f>
        <v/>
      </c>
      <c r="CN15" s="96">
        <f>IFERROR(VLOOKUP($B15,INDIRECT("'GRD-"&amp;CN$11&amp;"'!B:R"),15,FALSE),"")</f>
        <v/>
      </c>
      <c r="CO15" s="96">
        <f>IFERROR(VLOOKUP($B15,INDIRECT("'GRD-"&amp;CO$11&amp;"'!B:R"),15,FALSE),"")</f>
        <v/>
      </c>
      <c r="CP15" s="96">
        <f>IFERROR(VLOOKUP($B15,INDIRECT("'GRD-"&amp;CP$11&amp;"'!B:R"),15,FALSE),"")</f>
        <v/>
      </c>
      <c r="CQ15" s="96">
        <f>IFERROR(VLOOKUP($B15,INDIRECT("'GRD-"&amp;CQ$11&amp;"'!B:R"),15,FALSE),"")</f>
        <v/>
      </c>
      <c r="CR15" s="96">
        <f>IFERROR(VLOOKUP($B15,INDIRECT("'GRD-"&amp;CR$11&amp;"'!B:R"),15,FALSE),"")</f>
        <v/>
      </c>
      <c r="CS15" s="96">
        <f>IFERROR(VLOOKUP($B15,INDIRECT("'GRD-"&amp;CS$11&amp;"'!B:R"),15,FALSE),"")</f>
        <v/>
      </c>
      <c r="CT15" s="96">
        <f>IFERROR(VLOOKUP($B15,INDIRECT("'GRD-"&amp;CT$11&amp;"'!B:R"),15,FALSE),"")</f>
        <v/>
      </c>
      <c r="CU15" s="96">
        <f>IFERROR(VLOOKUP($B15,INDIRECT("'GRD-"&amp;CU$11&amp;"'!B:R"),15,FALSE),"")</f>
        <v/>
      </c>
      <c r="CV15" s="96">
        <f>IFERROR(VLOOKUP($B15,INDIRECT("'GRD-"&amp;CV$11&amp;"'!B:R"),15,FALSE),"")</f>
        <v/>
      </c>
      <c r="CW15" s="96">
        <f>IFERROR(VLOOKUP($B15,INDIRECT("'GRD-"&amp;CW$11&amp;"'!B:R"),15,FALSE),"")</f>
        <v/>
      </c>
      <c r="CX15" s="96">
        <f>IFERROR(VLOOKUP($B15,INDIRECT("'GRD-"&amp;CX$11&amp;"'!B:R"),15,FALSE),"")</f>
        <v/>
      </c>
      <c r="CY15" s="96">
        <f>IFERROR(VLOOKUP($B15,INDIRECT("'GRD-"&amp;CY$11&amp;"'!B:R"),15,FALSE),"")</f>
        <v/>
      </c>
      <c r="CZ15" s="96">
        <f>IFERROR(VLOOKUP($B15,INDIRECT("'GRD-"&amp;CZ$11&amp;"'!B:R"),15,FALSE),"")</f>
        <v/>
      </c>
      <c r="DA15" s="96">
        <f>IFERROR(VLOOKUP($B15,INDIRECT("'GRD-"&amp;DA$11&amp;"'!B:R"),15,FALSE),"")</f>
        <v/>
      </c>
      <c r="DB15" s="96">
        <f>IFERROR(VLOOKUP($B15,INDIRECT("'GRD-"&amp;DB$11&amp;"'!B:R"),15,FALSE),"")</f>
        <v/>
      </c>
      <c r="DC15" s="96">
        <f>IFERROR(VLOOKUP($B15,INDIRECT("'GRD-"&amp;DC$11&amp;"'!B:R"),15,FALSE),"")</f>
        <v/>
      </c>
      <c r="DD15" s="96">
        <f>IFERROR(VLOOKUP($B15,INDIRECT("'GRD-"&amp;DD$11&amp;"'!B:R"),15,FALSE),"")</f>
        <v/>
      </c>
      <c r="DE15" s="96">
        <f>IFERROR(VLOOKUP($B15,INDIRECT("'GRD-"&amp;DE$11&amp;"'!B:R"),15,FALSE),"")</f>
        <v/>
      </c>
      <c r="DF15" s="96">
        <f>IFERROR(VLOOKUP($B15,INDIRECT("'GRD-"&amp;DF$11&amp;"'!B:R"),15,FALSE),"")</f>
        <v/>
      </c>
      <c r="DG15" s="96">
        <f>IFERROR(VLOOKUP($B15,INDIRECT("'GRD-"&amp;DG$11&amp;"'!B:R"),15,FALSE),"")</f>
        <v/>
      </c>
      <c r="DH15" s="96">
        <f>IFERROR(VLOOKUP($B15,INDIRECT("'GRD-"&amp;DH$11&amp;"'!B:R"),15,FALSE),"")</f>
        <v/>
      </c>
      <c r="DI15" s="96">
        <f>IFERROR(VLOOKUP($B15,INDIRECT("'GRD-"&amp;DI$11&amp;"'!B:R"),15,FALSE),"")</f>
        <v/>
      </c>
      <c r="DJ15" s="96">
        <f>IFERROR(VLOOKUP($B15,INDIRECT("'GRD-"&amp;DJ$11&amp;"'!B:R"),15,FALSE),"")</f>
        <v/>
      </c>
      <c r="DK15" s="96">
        <f>IFERROR(VLOOKUP($B15,INDIRECT("'GRD-"&amp;DK$11&amp;"'!B:R"),15,FALSE),"")</f>
        <v/>
      </c>
      <c r="DL15" s="96">
        <f>IFERROR(VLOOKUP($B15,INDIRECT("'GRD-"&amp;DL$11&amp;"'!B:R"),15,FALSE),"")</f>
        <v/>
      </c>
      <c r="DM15" s="96">
        <f>IFERROR(VLOOKUP($B15,INDIRECT("'GRD-"&amp;DM$11&amp;"'!B:R"),15,FALSE),"")</f>
        <v/>
      </c>
      <c r="DN15" s="96">
        <f>IFERROR(VLOOKUP($B15,INDIRECT("'GRD-"&amp;DN$11&amp;"'!B:R"),15,FALSE),"")</f>
        <v/>
      </c>
      <c r="DO15" s="96">
        <f>IFERROR(VLOOKUP($B15,INDIRECT("'GRD-"&amp;DO$11&amp;"'!B:R"),15,FALSE),"")</f>
        <v/>
      </c>
      <c r="DP15" s="96">
        <f>IFERROR(VLOOKUP($B15,INDIRECT("'GRD-"&amp;DP$11&amp;"'!B:R"),15,FALSE),"")</f>
        <v/>
      </c>
      <c r="DQ15" s="96">
        <f>IFERROR(VLOOKUP($B15,INDIRECT("'GRD-"&amp;DQ$11&amp;"'!B:R"),15,FALSE),"")</f>
        <v/>
      </c>
      <c r="DR15" s="96">
        <f>IFERROR(VLOOKUP($B15,INDIRECT("'GRD-"&amp;DR$11&amp;"'!B:R"),15,FALSE),"")</f>
        <v/>
      </c>
      <c r="DS15" s="96">
        <f>IFERROR(VLOOKUP($B15,INDIRECT("'GRD-"&amp;DS$11&amp;"'!B:R"),15,FALSE),"")</f>
        <v/>
      </c>
      <c r="DT15" s="96">
        <f>IFERROR(VLOOKUP($B15,INDIRECT("'GRD-"&amp;DT$11&amp;"'!B:R"),15,FALSE),"")</f>
        <v/>
      </c>
      <c r="DU15" s="96">
        <f>IFERROR(VLOOKUP($B15,INDIRECT("'GRD-"&amp;DU$11&amp;"'!B:R"),15,FALSE),"")</f>
        <v/>
      </c>
      <c r="DV15" s="96">
        <f>IFERROR(VLOOKUP($B15,INDIRECT("'GRD-"&amp;DV$11&amp;"'!B:R"),15,FALSE),"")</f>
        <v/>
      </c>
      <c r="DW15" s="96">
        <f>IFERROR(VLOOKUP($B15,INDIRECT("'GRD-"&amp;DW$11&amp;"'!B:R"),15,FALSE),"")</f>
        <v/>
      </c>
      <c r="DX15" s="96">
        <f>IFERROR(VLOOKUP($B15,INDIRECT("'GRD-"&amp;DX$11&amp;"'!B:R"),15,FALSE),"")</f>
        <v/>
      </c>
      <c r="DY15" s="96">
        <f>IFERROR(VLOOKUP($B15,INDIRECT("'GRD-"&amp;DY$11&amp;"'!B:R"),15,FALSE),"")</f>
        <v/>
      </c>
      <c r="DZ15" s="96">
        <f>IFERROR(VLOOKUP($B15,INDIRECT("'GRD-"&amp;DZ$11&amp;"'!B:R"),15,FALSE),"")</f>
        <v/>
      </c>
      <c r="EA15" s="96">
        <f>IFERROR(VLOOKUP($B15,INDIRECT("'GRD-"&amp;EA$11&amp;"'!B:R"),15,FALSE),"")</f>
        <v/>
      </c>
      <c r="EB15" s="96">
        <f>IFERROR(VLOOKUP($B15,INDIRECT("'GRD-"&amp;EB$11&amp;"'!B:R"),15,FALSE),"")</f>
        <v/>
      </c>
      <c r="EC15" s="96">
        <f>IFERROR(VLOOKUP($B15,INDIRECT("'GRD-"&amp;EC$11&amp;"'!B:R"),15,FALSE),"")</f>
        <v/>
      </c>
      <c r="ED15" s="96">
        <f>IFERROR(VLOOKUP($B15,INDIRECT("'GRD-"&amp;ED$11&amp;"'!B:R"),15,FALSE),"")</f>
        <v/>
      </c>
      <c r="EE15" s="96">
        <f>IFERROR(VLOOKUP($B15,INDIRECT("'GRD-"&amp;EE$11&amp;"'!B:R"),15,FALSE),"")</f>
        <v/>
      </c>
      <c r="EF15" s="96">
        <f>IFERROR(VLOOKUP($B15,INDIRECT("'GRD-"&amp;EF$11&amp;"'!B:R"),15,FALSE),"")</f>
        <v/>
      </c>
      <c r="EG15" s="96">
        <f>IFERROR(VLOOKUP($B15,INDIRECT("'GRD-"&amp;EG$11&amp;"'!B:R"),15,FALSE),"")</f>
        <v/>
      </c>
      <c r="EH15" s="96">
        <f>IFERROR(VLOOKUP($B15,INDIRECT("'GRD-"&amp;EH$11&amp;"'!B:R"),15,FALSE),"")</f>
        <v/>
      </c>
      <c r="EI15" s="96">
        <f>IFERROR(VLOOKUP($B15,INDIRECT("'GRD-"&amp;EI$11&amp;"'!B:R"),15,FALSE),"")</f>
        <v/>
      </c>
      <c r="EJ15" s="96">
        <f>IFERROR(VLOOKUP($B15,INDIRECT("'GRD-"&amp;EJ$11&amp;"'!B:R"),15,FALSE),"")</f>
        <v/>
      </c>
      <c r="EK15" s="96">
        <f>IFERROR(VLOOKUP($B15,INDIRECT("'GRD-"&amp;EK$11&amp;"'!B:R"),15,FALSE),"")</f>
        <v/>
      </c>
      <c r="EL15" s="96">
        <f>IFERROR(VLOOKUP($B15,INDIRECT("'GRD-"&amp;EL$11&amp;"'!B:R"),15,FALSE),"")</f>
        <v/>
      </c>
      <c r="EM15" s="96">
        <f>IFERROR(VLOOKUP($B15,INDIRECT("'GRD-"&amp;EM$11&amp;"'!B:R"),15,FALSE),"")</f>
        <v/>
      </c>
      <c r="EN15" s="96">
        <f>IFERROR(VLOOKUP($B15,INDIRECT("'GRD-"&amp;EN$11&amp;"'!B:R"),15,FALSE),"")</f>
        <v/>
      </c>
      <c r="EO15" s="96">
        <f>IFERROR(VLOOKUP($B15,INDIRECT("'GRD-"&amp;EO$11&amp;"'!B:R"),15,FALSE),"")</f>
        <v/>
      </c>
      <c r="EP15" s="96">
        <f>IFERROR(VLOOKUP($B15,INDIRECT("'GRD-"&amp;EP$11&amp;"'!B:R"),15,FALSE),"")</f>
        <v/>
      </c>
      <c r="EQ15" s="96">
        <f>IFERROR(VLOOKUP($B15,INDIRECT("'GRD-"&amp;EQ$11&amp;"'!B:R"),15,FALSE),"")</f>
        <v/>
      </c>
      <c r="ER15" s="96">
        <f>IFERROR(VLOOKUP($B15,INDIRECT("'GRD-"&amp;ER$11&amp;"'!B:R"),15,FALSE),"")</f>
        <v/>
      </c>
      <c r="ES15" s="96">
        <f>IFERROR(VLOOKUP($B15,INDIRECT("'GRD-"&amp;ES$11&amp;"'!B:R"),15,FALSE),"")</f>
        <v/>
      </c>
      <c r="ET15" s="96">
        <f>IFERROR(VLOOKUP($B15,INDIRECT("'GRD-"&amp;ET$11&amp;"'!B:R"),15,FALSE),"")</f>
        <v/>
      </c>
      <c r="EU15" s="96">
        <f>IFERROR(VLOOKUP($B15,INDIRECT("'GRD-"&amp;EU$11&amp;"'!B:R"),15,FALSE),"")</f>
        <v/>
      </c>
      <c r="EV15" s="96">
        <f>IFERROR(VLOOKUP($B15,INDIRECT("'GRD-"&amp;EV$11&amp;"'!B:R"),15,FALSE),"")</f>
        <v/>
      </c>
      <c r="EW15" s="96">
        <f>IFERROR(VLOOKUP($B15,INDIRECT("'GRD-"&amp;EW$11&amp;"'!B:R"),15,FALSE),"")</f>
        <v/>
      </c>
      <c r="EX15" s="96">
        <f>IFERROR(VLOOKUP($B15,INDIRECT("'GRD-"&amp;EX$11&amp;"'!B:R"),15,FALSE),"")</f>
        <v/>
      </c>
      <c r="EY15" s="96">
        <f>IFERROR(VLOOKUP($B15,INDIRECT("'GRD-"&amp;EY$11&amp;"'!B:R"),15,FALSE),"")</f>
        <v/>
      </c>
      <c r="EZ15" s="96">
        <f>IFERROR(VLOOKUP($B15,INDIRECT("'GRD-"&amp;EZ$11&amp;"'!B:R"),15,FALSE),"")</f>
        <v/>
      </c>
      <c r="FA15" s="96">
        <f>IFERROR(VLOOKUP($B15,INDIRECT("'GRD-"&amp;FA$11&amp;"'!B:R"),15,FALSE),"")</f>
        <v/>
      </c>
      <c r="FB15" s="96">
        <f>IFERROR(VLOOKUP($B15,INDIRECT("'GRD-"&amp;FB$11&amp;"'!B:R"),15,FALSE),"")</f>
        <v/>
      </c>
      <c r="FC15" s="96">
        <f>IFERROR(VLOOKUP($B15,INDIRECT("'GRD-"&amp;FC$11&amp;"'!B:R"),15,FALSE),"")</f>
        <v/>
      </c>
      <c r="FD15" s="96">
        <f>IFERROR(VLOOKUP($B15,INDIRECT("'GRD-"&amp;FD$11&amp;"'!B:R"),15,FALSE),"")</f>
        <v/>
      </c>
      <c r="FE15" s="96">
        <f>IFERROR(VLOOKUP($B15,INDIRECT("'GRD-"&amp;FE$11&amp;"'!B:R"),15,FALSE),"")</f>
        <v/>
      </c>
      <c r="FF15" s="96">
        <f>IFERROR(VLOOKUP($B15,INDIRECT("'GRD-"&amp;FF$11&amp;"'!B:R"),15,FALSE),"")</f>
        <v/>
      </c>
      <c r="FG15" s="96">
        <f>IFERROR(VLOOKUP($B15,INDIRECT("'GRD-"&amp;FG$11&amp;"'!B:R"),15,FALSE),"")</f>
        <v/>
      </c>
      <c r="FH15" s="96">
        <f>IFERROR(VLOOKUP($B15,INDIRECT("'GRD-"&amp;FH$11&amp;"'!B:R"),15,FALSE),"")</f>
        <v/>
      </c>
      <c r="FI15" s="96">
        <f>IFERROR(VLOOKUP($B15,INDIRECT("'GRD-"&amp;FI$11&amp;"'!B:R"),15,FALSE),"")</f>
        <v/>
      </c>
      <c r="FJ15" s="96">
        <f>IFERROR(VLOOKUP($B15,INDIRECT("'GRD-"&amp;FJ$11&amp;"'!B:R"),15,FALSE),"")</f>
        <v/>
      </c>
      <c r="FK15" s="96">
        <f>IFERROR(VLOOKUP($B15,INDIRECT("'GRD-"&amp;FK$11&amp;"'!B:R"),15,FALSE),"")</f>
        <v/>
      </c>
      <c r="FL15" s="96">
        <f>IFERROR(VLOOKUP($B15,INDIRECT("'GRD-"&amp;FL$11&amp;"'!B:R"),15,FALSE),"")</f>
        <v/>
      </c>
      <c r="FM15" s="96">
        <f>IFERROR(VLOOKUP($B15,INDIRECT("'GRD-"&amp;FM$11&amp;"'!B:R"),15,FALSE),"")</f>
        <v/>
      </c>
      <c r="FN15" s="96">
        <f>IFERROR(VLOOKUP($B15,INDIRECT("'GRD-"&amp;FN$11&amp;"'!B:R"),15,FALSE),"")</f>
        <v/>
      </c>
      <c r="FO15" s="96">
        <f>IFERROR(VLOOKUP($B15,INDIRECT("'GRD-"&amp;FO$11&amp;"'!B:R"),15,FALSE),"")</f>
        <v/>
      </c>
      <c r="FP15" s="96">
        <f>IFERROR(VLOOKUP($B15,INDIRECT("'GRD-"&amp;FP$11&amp;"'!B:R"),15,FALSE),"")</f>
        <v/>
      </c>
      <c r="FQ15" s="96">
        <f>IFERROR(VLOOKUP($B15,INDIRECT("'GRD-"&amp;FQ$11&amp;"'!B:R"),15,FALSE),"")</f>
        <v/>
      </c>
      <c r="FR15" s="96">
        <f>IFERROR(VLOOKUP($B15,INDIRECT("'GRD-"&amp;FR$11&amp;"'!B:R"),15,FALSE),"")</f>
        <v/>
      </c>
      <c r="FS15" s="96">
        <f>IFERROR(VLOOKUP($B15,INDIRECT("'GRD-"&amp;FS$11&amp;"'!B:R"),15,FALSE),"")</f>
        <v/>
      </c>
      <c r="FT15" s="96">
        <f>IFERROR(VLOOKUP($B15,INDIRECT("'GRD-"&amp;FT$11&amp;"'!B:R"),15,FALSE),"")</f>
        <v/>
      </c>
      <c r="FU15" s="96">
        <f>IFERROR(VLOOKUP($B15,INDIRECT("'GRD-"&amp;FU$11&amp;"'!B:R"),15,FALSE),"")</f>
        <v/>
      </c>
      <c r="FV15" s="96">
        <f>IFERROR(VLOOKUP($B15,INDIRECT("'GRD-"&amp;FV$11&amp;"'!B:R"),15,FALSE),"")</f>
        <v/>
      </c>
    </row>
    <row r="16" ht="12" customFormat="1" customHeight="1" s="66">
      <c r="A16" s="349" t="n"/>
      <c r="B16" s="68" t="inlineStr">
        <is>
          <t>...</t>
        </is>
      </c>
      <c r="C16" s="72" t="n"/>
      <c r="D16" s="73">
        <f>IF(K16="","",MAX($CA16:$FV16))</f>
        <v/>
      </c>
      <c r="E16" s="74">
        <f t="array" ref="E16">IF($K16="","",OFFSET($A$1,ROW($B16)-1,11+$D16*4,))</f>
        <v/>
      </c>
      <c r="F16" s="74">
        <f t="array" ref="F16">IF($K16="","",OFFSET($A$1,ROW($B16)-1,12+$D16*4,))</f>
        <v/>
      </c>
      <c r="G16" s="118">
        <f t="array" ref="G16">IF($K16="","",OFFSET($A$1,ROW($B16)-1,13+$D16*4,))</f>
        <v/>
      </c>
      <c r="H16" s="81" t="n"/>
      <c r="I16" s="82" t="n"/>
      <c r="J16" s="75">
        <f>IF(I16="A4",H16/8,IF(I16="A3",H16/4,IF(I16="A2",H16/2,IF(I16="A1",H16/1,IF(I16="A0",H16*2,"")))))</f>
        <v/>
      </c>
      <c r="K16" s="68">
        <f t="array" ref="K16">IFERROR(OFFSET($BZ$11,ROW($B16)-11,MATCH(K$10,$CA16:$FV16,0),),"")</f>
        <v/>
      </c>
      <c r="L16" s="68">
        <f>IF(K16="","",IF(VLOOKUP($B16,INDIRECT("'GRD-"&amp;M16&amp;"'!$B:$R"),16,FALSE)="","",VLOOKUP($B16,INDIRECT("'GRD-"&amp;M16&amp;"'!$B:$R"),16,FALSE)))</f>
        <v/>
      </c>
      <c r="M16" s="68">
        <f t="array" ref="M16">IF(K16="","",IFERROR(OFFSET($BZ$11,0,MATCH($K16,$CA16:$FV16,0),),""))</f>
        <v/>
      </c>
      <c r="N16" s="119">
        <f t="array" ref="N16">IF(K16="","",INDIRECT("'GRD-"&amp;M16&amp;"'!$L$7"))</f>
        <v/>
      </c>
      <c r="O16" s="76">
        <f t="array" ref="O16">IFERROR(OFFSET($BZ$11,ROW($B16)-11,MATCH(O$10,$CA16:$FV16,0),),"")</f>
        <v/>
      </c>
      <c r="P16" s="77">
        <f>IF(O16="","",IF(VLOOKUP($B16,INDIRECT("'GRD-"&amp;Q16&amp;"'!$B:$R"),16,FALSE)="","",VLOOKUP($B16,INDIRECT("'GRD-"&amp;Q16&amp;"'!$B:$R"),16,FALSE)))</f>
        <v/>
      </c>
      <c r="Q16" s="120">
        <f t="array" ref="Q16">IF(O16="","",IFERROR(OFFSET($BZ$11,0,MATCH($O16,$CA16:$FV16,0),),""))</f>
        <v/>
      </c>
      <c r="R16" s="121">
        <f t="array" ref="R16">IF(O16="","",INDIRECT("'GRD-"&amp;Q16&amp;"'!$L$7"))</f>
        <v/>
      </c>
      <c r="S16" s="83">
        <f t="array" ref="S16">IFERROR(OFFSET($BZ$11,ROW($B16)-11,MATCH(S$10,$CA16:$FV16,0),),"")</f>
        <v/>
      </c>
      <c r="T16" s="83">
        <f>IF(S16="","",IF(VLOOKUP($B16,INDIRECT("'GRD-"&amp;U16&amp;"'!$B:$R"),16,FALSE)="","",VLOOKUP($B16,INDIRECT("'GRD-"&amp;U16&amp;"'!$B:$R"),16,FALSE)))</f>
        <v/>
      </c>
      <c r="U16" s="128">
        <f t="array" ref="U16">IF(S16="","",IFERROR(OFFSET($BZ$11,0,MATCH($S16,$CA16:$FV16,0),),""))</f>
        <v/>
      </c>
      <c r="V16" s="123">
        <f t="array" ref="V16">IF(S16="","",INDIRECT("'GRD-"&amp;U16&amp;"'!$L$7"))</f>
        <v/>
      </c>
      <c r="W16" s="80">
        <f t="array" ref="W16">IFERROR(OFFSET($BZ$11,ROW($B16)-11,MATCH(W$10,$CA16:$FV16,0),),"")</f>
        <v/>
      </c>
      <c r="X16" s="84">
        <f>IF(W16="","",IF(VLOOKUP($B16,INDIRECT("'GRD-"&amp;Y16&amp;"'!$B:$R"),16,FALSE)="","",VLOOKUP($B16,INDIRECT("'GRD-"&amp;Y16&amp;"'!$B:$R"),16,FALSE)))</f>
        <v/>
      </c>
      <c r="Y16" s="129">
        <f t="array" ref="Y16">IF(W16="","",IFERROR(OFFSET($BZ$11,0,MATCH($W16,$CA16:$FV16,0),),""))</f>
        <v/>
      </c>
      <c r="Z16" s="125">
        <f t="array" ref="Z16">IF(W16="","",INDIRECT("'GRD-"&amp;Y16&amp;"'!$L$7"))</f>
        <v/>
      </c>
      <c r="AA16" s="68">
        <f t="array" ref="AA16">IFERROR(OFFSET($BZ$11,ROW($B16)-11,MATCH(AA$10,$CA16:$FV16,0),),"")</f>
        <v/>
      </c>
      <c r="AB16" s="85">
        <f>IF(AA16="","",IF(VLOOKUP($B16,INDIRECT("'GRD-"&amp;AC16&amp;"'!$B:$R"),16,FALSE)="","",VLOOKUP($B16,INDIRECT("'GRD-"&amp;AC16&amp;"'!$B:$R"),16,FALSE)))</f>
        <v/>
      </c>
      <c r="AC16" s="130">
        <f t="array" ref="AC16">IF(AA16="","",IFERROR(OFFSET($BZ$11,0,MATCH($AA16,$CA16:$FV16,0),),""))</f>
        <v/>
      </c>
      <c r="AD16" s="131">
        <f t="array" ref="AD16">IF(AA16="","",INDIRECT("'GRD-"&amp;AC16&amp;"'!$L$7"))</f>
        <v/>
      </c>
      <c r="AE16" s="76">
        <f t="array" ref="AE16">IFERROR(OFFSET($BZ$11,ROW($B16)-11,MATCH(AE$10,$CA16:$FV16,0),),"")</f>
        <v/>
      </c>
      <c r="AF16" s="76">
        <f>IF(AE16="","",IF(VLOOKUP($B16,INDIRECT("'GRD-"&amp;AG16&amp;"'!$B:$R"),16,FALSE)="","",VLOOKUP($B16,INDIRECT("'GRD-"&amp;AG16&amp;"'!$B:$R"),16,FALSE)))</f>
        <v/>
      </c>
      <c r="AG16" s="132">
        <f t="array" ref="AG16">IF(AE16="","",IFERROR(OFFSET($BZ$11,0,MATCH($AE16,$CA16:$FV16,0),),""))</f>
        <v/>
      </c>
      <c r="AH16" s="121">
        <f t="array" ref="AH16">IF(AE16="","",INDIRECT("'GRD-"&amp;AG16&amp;"'!$L$7"))</f>
        <v/>
      </c>
      <c r="AI16" s="83">
        <f t="array" ref="AI16">IFERROR(OFFSET($BZ$11,ROW($B16)-11,MATCH(AI$10,$CA16:$FV16,0),),"")</f>
        <v/>
      </c>
      <c r="AJ16" s="83">
        <f>IF(AI16="","",IF(VLOOKUP($B16,INDIRECT("'GRD-"&amp;AK16&amp;"'!$B:$R"),16,FALSE)="","",VLOOKUP($B16,INDIRECT("'GRD-"&amp;AK16&amp;"'!$B:$R"),16,FALSE)))</f>
        <v/>
      </c>
      <c r="AK16" s="128">
        <f t="array" ref="AK16">IF(AI16="","",IFERROR(OFFSET($BZ$11,0,MATCH($AI16,$CA16:$FV16,0),),""))</f>
        <v/>
      </c>
      <c r="AL16" s="123">
        <f t="array" ref="AL16">IF(AI16="","",INDIRECT("'GRD-"&amp;AK16&amp;"'!$L$7"))</f>
        <v/>
      </c>
      <c r="AM16" s="80">
        <f t="array" ref="AM16">IFERROR(OFFSET($BZ$11,ROW($B16)-11,MATCH(AM$10,$CA16:$FV16,0),),"")</f>
        <v/>
      </c>
      <c r="AN16" s="84">
        <f>IF(AM16="","",IF(VLOOKUP($B16,INDIRECT("'GRD-"&amp;AO16&amp;"'!$B:$R"),16,FALSE)="","",VLOOKUP($B16,INDIRECT("'GRD-"&amp;AO16&amp;"'!$B:$R"),16,FALSE)))</f>
        <v/>
      </c>
      <c r="AO16" s="129">
        <f t="array" ref="AO16">IF(AM16="","",IFERROR(OFFSET($BZ$11,0,MATCH($AM16,$CA16:$FV16,0),),""))</f>
        <v/>
      </c>
      <c r="AP16" s="125">
        <f t="array" ref="AP16">IF(AM16="","",INDIRECT("'GRD-"&amp;AO16&amp;"'!$L$7"))</f>
        <v/>
      </c>
      <c r="AQ16" s="68">
        <f t="array" ref="AQ16">IFERROR(OFFSET($BZ$11,ROW($B16)-11,MATCH(AQ$10,$CA16:$FV16,0),),"")</f>
        <v/>
      </c>
      <c r="AR16" s="85">
        <f>IF(AQ16="","",IF(VLOOKUP($B16,INDIRECT("'GRD-"&amp;AS16&amp;"'!$B:$R"),16,FALSE)="","",VLOOKUP($B16,INDIRECT("'GRD-"&amp;AS16&amp;"'!$B:$R"),16,FALSE)))</f>
        <v/>
      </c>
      <c r="AS16" s="130">
        <f t="array" ref="AS16">IF(AQ16="","",IFERROR(OFFSET($BZ$11,0,MATCH($AQ16,$CA16:$FV16,0),),""))</f>
        <v/>
      </c>
      <c r="AT16" s="131">
        <f t="array" ref="AT16">IF(AQ16="","",INDIRECT("'GRD-"&amp;AS16&amp;"'!$L$7"))</f>
        <v/>
      </c>
      <c r="AU16" s="76">
        <f t="array" ref="AU16">IFERROR(OFFSET($BZ$11,ROW($B16)-11,MATCH(AU$10,$CA16:$FV16,0),),"")</f>
        <v/>
      </c>
      <c r="AV16" s="76">
        <f>IF(AU16="","",IF(VLOOKUP($B16,INDIRECT("'GRD-"&amp;AW16&amp;"'!$B:$R"),16,FALSE)="","",VLOOKUP($B16,INDIRECT("'GRD-"&amp;AW16&amp;"'!$B:$R"),16,FALSE)))</f>
        <v/>
      </c>
      <c r="AW16" s="132">
        <f t="array" ref="AW16">IF(AU16="","",IFERROR(OFFSET($BZ$11,0,MATCH($AU16,$CA16:$FV16,0),),""))</f>
        <v/>
      </c>
      <c r="AX16" s="121">
        <f t="array" ref="AX16">IF(AU16="","",INDIRECT("'GRD-"&amp;AW16&amp;"'!$L$7"))</f>
        <v/>
      </c>
      <c r="AY16" s="83">
        <f t="array" ref="AY16">IFERROR(OFFSET($BZ$11,ROW($B16)-11,MATCH(AY$10,$CA16:$FV16,0),),"")</f>
        <v/>
      </c>
      <c r="AZ16" s="83">
        <f>IF(AY16="","",IF(VLOOKUP($B16,INDIRECT("'GRD-"&amp;BA16&amp;"'!$B:$R"),16,FALSE)="","",VLOOKUP($B16,INDIRECT("'GRD-"&amp;BA16&amp;"'!$B:$R"),16,FALSE)))</f>
        <v/>
      </c>
      <c r="BA16" s="128">
        <f t="array" ref="BA16">IF(AY16="","",IFERROR(OFFSET($BZ$11,0,MATCH($AY16,$CA16:$FV16,0),),""))</f>
        <v/>
      </c>
      <c r="BB16" s="123">
        <f t="array" ref="BB16">IF(AY16="","",INDIRECT("'GRD-"&amp;BA16&amp;"'!$L$7"))</f>
        <v/>
      </c>
      <c r="BC16" s="80">
        <f t="array" ref="BC16">IFERROR(OFFSET($BZ$11,ROW($B16)-11,MATCH(BC$10,$CA16:$FV16,0),),"")</f>
        <v/>
      </c>
      <c r="BD16" s="84">
        <f>IF(BC16="","",IF(VLOOKUP($B16,INDIRECT("'GRD-"&amp;BE16&amp;"'!$B:$R"),16,FALSE)="","",VLOOKUP($B16,INDIRECT("'GRD-"&amp;BE16&amp;"'!$B:$R"),16,FALSE)))</f>
        <v/>
      </c>
      <c r="BE16" s="129">
        <f t="array" ref="BE16">IF(BC16="","",IFERROR(OFFSET($BZ$11,0,MATCH($BC16,$CA16:$FV16,0),),""))</f>
        <v/>
      </c>
      <c r="BF16" s="125">
        <f t="array" ref="BF16">IF(BC16="","",INDIRECT("'GRD-"&amp;BE16&amp;"'!$L$7"))</f>
        <v/>
      </c>
      <c r="BZ16" s="67" t="n"/>
      <c r="CA16" s="96">
        <f>IFERROR(VLOOKUP($B16,INDIRECT("'GRD-"&amp;CA$11&amp;"'!B:R"),15,FALSE),"")</f>
        <v/>
      </c>
      <c r="CB16" s="96">
        <f>IFERROR(VLOOKUP($B16,INDIRECT("'GRD-"&amp;CB$11&amp;"'!B:R"),15,FALSE),"")</f>
        <v/>
      </c>
      <c r="CC16" s="96">
        <f>IFERROR(VLOOKUP($B16,INDIRECT("'GRD-"&amp;CC$11&amp;"'!B:R"),15,FALSE),"")</f>
        <v/>
      </c>
      <c r="CD16" s="96">
        <f>IFERROR(VLOOKUP($B16,INDIRECT("'GRD-"&amp;CD$11&amp;"'!B:R"),15,FALSE),"")</f>
        <v/>
      </c>
      <c r="CE16" s="96">
        <f>IFERROR(VLOOKUP($B16,INDIRECT("'GRD-"&amp;CE$11&amp;"'!B:R"),15,FALSE),"")</f>
        <v/>
      </c>
      <c r="CF16" s="96">
        <f>IFERROR(VLOOKUP($B16,INDIRECT("'GRD-"&amp;CF$11&amp;"'!B:R"),15,FALSE),"")</f>
        <v/>
      </c>
      <c r="CG16" s="96">
        <f>IFERROR(VLOOKUP($B16,INDIRECT("'GRD-"&amp;CG$11&amp;"'!B:R"),15,FALSE),"")</f>
        <v/>
      </c>
      <c r="CH16" s="96">
        <f>IFERROR(VLOOKUP($B16,INDIRECT("'GRD-"&amp;CH$11&amp;"'!B:R"),15,FALSE),"")</f>
        <v/>
      </c>
      <c r="CI16" s="96">
        <f>IFERROR(VLOOKUP($B16,INDIRECT("'GRD-"&amp;CI$11&amp;"'!B:R"),15,FALSE),"")</f>
        <v/>
      </c>
      <c r="CJ16" s="96">
        <f>IFERROR(VLOOKUP($B16,INDIRECT("'GRD-"&amp;CJ$11&amp;"'!B:R"),15,FALSE),"")</f>
        <v/>
      </c>
      <c r="CK16" s="96">
        <f>IFERROR(VLOOKUP($B16,INDIRECT("'GRD-"&amp;CK$11&amp;"'!B:R"),15,FALSE),"")</f>
        <v/>
      </c>
      <c r="CL16" s="96">
        <f>IFERROR(VLOOKUP($B16,INDIRECT("'GRD-"&amp;CL$11&amp;"'!B:R"),15,FALSE),"")</f>
        <v/>
      </c>
      <c r="CM16" s="96">
        <f>IFERROR(VLOOKUP($B16,INDIRECT("'GRD-"&amp;CM$11&amp;"'!B:R"),15,FALSE),"")</f>
        <v/>
      </c>
      <c r="CN16" s="96">
        <f>IFERROR(VLOOKUP($B16,INDIRECT("'GRD-"&amp;CN$11&amp;"'!B:R"),15,FALSE),"")</f>
        <v/>
      </c>
      <c r="CO16" s="96">
        <f>IFERROR(VLOOKUP($B16,INDIRECT("'GRD-"&amp;CO$11&amp;"'!B:R"),15,FALSE),"")</f>
        <v/>
      </c>
      <c r="CP16" s="96">
        <f>IFERROR(VLOOKUP($B16,INDIRECT("'GRD-"&amp;CP$11&amp;"'!B:R"),15,FALSE),"")</f>
        <v/>
      </c>
      <c r="CQ16" s="96">
        <f>IFERROR(VLOOKUP($B16,INDIRECT("'GRD-"&amp;CQ$11&amp;"'!B:R"),15,FALSE),"")</f>
        <v/>
      </c>
      <c r="CR16" s="96">
        <f>IFERROR(VLOOKUP($B16,INDIRECT("'GRD-"&amp;CR$11&amp;"'!B:R"),15,FALSE),"")</f>
        <v/>
      </c>
      <c r="CS16" s="96">
        <f>IFERROR(VLOOKUP($B16,INDIRECT("'GRD-"&amp;CS$11&amp;"'!B:R"),15,FALSE),"")</f>
        <v/>
      </c>
      <c r="CT16" s="96">
        <f>IFERROR(VLOOKUP($B16,INDIRECT("'GRD-"&amp;CT$11&amp;"'!B:R"),15,FALSE),"")</f>
        <v/>
      </c>
      <c r="CU16" s="96">
        <f>IFERROR(VLOOKUP($B16,INDIRECT("'GRD-"&amp;CU$11&amp;"'!B:R"),15,FALSE),"")</f>
        <v/>
      </c>
      <c r="CV16" s="96">
        <f>IFERROR(VLOOKUP($B16,INDIRECT("'GRD-"&amp;CV$11&amp;"'!B:R"),15,FALSE),"")</f>
        <v/>
      </c>
      <c r="CW16" s="96">
        <f>IFERROR(VLOOKUP($B16,INDIRECT("'GRD-"&amp;CW$11&amp;"'!B:R"),15,FALSE),"")</f>
        <v/>
      </c>
      <c r="CX16" s="96">
        <f>IFERROR(VLOOKUP($B16,INDIRECT("'GRD-"&amp;CX$11&amp;"'!B:R"),15,FALSE),"")</f>
        <v/>
      </c>
      <c r="CY16" s="96">
        <f>IFERROR(VLOOKUP($B16,INDIRECT("'GRD-"&amp;CY$11&amp;"'!B:R"),15,FALSE),"")</f>
        <v/>
      </c>
      <c r="CZ16" s="96">
        <f>IFERROR(VLOOKUP($B16,INDIRECT("'GRD-"&amp;CZ$11&amp;"'!B:R"),15,FALSE),"")</f>
        <v/>
      </c>
      <c r="DA16" s="96">
        <f>IFERROR(VLOOKUP($B16,INDIRECT("'GRD-"&amp;DA$11&amp;"'!B:R"),15,FALSE),"")</f>
        <v/>
      </c>
      <c r="DB16" s="96">
        <f>IFERROR(VLOOKUP($B16,INDIRECT("'GRD-"&amp;DB$11&amp;"'!B:R"),15,FALSE),"")</f>
        <v/>
      </c>
      <c r="DC16" s="96">
        <f>IFERROR(VLOOKUP($B16,INDIRECT("'GRD-"&amp;DC$11&amp;"'!B:R"),15,FALSE),"")</f>
        <v/>
      </c>
      <c r="DD16" s="96">
        <f>IFERROR(VLOOKUP($B16,INDIRECT("'GRD-"&amp;DD$11&amp;"'!B:R"),15,FALSE),"")</f>
        <v/>
      </c>
      <c r="DE16" s="96">
        <f>IFERROR(VLOOKUP($B16,INDIRECT("'GRD-"&amp;DE$11&amp;"'!B:R"),15,FALSE),"")</f>
        <v/>
      </c>
      <c r="DF16" s="96">
        <f>IFERROR(VLOOKUP($B16,INDIRECT("'GRD-"&amp;DF$11&amp;"'!B:R"),15,FALSE),"")</f>
        <v/>
      </c>
      <c r="DG16" s="96">
        <f>IFERROR(VLOOKUP($B16,INDIRECT("'GRD-"&amp;DG$11&amp;"'!B:R"),15,FALSE),"")</f>
        <v/>
      </c>
      <c r="DH16" s="96">
        <f>IFERROR(VLOOKUP($B16,INDIRECT("'GRD-"&amp;DH$11&amp;"'!B:R"),15,FALSE),"")</f>
        <v/>
      </c>
      <c r="DI16" s="96">
        <f>IFERROR(VLOOKUP($B16,INDIRECT("'GRD-"&amp;DI$11&amp;"'!B:R"),15,FALSE),"")</f>
        <v/>
      </c>
      <c r="DJ16" s="96">
        <f>IFERROR(VLOOKUP($B16,INDIRECT("'GRD-"&amp;DJ$11&amp;"'!B:R"),15,FALSE),"")</f>
        <v/>
      </c>
      <c r="DK16" s="96">
        <f>IFERROR(VLOOKUP($B16,INDIRECT("'GRD-"&amp;DK$11&amp;"'!B:R"),15,FALSE),"")</f>
        <v/>
      </c>
      <c r="DL16" s="96">
        <f>IFERROR(VLOOKUP($B16,INDIRECT("'GRD-"&amp;DL$11&amp;"'!B:R"),15,FALSE),"")</f>
        <v/>
      </c>
      <c r="DM16" s="96">
        <f>IFERROR(VLOOKUP($B16,INDIRECT("'GRD-"&amp;DM$11&amp;"'!B:R"),15,FALSE),"")</f>
        <v/>
      </c>
      <c r="DN16" s="96">
        <f>IFERROR(VLOOKUP($B16,INDIRECT("'GRD-"&amp;DN$11&amp;"'!B:R"),15,FALSE),"")</f>
        <v/>
      </c>
      <c r="DO16" s="96">
        <f>IFERROR(VLOOKUP($B16,INDIRECT("'GRD-"&amp;DO$11&amp;"'!B:R"),15,FALSE),"")</f>
        <v/>
      </c>
      <c r="DP16" s="96">
        <f>IFERROR(VLOOKUP($B16,INDIRECT("'GRD-"&amp;DP$11&amp;"'!B:R"),15,FALSE),"")</f>
        <v/>
      </c>
      <c r="DQ16" s="96">
        <f>IFERROR(VLOOKUP($B16,INDIRECT("'GRD-"&amp;DQ$11&amp;"'!B:R"),15,FALSE),"")</f>
        <v/>
      </c>
      <c r="DR16" s="96">
        <f>IFERROR(VLOOKUP($B16,INDIRECT("'GRD-"&amp;DR$11&amp;"'!B:R"),15,FALSE),"")</f>
        <v/>
      </c>
      <c r="DS16" s="96">
        <f>IFERROR(VLOOKUP($B16,INDIRECT("'GRD-"&amp;DS$11&amp;"'!B:R"),15,FALSE),"")</f>
        <v/>
      </c>
      <c r="DT16" s="96">
        <f>IFERROR(VLOOKUP($B16,INDIRECT("'GRD-"&amp;DT$11&amp;"'!B:R"),15,FALSE),"")</f>
        <v/>
      </c>
      <c r="DU16" s="96">
        <f>IFERROR(VLOOKUP($B16,INDIRECT("'GRD-"&amp;DU$11&amp;"'!B:R"),15,FALSE),"")</f>
        <v/>
      </c>
      <c r="DV16" s="96">
        <f>IFERROR(VLOOKUP($B16,INDIRECT("'GRD-"&amp;DV$11&amp;"'!B:R"),15,FALSE),"")</f>
        <v/>
      </c>
      <c r="DW16" s="96">
        <f>IFERROR(VLOOKUP($B16,INDIRECT("'GRD-"&amp;DW$11&amp;"'!B:R"),15,FALSE),"")</f>
        <v/>
      </c>
      <c r="DX16" s="96">
        <f>IFERROR(VLOOKUP($B16,INDIRECT("'GRD-"&amp;DX$11&amp;"'!B:R"),15,FALSE),"")</f>
        <v/>
      </c>
      <c r="DY16" s="96">
        <f>IFERROR(VLOOKUP($B16,INDIRECT("'GRD-"&amp;DY$11&amp;"'!B:R"),15,FALSE),"")</f>
        <v/>
      </c>
      <c r="DZ16" s="96">
        <f>IFERROR(VLOOKUP($B16,INDIRECT("'GRD-"&amp;DZ$11&amp;"'!B:R"),15,FALSE),"")</f>
        <v/>
      </c>
      <c r="EA16" s="96">
        <f>IFERROR(VLOOKUP($B16,INDIRECT("'GRD-"&amp;EA$11&amp;"'!B:R"),15,FALSE),"")</f>
        <v/>
      </c>
      <c r="EB16" s="96">
        <f>IFERROR(VLOOKUP($B16,INDIRECT("'GRD-"&amp;EB$11&amp;"'!B:R"),15,FALSE),"")</f>
        <v/>
      </c>
      <c r="EC16" s="96">
        <f>IFERROR(VLOOKUP($B16,INDIRECT("'GRD-"&amp;EC$11&amp;"'!B:R"),15,FALSE),"")</f>
        <v/>
      </c>
      <c r="ED16" s="96">
        <f>IFERROR(VLOOKUP($B16,INDIRECT("'GRD-"&amp;ED$11&amp;"'!B:R"),15,FALSE),"")</f>
        <v/>
      </c>
      <c r="EE16" s="96">
        <f>IFERROR(VLOOKUP($B16,INDIRECT("'GRD-"&amp;EE$11&amp;"'!B:R"),15,FALSE),"")</f>
        <v/>
      </c>
      <c r="EF16" s="96">
        <f>IFERROR(VLOOKUP($B16,INDIRECT("'GRD-"&amp;EF$11&amp;"'!B:R"),15,FALSE),"")</f>
        <v/>
      </c>
      <c r="EG16" s="96">
        <f>IFERROR(VLOOKUP($B16,INDIRECT("'GRD-"&amp;EG$11&amp;"'!B:R"),15,FALSE),"")</f>
        <v/>
      </c>
      <c r="EH16" s="96">
        <f>IFERROR(VLOOKUP($B16,INDIRECT("'GRD-"&amp;EH$11&amp;"'!B:R"),15,FALSE),"")</f>
        <v/>
      </c>
      <c r="EI16" s="96">
        <f>IFERROR(VLOOKUP($B16,INDIRECT("'GRD-"&amp;EI$11&amp;"'!B:R"),15,FALSE),"")</f>
        <v/>
      </c>
      <c r="EJ16" s="96">
        <f>IFERROR(VLOOKUP($B16,INDIRECT("'GRD-"&amp;EJ$11&amp;"'!B:R"),15,FALSE),"")</f>
        <v/>
      </c>
      <c r="EK16" s="96">
        <f>IFERROR(VLOOKUP($B16,INDIRECT("'GRD-"&amp;EK$11&amp;"'!B:R"),15,FALSE),"")</f>
        <v/>
      </c>
      <c r="EL16" s="96">
        <f>IFERROR(VLOOKUP($B16,INDIRECT("'GRD-"&amp;EL$11&amp;"'!B:R"),15,FALSE),"")</f>
        <v/>
      </c>
      <c r="EM16" s="96">
        <f>IFERROR(VLOOKUP($B16,INDIRECT("'GRD-"&amp;EM$11&amp;"'!B:R"),15,FALSE),"")</f>
        <v/>
      </c>
      <c r="EN16" s="96">
        <f>IFERROR(VLOOKUP($B16,INDIRECT("'GRD-"&amp;EN$11&amp;"'!B:R"),15,FALSE),"")</f>
        <v/>
      </c>
      <c r="EO16" s="96">
        <f>IFERROR(VLOOKUP($B16,INDIRECT("'GRD-"&amp;EO$11&amp;"'!B:R"),15,FALSE),"")</f>
        <v/>
      </c>
      <c r="EP16" s="96">
        <f>IFERROR(VLOOKUP($B16,INDIRECT("'GRD-"&amp;EP$11&amp;"'!B:R"),15,FALSE),"")</f>
        <v/>
      </c>
      <c r="EQ16" s="96">
        <f>IFERROR(VLOOKUP($B16,INDIRECT("'GRD-"&amp;EQ$11&amp;"'!B:R"),15,FALSE),"")</f>
        <v/>
      </c>
      <c r="ER16" s="96">
        <f>IFERROR(VLOOKUP($B16,INDIRECT("'GRD-"&amp;ER$11&amp;"'!B:R"),15,FALSE),"")</f>
        <v/>
      </c>
      <c r="ES16" s="96">
        <f>IFERROR(VLOOKUP($B16,INDIRECT("'GRD-"&amp;ES$11&amp;"'!B:R"),15,FALSE),"")</f>
        <v/>
      </c>
      <c r="ET16" s="96">
        <f>IFERROR(VLOOKUP($B16,INDIRECT("'GRD-"&amp;ET$11&amp;"'!B:R"),15,FALSE),"")</f>
        <v/>
      </c>
      <c r="EU16" s="96">
        <f>IFERROR(VLOOKUP($B16,INDIRECT("'GRD-"&amp;EU$11&amp;"'!B:R"),15,FALSE),"")</f>
        <v/>
      </c>
      <c r="EV16" s="96">
        <f>IFERROR(VLOOKUP($B16,INDIRECT("'GRD-"&amp;EV$11&amp;"'!B:R"),15,FALSE),"")</f>
        <v/>
      </c>
      <c r="EW16" s="96">
        <f>IFERROR(VLOOKUP($B16,INDIRECT("'GRD-"&amp;EW$11&amp;"'!B:R"),15,FALSE),"")</f>
        <v/>
      </c>
      <c r="EX16" s="96">
        <f>IFERROR(VLOOKUP($B16,INDIRECT("'GRD-"&amp;EX$11&amp;"'!B:R"),15,FALSE),"")</f>
        <v/>
      </c>
      <c r="EY16" s="96">
        <f>IFERROR(VLOOKUP($B16,INDIRECT("'GRD-"&amp;EY$11&amp;"'!B:R"),15,FALSE),"")</f>
        <v/>
      </c>
      <c r="EZ16" s="96">
        <f>IFERROR(VLOOKUP($B16,INDIRECT("'GRD-"&amp;EZ$11&amp;"'!B:R"),15,FALSE),"")</f>
        <v/>
      </c>
      <c r="FA16" s="96">
        <f>IFERROR(VLOOKUP($B16,INDIRECT("'GRD-"&amp;FA$11&amp;"'!B:R"),15,FALSE),"")</f>
        <v/>
      </c>
      <c r="FB16" s="96">
        <f>IFERROR(VLOOKUP($B16,INDIRECT("'GRD-"&amp;FB$11&amp;"'!B:R"),15,FALSE),"")</f>
        <v/>
      </c>
      <c r="FC16" s="96">
        <f>IFERROR(VLOOKUP($B16,INDIRECT("'GRD-"&amp;FC$11&amp;"'!B:R"),15,FALSE),"")</f>
        <v/>
      </c>
      <c r="FD16" s="96">
        <f>IFERROR(VLOOKUP($B16,INDIRECT("'GRD-"&amp;FD$11&amp;"'!B:R"),15,FALSE),"")</f>
        <v/>
      </c>
      <c r="FE16" s="96">
        <f>IFERROR(VLOOKUP($B16,INDIRECT("'GRD-"&amp;FE$11&amp;"'!B:R"),15,FALSE),"")</f>
        <v/>
      </c>
      <c r="FF16" s="96">
        <f>IFERROR(VLOOKUP($B16,INDIRECT("'GRD-"&amp;FF$11&amp;"'!B:R"),15,FALSE),"")</f>
        <v/>
      </c>
      <c r="FG16" s="96">
        <f>IFERROR(VLOOKUP($B16,INDIRECT("'GRD-"&amp;FG$11&amp;"'!B:R"),15,FALSE),"")</f>
        <v/>
      </c>
      <c r="FH16" s="96">
        <f>IFERROR(VLOOKUP($B16,INDIRECT("'GRD-"&amp;FH$11&amp;"'!B:R"),15,FALSE),"")</f>
        <v/>
      </c>
      <c r="FI16" s="96">
        <f>IFERROR(VLOOKUP($B16,INDIRECT("'GRD-"&amp;FI$11&amp;"'!B:R"),15,FALSE),"")</f>
        <v/>
      </c>
      <c r="FJ16" s="96">
        <f>IFERROR(VLOOKUP($B16,INDIRECT("'GRD-"&amp;FJ$11&amp;"'!B:R"),15,FALSE),"")</f>
        <v/>
      </c>
      <c r="FK16" s="96">
        <f>IFERROR(VLOOKUP($B16,INDIRECT("'GRD-"&amp;FK$11&amp;"'!B:R"),15,FALSE),"")</f>
        <v/>
      </c>
      <c r="FL16" s="96">
        <f>IFERROR(VLOOKUP($B16,INDIRECT("'GRD-"&amp;FL$11&amp;"'!B:R"),15,FALSE),"")</f>
        <v/>
      </c>
      <c r="FM16" s="96">
        <f>IFERROR(VLOOKUP($B16,INDIRECT("'GRD-"&amp;FM$11&amp;"'!B:R"),15,FALSE),"")</f>
        <v/>
      </c>
      <c r="FN16" s="96">
        <f>IFERROR(VLOOKUP($B16,INDIRECT("'GRD-"&amp;FN$11&amp;"'!B:R"),15,FALSE),"")</f>
        <v/>
      </c>
      <c r="FO16" s="96">
        <f>IFERROR(VLOOKUP($B16,INDIRECT("'GRD-"&amp;FO$11&amp;"'!B:R"),15,FALSE),"")</f>
        <v/>
      </c>
      <c r="FP16" s="96">
        <f>IFERROR(VLOOKUP($B16,INDIRECT("'GRD-"&amp;FP$11&amp;"'!B:R"),15,FALSE),"")</f>
        <v/>
      </c>
      <c r="FQ16" s="96">
        <f>IFERROR(VLOOKUP($B16,INDIRECT("'GRD-"&amp;FQ$11&amp;"'!B:R"),15,FALSE),"")</f>
        <v/>
      </c>
      <c r="FR16" s="96">
        <f>IFERROR(VLOOKUP($B16,INDIRECT("'GRD-"&amp;FR$11&amp;"'!B:R"),15,FALSE),"")</f>
        <v/>
      </c>
      <c r="FS16" s="96">
        <f>IFERROR(VLOOKUP($B16,INDIRECT("'GRD-"&amp;FS$11&amp;"'!B:R"),15,FALSE),"")</f>
        <v/>
      </c>
      <c r="FT16" s="96">
        <f>IFERROR(VLOOKUP($B16,INDIRECT("'GRD-"&amp;FT$11&amp;"'!B:R"),15,FALSE),"")</f>
        <v/>
      </c>
      <c r="FU16" s="96">
        <f>IFERROR(VLOOKUP($B16,INDIRECT("'GRD-"&amp;FU$11&amp;"'!B:R"),15,FALSE),"")</f>
        <v/>
      </c>
      <c r="FV16" s="96">
        <f>IFERROR(VLOOKUP($B16,INDIRECT("'GRD-"&amp;FV$11&amp;"'!B:R"),15,FALSE),"")</f>
        <v/>
      </c>
    </row>
    <row r="17">
      <c r="B17" s="68" t="inlineStr">
        <is>
          <t>IFS-9999-001-X-DC-00001</t>
        </is>
      </c>
      <c r="C17" s="72" t="inlineStr">
        <is>
          <t>Titulo Primeiro Doc</t>
        </is>
      </c>
      <c r="D17" s="73">
        <f>IF(K17="","",MAX($CA17:$FV17))</f>
        <v/>
      </c>
      <c r="E17" s="74">
        <f t="array" ref="E17">IF($K17="","",OFFSET($A$1,ROW($B17)-1,11+$D17*4,))</f>
        <v/>
      </c>
      <c r="F17" s="74">
        <f t="array" ref="F17">IF($K17="","",OFFSET($A$1,ROW($B17)-1,12+$D17*4,))</f>
        <v/>
      </c>
      <c r="G17" s="118">
        <f t="array" ref="G17">IF($K17="","",OFFSET($A$1,ROW($B17)-1,13+$D17*4,))</f>
        <v/>
      </c>
      <c r="H17" s="81" t="n"/>
      <c r="I17" s="82" t="n"/>
      <c r="J17" s="75">
        <f>IF(I17="A4",H17/8,IF(I17="A3",H17/4,IF(I17="A2",H17/2,IF(I17="A1",H17/1,IF(I17="A0",H17*2,"")))))</f>
        <v/>
      </c>
      <c r="K17" s="68">
        <f t="array" ref="K17">IFERROR(OFFSET($BZ$11,ROW($B17)-11,MATCH(K$10,$CA17:$FV17,0),),"")</f>
        <v/>
      </c>
      <c r="L17" s="68">
        <f>IF(K17="","",IF(VLOOKUP($B17,INDIRECT("'GRD-"&amp;M17&amp;"'!$B:$R"),16,FALSE)="","",VLOOKUP($B17,INDIRECT("'GRD-"&amp;M17&amp;"'!$B:$R"),16,FALSE)))</f>
        <v/>
      </c>
      <c r="M17" s="68">
        <f t="array" ref="M17">IF(K17="","",IFERROR(OFFSET($BZ$11,0,MATCH($K17,$CA17:$FV17,0),),""))</f>
        <v/>
      </c>
      <c r="N17" s="119">
        <f t="array" ref="N17">IF(K17="","",INDIRECT("'GRD-"&amp;M17&amp;"'!$L$7"))</f>
        <v/>
      </c>
      <c r="O17" s="76">
        <f t="array" ref="O17">IFERROR(OFFSET($BZ$11,ROW($B17)-11,MATCH(O$10,$CA17:$FV17,0),),"")</f>
        <v/>
      </c>
      <c r="P17" s="77">
        <f>IF(O17="","",IF(VLOOKUP($B17,INDIRECT("'GRD-"&amp;Q17&amp;"'!$B:$R"),16,FALSE)="","",VLOOKUP($B17,INDIRECT("'GRD-"&amp;Q17&amp;"'!$B:$R"),16,FALSE)))</f>
        <v/>
      </c>
      <c r="Q17" s="120">
        <f t="array" ref="Q17">IF(O17="","",IFERROR(OFFSET($BZ$11,0,MATCH($O17,$CA17:$FV17,0),),""))</f>
        <v/>
      </c>
      <c r="R17" s="121">
        <f t="array" ref="R17">IF(O17="","",INDIRECT("'GRD-"&amp;Q17&amp;"'!$L$7"))</f>
        <v/>
      </c>
      <c r="S17" s="83">
        <f t="array" ref="S17">IFERROR(OFFSET($BZ$11,ROW($B17)-11,MATCH(S$10,$CA17:$FV17,0),),"")</f>
        <v/>
      </c>
      <c r="T17" s="83">
        <f>IF(S17="","",IF(VLOOKUP($B17,INDIRECT("'GRD-"&amp;U17&amp;"'!$B:$R"),16,FALSE)="","",VLOOKUP($B17,INDIRECT("'GRD-"&amp;U17&amp;"'!$B:$R"),16,FALSE)))</f>
        <v/>
      </c>
      <c r="U17" s="128">
        <f t="array" ref="U17">IF(S17="","",IFERROR(OFFSET($BZ$11,0,MATCH($S17,$CA17:$FV17,0),),""))</f>
        <v/>
      </c>
      <c r="V17" s="133">
        <f t="array" ref="V17">IF(S17="","",INDIRECT("'GRD-"&amp;U17&amp;"'!$L$7"))</f>
        <v/>
      </c>
      <c r="W17" s="84">
        <f t="array" ref="W17">IFERROR(OFFSET($BZ$11,ROW($B17)-11,MATCH(W$10,$CA17:$FV17,0),),"")</f>
        <v/>
      </c>
      <c r="X17" s="84">
        <f>IF(W17="","",IF(VLOOKUP($B17,INDIRECT("'GRD-"&amp;Y17&amp;"'!$B:$R"),16,FALSE)="","",VLOOKUP($B17,INDIRECT("'GRD-"&amp;Y17&amp;"'!$B:$R"),16,FALSE)))</f>
        <v/>
      </c>
      <c r="Y17" s="129">
        <f t="array" ref="Y17">IF(W17="","",IFERROR(OFFSET($BZ$11,0,MATCH($W17,$CA17:$FV17,0),),""))</f>
        <v/>
      </c>
      <c r="Z17" s="125">
        <f t="array" ref="Z17">IF(W17="","",INDIRECT("'GRD-"&amp;Y17&amp;"'!$L$7"))</f>
        <v/>
      </c>
      <c r="AA17" s="68">
        <f t="array" ref="AA17">IFERROR(OFFSET($BZ$11,ROW($B17)-11,MATCH(AA$10,$CA17:$FV17,0),),"")</f>
        <v/>
      </c>
      <c r="AB17" s="85">
        <f>IF(AA17="","",IF(VLOOKUP($B17,INDIRECT("'GRD-"&amp;AC17&amp;"'!$B:$R"),16,FALSE)="","",VLOOKUP($B17,INDIRECT("'GRD-"&amp;AC17&amp;"'!$B:$R"),16,FALSE)))</f>
        <v/>
      </c>
      <c r="AC17" s="130">
        <f t="array" ref="AC17">IF(AA17="","",IFERROR(OFFSET($BZ$11,0,MATCH($AA17,$CA17:$FV17,0),),""))</f>
        <v/>
      </c>
      <c r="AD17" s="131">
        <f t="array" ref="AD17">IF(AA17="","",INDIRECT("'GRD-"&amp;AC17&amp;"'!$L$7"))</f>
        <v/>
      </c>
      <c r="AE17" s="76">
        <f t="array" ref="AE17">IFERROR(OFFSET($BZ$11,ROW($B17)-11,MATCH(AE$10,$CA17:$FV17,0),),"")</f>
        <v/>
      </c>
      <c r="AF17" s="76">
        <f>IF(AE17="","",IF(VLOOKUP($B17,INDIRECT("'GRD-"&amp;AG17&amp;"'!$B:$R"),16,FALSE)="","",VLOOKUP($B17,INDIRECT("'GRD-"&amp;AG17&amp;"'!$B:$R"),16,FALSE)))</f>
        <v/>
      </c>
      <c r="AG17" s="132">
        <f t="array" ref="AG17">IF(AE17="","",IFERROR(OFFSET($BZ$11,0,MATCH($AE17,$CA17:$FV17,0),),""))</f>
        <v/>
      </c>
      <c r="AH17" s="121">
        <f t="array" ref="AH17">IF(AE17="","",INDIRECT("'GRD-"&amp;AG17&amp;"'!$L$7"))</f>
        <v/>
      </c>
      <c r="AI17" s="83">
        <f t="array" ref="AI17">IFERROR(OFFSET($BZ$11,ROW($B17)-11,MATCH(AI$10,$CA17:$FV17,0),),"")</f>
        <v/>
      </c>
      <c r="AJ17" s="83">
        <f>IF(AI17="","",IF(VLOOKUP($B17,INDIRECT("'GRD-"&amp;AK17&amp;"'!$B:$R"),16,FALSE)="","",VLOOKUP($B17,INDIRECT("'GRD-"&amp;AK17&amp;"'!$B:$R"),16,FALSE)))</f>
        <v/>
      </c>
      <c r="AK17" s="128">
        <f t="array" ref="AK17">IF(AI17="","",IFERROR(OFFSET($BZ$11,0,MATCH($AI17,$CA17:$FV17,0),),""))</f>
        <v/>
      </c>
      <c r="AL17" s="123">
        <f t="array" ref="AL17">IF(AI17="","",INDIRECT("'GRD-"&amp;AK17&amp;"'!$L$7"))</f>
        <v/>
      </c>
      <c r="AM17" s="80">
        <f t="array" ref="AM17">IFERROR(OFFSET($BZ$11,ROW($B17)-11,MATCH(AM$10,$CA17:$FV17,0),),"")</f>
        <v/>
      </c>
      <c r="AN17" s="84">
        <f>IF(AM17="","",IF(VLOOKUP($B17,INDIRECT("'GRD-"&amp;AO17&amp;"'!$B:$R"),16,FALSE)="","",VLOOKUP($B17,INDIRECT("'GRD-"&amp;AO17&amp;"'!$B:$R"),16,FALSE)))</f>
        <v/>
      </c>
      <c r="AO17" s="129">
        <f t="array" ref="AO17">IF(AM17="","",IFERROR(OFFSET($BZ$11,0,MATCH($AM17,$CA17:$FV17,0),),""))</f>
        <v/>
      </c>
      <c r="AP17" s="125">
        <f t="array" ref="AP17">IF(AM17="","",INDIRECT("'GRD-"&amp;AO17&amp;"'!$L$7"))</f>
        <v/>
      </c>
      <c r="AQ17" s="68">
        <f t="array" ref="AQ17">IFERROR(OFFSET($BZ$11,ROW($B17)-11,MATCH(AQ$10,$CA17:$FV17,0),),"")</f>
        <v/>
      </c>
      <c r="AR17" s="85">
        <f>IF(AQ17="","",IF(VLOOKUP($B17,INDIRECT("'GRD-"&amp;AS17&amp;"'!$B:$R"),16,FALSE)="","",VLOOKUP($B17,INDIRECT("'GRD-"&amp;AS17&amp;"'!$B:$R"),16,FALSE)))</f>
        <v/>
      </c>
      <c r="AS17" s="130">
        <f t="array" ref="AS17">IF(AQ17="","",IFERROR(OFFSET($BZ$11,0,MATCH($AQ17,$CA17:$FV17,0),),""))</f>
        <v/>
      </c>
      <c r="AT17" s="131">
        <f t="array" ref="AT17">IF(AQ17="","",INDIRECT("'GRD-"&amp;AS17&amp;"'!$L$7"))</f>
        <v/>
      </c>
      <c r="AU17" s="76">
        <f t="array" ref="AU17">IFERROR(OFFSET($BZ$11,ROW($B17)-11,MATCH(AU$10,$CA17:$FV17,0),),"")</f>
        <v/>
      </c>
      <c r="AV17" s="76">
        <f>IF(AU17="","",IF(VLOOKUP($B17,INDIRECT("'GRD-"&amp;AW17&amp;"'!$B:$R"),16,FALSE)="","",VLOOKUP($B17,INDIRECT("'GRD-"&amp;AW17&amp;"'!$B:$R"),16,FALSE)))</f>
        <v/>
      </c>
      <c r="AW17" s="132">
        <f t="array" ref="AW17">IF(AU17="","",IFERROR(OFFSET($BZ$11,0,MATCH($AU17,$CA17:$FV17,0),),""))</f>
        <v/>
      </c>
      <c r="AX17" s="121">
        <f t="array" ref="AX17">IF(AU17="","",INDIRECT("'GRD-"&amp;AW17&amp;"'!$L$7"))</f>
        <v/>
      </c>
      <c r="AY17" s="83">
        <f t="array" ref="AY17">IFERROR(OFFSET($BZ$11,ROW($B17)-11,MATCH(AY$10,$CA17:$FV17,0),),"")</f>
        <v/>
      </c>
      <c r="AZ17" s="83">
        <f>IF(AY17="","",IF(VLOOKUP($B17,INDIRECT("'GRD-"&amp;BA17&amp;"'!$B:$R"),16,FALSE)="","",VLOOKUP($B17,INDIRECT("'GRD-"&amp;BA17&amp;"'!$B:$R"),16,FALSE)))</f>
        <v/>
      </c>
      <c r="BA17" s="128">
        <f t="array" ref="BA17">IF(AY17="","",IFERROR(OFFSET($BZ$11,0,MATCH($AY17,$CA17:$FV17,0),),""))</f>
        <v/>
      </c>
      <c r="BB17" s="123">
        <f t="array" ref="BB17">IF(AY17="","",INDIRECT("'GRD-"&amp;BA17&amp;"'!$L$7"))</f>
        <v/>
      </c>
      <c r="BC17" s="80">
        <f t="array" ref="BC17">IFERROR(OFFSET($BZ$11,ROW($B17)-11,MATCH(BC$10,$CA17:$FV17,0),),"")</f>
        <v/>
      </c>
      <c r="BD17" s="84">
        <f>IF(BC17="","",IF(VLOOKUP($B17,INDIRECT("'GRD-"&amp;BE17&amp;"'!$B:$R"),16,FALSE)="","",VLOOKUP($B17,INDIRECT("'GRD-"&amp;BE17&amp;"'!$B:$R"),16,FALSE)))</f>
        <v/>
      </c>
      <c r="BE17" s="129">
        <f t="array" ref="BE17">IF(BC17="","",IFERROR(OFFSET($BZ$11,0,MATCH($BC17,$CA17:$FV17,0),),""))</f>
        <v/>
      </c>
      <c r="BF17" s="125">
        <f t="array" ref="BF17">IF(BC17="","",INDIRECT("'GRD-"&amp;BE17&amp;"'!$L$7"))</f>
        <v/>
      </c>
      <c r="CA17" s="96">
        <f>IFERROR(VLOOKUP($B17,INDIRECT("'GRD-"&amp;CA$11&amp;"'!B:R"),15,FALSE),"")</f>
        <v/>
      </c>
      <c r="CB17" s="96">
        <f>IFERROR(VLOOKUP($B17,INDIRECT("'GRD-"&amp;CB$11&amp;"'!B:R"),15,FALSE),"")</f>
        <v/>
      </c>
      <c r="CC17" s="96">
        <f>IFERROR(VLOOKUP($B17,INDIRECT("'GRD-"&amp;CC$11&amp;"'!B:R"),15,FALSE),"")</f>
        <v/>
      </c>
      <c r="CD17" s="96">
        <f>IFERROR(VLOOKUP($B17,INDIRECT("'GRD-"&amp;CD$11&amp;"'!B:R"),15,FALSE),"")</f>
        <v/>
      </c>
      <c r="CE17" s="96">
        <f>IFERROR(VLOOKUP($B17,INDIRECT("'GRD-"&amp;CE$11&amp;"'!B:R"),15,FALSE),"")</f>
        <v/>
      </c>
      <c r="CF17" s="96">
        <f>IFERROR(VLOOKUP($B17,INDIRECT("'GRD-"&amp;CF$11&amp;"'!B:R"),15,FALSE),"")</f>
        <v/>
      </c>
      <c r="CG17" s="96">
        <f>IFERROR(VLOOKUP($B17,INDIRECT("'GRD-"&amp;CG$11&amp;"'!B:R"),15,FALSE),"")</f>
        <v/>
      </c>
      <c r="CH17" s="96">
        <f>IFERROR(VLOOKUP($B17,INDIRECT("'GRD-"&amp;CH$11&amp;"'!B:R"),15,FALSE),"")</f>
        <v/>
      </c>
      <c r="CI17" s="96">
        <f>IFERROR(VLOOKUP($B17,INDIRECT("'GRD-"&amp;CI$11&amp;"'!B:R"),15,FALSE),"")</f>
        <v/>
      </c>
      <c r="CJ17" s="96">
        <f>IFERROR(VLOOKUP($B17,INDIRECT("'GRD-"&amp;CJ$11&amp;"'!B:R"),15,FALSE),"")</f>
        <v/>
      </c>
      <c r="CK17" s="96">
        <f>IFERROR(VLOOKUP($B17,INDIRECT("'GRD-"&amp;CK$11&amp;"'!B:R"),15,FALSE),"")</f>
        <v/>
      </c>
      <c r="CL17" s="96">
        <f>IFERROR(VLOOKUP($B17,INDIRECT("'GRD-"&amp;CL$11&amp;"'!B:R"),15,FALSE),"")</f>
        <v/>
      </c>
      <c r="CM17" s="96">
        <f>IFERROR(VLOOKUP($B17,INDIRECT("'GRD-"&amp;CM$11&amp;"'!B:R"),15,FALSE),"")</f>
        <v/>
      </c>
      <c r="CN17" s="96">
        <f>IFERROR(VLOOKUP($B17,INDIRECT("'GRD-"&amp;CN$11&amp;"'!B:R"),15,FALSE),"")</f>
        <v/>
      </c>
      <c r="CO17" s="96">
        <f>IFERROR(VLOOKUP($B17,INDIRECT("'GRD-"&amp;CO$11&amp;"'!B:R"),15,FALSE),"")</f>
        <v/>
      </c>
      <c r="CP17" s="96">
        <f>IFERROR(VLOOKUP($B17,INDIRECT("'GRD-"&amp;CP$11&amp;"'!B:R"),15,FALSE),"")</f>
        <v/>
      </c>
      <c r="CQ17" s="96">
        <f>IFERROR(VLOOKUP($B17,INDIRECT("'GRD-"&amp;CQ$11&amp;"'!B:R"),15,FALSE),"")</f>
        <v/>
      </c>
      <c r="CR17" s="96">
        <f>IFERROR(VLOOKUP($B17,INDIRECT("'GRD-"&amp;CR$11&amp;"'!B:R"),15,FALSE),"")</f>
        <v/>
      </c>
      <c r="CS17" s="96">
        <f>IFERROR(VLOOKUP($B17,INDIRECT("'GRD-"&amp;CS$11&amp;"'!B:R"),15,FALSE),"")</f>
        <v/>
      </c>
      <c r="CT17" s="96">
        <f>IFERROR(VLOOKUP($B17,INDIRECT("'GRD-"&amp;CT$11&amp;"'!B:R"),15,FALSE),"")</f>
        <v/>
      </c>
      <c r="CU17" s="96">
        <f>IFERROR(VLOOKUP($B17,INDIRECT("'GRD-"&amp;CU$11&amp;"'!B:R"),15,FALSE),"")</f>
        <v/>
      </c>
      <c r="CV17" s="96">
        <f>IFERROR(VLOOKUP($B17,INDIRECT("'GRD-"&amp;CV$11&amp;"'!B:R"),15,FALSE),"")</f>
        <v/>
      </c>
      <c r="CW17" s="96">
        <f>IFERROR(VLOOKUP($B17,INDIRECT("'GRD-"&amp;CW$11&amp;"'!B:R"),15,FALSE),"")</f>
        <v/>
      </c>
      <c r="CX17" s="96">
        <f>IFERROR(VLOOKUP($B17,INDIRECT("'GRD-"&amp;CX$11&amp;"'!B:R"),15,FALSE),"")</f>
        <v/>
      </c>
      <c r="CY17" s="96">
        <f>IFERROR(VLOOKUP($B17,INDIRECT("'GRD-"&amp;CY$11&amp;"'!B:R"),15,FALSE),"")</f>
        <v/>
      </c>
      <c r="CZ17" s="96">
        <f>IFERROR(VLOOKUP($B17,INDIRECT("'GRD-"&amp;CZ$11&amp;"'!B:R"),15,FALSE),"")</f>
        <v/>
      </c>
      <c r="DA17" s="96">
        <f>IFERROR(VLOOKUP($B17,INDIRECT("'GRD-"&amp;DA$11&amp;"'!B:R"),15,FALSE),"")</f>
        <v/>
      </c>
      <c r="DB17" s="96">
        <f>IFERROR(VLOOKUP($B17,INDIRECT("'GRD-"&amp;DB$11&amp;"'!B:R"),15,FALSE),"")</f>
        <v/>
      </c>
      <c r="DC17" s="96">
        <f>IFERROR(VLOOKUP($B17,INDIRECT("'GRD-"&amp;DC$11&amp;"'!B:R"),15,FALSE),"")</f>
        <v/>
      </c>
      <c r="DD17" s="96">
        <f>IFERROR(VLOOKUP($B17,INDIRECT("'GRD-"&amp;DD$11&amp;"'!B:R"),15,FALSE),"")</f>
        <v/>
      </c>
      <c r="DE17" s="96">
        <f>IFERROR(VLOOKUP($B17,INDIRECT("'GRD-"&amp;DE$11&amp;"'!B:R"),15,FALSE),"")</f>
        <v/>
      </c>
      <c r="DF17" s="96">
        <f>IFERROR(VLOOKUP($B17,INDIRECT("'GRD-"&amp;DF$11&amp;"'!B:R"),15,FALSE),"")</f>
        <v/>
      </c>
      <c r="DG17" s="96">
        <f>IFERROR(VLOOKUP($B17,INDIRECT("'GRD-"&amp;DG$11&amp;"'!B:R"),15,FALSE),"")</f>
        <v/>
      </c>
      <c r="DH17" s="96">
        <f>IFERROR(VLOOKUP($B17,INDIRECT("'GRD-"&amp;DH$11&amp;"'!B:R"),15,FALSE),"")</f>
        <v/>
      </c>
      <c r="DI17" s="96">
        <f>IFERROR(VLOOKUP($B17,INDIRECT("'GRD-"&amp;DI$11&amp;"'!B:R"),15,FALSE),"")</f>
        <v/>
      </c>
      <c r="DJ17" s="96">
        <f>IFERROR(VLOOKUP($B17,INDIRECT("'GRD-"&amp;DJ$11&amp;"'!B:R"),15,FALSE),"")</f>
        <v/>
      </c>
      <c r="DK17" s="96">
        <f>IFERROR(VLOOKUP($B17,INDIRECT("'GRD-"&amp;DK$11&amp;"'!B:R"),15,FALSE),"")</f>
        <v/>
      </c>
      <c r="DL17" s="96">
        <f>IFERROR(VLOOKUP($B17,INDIRECT("'GRD-"&amp;DL$11&amp;"'!B:R"),15,FALSE),"")</f>
        <v/>
      </c>
      <c r="DM17" s="96">
        <f>IFERROR(VLOOKUP($B17,INDIRECT("'GRD-"&amp;DM$11&amp;"'!B:R"),15,FALSE),"")</f>
        <v/>
      </c>
      <c r="DN17" s="96">
        <f>IFERROR(VLOOKUP($B17,INDIRECT("'GRD-"&amp;DN$11&amp;"'!B:R"),15,FALSE),"")</f>
        <v/>
      </c>
      <c r="DO17" s="96">
        <f>IFERROR(VLOOKUP($B17,INDIRECT("'GRD-"&amp;DO$11&amp;"'!B:R"),15,FALSE),"")</f>
        <v/>
      </c>
      <c r="DP17" s="96">
        <f>IFERROR(VLOOKUP($B17,INDIRECT("'GRD-"&amp;DP$11&amp;"'!B:R"),15,FALSE),"")</f>
        <v/>
      </c>
      <c r="DQ17" s="96">
        <f>IFERROR(VLOOKUP($B17,INDIRECT("'GRD-"&amp;DQ$11&amp;"'!B:R"),15,FALSE),"")</f>
        <v/>
      </c>
      <c r="DR17" s="96">
        <f>IFERROR(VLOOKUP($B17,INDIRECT("'GRD-"&amp;DR$11&amp;"'!B:R"),15,FALSE),"")</f>
        <v/>
      </c>
      <c r="DS17" s="96">
        <f>IFERROR(VLOOKUP($B17,INDIRECT("'GRD-"&amp;DS$11&amp;"'!B:R"),15,FALSE),"")</f>
        <v/>
      </c>
      <c r="DT17" s="96">
        <f>IFERROR(VLOOKUP($B17,INDIRECT("'GRD-"&amp;DT$11&amp;"'!B:R"),15,FALSE),"")</f>
        <v/>
      </c>
      <c r="DU17" s="96">
        <f>IFERROR(VLOOKUP($B17,INDIRECT("'GRD-"&amp;DU$11&amp;"'!B:R"),15,FALSE),"")</f>
        <v/>
      </c>
      <c r="DV17" s="96">
        <f>IFERROR(VLOOKUP($B17,INDIRECT("'GRD-"&amp;DV$11&amp;"'!B:R"),15,FALSE),"")</f>
        <v/>
      </c>
      <c r="DW17" s="96">
        <f>IFERROR(VLOOKUP($B17,INDIRECT("'GRD-"&amp;DW$11&amp;"'!B:R"),15,FALSE),"")</f>
        <v/>
      </c>
      <c r="DX17" s="96">
        <f>IFERROR(VLOOKUP($B17,INDIRECT("'GRD-"&amp;DX$11&amp;"'!B:R"),15,FALSE),"")</f>
        <v/>
      </c>
      <c r="DY17" s="96">
        <f>IFERROR(VLOOKUP($B17,INDIRECT("'GRD-"&amp;DY$11&amp;"'!B:R"),15,FALSE),"")</f>
        <v/>
      </c>
      <c r="DZ17" s="96">
        <f>IFERROR(VLOOKUP($B17,INDIRECT("'GRD-"&amp;DZ$11&amp;"'!B:R"),15,FALSE),"")</f>
        <v/>
      </c>
      <c r="EA17" s="96">
        <f>IFERROR(VLOOKUP($B17,INDIRECT("'GRD-"&amp;EA$11&amp;"'!B:R"),15,FALSE),"")</f>
        <v/>
      </c>
      <c r="EB17" s="96">
        <f>IFERROR(VLOOKUP($B17,INDIRECT("'GRD-"&amp;EB$11&amp;"'!B:R"),15,FALSE),"")</f>
        <v/>
      </c>
      <c r="EC17" s="96">
        <f>IFERROR(VLOOKUP($B17,INDIRECT("'GRD-"&amp;EC$11&amp;"'!B:R"),15,FALSE),"")</f>
        <v/>
      </c>
      <c r="ED17" s="96">
        <f>IFERROR(VLOOKUP($B17,INDIRECT("'GRD-"&amp;ED$11&amp;"'!B:R"),15,FALSE),"")</f>
        <v/>
      </c>
      <c r="EE17" s="96">
        <f>IFERROR(VLOOKUP($B17,INDIRECT("'GRD-"&amp;EE$11&amp;"'!B:R"),15,FALSE),"")</f>
        <v/>
      </c>
      <c r="EF17" s="96">
        <f>IFERROR(VLOOKUP($B17,INDIRECT("'GRD-"&amp;EF$11&amp;"'!B:R"),15,FALSE),"")</f>
        <v/>
      </c>
      <c r="EG17" s="96">
        <f>IFERROR(VLOOKUP($B17,INDIRECT("'GRD-"&amp;EG$11&amp;"'!B:R"),15,FALSE),"")</f>
        <v/>
      </c>
      <c r="EH17" s="96">
        <f>IFERROR(VLOOKUP($B17,INDIRECT("'GRD-"&amp;EH$11&amp;"'!B:R"),15,FALSE),"")</f>
        <v/>
      </c>
      <c r="EI17" s="96">
        <f>IFERROR(VLOOKUP($B17,INDIRECT("'GRD-"&amp;EI$11&amp;"'!B:R"),15,FALSE),"")</f>
        <v/>
      </c>
      <c r="EJ17" s="96">
        <f>IFERROR(VLOOKUP($B17,INDIRECT("'GRD-"&amp;EJ$11&amp;"'!B:R"),15,FALSE),"")</f>
        <v/>
      </c>
      <c r="EK17" s="96">
        <f>IFERROR(VLOOKUP($B17,INDIRECT("'GRD-"&amp;EK$11&amp;"'!B:R"),15,FALSE),"")</f>
        <v/>
      </c>
      <c r="EL17" s="96">
        <f>IFERROR(VLOOKUP($B17,INDIRECT("'GRD-"&amp;EL$11&amp;"'!B:R"),15,FALSE),"")</f>
        <v/>
      </c>
      <c r="EM17" s="96">
        <f>IFERROR(VLOOKUP($B17,INDIRECT("'GRD-"&amp;EM$11&amp;"'!B:R"),15,FALSE),"")</f>
        <v/>
      </c>
      <c r="EN17" s="96">
        <f>IFERROR(VLOOKUP($B17,INDIRECT("'GRD-"&amp;EN$11&amp;"'!B:R"),15,FALSE),"")</f>
        <v/>
      </c>
      <c r="EO17" s="96">
        <f>IFERROR(VLOOKUP($B17,INDIRECT("'GRD-"&amp;EO$11&amp;"'!B:R"),15,FALSE),"")</f>
        <v/>
      </c>
      <c r="EP17" s="96">
        <f>IFERROR(VLOOKUP($B17,INDIRECT("'GRD-"&amp;EP$11&amp;"'!B:R"),15,FALSE),"")</f>
        <v/>
      </c>
      <c r="EQ17" s="96">
        <f>IFERROR(VLOOKUP($B17,INDIRECT("'GRD-"&amp;EQ$11&amp;"'!B:R"),15,FALSE),"")</f>
        <v/>
      </c>
      <c r="ER17" s="96">
        <f>IFERROR(VLOOKUP($B17,INDIRECT("'GRD-"&amp;ER$11&amp;"'!B:R"),15,FALSE),"")</f>
        <v/>
      </c>
      <c r="ES17" s="96">
        <f>IFERROR(VLOOKUP($B17,INDIRECT("'GRD-"&amp;ES$11&amp;"'!B:R"),15,FALSE),"")</f>
        <v/>
      </c>
      <c r="ET17" s="96">
        <f>IFERROR(VLOOKUP($B17,INDIRECT("'GRD-"&amp;ET$11&amp;"'!B:R"),15,FALSE),"")</f>
        <v/>
      </c>
      <c r="EU17" s="96">
        <f>IFERROR(VLOOKUP($B17,INDIRECT("'GRD-"&amp;EU$11&amp;"'!B:R"),15,FALSE),"")</f>
        <v/>
      </c>
      <c r="EV17" s="96">
        <f>IFERROR(VLOOKUP($B17,INDIRECT("'GRD-"&amp;EV$11&amp;"'!B:R"),15,FALSE),"")</f>
        <v/>
      </c>
      <c r="EW17" s="96">
        <f>IFERROR(VLOOKUP($B17,INDIRECT("'GRD-"&amp;EW$11&amp;"'!B:R"),15,FALSE),"")</f>
        <v/>
      </c>
      <c r="EX17" s="96">
        <f>IFERROR(VLOOKUP($B17,INDIRECT("'GRD-"&amp;EX$11&amp;"'!B:R"),15,FALSE),"")</f>
        <v/>
      </c>
      <c r="EY17" s="96">
        <f>IFERROR(VLOOKUP($B17,INDIRECT("'GRD-"&amp;EY$11&amp;"'!B:R"),15,FALSE),"")</f>
        <v/>
      </c>
      <c r="EZ17" s="96">
        <f>IFERROR(VLOOKUP($B17,INDIRECT("'GRD-"&amp;EZ$11&amp;"'!B:R"),15,FALSE),"")</f>
        <v/>
      </c>
      <c r="FA17" s="96">
        <f>IFERROR(VLOOKUP($B17,INDIRECT("'GRD-"&amp;FA$11&amp;"'!B:R"),15,FALSE),"")</f>
        <v/>
      </c>
      <c r="FB17" s="96">
        <f>IFERROR(VLOOKUP($B17,INDIRECT("'GRD-"&amp;FB$11&amp;"'!B:R"),15,FALSE),"")</f>
        <v/>
      </c>
      <c r="FC17" s="96">
        <f>IFERROR(VLOOKUP($B17,INDIRECT("'GRD-"&amp;FC$11&amp;"'!B:R"),15,FALSE),"")</f>
        <v/>
      </c>
      <c r="FD17" s="96">
        <f>IFERROR(VLOOKUP($B17,INDIRECT("'GRD-"&amp;FD$11&amp;"'!B:R"),15,FALSE),"")</f>
        <v/>
      </c>
      <c r="FE17" s="96">
        <f>IFERROR(VLOOKUP($B17,INDIRECT("'GRD-"&amp;FE$11&amp;"'!B:R"),15,FALSE),"")</f>
        <v/>
      </c>
      <c r="FF17" s="96">
        <f>IFERROR(VLOOKUP($B17,INDIRECT("'GRD-"&amp;FF$11&amp;"'!B:R"),15,FALSE),"")</f>
        <v/>
      </c>
      <c r="FG17" s="96">
        <f>IFERROR(VLOOKUP($B17,INDIRECT("'GRD-"&amp;FG$11&amp;"'!B:R"),15,FALSE),"")</f>
        <v/>
      </c>
      <c r="FH17" s="96">
        <f>IFERROR(VLOOKUP($B17,INDIRECT("'GRD-"&amp;FH$11&amp;"'!B:R"),15,FALSE),"")</f>
        <v/>
      </c>
      <c r="FI17" s="96">
        <f>IFERROR(VLOOKUP($B17,INDIRECT("'GRD-"&amp;FI$11&amp;"'!B:R"),15,FALSE),"")</f>
        <v/>
      </c>
      <c r="FJ17" s="96">
        <f>IFERROR(VLOOKUP($B17,INDIRECT("'GRD-"&amp;FJ$11&amp;"'!B:R"),15,FALSE),"")</f>
        <v/>
      </c>
      <c r="FK17" s="96">
        <f>IFERROR(VLOOKUP($B17,INDIRECT("'GRD-"&amp;FK$11&amp;"'!B:R"),15,FALSE),"")</f>
        <v/>
      </c>
      <c r="FL17" s="96">
        <f>IFERROR(VLOOKUP($B17,INDIRECT("'GRD-"&amp;FL$11&amp;"'!B:R"),15,FALSE),"")</f>
        <v/>
      </c>
      <c r="FM17" s="96">
        <f>IFERROR(VLOOKUP($B17,INDIRECT("'GRD-"&amp;FM$11&amp;"'!B:R"),15,FALSE),"")</f>
        <v/>
      </c>
      <c r="FN17" s="96">
        <f>IFERROR(VLOOKUP($B17,INDIRECT("'GRD-"&amp;FN$11&amp;"'!B:R"),15,FALSE),"")</f>
        <v/>
      </c>
      <c r="FO17" s="96">
        <f>IFERROR(VLOOKUP($B17,INDIRECT("'GRD-"&amp;FO$11&amp;"'!B:R"),15,FALSE),"")</f>
        <v/>
      </c>
      <c r="FP17" s="96">
        <f>IFERROR(VLOOKUP($B17,INDIRECT("'GRD-"&amp;FP$11&amp;"'!B:R"),15,FALSE),"")</f>
        <v/>
      </c>
      <c r="FQ17" s="96">
        <f>IFERROR(VLOOKUP($B17,INDIRECT("'GRD-"&amp;FQ$11&amp;"'!B:R"),15,FALSE),"")</f>
        <v/>
      </c>
      <c r="FR17" s="96">
        <f>IFERROR(VLOOKUP($B17,INDIRECT("'GRD-"&amp;FR$11&amp;"'!B:R"),15,FALSE),"")</f>
        <v/>
      </c>
      <c r="FS17" s="96">
        <f>IFERROR(VLOOKUP($B17,INDIRECT("'GRD-"&amp;FS$11&amp;"'!B:R"),15,FALSE),"")</f>
        <v/>
      </c>
      <c r="FT17" s="96">
        <f>IFERROR(VLOOKUP($B17,INDIRECT("'GRD-"&amp;FT$11&amp;"'!B:R"),15,FALSE),"")</f>
        <v/>
      </c>
      <c r="FU17" s="96">
        <f>IFERROR(VLOOKUP($B17,INDIRECT("'GRD-"&amp;FU$11&amp;"'!B:R"),15,FALSE),"")</f>
        <v/>
      </c>
      <c r="FV17" s="96">
        <f>IFERROR(VLOOKUP($B17,INDIRECT("'GRD-"&amp;FV$11&amp;"'!B:R"),15,FALSE),"")</f>
        <v/>
      </c>
    </row>
    <row r="18">
      <c r="B18" s="68" t="inlineStr">
        <is>
          <t>IFS-9999-001-X-DC-00002</t>
        </is>
      </c>
      <c r="C18" s="72" t="inlineStr">
        <is>
          <t>Titulo Segundo Doc R0</t>
        </is>
      </c>
      <c r="D18" s="73">
        <f>IF(K18="","",MAX($CA18:$FV18))</f>
        <v/>
      </c>
      <c r="E18" s="74">
        <f t="array" ref="E18">IF($K18="","",OFFSET($A$1,ROW($B18)-1,11+$D18*4,))</f>
        <v/>
      </c>
      <c r="F18" s="74">
        <f t="array" ref="F18">IF($K18="","",OFFSET($A$1,ROW($B18)-1,12+$D18*4,))</f>
        <v/>
      </c>
      <c r="G18" s="118">
        <f t="array" ref="G18">IF($K18="","",OFFSET($A$1,ROW($B18)-1,13+$D18*4,))</f>
        <v/>
      </c>
      <c r="H18" s="81" t="n"/>
      <c r="I18" s="82" t="n"/>
      <c r="J18" s="75">
        <f>IF(I18="A4",H18/8,IF(I18="A3",H18/4,IF(I18="A2",H18/2,IF(I18="A1",H18/1,IF(I18="A0",H18*2,"")))))</f>
        <v/>
      </c>
      <c r="K18" s="68">
        <f t="array" ref="K18">IFERROR(OFFSET($BZ$11,ROW($B18)-11,MATCH(K$10,$CA18:$FV18,0),),"")</f>
        <v/>
      </c>
      <c r="L18" s="68">
        <f>IF(K18="","",IF(VLOOKUP($B18,INDIRECT("'GRD-"&amp;M18&amp;"'!$B:$R"),16,FALSE)="","",VLOOKUP($B18,INDIRECT("'GRD-"&amp;M18&amp;"'!$B:$R"),16,FALSE)))</f>
        <v/>
      </c>
      <c r="M18" s="68">
        <f t="array" ref="M18">IF(K18="","",IFERROR(OFFSET($BZ$11,0,MATCH($K18,$CA18:$FV18,0),),""))</f>
        <v/>
      </c>
      <c r="N18" s="119">
        <f t="array" ref="N18">IF(K18="","",INDIRECT("'GRD-"&amp;M18&amp;"'!$L$7"))</f>
        <v/>
      </c>
      <c r="O18" s="76">
        <f t="array" ref="O18">IFERROR(OFFSET($BZ$11,ROW($B18)-11,MATCH(O$10,$CA18:$FV18,0),),"")</f>
        <v/>
      </c>
      <c r="P18" s="77">
        <f>IF(O18="","",IF(VLOOKUP($B18,INDIRECT("'GRD-"&amp;Q18&amp;"'!$B:$R"),16,FALSE)="","",VLOOKUP($B18,INDIRECT("'GRD-"&amp;Q18&amp;"'!$B:$R"),16,FALSE)))</f>
        <v/>
      </c>
      <c r="Q18" s="120">
        <f t="array" ref="Q18">IF(O18="","",IFERROR(OFFSET($BZ$11,0,MATCH($O18,$CA18:$FV18,0),),""))</f>
        <v/>
      </c>
      <c r="R18" s="121">
        <f t="array" ref="R18">IF(O18="","",INDIRECT("'GRD-"&amp;Q18&amp;"'!$L$7"))</f>
        <v/>
      </c>
      <c r="S18" s="83">
        <f t="array" ref="S18">IFERROR(OFFSET($BZ$11,ROW($B18)-11,MATCH(S$10,$CA18:$FV18,0),),"")</f>
        <v/>
      </c>
      <c r="T18" s="83">
        <f>IF(S18="","",IF(VLOOKUP($B18,INDIRECT("'GRD-"&amp;U18&amp;"'!$B:$R"),16,FALSE)="","",VLOOKUP($B18,INDIRECT("'GRD-"&amp;U18&amp;"'!$B:$R"),16,FALSE)))</f>
        <v/>
      </c>
      <c r="U18" s="128">
        <f t="array" ref="U18">IF(S18="","",IFERROR(OFFSET($BZ$11,0,MATCH($S18,$CA18:$FV18,0),),""))</f>
        <v/>
      </c>
      <c r="V18" s="133">
        <f t="array" ref="V18">IF(S18="","",INDIRECT("'GRD-"&amp;U18&amp;"'!$L$7"))</f>
        <v/>
      </c>
      <c r="W18" s="84">
        <f t="array" ref="W18">IFERROR(OFFSET($BZ$11,ROW($B18)-11,MATCH(W$10,$CA18:$FV18,0),),"")</f>
        <v/>
      </c>
      <c r="X18" s="84">
        <f>IF(W18="","",IF(VLOOKUP($B18,INDIRECT("'GRD-"&amp;Y18&amp;"'!$B:$R"),16,FALSE)="","",VLOOKUP($B18,INDIRECT("'GRD-"&amp;Y18&amp;"'!$B:$R"),16,FALSE)))</f>
        <v/>
      </c>
      <c r="Y18" s="129">
        <f t="array" ref="Y18">IF(W18="","",IFERROR(OFFSET($BZ$11,0,MATCH($W18,$CA18:$FV18,0),),""))</f>
        <v/>
      </c>
      <c r="Z18" s="125">
        <f t="array" ref="Z18">IF(W18="","",INDIRECT("'GRD-"&amp;Y18&amp;"'!$L$7"))</f>
        <v/>
      </c>
      <c r="AA18" s="68">
        <f t="array" ref="AA18">IFERROR(OFFSET($BZ$11,ROW($B18)-11,MATCH(AA$10,$CA18:$FV18,0),),"")</f>
        <v/>
      </c>
      <c r="AB18" s="85">
        <f>IF(AA18="","",IF(VLOOKUP($B18,INDIRECT("'GRD-"&amp;AC18&amp;"'!$B:$R"),16,FALSE)="","",VLOOKUP($B18,INDIRECT("'GRD-"&amp;AC18&amp;"'!$B:$R"),16,FALSE)))</f>
        <v/>
      </c>
      <c r="AC18" s="130">
        <f t="array" ref="AC18">IF(AA18="","",IFERROR(OFFSET($BZ$11,0,MATCH($AA18,$CA18:$FV18,0),),""))</f>
        <v/>
      </c>
      <c r="AD18" s="131">
        <f t="array" ref="AD18">IF(AA18="","",INDIRECT("'GRD-"&amp;AC18&amp;"'!$L$7"))</f>
        <v/>
      </c>
      <c r="AE18" s="76">
        <f t="array" ref="AE18">IFERROR(OFFSET($BZ$11,ROW($B18)-11,MATCH(AE$10,$CA18:$FV18,0),),"")</f>
        <v/>
      </c>
      <c r="AF18" s="76">
        <f>IF(AE18="","",IF(VLOOKUP($B18,INDIRECT("'GRD-"&amp;AG18&amp;"'!$B:$R"),16,FALSE)="","",VLOOKUP($B18,INDIRECT("'GRD-"&amp;AG18&amp;"'!$B:$R"),16,FALSE)))</f>
        <v/>
      </c>
      <c r="AG18" s="132">
        <f t="array" ref="AG18">IF(AE18="","",IFERROR(OFFSET($BZ$11,0,MATCH($AE18,$CA18:$FV18,0),),""))</f>
        <v/>
      </c>
      <c r="AH18" s="121">
        <f t="array" ref="AH18">IF(AE18="","",INDIRECT("'GRD-"&amp;AG18&amp;"'!$L$7"))</f>
        <v/>
      </c>
      <c r="AI18" s="83">
        <f t="array" ref="AI18">IFERROR(OFFSET($BZ$11,ROW($B18)-11,MATCH(AI$10,$CA18:$FV18,0),),"")</f>
        <v/>
      </c>
      <c r="AJ18" s="83">
        <f>IF(AI18="","",IF(VLOOKUP($B18,INDIRECT("'GRD-"&amp;AK18&amp;"'!$B:$R"),16,FALSE)="","",VLOOKUP($B18,INDIRECT("'GRD-"&amp;AK18&amp;"'!$B:$R"),16,FALSE)))</f>
        <v/>
      </c>
      <c r="AK18" s="128">
        <f t="array" ref="AK18">IF(AI18="","",IFERROR(OFFSET($BZ$11,0,MATCH($AI18,$CA18:$FV18,0),),""))</f>
        <v/>
      </c>
      <c r="AL18" s="123">
        <f t="array" ref="AL18">IF(AI18="","",INDIRECT("'GRD-"&amp;AK18&amp;"'!$L$7"))</f>
        <v/>
      </c>
      <c r="AM18" s="80">
        <f t="array" ref="AM18">IFERROR(OFFSET($BZ$11,ROW($B18)-11,MATCH(AM$10,$CA18:$FV18,0),),"")</f>
        <v/>
      </c>
      <c r="AN18" s="84">
        <f>IF(AM18="","",IF(VLOOKUP($B18,INDIRECT("'GRD-"&amp;AO18&amp;"'!$B:$R"),16,FALSE)="","",VLOOKUP($B18,INDIRECT("'GRD-"&amp;AO18&amp;"'!$B:$R"),16,FALSE)))</f>
        <v/>
      </c>
      <c r="AO18" s="129">
        <f t="array" ref="AO18">IF(AM18="","",IFERROR(OFFSET($BZ$11,0,MATCH($AM18,$CA18:$FV18,0),),""))</f>
        <v/>
      </c>
      <c r="AP18" s="125">
        <f t="array" ref="AP18">IF(AM18="","",INDIRECT("'GRD-"&amp;AO18&amp;"'!$L$7"))</f>
        <v/>
      </c>
      <c r="AQ18" s="68">
        <f t="array" ref="AQ18">IFERROR(OFFSET($BZ$11,ROW($B18)-11,MATCH(AQ$10,$CA18:$FV18,0),),"")</f>
        <v/>
      </c>
      <c r="AR18" s="85">
        <f>IF(AQ18="","",IF(VLOOKUP($B18,INDIRECT("'GRD-"&amp;AS18&amp;"'!$B:$R"),16,FALSE)="","",VLOOKUP($B18,INDIRECT("'GRD-"&amp;AS18&amp;"'!$B:$R"),16,FALSE)))</f>
        <v/>
      </c>
      <c r="AS18" s="130">
        <f t="array" ref="AS18">IF(AQ18="","",IFERROR(OFFSET($BZ$11,0,MATCH($AQ18,$CA18:$FV18,0),),""))</f>
        <v/>
      </c>
      <c r="AT18" s="131">
        <f t="array" ref="AT18">IF(AQ18="","",INDIRECT("'GRD-"&amp;AS18&amp;"'!$L$7"))</f>
        <v/>
      </c>
      <c r="AU18" s="76">
        <f t="array" ref="AU18">IFERROR(OFFSET($BZ$11,ROW($B18)-11,MATCH(AU$10,$CA18:$FV18,0),),"")</f>
        <v/>
      </c>
      <c r="AV18" s="76">
        <f>IF(AU18="","",IF(VLOOKUP($B18,INDIRECT("'GRD-"&amp;AW18&amp;"'!$B:$R"),16,FALSE)="","",VLOOKUP($B18,INDIRECT("'GRD-"&amp;AW18&amp;"'!$B:$R"),16,FALSE)))</f>
        <v/>
      </c>
      <c r="AW18" s="132">
        <f t="array" ref="AW18">IF(AU18="","",IFERROR(OFFSET($BZ$11,0,MATCH($AU18,$CA18:$FV18,0),),""))</f>
        <v/>
      </c>
      <c r="AX18" s="121">
        <f t="array" ref="AX18">IF(AU18="","",INDIRECT("'GRD-"&amp;AW18&amp;"'!$L$7"))</f>
        <v/>
      </c>
      <c r="AY18" s="83">
        <f t="array" ref="AY18">IFERROR(OFFSET($BZ$11,ROW($B18)-11,MATCH(AY$10,$CA18:$FV18,0),),"")</f>
        <v/>
      </c>
      <c r="AZ18" s="83">
        <f>IF(AY18="","",IF(VLOOKUP($B18,INDIRECT("'GRD-"&amp;BA18&amp;"'!$B:$R"),16,FALSE)="","",VLOOKUP($B18,INDIRECT("'GRD-"&amp;BA18&amp;"'!$B:$R"),16,FALSE)))</f>
        <v/>
      </c>
      <c r="BA18" s="128">
        <f t="array" ref="BA18">IF(AY18="","",IFERROR(OFFSET($BZ$11,0,MATCH($AY18,$CA18:$FV18,0),),""))</f>
        <v/>
      </c>
      <c r="BB18" s="123">
        <f t="array" ref="BB18">IF(AY18="","",INDIRECT("'GRD-"&amp;BA18&amp;"'!$L$7"))</f>
        <v/>
      </c>
      <c r="BC18" s="80">
        <f t="array" ref="BC18">IFERROR(OFFSET($BZ$11,ROW($B18)-11,MATCH(BC$10,$CA18:$FV18,0),),"")</f>
        <v/>
      </c>
      <c r="BD18" s="84">
        <f>IF(BC18="","",IF(VLOOKUP($B18,INDIRECT("'GRD-"&amp;BE18&amp;"'!$B:$R"),16,FALSE)="","",VLOOKUP($B18,INDIRECT("'GRD-"&amp;BE18&amp;"'!$B:$R"),16,FALSE)))</f>
        <v/>
      </c>
      <c r="BE18" s="129">
        <f t="array" ref="BE18">IF(BC18="","",IFERROR(OFFSET($BZ$11,0,MATCH($BC18,$CA18:$FV18,0),),""))</f>
        <v/>
      </c>
      <c r="BF18" s="125">
        <f t="array" ref="BF18">IF(BC18="","",INDIRECT("'GRD-"&amp;BE18&amp;"'!$L$7"))</f>
        <v/>
      </c>
      <c r="CA18" s="96">
        <f>IFERROR(VLOOKUP($B18,INDIRECT("'GRD-"&amp;CA$11&amp;"'!B:R"),15,FALSE),"")</f>
        <v/>
      </c>
      <c r="CB18" s="96">
        <f>IFERROR(VLOOKUP($B18,INDIRECT("'GRD-"&amp;CB$11&amp;"'!B:R"),15,FALSE),"")</f>
        <v/>
      </c>
      <c r="CC18" s="96">
        <f>IFERROR(VLOOKUP($B18,INDIRECT("'GRD-"&amp;CC$11&amp;"'!B:R"),15,FALSE),"")</f>
        <v/>
      </c>
      <c r="CD18" s="96">
        <f>IFERROR(VLOOKUP($B18,INDIRECT("'GRD-"&amp;CD$11&amp;"'!B:R"),15,FALSE),"")</f>
        <v/>
      </c>
      <c r="CE18" s="96">
        <f>IFERROR(VLOOKUP($B18,INDIRECT("'GRD-"&amp;CE$11&amp;"'!B:R"),15,FALSE),"")</f>
        <v/>
      </c>
      <c r="CF18" s="96">
        <f>IFERROR(VLOOKUP($B18,INDIRECT("'GRD-"&amp;CF$11&amp;"'!B:R"),15,FALSE),"")</f>
        <v/>
      </c>
      <c r="CG18" s="96">
        <f>IFERROR(VLOOKUP($B18,INDIRECT("'GRD-"&amp;CG$11&amp;"'!B:R"),15,FALSE),"")</f>
        <v/>
      </c>
      <c r="CH18" s="96">
        <f>IFERROR(VLOOKUP($B18,INDIRECT("'GRD-"&amp;CH$11&amp;"'!B:R"),15,FALSE),"")</f>
        <v/>
      </c>
      <c r="CI18" s="96">
        <f>IFERROR(VLOOKUP($B18,INDIRECT("'GRD-"&amp;CI$11&amp;"'!B:R"),15,FALSE),"")</f>
        <v/>
      </c>
      <c r="CJ18" s="96">
        <f>IFERROR(VLOOKUP($B18,INDIRECT("'GRD-"&amp;CJ$11&amp;"'!B:R"),15,FALSE),"")</f>
        <v/>
      </c>
      <c r="CK18" s="96">
        <f>IFERROR(VLOOKUP($B18,INDIRECT("'GRD-"&amp;CK$11&amp;"'!B:R"),15,FALSE),"")</f>
        <v/>
      </c>
      <c r="CL18" s="96">
        <f>IFERROR(VLOOKUP($B18,INDIRECT("'GRD-"&amp;CL$11&amp;"'!B:R"),15,FALSE),"")</f>
        <v/>
      </c>
      <c r="CM18" s="96">
        <f>IFERROR(VLOOKUP($B18,INDIRECT("'GRD-"&amp;CM$11&amp;"'!B:R"),15,FALSE),"")</f>
        <v/>
      </c>
      <c r="CN18" s="96">
        <f>IFERROR(VLOOKUP($B18,INDIRECT("'GRD-"&amp;CN$11&amp;"'!B:R"),15,FALSE),"")</f>
        <v/>
      </c>
      <c r="CO18" s="96">
        <f>IFERROR(VLOOKUP($B18,INDIRECT("'GRD-"&amp;CO$11&amp;"'!B:R"),15,FALSE),"")</f>
        <v/>
      </c>
      <c r="CP18" s="96">
        <f>IFERROR(VLOOKUP($B18,INDIRECT("'GRD-"&amp;CP$11&amp;"'!B:R"),15,FALSE),"")</f>
        <v/>
      </c>
      <c r="CQ18" s="96">
        <f>IFERROR(VLOOKUP($B18,INDIRECT("'GRD-"&amp;CQ$11&amp;"'!B:R"),15,FALSE),"")</f>
        <v/>
      </c>
      <c r="CR18" s="96">
        <f>IFERROR(VLOOKUP($B18,INDIRECT("'GRD-"&amp;CR$11&amp;"'!B:R"),15,FALSE),"")</f>
        <v/>
      </c>
      <c r="CS18" s="96">
        <f>IFERROR(VLOOKUP($B18,INDIRECT("'GRD-"&amp;CS$11&amp;"'!B:R"),15,FALSE),"")</f>
        <v/>
      </c>
      <c r="CT18" s="96">
        <f>IFERROR(VLOOKUP($B18,INDIRECT("'GRD-"&amp;CT$11&amp;"'!B:R"),15,FALSE),"")</f>
        <v/>
      </c>
      <c r="CU18" s="96">
        <f>IFERROR(VLOOKUP($B18,INDIRECT("'GRD-"&amp;CU$11&amp;"'!B:R"),15,FALSE),"")</f>
        <v/>
      </c>
      <c r="CV18" s="96">
        <f>IFERROR(VLOOKUP($B18,INDIRECT("'GRD-"&amp;CV$11&amp;"'!B:R"),15,FALSE),"")</f>
        <v/>
      </c>
      <c r="CW18" s="96">
        <f>IFERROR(VLOOKUP($B18,INDIRECT("'GRD-"&amp;CW$11&amp;"'!B:R"),15,FALSE),"")</f>
        <v/>
      </c>
      <c r="CX18" s="96">
        <f>IFERROR(VLOOKUP($B18,INDIRECT("'GRD-"&amp;CX$11&amp;"'!B:R"),15,FALSE),"")</f>
        <v/>
      </c>
      <c r="CY18" s="96">
        <f>IFERROR(VLOOKUP($B18,INDIRECT("'GRD-"&amp;CY$11&amp;"'!B:R"),15,FALSE),"")</f>
        <v/>
      </c>
      <c r="CZ18" s="96">
        <f>IFERROR(VLOOKUP($B18,INDIRECT("'GRD-"&amp;CZ$11&amp;"'!B:R"),15,FALSE),"")</f>
        <v/>
      </c>
      <c r="DA18" s="96">
        <f>IFERROR(VLOOKUP($B18,INDIRECT("'GRD-"&amp;DA$11&amp;"'!B:R"),15,FALSE),"")</f>
        <v/>
      </c>
      <c r="DB18" s="96">
        <f>IFERROR(VLOOKUP($B18,INDIRECT("'GRD-"&amp;DB$11&amp;"'!B:R"),15,FALSE),"")</f>
        <v/>
      </c>
      <c r="DC18" s="96">
        <f>IFERROR(VLOOKUP($B18,INDIRECT("'GRD-"&amp;DC$11&amp;"'!B:R"),15,FALSE),"")</f>
        <v/>
      </c>
      <c r="DD18" s="96">
        <f>IFERROR(VLOOKUP($B18,INDIRECT("'GRD-"&amp;DD$11&amp;"'!B:R"),15,FALSE),"")</f>
        <v/>
      </c>
      <c r="DE18" s="96">
        <f>IFERROR(VLOOKUP($B18,INDIRECT("'GRD-"&amp;DE$11&amp;"'!B:R"),15,FALSE),"")</f>
        <v/>
      </c>
      <c r="DF18" s="96">
        <f>IFERROR(VLOOKUP($B18,INDIRECT("'GRD-"&amp;DF$11&amp;"'!B:R"),15,FALSE),"")</f>
        <v/>
      </c>
      <c r="DG18" s="96">
        <f>IFERROR(VLOOKUP($B18,INDIRECT("'GRD-"&amp;DG$11&amp;"'!B:R"),15,FALSE),"")</f>
        <v/>
      </c>
      <c r="DH18" s="96">
        <f>IFERROR(VLOOKUP($B18,INDIRECT("'GRD-"&amp;DH$11&amp;"'!B:R"),15,FALSE),"")</f>
        <v/>
      </c>
      <c r="DI18" s="96">
        <f>IFERROR(VLOOKUP($B18,INDIRECT("'GRD-"&amp;DI$11&amp;"'!B:R"),15,FALSE),"")</f>
        <v/>
      </c>
      <c r="DJ18" s="96">
        <f>IFERROR(VLOOKUP($B18,INDIRECT("'GRD-"&amp;DJ$11&amp;"'!B:R"),15,FALSE),"")</f>
        <v/>
      </c>
      <c r="DK18" s="96">
        <f>IFERROR(VLOOKUP($B18,INDIRECT("'GRD-"&amp;DK$11&amp;"'!B:R"),15,FALSE),"")</f>
        <v/>
      </c>
      <c r="DL18" s="96">
        <f>IFERROR(VLOOKUP($B18,INDIRECT("'GRD-"&amp;DL$11&amp;"'!B:R"),15,FALSE),"")</f>
        <v/>
      </c>
      <c r="DM18" s="96">
        <f>IFERROR(VLOOKUP($B18,INDIRECT("'GRD-"&amp;DM$11&amp;"'!B:R"),15,FALSE),"")</f>
        <v/>
      </c>
      <c r="DN18" s="96">
        <f>IFERROR(VLOOKUP($B18,INDIRECT("'GRD-"&amp;DN$11&amp;"'!B:R"),15,FALSE),"")</f>
        <v/>
      </c>
      <c r="DO18" s="96">
        <f>IFERROR(VLOOKUP($B18,INDIRECT("'GRD-"&amp;DO$11&amp;"'!B:R"),15,FALSE),"")</f>
        <v/>
      </c>
      <c r="DP18" s="96">
        <f>IFERROR(VLOOKUP($B18,INDIRECT("'GRD-"&amp;DP$11&amp;"'!B:R"),15,FALSE),"")</f>
        <v/>
      </c>
      <c r="DQ18" s="96">
        <f>IFERROR(VLOOKUP($B18,INDIRECT("'GRD-"&amp;DQ$11&amp;"'!B:R"),15,FALSE),"")</f>
        <v/>
      </c>
      <c r="DR18" s="96">
        <f>IFERROR(VLOOKUP($B18,INDIRECT("'GRD-"&amp;DR$11&amp;"'!B:R"),15,FALSE),"")</f>
        <v/>
      </c>
      <c r="DS18" s="96">
        <f>IFERROR(VLOOKUP($B18,INDIRECT("'GRD-"&amp;DS$11&amp;"'!B:R"),15,FALSE),"")</f>
        <v/>
      </c>
      <c r="DT18" s="96">
        <f>IFERROR(VLOOKUP($B18,INDIRECT("'GRD-"&amp;DT$11&amp;"'!B:R"),15,FALSE),"")</f>
        <v/>
      </c>
      <c r="DU18" s="96">
        <f>IFERROR(VLOOKUP($B18,INDIRECT("'GRD-"&amp;DU$11&amp;"'!B:R"),15,FALSE),"")</f>
        <v/>
      </c>
      <c r="DV18" s="96">
        <f>IFERROR(VLOOKUP($B18,INDIRECT("'GRD-"&amp;DV$11&amp;"'!B:R"),15,FALSE),"")</f>
        <v/>
      </c>
      <c r="DW18" s="96">
        <f>IFERROR(VLOOKUP($B18,INDIRECT("'GRD-"&amp;DW$11&amp;"'!B:R"),15,FALSE),"")</f>
        <v/>
      </c>
      <c r="DX18" s="96">
        <f>IFERROR(VLOOKUP($B18,INDIRECT("'GRD-"&amp;DX$11&amp;"'!B:R"),15,FALSE),"")</f>
        <v/>
      </c>
      <c r="DY18" s="96">
        <f>IFERROR(VLOOKUP($B18,INDIRECT("'GRD-"&amp;DY$11&amp;"'!B:R"),15,FALSE),"")</f>
        <v/>
      </c>
      <c r="DZ18" s="96">
        <f>IFERROR(VLOOKUP($B18,INDIRECT("'GRD-"&amp;DZ$11&amp;"'!B:R"),15,FALSE),"")</f>
        <v/>
      </c>
      <c r="EA18" s="96">
        <f>IFERROR(VLOOKUP($B18,INDIRECT("'GRD-"&amp;EA$11&amp;"'!B:R"),15,FALSE),"")</f>
        <v/>
      </c>
      <c r="EB18" s="96">
        <f>IFERROR(VLOOKUP($B18,INDIRECT("'GRD-"&amp;EB$11&amp;"'!B:R"),15,FALSE),"")</f>
        <v/>
      </c>
      <c r="EC18" s="96">
        <f>IFERROR(VLOOKUP($B18,INDIRECT("'GRD-"&amp;EC$11&amp;"'!B:R"),15,FALSE),"")</f>
        <v/>
      </c>
      <c r="ED18" s="96">
        <f>IFERROR(VLOOKUP($B18,INDIRECT("'GRD-"&amp;ED$11&amp;"'!B:R"),15,FALSE),"")</f>
        <v/>
      </c>
      <c r="EE18" s="96">
        <f>IFERROR(VLOOKUP($B18,INDIRECT("'GRD-"&amp;EE$11&amp;"'!B:R"),15,FALSE),"")</f>
        <v/>
      </c>
      <c r="EF18" s="96">
        <f>IFERROR(VLOOKUP($B18,INDIRECT("'GRD-"&amp;EF$11&amp;"'!B:R"),15,FALSE),"")</f>
        <v/>
      </c>
      <c r="EG18" s="96">
        <f>IFERROR(VLOOKUP($B18,INDIRECT("'GRD-"&amp;EG$11&amp;"'!B:R"),15,FALSE),"")</f>
        <v/>
      </c>
      <c r="EH18" s="96">
        <f>IFERROR(VLOOKUP($B18,INDIRECT("'GRD-"&amp;EH$11&amp;"'!B:R"),15,FALSE),"")</f>
        <v/>
      </c>
      <c r="EI18" s="96">
        <f>IFERROR(VLOOKUP($B18,INDIRECT("'GRD-"&amp;EI$11&amp;"'!B:R"),15,FALSE),"")</f>
        <v/>
      </c>
      <c r="EJ18" s="96">
        <f>IFERROR(VLOOKUP($B18,INDIRECT("'GRD-"&amp;EJ$11&amp;"'!B:R"),15,FALSE),"")</f>
        <v/>
      </c>
      <c r="EK18" s="96">
        <f>IFERROR(VLOOKUP($B18,INDIRECT("'GRD-"&amp;EK$11&amp;"'!B:R"),15,FALSE),"")</f>
        <v/>
      </c>
      <c r="EL18" s="96">
        <f>IFERROR(VLOOKUP($B18,INDIRECT("'GRD-"&amp;EL$11&amp;"'!B:R"),15,FALSE),"")</f>
        <v/>
      </c>
      <c r="EM18" s="96">
        <f>IFERROR(VLOOKUP($B18,INDIRECT("'GRD-"&amp;EM$11&amp;"'!B:R"),15,FALSE),"")</f>
        <v/>
      </c>
      <c r="EN18" s="96">
        <f>IFERROR(VLOOKUP($B18,INDIRECT("'GRD-"&amp;EN$11&amp;"'!B:R"),15,FALSE),"")</f>
        <v/>
      </c>
      <c r="EO18" s="96">
        <f>IFERROR(VLOOKUP($B18,INDIRECT("'GRD-"&amp;EO$11&amp;"'!B:R"),15,FALSE),"")</f>
        <v/>
      </c>
      <c r="EP18" s="96">
        <f>IFERROR(VLOOKUP($B18,INDIRECT("'GRD-"&amp;EP$11&amp;"'!B:R"),15,FALSE),"")</f>
        <v/>
      </c>
      <c r="EQ18" s="96">
        <f>IFERROR(VLOOKUP($B18,INDIRECT("'GRD-"&amp;EQ$11&amp;"'!B:R"),15,FALSE),"")</f>
        <v/>
      </c>
      <c r="ER18" s="96">
        <f>IFERROR(VLOOKUP($B18,INDIRECT("'GRD-"&amp;ER$11&amp;"'!B:R"),15,FALSE),"")</f>
        <v/>
      </c>
      <c r="ES18" s="96">
        <f>IFERROR(VLOOKUP($B18,INDIRECT("'GRD-"&amp;ES$11&amp;"'!B:R"),15,FALSE),"")</f>
        <v/>
      </c>
      <c r="ET18" s="96">
        <f>IFERROR(VLOOKUP($B18,INDIRECT("'GRD-"&amp;ET$11&amp;"'!B:R"),15,FALSE),"")</f>
        <v/>
      </c>
      <c r="EU18" s="96">
        <f>IFERROR(VLOOKUP($B18,INDIRECT("'GRD-"&amp;EU$11&amp;"'!B:R"),15,FALSE),"")</f>
        <v/>
      </c>
      <c r="EV18" s="96">
        <f>IFERROR(VLOOKUP($B18,INDIRECT("'GRD-"&amp;EV$11&amp;"'!B:R"),15,FALSE),"")</f>
        <v/>
      </c>
      <c r="EW18" s="96">
        <f>IFERROR(VLOOKUP($B18,INDIRECT("'GRD-"&amp;EW$11&amp;"'!B:R"),15,FALSE),"")</f>
        <v/>
      </c>
      <c r="EX18" s="96">
        <f>IFERROR(VLOOKUP($B18,INDIRECT("'GRD-"&amp;EX$11&amp;"'!B:R"),15,FALSE),"")</f>
        <v/>
      </c>
      <c r="EY18" s="96">
        <f>IFERROR(VLOOKUP($B18,INDIRECT("'GRD-"&amp;EY$11&amp;"'!B:R"),15,FALSE),"")</f>
        <v/>
      </c>
      <c r="EZ18" s="96">
        <f>IFERROR(VLOOKUP($B18,INDIRECT("'GRD-"&amp;EZ$11&amp;"'!B:R"),15,FALSE),"")</f>
        <v/>
      </c>
      <c r="FA18" s="96">
        <f>IFERROR(VLOOKUP($B18,INDIRECT("'GRD-"&amp;FA$11&amp;"'!B:R"),15,FALSE),"")</f>
        <v/>
      </c>
      <c r="FB18" s="96">
        <f>IFERROR(VLOOKUP($B18,INDIRECT("'GRD-"&amp;FB$11&amp;"'!B:R"),15,FALSE),"")</f>
        <v/>
      </c>
      <c r="FC18" s="96">
        <f>IFERROR(VLOOKUP($B18,INDIRECT("'GRD-"&amp;FC$11&amp;"'!B:R"),15,FALSE),"")</f>
        <v/>
      </c>
      <c r="FD18" s="96">
        <f>IFERROR(VLOOKUP($B18,INDIRECT("'GRD-"&amp;FD$11&amp;"'!B:R"),15,FALSE),"")</f>
        <v/>
      </c>
      <c r="FE18" s="96">
        <f>IFERROR(VLOOKUP($B18,INDIRECT("'GRD-"&amp;FE$11&amp;"'!B:R"),15,FALSE),"")</f>
        <v/>
      </c>
      <c r="FF18" s="96">
        <f>IFERROR(VLOOKUP($B18,INDIRECT("'GRD-"&amp;FF$11&amp;"'!B:R"),15,FALSE),"")</f>
        <v/>
      </c>
      <c r="FG18" s="96">
        <f>IFERROR(VLOOKUP($B18,INDIRECT("'GRD-"&amp;FG$11&amp;"'!B:R"),15,FALSE),"")</f>
        <v/>
      </c>
      <c r="FH18" s="96">
        <f>IFERROR(VLOOKUP($B18,INDIRECT("'GRD-"&amp;FH$11&amp;"'!B:R"),15,FALSE),"")</f>
        <v/>
      </c>
      <c r="FI18" s="96">
        <f>IFERROR(VLOOKUP($B18,INDIRECT("'GRD-"&amp;FI$11&amp;"'!B:R"),15,FALSE),"")</f>
        <v/>
      </c>
      <c r="FJ18" s="96">
        <f>IFERROR(VLOOKUP($B18,INDIRECT("'GRD-"&amp;FJ$11&amp;"'!B:R"),15,FALSE),"")</f>
        <v/>
      </c>
      <c r="FK18" s="96">
        <f>IFERROR(VLOOKUP($B18,INDIRECT("'GRD-"&amp;FK$11&amp;"'!B:R"),15,FALSE),"")</f>
        <v/>
      </c>
      <c r="FL18" s="96">
        <f>IFERROR(VLOOKUP($B18,INDIRECT("'GRD-"&amp;FL$11&amp;"'!B:R"),15,FALSE),"")</f>
        <v/>
      </c>
      <c r="FM18" s="96">
        <f>IFERROR(VLOOKUP($B18,INDIRECT("'GRD-"&amp;FM$11&amp;"'!B:R"),15,FALSE),"")</f>
        <v/>
      </c>
      <c r="FN18" s="96">
        <f>IFERROR(VLOOKUP($B18,INDIRECT("'GRD-"&amp;FN$11&amp;"'!B:R"),15,FALSE),"")</f>
        <v/>
      </c>
      <c r="FO18" s="96">
        <f>IFERROR(VLOOKUP($B18,INDIRECT("'GRD-"&amp;FO$11&amp;"'!B:R"),15,FALSE),"")</f>
        <v/>
      </c>
      <c r="FP18" s="96">
        <f>IFERROR(VLOOKUP($B18,INDIRECT("'GRD-"&amp;FP$11&amp;"'!B:R"),15,FALSE),"")</f>
        <v/>
      </c>
      <c r="FQ18" s="96">
        <f>IFERROR(VLOOKUP($B18,INDIRECT("'GRD-"&amp;FQ$11&amp;"'!B:R"),15,FALSE),"")</f>
        <v/>
      </c>
      <c r="FR18" s="96">
        <f>IFERROR(VLOOKUP($B18,INDIRECT("'GRD-"&amp;FR$11&amp;"'!B:R"),15,FALSE),"")</f>
        <v/>
      </c>
      <c r="FS18" s="96">
        <f>IFERROR(VLOOKUP($B18,INDIRECT("'GRD-"&amp;FS$11&amp;"'!B:R"),15,FALSE),"")</f>
        <v/>
      </c>
      <c r="FT18" s="96">
        <f>IFERROR(VLOOKUP($B18,INDIRECT("'GRD-"&amp;FT$11&amp;"'!B:R"),15,FALSE),"")</f>
        <v/>
      </c>
      <c r="FU18" s="96">
        <f>IFERROR(VLOOKUP($B18,INDIRECT("'GRD-"&amp;FU$11&amp;"'!B:R"),15,FALSE),"")</f>
        <v/>
      </c>
      <c r="FV18" s="96">
        <f>IFERROR(VLOOKUP($B18,INDIRECT("'GRD-"&amp;FV$11&amp;"'!B:R"),15,FALSE),"")</f>
        <v/>
      </c>
    </row>
    <row r="19">
      <c r="B19" s="68" t="n"/>
      <c r="C19" s="72" t="n"/>
      <c r="D19" s="73">
        <f>IF(K19="","",MAX($CA19:$FV19))</f>
        <v/>
      </c>
      <c r="E19" s="74">
        <f t="array" ref="E19">IF($K19="","",OFFSET($A$1,ROW($B19)-1,11+$D19*4,))</f>
        <v/>
      </c>
      <c r="F19" s="74">
        <f t="array" ref="F19">IF($K19="","",OFFSET($A$1,ROW($B19)-1,12+$D19*4,))</f>
        <v/>
      </c>
      <c r="G19" s="118">
        <f t="array" ref="G19">IF($K19="","",OFFSET($A$1,ROW($B19)-1,13+$D19*4,))</f>
        <v/>
      </c>
      <c r="H19" s="81" t="n"/>
      <c r="I19" s="82" t="n"/>
      <c r="J19" s="75">
        <f>IF(I19="A4",H19/8,IF(I19="A3",H19/4,IF(I19="A2",H19/2,IF(I19="A1",H19/1,IF(I19="A0",H19*2,"")))))</f>
        <v/>
      </c>
      <c r="K19" s="68">
        <f t="array" ref="K19">IFERROR(OFFSET($BZ$11,ROW($B19)-11,MATCH(K$10,$CA19:$FV19,0),),"")</f>
        <v/>
      </c>
      <c r="L19" s="68">
        <f>IF(K19="","",IF(VLOOKUP($B19,INDIRECT("'GRD-"&amp;M19&amp;"'!$B:$R"),16,FALSE)="","",VLOOKUP($B19,INDIRECT("'GRD-"&amp;M19&amp;"'!$B:$R"),16,FALSE)))</f>
        <v/>
      </c>
      <c r="M19" s="68">
        <f t="array" ref="M19">IF(K19="","",IFERROR(OFFSET($BZ$11,0,MATCH($K19,$CA19:$FV19,0),),""))</f>
        <v/>
      </c>
      <c r="N19" s="119">
        <f t="array" ref="N19">IF(K19="","",INDIRECT("'GRD-"&amp;M19&amp;"'!$L$7"))</f>
        <v/>
      </c>
      <c r="O19" s="76">
        <f t="array" ref="O19">IFERROR(OFFSET($BZ$11,ROW($B19)-11,MATCH(O$10,$CA19:$FV19,0),),"")</f>
        <v/>
      </c>
      <c r="P19" s="77">
        <f>IF(O19="","",IF(VLOOKUP($B19,INDIRECT("'GRD-"&amp;Q19&amp;"'!$B:$R"),16,FALSE)="","",VLOOKUP($B19,INDIRECT("'GRD-"&amp;Q19&amp;"'!$B:$R"),16,FALSE)))</f>
        <v/>
      </c>
      <c r="Q19" s="120">
        <f t="array" ref="Q19">IF(O19="","",IFERROR(OFFSET($BZ$11,0,MATCH($O19,$CA19:$FV19,0),),""))</f>
        <v/>
      </c>
      <c r="R19" s="121">
        <f t="array" ref="R19">IF(O19="","",INDIRECT("'GRD-"&amp;Q19&amp;"'!$L$7"))</f>
        <v/>
      </c>
      <c r="S19" s="83">
        <f t="array" ref="S19">IFERROR(OFFSET($BZ$11,ROW($B19)-11,MATCH(S$10,$CA19:$FV19,0),),"")</f>
        <v/>
      </c>
      <c r="T19" s="83">
        <f>IF(S19="","",IF(VLOOKUP($B19,INDIRECT("'GRD-"&amp;U19&amp;"'!$B:$R"),16,FALSE)="","",VLOOKUP($B19,INDIRECT("'GRD-"&amp;U19&amp;"'!$B:$R"),16,FALSE)))</f>
        <v/>
      </c>
      <c r="U19" s="128">
        <f t="array" ref="U19">IF(S19="","",IFERROR(OFFSET($BZ$11,0,MATCH($S19,$CA19:$FV19,0),),""))</f>
        <v/>
      </c>
      <c r="V19" s="133">
        <f t="array" ref="V19">IF(S19="","",INDIRECT("'GRD-"&amp;U19&amp;"'!$L$7"))</f>
        <v/>
      </c>
      <c r="W19" s="84">
        <f t="array" ref="W19">IFERROR(OFFSET($BZ$11,ROW($B19)-11,MATCH(W$10,$CA19:$FV19,0),),"")</f>
        <v/>
      </c>
      <c r="X19" s="84">
        <f>IF(W19="","",IF(VLOOKUP($B19,INDIRECT("'GRD-"&amp;Y19&amp;"'!$B:$R"),16,FALSE)="","",VLOOKUP($B19,INDIRECT("'GRD-"&amp;Y19&amp;"'!$B:$R"),16,FALSE)))</f>
        <v/>
      </c>
      <c r="Y19" s="129">
        <f t="array" ref="Y19">IF(W19="","",IFERROR(OFFSET($BZ$11,0,MATCH($W19,$CA19:$FV19,0),),""))</f>
        <v/>
      </c>
      <c r="Z19" s="134">
        <f t="array" ref="Z19">IF(W19="","",INDIRECT("'GRD-"&amp;Y19&amp;"'!$L$7"))</f>
        <v/>
      </c>
      <c r="AA19" s="85">
        <f t="array" ref="AA19">IFERROR(OFFSET($BZ$11,ROW($B19)-11,MATCH(AA$10,$CA19:$FV19,0),),"")</f>
        <v/>
      </c>
      <c r="AB19" s="85">
        <f>IF(AA19="","",IF(VLOOKUP($B19,INDIRECT("'GRD-"&amp;AC19&amp;"'!$B:$R"),16,FALSE)="","",VLOOKUP($B19,INDIRECT("'GRD-"&amp;AC19&amp;"'!$B:$R"),16,FALSE)))</f>
        <v/>
      </c>
      <c r="AC19" s="130">
        <f t="array" ref="AC19">IF(AA19="","",IFERROR(OFFSET($BZ$11,0,MATCH($AA19,$CA19:$FV19,0),),""))</f>
        <v/>
      </c>
      <c r="AD19" s="131">
        <f t="array" ref="AD19">IF(AA19="","",INDIRECT("'GRD-"&amp;AC19&amp;"'!$L$7"))</f>
        <v/>
      </c>
      <c r="AE19" s="76">
        <f t="array" ref="AE19">IFERROR(OFFSET($BZ$11,ROW($B19)-11,MATCH(AE$10,$CA19:$FV19,0),),"")</f>
        <v/>
      </c>
      <c r="AF19" s="76">
        <f>IF(AE19="","",IF(VLOOKUP($B19,INDIRECT("'GRD-"&amp;AG19&amp;"'!$B:$R"),16,FALSE)="","",VLOOKUP($B19,INDIRECT("'GRD-"&amp;AG19&amp;"'!$B:$R"),16,FALSE)))</f>
        <v/>
      </c>
      <c r="AG19" s="132">
        <f t="array" ref="AG19">IF(AE19="","",IFERROR(OFFSET($BZ$11,0,MATCH($AE19,$CA19:$FV19,0),),""))</f>
        <v/>
      </c>
      <c r="AH19" s="121">
        <f t="array" ref="AH19">IF(AE19="","",INDIRECT("'GRD-"&amp;AG19&amp;"'!$L$7"))</f>
        <v/>
      </c>
      <c r="AI19" s="83">
        <f t="array" ref="AI19">IFERROR(OFFSET($BZ$11,ROW($B19)-11,MATCH(AI$10,$CA19:$FV19,0),),"")</f>
        <v/>
      </c>
      <c r="AJ19" s="83">
        <f>IF(AI19="","",IF(VLOOKUP($B19,INDIRECT("'GRD-"&amp;AK19&amp;"'!$B:$R"),16,FALSE)="","",VLOOKUP($B19,INDIRECT("'GRD-"&amp;AK19&amp;"'!$B:$R"),16,FALSE)))</f>
        <v/>
      </c>
      <c r="AK19" s="128">
        <f t="array" ref="AK19">IF(AI19="","",IFERROR(OFFSET($BZ$11,0,MATCH($AI19,$CA19:$FV19,0),),""))</f>
        <v/>
      </c>
      <c r="AL19" s="133">
        <f t="array" ref="AL19">IF(AI19="","",INDIRECT("'GRD-"&amp;AK19&amp;"'!$L$7"))</f>
        <v/>
      </c>
      <c r="AM19" s="84">
        <f t="array" ref="AM19">IFERROR(OFFSET($BZ$11,ROW($B19)-11,MATCH(AM$10,$CA19:$FV19,0),),"")</f>
        <v/>
      </c>
      <c r="AN19" s="84">
        <f>IF(AM19="","",IF(VLOOKUP($B19,INDIRECT("'GRD-"&amp;AO19&amp;"'!$B:$R"),16,FALSE)="","",VLOOKUP($B19,INDIRECT("'GRD-"&amp;AO19&amp;"'!$B:$R"),16,FALSE)))</f>
        <v/>
      </c>
      <c r="AO19" s="129">
        <f t="array" ref="AO19">IF(AM19="","",IFERROR(OFFSET($BZ$11,0,MATCH($AM19,$CA19:$FV19,0),),""))</f>
        <v/>
      </c>
      <c r="AP19" s="125">
        <f t="array" ref="AP19">IF(AM19="","",INDIRECT("'GRD-"&amp;AO19&amp;"'!$L$7"))</f>
        <v/>
      </c>
      <c r="AQ19" s="85">
        <f t="array" ref="AQ19">IFERROR(OFFSET($BZ$11,ROW($B19)-11,MATCH(AQ$10,$CA19:$FV19,0),),"")</f>
        <v/>
      </c>
      <c r="AR19" s="85">
        <f>IF(AQ19="","",IF(VLOOKUP($B19,INDIRECT("'GRD-"&amp;AS19&amp;"'!$B:$R"),16,FALSE)="","",VLOOKUP($B19,INDIRECT("'GRD-"&amp;AS19&amp;"'!$B:$R"),16,FALSE)))</f>
        <v/>
      </c>
      <c r="AS19" s="130">
        <f t="array" ref="AS19">IF(AQ19="","",IFERROR(OFFSET($BZ$11,0,MATCH($AQ19,$CA19:$FV19,0),),""))</f>
        <v/>
      </c>
      <c r="AT19" s="131">
        <f t="array" ref="AT19">IF(AQ19="","",INDIRECT("'GRD-"&amp;AS19&amp;"'!$L$7"))</f>
        <v/>
      </c>
      <c r="AU19" s="76">
        <f t="array" ref="AU19">IFERROR(OFFSET($BZ$11,ROW($B19)-11,MATCH(AU$10,$CA19:$FV19,0),),"")</f>
        <v/>
      </c>
      <c r="AV19" s="76">
        <f>IF(AU19="","",IF(VLOOKUP($B19,INDIRECT("'GRD-"&amp;AW19&amp;"'!$B:$R"),16,FALSE)="","",VLOOKUP($B19,INDIRECT("'GRD-"&amp;AW19&amp;"'!$B:$R"),16,FALSE)))</f>
        <v/>
      </c>
      <c r="AW19" s="132">
        <f t="array" ref="AW19">IF(AU19="","",IFERROR(OFFSET($BZ$11,0,MATCH($AU19,$CA19:$FV19,0),),""))</f>
        <v/>
      </c>
      <c r="AX19" s="121">
        <f t="array" ref="AX19">IF(AU19="","",INDIRECT("'GRD-"&amp;AW19&amp;"'!$L$7"))</f>
        <v/>
      </c>
      <c r="AY19" s="83">
        <f t="array" ref="AY19">IFERROR(OFFSET($BZ$11,ROW($B19)-11,MATCH(AY$10,$CA19:$FV19,0),),"")</f>
        <v/>
      </c>
      <c r="AZ19" s="83">
        <f>IF(AY19="","",IF(VLOOKUP($B19,INDIRECT("'GRD-"&amp;BA19&amp;"'!$B:$R"),16,FALSE)="","",VLOOKUP($B19,INDIRECT("'GRD-"&amp;BA19&amp;"'!$B:$R"),16,FALSE)))</f>
        <v/>
      </c>
      <c r="BA19" s="128">
        <f t="array" ref="BA19">IF(AY19="","",IFERROR(OFFSET($BZ$11,0,MATCH($AY19,$CA19:$FV19,0),),""))</f>
        <v/>
      </c>
      <c r="BB19" s="133">
        <f t="array" ref="BB19">IF(AY19="","",INDIRECT("'GRD-"&amp;BA19&amp;"'!$L$7"))</f>
        <v/>
      </c>
      <c r="BC19" s="84">
        <f t="array" ref="BC19">IFERROR(OFFSET($BZ$11,ROW($B19)-11,MATCH(BC$10,$CA19:$FV19,0),),"")</f>
        <v/>
      </c>
      <c r="BD19" s="84">
        <f>IF(BC19="","",IF(VLOOKUP($B19,INDIRECT("'GRD-"&amp;BE19&amp;"'!$B:$R"),16,FALSE)="","",VLOOKUP($B19,INDIRECT("'GRD-"&amp;BE19&amp;"'!$B:$R"),16,FALSE)))</f>
        <v/>
      </c>
      <c r="BE19" s="129">
        <f t="array" ref="BE19">IF(BC19="","",IFERROR(OFFSET($BZ$11,0,MATCH($BC19,$CA19:$FV19,0),),""))</f>
        <v/>
      </c>
      <c r="BF19" s="125">
        <f t="array" ref="BF19">IF(BC19="","",INDIRECT("'GRD-"&amp;BE19&amp;"'!$L$7"))</f>
        <v/>
      </c>
      <c r="CA19" s="96">
        <f>IFERROR(VLOOKUP($B19,INDIRECT("'GRD-"&amp;CA$11&amp;"'!B:R"),15,FALSE),"")</f>
        <v/>
      </c>
      <c r="CB19" s="96">
        <f>IFERROR(VLOOKUP($B19,INDIRECT("'GRD-"&amp;CB$11&amp;"'!B:R"),15,FALSE),"")</f>
        <v/>
      </c>
      <c r="CC19" s="96">
        <f>IFERROR(VLOOKUP($B19,INDIRECT("'GRD-"&amp;CC$11&amp;"'!B:R"),15,FALSE),"")</f>
        <v/>
      </c>
      <c r="CD19" s="96">
        <f>IFERROR(VLOOKUP($B19,INDIRECT("'GRD-"&amp;CD$11&amp;"'!B:R"),15,FALSE),"")</f>
        <v/>
      </c>
      <c r="CE19" s="96">
        <f>IFERROR(VLOOKUP($B19,INDIRECT("'GRD-"&amp;CE$11&amp;"'!B:R"),15,FALSE),"")</f>
        <v/>
      </c>
      <c r="CF19" s="96">
        <f>IFERROR(VLOOKUP($B19,INDIRECT("'GRD-"&amp;CF$11&amp;"'!B:R"),15,FALSE),"")</f>
        <v/>
      </c>
      <c r="CG19" s="96">
        <f>IFERROR(VLOOKUP($B19,INDIRECT("'GRD-"&amp;CG$11&amp;"'!B:R"),15,FALSE),"")</f>
        <v/>
      </c>
      <c r="CH19" s="96">
        <f>IFERROR(VLOOKUP($B19,INDIRECT("'GRD-"&amp;CH$11&amp;"'!B:R"),15,FALSE),"")</f>
        <v/>
      </c>
      <c r="CI19" s="96">
        <f>IFERROR(VLOOKUP($B19,INDIRECT("'GRD-"&amp;CI$11&amp;"'!B:R"),15,FALSE),"")</f>
        <v/>
      </c>
      <c r="CJ19" s="96">
        <f>IFERROR(VLOOKUP($B19,INDIRECT("'GRD-"&amp;CJ$11&amp;"'!B:R"),15,FALSE),"")</f>
        <v/>
      </c>
      <c r="CK19" s="96">
        <f>IFERROR(VLOOKUP($B19,INDIRECT("'GRD-"&amp;CK$11&amp;"'!B:R"),15,FALSE),"")</f>
        <v/>
      </c>
      <c r="CL19" s="96">
        <f>IFERROR(VLOOKUP($B19,INDIRECT("'GRD-"&amp;CL$11&amp;"'!B:R"),15,FALSE),"")</f>
        <v/>
      </c>
      <c r="CM19" s="96">
        <f>IFERROR(VLOOKUP($B19,INDIRECT("'GRD-"&amp;CM$11&amp;"'!B:R"),15,FALSE),"")</f>
        <v/>
      </c>
      <c r="CN19" s="96">
        <f>IFERROR(VLOOKUP($B19,INDIRECT("'GRD-"&amp;CN$11&amp;"'!B:R"),15,FALSE),"")</f>
        <v/>
      </c>
      <c r="CO19" s="96">
        <f>IFERROR(VLOOKUP($B19,INDIRECT("'GRD-"&amp;CO$11&amp;"'!B:R"),15,FALSE),"")</f>
        <v/>
      </c>
      <c r="CP19" s="96">
        <f>IFERROR(VLOOKUP($B19,INDIRECT("'GRD-"&amp;CP$11&amp;"'!B:R"),15,FALSE),"")</f>
        <v/>
      </c>
      <c r="CQ19" s="96">
        <f>IFERROR(VLOOKUP($B19,INDIRECT("'GRD-"&amp;CQ$11&amp;"'!B:R"),15,FALSE),"")</f>
        <v/>
      </c>
      <c r="CR19" s="96">
        <f>IFERROR(VLOOKUP($B19,INDIRECT("'GRD-"&amp;CR$11&amp;"'!B:R"),15,FALSE),"")</f>
        <v/>
      </c>
      <c r="CS19" s="96">
        <f>IFERROR(VLOOKUP($B19,INDIRECT("'GRD-"&amp;CS$11&amp;"'!B:R"),15,FALSE),"")</f>
        <v/>
      </c>
      <c r="CT19" s="96">
        <f>IFERROR(VLOOKUP($B19,INDIRECT("'GRD-"&amp;CT$11&amp;"'!B:R"),15,FALSE),"")</f>
        <v/>
      </c>
      <c r="CU19" s="96">
        <f>IFERROR(VLOOKUP($B19,INDIRECT("'GRD-"&amp;CU$11&amp;"'!B:R"),15,FALSE),"")</f>
        <v/>
      </c>
      <c r="CV19" s="96">
        <f>IFERROR(VLOOKUP($B19,INDIRECT("'GRD-"&amp;CV$11&amp;"'!B:R"),15,FALSE),"")</f>
        <v/>
      </c>
      <c r="CW19" s="96">
        <f>IFERROR(VLOOKUP($B19,INDIRECT("'GRD-"&amp;CW$11&amp;"'!B:R"),15,FALSE),"")</f>
        <v/>
      </c>
      <c r="CX19" s="96">
        <f>IFERROR(VLOOKUP($B19,INDIRECT("'GRD-"&amp;CX$11&amp;"'!B:R"),15,FALSE),"")</f>
        <v/>
      </c>
      <c r="CY19" s="96">
        <f>IFERROR(VLOOKUP($B19,INDIRECT("'GRD-"&amp;CY$11&amp;"'!B:R"),15,FALSE),"")</f>
        <v/>
      </c>
      <c r="CZ19" s="96">
        <f>IFERROR(VLOOKUP($B19,INDIRECT("'GRD-"&amp;CZ$11&amp;"'!B:R"),15,FALSE),"")</f>
        <v/>
      </c>
      <c r="DA19" s="96">
        <f>IFERROR(VLOOKUP($B19,INDIRECT("'GRD-"&amp;DA$11&amp;"'!B:R"),15,FALSE),"")</f>
        <v/>
      </c>
      <c r="DB19" s="96">
        <f>IFERROR(VLOOKUP($B19,INDIRECT("'GRD-"&amp;DB$11&amp;"'!B:R"),15,FALSE),"")</f>
        <v/>
      </c>
      <c r="DC19" s="96">
        <f>IFERROR(VLOOKUP($B19,INDIRECT("'GRD-"&amp;DC$11&amp;"'!B:R"),15,FALSE),"")</f>
        <v/>
      </c>
      <c r="DD19" s="96">
        <f>IFERROR(VLOOKUP($B19,INDIRECT("'GRD-"&amp;DD$11&amp;"'!B:R"),15,FALSE),"")</f>
        <v/>
      </c>
      <c r="DE19" s="96">
        <f>IFERROR(VLOOKUP($B19,INDIRECT("'GRD-"&amp;DE$11&amp;"'!B:R"),15,FALSE),"")</f>
        <v/>
      </c>
      <c r="DF19" s="96">
        <f>IFERROR(VLOOKUP($B19,INDIRECT("'GRD-"&amp;DF$11&amp;"'!B:R"),15,FALSE),"")</f>
        <v/>
      </c>
      <c r="DG19" s="96">
        <f>IFERROR(VLOOKUP($B19,INDIRECT("'GRD-"&amp;DG$11&amp;"'!B:R"),15,FALSE),"")</f>
        <v/>
      </c>
      <c r="DH19" s="96">
        <f>IFERROR(VLOOKUP($B19,INDIRECT("'GRD-"&amp;DH$11&amp;"'!B:R"),15,FALSE),"")</f>
        <v/>
      </c>
      <c r="DI19" s="96">
        <f>IFERROR(VLOOKUP($B19,INDIRECT("'GRD-"&amp;DI$11&amp;"'!B:R"),15,FALSE),"")</f>
        <v/>
      </c>
      <c r="DJ19" s="96">
        <f>IFERROR(VLOOKUP($B19,INDIRECT("'GRD-"&amp;DJ$11&amp;"'!B:R"),15,FALSE),"")</f>
        <v/>
      </c>
      <c r="DK19" s="96">
        <f>IFERROR(VLOOKUP($B19,INDIRECT("'GRD-"&amp;DK$11&amp;"'!B:R"),15,FALSE),"")</f>
        <v/>
      </c>
      <c r="DL19" s="96">
        <f>IFERROR(VLOOKUP($B19,INDIRECT("'GRD-"&amp;DL$11&amp;"'!B:R"),15,FALSE),"")</f>
        <v/>
      </c>
      <c r="DM19" s="96">
        <f>IFERROR(VLOOKUP($B19,INDIRECT("'GRD-"&amp;DM$11&amp;"'!B:R"),15,FALSE),"")</f>
        <v/>
      </c>
      <c r="DN19" s="96">
        <f>IFERROR(VLOOKUP($B19,INDIRECT("'GRD-"&amp;DN$11&amp;"'!B:R"),15,FALSE),"")</f>
        <v/>
      </c>
      <c r="DO19" s="96">
        <f>IFERROR(VLOOKUP($B19,INDIRECT("'GRD-"&amp;DO$11&amp;"'!B:R"),15,FALSE),"")</f>
        <v/>
      </c>
      <c r="DP19" s="96">
        <f>IFERROR(VLOOKUP($B19,INDIRECT("'GRD-"&amp;DP$11&amp;"'!B:R"),15,FALSE),"")</f>
        <v/>
      </c>
      <c r="DQ19" s="96">
        <f>IFERROR(VLOOKUP($B19,INDIRECT("'GRD-"&amp;DQ$11&amp;"'!B:R"),15,FALSE),"")</f>
        <v/>
      </c>
      <c r="DR19" s="96">
        <f>IFERROR(VLOOKUP($B19,INDIRECT("'GRD-"&amp;DR$11&amp;"'!B:R"),15,FALSE),"")</f>
        <v/>
      </c>
      <c r="DS19" s="96">
        <f>IFERROR(VLOOKUP($B19,INDIRECT("'GRD-"&amp;DS$11&amp;"'!B:R"),15,FALSE),"")</f>
        <v/>
      </c>
      <c r="DT19" s="96">
        <f>IFERROR(VLOOKUP($B19,INDIRECT("'GRD-"&amp;DT$11&amp;"'!B:R"),15,FALSE),"")</f>
        <v/>
      </c>
      <c r="DU19" s="96">
        <f>IFERROR(VLOOKUP($B19,INDIRECT("'GRD-"&amp;DU$11&amp;"'!B:R"),15,FALSE),"")</f>
        <v/>
      </c>
      <c r="DV19" s="96">
        <f>IFERROR(VLOOKUP($B19,INDIRECT("'GRD-"&amp;DV$11&amp;"'!B:R"),15,FALSE),"")</f>
        <v/>
      </c>
      <c r="DW19" s="96">
        <f>IFERROR(VLOOKUP($B19,INDIRECT("'GRD-"&amp;DW$11&amp;"'!B:R"),15,FALSE),"")</f>
        <v/>
      </c>
      <c r="DX19" s="96">
        <f>IFERROR(VLOOKUP($B19,INDIRECT("'GRD-"&amp;DX$11&amp;"'!B:R"),15,FALSE),"")</f>
        <v/>
      </c>
      <c r="DY19" s="96">
        <f>IFERROR(VLOOKUP($B19,INDIRECT("'GRD-"&amp;DY$11&amp;"'!B:R"),15,FALSE),"")</f>
        <v/>
      </c>
      <c r="DZ19" s="96">
        <f>IFERROR(VLOOKUP($B19,INDIRECT("'GRD-"&amp;DZ$11&amp;"'!B:R"),15,FALSE),"")</f>
        <v/>
      </c>
      <c r="EA19" s="96">
        <f>IFERROR(VLOOKUP($B19,INDIRECT("'GRD-"&amp;EA$11&amp;"'!B:R"),15,FALSE),"")</f>
        <v/>
      </c>
      <c r="EB19" s="96">
        <f>IFERROR(VLOOKUP($B19,INDIRECT("'GRD-"&amp;EB$11&amp;"'!B:R"),15,FALSE),"")</f>
        <v/>
      </c>
      <c r="EC19" s="96">
        <f>IFERROR(VLOOKUP($B19,INDIRECT("'GRD-"&amp;EC$11&amp;"'!B:R"),15,FALSE),"")</f>
        <v/>
      </c>
      <c r="ED19" s="96">
        <f>IFERROR(VLOOKUP($B19,INDIRECT("'GRD-"&amp;ED$11&amp;"'!B:R"),15,FALSE),"")</f>
        <v/>
      </c>
      <c r="EE19" s="96">
        <f>IFERROR(VLOOKUP($B19,INDIRECT("'GRD-"&amp;EE$11&amp;"'!B:R"),15,FALSE),"")</f>
        <v/>
      </c>
      <c r="EF19" s="96">
        <f>IFERROR(VLOOKUP($B19,INDIRECT("'GRD-"&amp;EF$11&amp;"'!B:R"),15,FALSE),"")</f>
        <v/>
      </c>
      <c r="EG19" s="96">
        <f>IFERROR(VLOOKUP($B19,INDIRECT("'GRD-"&amp;EG$11&amp;"'!B:R"),15,FALSE),"")</f>
        <v/>
      </c>
      <c r="EH19" s="96">
        <f>IFERROR(VLOOKUP($B19,INDIRECT("'GRD-"&amp;EH$11&amp;"'!B:R"),15,FALSE),"")</f>
        <v/>
      </c>
      <c r="EI19" s="96">
        <f>IFERROR(VLOOKUP($B19,INDIRECT("'GRD-"&amp;EI$11&amp;"'!B:R"),15,FALSE),"")</f>
        <v/>
      </c>
      <c r="EJ19" s="96">
        <f>IFERROR(VLOOKUP($B19,INDIRECT("'GRD-"&amp;EJ$11&amp;"'!B:R"),15,FALSE),"")</f>
        <v/>
      </c>
      <c r="EK19" s="96">
        <f>IFERROR(VLOOKUP($B19,INDIRECT("'GRD-"&amp;EK$11&amp;"'!B:R"),15,FALSE),"")</f>
        <v/>
      </c>
      <c r="EL19" s="96">
        <f>IFERROR(VLOOKUP($B19,INDIRECT("'GRD-"&amp;EL$11&amp;"'!B:R"),15,FALSE),"")</f>
        <v/>
      </c>
      <c r="EM19" s="96">
        <f>IFERROR(VLOOKUP($B19,INDIRECT("'GRD-"&amp;EM$11&amp;"'!B:R"),15,FALSE),"")</f>
        <v/>
      </c>
      <c r="EN19" s="96">
        <f>IFERROR(VLOOKUP($B19,INDIRECT("'GRD-"&amp;EN$11&amp;"'!B:R"),15,FALSE),"")</f>
        <v/>
      </c>
      <c r="EO19" s="96">
        <f>IFERROR(VLOOKUP($B19,INDIRECT("'GRD-"&amp;EO$11&amp;"'!B:R"),15,FALSE),"")</f>
        <v/>
      </c>
      <c r="EP19" s="96">
        <f>IFERROR(VLOOKUP($B19,INDIRECT("'GRD-"&amp;EP$11&amp;"'!B:R"),15,FALSE),"")</f>
        <v/>
      </c>
      <c r="EQ19" s="96">
        <f>IFERROR(VLOOKUP($B19,INDIRECT("'GRD-"&amp;EQ$11&amp;"'!B:R"),15,FALSE),"")</f>
        <v/>
      </c>
      <c r="ER19" s="96">
        <f>IFERROR(VLOOKUP($B19,INDIRECT("'GRD-"&amp;ER$11&amp;"'!B:R"),15,FALSE),"")</f>
        <v/>
      </c>
      <c r="ES19" s="96">
        <f>IFERROR(VLOOKUP($B19,INDIRECT("'GRD-"&amp;ES$11&amp;"'!B:R"),15,FALSE),"")</f>
        <v/>
      </c>
      <c r="ET19" s="96">
        <f>IFERROR(VLOOKUP($B19,INDIRECT("'GRD-"&amp;ET$11&amp;"'!B:R"),15,FALSE),"")</f>
        <v/>
      </c>
      <c r="EU19" s="96">
        <f>IFERROR(VLOOKUP($B19,INDIRECT("'GRD-"&amp;EU$11&amp;"'!B:R"),15,FALSE),"")</f>
        <v/>
      </c>
      <c r="EV19" s="96">
        <f>IFERROR(VLOOKUP($B19,INDIRECT("'GRD-"&amp;EV$11&amp;"'!B:R"),15,FALSE),"")</f>
        <v/>
      </c>
      <c r="EW19" s="96">
        <f>IFERROR(VLOOKUP($B19,INDIRECT("'GRD-"&amp;EW$11&amp;"'!B:R"),15,FALSE),"")</f>
        <v/>
      </c>
      <c r="EX19" s="96">
        <f>IFERROR(VLOOKUP($B19,INDIRECT("'GRD-"&amp;EX$11&amp;"'!B:R"),15,FALSE),"")</f>
        <v/>
      </c>
      <c r="EY19" s="96">
        <f>IFERROR(VLOOKUP($B19,INDIRECT("'GRD-"&amp;EY$11&amp;"'!B:R"),15,FALSE),"")</f>
        <v/>
      </c>
      <c r="EZ19" s="96">
        <f>IFERROR(VLOOKUP($B19,INDIRECT("'GRD-"&amp;EZ$11&amp;"'!B:R"),15,FALSE),"")</f>
        <v/>
      </c>
      <c r="FA19" s="96">
        <f>IFERROR(VLOOKUP($B19,INDIRECT("'GRD-"&amp;FA$11&amp;"'!B:R"),15,FALSE),"")</f>
        <v/>
      </c>
      <c r="FB19" s="96">
        <f>IFERROR(VLOOKUP($B19,INDIRECT("'GRD-"&amp;FB$11&amp;"'!B:R"),15,FALSE),"")</f>
        <v/>
      </c>
      <c r="FC19" s="96">
        <f>IFERROR(VLOOKUP($B19,INDIRECT("'GRD-"&amp;FC$11&amp;"'!B:R"),15,FALSE),"")</f>
        <v/>
      </c>
      <c r="FD19" s="96">
        <f>IFERROR(VLOOKUP($B19,INDIRECT("'GRD-"&amp;FD$11&amp;"'!B:R"),15,FALSE),"")</f>
        <v/>
      </c>
      <c r="FE19" s="96">
        <f>IFERROR(VLOOKUP($B19,INDIRECT("'GRD-"&amp;FE$11&amp;"'!B:R"),15,FALSE),"")</f>
        <v/>
      </c>
      <c r="FF19" s="96">
        <f>IFERROR(VLOOKUP($B19,INDIRECT("'GRD-"&amp;FF$11&amp;"'!B:R"),15,FALSE),"")</f>
        <v/>
      </c>
      <c r="FG19" s="96">
        <f>IFERROR(VLOOKUP($B19,INDIRECT("'GRD-"&amp;FG$11&amp;"'!B:R"),15,FALSE),"")</f>
        <v/>
      </c>
      <c r="FH19" s="96">
        <f>IFERROR(VLOOKUP($B19,INDIRECT("'GRD-"&amp;FH$11&amp;"'!B:R"),15,FALSE),"")</f>
        <v/>
      </c>
      <c r="FI19" s="96">
        <f>IFERROR(VLOOKUP($B19,INDIRECT("'GRD-"&amp;FI$11&amp;"'!B:R"),15,FALSE),"")</f>
        <v/>
      </c>
      <c r="FJ19" s="96">
        <f>IFERROR(VLOOKUP($B19,INDIRECT("'GRD-"&amp;FJ$11&amp;"'!B:R"),15,FALSE),"")</f>
        <v/>
      </c>
      <c r="FK19" s="96">
        <f>IFERROR(VLOOKUP($B19,INDIRECT("'GRD-"&amp;FK$11&amp;"'!B:R"),15,FALSE),"")</f>
        <v/>
      </c>
      <c r="FL19" s="96">
        <f>IFERROR(VLOOKUP($B19,INDIRECT("'GRD-"&amp;FL$11&amp;"'!B:R"),15,FALSE),"")</f>
        <v/>
      </c>
      <c r="FM19" s="96">
        <f>IFERROR(VLOOKUP($B19,INDIRECT("'GRD-"&amp;FM$11&amp;"'!B:R"),15,FALSE),"")</f>
        <v/>
      </c>
      <c r="FN19" s="96">
        <f>IFERROR(VLOOKUP($B19,INDIRECT("'GRD-"&amp;FN$11&amp;"'!B:R"),15,FALSE),"")</f>
        <v/>
      </c>
      <c r="FO19" s="96">
        <f>IFERROR(VLOOKUP($B19,INDIRECT("'GRD-"&amp;FO$11&amp;"'!B:R"),15,FALSE),"")</f>
        <v/>
      </c>
      <c r="FP19" s="96">
        <f>IFERROR(VLOOKUP($B19,INDIRECT("'GRD-"&amp;FP$11&amp;"'!B:R"),15,FALSE),"")</f>
        <v/>
      </c>
      <c r="FQ19" s="96">
        <f>IFERROR(VLOOKUP($B19,INDIRECT("'GRD-"&amp;FQ$11&amp;"'!B:R"),15,FALSE),"")</f>
        <v/>
      </c>
      <c r="FR19" s="96">
        <f>IFERROR(VLOOKUP($B19,INDIRECT("'GRD-"&amp;FR$11&amp;"'!B:R"),15,FALSE),"")</f>
        <v/>
      </c>
      <c r="FS19" s="96">
        <f>IFERROR(VLOOKUP($B19,INDIRECT("'GRD-"&amp;FS$11&amp;"'!B:R"),15,FALSE),"")</f>
        <v/>
      </c>
      <c r="FT19" s="96">
        <f>IFERROR(VLOOKUP($B19,INDIRECT("'GRD-"&amp;FT$11&amp;"'!B:R"),15,FALSE),"")</f>
        <v/>
      </c>
      <c r="FU19" s="96">
        <f>IFERROR(VLOOKUP($B19,INDIRECT("'GRD-"&amp;FU$11&amp;"'!B:R"),15,FALSE),"")</f>
        <v/>
      </c>
      <c r="FV19" s="96">
        <f>IFERROR(VLOOKUP($B19,INDIRECT("'GRD-"&amp;FV$11&amp;"'!B:R"),15,FALSE),"")</f>
        <v/>
      </c>
    </row>
    <row r="20">
      <c r="B20" s="68" t="n"/>
      <c r="C20" s="72" t="n"/>
      <c r="D20" s="73">
        <f>IF(K20="","",MAX($CA20:$FV20))</f>
        <v/>
      </c>
      <c r="E20" s="74">
        <f t="array" ref="E20">IF($K20="","",OFFSET($A$1,ROW($B20)-1,11+$D20*4,))</f>
        <v/>
      </c>
      <c r="F20" s="74">
        <f t="array" ref="F20">IF($K20="","",OFFSET($A$1,ROW($B20)-1,12+$D20*4,))</f>
        <v/>
      </c>
      <c r="G20" s="118">
        <f t="array" ref="G20">IF($K20="","",OFFSET($A$1,ROW($B20)-1,13+$D20*4,))</f>
        <v/>
      </c>
      <c r="H20" s="81" t="n"/>
      <c r="I20" s="82" t="n"/>
      <c r="J20" s="75">
        <f>IF(I20="A4",H20/8,IF(I20="A3",H20/4,IF(I20="A2",H20/2,IF(I20="A1",H20/1,IF(I20="A0",H20*2,"")))))</f>
        <v/>
      </c>
      <c r="K20" s="68">
        <f t="array" ref="K20">IFERROR(OFFSET($BZ$11,ROW($B20)-11,MATCH(K$10,$CA20:$FV20,0),),"")</f>
        <v/>
      </c>
      <c r="L20" s="68">
        <f>IF(K20="","",IF(VLOOKUP($B20,INDIRECT("'GRD-"&amp;M20&amp;"'!$B:$R"),16,FALSE)="","",VLOOKUP($B20,INDIRECT("'GRD-"&amp;M20&amp;"'!$B:$R"),16,FALSE)))</f>
        <v/>
      </c>
      <c r="M20" s="68">
        <f t="array" ref="M20">IF(K20="","",IFERROR(OFFSET($BZ$11,0,MATCH($K20,$CA20:$FV20,0),),""))</f>
        <v/>
      </c>
      <c r="N20" s="119">
        <f t="array" ref="N20">IF(K20="","",INDIRECT("'GRD-"&amp;M20&amp;"'!$L$7"))</f>
        <v/>
      </c>
      <c r="O20" s="76">
        <f t="array" ref="O20">IFERROR(OFFSET($BZ$11,ROW($B20)-11,MATCH(O$10,$CA20:$FV20,0),),"")</f>
        <v/>
      </c>
      <c r="P20" s="77">
        <f>IF(O20="","",IF(VLOOKUP($B20,INDIRECT("'GRD-"&amp;Q20&amp;"'!$B:$R"),16,FALSE)="","",VLOOKUP($B20,INDIRECT("'GRD-"&amp;Q20&amp;"'!$B:$R"),16,FALSE)))</f>
        <v/>
      </c>
      <c r="Q20" s="120">
        <f t="array" ref="Q20">IF(O20="","",IFERROR(OFFSET($BZ$11,0,MATCH($O20,$CA20:$FV20,0),),""))</f>
        <v/>
      </c>
      <c r="R20" s="121">
        <f t="array" ref="R20">IF(O20="","",INDIRECT("'GRD-"&amp;Q20&amp;"'!$L$7"))</f>
        <v/>
      </c>
      <c r="S20" s="83">
        <f t="array" ref="S20">IFERROR(OFFSET($BZ$11,ROW($B20)-11,MATCH(S$10,$CA20:$FV20,0),),"")</f>
        <v/>
      </c>
      <c r="T20" s="83">
        <f>IF(S20="","",IF(VLOOKUP($B20,INDIRECT("'GRD-"&amp;U20&amp;"'!$B:$R"),16,FALSE)="","",VLOOKUP($B20,INDIRECT("'GRD-"&amp;U20&amp;"'!$B:$R"),16,FALSE)))</f>
        <v/>
      </c>
      <c r="U20" s="128">
        <f t="array" ref="U20">IF(S20="","",IFERROR(OFFSET($BZ$11,0,MATCH($S20,$CA20:$FV20,0),),""))</f>
        <v/>
      </c>
      <c r="V20" s="133">
        <f t="array" ref="V20">IF(S20="","",INDIRECT("'GRD-"&amp;U20&amp;"'!$L$7"))</f>
        <v/>
      </c>
      <c r="W20" s="84">
        <f t="array" ref="W20">IFERROR(OFFSET($BZ$11,ROW($B20)-11,MATCH(W$10,$CA20:$FV20,0),),"")</f>
        <v/>
      </c>
      <c r="X20" s="84">
        <f>IF(W20="","",IF(VLOOKUP($B20,INDIRECT("'GRD-"&amp;Y20&amp;"'!$B:$R"),16,FALSE)="","",VLOOKUP($B20,INDIRECT("'GRD-"&amp;Y20&amp;"'!$B:$R"),16,FALSE)))</f>
        <v/>
      </c>
      <c r="Y20" s="129">
        <f t="array" ref="Y20">IF(W20="","",IFERROR(OFFSET($BZ$11,0,MATCH($W20,$CA20:$FV20,0),),""))</f>
        <v/>
      </c>
      <c r="Z20" s="134">
        <f t="array" ref="Z20">IF(W20="","",INDIRECT("'GRD-"&amp;Y20&amp;"'!$L$7"))</f>
        <v/>
      </c>
      <c r="AA20" s="85">
        <f t="array" ref="AA20">IFERROR(OFFSET($BZ$11,ROW($B20)-11,MATCH(AA$10,$CA20:$FV20,0),),"")</f>
        <v/>
      </c>
      <c r="AB20" s="85">
        <f>IF(AA20="","",IF(VLOOKUP($B20,INDIRECT("'GRD-"&amp;AC20&amp;"'!$B:$R"),16,FALSE)="","",VLOOKUP($B20,INDIRECT("'GRD-"&amp;AC20&amp;"'!$B:$R"),16,FALSE)))</f>
        <v/>
      </c>
      <c r="AC20" s="130">
        <f t="array" ref="AC20">IF(AA20="","",IFERROR(OFFSET($BZ$11,0,MATCH($AA20,$CA20:$FV20,0),),""))</f>
        <v/>
      </c>
      <c r="AD20" s="131">
        <f t="array" ref="AD20">IF(AA20="","",INDIRECT("'GRD-"&amp;AC20&amp;"'!$L$7"))</f>
        <v/>
      </c>
      <c r="AE20" s="76">
        <f t="array" ref="AE20">IFERROR(OFFSET($BZ$11,ROW($B20)-11,MATCH(AE$10,$CA20:$FV20,0),),"")</f>
        <v/>
      </c>
      <c r="AF20" s="76">
        <f>IF(AE20="","",IF(VLOOKUP($B20,INDIRECT("'GRD-"&amp;AG20&amp;"'!$B:$R"),16,FALSE)="","",VLOOKUP($B20,INDIRECT("'GRD-"&amp;AG20&amp;"'!$B:$R"),16,FALSE)))</f>
        <v/>
      </c>
      <c r="AG20" s="132">
        <f t="array" ref="AG20">IF(AE20="","",IFERROR(OFFSET($BZ$11,0,MATCH($AE20,$CA20:$FV20,0),),""))</f>
        <v/>
      </c>
      <c r="AH20" s="121">
        <f t="array" ref="AH20">IF(AE20="","",INDIRECT("'GRD-"&amp;AG20&amp;"'!$L$7"))</f>
        <v/>
      </c>
      <c r="AI20" s="83">
        <f t="array" ref="AI20">IFERROR(OFFSET($BZ$11,ROW($B20)-11,MATCH(AI$10,$CA20:$FV20,0),),"")</f>
        <v/>
      </c>
      <c r="AJ20" s="83">
        <f>IF(AI20="","",IF(VLOOKUP($B20,INDIRECT("'GRD-"&amp;AK20&amp;"'!$B:$R"),16,FALSE)="","",VLOOKUP($B20,INDIRECT("'GRD-"&amp;AK20&amp;"'!$B:$R"),16,FALSE)))</f>
        <v/>
      </c>
      <c r="AK20" s="128">
        <f t="array" ref="AK20">IF(AI20="","",IFERROR(OFFSET($BZ$11,0,MATCH($AI20,$CA20:$FV20,0),),""))</f>
        <v/>
      </c>
      <c r="AL20" s="133">
        <f t="array" ref="AL20">IF(AI20="","",INDIRECT("'GRD-"&amp;AK20&amp;"'!$L$7"))</f>
        <v/>
      </c>
      <c r="AM20" s="84">
        <f t="array" ref="AM20">IFERROR(OFFSET($BZ$11,ROW($B20)-11,MATCH(AM$10,$CA20:$FV20,0),),"")</f>
        <v/>
      </c>
      <c r="AN20" s="84">
        <f>IF(AM20="","",IF(VLOOKUP($B20,INDIRECT("'GRD-"&amp;AO20&amp;"'!$B:$R"),16,FALSE)="","",VLOOKUP($B20,INDIRECT("'GRD-"&amp;AO20&amp;"'!$B:$R"),16,FALSE)))</f>
        <v/>
      </c>
      <c r="AO20" s="129">
        <f t="array" ref="AO20">IF(AM20="","",IFERROR(OFFSET($BZ$11,0,MATCH($AM20,$CA20:$FV20,0),),""))</f>
        <v/>
      </c>
      <c r="AP20" s="134">
        <f t="array" ref="AP20">IF(AM20="","",INDIRECT("'GRD-"&amp;AO20&amp;"'!$L$7"))</f>
        <v/>
      </c>
      <c r="AQ20" s="85">
        <f t="array" ref="AQ20">IFERROR(OFFSET($BZ$11,ROW($B20)-11,MATCH(AQ$10,$CA20:$FV20,0),),"")</f>
        <v/>
      </c>
      <c r="AR20" s="85">
        <f>IF(AQ20="","",IF(VLOOKUP($B20,INDIRECT("'GRD-"&amp;AS20&amp;"'!$B:$R"),16,FALSE)="","",VLOOKUP($B20,INDIRECT("'GRD-"&amp;AS20&amp;"'!$B:$R"),16,FALSE)))</f>
        <v/>
      </c>
      <c r="AS20" s="130">
        <f t="array" ref="AS20">IF(AQ20="","",IFERROR(OFFSET($BZ$11,0,MATCH($AQ20,$CA20:$FV20,0),),""))</f>
        <v/>
      </c>
      <c r="AT20" s="131">
        <f t="array" ref="AT20">IF(AQ20="","",INDIRECT("'GRD-"&amp;AS20&amp;"'!$L$7"))</f>
        <v/>
      </c>
      <c r="AU20" s="76">
        <f t="array" ref="AU20">IFERROR(OFFSET($BZ$11,ROW($B20)-11,MATCH(AU$10,$CA20:$FV20,0),),"")</f>
        <v/>
      </c>
      <c r="AV20" s="76">
        <f>IF(AU20="","",IF(VLOOKUP($B20,INDIRECT("'GRD-"&amp;AW20&amp;"'!$B:$R"),16,FALSE)="","",VLOOKUP($B20,INDIRECT("'GRD-"&amp;AW20&amp;"'!$B:$R"),16,FALSE)))</f>
        <v/>
      </c>
      <c r="AW20" s="132">
        <f t="array" ref="AW20">IF(AU20="","",IFERROR(OFFSET($BZ$11,0,MATCH($AU20,$CA20:$FV20,0),),""))</f>
        <v/>
      </c>
      <c r="AX20" s="121">
        <f t="array" ref="AX20">IF(AU20="","",INDIRECT("'GRD-"&amp;AW20&amp;"'!$L$7"))</f>
        <v/>
      </c>
      <c r="AY20" s="83">
        <f t="array" ref="AY20">IFERROR(OFFSET($BZ$11,ROW($B20)-11,MATCH(AY$10,$CA20:$FV20,0),),"")</f>
        <v/>
      </c>
      <c r="AZ20" s="83">
        <f>IF(AY20="","",IF(VLOOKUP($B20,INDIRECT("'GRD-"&amp;BA20&amp;"'!$B:$R"),16,FALSE)="","",VLOOKUP($B20,INDIRECT("'GRD-"&amp;BA20&amp;"'!$B:$R"),16,FALSE)))</f>
        <v/>
      </c>
      <c r="BA20" s="128">
        <f t="array" ref="BA20">IF(AY20="","",IFERROR(OFFSET($BZ$11,0,MATCH($AY20,$CA20:$FV20,0),),""))</f>
        <v/>
      </c>
      <c r="BB20" s="133">
        <f t="array" ref="BB20">IF(AY20="","",INDIRECT("'GRD-"&amp;BA20&amp;"'!$L$7"))</f>
        <v/>
      </c>
      <c r="BC20" s="84">
        <f t="array" ref="BC20">IFERROR(OFFSET($BZ$11,ROW($B20)-11,MATCH(BC$10,$CA20:$FV20,0),),"")</f>
        <v/>
      </c>
      <c r="BD20" s="84">
        <f>IF(BC20="","",IF(VLOOKUP($B20,INDIRECT("'GRD-"&amp;BE20&amp;"'!$B:$R"),16,FALSE)="","",VLOOKUP($B20,INDIRECT("'GRD-"&amp;BE20&amp;"'!$B:$R"),16,FALSE)))</f>
        <v/>
      </c>
      <c r="BE20" s="129">
        <f t="array" ref="BE20">IF(BC20="","",IFERROR(OFFSET($BZ$11,0,MATCH($BC20,$CA20:$FV20,0),),""))</f>
        <v/>
      </c>
      <c r="BF20" s="134">
        <f t="array" ref="BF20">IF(BC20="","",INDIRECT("'GRD-"&amp;BE20&amp;"'!$L$7"))</f>
        <v/>
      </c>
      <c r="CA20" s="96">
        <f>IFERROR(VLOOKUP($B20,INDIRECT("'GRD-"&amp;CA$11&amp;"'!B:R"),15,FALSE),"")</f>
        <v/>
      </c>
      <c r="CB20" s="96">
        <f>IFERROR(VLOOKUP($B20,INDIRECT("'GRD-"&amp;CB$11&amp;"'!B:R"),15,FALSE),"")</f>
        <v/>
      </c>
      <c r="CC20" s="96">
        <f>IFERROR(VLOOKUP($B20,INDIRECT("'GRD-"&amp;CC$11&amp;"'!B:R"),15,FALSE),"")</f>
        <v/>
      </c>
      <c r="CD20" s="96">
        <f>IFERROR(VLOOKUP($B20,INDIRECT("'GRD-"&amp;CD$11&amp;"'!B:R"),15,FALSE),"")</f>
        <v/>
      </c>
      <c r="CE20" s="96">
        <f>IFERROR(VLOOKUP($B20,INDIRECT("'GRD-"&amp;CE$11&amp;"'!B:R"),15,FALSE),"")</f>
        <v/>
      </c>
      <c r="CF20" s="96">
        <f>IFERROR(VLOOKUP($B20,INDIRECT("'GRD-"&amp;CF$11&amp;"'!B:R"),15,FALSE),"")</f>
        <v/>
      </c>
      <c r="CG20" s="96">
        <f>IFERROR(VLOOKUP($B20,INDIRECT("'GRD-"&amp;CG$11&amp;"'!B:R"),15,FALSE),"")</f>
        <v/>
      </c>
      <c r="CH20" s="96">
        <f>IFERROR(VLOOKUP($B20,INDIRECT("'GRD-"&amp;CH$11&amp;"'!B:R"),15,FALSE),"")</f>
        <v/>
      </c>
      <c r="CI20" s="96">
        <f>IFERROR(VLOOKUP($B20,INDIRECT("'GRD-"&amp;CI$11&amp;"'!B:R"),15,FALSE),"")</f>
        <v/>
      </c>
      <c r="CJ20" s="96">
        <f>IFERROR(VLOOKUP($B20,INDIRECT("'GRD-"&amp;CJ$11&amp;"'!B:R"),15,FALSE),"")</f>
        <v/>
      </c>
      <c r="CK20" s="96">
        <f>IFERROR(VLOOKUP($B20,INDIRECT("'GRD-"&amp;CK$11&amp;"'!B:R"),15,FALSE),"")</f>
        <v/>
      </c>
      <c r="CL20" s="96">
        <f>IFERROR(VLOOKUP($B20,INDIRECT("'GRD-"&amp;CL$11&amp;"'!B:R"),15,FALSE),"")</f>
        <v/>
      </c>
      <c r="CM20" s="96">
        <f>IFERROR(VLOOKUP($B20,INDIRECT("'GRD-"&amp;CM$11&amp;"'!B:R"),15,FALSE),"")</f>
        <v/>
      </c>
      <c r="CN20" s="96">
        <f>IFERROR(VLOOKUP($B20,INDIRECT("'GRD-"&amp;CN$11&amp;"'!B:R"),15,FALSE),"")</f>
        <v/>
      </c>
      <c r="CO20" s="96">
        <f>IFERROR(VLOOKUP($B20,INDIRECT("'GRD-"&amp;CO$11&amp;"'!B:R"),15,FALSE),"")</f>
        <v/>
      </c>
      <c r="CP20" s="96">
        <f>IFERROR(VLOOKUP($B20,INDIRECT("'GRD-"&amp;CP$11&amp;"'!B:R"),15,FALSE),"")</f>
        <v/>
      </c>
      <c r="CQ20" s="96">
        <f>IFERROR(VLOOKUP($B20,INDIRECT("'GRD-"&amp;CQ$11&amp;"'!B:R"),15,FALSE),"")</f>
        <v/>
      </c>
      <c r="CR20" s="96">
        <f>IFERROR(VLOOKUP($B20,INDIRECT("'GRD-"&amp;CR$11&amp;"'!B:R"),15,FALSE),"")</f>
        <v/>
      </c>
      <c r="CS20" s="96">
        <f>IFERROR(VLOOKUP($B20,INDIRECT("'GRD-"&amp;CS$11&amp;"'!B:R"),15,FALSE),"")</f>
        <v/>
      </c>
      <c r="CT20" s="96">
        <f>IFERROR(VLOOKUP($B20,INDIRECT("'GRD-"&amp;CT$11&amp;"'!B:R"),15,FALSE),"")</f>
        <v/>
      </c>
      <c r="CU20" s="96">
        <f>IFERROR(VLOOKUP($B20,INDIRECT("'GRD-"&amp;CU$11&amp;"'!B:R"),15,FALSE),"")</f>
        <v/>
      </c>
      <c r="CV20" s="96">
        <f>IFERROR(VLOOKUP($B20,INDIRECT("'GRD-"&amp;CV$11&amp;"'!B:R"),15,FALSE),"")</f>
        <v/>
      </c>
      <c r="CW20" s="96">
        <f>IFERROR(VLOOKUP($B20,INDIRECT("'GRD-"&amp;CW$11&amp;"'!B:R"),15,FALSE),"")</f>
        <v/>
      </c>
      <c r="CX20" s="96">
        <f>IFERROR(VLOOKUP($B20,INDIRECT("'GRD-"&amp;CX$11&amp;"'!B:R"),15,FALSE),"")</f>
        <v/>
      </c>
      <c r="CY20" s="96">
        <f>IFERROR(VLOOKUP($B20,INDIRECT("'GRD-"&amp;CY$11&amp;"'!B:R"),15,FALSE),"")</f>
        <v/>
      </c>
      <c r="CZ20" s="96">
        <f>IFERROR(VLOOKUP($B20,INDIRECT("'GRD-"&amp;CZ$11&amp;"'!B:R"),15,FALSE),"")</f>
        <v/>
      </c>
      <c r="DA20" s="96">
        <f>IFERROR(VLOOKUP($B20,INDIRECT("'GRD-"&amp;DA$11&amp;"'!B:R"),15,FALSE),"")</f>
        <v/>
      </c>
      <c r="DB20" s="96">
        <f>IFERROR(VLOOKUP($B20,INDIRECT("'GRD-"&amp;DB$11&amp;"'!B:R"),15,FALSE),"")</f>
        <v/>
      </c>
      <c r="DC20" s="96">
        <f>IFERROR(VLOOKUP($B20,INDIRECT("'GRD-"&amp;DC$11&amp;"'!B:R"),15,FALSE),"")</f>
        <v/>
      </c>
      <c r="DD20" s="96">
        <f>IFERROR(VLOOKUP($B20,INDIRECT("'GRD-"&amp;DD$11&amp;"'!B:R"),15,FALSE),"")</f>
        <v/>
      </c>
      <c r="DE20" s="96">
        <f>IFERROR(VLOOKUP($B20,INDIRECT("'GRD-"&amp;DE$11&amp;"'!B:R"),15,FALSE),"")</f>
        <v/>
      </c>
      <c r="DF20" s="96">
        <f>IFERROR(VLOOKUP($B20,INDIRECT("'GRD-"&amp;DF$11&amp;"'!B:R"),15,FALSE),"")</f>
        <v/>
      </c>
      <c r="DG20" s="96">
        <f>IFERROR(VLOOKUP($B20,INDIRECT("'GRD-"&amp;DG$11&amp;"'!B:R"),15,FALSE),"")</f>
        <v/>
      </c>
      <c r="DH20" s="96">
        <f>IFERROR(VLOOKUP($B20,INDIRECT("'GRD-"&amp;DH$11&amp;"'!B:R"),15,FALSE),"")</f>
        <v/>
      </c>
      <c r="DI20" s="96">
        <f>IFERROR(VLOOKUP($B20,INDIRECT("'GRD-"&amp;DI$11&amp;"'!B:R"),15,FALSE),"")</f>
        <v/>
      </c>
      <c r="DJ20" s="96">
        <f>IFERROR(VLOOKUP($B20,INDIRECT("'GRD-"&amp;DJ$11&amp;"'!B:R"),15,FALSE),"")</f>
        <v/>
      </c>
      <c r="DK20" s="96">
        <f>IFERROR(VLOOKUP($B20,INDIRECT("'GRD-"&amp;DK$11&amp;"'!B:R"),15,FALSE),"")</f>
        <v/>
      </c>
      <c r="DL20" s="96">
        <f>IFERROR(VLOOKUP($B20,INDIRECT("'GRD-"&amp;DL$11&amp;"'!B:R"),15,FALSE),"")</f>
        <v/>
      </c>
      <c r="DM20" s="96">
        <f>IFERROR(VLOOKUP($B20,INDIRECT("'GRD-"&amp;DM$11&amp;"'!B:R"),15,FALSE),"")</f>
        <v/>
      </c>
      <c r="DN20" s="96">
        <f>IFERROR(VLOOKUP($B20,INDIRECT("'GRD-"&amp;DN$11&amp;"'!B:R"),15,FALSE),"")</f>
        <v/>
      </c>
      <c r="DO20" s="96">
        <f>IFERROR(VLOOKUP($B20,INDIRECT("'GRD-"&amp;DO$11&amp;"'!B:R"),15,FALSE),"")</f>
        <v/>
      </c>
      <c r="DP20" s="96">
        <f>IFERROR(VLOOKUP($B20,INDIRECT("'GRD-"&amp;DP$11&amp;"'!B:R"),15,FALSE),"")</f>
        <v/>
      </c>
      <c r="DQ20" s="96">
        <f>IFERROR(VLOOKUP($B20,INDIRECT("'GRD-"&amp;DQ$11&amp;"'!B:R"),15,FALSE),"")</f>
        <v/>
      </c>
      <c r="DR20" s="96">
        <f>IFERROR(VLOOKUP($B20,INDIRECT("'GRD-"&amp;DR$11&amp;"'!B:R"),15,FALSE),"")</f>
        <v/>
      </c>
      <c r="DS20" s="96">
        <f>IFERROR(VLOOKUP($B20,INDIRECT("'GRD-"&amp;DS$11&amp;"'!B:R"),15,FALSE),"")</f>
        <v/>
      </c>
      <c r="DT20" s="96">
        <f>IFERROR(VLOOKUP($B20,INDIRECT("'GRD-"&amp;DT$11&amp;"'!B:R"),15,FALSE),"")</f>
        <v/>
      </c>
      <c r="DU20" s="96">
        <f>IFERROR(VLOOKUP($B20,INDIRECT("'GRD-"&amp;DU$11&amp;"'!B:R"),15,FALSE),"")</f>
        <v/>
      </c>
      <c r="DV20" s="96">
        <f>IFERROR(VLOOKUP($B20,INDIRECT("'GRD-"&amp;DV$11&amp;"'!B:R"),15,FALSE),"")</f>
        <v/>
      </c>
      <c r="DW20" s="96">
        <f>IFERROR(VLOOKUP($B20,INDIRECT("'GRD-"&amp;DW$11&amp;"'!B:R"),15,FALSE),"")</f>
        <v/>
      </c>
      <c r="DX20" s="96">
        <f>IFERROR(VLOOKUP($B20,INDIRECT("'GRD-"&amp;DX$11&amp;"'!B:R"),15,FALSE),"")</f>
        <v/>
      </c>
      <c r="DY20" s="96">
        <f>IFERROR(VLOOKUP($B20,INDIRECT("'GRD-"&amp;DY$11&amp;"'!B:R"),15,FALSE),"")</f>
        <v/>
      </c>
      <c r="DZ20" s="96">
        <f>IFERROR(VLOOKUP($B20,INDIRECT("'GRD-"&amp;DZ$11&amp;"'!B:R"),15,FALSE),"")</f>
        <v/>
      </c>
      <c r="EA20" s="96">
        <f>IFERROR(VLOOKUP($B20,INDIRECT("'GRD-"&amp;EA$11&amp;"'!B:R"),15,FALSE),"")</f>
        <v/>
      </c>
      <c r="EB20" s="96">
        <f>IFERROR(VLOOKUP($B20,INDIRECT("'GRD-"&amp;EB$11&amp;"'!B:R"),15,FALSE),"")</f>
        <v/>
      </c>
      <c r="EC20" s="96">
        <f>IFERROR(VLOOKUP($B20,INDIRECT("'GRD-"&amp;EC$11&amp;"'!B:R"),15,FALSE),"")</f>
        <v/>
      </c>
      <c r="ED20" s="96">
        <f>IFERROR(VLOOKUP($B20,INDIRECT("'GRD-"&amp;ED$11&amp;"'!B:R"),15,FALSE),"")</f>
        <v/>
      </c>
      <c r="EE20" s="96">
        <f>IFERROR(VLOOKUP($B20,INDIRECT("'GRD-"&amp;EE$11&amp;"'!B:R"),15,FALSE),"")</f>
        <v/>
      </c>
      <c r="EF20" s="96">
        <f>IFERROR(VLOOKUP($B20,INDIRECT("'GRD-"&amp;EF$11&amp;"'!B:R"),15,FALSE),"")</f>
        <v/>
      </c>
      <c r="EG20" s="96">
        <f>IFERROR(VLOOKUP($B20,INDIRECT("'GRD-"&amp;EG$11&amp;"'!B:R"),15,FALSE),"")</f>
        <v/>
      </c>
      <c r="EH20" s="96">
        <f>IFERROR(VLOOKUP($B20,INDIRECT("'GRD-"&amp;EH$11&amp;"'!B:R"),15,FALSE),"")</f>
        <v/>
      </c>
      <c r="EI20" s="96">
        <f>IFERROR(VLOOKUP($B20,INDIRECT("'GRD-"&amp;EI$11&amp;"'!B:R"),15,FALSE),"")</f>
        <v/>
      </c>
      <c r="EJ20" s="96">
        <f>IFERROR(VLOOKUP($B20,INDIRECT("'GRD-"&amp;EJ$11&amp;"'!B:R"),15,FALSE),"")</f>
        <v/>
      </c>
      <c r="EK20" s="96">
        <f>IFERROR(VLOOKUP($B20,INDIRECT("'GRD-"&amp;EK$11&amp;"'!B:R"),15,FALSE),"")</f>
        <v/>
      </c>
      <c r="EL20" s="96">
        <f>IFERROR(VLOOKUP($B20,INDIRECT("'GRD-"&amp;EL$11&amp;"'!B:R"),15,FALSE),"")</f>
        <v/>
      </c>
      <c r="EM20" s="96">
        <f>IFERROR(VLOOKUP($B20,INDIRECT("'GRD-"&amp;EM$11&amp;"'!B:R"),15,FALSE),"")</f>
        <v/>
      </c>
      <c r="EN20" s="96">
        <f>IFERROR(VLOOKUP($B20,INDIRECT("'GRD-"&amp;EN$11&amp;"'!B:R"),15,FALSE),"")</f>
        <v/>
      </c>
      <c r="EO20" s="96">
        <f>IFERROR(VLOOKUP($B20,INDIRECT("'GRD-"&amp;EO$11&amp;"'!B:R"),15,FALSE),"")</f>
        <v/>
      </c>
      <c r="EP20" s="96">
        <f>IFERROR(VLOOKUP($B20,INDIRECT("'GRD-"&amp;EP$11&amp;"'!B:R"),15,FALSE),"")</f>
        <v/>
      </c>
      <c r="EQ20" s="96">
        <f>IFERROR(VLOOKUP($B20,INDIRECT("'GRD-"&amp;EQ$11&amp;"'!B:R"),15,FALSE),"")</f>
        <v/>
      </c>
      <c r="ER20" s="96">
        <f>IFERROR(VLOOKUP($B20,INDIRECT("'GRD-"&amp;ER$11&amp;"'!B:R"),15,FALSE),"")</f>
        <v/>
      </c>
      <c r="ES20" s="96">
        <f>IFERROR(VLOOKUP($B20,INDIRECT("'GRD-"&amp;ES$11&amp;"'!B:R"),15,FALSE),"")</f>
        <v/>
      </c>
      <c r="ET20" s="96">
        <f>IFERROR(VLOOKUP($B20,INDIRECT("'GRD-"&amp;ET$11&amp;"'!B:R"),15,FALSE),"")</f>
        <v/>
      </c>
      <c r="EU20" s="96">
        <f>IFERROR(VLOOKUP($B20,INDIRECT("'GRD-"&amp;EU$11&amp;"'!B:R"),15,FALSE),"")</f>
        <v/>
      </c>
      <c r="EV20" s="96">
        <f>IFERROR(VLOOKUP($B20,INDIRECT("'GRD-"&amp;EV$11&amp;"'!B:R"),15,FALSE),"")</f>
        <v/>
      </c>
      <c r="EW20" s="96">
        <f>IFERROR(VLOOKUP($B20,INDIRECT("'GRD-"&amp;EW$11&amp;"'!B:R"),15,FALSE),"")</f>
        <v/>
      </c>
      <c r="EX20" s="96">
        <f>IFERROR(VLOOKUP($B20,INDIRECT("'GRD-"&amp;EX$11&amp;"'!B:R"),15,FALSE),"")</f>
        <v/>
      </c>
      <c r="EY20" s="96">
        <f>IFERROR(VLOOKUP($B20,INDIRECT("'GRD-"&amp;EY$11&amp;"'!B:R"),15,FALSE),"")</f>
        <v/>
      </c>
      <c r="EZ20" s="96">
        <f>IFERROR(VLOOKUP($B20,INDIRECT("'GRD-"&amp;EZ$11&amp;"'!B:R"),15,FALSE),"")</f>
        <v/>
      </c>
      <c r="FA20" s="96">
        <f>IFERROR(VLOOKUP($B20,INDIRECT("'GRD-"&amp;FA$11&amp;"'!B:R"),15,FALSE),"")</f>
        <v/>
      </c>
      <c r="FB20" s="96">
        <f>IFERROR(VLOOKUP($B20,INDIRECT("'GRD-"&amp;FB$11&amp;"'!B:R"),15,FALSE),"")</f>
        <v/>
      </c>
      <c r="FC20" s="96">
        <f>IFERROR(VLOOKUP($B20,INDIRECT("'GRD-"&amp;FC$11&amp;"'!B:R"),15,FALSE),"")</f>
        <v/>
      </c>
      <c r="FD20" s="96">
        <f>IFERROR(VLOOKUP($B20,INDIRECT("'GRD-"&amp;FD$11&amp;"'!B:R"),15,FALSE),"")</f>
        <v/>
      </c>
      <c r="FE20" s="96">
        <f>IFERROR(VLOOKUP($B20,INDIRECT("'GRD-"&amp;FE$11&amp;"'!B:R"),15,FALSE),"")</f>
        <v/>
      </c>
      <c r="FF20" s="96">
        <f>IFERROR(VLOOKUP($B20,INDIRECT("'GRD-"&amp;FF$11&amp;"'!B:R"),15,FALSE),"")</f>
        <v/>
      </c>
      <c r="FG20" s="96">
        <f>IFERROR(VLOOKUP($B20,INDIRECT("'GRD-"&amp;FG$11&amp;"'!B:R"),15,FALSE),"")</f>
        <v/>
      </c>
      <c r="FH20" s="96">
        <f>IFERROR(VLOOKUP($B20,INDIRECT("'GRD-"&amp;FH$11&amp;"'!B:R"),15,FALSE),"")</f>
        <v/>
      </c>
      <c r="FI20" s="96">
        <f>IFERROR(VLOOKUP($B20,INDIRECT("'GRD-"&amp;FI$11&amp;"'!B:R"),15,FALSE),"")</f>
        <v/>
      </c>
      <c r="FJ20" s="96">
        <f>IFERROR(VLOOKUP($B20,INDIRECT("'GRD-"&amp;FJ$11&amp;"'!B:R"),15,FALSE),"")</f>
        <v/>
      </c>
      <c r="FK20" s="96">
        <f>IFERROR(VLOOKUP($B20,INDIRECT("'GRD-"&amp;FK$11&amp;"'!B:R"),15,FALSE),"")</f>
        <v/>
      </c>
      <c r="FL20" s="96">
        <f>IFERROR(VLOOKUP($B20,INDIRECT("'GRD-"&amp;FL$11&amp;"'!B:R"),15,FALSE),"")</f>
        <v/>
      </c>
      <c r="FM20" s="96">
        <f>IFERROR(VLOOKUP($B20,INDIRECT("'GRD-"&amp;FM$11&amp;"'!B:R"),15,FALSE),"")</f>
        <v/>
      </c>
      <c r="FN20" s="96">
        <f>IFERROR(VLOOKUP($B20,INDIRECT("'GRD-"&amp;FN$11&amp;"'!B:R"),15,FALSE),"")</f>
        <v/>
      </c>
      <c r="FO20" s="96">
        <f>IFERROR(VLOOKUP($B20,INDIRECT("'GRD-"&amp;FO$11&amp;"'!B:R"),15,FALSE),"")</f>
        <v/>
      </c>
      <c r="FP20" s="96">
        <f>IFERROR(VLOOKUP($B20,INDIRECT("'GRD-"&amp;FP$11&amp;"'!B:R"),15,FALSE),"")</f>
        <v/>
      </c>
      <c r="FQ20" s="96">
        <f>IFERROR(VLOOKUP($B20,INDIRECT("'GRD-"&amp;FQ$11&amp;"'!B:R"),15,FALSE),"")</f>
        <v/>
      </c>
      <c r="FR20" s="96">
        <f>IFERROR(VLOOKUP($B20,INDIRECT("'GRD-"&amp;FR$11&amp;"'!B:R"),15,FALSE),"")</f>
        <v/>
      </c>
      <c r="FS20" s="96">
        <f>IFERROR(VLOOKUP($B20,INDIRECT("'GRD-"&amp;FS$11&amp;"'!B:R"),15,FALSE),"")</f>
        <v/>
      </c>
      <c r="FT20" s="96">
        <f>IFERROR(VLOOKUP($B20,INDIRECT("'GRD-"&amp;FT$11&amp;"'!B:R"),15,FALSE),"")</f>
        <v/>
      </c>
      <c r="FU20" s="96">
        <f>IFERROR(VLOOKUP($B20,INDIRECT("'GRD-"&amp;FU$11&amp;"'!B:R"),15,FALSE),"")</f>
        <v/>
      </c>
      <c r="FV20" s="96">
        <f>IFERROR(VLOOKUP($B20,INDIRECT("'GRD-"&amp;FV$11&amp;"'!B:R"),15,FALSE),"")</f>
        <v/>
      </c>
    </row>
    <row r="21">
      <c r="B21" s="68" t="n"/>
      <c r="C21" s="72" t="n"/>
      <c r="D21" s="73">
        <f>IF(K21="","",MAX($CA21:$FV21))</f>
        <v/>
      </c>
      <c r="E21" s="74">
        <f t="array" ref="E21">IF($K21="","",OFFSET($A$1,ROW($B21)-1,11+$D21*4,))</f>
        <v/>
      </c>
      <c r="F21" s="74">
        <f t="array" ref="F21">IF($K21="","",OFFSET($A$1,ROW($B21)-1,12+$D21*4,))</f>
        <v/>
      </c>
      <c r="G21" s="118">
        <f t="array" ref="G21">IF($K21="","",OFFSET($A$1,ROW($B21)-1,13+$D21*4,))</f>
        <v/>
      </c>
      <c r="H21" s="81" t="n"/>
      <c r="I21" s="82" t="n"/>
      <c r="J21" s="75">
        <f>IF(I21="A4",H21/8,IF(I21="A3",H21/4,IF(I21="A2",H21/2,IF(I21="A1",H21/1,IF(I21="A0",H21*2,"")))))</f>
        <v/>
      </c>
      <c r="K21" s="68">
        <f t="array" ref="K21">IFERROR(OFFSET($BZ$11,ROW($B21)-11,MATCH(K$10,$CA21:$FV21,0),),"")</f>
        <v/>
      </c>
      <c r="L21" s="68">
        <f>IF(K21="","",IF(VLOOKUP($B21,INDIRECT("'GRD-"&amp;M21&amp;"'!$B:$R"),16,FALSE)="","",VLOOKUP($B21,INDIRECT("'GRD-"&amp;M21&amp;"'!$B:$R"),16,FALSE)))</f>
        <v/>
      </c>
      <c r="M21" s="68">
        <f t="array" ref="M21">IF(K21="","",IFERROR(OFFSET($BZ$11,0,MATCH($K21,$CA21:$FV21,0),),""))</f>
        <v/>
      </c>
      <c r="N21" s="119">
        <f t="array" ref="N21">IF(K21="","",INDIRECT("'GRD-"&amp;M21&amp;"'!$L$7"))</f>
        <v/>
      </c>
      <c r="O21" s="76">
        <f t="array" ref="O21">IFERROR(OFFSET($BZ$11,ROW($B21)-11,MATCH(O$10,$CA21:$FV21,0),),"")</f>
        <v/>
      </c>
      <c r="P21" s="77">
        <f>IF(O21="","",IF(VLOOKUP($B21,INDIRECT("'GRD-"&amp;Q21&amp;"'!$B:$R"),16,FALSE)="","",VLOOKUP($B21,INDIRECT("'GRD-"&amp;Q21&amp;"'!$B:$R"),16,FALSE)))</f>
        <v/>
      </c>
      <c r="Q21" s="120">
        <f t="array" ref="Q21">IF(O21="","",IFERROR(OFFSET($BZ$11,0,MATCH($O21,$CA21:$FV21,0),),""))</f>
        <v/>
      </c>
      <c r="R21" s="121">
        <f t="array" ref="R21">IF(O21="","",INDIRECT("'GRD-"&amp;Q21&amp;"'!$L$7"))</f>
        <v/>
      </c>
      <c r="S21" s="83">
        <f t="array" ref="S21">IFERROR(OFFSET($BZ$11,ROW($B21)-11,MATCH(S$10,$CA21:$FV21,0),),"")</f>
        <v/>
      </c>
      <c r="T21" s="83">
        <f>IF(S21="","",IF(VLOOKUP($B21,INDIRECT("'GRD-"&amp;U21&amp;"'!$B:$R"),16,FALSE)="","",VLOOKUP($B21,INDIRECT("'GRD-"&amp;U21&amp;"'!$B:$R"),16,FALSE)))</f>
        <v/>
      </c>
      <c r="U21" s="128">
        <f t="array" ref="U21">IF(S21="","",IFERROR(OFFSET($BZ$11,0,MATCH($S21,$CA21:$FV21,0),),""))</f>
        <v/>
      </c>
      <c r="V21" s="133">
        <f t="array" ref="V21">IF(S21="","",INDIRECT("'GRD-"&amp;U21&amp;"'!$L$7"))</f>
        <v/>
      </c>
      <c r="W21" s="84">
        <f t="array" ref="W21">IFERROR(OFFSET($BZ$11,ROW($B21)-11,MATCH(W$10,$CA21:$FV21,0),),"")</f>
        <v/>
      </c>
      <c r="X21" s="84">
        <f>IF(W21="","",IF(VLOOKUP($B21,INDIRECT("'GRD-"&amp;Y21&amp;"'!$B:$R"),16,FALSE)="","",VLOOKUP($B21,INDIRECT("'GRD-"&amp;Y21&amp;"'!$B:$R"),16,FALSE)))</f>
        <v/>
      </c>
      <c r="Y21" s="129">
        <f t="array" ref="Y21">IF(W21="","",IFERROR(OFFSET($BZ$11,0,MATCH($W21,$CA21:$FV21,0),),""))</f>
        <v/>
      </c>
      <c r="Z21" s="134">
        <f t="array" ref="Z21">IF(W21="","",INDIRECT("'GRD-"&amp;Y21&amp;"'!$L$7"))</f>
        <v/>
      </c>
      <c r="AA21" s="85">
        <f t="array" ref="AA21">IFERROR(OFFSET($BZ$11,ROW($B21)-11,MATCH(AA$10,$CA21:$FV21,0),),"")</f>
        <v/>
      </c>
      <c r="AB21" s="85">
        <f>IF(AA21="","",IF(VLOOKUP($B21,INDIRECT("'GRD-"&amp;AC21&amp;"'!$B:$R"),16,FALSE)="","",VLOOKUP($B21,INDIRECT("'GRD-"&amp;AC21&amp;"'!$B:$R"),16,FALSE)))</f>
        <v/>
      </c>
      <c r="AC21" s="130">
        <f t="array" ref="AC21">IF(AA21="","",IFERROR(OFFSET($BZ$11,0,MATCH($AA21,$CA21:$FV21,0),),""))</f>
        <v/>
      </c>
      <c r="AD21" s="131">
        <f t="array" ref="AD21">IF(AA21="","",INDIRECT("'GRD-"&amp;AC21&amp;"'!$L$7"))</f>
        <v/>
      </c>
      <c r="AE21" s="76">
        <f t="array" ref="AE21">IFERROR(OFFSET($BZ$11,ROW($B21)-11,MATCH(AE$10,$CA21:$FV21,0),),"")</f>
        <v/>
      </c>
      <c r="AF21" s="76">
        <f>IF(AE21="","",IF(VLOOKUP($B21,INDIRECT("'GRD-"&amp;AG21&amp;"'!$B:$R"),16,FALSE)="","",VLOOKUP($B21,INDIRECT("'GRD-"&amp;AG21&amp;"'!$B:$R"),16,FALSE)))</f>
        <v/>
      </c>
      <c r="AG21" s="132">
        <f t="array" ref="AG21">IF(AE21="","",IFERROR(OFFSET($BZ$11,0,MATCH($AE21,$CA21:$FV21,0),),""))</f>
        <v/>
      </c>
      <c r="AH21" s="121">
        <f t="array" ref="AH21">IF(AE21="","",INDIRECT("'GRD-"&amp;AG21&amp;"'!$L$7"))</f>
        <v/>
      </c>
      <c r="AI21" s="83">
        <f t="array" ref="AI21">IFERROR(OFFSET($BZ$11,ROW($B21)-11,MATCH(AI$10,$CA21:$FV21,0),),"")</f>
        <v/>
      </c>
      <c r="AJ21" s="83">
        <f>IF(AI21="","",IF(VLOOKUP($B21,INDIRECT("'GRD-"&amp;AK21&amp;"'!$B:$R"),16,FALSE)="","",VLOOKUP($B21,INDIRECT("'GRD-"&amp;AK21&amp;"'!$B:$R"),16,FALSE)))</f>
        <v/>
      </c>
      <c r="AK21" s="128">
        <f t="array" ref="AK21">IF(AI21="","",IFERROR(OFFSET($BZ$11,0,MATCH($AI21,$CA21:$FV21,0),),""))</f>
        <v/>
      </c>
      <c r="AL21" s="133">
        <f t="array" ref="AL21">IF(AI21="","",INDIRECT("'GRD-"&amp;AK21&amp;"'!$L$7"))</f>
        <v/>
      </c>
      <c r="AM21" s="84">
        <f t="array" ref="AM21">IFERROR(OFFSET($BZ$11,ROW($B21)-11,MATCH(AM$10,$CA21:$FV21,0),),"")</f>
        <v/>
      </c>
      <c r="AN21" s="84">
        <f>IF(AM21="","",IF(VLOOKUP($B21,INDIRECT("'GRD-"&amp;AO21&amp;"'!$B:$R"),16,FALSE)="","",VLOOKUP($B21,INDIRECT("'GRD-"&amp;AO21&amp;"'!$B:$R"),16,FALSE)))</f>
        <v/>
      </c>
      <c r="AO21" s="129">
        <f t="array" ref="AO21">IF(AM21="","",IFERROR(OFFSET($BZ$11,0,MATCH($AM21,$CA21:$FV21,0),),""))</f>
        <v/>
      </c>
      <c r="AP21" s="134">
        <f t="array" ref="AP21">IF(AM21="","",INDIRECT("'GRD-"&amp;AO21&amp;"'!$L$7"))</f>
        <v/>
      </c>
      <c r="AQ21" s="85">
        <f t="array" ref="AQ21">IFERROR(OFFSET($BZ$11,ROW($B21)-11,MATCH(AQ$10,$CA21:$FV21,0),),"")</f>
        <v/>
      </c>
      <c r="AR21" s="85">
        <f>IF(AQ21="","",IF(VLOOKUP($B21,INDIRECT("'GRD-"&amp;AS21&amp;"'!$B:$R"),16,FALSE)="","",VLOOKUP($B21,INDIRECT("'GRD-"&amp;AS21&amp;"'!$B:$R"),16,FALSE)))</f>
        <v/>
      </c>
      <c r="AS21" s="130">
        <f t="array" ref="AS21">IF(AQ21="","",IFERROR(OFFSET($BZ$11,0,MATCH($AQ21,$CA21:$FV21,0),),""))</f>
        <v/>
      </c>
      <c r="AT21" s="131">
        <f t="array" ref="AT21">IF(AQ21="","",INDIRECT("'GRD-"&amp;AS21&amp;"'!$L$7"))</f>
        <v/>
      </c>
      <c r="AU21" s="76">
        <f t="array" ref="AU21">IFERROR(OFFSET($BZ$11,ROW($B21)-11,MATCH(AU$10,$CA21:$FV21,0),),"")</f>
        <v/>
      </c>
      <c r="AV21" s="76">
        <f>IF(AU21="","",IF(VLOOKUP($B21,INDIRECT("'GRD-"&amp;AW21&amp;"'!$B:$R"),16,FALSE)="","",VLOOKUP($B21,INDIRECT("'GRD-"&amp;AW21&amp;"'!$B:$R"),16,FALSE)))</f>
        <v/>
      </c>
      <c r="AW21" s="132">
        <f t="array" ref="AW21">IF(AU21="","",IFERROR(OFFSET($BZ$11,0,MATCH($AU21,$CA21:$FV21,0),),""))</f>
        <v/>
      </c>
      <c r="AX21" s="121">
        <f t="array" ref="AX21">IF(AU21="","",INDIRECT("'GRD-"&amp;AW21&amp;"'!$L$7"))</f>
        <v/>
      </c>
      <c r="AY21" s="83">
        <f t="array" ref="AY21">IFERROR(OFFSET($BZ$11,ROW($B21)-11,MATCH(AY$10,$CA21:$FV21,0),),"")</f>
        <v/>
      </c>
      <c r="AZ21" s="83">
        <f>IF(AY21="","",IF(VLOOKUP($B21,INDIRECT("'GRD-"&amp;BA21&amp;"'!$B:$R"),16,FALSE)="","",VLOOKUP($B21,INDIRECT("'GRD-"&amp;BA21&amp;"'!$B:$R"),16,FALSE)))</f>
        <v/>
      </c>
      <c r="BA21" s="128">
        <f t="array" ref="BA21">IF(AY21="","",IFERROR(OFFSET($BZ$11,0,MATCH($AY21,$CA21:$FV21,0),),""))</f>
        <v/>
      </c>
      <c r="BB21" s="133">
        <f t="array" ref="BB21">IF(AY21="","",INDIRECT("'GRD-"&amp;BA21&amp;"'!$L$7"))</f>
        <v/>
      </c>
      <c r="BC21" s="84">
        <f t="array" ref="BC21">IFERROR(OFFSET($BZ$11,ROW($B21)-11,MATCH(BC$10,$CA21:$FV21,0),),"")</f>
        <v/>
      </c>
      <c r="BD21" s="84">
        <f>IF(BC21="","",IF(VLOOKUP($B21,INDIRECT("'GRD-"&amp;BE21&amp;"'!$B:$R"),16,FALSE)="","",VLOOKUP($B21,INDIRECT("'GRD-"&amp;BE21&amp;"'!$B:$R"),16,FALSE)))</f>
        <v/>
      </c>
      <c r="BE21" s="129">
        <f t="array" ref="BE21">IF(BC21="","",IFERROR(OFFSET($BZ$11,0,MATCH($BC21,$CA21:$FV21,0),),""))</f>
        <v/>
      </c>
      <c r="BF21" s="134">
        <f t="array" ref="BF21">IF(BC21="","",INDIRECT("'GRD-"&amp;BE21&amp;"'!$L$7"))</f>
        <v/>
      </c>
      <c r="CA21" s="96">
        <f>IFERROR(VLOOKUP($B21,INDIRECT("'GRD-"&amp;CA$11&amp;"'!B:R"),15,FALSE),"")</f>
        <v/>
      </c>
      <c r="CB21" s="96">
        <f>IFERROR(VLOOKUP($B21,INDIRECT("'GRD-"&amp;CB$11&amp;"'!B:R"),15,FALSE),"")</f>
        <v/>
      </c>
      <c r="CC21" s="96">
        <f>IFERROR(VLOOKUP($B21,INDIRECT("'GRD-"&amp;CC$11&amp;"'!B:R"),15,FALSE),"")</f>
        <v/>
      </c>
      <c r="CD21" s="96">
        <f>IFERROR(VLOOKUP($B21,INDIRECT("'GRD-"&amp;CD$11&amp;"'!B:R"),15,FALSE),"")</f>
        <v/>
      </c>
      <c r="CE21" s="96">
        <f>IFERROR(VLOOKUP($B21,INDIRECT("'GRD-"&amp;CE$11&amp;"'!B:R"),15,FALSE),"")</f>
        <v/>
      </c>
      <c r="CF21" s="96">
        <f>IFERROR(VLOOKUP($B21,INDIRECT("'GRD-"&amp;CF$11&amp;"'!B:R"),15,FALSE),"")</f>
        <v/>
      </c>
      <c r="CG21" s="96">
        <f>IFERROR(VLOOKUP($B21,INDIRECT("'GRD-"&amp;CG$11&amp;"'!B:R"),15,FALSE),"")</f>
        <v/>
      </c>
      <c r="CH21" s="96">
        <f>IFERROR(VLOOKUP($B21,INDIRECT("'GRD-"&amp;CH$11&amp;"'!B:R"),15,FALSE),"")</f>
        <v/>
      </c>
      <c r="CI21" s="96">
        <f>IFERROR(VLOOKUP($B21,INDIRECT("'GRD-"&amp;CI$11&amp;"'!B:R"),15,FALSE),"")</f>
        <v/>
      </c>
      <c r="CJ21" s="96">
        <f>IFERROR(VLOOKUP($B21,INDIRECT("'GRD-"&amp;CJ$11&amp;"'!B:R"),15,FALSE),"")</f>
        <v/>
      </c>
      <c r="CK21" s="96">
        <f>IFERROR(VLOOKUP($B21,INDIRECT("'GRD-"&amp;CK$11&amp;"'!B:R"),15,FALSE),"")</f>
        <v/>
      </c>
      <c r="CL21" s="96">
        <f>IFERROR(VLOOKUP($B21,INDIRECT("'GRD-"&amp;CL$11&amp;"'!B:R"),15,FALSE),"")</f>
        <v/>
      </c>
      <c r="CM21" s="96">
        <f>IFERROR(VLOOKUP($B21,INDIRECT("'GRD-"&amp;CM$11&amp;"'!B:R"),15,FALSE),"")</f>
        <v/>
      </c>
      <c r="CN21" s="96">
        <f>IFERROR(VLOOKUP($B21,INDIRECT("'GRD-"&amp;CN$11&amp;"'!B:R"),15,FALSE),"")</f>
        <v/>
      </c>
      <c r="CO21" s="96">
        <f>IFERROR(VLOOKUP($B21,INDIRECT("'GRD-"&amp;CO$11&amp;"'!B:R"),15,FALSE),"")</f>
        <v/>
      </c>
      <c r="CP21" s="96">
        <f>IFERROR(VLOOKUP($B21,INDIRECT("'GRD-"&amp;CP$11&amp;"'!B:R"),15,FALSE),"")</f>
        <v/>
      </c>
      <c r="CQ21" s="96">
        <f>IFERROR(VLOOKUP($B21,INDIRECT("'GRD-"&amp;CQ$11&amp;"'!B:R"),15,FALSE),"")</f>
        <v/>
      </c>
      <c r="CR21" s="96">
        <f>IFERROR(VLOOKUP($B21,INDIRECT("'GRD-"&amp;CR$11&amp;"'!B:R"),15,FALSE),"")</f>
        <v/>
      </c>
      <c r="CS21" s="96">
        <f>IFERROR(VLOOKUP($B21,INDIRECT("'GRD-"&amp;CS$11&amp;"'!B:R"),15,FALSE),"")</f>
        <v/>
      </c>
      <c r="CT21" s="96">
        <f>IFERROR(VLOOKUP($B21,INDIRECT("'GRD-"&amp;CT$11&amp;"'!B:R"),15,FALSE),"")</f>
        <v/>
      </c>
      <c r="CU21" s="96">
        <f>IFERROR(VLOOKUP($B21,INDIRECT("'GRD-"&amp;CU$11&amp;"'!B:R"),15,FALSE),"")</f>
        <v/>
      </c>
      <c r="CV21" s="96">
        <f>IFERROR(VLOOKUP($B21,INDIRECT("'GRD-"&amp;CV$11&amp;"'!B:R"),15,FALSE),"")</f>
        <v/>
      </c>
      <c r="CW21" s="96">
        <f>IFERROR(VLOOKUP($B21,INDIRECT("'GRD-"&amp;CW$11&amp;"'!B:R"),15,FALSE),"")</f>
        <v/>
      </c>
      <c r="CX21" s="96">
        <f>IFERROR(VLOOKUP($B21,INDIRECT("'GRD-"&amp;CX$11&amp;"'!B:R"),15,FALSE),"")</f>
        <v/>
      </c>
      <c r="CY21" s="96">
        <f>IFERROR(VLOOKUP($B21,INDIRECT("'GRD-"&amp;CY$11&amp;"'!B:R"),15,FALSE),"")</f>
        <v/>
      </c>
      <c r="CZ21" s="96">
        <f>IFERROR(VLOOKUP($B21,INDIRECT("'GRD-"&amp;CZ$11&amp;"'!B:R"),15,FALSE),"")</f>
        <v/>
      </c>
      <c r="DA21" s="96">
        <f>IFERROR(VLOOKUP($B21,INDIRECT("'GRD-"&amp;DA$11&amp;"'!B:R"),15,FALSE),"")</f>
        <v/>
      </c>
      <c r="DB21" s="96">
        <f>IFERROR(VLOOKUP($B21,INDIRECT("'GRD-"&amp;DB$11&amp;"'!B:R"),15,FALSE),"")</f>
        <v/>
      </c>
      <c r="DC21" s="96">
        <f>IFERROR(VLOOKUP($B21,INDIRECT("'GRD-"&amp;DC$11&amp;"'!B:R"),15,FALSE),"")</f>
        <v/>
      </c>
      <c r="DD21" s="96">
        <f>IFERROR(VLOOKUP($B21,INDIRECT("'GRD-"&amp;DD$11&amp;"'!B:R"),15,FALSE),"")</f>
        <v/>
      </c>
      <c r="DE21" s="96">
        <f>IFERROR(VLOOKUP($B21,INDIRECT("'GRD-"&amp;DE$11&amp;"'!B:R"),15,FALSE),"")</f>
        <v/>
      </c>
      <c r="DF21" s="96">
        <f>IFERROR(VLOOKUP($B21,INDIRECT("'GRD-"&amp;DF$11&amp;"'!B:R"),15,FALSE),"")</f>
        <v/>
      </c>
      <c r="DG21" s="96">
        <f>IFERROR(VLOOKUP($B21,INDIRECT("'GRD-"&amp;DG$11&amp;"'!B:R"),15,FALSE),"")</f>
        <v/>
      </c>
      <c r="DH21" s="96">
        <f>IFERROR(VLOOKUP($B21,INDIRECT("'GRD-"&amp;DH$11&amp;"'!B:R"),15,FALSE),"")</f>
        <v/>
      </c>
      <c r="DI21" s="96">
        <f>IFERROR(VLOOKUP($B21,INDIRECT("'GRD-"&amp;DI$11&amp;"'!B:R"),15,FALSE),"")</f>
        <v/>
      </c>
      <c r="DJ21" s="96">
        <f>IFERROR(VLOOKUP($B21,INDIRECT("'GRD-"&amp;DJ$11&amp;"'!B:R"),15,FALSE),"")</f>
        <v/>
      </c>
      <c r="DK21" s="96">
        <f>IFERROR(VLOOKUP($B21,INDIRECT("'GRD-"&amp;DK$11&amp;"'!B:R"),15,FALSE),"")</f>
        <v/>
      </c>
      <c r="DL21" s="96">
        <f>IFERROR(VLOOKUP($B21,INDIRECT("'GRD-"&amp;DL$11&amp;"'!B:R"),15,FALSE),"")</f>
        <v/>
      </c>
      <c r="DM21" s="96">
        <f>IFERROR(VLOOKUP($B21,INDIRECT("'GRD-"&amp;DM$11&amp;"'!B:R"),15,FALSE),"")</f>
        <v/>
      </c>
      <c r="DN21" s="96">
        <f>IFERROR(VLOOKUP($B21,INDIRECT("'GRD-"&amp;DN$11&amp;"'!B:R"),15,FALSE),"")</f>
        <v/>
      </c>
      <c r="DO21" s="96">
        <f>IFERROR(VLOOKUP($B21,INDIRECT("'GRD-"&amp;DO$11&amp;"'!B:R"),15,FALSE),"")</f>
        <v/>
      </c>
      <c r="DP21" s="96">
        <f>IFERROR(VLOOKUP($B21,INDIRECT("'GRD-"&amp;DP$11&amp;"'!B:R"),15,FALSE),"")</f>
        <v/>
      </c>
      <c r="DQ21" s="96">
        <f>IFERROR(VLOOKUP($B21,INDIRECT("'GRD-"&amp;DQ$11&amp;"'!B:R"),15,FALSE),"")</f>
        <v/>
      </c>
      <c r="DR21" s="96">
        <f>IFERROR(VLOOKUP($B21,INDIRECT("'GRD-"&amp;DR$11&amp;"'!B:R"),15,FALSE),"")</f>
        <v/>
      </c>
      <c r="DS21" s="96">
        <f>IFERROR(VLOOKUP($B21,INDIRECT("'GRD-"&amp;DS$11&amp;"'!B:R"),15,FALSE),"")</f>
        <v/>
      </c>
      <c r="DT21" s="96">
        <f>IFERROR(VLOOKUP($B21,INDIRECT("'GRD-"&amp;DT$11&amp;"'!B:R"),15,FALSE),"")</f>
        <v/>
      </c>
      <c r="DU21" s="96">
        <f>IFERROR(VLOOKUP($B21,INDIRECT("'GRD-"&amp;DU$11&amp;"'!B:R"),15,FALSE),"")</f>
        <v/>
      </c>
      <c r="DV21" s="96">
        <f>IFERROR(VLOOKUP($B21,INDIRECT("'GRD-"&amp;DV$11&amp;"'!B:R"),15,FALSE),"")</f>
        <v/>
      </c>
      <c r="DW21" s="96">
        <f>IFERROR(VLOOKUP($B21,INDIRECT("'GRD-"&amp;DW$11&amp;"'!B:R"),15,FALSE),"")</f>
        <v/>
      </c>
      <c r="DX21" s="96">
        <f>IFERROR(VLOOKUP($B21,INDIRECT("'GRD-"&amp;DX$11&amp;"'!B:R"),15,FALSE),"")</f>
        <v/>
      </c>
      <c r="DY21" s="96">
        <f>IFERROR(VLOOKUP($B21,INDIRECT("'GRD-"&amp;DY$11&amp;"'!B:R"),15,FALSE),"")</f>
        <v/>
      </c>
      <c r="DZ21" s="96">
        <f>IFERROR(VLOOKUP($B21,INDIRECT("'GRD-"&amp;DZ$11&amp;"'!B:R"),15,FALSE),"")</f>
        <v/>
      </c>
      <c r="EA21" s="96">
        <f>IFERROR(VLOOKUP($B21,INDIRECT("'GRD-"&amp;EA$11&amp;"'!B:R"),15,FALSE),"")</f>
        <v/>
      </c>
      <c r="EB21" s="96">
        <f>IFERROR(VLOOKUP($B21,INDIRECT("'GRD-"&amp;EB$11&amp;"'!B:R"),15,FALSE),"")</f>
        <v/>
      </c>
      <c r="EC21" s="96">
        <f>IFERROR(VLOOKUP($B21,INDIRECT("'GRD-"&amp;EC$11&amp;"'!B:R"),15,FALSE),"")</f>
        <v/>
      </c>
      <c r="ED21" s="96">
        <f>IFERROR(VLOOKUP($B21,INDIRECT("'GRD-"&amp;ED$11&amp;"'!B:R"),15,FALSE),"")</f>
        <v/>
      </c>
      <c r="EE21" s="96">
        <f>IFERROR(VLOOKUP($B21,INDIRECT("'GRD-"&amp;EE$11&amp;"'!B:R"),15,FALSE),"")</f>
        <v/>
      </c>
      <c r="EF21" s="96">
        <f>IFERROR(VLOOKUP($B21,INDIRECT("'GRD-"&amp;EF$11&amp;"'!B:R"),15,FALSE),"")</f>
        <v/>
      </c>
      <c r="EG21" s="96">
        <f>IFERROR(VLOOKUP($B21,INDIRECT("'GRD-"&amp;EG$11&amp;"'!B:R"),15,FALSE),"")</f>
        <v/>
      </c>
      <c r="EH21" s="96">
        <f>IFERROR(VLOOKUP($B21,INDIRECT("'GRD-"&amp;EH$11&amp;"'!B:R"),15,FALSE),"")</f>
        <v/>
      </c>
      <c r="EI21" s="96">
        <f>IFERROR(VLOOKUP($B21,INDIRECT("'GRD-"&amp;EI$11&amp;"'!B:R"),15,FALSE),"")</f>
        <v/>
      </c>
      <c r="EJ21" s="96">
        <f>IFERROR(VLOOKUP($B21,INDIRECT("'GRD-"&amp;EJ$11&amp;"'!B:R"),15,FALSE),"")</f>
        <v/>
      </c>
      <c r="EK21" s="96">
        <f>IFERROR(VLOOKUP($B21,INDIRECT("'GRD-"&amp;EK$11&amp;"'!B:R"),15,FALSE),"")</f>
        <v/>
      </c>
      <c r="EL21" s="96">
        <f>IFERROR(VLOOKUP($B21,INDIRECT("'GRD-"&amp;EL$11&amp;"'!B:R"),15,FALSE),"")</f>
        <v/>
      </c>
      <c r="EM21" s="96">
        <f>IFERROR(VLOOKUP($B21,INDIRECT("'GRD-"&amp;EM$11&amp;"'!B:R"),15,FALSE),"")</f>
        <v/>
      </c>
      <c r="EN21" s="96">
        <f>IFERROR(VLOOKUP($B21,INDIRECT("'GRD-"&amp;EN$11&amp;"'!B:R"),15,FALSE),"")</f>
        <v/>
      </c>
      <c r="EO21" s="96">
        <f>IFERROR(VLOOKUP($B21,INDIRECT("'GRD-"&amp;EO$11&amp;"'!B:R"),15,FALSE),"")</f>
        <v/>
      </c>
      <c r="EP21" s="96">
        <f>IFERROR(VLOOKUP($B21,INDIRECT("'GRD-"&amp;EP$11&amp;"'!B:R"),15,FALSE),"")</f>
        <v/>
      </c>
      <c r="EQ21" s="96">
        <f>IFERROR(VLOOKUP($B21,INDIRECT("'GRD-"&amp;EQ$11&amp;"'!B:R"),15,FALSE),"")</f>
        <v/>
      </c>
      <c r="ER21" s="96">
        <f>IFERROR(VLOOKUP($B21,INDIRECT("'GRD-"&amp;ER$11&amp;"'!B:R"),15,FALSE),"")</f>
        <v/>
      </c>
      <c r="ES21" s="96">
        <f>IFERROR(VLOOKUP($B21,INDIRECT("'GRD-"&amp;ES$11&amp;"'!B:R"),15,FALSE),"")</f>
        <v/>
      </c>
      <c r="ET21" s="96">
        <f>IFERROR(VLOOKUP($B21,INDIRECT("'GRD-"&amp;ET$11&amp;"'!B:R"),15,FALSE),"")</f>
        <v/>
      </c>
      <c r="EU21" s="96">
        <f>IFERROR(VLOOKUP($B21,INDIRECT("'GRD-"&amp;EU$11&amp;"'!B:R"),15,FALSE),"")</f>
        <v/>
      </c>
      <c r="EV21" s="96">
        <f>IFERROR(VLOOKUP($B21,INDIRECT("'GRD-"&amp;EV$11&amp;"'!B:R"),15,FALSE),"")</f>
        <v/>
      </c>
      <c r="EW21" s="96">
        <f>IFERROR(VLOOKUP($B21,INDIRECT("'GRD-"&amp;EW$11&amp;"'!B:R"),15,FALSE),"")</f>
        <v/>
      </c>
      <c r="EX21" s="96">
        <f>IFERROR(VLOOKUP($B21,INDIRECT("'GRD-"&amp;EX$11&amp;"'!B:R"),15,FALSE),"")</f>
        <v/>
      </c>
      <c r="EY21" s="96">
        <f>IFERROR(VLOOKUP($B21,INDIRECT("'GRD-"&amp;EY$11&amp;"'!B:R"),15,FALSE),"")</f>
        <v/>
      </c>
      <c r="EZ21" s="96">
        <f>IFERROR(VLOOKUP($B21,INDIRECT("'GRD-"&amp;EZ$11&amp;"'!B:R"),15,FALSE),"")</f>
        <v/>
      </c>
      <c r="FA21" s="96">
        <f>IFERROR(VLOOKUP($B21,INDIRECT("'GRD-"&amp;FA$11&amp;"'!B:R"),15,FALSE),"")</f>
        <v/>
      </c>
      <c r="FB21" s="96">
        <f>IFERROR(VLOOKUP($B21,INDIRECT("'GRD-"&amp;FB$11&amp;"'!B:R"),15,FALSE),"")</f>
        <v/>
      </c>
      <c r="FC21" s="96">
        <f>IFERROR(VLOOKUP($B21,INDIRECT("'GRD-"&amp;FC$11&amp;"'!B:R"),15,FALSE),"")</f>
        <v/>
      </c>
      <c r="FD21" s="96">
        <f>IFERROR(VLOOKUP($B21,INDIRECT("'GRD-"&amp;FD$11&amp;"'!B:R"),15,FALSE),"")</f>
        <v/>
      </c>
      <c r="FE21" s="96">
        <f>IFERROR(VLOOKUP($B21,INDIRECT("'GRD-"&amp;FE$11&amp;"'!B:R"),15,FALSE),"")</f>
        <v/>
      </c>
      <c r="FF21" s="96">
        <f>IFERROR(VLOOKUP($B21,INDIRECT("'GRD-"&amp;FF$11&amp;"'!B:R"),15,FALSE),"")</f>
        <v/>
      </c>
      <c r="FG21" s="96">
        <f>IFERROR(VLOOKUP($B21,INDIRECT("'GRD-"&amp;FG$11&amp;"'!B:R"),15,FALSE),"")</f>
        <v/>
      </c>
      <c r="FH21" s="96">
        <f>IFERROR(VLOOKUP($B21,INDIRECT("'GRD-"&amp;FH$11&amp;"'!B:R"),15,FALSE),"")</f>
        <v/>
      </c>
      <c r="FI21" s="96">
        <f>IFERROR(VLOOKUP($B21,INDIRECT("'GRD-"&amp;FI$11&amp;"'!B:R"),15,FALSE),"")</f>
        <v/>
      </c>
      <c r="FJ21" s="96">
        <f>IFERROR(VLOOKUP($B21,INDIRECT("'GRD-"&amp;FJ$11&amp;"'!B:R"),15,FALSE),"")</f>
        <v/>
      </c>
      <c r="FK21" s="96">
        <f>IFERROR(VLOOKUP($B21,INDIRECT("'GRD-"&amp;FK$11&amp;"'!B:R"),15,FALSE),"")</f>
        <v/>
      </c>
      <c r="FL21" s="96">
        <f>IFERROR(VLOOKUP($B21,INDIRECT("'GRD-"&amp;FL$11&amp;"'!B:R"),15,FALSE),"")</f>
        <v/>
      </c>
      <c r="FM21" s="96">
        <f>IFERROR(VLOOKUP($B21,INDIRECT("'GRD-"&amp;FM$11&amp;"'!B:R"),15,FALSE),"")</f>
        <v/>
      </c>
      <c r="FN21" s="96">
        <f>IFERROR(VLOOKUP($B21,INDIRECT("'GRD-"&amp;FN$11&amp;"'!B:R"),15,FALSE),"")</f>
        <v/>
      </c>
      <c r="FO21" s="96">
        <f>IFERROR(VLOOKUP($B21,INDIRECT("'GRD-"&amp;FO$11&amp;"'!B:R"),15,FALSE),"")</f>
        <v/>
      </c>
      <c r="FP21" s="96">
        <f>IFERROR(VLOOKUP($B21,INDIRECT("'GRD-"&amp;FP$11&amp;"'!B:R"),15,FALSE),"")</f>
        <v/>
      </c>
      <c r="FQ21" s="96">
        <f>IFERROR(VLOOKUP($B21,INDIRECT("'GRD-"&amp;FQ$11&amp;"'!B:R"),15,FALSE),"")</f>
        <v/>
      </c>
      <c r="FR21" s="96">
        <f>IFERROR(VLOOKUP($B21,INDIRECT("'GRD-"&amp;FR$11&amp;"'!B:R"),15,FALSE),"")</f>
        <v/>
      </c>
      <c r="FS21" s="96">
        <f>IFERROR(VLOOKUP($B21,INDIRECT("'GRD-"&amp;FS$11&amp;"'!B:R"),15,FALSE),"")</f>
        <v/>
      </c>
      <c r="FT21" s="96">
        <f>IFERROR(VLOOKUP($B21,INDIRECT("'GRD-"&amp;FT$11&amp;"'!B:R"),15,FALSE),"")</f>
        <v/>
      </c>
      <c r="FU21" s="96">
        <f>IFERROR(VLOOKUP($B21,INDIRECT("'GRD-"&amp;FU$11&amp;"'!B:R"),15,FALSE),"")</f>
        <v/>
      </c>
      <c r="FV21" s="96">
        <f>IFERROR(VLOOKUP($B21,INDIRECT("'GRD-"&amp;FV$11&amp;"'!B:R"),15,FALSE),"")</f>
        <v/>
      </c>
    </row>
    <row r="22">
      <c r="B22" s="68" t="n"/>
      <c r="C22" s="72" t="n"/>
      <c r="D22" s="73">
        <f>IF(K22="","",MAX($CA22:$FV22))</f>
        <v/>
      </c>
      <c r="E22" s="74">
        <f t="array" ref="E22">IF($K22="","",OFFSET($A$1,ROW($B22)-1,11+$D22*4,))</f>
        <v/>
      </c>
      <c r="F22" s="74">
        <f t="array" ref="F22">IF($K22="","",OFFSET($A$1,ROW($B22)-1,12+$D22*4,))</f>
        <v/>
      </c>
      <c r="G22" s="118">
        <f t="array" ref="G22">IF($K22="","",OFFSET($A$1,ROW($B22)-1,13+$D22*4,))</f>
        <v/>
      </c>
      <c r="H22" s="81" t="n"/>
      <c r="I22" s="82" t="n"/>
      <c r="J22" s="75">
        <f>IF(I22="A4",H22/8,IF(I22="A3",H22/4,IF(I22="A2",H22/2,IF(I22="A1",H22/1,IF(I22="A0",H22*2,"")))))</f>
        <v/>
      </c>
      <c r="K22" s="68">
        <f t="array" ref="K22">IFERROR(OFFSET($BZ$11,ROW($B22)-11,MATCH(K$10,$CA22:$FV22,0),),"")</f>
        <v/>
      </c>
      <c r="L22" s="68">
        <f>IF(K22="","",IF(VLOOKUP($B22,INDIRECT("'GRD-"&amp;M22&amp;"'!$B:$R"),16,FALSE)="","",VLOOKUP($B22,INDIRECT("'GRD-"&amp;M22&amp;"'!$B:$R"),16,FALSE)))</f>
        <v/>
      </c>
      <c r="M22" s="68">
        <f t="array" ref="M22">IF(K22="","",IFERROR(OFFSET($BZ$11,0,MATCH($K22,$CA22:$FV22,0),),""))</f>
        <v/>
      </c>
      <c r="N22" s="119">
        <f t="array" ref="N22">IF(K22="","",INDIRECT("'GRD-"&amp;M22&amp;"'!$L$7"))</f>
        <v/>
      </c>
      <c r="O22" s="76">
        <f t="array" ref="O22">IFERROR(OFFSET($BZ$11,ROW($B22)-11,MATCH(O$10,$CA22:$FV22,0),),"")</f>
        <v/>
      </c>
      <c r="P22" s="77">
        <f>IF(O22="","",IF(VLOOKUP($B22,INDIRECT("'GRD-"&amp;Q22&amp;"'!$B:$R"),16,FALSE)="","",VLOOKUP($B22,INDIRECT("'GRD-"&amp;Q22&amp;"'!$B:$R"),16,FALSE)))</f>
        <v/>
      </c>
      <c r="Q22" s="120">
        <f t="array" ref="Q22">IF(O22="","",IFERROR(OFFSET($BZ$11,0,MATCH($O22,$CA22:$FV22,0),),""))</f>
        <v/>
      </c>
      <c r="R22" s="121">
        <f t="array" ref="R22">IF(O22="","",INDIRECT("'GRD-"&amp;Q22&amp;"'!$L$7"))</f>
        <v/>
      </c>
      <c r="S22" s="83">
        <f t="array" ref="S22">IFERROR(OFFSET($BZ$11,ROW($B22)-11,MATCH(S$10,$CA22:$FV22,0),),"")</f>
        <v/>
      </c>
      <c r="T22" s="83">
        <f>IF(S22="","",IF(VLOOKUP($B22,INDIRECT("'GRD-"&amp;U22&amp;"'!$B:$R"),16,FALSE)="","",VLOOKUP($B22,INDIRECT("'GRD-"&amp;U22&amp;"'!$B:$R"),16,FALSE)))</f>
        <v/>
      </c>
      <c r="U22" s="128">
        <f t="array" ref="U22">IF(S22="","",IFERROR(OFFSET($BZ$11,0,MATCH($S22,$CA22:$FV22,0),),""))</f>
        <v/>
      </c>
      <c r="V22" s="133">
        <f t="array" ref="V22">IF(S22="","",INDIRECT("'GRD-"&amp;U22&amp;"'!$L$7"))</f>
        <v/>
      </c>
      <c r="W22" s="84">
        <f t="array" ref="W22">IFERROR(OFFSET($BZ$11,ROW($B22)-11,MATCH(W$10,$CA22:$FV22,0),),"")</f>
        <v/>
      </c>
      <c r="X22" s="84">
        <f>IF(W22="","",IF(VLOOKUP($B22,INDIRECT("'GRD-"&amp;Y22&amp;"'!$B:$R"),16,FALSE)="","",VLOOKUP($B22,INDIRECT("'GRD-"&amp;Y22&amp;"'!$B:$R"),16,FALSE)))</f>
        <v/>
      </c>
      <c r="Y22" s="129">
        <f t="array" ref="Y22">IF(W22="","",IFERROR(OFFSET($BZ$11,0,MATCH($W22,$CA22:$FV22,0),),""))</f>
        <v/>
      </c>
      <c r="Z22" s="134">
        <f t="array" ref="Z22">IF(W22="","",INDIRECT("'GRD-"&amp;Y22&amp;"'!$L$7"))</f>
        <v/>
      </c>
      <c r="AA22" s="85">
        <f t="array" ref="AA22">IFERROR(OFFSET($BZ$11,ROW($B22)-11,MATCH(AA$10,$CA22:$FV22,0),),"")</f>
        <v/>
      </c>
      <c r="AB22" s="85">
        <f>IF(AA22="","",IF(VLOOKUP($B22,INDIRECT("'GRD-"&amp;AC22&amp;"'!$B:$R"),16,FALSE)="","",VLOOKUP($B22,INDIRECT("'GRD-"&amp;AC22&amp;"'!$B:$R"),16,FALSE)))</f>
        <v/>
      </c>
      <c r="AC22" s="130">
        <f t="array" ref="AC22">IF(AA22="","",IFERROR(OFFSET($BZ$11,0,MATCH($AA22,$CA22:$FV22,0),),""))</f>
        <v/>
      </c>
      <c r="AD22" s="131">
        <f t="array" ref="AD22">IF(AA22="","",INDIRECT("'GRD-"&amp;AC22&amp;"'!$L$7"))</f>
        <v/>
      </c>
      <c r="AE22" s="76">
        <f t="array" ref="AE22">IFERROR(OFFSET($BZ$11,ROW($B22)-11,MATCH(AE$10,$CA22:$FV22,0),),"")</f>
        <v/>
      </c>
      <c r="AF22" s="76">
        <f>IF(AE22="","",IF(VLOOKUP($B22,INDIRECT("'GRD-"&amp;AG22&amp;"'!$B:$R"),16,FALSE)="","",VLOOKUP($B22,INDIRECT("'GRD-"&amp;AG22&amp;"'!$B:$R"),16,FALSE)))</f>
        <v/>
      </c>
      <c r="AG22" s="132">
        <f t="array" ref="AG22">IF(AE22="","",IFERROR(OFFSET($BZ$11,0,MATCH($AE22,$CA22:$FV22,0),),""))</f>
        <v/>
      </c>
      <c r="AH22" s="121">
        <f t="array" ref="AH22">IF(AE22="","",INDIRECT("'GRD-"&amp;AG22&amp;"'!$L$7"))</f>
        <v/>
      </c>
      <c r="AI22" s="83">
        <f t="array" ref="AI22">IFERROR(OFFSET($BZ$11,ROW($B22)-11,MATCH(AI$10,$CA22:$FV22,0),),"")</f>
        <v/>
      </c>
      <c r="AJ22" s="83">
        <f>IF(AI22="","",IF(VLOOKUP($B22,INDIRECT("'GRD-"&amp;AK22&amp;"'!$B:$R"),16,FALSE)="","",VLOOKUP($B22,INDIRECT("'GRD-"&amp;AK22&amp;"'!$B:$R"),16,FALSE)))</f>
        <v/>
      </c>
      <c r="AK22" s="128">
        <f t="array" ref="AK22">IF(AI22="","",IFERROR(OFFSET($BZ$11,0,MATCH($AI22,$CA22:$FV22,0),),""))</f>
        <v/>
      </c>
      <c r="AL22" s="133">
        <f t="array" ref="AL22">IF(AI22="","",INDIRECT("'GRD-"&amp;AK22&amp;"'!$L$7"))</f>
        <v/>
      </c>
      <c r="AM22" s="84">
        <f t="array" ref="AM22">IFERROR(OFFSET($BZ$11,ROW($B22)-11,MATCH(AM$10,$CA22:$FV22,0),),"")</f>
        <v/>
      </c>
      <c r="AN22" s="84">
        <f>IF(AM22="","",IF(VLOOKUP($B22,INDIRECT("'GRD-"&amp;AO22&amp;"'!$B:$R"),16,FALSE)="","",VLOOKUP($B22,INDIRECT("'GRD-"&amp;AO22&amp;"'!$B:$R"),16,FALSE)))</f>
        <v/>
      </c>
      <c r="AO22" s="129">
        <f t="array" ref="AO22">IF(AM22="","",IFERROR(OFFSET($BZ$11,0,MATCH($AM22,$CA22:$FV22,0),),""))</f>
        <v/>
      </c>
      <c r="AP22" s="134">
        <f t="array" ref="AP22">IF(AM22="","",INDIRECT("'GRD-"&amp;AO22&amp;"'!$L$7"))</f>
        <v/>
      </c>
      <c r="AQ22" s="85">
        <f t="array" ref="AQ22">IFERROR(OFFSET($BZ$11,ROW($B22)-11,MATCH(AQ$10,$CA22:$FV22,0),),"")</f>
        <v/>
      </c>
      <c r="AR22" s="85">
        <f>IF(AQ22="","",IF(VLOOKUP($B22,INDIRECT("'GRD-"&amp;AS22&amp;"'!$B:$R"),16,FALSE)="","",VLOOKUP($B22,INDIRECT("'GRD-"&amp;AS22&amp;"'!$B:$R"),16,FALSE)))</f>
        <v/>
      </c>
      <c r="AS22" s="130">
        <f t="array" ref="AS22">IF(AQ22="","",IFERROR(OFFSET($BZ$11,0,MATCH($AQ22,$CA22:$FV22,0),),""))</f>
        <v/>
      </c>
      <c r="AT22" s="131">
        <f t="array" ref="AT22">IF(AQ22="","",INDIRECT("'GRD-"&amp;AS22&amp;"'!$L$7"))</f>
        <v/>
      </c>
      <c r="AU22" s="76">
        <f t="array" ref="AU22">IFERROR(OFFSET($BZ$11,ROW($B22)-11,MATCH(AU$10,$CA22:$FV22,0),),"")</f>
        <v/>
      </c>
      <c r="AV22" s="76">
        <f>IF(AU22="","",IF(VLOOKUP($B22,INDIRECT("'GRD-"&amp;AW22&amp;"'!$B:$R"),16,FALSE)="","",VLOOKUP($B22,INDIRECT("'GRD-"&amp;AW22&amp;"'!$B:$R"),16,FALSE)))</f>
        <v/>
      </c>
      <c r="AW22" s="132">
        <f t="array" ref="AW22">IF(AU22="","",IFERROR(OFFSET($BZ$11,0,MATCH($AU22,$CA22:$FV22,0),),""))</f>
        <v/>
      </c>
      <c r="AX22" s="121">
        <f t="array" ref="AX22">IF(AU22="","",INDIRECT("'GRD-"&amp;AW22&amp;"'!$L$7"))</f>
        <v/>
      </c>
      <c r="AY22" s="83">
        <f t="array" ref="AY22">IFERROR(OFFSET($BZ$11,ROW($B22)-11,MATCH(AY$10,$CA22:$FV22,0),),"")</f>
        <v/>
      </c>
      <c r="AZ22" s="83">
        <f>IF(AY22="","",IF(VLOOKUP($B22,INDIRECT("'GRD-"&amp;BA22&amp;"'!$B:$R"),16,FALSE)="","",VLOOKUP($B22,INDIRECT("'GRD-"&amp;BA22&amp;"'!$B:$R"),16,FALSE)))</f>
        <v/>
      </c>
      <c r="BA22" s="128">
        <f t="array" ref="BA22">IF(AY22="","",IFERROR(OFFSET($BZ$11,0,MATCH($AY22,$CA22:$FV22,0),),""))</f>
        <v/>
      </c>
      <c r="BB22" s="133">
        <f t="array" ref="BB22">IF(AY22="","",INDIRECT("'GRD-"&amp;BA22&amp;"'!$L$7"))</f>
        <v/>
      </c>
      <c r="BC22" s="84">
        <f t="array" ref="BC22">IFERROR(OFFSET($BZ$11,ROW($B22)-11,MATCH(BC$10,$CA22:$FV22,0),),"")</f>
        <v/>
      </c>
      <c r="BD22" s="84">
        <f>IF(BC22="","",IF(VLOOKUP($B22,INDIRECT("'GRD-"&amp;BE22&amp;"'!$B:$R"),16,FALSE)="","",VLOOKUP($B22,INDIRECT("'GRD-"&amp;BE22&amp;"'!$B:$R"),16,FALSE)))</f>
        <v/>
      </c>
      <c r="BE22" s="129">
        <f t="array" ref="BE22">IF(BC22="","",IFERROR(OFFSET($BZ$11,0,MATCH($BC22,$CA22:$FV22,0),),""))</f>
        <v/>
      </c>
      <c r="BF22" s="134">
        <f t="array" ref="BF22">IF(BC22="","",INDIRECT("'GRD-"&amp;BE22&amp;"'!$L$7"))</f>
        <v/>
      </c>
      <c r="CA22" s="96">
        <f>IFERROR(VLOOKUP($B22,INDIRECT("'GRD-"&amp;CA$11&amp;"'!B:R"),15,FALSE),"")</f>
        <v/>
      </c>
      <c r="CB22" s="96">
        <f>IFERROR(VLOOKUP($B22,INDIRECT("'GRD-"&amp;CB$11&amp;"'!B:R"),15,FALSE),"")</f>
        <v/>
      </c>
      <c r="CC22" s="96">
        <f>IFERROR(VLOOKUP($B22,INDIRECT("'GRD-"&amp;CC$11&amp;"'!B:R"),15,FALSE),"")</f>
        <v/>
      </c>
      <c r="CD22" s="96">
        <f>IFERROR(VLOOKUP($B22,INDIRECT("'GRD-"&amp;CD$11&amp;"'!B:R"),15,FALSE),"")</f>
        <v/>
      </c>
      <c r="CE22" s="96">
        <f>IFERROR(VLOOKUP($B22,INDIRECT("'GRD-"&amp;CE$11&amp;"'!B:R"),15,FALSE),"")</f>
        <v/>
      </c>
      <c r="CF22" s="96">
        <f>IFERROR(VLOOKUP($B22,INDIRECT("'GRD-"&amp;CF$11&amp;"'!B:R"),15,FALSE),"")</f>
        <v/>
      </c>
      <c r="CG22" s="96">
        <f>IFERROR(VLOOKUP($B22,INDIRECT("'GRD-"&amp;CG$11&amp;"'!B:R"),15,FALSE),"")</f>
        <v/>
      </c>
      <c r="CH22" s="96">
        <f>IFERROR(VLOOKUP($B22,INDIRECT("'GRD-"&amp;CH$11&amp;"'!B:R"),15,FALSE),"")</f>
        <v/>
      </c>
      <c r="CI22" s="96">
        <f>IFERROR(VLOOKUP($B22,INDIRECT("'GRD-"&amp;CI$11&amp;"'!B:R"),15,FALSE),"")</f>
        <v/>
      </c>
      <c r="CJ22" s="96">
        <f>IFERROR(VLOOKUP($B22,INDIRECT("'GRD-"&amp;CJ$11&amp;"'!B:R"),15,FALSE),"")</f>
        <v/>
      </c>
      <c r="CK22" s="96">
        <f>IFERROR(VLOOKUP($B22,INDIRECT("'GRD-"&amp;CK$11&amp;"'!B:R"),15,FALSE),"")</f>
        <v/>
      </c>
      <c r="CL22" s="96">
        <f>IFERROR(VLOOKUP($B22,INDIRECT("'GRD-"&amp;CL$11&amp;"'!B:R"),15,FALSE),"")</f>
        <v/>
      </c>
      <c r="CM22" s="96">
        <f>IFERROR(VLOOKUP($B22,INDIRECT("'GRD-"&amp;CM$11&amp;"'!B:R"),15,FALSE),"")</f>
        <v/>
      </c>
      <c r="CN22" s="96">
        <f>IFERROR(VLOOKUP($B22,INDIRECT("'GRD-"&amp;CN$11&amp;"'!B:R"),15,FALSE),"")</f>
        <v/>
      </c>
      <c r="CO22" s="96">
        <f>IFERROR(VLOOKUP($B22,INDIRECT("'GRD-"&amp;CO$11&amp;"'!B:R"),15,FALSE),"")</f>
        <v/>
      </c>
      <c r="CP22" s="96">
        <f>IFERROR(VLOOKUP($B22,INDIRECT("'GRD-"&amp;CP$11&amp;"'!B:R"),15,FALSE),"")</f>
        <v/>
      </c>
      <c r="CQ22" s="96">
        <f>IFERROR(VLOOKUP($B22,INDIRECT("'GRD-"&amp;CQ$11&amp;"'!B:R"),15,FALSE),"")</f>
        <v/>
      </c>
      <c r="CR22" s="96">
        <f>IFERROR(VLOOKUP($B22,INDIRECT("'GRD-"&amp;CR$11&amp;"'!B:R"),15,FALSE),"")</f>
        <v/>
      </c>
      <c r="CS22" s="96">
        <f>IFERROR(VLOOKUP($B22,INDIRECT("'GRD-"&amp;CS$11&amp;"'!B:R"),15,FALSE),"")</f>
        <v/>
      </c>
      <c r="CT22" s="96">
        <f>IFERROR(VLOOKUP($B22,INDIRECT("'GRD-"&amp;CT$11&amp;"'!B:R"),15,FALSE),"")</f>
        <v/>
      </c>
      <c r="CU22" s="96">
        <f>IFERROR(VLOOKUP($B22,INDIRECT("'GRD-"&amp;CU$11&amp;"'!B:R"),15,FALSE),"")</f>
        <v/>
      </c>
      <c r="CV22" s="96">
        <f>IFERROR(VLOOKUP($B22,INDIRECT("'GRD-"&amp;CV$11&amp;"'!B:R"),15,FALSE),"")</f>
        <v/>
      </c>
      <c r="CW22" s="96">
        <f>IFERROR(VLOOKUP($B22,INDIRECT("'GRD-"&amp;CW$11&amp;"'!B:R"),15,FALSE),"")</f>
        <v/>
      </c>
      <c r="CX22" s="96">
        <f>IFERROR(VLOOKUP($B22,INDIRECT("'GRD-"&amp;CX$11&amp;"'!B:R"),15,FALSE),"")</f>
        <v/>
      </c>
      <c r="CY22" s="96">
        <f>IFERROR(VLOOKUP($B22,INDIRECT("'GRD-"&amp;CY$11&amp;"'!B:R"),15,FALSE),"")</f>
        <v/>
      </c>
      <c r="CZ22" s="96">
        <f>IFERROR(VLOOKUP($B22,INDIRECT("'GRD-"&amp;CZ$11&amp;"'!B:R"),15,FALSE),"")</f>
        <v/>
      </c>
      <c r="DA22" s="96">
        <f>IFERROR(VLOOKUP($B22,INDIRECT("'GRD-"&amp;DA$11&amp;"'!B:R"),15,FALSE),"")</f>
        <v/>
      </c>
      <c r="DB22" s="96">
        <f>IFERROR(VLOOKUP($B22,INDIRECT("'GRD-"&amp;DB$11&amp;"'!B:R"),15,FALSE),"")</f>
        <v/>
      </c>
      <c r="DC22" s="96">
        <f>IFERROR(VLOOKUP($B22,INDIRECT("'GRD-"&amp;DC$11&amp;"'!B:R"),15,FALSE),"")</f>
        <v/>
      </c>
      <c r="DD22" s="96">
        <f>IFERROR(VLOOKUP($B22,INDIRECT("'GRD-"&amp;DD$11&amp;"'!B:R"),15,FALSE),"")</f>
        <v/>
      </c>
      <c r="DE22" s="96">
        <f>IFERROR(VLOOKUP($B22,INDIRECT("'GRD-"&amp;DE$11&amp;"'!B:R"),15,FALSE),"")</f>
        <v/>
      </c>
      <c r="DF22" s="96">
        <f>IFERROR(VLOOKUP($B22,INDIRECT("'GRD-"&amp;DF$11&amp;"'!B:R"),15,FALSE),"")</f>
        <v/>
      </c>
      <c r="DG22" s="96">
        <f>IFERROR(VLOOKUP($B22,INDIRECT("'GRD-"&amp;DG$11&amp;"'!B:R"),15,FALSE),"")</f>
        <v/>
      </c>
      <c r="DH22" s="96">
        <f>IFERROR(VLOOKUP($B22,INDIRECT("'GRD-"&amp;DH$11&amp;"'!B:R"),15,FALSE),"")</f>
        <v/>
      </c>
      <c r="DI22" s="96">
        <f>IFERROR(VLOOKUP($B22,INDIRECT("'GRD-"&amp;DI$11&amp;"'!B:R"),15,FALSE),"")</f>
        <v/>
      </c>
      <c r="DJ22" s="96">
        <f>IFERROR(VLOOKUP($B22,INDIRECT("'GRD-"&amp;DJ$11&amp;"'!B:R"),15,FALSE),"")</f>
        <v/>
      </c>
      <c r="DK22" s="96">
        <f>IFERROR(VLOOKUP($B22,INDIRECT("'GRD-"&amp;DK$11&amp;"'!B:R"),15,FALSE),"")</f>
        <v/>
      </c>
      <c r="DL22" s="96">
        <f>IFERROR(VLOOKUP($B22,INDIRECT("'GRD-"&amp;DL$11&amp;"'!B:R"),15,FALSE),"")</f>
        <v/>
      </c>
      <c r="DM22" s="96">
        <f>IFERROR(VLOOKUP($B22,INDIRECT("'GRD-"&amp;DM$11&amp;"'!B:R"),15,FALSE),"")</f>
        <v/>
      </c>
      <c r="DN22" s="96">
        <f>IFERROR(VLOOKUP($B22,INDIRECT("'GRD-"&amp;DN$11&amp;"'!B:R"),15,FALSE),"")</f>
        <v/>
      </c>
      <c r="DO22" s="96">
        <f>IFERROR(VLOOKUP($B22,INDIRECT("'GRD-"&amp;DO$11&amp;"'!B:R"),15,FALSE),"")</f>
        <v/>
      </c>
      <c r="DP22" s="96">
        <f>IFERROR(VLOOKUP($B22,INDIRECT("'GRD-"&amp;DP$11&amp;"'!B:R"),15,FALSE),"")</f>
        <v/>
      </c>
      <c r="DQ22" s="96">
        <f>IFERROR(VLOOKUP($B22,INDIRECT("'GRD-"&amp;DQ$11&amp;"'!B:R"),15,FALSE),"")</f>
        <v/>
      </c>
      <c r="DR22" s="96">
        <f>IFERROR(VLOOKUP($B22,INDIRECT("'GRD-"&amp;DR$11&amp;"'!B:R"),15,FALSE),"")</f>
        <v/>
      </c>
      <c r="DS22" s="96">
        <f>IFERROR(VLOOKUP($B22,INDIRECT("'GRD-"&amp;DS$11&amp;"'!B:R"),15,FALSE),"")</f>
        <v/>
      </c>
      <c r="DT22" s="96">
        <f>IFERROR(VLOOKUP($B22,INDIRECT("'GRD-"&amp;DT$11&amp;"'!B:R"),15,FALSE),"")</f>
        <v/>
      </c>
      <c r="DU22" s="96">
        <f>IFERROR(VLOOKUP($B22,INDIRECT("'GRD-"&amp;DU$11&amp;"'!B:R"),15,FALSE),"")</f>
        <v/>
      </c>
      <c r="DV22" s="96">
        <f>IFERROR(VLOOKUP($B22,INDIRECT("'GRD-"&amp;DV$11&amp;"'!B:R"),15,FALSE),"")</f>
        <v/>
      </c>
      <c r="DW22" s="96">
        <f>IFERROR(VLOOKUP($B22,INDIRECT("'GRD-"&amp;DW$11&amp;"'!B:R"),15,FALSE),"")</f>
        <v/>
      </c>
      <c r="DX22" s="96">
        <f>IFERROR(VLOOKUP($B22,INDIRECT("'GRD-"&amp;DX$11&amp;"'!B:R"),15,FALSE),"")</f>
        <v/>
      </c>
      <c r="DY22" s="96">
        <f>IFERROR(VLOOKUP($B22,INDIRECT("'GRD-"&amp;DY$11&amp;"'!B:R"),15,FALSE),"")</f>
        <v/>
      </c>
      <c r="DZ22" s="96">
        <f>IFERROR(VLOOKUP($B22,INDIRECT("'GRD-"&amp;DZ$11&amp;"'!B:R"),15,FALSE),"")</f>
        <v/>
      </c>
      <c r="EA22" s="96">
        <f>IFERROR(VLOOKUP($B22,INDIRECT("'GRD-"&amp;EA$11&amp;"'!B:R"),15,FALSE),"")</f>
        <v/>
      </c>
      <c r="EB22" s="96">
        <f>IFERROR(VLOOKUP($B22,INDIRECT("'GRD-"&amp;EB$11&amp;"'!B:R"),15,FALSE),"")</f>
        <v/>
      </c>
      <c r="EC22" s="96">
        <f>IFERROR(VLOOKUP($B22,INDIRECT("'GRD-"&amp;EC$11&amp;"'!B:R"),15,FALSE),"")</f>
        <v/>
      </c>
      <c r="ED22" s="96">
        <f>IFERROR(VLOOKUP($B22,INDIRECT("'GRD-"&amp;ED$11&amp;"'!B:R"),15,FALSE),"")</f>
        <v/>
      </c>
      <c r="EE22" s="96">
        <f>IFERROR(VLOOKUP($B22,INDIRECT("'GRD-"&amp;EE$11&amp;"'!B:R"),15,FALSE),"")</f>
        <v/>
      </c>
      <c r="EF22" s="96">
        <f>IFERROR(VLOOKUP($B22,INDIRECT("'GRD-"&amp;EF$11&amp;"'!B:R"),15,FALSE),"")</f>
        <v/>
      </c>
      <c r="EG22" s="96">
        <f>IFERROR(VLOOKUP($B22,INDIRECT("'GRD-"&amp;EG$11&amp;"'!B:R"),15,FALSE),"")</f>
        <v/>
      </c>
      <c r="EH22" s="96">
        <f>IFERROR(VLOOKUP($B22,INDIRECT("'GRD-"&amp;EH$11&amp;"'!B:R"),15,FALSE),"")</f>
        <v/>
      </c>
      <c r="EI22" s="96">
        <f>IFERROR(VLOOKUP($B22,INDIRECT("'GRD-"&amp;EI$11&amp;"'!B:R"),15,FALSE),"")</f>
        <v/>
      </c>
      <c r="EJ22" s="96">
        <f>IFERROR(VLOOKUP($B22,INDIRECT("'GRD-"&amp;EJ$11&amp;"'!B:R"),15,FALSE),"")</f>
        <v/>
      </c>
      <c r="EK22" s="96">
        <f>IFERROR(VLOOKUP($B22,INDIRECT("'GRD-"&amp;EK$11&amp;"'!B:R"),15,FALSE),"")</f>
        <v/>
      </c>
      <c r="EL22" s="96">
        <f>IFERROR(VLOOKUP($B22,INDIRECT("'GRD-"&amp;EL$11&amp;"'!B:R"),15,FALSE),"")</f>
        <v/>
      </c>
      <c r="EM22" s="96">
        <f>IFERROR(VLOOKUP($B22,INDIRECT("'GRD-"&amp;EM$11&amp;"'!B:R"),15,FALSE),"")</f>
        <v/>
      </c>
      <c r="EN22" s="96">
        <f>IFERROR(VLOOKUP($B22,INDIRECT("'GRD-"&amp;EN$11&amp;"'!B:R"),15,FALSE),"")</f>
        <v/>
      </c>
      <c r="EO22" s="96">
        <f>IFERROR(VLOOKUP($B22,INDIRECT("'GRD-"&amp;EO$11&amp;"'!B:R"),15,FALSE),"")</f>
        <v/>
      </c>
      <c r="EP22" s="96">
        <f>IFERROR(VLOOKUP($B22,INDIRECT("'GRD-"&amp;EP$11&amp;"'!B:R"),15,FALSE),"")</f>
        <v/>
      </c>
      <c r="EQ22" s="96">
        <f>IFERROR(VLOOKUP($B22,INDIRECT("'GRD-"&amp;EQ$11&amp;"'!B:R"),15,FALSE),"")</f>
        <v/>
      </c>
      <c r="ER22" s="96">
        <f>IFERROR(VLOOKUP($B22,INDIRECT("'GRD-"&amp;ER$11&amp;"'!B:R"),15,FALSE),"")</f>
        <v/>
      </c>
      <c r="ES22" s="96">
        <f>IFERROR(VLOOKUP($B22,INDIRECT("'GRD-"&amp;ES$11&amp;"'!B:R"),15,FALSE),"")</f>
        <v/>
      </c>
      <c r="ET22" s="96">
        <f>IFERROR(VLOOKUP($B22,INDIRECT("'GRD-"&amp;ET$11&amp;"'!B:R"),15,FALSE),"")</f>
        <v/>
      </c>
      <c r="EU22" s="96">
        <f>IFERROR(VLOOKUP($B22,INDIRECT("'GRD-"&amp;EU$11&amp;"'!B:R"),15,FALSE),"")</f>
        <v/>
      </c>
      <c r="EV22" s="96">
        <f>IFERROR(VLOOKUP($B22,INDIRECT("'GRD-"&amp;EV$11&amp;"'!B:R"),15,FALSE),"")</f>
        <v/>
      </c>
      <c r="EW22" s="96">
        <f>IFERROR(VLOOKUP($B22,INDIRECT("'GRD-"&amp;EW$11&amp;"'!B:R"),15,FALSE),"")</f>
        <v/>
      </c>
      <c r="EX22" s="96">
        <f>IFERROR(VLOOKUP($B22,INDIRECT("'GRD-"&amp;EX$11&amp;"'!B:R"),15,FALSE),"")</f>
        <v/>
      </c>
      <c r="EY22" s="96">
        <f>IFERROR(VLOOKUP($B22,INDIRECT("'GRD-"&amp;EY$11&amp;"'!B:R"),15,FALSE),"")</f>
        <v/>
      </c>
      <c r="EZ22" s="96">
        <f>IFERROR(VLOOKUP($B22,INDIRECT("'GRD-"&amp;EZ$11&amp;"'!B:R"),15,FALSE),"")</f>
        <v/>
      </c>
      <c r="FA22" s="96">
        <f>IFERROR(VLOOKUP($B22,INDIRECT("'GRD-"&amp;FA$11&amp;"'!B:R"),15,FALSE),"")</f>
        <v/>
      </c>
      <c r="FB22" s="96">
        <f>IFERROR(VLOOKUP($B22,INDIRECT("'GRD-"&amp;FB$11&amp;"'!B:R"),15,FALSE),"")</f>
        <v/>
      </c>
      <c r="FC22" s="96">
        <f>IFERROR(VLOOKUP($B22,INDIRECT("'GRD-"&amp;FC$11&amp;"'!B:R"),15,FALSE),"")</f>
        <v/>
      </c>
      <c r="FD22" s="96">
        <f>IFERROR(VLOOKUP($B22,INDIRECT("'GRD-"&amp;FD$11&amp;"'!B:R"),15,FALSE),"")</f>
        <v/>
      </c>
      <c r="FE22" s="96">
        <f>IFERROR(VLOOKUP($B22,INDIRECT("'GRD-"&amp;FE$11&amp;"'!B:R"),15,FALSE),"")</f>
        <v/>
      </c>
      <c r="FF22" s="96">
        <f>IFERROR(VLOOKUP($B22,INDIRECT("'GRD-"&amp;FF$11&amp;"'!B:R"),15,FALSE),"")</f>
        <v/>
      </c>
      <c r="FG22" s="96">
        <f>IFERROR(VLOOKUP($B22,INDIRECT("'GRD-"&amp;FG$11&amp;"'!B:R"),15,FALSE),"")</f>
        <v/>
      </c>
      <c r="FH22" s="96">
        <f>IFERROR(VLOOKUP($B22,INDIRECT("'GRD-"&amp;FH$11&amp;"'!B:R"),15,FALSE),"")</f>
        <v/>
      </c>
      <c r="FI22" s="96">
        <f>IFERROR(VLOOKUP($B22,INDIRECT("'GRD-"&amp;FI$11&amp;"'!B:R"),15,FALSE),"")</f>
        <v/>
      </c>
      <c r="FJ22" s="96">
        <f>IFERROR(VLOOKUP($B22,INDIRECT("'GRD-"&amp;FJ$11&amp;"'!B:R"),15,FALSE),"")</f>
        <v/>
      </c>
      <c r="FK22" s="96">
        <f>IFERROR(VLOOKUP($B22,INDIRECT("'GRD-"&amp;FK$11&amp;"'!B:R"),15,FALSE),"")</f>
        <v/>
      </c>
      <c r="FL22" s="96">
        <f>IFERROR(VLOOKUP($B22,INDIRECT("'GRD-"&amp;FL$11&amp;"'!B:R"),15,FALSE),"")</f>
        <v/>
      </c>
      <c r="FM22" s="96">
        <f>IFERROR(VLOOKUP($B22,INDIRECT("'GRD-"&amp;FM$11&amp;"'!B:R"),15,FALSE),"")</f>
        <v/>
      </c>
      <c r="FN22" s="96">
        <f>IFERROR(VLOOKUP($B22,INDIRECT("'GRD-"&amp;FN$11&amp;"'!B:R"),15,FALSE),"")</f>
        <v/>
      </c>
      <c r="FO22" s="96">
        <f>IFERROR(VLOOKUP($B22,INDIRECT("'GRD-"&amp;FO$11&amp;"'!B:R"),15,FALSE),"")</f>
        <v/>
      </c>
      <c r="FP22" s="96">
        <f>IFERROR(VLOOKUP($B22,INDIRECT("'GRD-"&amp;FP$11&amp;"'!B:R"),15,FALSE),"")</f>
        <v/>
      </c>
      <c r="FQ22" s="96">
        <f>IFERROR(VLOOKUP($B22,INDIRECT("'GRD-"&amp;FQ$11&amp;"'!B:R"),15,FALSE),"")</f>
        <v/>
      </c>
      <c r="FR22" s="96">
        <f>IFERROR(VLOOKUP($B22,INDIRECT("'GRD-"&amp;FR$11&amp;"'!B:R"),15,FALSE),"")</f>
        <v/>
      </c>
      <c r="FS22" s="96">
        <f>IFERROR(VLOOKUP($B22,INDIRECT("'GRD-"&amp;FS$11&amp;"'!B:R"),15,FALSE),"")</f>
        <v/>
      </c>
      <c r="FT22" s="96">
        <f>IFERROR(VLOOKUP($B22,INDIRECT("'GRD-"&amp;FT$11&amp;"'!B:R"),15,FALSE),"")</f>
        <v/>
      </c>
      <c r="FU22" s="96">
        <f>IFERROR(VLOOKUP($B22,INDIRECT("'GRD-"&amp;FU$11&amp;"'!B:R"),15,FALSE),"")</f>
        <v/>
      </c>
      <c r="FV22" s="96">
        <f>IFERROR(VLOOKUP($B22,INDIRECT("'GRD-"&amp;FV$11&amp;"'!B:R"),15,FALSE),"")</f>
        <v/>
      </c>
    </row>
    <row r="23">
      <c r="B23" s="68" t="n"/>
      <c r="C23" s="72" t="n"/>
      <c r="D23" s="73">
        <f>IF(K23="","",MAX($CA23:$FV23))</f>
        <v/>
      </c>
      <c r="E23" s="74">
        <f t="array" ref="E23">IF($K23="","",OFFSET($A$1,ROW($B23)-1,11+$D23*4,))</f>
        <v/>
      </c>
      <c r="F23" s="74">
        <f t="array" ref="F23">IF($K23="","",OFFSET($A$1,ROW($B23)-1,12+$D23*4,))</f>
        <v/>
      </c>
      <c r="G23" s="118">
        <f t="array" ref="G23">IF($K23="","",OFFSET($A$1,ROW($B23)-1,13+$D23*4,))</f>
        <v/>
      </c>
      <c r="H23" s="81" t="n"/>
      <c r="I23" s="82" t="n"/>
      <c r="J23" s="75">
        <f>IF(I23="A4",H23/8,IF(I23="A3",H23/4,IF(I23="A2",H23/2,IF(I23="A1",H23/1,IF(I23="A0",H23*2,"")))))</f>
        <v/>
      </c>
      <c r="K23" s="68">
        <f t="array" ref="K23">IFERROR(OFFSET($BZ$11,ROW($B23)-11,MATCH(K$10,$CA23:$FV23,0),),"")</f>
        <v/>
      </c>
      <c r="L23" s="68">
        <f>IF(K23="","",IF(VLOOKUP($B23,INDIRECT("'GRD-"&amp;M23&amp;"'!$B:$R"),16,FALSE)="","",VLOOKUP($B23,INDIRECT("'GRD-"&amp;M23&amp;"'!$B:$R"),16,FALSE)))</f>
        <v/>
      </c>
      <c r="M23" s="68">
        <f t="array" ref="M23">IF(K23="","",IFERROR(OFFSET($BZ$11,0,MATCH($K23,$CA23:$FV23,0),),""))</f>
        <v/>
      </c>
      <c r="N23" s="119">
        <f t="array" ref="N23">IF(K23="","",INDIRECT("'GRD-"&amp;M23&amp;"'!$L$7"))</f>
        <v/>
      </c>
      <c r="O23" s="76">
        <f t="array" ref="O23">IFERROR(OFFSET($BZ$11,ROW($B23)-11,MATCH(O$10,$CA23:$FV23,0),),"")</f>
        <v/>
      </c>
      <c r="P23" s="77">
        <f>IF(O23="","",IF(VLOOKUP($B23,INDIRECT("'GRD-"&amp;Q23&amp;"'!$B:$R"),16,FALSE)="","",VLOOKUP($B23,INDIRECT("'GRD-"&amp;Q23&amp;"'!$B:$R"),16,FALSE)))</f>
        <v/>
      </c>
      <c r="Q23" s="120">
        <f t="array" ref="Q23">IF(O23="","",IFERROR(OFFSET($BZ$11,0,MATCH($O23,$CA23:$FV23,0),),""))</f>
        <v/>
      </c>
      <c r="R23" s="121">
        <f t="array" ref="R23">IF(O23="","",INDIRECT("'GRD-"&amp;Q23&amp;"'!$L$7"))</f>
        <v/>
      </c>
      <c r="S23" s="83">
        <f t="array" ref="S23">IFERROR(OFFSET($BZ$11,ROW($B23)-11,MATCH(S$10,$CA23:$FV23,0),),"")</f>
        <v/>
      </c>
      <c r="T23" s="83">
        <f>IF(S23="","",IF(VLOOKUP($B23,INDIRECT("'GRD-"&amp;U23&amp;"'!$B:$R"),16,FALSE)="","",VLOOKUP($B23,INDIRECT("'GRD-"&amp;U23&amp;"'!$B:$R"),16,FALSE)))</f>
        <v/>
      </c>
      <c r="U23" s="128">
        <f t="array" ref="U23">IF(S23="","",IFERROR(OFFSET($BZ$11,0,MATCH($S23,$CA23:$FV23,0),),""))</f>
        <v/>
      </c>
      <c r="V23" s="133">
        <f t="array" ref="V23">IF(S23="","",INDIRECT("'GRD-"&amp;U23&amp;"'!$L$7"))</f>
        <v/>
      </c>
      <c r="W23" s="84">
        <f t="array" ref="W23">IFERROR(OFFSET($BZ$11,ROW($B23)-11,MATCH(W$10,$CA23:$FV23,0),),"")</f>
        <v/>
      </c>
      <c r="X23" s="84">
        <f>IF(W23="","",IF(VLOOKUP($B23,INDIRECT("'GRD-"&amp;Y23&amp;"'!$B:$R"),16,FALSE)="","",VLOOKUP($B23,INDIRECT("'GRD-"&amp;Y23&amp;"'!$B:$R"),16,FALSE)))</f>
        <v/>
      </c>
      <c r="Y23" s="129">
        <f t="array" ref="Y23">IF(W23="","",IFERROR(OFFSET($BZ$11,0,MATCH($W23,$CA23:$FV23,0),),""))</f>
        <v/>
      </c>
      <c r="Z23" s="134">
        <f t="array" ref="Z23">IF(W23="","",INDIRECT("'GRD-"&amp;Y23&amp;"'!$L$7"))</f>
        <v/>
      </c>
      <c r="AA23" s="85">
        <f t="array" ref="AA23">IFERROR(OFFSET($BZ$11,ROW($B23)-11,MATCH(AA$10,$CA23:$FV23,0),),"")</f>
        <v/>
      </c>
      <c r="AB23" s="85">
        <f>IF(AA23="","",IF(VLOOKUP($B23,INDIRECT("'GRD-"&amp;AC23&amp;"'!$B:$R"),16,FALSE)="","",VLOOKUP($B23,INDIRECT("'GRD-"&amp;AC23&amp;"'!$B:$R"),16,FALSE)))</f>
        <v/>
      </c>
      <c r="AC23" s="130">
        <f t="array" ref="AC23">IF(AA23="","",IFERROR(OFFSET($BZ$11,0,MATCH($AA23,$CA23:$FV23,0),),""))</f>
        <v/>
      </c>
      <c r="AD23" s="131">
        <f t="array" ref="AD23">IF(AA23="","",INDIRECT("'GRD-"&amp;AC23&amp;"'!$L$7"))</f>
        <v/>
      </c>
      <c r="AE23" s="76">
        <f t="array" ref="AE23">IFERROR(OFFSET($BZ$11,ROW($B23)-11,MATCH(AE$10,$CA23:$FV23,0),),"")</f>
        <v/>
      </c>
      <c r="AF23" s="76">
        <f>IF(AE23="","",IF(VLOOKUP($B23,INDIRECT("'GRD-"&amp;AG23&amp;"'!$B:$R"),16,FALSE)="","",VLOOKUP($B23,INDIRECT("'GRD-"&amp;AG23&amp;"'!$B:$R"),16,FALSE)))</f>
        <v/>
      </c>
      <c r="AG23" s="132">
        <f t="array" ref="AG23">IF(AE23="","",IFERROR(OFFSET($BZ$11,0,MATCH($AE23,$CA23:$FV23,0),),""))</f>
        <v/>
      </c>
      <c r="AH23" s="121">
        <f t="array" ref="AH23">IF(AE23="","",INDIRECT("'GRD-"&amp;AG23&amp;"'!$L$7"))</f>
        <v/>
      </c>
      <c r="AI23" s="83">
        <f t="array" ref="AI23">IFERROR(OFFSET($BZ$11,ROW($B23)-11,MATCH(AI$10,$CA23:$FV23,0),),"")</f>
        <v/>
      </c>
      <c r="AJ23" s="83">
        <f>IF(AI23="","",IF(VLOOKUP($B23,INDIRECT("'GRD-"&amp;AK23&amp;"'!$B:$R"),16,FALSE)="","",VLOOKUP($B23,INDIRECT("'GRD-"&amp;AK23&amp;"'!$B:$R"),16,FALSE)))</f>
        <v/>
      </c>
      <c r="AK23" s="128">
        <f t="array" ref="AK23">IF(AI23="","",IFERROR(OFFSET($BZ$11,0,MATCH($AI23,$CA23:$FV23,0),),""))</f>
        <v/>
      </c>
      <c r="AL23" s="133">
        <f t="array" ref="AL23">IF(AI23="","",INDIRECT("'GRD-"&amp;AK23&amp;"'!$L$7"))</f>
        <v/>
      </c>
      <c r="AM23" s="84">
        <f t="array" ref="AM23">IFERROR(OFFSET($BZ$11,ROW($B23)-11,MATCH(AM$10,$CA23:$FV23,0),),"")</f>
        <v/>
      </c>
      <c r="AN23" s="84">
        <f>IF(AM23="","",IF(VLOOKUP($B23,INDIRECT("'GRD-"&amp;AO23&amp;"'!$B:$R"),16,FALSE)="","",VLOOKUP($B23,INDIRECT("'GRD-"&amp;AO23&amp;"'!$B:$R"),16,FALSE)))</f>
        <v/>
      </c>
      <c r="AO23" s="129">
        <f t="array" ref="AO23">IF(AM23="","",IFERROR(OFFSET($BZ$11,0,MATCH($AM23,$CA23:$FV23,0),),""))</f>
        <v/>
      </c>
      <c r="AP23" s="134">
        <f t="array" ref="AP23">IF(AM23="","",INDIRECT("'GRD-"&amp;AO23&amp;"'!$L$7"))</f>
        <v/>
      </c>
      <c r="AQ23" s="85">
        <f t="array" ref="AQ23">IFERROR(OFFSET($BZ$11,ROW($B23)-11,MATCH(AQ$10,$CA23:$FV23,0),),"")</f>
        <v/>
      </c>
      <c r="AR23" s="85">
        <f>IF(AQ23="","",IF(VLOOKUP($B23,INDIRECT("'GRD-"&amp;AS23&amp;"'!$B:$R"),16,FALSE)="","",VLOOKUP($B23,INDIRECT("'GRD-"&amp;AS23&amp;"'!$B:$R"),16,FALSE)))</f>
        <v/>
      </c>
      <c r="AS23" s="130">
        <f t="array" ref="AS23">IF(AQ23="","",IFERROR(OFFSET($BZ$11,0,MATCH($AQ23,$CA23:$FV23,0),),""))</f>
        <v/>
      </c>
      <c r="AT23" s="131">
        <f t="array" ref="AT23">IF(AQ23="","",INDIRECT("'GRD-"&amp;AS23&amp;"'!$L$7"))</f>
        <v/>
      </c>
      <c r="AU23" s="76">
        <f t="array" ref="AU23">IFERROR(OFFSET($BZ$11,ROW($B23)-11,MATCH(AU$10,$CA23:$FV23,0),),"")</f>
        <v/>
      </c>
      <c r="AV23" s="76">
        <f>IF(AU23="","",IF(VLOOKUP($B23,INDIRECT("'GRD-"&amp;AW23&amp;"'!$B:$R"),16,FALSE)="","",VLOOKUP($B23,INDIRECT("'GRD-"&amp;AW23&amp;"'!$B:$R"),16,FALSE)))</f>
        <v/>
      </c>
      <c r="AW23" s="132">
        <f t="array" ref="AW23">IF(AU23="","",IFERROR(OFFSET($BZ$11,0,MATCH($AU23,$CA23:$FV23,0),),""))</f>
        <v/>
      </c>
      <c r="AX23" s="121">
        <f t="array" ref="AX23">IF(AU23="","",INDIRECT("'GRD-"&amp;AW23&amp;"'!$L$7"))</f>
        <v/>
      </c>
      <c r="AY23" s="83">
        <f t="array" ref="AY23">IFERROR(OFFSET($BZ$11,ROW($B23)-11,MATCH(AY$10,$CA23:$FV23,0),),"")</f>
        <v/>
      </c>
      <c r="AZ23" s="83">
        <f>IF(AY23="","",IF(VLOOKUP($B23,INDIRECT("'GRD-"&amp;BA23&amp;"'!$B:$R"),16,FALSE)="","",VLOOKUP($B23,INDIRECT("'GRD-"&amp;BA23&amp;"'!$B:$R"),16,FALSE)))</f>
        <v/>
      </c>
      <c r="BA23" s="128">
        <f t="array" ref="BA23">IF(AY23="","",IFERROR(OFFSET($BZ$11,0,MATCH($AY23,$CA23:$FV23,0),),""))</f>
        <v/>
      </c>
      <c r="BB23" s="133">
        <f t="array" ref="BB23">IF(AY23="","",INDIRECT("'GRD-"&amp;BA23&amp;"'!$L$7"))</f>
        <v/>
      </c>
      <c r="BC23" s="84">
        <f t="array" ref="BC23">IFERROR(OFFSET($BZ$11,ROW($B23)-11,MATCH(BC$10,$CA23:$FV23,0),),"")</f>
        <v/>
      </c>
      <c r="BD23" s="84">
        <f>IF(BC23="","",IF(VLOOKUP($B23,INDIRECT("'GRD-"&amp;BE23&amp;"'!$B:$R"),16,FALSE)="","",VLOOKUP($B23,INDIRECT("'GRD-"&amp;BE23&amp;"'!$B:$R"),16,FALSE)))</f>
        <v/>
      </c>
      <c r="BE23" s="129">
        <f t="array" ref="BE23">IF(BC23="","",IFERROR(OFFSET($BZ$11,0,MATCH($BC23,$CA23:$FV23,0),),""))</f>
        <v/>
      </c>
      <c r="BF23" s="134">
        <f t="array" ref="BF23">IF(BC23="","",INDIRECT("'GRD-"&amp;BE23&amp;"'!$L$7"))</f>
        <v/>
      </c>
      <c r="CA23" s="96">
        <f>IFERROR(VLOOKUP($B23,INDIRECT("'GRD-"&amp;CA$11&amp;"'!B:R"),15,FALSE),"")</f>
        <v/>
      </c>
      <c r="CB23" s="96">
        <f>IFERROR(VLOOKUP($B23,INDIRECT("'GRD-"&amp;CB$11&amp;"'!B:R"),15,FALSE),"")</f>
        <v/>
      </c>
      <c r="CC23" s="96">
        <f>IFERROR(VLOOKUP($B23,INDIRECT("'GRD-"&amp;CC$11&amp;"'!B:R"),15,FALSE),"")</f>
        <v/>
      </c>
      <c r="CD23" s="96">
        <f>IFERROR(VLOOKUP($B23,INDIRECT("'GRD-"&amp;CD$11&amp;"'!B:R"),15,FALSE),"")</f>
        <v/>
      </c>
      <c r="CE23" s="96">
        <f>IFERROR(VLOOKUP($B23,INDIRECT("'GRD-"&amp;CE$11&amp;"'!B:R"),15,FALSE),"")</f>
        <v/>
      </c>
      <c r="CF23" s="96">
        <f>IFERROR(VLOOKUP($B23,INDIRECT("'GRD-"&amp;CF$11&amp;"'!B:R"),15,FALSE),"")</f>
        <v/>
      </c>
      <c r="CG23" s="96">
        <f>IFERROR(VLOOKUP($B23,INDIRECT("'GRD-"&amp;CG$11&amp;"'!B:R"),15,FALSE),"")</f>
        <v/>
      </c>
      <c r="CH23" s="96">
        <f>IFERROR(VLOOKUP($B23,INDIRECT("'GRD-"&amp;CH$11&amp;"'!B:R"),15,FALSE),"")</f>
        <v/>
      </c>
      <c r="CI23" s="96">
        <f>IFERROR(VLOOKUP($B23,INDIRECT("'GRD-"&amp;CI$11&amp;"'!B:R"),15,FALSE),"")</f>
        <v/>
      </c>
      <c r="CJ23" s="96">
        <f>IFERROR(VLOOKUP($B23,INDIRECT("'GRD-"&amp;CJ$11&amp;"'!B:R"),15,FALSE),"")</f>
        <v/>
      </c>
      <c r="CK23" s="96">
        <f>IFERROR(VLOOKUP($B23,INDIRECT("'GRD-"&amp;CK$11&amp;"'!B:R"),15,FALSE),"")</f>
        <v/>
      </c>
      <c r="CL23" s="96">
        <f>IFERROR(VLOOKUP($B23,INDIRECT("'GRD-"&amp;CL$11&amp;"'!B:R"),15,FALSE),"")</f>
        <v/>
      </c>
      <c r="CM23" s="96">
        <f>IFERROR(VLOOKUP($B23,INDIRECT("'GRD-"&amp;CM$11&amp;"'!B:R"),15,FALSE),"")</f>
        <v/>
      </c>
      <c r="CN23" s="96">
        <f>IFERROR(VLOOKUP($B23,INDIRECT("'GRD-"&amp;CN$11&amp;"'!B:R"),15,FALSE),"")</f>
        <v/>
      </c>
      <c r="CO23" s="96">
        <f>IFERROR(VLOOKUP($B23,INDIRECT("'GRD-"&amp;CO$11&amp;"'!B:R"),15,FALSE),"")</f>
        <v/>
      </c>
      <c r="CP23" s="96">
        <f>IFERROR(VLOOKUP($B23,INDIRECT("'GRD-"&amp;CP$11&amp;"'!B:R"),15,FALSE),"")</f>
        <v/>
      </c>
      <c r="CQ23" s="96">
        <f>IFERROR(VLOOKUP($B23,INDIRECT("'GRD-"&amp;CQ$11&amp;"'!B:R"),15,FALSE),"")</f>
        <v/>
      </c>
      <c r="CR23" s="96">
        <f>IFERROR(VLOOKUP($B23,INDIRECT("'GRD-"&amp;CR$11&amp;"'!B:R"),15,FALSE),"")</f>
        <v/>
      </c>
      <c r="CS23" s="96">
        <f>IFERROR(VLOOKUP($B23,INDIRECT("'GRD-"&amp;CS$11&amp;"'!B:R"),15,FALSE),"")</f>
        <v/>
      </c>
      <c r="CT23" s="96">
        <f>IFERROR(VLOOKUP($B23,INDIRECT("'GRD-"&amp;CT$11&amp;"'!B:R"),15,FALSE),"")</f>
        <v/>
      </c>
      <c r="CU23" s="96">
        <f>IFERROR(VLOOKUP($B23,INDIRECT("'GRD-"&amp;CU$11&amp;"'!B:R"),15,FALSE),"")</f>
        <v/>
      </c>
      <c r="CV23" s="96">
        <f>IFERROR(VLOOKUP($B23,INDIRECT("'GRD-"&amp;CV$11&amp;"'!B:R"),15,FALSE),"")</f>
        <v/>
      </c>
      <c r="CW23" s="96">
        <f>IFERROR(VLOOKUP($B23,INDIRECT("'GRD-"&amp;CW$11&amp;"'!B:R"),15,FALSE),"")</f>
        <v/>
      </c>
      <c r="CX23" s="96">
        <f>IFERROR(VLOOKUP($B23,INDIRECT("'GRD-"&amp;CX$11&amp;"'!B:R"),15,FALSE),"")</f>
        <v/>
      </c>
      <c r="CY23" s="96">
        <f>IFERROR(VLOOKUP($B23,INDIRECT("'GRD-"&amp;CY$11&amp;"'!B:R"),15,FALSE),"")</f>
        <v/>
      </c>
      <c r="CZ23" s="96">
        <f>IFERROR(VLOOKUP($B23,INDIRECT("'GRD-"&amp;CZ$11&amp;"'!B:R"),15,FALSE),"")</f>
        <v/>
      </c>
      <c r="DA23" s="96">
        <f>IFERROR(VLOOKUP($B23,INDIRECT("'GRD-"&amp;DA$11&amp;"'!B:R"),15,FALSE),"")</f>
        <v/>
      </c>
      <c r="DB23" s="96">
        <f>IFERROR(VLOOKUP($B23,INDIRECT("'GRD-"&amp;DB$11&amp;"'!B:R"),15,FALSE),"")</f>
        <v/>
      </c>
      <c r="DC23" s="96">
        <f>IFERROR(VLOOKUP($B23,INDIRECT("'GRD-"&amp;DC$11&amp;"'!B:R"),15,FALSE),"")</f>
        <v/>
      </c>
      <c r="DD23" s="96">
        <f>IFERROR(VLOOKUP($B23,INDIRECT("'GRD-"&amp;DD$11&amp;"'!B:R"),15,FALSE),"")</f>
        <v/>
      </c>
      <c r="DE23" s="96">
        <f>IFERROR(VLOOKUP($B23,INDIRECT("'GRD-"&amp;DE$11&amp;"'!B:R"),15,FALSE),"")</f>
        <v/>
      </c>
      <c r="DF23" s="96">
        <f>IFERROR(VLOOKUP($B23,INDIRECT("'GRD-"&amp;DF$11&amp;"'!B:R"),15,FALSE),"")</f>
        <v/>
      </c>
      <c r="DG23" s="96">
        <f>IFERROR(VLOOKUP($B23,INDIRECT("'GRD-"&amp;DG$11&amp;"'!B:R"),15,FALSE),"")</f>
        <v/>
      </c>
      <c r="DH23" s="96">
        <f>IFERROR(VLOOKUP($B23,INDIRECT("'GRD-"&amp;DH$11&amp;"'!B:R"),15,FALSE),"")</f>
        <v/>
      </c>
      <c r="DI23" s="96">
        <f>IFERROR(VLOOKUP($B23,INDIRECT("'GRD-"&amp;DI$11&amp;"'!B:R"),15,FALSE),"")</f>
        <v/>
      </c>
      <c r="DJ23" s="96">
        <f>IFERROR(VLOOKUP($B23,INDIRECT("'GRD-"&amp;DJ$11&amp;"'!B:R"),15,FALSE),"")</f>
        <v/>
      </c>
      <c r="DK23" s="96">
        <f>IFERROR(VLOOKUP($B23,INDIRECT("'GRD-"&amp;DK$11&amp;"'!B:R"),15,FALSE),"")</f>
        <v/>
      </c>
      <c r="DL23" s="96">
        <f>IFERROR(VLOOKUP($B23,INDIRECT("'GRD-"&amp;DL$11&amp;"'!B:R"),15,FALSE),"")</f>
        <v/>
      </c>
      <c r="DM23" s="96">
        <f>IFERROR(VLOOKUP($B23,INDIRECT("'GRD-"&amp;DM$11&amp;"'!B:R"),15,FALSE),"")</f>
        <v/>
      </c>
      <c r="DN23" s="96">
        <f>IFERROR(VLOOKUP($B23,INDIRECT("'GRD-"&amp;DN$11&amp;"'!B:R"),15,FALSE),"")</f>
        <v/>
      </c>
      <c r="DO23" s="96">
        <f>IFERROR(VLOOKUP($B23,INDIRECT("'GRD-"&amp;DO$11&amp;"'!B:R"),15,FALSE),"")</f>
        <v/>
      </c>
      <c r="DP23" s="96">
        <f>IFERROR(VLOOKUP($B23,INDIRECT("'GRD-"&amp;DP$11&amp;"'!B:R"),15,FALSE),"")</f>
        <v/>
      </c>
      <c r="DQ23" s="96">
        <f>IFERROR(VLOOKUP($B23,INDIRECT("'GRD-"&amp;DQ$11&amp;"'!B:R"),15,FALSE),"")</f>
        <v/>
      </c>
      <c r="DR23" s="96">
        <f>IFERROR(VLOOKUP($B23,INDIRECT("'GRD-"&amp;DR$11&amp;"'!B:R"),15,FALSE),"")</f>
        <v/>
      </c>
      <c r="DS23" s="96">
        <f>IFERROR(VLOOKUP($B23,INDIRECT("'GRD-"&amp;DS$11&amp;"'!B:R"),15,FALSE),"")</f>
        <v/>
      </c>
      <c r="DT23" s="96">
        <f>IFERROR(VLOOKUP($B23,INDIRECT("'GRD-"&amp;DT$11&amp;"'!B:R"),15,FALSE),"")</f>
        <v/>
      </c>
      <c r="DU23" s="96">
        <f>IFERROR(VLOOKUP($B23,INDIRECT("'GRD-"&amp;DU$11&amp;"'!B:R"),15,FALSE),"")</f>
        <v/>
      </c>
      <c r="DV23" s="96">
        <f>IFERROR(VLOOKUP($B23,INDIRECT("'GRD-"&amp;DV$11&amp;"'!B:R"),15,FALSE),"")</f>
        <v/>
      </c>
      <c r="DW23" s="96">
        <f>IFERROR(VLOOKUP($B23,INDIRECT("'GRD-"&amp;DW$11&amp;"'!B:R"),15,FALSE),"")</f>
        <v/>
      </c>
      <c r="DX23" s="96">
        <f>IFERROR(VLOOKUP($B23,INDIRECT("'GRD-"&amp;DX$11&amp;"'!B:R"),15,FALSE),"")</f>
        <v/>
      </c>
      <c r="DY23" s="96">
        <f>IFERROR(VLOOKUP($B23,INDIRECT("'GRD-"&amp;DY$11&amp;"'!B:R"),15,FALSE),"")</f>
        <v/>
      </c>
      <c r="DZ23" s="96">
        <f>IFERROR(VLOOKUP($B23,INDIRECT("'GRD-"&amp;DZ$11&amp;"'!B:R"),15,FALSE),"")</f>
        <v/>
      </c>
      <c r="EA23" s="96">
        <f>IFERROR(VLOOKUP($B23,INDIRECT("'GRD-"&amp;EA$11&amp;"'!B:R"),15,FALSE),"")</f>
        <v/>
      </c>
      <c r="EB23" s="96">
        <f>IFERROR(VLOOKUP($B23,INDIRECT("'GRD-"&amp;EB$11&amp;"'!B:R"),15,FALSE),"")</f>
        <v/>
      </c>
      <c r="EC23" s="96">
        <f>IFERROR(VLOOKUP($B23,INDIRECT("'GRD-"&amp;EC$11&amp;"'!B:R"),15,FALSE),"")</f>
        <v/>
      </c>
      <c r="ED23" s="96">
        <f>IFERROR(VLOOKUP($B23,INDIRECT("'GRD-"&amp;ED$11&amp;"'!B:R"),15,FALSE),"")</f>
        <v/>
      </c>
      <c r="EE23" s="96">
        <f>IFERROR(VLOOKUP($B23,INDIRECT("'GRD-"&amp;EE$11&amp;"'!B:R"),15,FALSE),"")</f>
        <v/>
      </c>
      <c r="EF23" s="96">
        <f>IFERROR(VLOOKUP($B23,INDIRECT("'GRD-"&amp;EF$11&amp;"'!B:R"),15,FALSE),"")</f>
        <v/>
      </c>
      <c r="EG23" s="96">
        <f>IFERROR(VLOOKUP($B23,INDIRECT("'GRD-"&amp;EG$11&amp;"'!B:R"),15,FALSE),"")</f>
        <v/>
      </c>
      <c r="EH23" s="96">
        <f>IFERROR(VLOOKUP($B23,INDIRECT("'GRD-"&amp;EH$11&amp;"'!B:R"),15,FALSE),"")</f>
        <v/>
      </c>
      <c r="EI23" s="96">
        <f>IFERROR(VLOOKUP($B23,INDIRECT("'GRD-"&amp;EI$11&amp;"'!B:R"),15,FALSE),"")</f>
        <v/>
      </c>
      <c r="EJ23" s="96">
        <f>IFERROR(VLOOKUP($B23,INDIRECT("'GRD-"&amp;EJ$11&amp;"'!B:R"),15,FALSE),"")</f>
        <v/>
      </c>
      <c r="EK23" s="96">
        <f>IFERROR(VLOOKUP($B23,INDIRECT("'GRD-"&amp;EK$11&amp;"'!B:R"),15,FALSE),"")</f>
        <v/>
      </c>
      <c r="EL23" s="96">
        <f>IFERROR(VLOOKUP($B23,INDIRECT("'GRD-"&amp;EL$11&amp;"'!B:R"),15,FALSE),"")</f>
        <v/>
      </c>
      <c r="EM23" s="96">
        <f>IFERROR(VLOOKUP($B23,INDIRECT("'GRD-"&amp;EM$11&amp;"'!B:R"),15,FALSE),"")</f>
        <v/>
      </c>
      <c r="EN23" s="96">
        <f>IFERROR(VLOOKUP($B23,INDIRECT("'GRD-"&amp;EN$11&amp;"'!B:R"),15,FALSE),"")</f>
        <v/>
      </c>
      <c r="EO23" s="96">
        <f>IFERROR(VLOOKUP($B23,INDIRECT("'GRD-"&amp;EO$11&amp;"'!B:R"),15,FALSE),"")</f>
        <v/>
      </c>
      <c r="EP23" s="96">
        <f>IFERROR(VLOOKUP($B23,INDIRECT("'GRD-"&amp;EP$11&amp;"'!B:R"),15,FALSE),"")</f>
        <v/>
      </c>
      <c r="EQ23" s="96">
        <f>IFERROR(VLOOKUP($B23,INDIRECT("'GRD-"&amp;EQ$11&amp;"'!B:R"),15,FALSE),"")</f>
        <v/>
      </c>
      <c r="ER23" s="96">
        <f>IFERROR(VLOOKUP($B23,INDIRECT("'GRD-"&amp;ER$11&amp;"'!B:R"),15,FALSE),"")</f>
        <v/>
      </c>
      <c r="ES23" s="96">
        <f>IFERROR(VLOOKUP($B23,INDIRECT("'GRD-"&amp;ES$11&amp;"'!B:R"),15,FALSE),"")</f>
        <v/>
      </c>
      <c r="ET23" s="96">
        <f>IFERROR(VLOOKUP($B23,INDIRECT("'GRD-"&amp;ET$11&amp;"'!B:R"),15,FALSE),"")</f>
        <v/>
      </c>
      <c r="EU23" s="96">
        <f>IFERROR(VLOOKUP($B23,INDIRECT("'GRD-"&amp;EU$11&amp;"'!B:R"),15,FALSE),"")</f>
        <v/>
      </c>
      <c r="EV23" s="96">
        <f>IFERROR(VLOOKUP($B23,INDIRECT("'GRD-"&amp;EV$11&amp;"'!B:R"),15,FALSE),"")</f>
        <v/>
      </c>
      <c r="EW23" s="96">
        <f>IFERROR(VLOOKUP($B23,INDIRECT("'GRD-"&amp;EW$11&amp;"'!B:R"),15,FALSE),"")</f>
        <v/>
      </c>
      <c r="EX23" s="96">
        <f>IFERROR(VLOOKUP($B23,INDIRECT("'GRD-"&amp;EX$11&amp;"'!B:R"),15,FALSE),"")</f>
        <v/>
      </c>
      <c r="EY23" s="96">
        <f>IFERROR(VLOOKUP($B23,INDIRECT("'GRD-"&amp;EY$11&amp;"'!B:R"),15,FALSE),"")</f>
        <v/>
      </c>
      <c r="EZ23" s="96">
        <f>IFERROR(VLOOKUP($B23,INDIRECT("'GRD-"&amp;EZ$11&amp;"'!B:R"),15,FALSE),"")</f>
        <v/>
      </c>
      <c r="FA23" s="96">
        <f>IFERROR(VLOOKUP($B23,INDIRECT("'GRD-"&amp;FA$11&amp;"'!B:R"),15,FALSE),"")</f>
        <v/>
      </c>
      <c r="FB23" s="96">
        <f>IFERROR(VLOOKUP($B23,INDIRECT("'GRD-"&amp;FB$11&amp;"'!B:R"),15,FALSE),"")</f>
        <v/>
      </c>
      <c r="FC23" s="96">
        <f>IFERROR(VLOOKUP($B23,INDIRECT("'GRD-"&amp;FC$11&amp;"'!B:R"),15,FALSE),"")</f>
        <v/>
      </c>
      <c r="FD23" s="96">
        <f>IFERROR(VLOOKUP($B23,INDIRECT("'GRD-"&amp;FD$11&amp;"'!B:R"),15,FALSE),"")</f>
        <v/>
      </c>
      <c r="FE23" s="96">
        <f>IFERROR(VLOOKUP($B23,INDIRECT("'GRD-"&amp;FE$11&amp;"'!B:R"),15,FALSE),"")</f>
        <v/>
      </c>
      <c r="FF23" s="96">
        <f>IFERROR(VLOOKUP($B23,INDIRECT("'GRD-"&amp;FF$11&amp;"'!B:R"),15,FALSE),"")</f>
        <v/>
      </c>
      <c r="FG23" s="96">
        <f>IFERROR(VLOOKUP($B23,INDIRECT("'GRD-"&amp;FG$11&amp;"'!B:R"),15,FALSE),"")</f>
        <v/>
      </c>
      <c r="FH23" s="96">
        <f>IFERROR(VLOOKUP($B23,INDIRECT("'GRD-"&amp;FH$11&amp;"'!B:R"),15,FALSE),"")</f>
        <v/>
      </c>
      <c r="FI23" s="96">
        <f>IFERROR(VLOOKUP($B23,INDIRECT("'GRD-"&amp;FI$11&amp;"'!B:R"),15,FALSE),"")</f>
        <v/>
      </c>
      <c r="FJ23" s="96">
        <f>IFERROR(VLOOKUP($B23,INDIRECT("'GRD-"&amp;FJ$11&amp;"'!B:R"),15,FALSE),"")</f>
        <v/>
      </c>
      <c r="FK23" s="96">
        <f>IFERROR(VLOOKUP($B23,INDIRECT("'GRD-"&amp;FK$11&amp;"'!B:R"),15,FALSE),"")</f>
        <v/>
      </c>
      <c r="FL23" s="96">
        <f>IFERROR(VLOOKUP($B23,INDIRECT("'GRD-"&amp;FL$11&amp;"'!B:R"),15,FALSE),"")</f>
        <v/>
      </c>
      <c r="FM23" s="96">
        <f>IFERROR(VLOOKUP($B23,INDIRECT("'GRD-"&amp;FM$11&amp;"'!B:R"),15,FALSE),"")</f>
        <v/>
      </c>
      <c r="FN23" s="96">
        <f>IFERROR(VLOOKUP($B23,INDIRECT("'GRD-"&amp;FN$11&amp;"'!B:R"),15,FALSE),"")</f>
        <v/>
      </c>
      <c r="FO23" s="96">
        <f>IFERROR(VLOOKUP($B23,INDIRECT("'GRD-"&amp;FO$11&amp;"'!B:R"),15,FALSE),"")</f>
        <v/>
      </c>
      <c r="FP23" s="96">
        <f>IFERROR(VLOOKUP($B23,INDIRECT("'GRD-"&amp;FP$11&amp;"'!B:R"),15,FALSE),"")</f>
        <v/>
      </c>
      <c r="FQ23" s="96">
        <f>IFERROR(VLOOKUP($B23,INDIRECT("'GRD-"&amp;FQ$11&amp;"'!B:R"),15,FALSE),"")</f>
        <v/>
      </c>
      <c r="FR23" s="96">
        <f>IFERROR(VLOOKUP($B23,INDIRECT("'GRD-"&amp;FR$11&amp;"'!B:R"),15,FALSE),"")</f>
        <v/>
      </c>
      <c r="FS23" s="96">
        <f>IFERROR(VLOOKUP($B23,INDIRECT("'GRD-"&amp;FS$11&amp;"'!B:R"),15,FALSE),"")</f>
        <v/>
      </c>
      <c r="FT23" s="96">
        <f>IFERROR(VLOOKUP($B23,INDIRECT("'GRD-"&amp;FT$11&amp;"'!B:R"),15,FALSE),"")</f>
        <v/>
      </c>
      <c r="FU23" s="96">
        <f>IFERROR(VLOOKUP($B23,INDIRECT("'GRD-"&amp;FU$11&amp;"'!B:R"),15,FALSE),"")</f>
        <v/>
      </c>
      <c r="FV23" s="96">
        <f>IFERROR(VLOOKUP($B23,INDIRECT("'GRD-"&amp;FV$11&amp;"'!B:R"),15,FALSE),"")</f>
        <v/>
      </c>
    </row>
    <row r="24" customFormat="1" s="66">
      <c r="A24" s="43" t="n"/>
      <c r="B24" s="68" t="n"/>
      <c r="C24" s="72" t="n"/>
      <c r="D24" s="73">
        <f>IF(K24="","",MAX($CA24:$FV24))</f>
        <v/>
      </c>
      <c r="E24" s="74">
        <f t="array" ref="E24">IF($K24="","",OFFSET($A$1,ROW($B24)-1,11+$D24*4,))</f>
        <v/>
      </c>
      <c r="F24" s="74">
        <f t="array" ref="F24">IF($K24="","",OFFSET($A$1,ROW($B24)-1,12+$D24*4,))</f>
        <v/>
      </c>
      <c r="G24" s="118">
        <f t="array" ref="G24">IF($K24="","",OFFSET($A$1,ROW($B24)-1,13+$D24*4,))</f>
        <v/>
      </c>
      <c r="H24" s="87" t="n"/>
      <c r="I24" s="88" t="n"/>
      <c r="J24" s="75">
        <f>IF(I24="A4",H24/8,IF(I24="A3",H24/4,IF(I24="A2",H24/2,IF(I24="A1",H24/1,IF(I24="A0",H24*2,"")))))</f>
        <v/>
      </c>
      <c r="K24" s="68">
        <f t="array" ref="K24">IFERROR(OFFSET($BZ$11,ROW($B24)-11,MATCH(K$10,$CA24:$FV24,0),),"")</f>
        <v/>
      </c>
      <c r="L24" s="68">
        <f>IF(K24="","",IF(VLOOKUP($B24,INDIRECT("'GRD-"&amp;M24&amp;"'!$B:$R"),16,FALSE)="","",VLOOKUP($B24,INDIRECT("'GRD-"&amp;M24&amp;"'!$B:$R"),16,FALSE)))</f>
        <v/>
      </c>
      <c r="M24" s="68">
        <f t="array" ref="M24">IF(K24="","",IFERROR(OFFSET($BZ$11,0,MATCH($K24,$CA24:$FV24,0),),""))</f>
        <v/>
      </c>
      <c r="N24" s="119">
        <f t="array" ref="N24">IF(K24="","",INDIRECT("'GRD-"&amp;M24&amp;"'!$L$7"))</f>
        <v/>
      </c>
      <c r="O24" s="76">
        <f t="array" ref="O24">IFERROR(OFFSET($BZ$11,ROW($B24)-11,MATCH(O$10,$CA24:$FV24,0),),"")</f>
        <v/>
      </c>
      <c r="P24" s="77">
        <f>IF(O24="","",IF(VLOOKUP($B24,INDIRECT("'GRD-"&amp;Q24&amp;"'!$B:$R"),16,FALSE)="","",VLOOKUP($B24,INDIRECT("'GRD-"&amp;Q24&amp;"'!$B:$R"),16,FALSE)))</f>
        <v/>
      </c>
      <c r="Q24" s="120">
        <f t="array" ref="Q24">IF(O24="","",IFERROR(OFFSET($BZ$11,0,MATCH($O24,$CA24:$FV24,0),),""))</f>
        <v/>
      </c>
      <c r="R24" s="121">
        <f t="array" ref="R24">IF(O24="","",INDIRECT("'GRD-"&amp;Q24&amp;"'!$L$7"))</f>
        <v/>
      </c>
      <c r="S24" s="83">
        <f t="array" ref="S24">IFERROR(OFFSET($BZ$11,ROW($B24)-11,MATCH(S$10,$CA24:$FV24,0),),"")</f>
        <v/>
      </c>
      <c r="T24" s="89">
        <f>IF(S24="","",IF(VLOOKUP($B24,INDIRECT("'GRD-"&amp;U24&amp;"'!$B:$R"),16,FALSE)="","",VLOOKUP($B24,INDIRECT("'GRD-"&amp;U24&amp;"'!$B:$R"),16,FALSE)))</f>
        <v/>
      </c>
      <c r="U24" s="135">
        <f t="array" ref="U24">IF(S24="","",IFERROR(OFFSET($BZ$11,0,MATCH($S24,$CA24:$FV24,0),),""))</f>
        <v/>
      </c>
      <c r="V24" s="133">
        <f t="array" ref="V24">IF(S24="","",INDIRECT("'GRD-"&amp;U24&amp;"'!$L$7"))</f>
        <v/>
      </c>
      <c r="W24" s="90">
        <f t="array" ref="W24">IFERROR(OFFSET($BZ$11,ROW($B24)-11,MATCH(W$10,$CA24:$FV24,0),),"")</f>
        <v/>
      </c>
      <c r="X24" s="90">
        <f>IF(W24="","",IF(VLOOKUP($B24,INDIRECT("'GRD-"&amp;Y24&amp;"'!$B:$R"),16,FALSE)="","",VLOOKUP($B24,INDIRECT("'GRD-"&amp;Y24&amp;"'!$B:$R"),16,FALSE)))</f>
        <v/>
      </c>
      <c r="Y24" s="136">
        <f t="array" ref="Y24">IF(W24="","",IFERROR(OFFSET($BZ$11,0,MATCH($W24,$CA24:$FV24,0),),""))</f>
        <v/>
      </c>
      <c r="Z24" s="137">
        <f t="array" ref="Z24">IF(W24="","",INDIRECT("'GRD-"&amp;Y24&amp;"'!$L$7"))</f>
        <v/>
      </c>
      <c r="AA24" s="91">
        <f t="array" ref="AA24">IFERROR(OFFSET($BZ$11,ROW($B24)-11,MATCH(AA$10,$CA24:$FV24,0),),"")</f>
        <v/>
      </c>
      <c r="AB24" s="91">
        <f>IF(AA24="","",IF(VLOOKUP($B24,INDIRECT("'GRD-"&amp;AC24&amp;"'!$B:$R"),16,FALSE)="","",VLOOKUP($B24,INDIRECT("'GRD-"&amp;AC24&amp;"'!$B:$R"),16,FALSE)))</f>
        <v/>
      </c>
      <c r="AC24" s="138">
        <f t="array" ref="AC24">IF(AA24="","",IFERROR(OFFSET($BZ$11,0,MATCH($AA24,$CA24:$FV24,0),),""))</f>
        <v/>
      </c>
      <c r="AD24" s="139">
        <f t="array" ref="AD24">IF(AA24="","",INDIRECT("'GRD-"&amp;AC24&amp;"'!$L$7"))</f>
        <v/>
      </c>
      <c r="AE24" s="92">
        <f t="array" ref="AE24">IFERROR(OFFSET($BZ$11,ROW($B24)-11,MATCH(AE$10,$CA24:$FV24,0),),"")</f>
        <v/>
      </c>
      <c r="AF24" s="92">
        <f>IF(AE24="","",IF(VLOOKUP($B24,INDIRECT("'GRD-"&amp;AG24&amp;"'!$B:$R"),16,FALSE)="","",VLOOKUP($B24,INDIRECT("'GRD-"&amp;AG24&amp;"'!$B:$R"),16,FALSE)))</f>
        <v/>
      </c>
      <c r="AG24" s="140">
        <f t="array" ref="AG24">IF(AE24="","",IFERROR(OFFSET($BZ$11,0,MATCH($AE24,$CA24:$FV24,0),),""))</f>
        <v/>
      </c>
      <c r="AH24" s="141">
        <f t="array" ref="AH24">IF(AE24="","",INDIRECT("'GRD-"&amp;AG24&amp;"'!$L$7"))</f>
        <v/>
      </c>
      <c r="AI24" s="89">
        <f t="array" ref="AI24">IFERROR(OFFSET($BZ$11,ROW($B24)-11,MATCH(AI$10,$CA24:$FV24,0),),"")</f>
        <v/>
      </c>
      <c r="AJ24" s="89">
        <f>IF(AI24="","",IF(VLOOKUP($B24,INDIRECT("'GRD-"&amp;AK24&amp;"'!$B:$R"),16,FALSE)="","",VLOOKUP($B24,INDIRECT("'GRD-"&amp;AK24&amp;"'!$B:$R"),16,FALSE)))</f>
        <v/>
      </c>
      <c r="AK24" s="135">
        <f t="array" ref="AK24">IF(AI24="","",IFERROR(OFFSET($BZ$11,0,MATCH($AI24,$CA24:$FV24,0),),""))</f>
        <v/>
      </c>
      <c r="AL24" s="142">
        <f t="array" ref="AL24">IF(AI24="","",INDIRECT("'GRD-"&amp;AK24&amp;"'!$L$7"))</f>
        <v/>
      </c>
      <c r="AM24" s="90">
        <f t="array" ref="AM24">IFERROR(OFFSET($BZ$11,ROW($B24)-11,MATCH(AM$10,$CA24:$FV24,0),),"")</f>
        <v/>
      </c>
      <c r="AN24" s="90">
        <f>IF(AM24="","",IF(VLOOKUP($B24,INDIRECT("'GRD-"&amp;AO24&amp;"'!$B:$R"),16,FALSE)="","",VLOOKUP($B24,INDIRECT("'GRD-"&amp;AO24&amp;"'!$B:$R"),16,FALSE)))</f>
        <v/>
      </c>
      <c r="AO24" s="136">
        <f t="array" ref="AO24">IF(AM24="","",IFERROR(OFFSET($BZ$11,0,MATCH($AM24,$CA24:$FV24,0),),""))</f>
        <v/>
      </c>
      <c r="AP24" s="137">
        <f t="array" ref="AP24">IF(AM24="","",INDIRECT("'GRD-"&amp;AO24&amp;"'!$L$7"))</f>
        <v/>
      </c>
      <c r="AQ24" s="91">
        <f t="array" ref="AQ24">IFERROR(OFFSET($BZ$11,ROW($B24)-11,MATCH(AQ$10,$CA24:$FV24,0),),"")</f>
        <v/>
      </c>
      <c r="AR24" s="91">
        <f>IF(AQ24="","",IF(VLOOKUP($B24,INDIRECT("'GRD-"&amp;AS24&amp;"'!$B:$R"),16,FALSE)="","",VLOOKUP($B24,INDIRECT("'GRD-"&amp;AS24&amp;"'!$B:$R"),16,FALSE)))</f>
        <v/>
      </c>
      <c r="AS24" s="138">
        <f t="array" ref="AS24">IF(AQ24="","",IFERROR(OFFSET($BZ$11,0,MATCH($AQ24,$CA24:$FV24,0),),""))</f>
        <v/>
      </c>
      <c r="AT24" s="139">
        <f t="array" ref="AT24">IF(AQ24="","",INDIRECT("'GRD-"&amp;AS24&amp;"'!$L$7"))</f>
        <v/>
      </c>
      <c r="AU24" s="92">
        <f t="array" ref="AU24">IFERROR(OFFSET($BZ$11,ROW($B24)-11,MATCH(AU$10,$CA24:$FV24,0),),"")</f>
        <v/>
      </c>
      <c r="AV24" s="92">
        <f>IF(AU24="","",IF(VLOOKUP($B24,INDIRECT("'GRD-"&amp;AW24&amp;"'!$B:$R"),16,FALSE)="","",VLOOKUP($B24,INDIRECT("'GRD-"&amp;AW24&amp;"'!$B:$R"),16,FALSE)))</f>
        <v/>
      </c>
      <c r="AW24" s="140">
        <f t="array" ref="AW24">IF(AU24="","",IFERROR(OFFSET($BZ$11,0,MATCH($AU24,$CA24:$FV24,0),),""))</f>
        <v/>
      </c>
      <c r="AX24" s="141">
        <f t="array" ref="AX24">IF(AU24="","",INDIRECT("'GRD-"&amp;AW24&amp;"'!$L$7"))</f>
        <v/>
      </c>
      <c r="AY24" s="89">
        <f t="array" ref="AY24">IFERROR(OFFSET($BZ$11,ROW($B24)-11,MATCH(AY$10,$CA24:$FV24,0),),"")</f>
        <v/>
      </c>
      <c r="AZ24" s="89">
        <f>IF(AY24="","",IF(VLOOKUP($B24,INDIRECT("'GRD-"&amp;BA24&amp;"'!$B:$R"),16,FALSE)="","",VLOOKUP($B24,INDIRECT("'GRD-"&amp;BA24&amp;"'!$B:$R"),16,FALSE)))</f>
        <v/>
      </c>
      <c r="BA24" s="135">
        <f t="array" ref="BA24">IF(AY24="","",IFERROR(OFFSET($BZ$11,0,MATCH($AY24,$CA24:$FV24,0),),""))</f>
        <v/>
      </c>
      <c r="BB24" s="142">
        <f t="array" ref="BB24">IF(AY24="","",INDIRECT("'GRD-"&amp;BA24&amp;"'!$L$7"))</f>
        <v/>
      </c>
      <c r="BC24" s="90">
        <f t="array" ref="BC24">IFERROR(OFFSET($BZ$11,ROW($B24)-11,MATCH(BC$10,$CA24:$FV24,0),),"")</f>
        <v/>
      </c>
      <c r="BD24" s="90">
        <f>IF(BC24="","",IF(VLOOKUP($B24,INDIRECT("'GRD-"&amp;BE24&amp;"'!$B:$R"),16,FALSE)="","",VLOOKUP($B24,INDIRECT("'GRD-"&amp;BE24&amp;"'!$B:$R"),16,FALSE)))</f>
        <v/>
      </c>
      <c r="BE24" s="136">
        <f t="array" ref="BE24">IF(BC24="","",IFERROR(OFFSET($BZ$11,0,MATCH($BC24,$CA24:$FV24,0),),""))</f>
        <v/>
      </c>
      <c r="BF24" s="137">
        <f t="array" ref="BF24">IF(BC24="","",INDIRECT("'GRD-"&amp;BE24&amp;"'!$L$7"))</f>
        <v/>
      </c>
      <c r="BZ24" s="67" t="n"/>
      <c r="CA24" s="96">
        <f>IFERROR(VLOOKUP($B24,INDIRECT("'GRD-"&amp;CA$11&amp;"'!B:R"),15,FALSE),"")</f>
        <v/>
      </c>
      <c r="CB24" s="96">
        <f>IFERROR(VLOOKUP($B24,INDIRECT("'GRD-"&amp;CB$11&amp;"'!B:R"),15,FALSE),"")</f>
        <v/>
      </c>
      <c r="CC24" s="96">
        <f>IFERROR(VLOOKUP($B24,INDIRECT("'GRD-"&amp;CC$11&amp;"'!B:R"),15,FALSE),"")</f>
        <v/>
      </c>
      <c r="CD24" s="96">
        <f>IFERROR(VLOOKUP($B24,INDIRECT("'GRD-"&amp;CD$11&amp;"'!B:R"),15,FALSE),"")</f>
        <v/>
      </c>
      <c r="CE24" s="96">
        <f>IFERROR(VLOOKUP($B24,INDIRECT("'GRD-"&amp;CE$11&amp;"'!B:R"),15,FALSE),"")</f>
        <v/>
      </c>
      <c r="CF24" s="96">
        <f>IFERROR(VLOOKUP($B24,INDIRECT("'GRD-"&amp;CF$11&amp;"'!B:R"),15,FALSE),"")</f>
        <v/>
      </c>
      <c r="CG24" s="96">
        <f>IFERROR(VLOOKUP($B24,INDIRECT("'GRD-"&amp;CG$11&amp;"'!B:R"),15,FALSE),"")</f>
        <v/>
      </c>
      <c r="CH24" s="96">
        <f>IFERROR(VLOOKUP($B24,INDIRECT("'GRD-"&amp;CH$11&amp;"'!B:R"),15,FALSE),"")</f>
        <v/>
      </c>
      <c r="CI24" s="96">
        <f>IFERROR(VLOOKUP($B24,INDIRECT("'GRD-"&amp;CI$11&amp;"'!B:R"),15,FALSE),"")</f>
        <v/>
      </c>
      <c r="CJ24" s="96">
        <f>IFERROR(VLOOKUP($B24,INDIRECT("'GRD-"&amp;CJ$11&amp;"'!B:R"),15,FALSE),"")</f>
        <v/>
      </c>
      <c r="CK24" s="96">
        <f>IFERROR(VLOOKUP($B24,INDIRECT("'GRD-"&amp;CK$11&amp;"'!B:R"),15,FALSE),"")</f>
        <v/>
      </c>
      <c r="CL24" s="96">
        <f>IFERROR(VLOOKUP($B24,INDIRECT("'GRD-"&amp;CL$11&amp;"'!B:R"),15,FALSE),"")</f>
        <v/>
      </c>
      <c r="CM24" s="96">
        <f>IFERROR(VLOOKUP($B24,INDIRECT("'GRD-"&amp;CM$11&amp;"'!B:R"),15,FALSE),"")</f>
        <v/>
      </c>
      <c r="CN24" s="96">
        <f>IFERROR(VLOOKUP($B24,INDIRECT("'GRD-"&amp;CN$11&amp;"'!B:R"),15,FALSE),"")</f>
        <v/>
      </c>
      <c r="CO24" s="96">
        <f>IFERROR(VLOOKUP($B24,INDIRECT("'GRD-"&amp;CO$11&amp;"'!B:R"),15,FALSE),"")</f>
        <v/>
      </c>
      <c r="CP24" s="96">
        <f>IFERROR(VLOOKUP($B24,INDIRECT("'GRD-"&amp;CP$11&amp;"'!B:R"),15,FALSE),"")</f>
        <v/>
      </c>
      <c r="CQ24" s="96">
        <f>IFERROR(VLOOKUP($B24,INDIRECT("'GRD-"&amp;CQ$11&amp;"'!B:R"),15,FALSE),"")</f>
        <v/>
      </c>
      <c r="CR24" s="96">
        <f>IFERROR(VLOOKUP($B24,INDIRECT("'GRD-"&amp;CR$11&amp;"'!B:R"),15,FALSE),"")</f>
        <v/>
      </c>
      <c r="CS24" s="96">
        <f>IFERROR(VLOOKUP($B24,INDIRECT("'GRD-"&amp;CS$11&amp;"'!B:R"),15,FALSE),"")</f>
        <v/>
      </c>
      <c r="CT24" s="96">
        <f>IFERROR(VLOOKUP($B24,INDIRECT("'GRD-"&amp;CT$11&amp;"'!B:R"),15,FALSE),"")</f>
        <v/>
      </c>
      <c r="CU24" s="96">
        <f>IFERROR(VLOOKUP($B24,INDIRECT("'GRD-"&amp;CU$11&amp;"'!B:R"),15,FALSE),"")</f>
        <v/>
      </c>
      <c r="CV24" s="96">
        <f>IFERROR(VLOOKUP($B24,INDIRECT("'GRD-"&amp;CV$11&amp;"'!B:R"),15,FALSE),"")</f>
        <v/>
      </c>
      <c r="CW24" s="96">
        <f>IFERROR(VLOOKUP($B24,INDIRECT("'GRD-"&amp;CW$11&amp;"'!B:R"),15,FALSE),"")</f>
        <v/>
      </c>
      <c r="CX24" s="96">
        <f>IFERROR(VLOOKUP($B24,INDIRECT("'GRD-"&amp;CX$11&amp;"'!B:R"),15,FALSE),"")</f>
        <v/>
      </c>
      <c r="CY24" s="96">
        <f>IFERROR(VLOOKUP($B24,INDIRECT("'GRD-"&amp;CY$11&amp;"'!B:R"),15,FALSE),"")</f>
        <v/>
      </c>
      <c r="CZ24" s="96">
        <f>IFERROR(VLOOKUP($B24,INDIRECT("'GRD-"&amp;CZ$11&amp;"'!B:R"),15,FALSE),"")</f>
        <v/>
      </c>
      <c r="DA24" s="96">
        <f>IFERROR(VLOOKUP($B24,INDIRECT("'GRD-"&amp;DA$11&amp;"'!B:R"),15,FALSE),"")</f>
        <v/>
      </c>
      <c r="DB24" s="96">
        <f>IFERROR(VLOOKUP($B24,INDIRECT("'GRD-"&amp;DB$11&amp;"'!B:R"),15,FALSE),"")</f>
        <v/>
      </c>
      <c r="DC24" s="96">
        <f>IFERROR(VLOOKUP($B24,INDIRECT("'GRD-"&amp;DC$11&amp;"'!B:R"),15,FALSE),"")</f>
        <v/>
      </c>
      <c r="DD24" s="96">
        <f>IFERROR(VLOOKUP($B24,INDIRECT("'GRD-"&amp;DD$11&amp;"'!B:R"),15,FALSE),"")</f>
        <v/>
      </c>
      <c r="DE24" s="96">
        <f>IFERROR(VLOOKUP($B24,INDIRECT("'GRD-"&amp;DE$11&amp;"'!B:R"),15,FALSE),"")</f>
        <v/>
      </c>
      <c r="DF24" s="96">
        <f>IFERROR(VLOOKUP($B24,INDIRECT("'GRD-"&amp;DF$11&amp;"'!B:R"),15,FALSE),"")</f>
        <v/>
      </c>
      <c r="DG24" s="96">
        <f>IFERROR(VLOOKUP($B24,INDIRECT("'GRD-"&amp;DG$11&amp;"'!B:R"),15,FALSE),"")</f>
        <v/>
      </c>
      <c r="DH24" s="96">
        <f>IFERROR(VLOOKUP($B24,INDIRECT("'GRD-"&amp;DH$11&amp;"'!B:R"),15,FALSE),"")</f>
        <v/>
      </c>
      <c r="DI24" s="96">
        <f>IFERROR(VLOOKUP($B24,INDIRECT("'GRD-"&amp;DI$11&amp;"'!B:R"),15,FALSE),"")</f>
        <v/>
      </c>
      <c r="DJ24" s="96">
        <f>IFERROR(VLOOKUP($B24,INDIRECT("'GRD-"&amp;DJ$11&amp;"'!B:R"),15,FALSE),"")</f>
        <v/>
      </c>
      <c r="DK24" s="96">
        <f>IFERROR(VLOOKUP($B24,INDIRECT("'GRD-"&amp;DK$11&amp;"'!B:R"),15,FALSE),"")</f>
        <v/>
      </c>
      <c r="DL24" s="96">
        <f>IFERROR(VLOOKUP($B24,INDIRECT("'GRD-"&amp;DL$11&amp;"'!B:R"),15,FALSE),"")</f>
        <v/>
      </c>
      <c r="DM24" s="96">
        <f>IFERROR(VLOOKUP($B24,INDIRECT("'GRD-"&amp;DM$11&amp;"'!B:R"),15,FALSE),"")</f>
        <v/>
      </c>
      <c r="DN24" s="96">
        <f>IFERROR(VLOOKUP($B24,INDIRECT("'GRD-"&amp;DN$11&amp;"'!B:R"),15,FALSE),"")</f>
        <v/>
      </c>
      <c r="DO24" s="96">
        <f>IFERROR(VLOOKUP($B24,INDIRECT("'GRD-"&amp;DO$11&amp;"'!B:R"),15,FALSE),"")</f>
        <v/>
      </c>
      <c r="DP24" s="96">
        <f>IFERROR(VLOOKUP($B24,INDIRECT("'GRD-"&amp;DP$11&amp;"'!B:R"),15,FALSE),"")</f>
        <v/>
      </c>
      <c r="DQ24" s="96">
        <f>IFERROR(VLOOKUP($B24,INDIRECT("'GRD-"&amp;DQ$11&amp;"'!B:R"),15,FALSE),"")</f>
        <v/>
      </c>
      <c r="DR24" s="96">
        <f>IFERROR(VLOOKUP($B24,INDIRECT("'GRD-"&amp;DR$11&amp;"'!B:R"),15,FALSE),"")</f>
        <v/>
      </c>
      <c r="DS24" s="96">
        <f>IFERROR(VLOOKUP($B24,INDIRECT("'GRD-"&amp;DS$11&amp;"'!B:R"),15,FALSE),"")</f>
        <v/>
      </c>
      <c r="DT24" s="96">
        <f>IFERROR(VLOOKUP($B24,INDIRECT("'GRD-"&amp;DT$11&amp;"'!B:R"),15,FALSE),"")</f>
        <v/>
      </c>
      <c r="DU24" s="96">
        <f>IFERROR(VLOOKUP($B24,INDIRECT("'GRD-"&amp;DU$11&amp;"'!B:R"),15,FALSE),"")</f>
        <v/>
      </c>
      <c r="DV24" s="96">
        <f>IFERROR(VLOOKUP($B24,INDIRECT("'GRD-"&amp;DV$11&amp;"'!B:R"),15,FALSE),"")</f>
        <v/>
      </c>
      <c r="DW24" s="96">
        <f>IFERROR(VLOOKUP($B24,INDIRECT("'GRD-"&amp;DW$11&amp;"'!B:R"),15,FALSE),"")</f>
        <v/>
      </c>
      <c r="DX24" s="96">
        <f>IFERROR(VLOOKUP($B24,INDIRECT("'GRD-"&amp;DX$11&amp;"'!B:R"),15,FALSE),"")</f>
        <v/>
      </c>
      <c r="DY24" s="96">
        <f>IFERROR(VLOOKUP($B24,INDIRECT("'GRD-"&amp;DY$11&amp;"'!B:R"),15,FALSE),"")</f>
        <v/>
      </c>
      <c r="DZ24" s="96">
        <f>IFERROR(VLOOKUP($B24,INDIRECT("'GRD-"&amp;DZ$11&amp;"'!B:R"),15,FALSE),"")</f>
        <v/>
      </c>
      <c r="EA24" s="96">
        <f>IFERROR(VLOOKUP($B24,INDIRECT("'GRD-"&amp;EA$11&amp;"'!B:R"),15,FALSE),"")</f>
        <v/>
      </c>
      <c r="EB24" s="96">
        <f>IFERROR(VLOOKUP($B24,INDIRECT("'GRD-"&amp;EB$11&amp;"'!B:R"),15,FALSE),"")</f>
        <v/>
      </c>
      <c r="EC24" s="96">
        <f>IFERROR(VLOOKUP($B24,INDIRECT("'GRD-"&amp;EC$11&amp;"'!B:R"),15,FALSE),"")</f>
        <v/>
      </c>
      <c r="ED24" s="96">
        <f>IFERROR(VLOOKUP($B24,INDIRECT("'GRD-"&amp;ED$11&amp;"'!B:R"),15,FALSE),"")</f>
        <v/>
      </c>
      <c r="EE24" s="96">
        <f>IFERROR(VLOOKUP($B24,INDIRECT("'GRD-"&amp;EE$11&amp;"'!B:R"),15,FALSE),"")</f>
        <v/>
      </c>
      <c r="EF24" s="96">
        <f>IFERROR(VLOOKUP($B24,INDIRECT("'GRD-"&amp;EF$11&amp;"'!B:R"),15,FALSE),"")</f>
        <v/>
      </c>
      <c r="EG24" s="96">
        <f>IFERROR(VLOOKUP($B24,INDIRECT("'GRD-"&amp;EG$11&amp;"'!B:R"),15,FALSE),"")</f>
        <v/>
      </c>
      <c r="EH24" s="96">
        <f>IFERROR(VLOOKUP($B24,INDIRECT("'GRD-"&amp;EH$11&amp;"'!B:R"),15,FALSE),"")</f>
        <v/>
      </c>
      <c r="EI24" s="96">
        <f>IFERROR(VLOOKUP($B24,INDIRECT("'GRD-"&amp;EI$11&amp;"'!B:R"),15,FALSE),"")</f>
        <v/>
      </c>
      <c r="EJ24" s="96">
        <f>IFERROR(VLOOKUP($B24,INDIRECT("'GRD-"&amp;EJ$11&amp;"'!B:R"),15,FALSE),"")</f>
        <v/>
      </c>
      <c r="EK24" s="96">
        <f>IFERROR(VLOOKUP($B24,INDIRECT("'GRD-"&amp;EK$11&amp;"'!B:R"),15,FALSE),"")</f>
        <v/>
      </c>
      <c r="EL24" s="96">
        <f>IFERROR(VLOOKUP($B24,INDIRECT("'GRD-"&amp;EL$11&amp;"'!B:R"),15,FALSE),"")</f>
        <v/>
      </c>
      <c r="EM24" s="96">
        <f>IFERROR(VLOOKUP($B24,INDIRECT("'GRD-"&amp;EM$11&amp;"'!B:R"),15,FALSE),"")</f>
        <v/>
      </c>
      <c r="EN24" s="96">
        <f>IFERROR(VLOOKUP($B24,INDIRECT("'GRD-"&amp;EN$11&amp;"'!B:R"),15,FALSE),"")</f>
        <v/>
      </c>
      <c r="EO24" s="96">
        <f>IFERROR(VLOOKUP($B24,INDIRECT("'GRD-"&amp;EO$11&amp;"'!B:R"),15,FALSE),"")</f>
        <v/>
      </c>
      <c r="EP24" s="96">
        <f>IFERROR(VLOOKUP($B24,INDIRECT("'GRD-"&amp;EP$11&amp;"'!B:R"),15,FALSE),"")</f>
        <v/>
      </c>
      <c r="EQ24" s="96">
        <f>IFERROR(VLOOKUP($B24,INDIRECT("'GRD-"&amp;EQ$11&amp;"'!B:R"),15,FALSE),"")</f>
        <v/>
      </c>
      <c r="ER24" s="96">
        <f>IFERROR(VLOOKUP($B24,INDIRECT("'GRD-"&amp;ER$11&amp;"'!B:R"),15,FALSE),"")</f>
        <v/>
      </c>
      <c r="ES24" s="96">
        <f>IFERROR(VLOOKUP($B24,INDIRECT("'GRD-"&amp;ES$11&amp;"'!B:R"),15,FALSE),"")</f>
        <v/>
      </c>
      <c r="ET24" s="96">
        <f>IFERROR(VLOOKUP($B24,INDIRECT("'GRD-"&amp;ET$11&amp;"'!B:R"),15,FALSE),"")</f>
        <v/>
      </c>
      <c r="EU24" s="96">
        <f>IFERROR(VLOOKUP($B24,INDIRECT("'GRD-"&amp;EU$11&amp;"'!B:R"),15,FALSE),"")</f>
        <v/>
      </c>
      <c r="EV24" s="96">
        <f>IFERROR(VLOOKUP($B24,INDIRECT("'GRD-"&amp;EV$11&amp;"'!B:R"),15,FALSE),"")</f>
        <v/>
      </c>
      <c r="EW24" s="96">
        <f>IFERROR(VLOOKUP($B24,INDIRECT("'GRD-"&amp;EW$11&amp;"'!B:R"),15,FALSE),"")</f>
        <v/>
      </c>
      <c r="EX24" s="96">
        <f>IFERROR(VLOOKUP($B24,INDIRECT("'GRD-"&amp;EX$11&amp;"'!B:R"),15,FALSE),"")</f>
        <v/>
      </c>
      <c r="EY24" s="96">
        <f>IFERROR(VLOOKUP($B24,INDIRECT("'GRD-"&amp;EY$11&amp;"'!B:R"),15,FALSE),"")</f>
        <v/>
      </c>
      <c r="EZ24" s="96">
        <f>IFERROR(VLOOKUP($B24,INDIRECT("'GRD-"&amp;EZ$11&amp;"'!B:R"),15,FALSE),"")</f>
        <v/>
      </c>
      <c r="FA24" s="96">
        <f>IFERROR(VLOOKUP($B24,INDIRECT("'GRD-"&amp;FA$11&amp;"'!B:R"),15,FALSE),"")</f>
        <v/>
      </c>
      <c r="FB24" s="96">
        <f>IFERROR(VLOOKUP($B24,INDIRECT("'GRD-"&amp;FB$11&amp;"'!B:R"),15,FALSE),"")</f>
        <v/>
      </c>
      <c r="FC24" s="96">
        <f>IFERROR(VLOOKUP($B24,INDIRECT("'GRD-"&amp;FC$11&amp;"'!B:R"),15,FALSE),"")</f>
        <v/>
      </c>
      <c r="FD24" s="96">
        <f>IFERROR(VLOOKUP($B24,INDIRECT("'GRD-"&amp;FD$11&amp;"'!B:R"),15,FALSE),"")</f>
        <v/>
      </c>
      <c r="FE24" s="96">
        <f>IFERROR(VLOOKUP($B24,INDIRECT("'GRD-"&amp;FE$11&amp;"'!B:R"),15,FALSE),"")</f>
        <v/>
      </c>
      <c r="FF24" s="96">
        <f>IFERROR(VLOOKUP($B24,INDIRECT("'GRD-"&amp;FF$11&amp;"'!B:R"),15,FALSE),"")</f>
        <v/>
      </c>
      <c r="FG24" s="96">
        <f>IFERROR(VLOOKUP($B24,INDIRECT("'GRD-"&amp;FG$11&amp;"'!B:R"),15,FALSE),"")</f>
        <v/>
      </c>
      <c r="FH24" s="96">
        <f>IFERROR(VLOOKUP($B24,INDIRECT("'GRD-"&amp;FH$11&amp;"'!B:R"),15,FALSE),"")</f>
        <v/>
      </c>
      <c r="FI24" s="96">
        <f>IFERROR(VLOOKUP($B24,INDIRECT("'GRD-"&amp;FI$11&amp;"'!B:R"),15,FALSE),"")</f>
        <v/>
      </c>
      <c r="FJ24" s="96">
        <f>IFERROR(VLOOKUP($B24,INDIRECT("'GRD-"&amp;FJ$11&amp;"'!B:R"),15,FALSE),"")</f>
        <v/>
      </c>
      <c r="FK24" s="96">
        <f>IFERROR(VLOOKUP($B24,INDIRECT("'GRD-"&amp;FK$11&amp;"'!B:R"),15,FALSE),"")</f>
        <v/>
      </c>
      <c r="FL24" s="96">
        <f>IFERROR(VLOOKUP($B24,INDIRECT("'GRD-"&amp;FL$11&amp;"'!B:R"),15,FALSE),"")</f>
        <v/>
      </c>
      <c r="FM24" s="96">
        <f>IFERROR(VLOOKUP($B24,INDIRECT("'GRD-"&amp;FM$11&amp;"'!B:R"),15,FALSE),"")</f>
        <v/>
      </c>
      <c r="FN24" s="96">
        <f>IFERROR(VLOOKUP($B24,INDIRECT("'GRD-"&amp;FN$11&amp;"'!B:R"),15,FALSE),"")</f>
        <v/>
      </c>
      <c r="FO24" s="96">
        <f>IFERROR(VLOOKUP($B24,INDIRECT("'GRD-"&amp;FO$11&amp;"'!B:R"),15,FALSE),"")</f>
        <v/>
      </c>
      <c r="FP24" s="96">
        <f>IFERROR(VLOOKUP($B24,INDIRECT("'GRD-"&amp;FP$11&amp;"'!B:R"),15,FALSE),"")</f>
        <v/>
      </c>
      <c r="FQ24" s="96">
        <f>IFERROR(VLOOKUP($B24,INDIRECT("'GRD-"&amp;FQ$11&amp;"'!B:R"),15,FALSE),"")</f>
        <v/>
      </c>
      <c r="FR24" s="96">
        <f>IFERROR(VLOOKUP($B24,INDIRECT("'GRD-"&amp;FR$11&amp;"'!B:R"),15,FALSE),"")</f>
        <v/>
      </c>
      <c r="FS24" s="96">
        <f>IFERROR(VLOOKUP($B24,INDIRECT("'GRD-"&amp;FS$11&amp;"'!B:R"),15,FALSE),"")</f>
        <v/>
      </c>
      <c r="FT24" s="96">
        <f>IFERROR(VLOOKUP($B24,INDIRECT("'GRD-"&amp;FT$11&amp;"'!B:R"),15,FALSE),"")</f>
        <v/>
      </c>
      <c r="FU24" s="96">
        <f>IFERROR(VLOOKUP($B24,INDIRECT("'GRD-"&amp;FU$11&amp;"'!B:R"),15,FALSE),"")</f>
        <v/>
      </c>
      <c r="FV24" s="96">
        <f>IFERROR(VLOOKUP($B24,INDIRECT("'GRD-"&amp;FV$11&amp;"'!B:R"),15,FALSE),"")</f>
        <v/>
      </c>
    </row>
    <row r="25" ht="21" customHeight="1">
      <c r="B25" s="69" t="inlineStr">
        <is>
          <t>TÍTULO 2</t>
        </is>
      </c>
      <c r="C25" s="70" t="n"/>
      <c r="D25" s="70">
        <f>IF(K25="","",MAX($CA25:$FV25))</f>
        <v/>
      </c>
      <c r="E25" s="70">
        <f t="array" ref="E25">IF($K25="","",OFFSET($A$1,ROW($B25)-1,11+$D25*4,))</f>
        <v/>
      </c>
      <c r="F25" s="70">
        <f t="array" ref="F25">IF($K25="","",OFFSET($A$1,ROW($B25)-1,12+$D25*4,))</f>
        <v/>
      </c>
      <c r="G25" s="70">
        <f t="array" ref="G25">IF($K25="","",OFFSET($A$1,ROW($B25)-1,13+$D25*4,))</f>
        <v/>
      </c>
      <c r="H25" s="70" t="n"/>
      <c r="I25" s="70" t="n"/>
      <c r="J25" s="70">
        <f>IF(I25="A4",H25/8,IF(I25="A3",H25/4,IF(I25="A2",H25/2,IF(I25="A1",H25/1,IF(I25="A0",H25*2,"")))))</f>
        <v/>
      </c>
      <c r="K25" s="70">
        <f t="array" ref="K25">IFERROR(OFFSET($BZ$11,ROW($B25)-11,MATCH(K$10,$CA25:$FV25,0),),"")</f>
        <v/>
      </c>
      <c r="L25" s="70">
        <f>IF(K25="","",IF(VLOOKUP($B25,INDIRECT("'GRD-"&amp;M25&amp;"'!$B:$R"),16,FALSE)="","",VLOOKUP($B25,INDIRECT("'GRD-"&amp;M25&amp;"'!$B:$R"),16,FALSE)))</f>
        <v/>
      </c>
      <c r="M25" s="70">
        <f t="array" ref="M25">IF(K25="","",IFERROR(OFFSET($BZ$11,0,MATCH($K25,$CA25:$FV25,0),),""))</f>
        <v/>
      </c>
      <c r="N25" s="116">
        <f t="array" ref="N25">IF(K25="","",INDIRECT("'GRD-"&amp;M25&amp;"'!$L$7"))</f>
        <v/>
      </c>
      <c r="O25" s="70">
        <f t="array" ref="O25">IFERROR(OFFSET($BZ$11,ROW($B25)-11,MATCH(O$10,$CA25:$FV25,0),),"")</f>
        <v/>
      </c>
      <c r="P25" s="70">
        <f>IF(O25="","",IF(VLOOKUP($B25,INDIRECT("'GRD-"&amp;Q25&amp;"'!$B:$R"),16,FALSE)="","",VLOOKUP($B25,INDIRECT("'GRD-"&amp;Q25&amp;"'!$B:$R"),16,FALSE)))</f>
        <v/>
      </c>
      <c r="Q25" s="117">
        <f t="array" ref="Q25">IF(O25="","",IFERROR(OFFSET($BZ$11,0,MATCH($O25,$CA25:$FV25,0),),""))</f>
        <v/>
      </c>
      <c r="R25" s="116">
        <f t="array" ref="R25">IF(O25="","",INDIRECT("'GRD-"&amp;Q25&amp;"'!$L$7"))</f>
        <v/>
      </c>
      <c r="S25" s="70">
        <f t="array" ref="S25">IFERROR(OFFSET($BZ$11,ROW($B25)-11,MATCH(S$10,$CA25:$FV25,0),),"")</f>
        <v/>
      </c>
      <c r="T25" s="70">
        <f>IF(S25="","",IF(VLOOKUP($B25,INDIRECT("'GRD-"&amp;U25&amp;"'!$B:$R"),16,FALSE)="","",VLOOKUP($B25,INDIRECT("'GRD-"&amp;U25&amp;"'!$B:$R"),16,FALSE)))</f>
        <v/>
      </c>
      <c r="U25" s="117">
        <f t="array" ref="U25">IF(S25="","",IFERROR(OFFSET($BZ$11,0,MATCH($S25,$CA25:$FV25,0),),""))</f>
        <v/>
      </c>
      <c r="V25" s="116">
        <f t="array" ref="V25">IF(S25="","",INDIRECT("'GRD-"&amp;U25&amp;"'!$L$7"))</f>
        <v/>
      </c>
      <c r="W25" s="70">
        <f t="array" ref="W25">IFERROR(OFFSET($BZ$11,ROW($B25)-11,MATCH(W$10,$CA25:$FV25,0),),"")</f>
        <v/>
      </c>
      <c r="X25" s="70">
        <f>IF(W25="","",IF(VLOOKUP($B25,INDIRECT("'GRD-"&amp;Y25&amp;"'!$B:$R"),16,FALSE)="","",VLOOKUP($B25,INDIRECT("'GRD-"&amp;Y25&amp;"'!$B:$R"),16,FALSE)))</f>
        <v/>
      </c>
      <c r="Y25" s="117">
        <f t="array" ref="Y25">IF(W25="","",IFERROR(OFFSET($BZ$11,0,MATCH($W25,$CA25:$FV25,0),),""))</f>
        <v/>
      </c>
      <c r="Z25" s="116">
        <f t="array" ref="Z25">IF(W25="","",INDIRECT("'GRD-"&amp;Y25&amp;"'!$L$7"))</f>
        <v/>
      </c>
      <c r="AA25" s="70">
        <f t="array" ref="AA25">IFERROR(OFFSET($BZ$11,ROW($B25)-11,MATCH(AA$10,$CA25:$FV25,0),),"")</f>
        <v/>
      </c>
      <c r="AB25" s="70">
        <f>IF(AA25="","",IF(VLOOKUP($B25,INDIRECT("'GRD-"&amp;AC25&amp;"'!$B:$R"),16,FALSE)="","",VLOOKUP($B25,INDIRECT("'GRD-"&amp;AC25&amp;"'!$B:$R"),16,FALSE)))</f>
        <v/>
      </c>
      <c r="AC25" s="70">
        <f t="array" ref="AC25">IF(AA25="","",IFERROR(OFFSET($BZ$11,0,MATCH($AA25,$CA25:$FV25,0),),""))</f>
        <v/>
      </c>
      <c r="AD25" s="116">
        <f t="array" ref="AD25">IF(AA25="","",INDIRECT("'GRD-"&amp;AC25&amp;"'!$L$7"))</f>
        <v/>
      </c>
      <c r="AE25" s="70">
        <f t="array" ref="AE25">IFERROR(OFFSET($BZ$11,ROW($B25)-11,MATCH(AE$10,$CA25:$FV25,0),),"")</f>
        <v/>
      </c>
      <c r="AF25" s="70">
        <f>IF(AE25="","",IF(VLOOKUP($B25,INDIRECT("'GRD-"&amp;AG25&amp;"'!$B:$R"),16,FALSE)="","",VLOOKUP($B25,INDIRECT("'GRD-"&amp;AG25&amp;"'!$B:$R"),16,FALSE)))</f>
        <v/>
      </c>
      <c r="AG25" s="117">
        <f t="array" ref="AG25">IF(AE25="","",IFERROR(OFFSET($BZ$11,0,MATCH($AE25,$CA25:$FV25,0),),""))</f>
        <v/>
      </c>
      <c r="AH25" s="116">
        <f t="array" ref="AH25">IF(AE25="","",INDIRECT("'GRD-"&amp;AG25&amp;"'!$L$7"))</f>
        <v/>
      </c>
      <c r="AI25" s="70">
        <f t="array" ref="AI25">IFERROR(OFFSET($BZ$11,ROW($B25)-11,MATCH(AI$10,$CA25:$FV25,0),),"")</f>
        <v/>
      </c>
      <c r="AJ25" s="70">
        <f>IF(AI25="","",IF(VLOOKUP($B25,INDIRECT("'GRD-"&amp;AK25&amp;"'!$B:$R"),16,FALSE)="","",VLOOKUP($B25,INDIRECT("'GRD-"&amp;AK25&amp;"'!$B:$R"),16,FALSE)))</f>
        <v/>
      </c>
      <c r="AK25" s="117">
        <f t="array" ref="AK25">IF(AI25="","",IFERROR(OFFSET($BZ$11,0,MATCH($AI25,$CA25:$FV25,0),),""))</f>
        <v/>
      </c>
      <c r="AL25" s="116">
        <f t="array" ref="AL25">IF(AI25="","",INDIRECT("'GRD-"&amp;AK25&amp;"'!$L$7"))</f>
        <v/>
      </c>
      <c r="AM25" s="70">
        <f t="array" ref="AM25">IFERROR(OFFSET($BZ$11,ROW($B25)-11,MATCH(AM$10,$CA25:$FV25,0),),"")</f>
        <v/>
      </c>
      <c r="AN25" s="70">
        <f>IF(AM25="","",IF(VLOOKUP($B25,INDIRECT("'GRD-"&amp;AO25&amp;"'!$B:$R"),16,FALSE)="","",VLOOKUP($B25,INDIRECT("'GRD-"&amp;AO25&amp;"'!$B:$R"),16,FALSE)))</f>
        <v/>
      </c>
      <c r="AO25" s="117">
        <f t="array" ref="AO25">IF(AM25="","",IFERROR(OFFSET($BZ$11,0,MATCH($AM25,$CA25:$FV25,0),),""))</f>
        <v/>
      </c>
      <c r="AP25" s="116">
        <f t="array" ref="AP25">IF(AM25="","",INDIRECT("'GRD-"&amp;AO25&amp;"'!$L$7"))</f>
        <v/>
      </c>
      <c r="AQ25" s="70">
        <f t="array" ref="AQ25">IFERROR(OFFSET($BZ$11,ROW($B25)-11,MATCH(AQ$10,$CA25:$FV25,0),),"")</f>
        <v/>
      </c>
      <c r="AR25" s="70">
        <f>IF(AQ25="","",IF(VLOOKUP($B25,INDIRECT("'GRD-"&amp;AS25&amp;"'!$B:$R"),16,FALSE)="","",VLOOKUP($B25,INDIRECT("'GRD-"&amp;AS25&amp;"'!$B:$R"),16,FALSE)))</f>
        <v/>
      </c>
      <c r="AS25" s="70">
        <f t="array" ref="AS25">IF(AQ25="","",IFERROR(OFFSET($BZ$11,0,MATCH($AQ25,$CA25:$FV25,0),),""))</f>
        <v/>
      </c>
      <c r="AT25" s="116">
        <f t="array" ref="AT25">IF(AQ25="","",INDIRECT("'GRD-"&amp;AS25&amp;"'!$L$7"))</f>
        <v/>
      </c>
      <c r="AU25" s="70">
        <f t="array" ref="AU25">IFERROR(OFFSET($BZ$11,ROW($B25)-11,MATCH(AU$10,$CA25:$FV25,0),),"")</f>
        <v/>
      </c>
      <c r="AV25" s="70">
        <f>IF(AU25="","",IF(VLOOKUP($B25,INDIRECT("'GRD-"&amp;AW25&amp;"'!$B:$R"),16,FALSE)="","",VLOOKUP($B25,INDIRECT("'GRD-"&amp;AW25&amp;"'!$B:$R"),16,FALSE)))</f>
        <v/>
      </c>
      <c r="AW25" s="117">
        <f t="array" ref="AW25">IF(AU25="","",IFERROR(OFFSET($BZ$11,0,MATCH($AU25,$CA25:$FV25,0),),""))</f>
        <v/>
      </c>
      <c r="AX25" s="116">
        <f t="array" ref="AX25">IF(AU25="","",INDIRECT("'GRD-"&amp;AW25&amp;"'!$L$7"))</f>
        <v/>
      </c>
      <c r="AY25" s="70">
        <f t="array" ref="AY25">IFERROR(OFFSET($BZ$11,ROW($B25)-11,MATCH(AY$10,$CA25:$FV25,0),),"")</f>
        <v/>
      </c>
      <c r="AZ25" s="70">
        <f>IF(AY25="","",IF(VLOOKUP($B25,INDIRECT("'GRD-"&amp;BA25&amp;"'!$B:$R"),16,FALSE)="","",VLOOKUP($B25,INDIRECT("'GRD-"&amp;BA25&amp;"'!$B:$R"),16,FALSE)))</f>
        <v/>
      </c>
      <c r="BA25" s="117">
        <f t="array" ref="BA25">IF(AY25="","",IFERROR(OFFSET($BZ$11,0,MATCH($AY25,$CA25:$FV25,0),),""))</f>
        <v/>
      </c>
      <c r="BB25" s="116">
        <f t="array" ref="BB25">IF(AY25="","",INDIRECT("'GRD-"&amp;BA25&amp;"'!$L$7"))</f>
        <v/>
      </c>
      <c r="BC25" s="70">
        <f t="array" ref="BC25">IFERROR(OFFSET($BZ$11,ROW($B25)-11,MATCH(BC$10,$CA25:$FV25,0),),"")</f>
        <v/>
      </c>
      <c r="BD25" s="70">
        <f>IF(BC25="","",IF(VLOOKUP($B25,INDIRECT("'GRD-"&amp;BE25&amp;"'!$B:$R"),16,FALSE)="","",VLOOKUP($B25,INDIRECT("'GRD-"&amp;BE25&amp;"'!$B:$R"),16,FALSE)))</f>
        <v/>
      </c>
      <c r="BE25" s="117">
        <f t="array" ref="BE25">IF(BC25="","",IFERROR(OFFSET($BZ$11,0,MATCH($BC25,$CA25:$FV25,0),),""))</f>
        <v/>
      </c>
      <c r="BF25" s="116">
        <f t="array" ref="BF25">IF(BC25="","",INDIRECT("'GRD-"&amp;BE25&amp;"'!$L$7"))</f>
        <v/>
      </c>
      <c r="CA25" s="96">
        <f>IFERROR(VLOOKUP($B25,INDIRECT("'GRD-"&amp;CA$11&amp;"'!B:R"),15,FALSE),"")</f>
        <v/>
      </c>
      <c r="CB25" s="96">
        <f>IFERROR(VLOOKUP($B25,INDIRECT("'GRD-"&amp;CB$11&amp;"'!B:R"),15,FALSE),"")</f>
        <v/>
      </c>
      <c r="CC25" s="96">
        <f>IFERROR(VLOOKUP($B25,INDIRECT("'GRD-"&amp;CC$11&amp;"'!B:R"),15,FALSE),"")</f>
        <v/>
      </c>
      <c r="CD25" s="96">
        <f>IFERROR(VLOOKUP($B25,INDIRECT("'GRD-"&amp;CD$11&amp;"'!B:R"),15,FALSE),"")</f>
        <v/>
      </c>
      <c r="CE25" s="96">
        <f>IFERROR(VLOOKUP($B25,INDIRECT("'GRD-"&amp;CE$11&amp;"'!B:R"),15,FALSE),"")</f>
        <v/>
      </c>
      <c r="CF25" s="96">
        <f>IFERROR(VLOOKUP($B25,INDIRECT("'GRD-"&amp;CF$11&amp;"'!B:R"),15,FALSE),"")</f>
        <v/>
      </c>
      <c r="CG25" s="96">
        <f>IFERROR(VLOOKUP($B25,INDIRECT("'GRD-"&amp;CG$11&amp;"'!B:R"),15,FALSE),"")</f>
        <v/>
      </c>
      <c r="CH25" s="96">
        <f>IFERROR(VLOOKUP($B25,INDIRECT("'GRD-"&amp;CH$11&amp;"'!B:R"),15,FALSE),"")</f>
        <v/>
      </c>
      <c r="CI25" s="96">
        <f>IFERROR(VLOOKUP($B25,INDIRECT("'GRD-"&amp;CI$11&amp;"'!B:R"),15,FALSE),"")</f>
        <v/>
      </c>
      <c r="CJ25" s="96">
        <f>IFERROR(VLOOKUP($B25,INDIRECT("'GRD-"&amp;CJ$11&amp;"'!B:R"),15,FALSE),"")</f>
        <v/>
      </c>
      <c r="CK25" s="96">
        <f>IFERROR(VLOOKUP($B25,INDIRECT("'GRD-"&amp;CK$11&amp;"'!B:R"),15,FALSE),"")</f>
        <v/>
      </c>
      <c r="CL25" s="96">
        <f>IFERROR(VLOOKUP($B25,INDIRECT("'GRD-"&amp;CL$11&amp;"'!B:R"),15,FALSE),"")</f>
        <v/>
      </c>
      <c r="CM25" s="96">
        <f>IFERROR(VLOOKUP($B25,INDIRECT("'GRD-"&amp;CM$11&amp;"'!B:R"),15,FALSE),"")</f>
        <v/>
      </c>
      <c r="CN25" s="96">
        <f>IFERROR(VLOOKUP($B25,INDIRECT("'GRD-"&amp;CN$11&amp;"'!B:R"),15,FALSE),"")</f>
        <v/>
      </c>
      <c r="CO25" s="96">
        <f>IFERROR(VLOOKUP($B25,INDIRECT("'GRD-"&amp;CO$11&amp;"'!B:R"),15,FALSE),"")</f>
        <v/>
      </c>
      <c r="CP25" s="96">
        <f>IFERROR(VLOOKUP($B25,INDIRECT("'GRD-"&amp;CP$11&amp;"'!B:R"),15,FALSE),"")</f>
        <v/>
      </c>
      <c r="CQ25" s="96">
        <f>IFERROR(VLOOKUP($B25,INDIRECT("'GRD-"&amp;CQ$11&amp;"'!B:R"),15,FALSE),"")</f>
        <v/>
      </c>
      <c r="CR25" s="96">
        <f>IFERROR(VLOOKUP($B25,INDIRECT("'GRD-"&amp;CR$11&amp;"'!B:R"),15,FALSE),"")</f>
        <v/>
      </c>
      <c r="CS25" s="96">
        <f>IFERROR(VLOOKUP($B25,INDIRECT("'GRD-"&amp;CS$11&amp;"'!B:R"),15,FALSE),"")</f>
        <v/>
      </c>
      <c r="CT25" s="96">
        <f>IFERROR(VLOOKUP($B25,INDIRECT("'GRD-"&amp;CT$11&amp;"'!B:R"),15,FALSE),"")</f>
        <v/>
      </c>
      <c r="CU25" s="96">
        <f>IFERROR(VLOOKUP($B25,INDIRECT("'GRD-"&amp;CU$11&amp;"'!B:R"),15,FALSE),"")</f>
        <v/>
      </c>
      <c r="CV25" s="96">
        <f>IFERROR(VLOOKUP($B25,INDIRECT("'GRD-"&amp;CV$11&amp;"'!B:R"),15,FALSE),"")</f>
        <v/>
      </c>
      <c r="CW25" s="96">
        <f>IFERROR(VLOOKUP($B25,INDIRECT("'GRD-"&amp;CW$11&amp;"'!B:R"),15,FALSE),"")</f>
        <v/>
      </c>
      <c r="CX25" s="96">
        <f>IFERROR(VLOOKUP($B25,INDIRECT("'GRD-"&amp;CX$11&amp;"'!B:R"),15,FALSE),"")</f>
        <v/>
      </c>
      <c r="CY25" s="96">
        <f>IFERROR(VLOOKUP($B25,INDIRECT("'GRD-"&amp;CY$11&amp;"'!B:R"),15,FALSE),"")</f>
        <v/>
      </c>
      <c r="CZ25" s="96">
        <f>IFERROR(VLOOKUP($B25,INDIRECT("'GRD-"&amp;CZ$11&amp;"'!B:R"),15,FALSE),"")</f>
        <v/>
      </c>
      <c r="DA25" s="96">
        <f>IFERROR(VLOOKUP($B25,INDIRECT("'GRD-"&amp;DA$11&amp;"'!B:R"),15,FALSE),"")</f>
        <v/>
      </c>
      <c r="DB25" s="96">
        <f>IFERROR(VLOOKUP($B25,INDIRECT("'GRD-"&amp;DB$11&amp;"'!B:R"),15,FALSE),"")</f>
        <v/>
      </c>
      <c r="DC25" s="96">
        <f>IFERROR(VLOOKUP($B25,INDIRECT("'GRD-"&amp;DC$11&amp;"'!B:R"),15,FALSE),"")</f>
        <v/>
      </c>
      <c r="DD25" s="96">
        <f>IFERROR(VLOOKUP($B25,INDIRECT("'GRD-"&amp;DD$11&amp;"'!B:R"),15,FALSE),"")</f>
        <v/>
      </c>
      <c r="DE25" s="96">
        <f>IFERROR(VLOOKUP($B25,INDIRECT("'GRD-"&amp;DE$11&amp;"'!B:R"),15,FALSE),"")</f>
        <v/>
      </c>
      <c r="DF25" s="96">
        <f>IFERROR(VLOOKUP($B25,INDIRECT("'GRD-"&amp;DF$11&amp;"'!B:R"),15,FALSE),"")</f>
        <v/>
      </c>
      <c r="DG25" s="96">
        <f>IFERROR(VLOOKUP($B25,INDIRECT("'GRD-"&amp;DG$11&amp;"'!B:R"),15,FALSE),"")</f>
        <v/>
      </c>
      <c r="DH25" s="96">
        <f>IFERROR(VLOOKUP($B25,INDIRECT("'GRD-"&amp;DH$11&amp;"'!B:R"),15,FALSE),"")</f>
        <v/>
      </c>
      <c r="DI25" s="96">
        <f>IFERROR(VLOOKUP($B25,INDIRECT("'GRD-"&amp;DI$11&amp;"'!B:R"),15,FALSE),"")</f>
        <v/>
      </c>
      <c r="DJ25" s="96">
        <f>IFERROR(VLOOKUP($B25,INDIRECT("'GRD-"&amp;DJ$11&amp;"'!B:R"),15,FALSE),"")</f>
        <v/>
      </c>
      <c r="DK25" s="96">
        <f>IFERROR(VLOOKUP($B25,INDIRECT("'GRD-"&amp;DK$11&amp;"'!B:R"),15,FALSE),"")</f>
        <v/>
      </c>
      <c r="DL25" s="96">
        <f>IFERROR(VLOOKUP($B25,INDIRECT("'GRD-"&amp;DL$11&amp;"'!B:R"),15,FALSE),"")</f>
        <v/>
      </c>
      <c r="DM25" s="96">
        <f>IFERROR(VLOOKUP($B25,INDIRECT("'GRD-"&amp;DM$11&amp;"'!B:R"),15,FALSE),"")</f>
        <v/>
      </c>
      <c r="DN25" s="96">
        <f>IFERROR(VLOOKUP($B25,INDIRECT("'GRD-"&amp;DN$11&amp;"'!B:R"),15,FALSE),"")</f>
        <v/>
      </c>
      <c r="DO25" s="96">
        <f>IFERROR(VLOOKUP($B25,INDIRECT("'GRD-"&amp;DO$11&amp;"'!B:R"),15,FALSE),"")</f>
        <v/>
      </c>
      <c r="DP25" s="96">
        <f>IFERROR(VLOOKUP($B25,INDIRECT("'GRD-"&amp;DP$11&amp;"'!B:R"),15,FALSE),"")</f>
        <v/>
      </c>
      <c r="DQ25" s="96">
        <f>IFERROR(VLOOKUP($B25,INDIRECT("'GRD-"&amp;DQ$11&amp;"'!B:R"),15,FALSE),"")</f>
        <v/>
      </c>
      <c r="DR25" s="96">
        <f>IFERROR(VLOOKUP($B25,INDIRECT("'GRD-"&amp;DR$11&amp;"'!B:R"),15,FALSE),"")</f>
        <v/>
      </c>
      <c r="DS25" s="96">
        <f>IFERROR(VLOOKUP($B25,INDIRECT("'GRD-"&amp;DS$11&amp;"'!B:R"),15,FALSE),"")</f>
        <v/>
      </c>
      <c r="DT25" s="96">
        <f>IFERROR(VLOOKUP($B25,INDIRECT("'GRD-"&amp;DT$11&amp;"'!B:R"),15,FALSE),"")</f>
        <v/>
      </c>
      <c r="DU25" s="96">
        <f>IFERROR(VLOOKUP($B25,INDIRECT("'GRD-"&amp;DU$11&amp;"'!B:R"),15,FALSE),"")</f>
        <v/>
      </c>
      <c r="DV25" s="96">
        <f>IFERROR(VLOOKUP($B25,INDIRECT("'GRD-"&amp;DV$11&amp;"'!B:R"),15,FALSE),"")</f>
        <v/>
      </c>
      <c r="DW25" s="96">
        <f>IFERROR(VLOOKUP($B25,INDIRECT("'GRD-"&amp;DW$11&amp;"'!B:R"),15,FALSE),"")</f>
        <v/>
      </c>
      <c r="DX25" s="96">
        <f>IFERROR(VLOOKUP($B25,INDIRECT("'GRD-"&amp;DX$11&amp;"'!B:R"),15,FALSE),"")</f>
        <v/>
      </c>
      <c r="DY25" s="96">
        <f>IFERROR(VLOOKUP($B25,INDIRECT("'GRD-"&amp;DY$11&amp;"'!B:R"),15,FALSE),"")</f>
        <v/>
      </c>
      <c r="DZ25" s="96">
        <f>IFERROR(VLOOKUP($B25,INDIRECT("'GRD-"&amp;DZ$11&amp;"'!B:R"),15,FALSE),"")</f>
        <v/>
      </c>
      <c r="EA25" s="96">
        <f>IFERROR(VLOOKUP($B25,INDIRECT("'GRD-"&amp;EA$11&amp;"'!B:R"),15,FALSE),"")</f>
        <v/>
      </c>
      <c r="EB25" s="96">
        <f>IFERROR(VLOOKUP($B25,INDIRECT("'GRD-"&amp;EB$11&amp;"'!B:R"),15,FALSE),"")</f>
        <v/>
      </c>
      <c r="EC25" s="96">
        <f>IFERROR(VLOOKUP($B25,INDIRECT("'GRD-"&amp;EC$11&amp;"'!B:R"),15,FALSE),"")</f>
        <v/>
      </c>
      <c r="ED25" s="96">
        <f>IFERROR(VLOOKUP($B25,INDIRECT("'GRD-"&amp;ED$11&amp;"'!B:R"),15,FALSE),"")</f>
        <v/>
      </c>
      <c r="EE25" s="96">
        <f>IFERROR(VLOOKUP($B25,INDIRECT("'GRD-"&amp;EE$11&amp;"'!B:R"),15,FALSE),"")</f>
        <v/>
      </c>
      <c r="EF25" s="96">
        <f>IFERROR(VLOOKUP($B25,INDIRECT("'GRD-"&amp;EF$11&amp;"'!B:R"),15,FALSE),"")</f>
        <v/>
      </c>
      <c r="EG25" s="96">
        <f>IFERROR(VLOOKUP($B25,INDIRECT("'GRD-"&amp;EG$11&amp;"'!B:R"),15,FALSE),"")</f>
        <v/>
      </c>
      <c r="EH25" s="96">
        <f>IFERROR(VLOOKUP($B25,INDIRECT("'GRD-"&amp;EH$11&amp;"'!B:R"),15,FALSE),"")</f>
        <v/>
      </c>
      <c r="EI25" s="96">
        <f>IFERROR(VLOOKUP($B25,INDIRECT("'GRD-"&amp;EI$11&amp;"'!B:R"),15,FALSE),"")</f>
        <v/>
      </c>
      <c r="EJ25" s="96">
        <f>IFERROR(VLOOKUP($B25,INDIRECT("'GRD-"&amp;EJ$11&amp;"'!B:R"),15,FALSE),"")</f>
        <v/>
      </c>
      <c r="EK25" s="96">
        <f>IFERROR(VLOOKUP($B25,INDIRECT("'GRD-"&amp;EK$11&amp;"'!B:R"),15,FALSE),"")</f>
        <v/>
      </c>
      <c r="EL25" s="96">
        <f>IFERROR(VLOOKUP($B25,INDIRECT("'GRD-"&amp;EL$11&amp;"'!B:R"),15,FALSE),"")</f>
        <v/>
      </c>
      <c r="EM25" s="96">
        <f>IFERROR(VLOOKUP($B25,INDIRECT("'GRD-"&amp;EM$11&amp;"'!B:R"),15,FALSE),"")</f>
        <v/>
      </c>
      <c r="EN25" s="96">
        <f>IFERROR(VLOOKUP($B25,INDIRECT("'GRD-"&amp;EN$11&amp;"'!B:R"),15,FALSE),"")</f>
        <v/>
      </c>
      <c r="EO25" s="96">
        <f>IFERROR(VLOOKUP($B25,INDIRECT("'GRD-"&amp;EO$11&amp;"'!B:R"),15,FALSE),"")</f>
        <v/>
      </c>
      <c r="EP25" s="96">
        <f>IFERROR(VLOOKUP($B25,INDIRECT("'GRD-"&amp;EP$11&amp;"'!B:R"),15,FALSE),"")</f>
        <v/>
      </c>
      <c r="EQ25" s="96">
        <f>IFERROR(VLOOKUP($B25,INDIRECT("'GRD-"&amp;EQ$11&amp;"'!B:R"),15,FALSE),"")</f>
        <v/>
      </c>
      <c r="ER25" s="96">
        <f>IFERROR(VLOOKUP($B25,INDIRECT("'GRD-"&amp;ER$11&amp;"'!B:R"),15,FALSE),"")</f>
        <v/>
      </c>
      <c r="ES25" s="96">
        <f>IFERROR(VLOOKUP($B25,INDIRECT("'GRD-"&amp;ES$11&amp;"'!B:R"),15,FALSE),"")</f>
        <v/>
      </c>
      <c r="ET25" s="96">
        <f>IFERROR(VLOOKUP($B25,INDIRECT("'GRD-"&amp;ET$11&amp;"'!B:R"),15,FALSE),"")</f>
        <v/>
      </c>
      <c r="EU25" s="96">
        <f>IFERROR(VLOOKUP($B25,INDIRECT("'GRD-"&amp;EU$11&amp;"'!B:R"),15,FALSE),"")</f>
        <v/>
      </c>
      <c r="EV25" s="96">
        <f>IFERROR(VLOOKUP($B25,INDIRECT("'GRD-"&amp;EV$11&amp;"'!B:R"),15,FALSE),"")</f>
        <v/>
      </c>
      <c r="EW25" s="96">
        <f>IFERROR(VLOOKUP($B25,INDIRECT("'GRD-"&amp;EW$11&amp;"'!B:R"),15,FALSE),"")</f>
        <v/>
      </c>
      <c r="EX25" s="96">
        <f>IFERROR(VLOOKUP($B25,INDIRECT("'GRD-"&amp;EX$11&amp;"'!B:R"),15,FALSE),"")</f>
        <v/>
      </c>
      <c r="EY25" s="96">
        <f>IFERROR(VLOOKUP($B25,INDIRECT("'GRD-"&amp;EY$11&amp;"'!B:R"),15,FALSE),"")</f>
        <v/>
      </c>
      <c r="EZ25" s="96">
        <f>IFERROR(VLOOKUP($B25,INDIRECT("'GRD-"&amp;EZ$11&amp;"'!B:R"),15,FALSE),"")</f>
        <v/>
      </c>
      <c r="FA25" s="96">
        <f>IFERROR(VLOOKUP($B25,INDIRECT("'GRD-"&amp;FA$11&amp;"'!B:R"),15,FALSE),"")</f>
        <v/>
      </c>
      <c r="FB25" s="96">
        <f>IFERROR(VLOOKUP($B25,INDIRECT("'GRD-"&amp;FB$11&amp;"'!B:R"),15,FALSE),"")</f>
        <v/>
      </c>
      <c r="FC25" s="96">
        <f>IFERROR(VLOOKUP($B25,INDIRECT("'GRD-"&amp;FC$11&amp;"'!B:R"),15,FALSE),"")</f>
        <v/>
      </c>
      <c r="FD25" s="96">
        <f>IFERROR(VLOOKUP($B25,INDIRECT("'GRD-"&amp;FD$11&amp;"'!B:R"),15,FALSE),"")</f>
        <v/>
      </c>
      <c r="FE25" s="96">
        <f>IFERROR(VLOOKUP($B25,INDIRECT("'GRD-"&amp;FE$11&amp;"'!B:R"),15,FALSE),"")</f>
        <v/>
      </c>
      <c r="FF25" s="96">
        <f>IFERROR(VLOOKUP($B25,INDIRECT("'GRD-"&amp;FF$11&amp;"'!B:R"),15,FALSE),"")</f>
        <v/>
      </c>
      <c r="FG25" s="96">
        <f>IFERROR(VLOOKUP($B25,INDIRECT("'GRD-"&amp;FG$11&amp;"'!B:R"),15,FALSE),"")</f>
        <v/>
      </c>
      <c r="FH25" s="96">
        <f>IFERROR(VLOOKUP($B25,INDIRECT("'GRD-"&amp;FH$11&amp;"'!B:R"),15,FALSE),"")</f>
        <v/>
      </c>
      <c r="FI25" s="96">
        <f>IFERROR(VLOOKUP($B25,INDIRECT("'GRD-"&amp;FI$11&amp;"'!B:R"),15,FALSE),"")</f>
        <v/>
      </c>
      <c r="FJ25" s="96">
        <f>IFERROR(VLOOKUP($B25,INDIRECT("'GRD-"&amp;FJ$11&amp;"'!B:R"),15,FALSE),"")</f>
        <v/>
      </c>
      <c r="FK25" s="96">
        <f>IFERROR(VLOOKUP($B25,INDIRECT("'GRD-"&amp;FK$11&amp;"'!B:R"),15,FALSE),"")</f>
        <v/>
      </c>
      <c r="FL25" s="96">
        <f>IFERROR(VLOOKUP($B25,INDIRECT("'GRD-"&amp;FL$11&amp;"'!B:R"),15,FALSE),"")</f>
        <v/>
      </c>
      <c r="FM25" s="96">
        <f>IFERROR(VLOOKUP($B25,INDIRECT("'GRD-"&amp;FM$11&amp;"'!B:R"),15,FALSE),"")</f>
        <v/>
      </c>
      <c r="FN25" s="96">
        <f>IFERROR(VLOOKUP($B25,INDIRECT("'GRD-"&amp;FN$11&amp;"'!B:R"),15,FALSE),"")</f>
        <v/>
      </c>
      <c r="FO25" s="96">
        <f>IFERROR(VLOOKUP($B25,INDIRECT("'GRD-"&amp;FO$11&amp;"'!B:R"),15,FALSE),"")</f>
        <v/>
      </c>
      <c r="FP25" s="96">
        <f>IFERROR(VLOOKUP($B25,INDIRECT("'GRD-"&amp;FP$11&amp;"'!B:R"),15,FALSE),"")</f>
        <v/>
      </c>
      <c r="FQ25" s="96">
        <f>IFERROR(VLOOKUP($B25,INDIRECT("'GRD-"&amp;FQ$11&amp;"'!B:R"),15,FALSE),"")</f>
        <v/>
      </c>
      <c r="FR25" s="96">
        <f>IFERROR(VLOOKUP($B25,INDIRECT("'GRD-"&amp;FR$11&amp;"'!B:R"),15,FALSE),"")</f>
        <v/>
      </c>
      <c r="FS25" s="96">
        <f>IFERROR(VLOOKUP($B25,INDIRECT("'GRD-"&amp;FS$11&amp;"'!B:R"),15,FALSE),"")</f>
        <v/>
      </c>
      <c r="FT25" s="96">
        <f>IFERROR(VLOOKUP($B25,INDIRECT("'GRD-"&amp;FT$11&amp;"'!B:R"),15,FALSE),"")</f>
        <v/>
      </c>
      <c r="FU25" s="96">
        <f>IFERROR(VLOOKUP($B25,INDIRECT("'GRD-"&amp;FU$11&amp;"'!B:R"),15,FALSE),"")</f>
        <v/>
      </c>
      <c r="FV25" s="96">
        <f>IFERROR(VLOOKUP($B25,INDIRECT("'GRD-"&amp;FV$11&amp;"'!B:R"),15,FALSE),"")</f>
        <v/>
      </c>
    </row>
    <row r="26">
      <c r="B26" s="68" t="n"/>
      <c r="C26" s="72" t="n"/>
      <c r="D26" s="73">
        <f>IF(K26="","",MAX($CA26:$FV26))</f>
        <v/>
      </c>
      <c r="E26" s="74">
        <f t="array" ref="E26">IF($K26="","",OFFSET($A$1,ROW($B26)-1,11+$D26*4,))</f>
        <v/>
      </c>
      <c r="F26" s="74">
        <f t="array" ref="F26">IF($K26="","",OFFSET($A$1,ROW($B26)-1,12+$D26*4,))</f>
        <v/>
      </c>
      <c r="G26" s="118">
        <f t="array" ref="G26">IF($K26="","",OFFSET($A$1,ROW($B26)-1,13+$D26*4,))</f>
        <v/>
      </c>
      <c r="H26" s="81" t="n"/>
      <c r="I26" s="82" t="n"/>
      <c r="J26" s="75">
        <f>IF(I26="A4",H26/8,IF(I26="A3",H26/4,IF(I26="A2",H26/2,IF(I26="A1",H26/1,IF(I26="A0",H26*2,"")))))</f>
        <v/>
      </c>
      <c r="K26" s="68">
        <f t="array" ref="K26">IFERROR(OFFSET($BZ$11,ROW($B26)-11,MATCH(K$10,$CA26:$FV26,0),),"")</f>
        <v/>
      </c>
      <c r="L26" s="85">
        <f>IF(K26="","",IF(VLOOKUP($B26,INDIRECT("'GRD-"&amp;M26&amp;"'!$B:$R"),16,FALSE)="","",VLOOKUP($B26,INDIRECT("'GRD-"&amp;M26&amp;"'!$B:$R"),16,FALSE)))</f>
        <v/>
      </c>
      <c r="M26" s="130">
        <f t="array" ref="M26">IF(K26="","",IFERROR(OFFSET($BZ$11,0,MATCH($K26,$CA26:$FV26,0),),""))</f>
        <v/>
      </c>
      <c r="N26" s="119">
        <f t="array" ref="N26">IF(K26="","",INDIRECT("'GRD-"&amp;M26&amp;"'!$L$7"))</f>
        <v/>
      </c>
      <c r="O26" s="76">
        <f t="array" ref="O26">IFERROR(OFFSET($BZ$11,ROW($B26)-11,MATCH(O$10,$CA26:$FV26,0),),"")</f>
        <v/>
      </c>
      <c r="P26" s="76">
        <f>IF(O26="","",IF(VLOOKUP($B26,INDIRECT("'GRD-"&amp;Q26&amp;"'!$B:$R"),16,FALSE)="","",VLOOKUP($B26,INDIRECT("'GRD-"&amp;Q26&amp;"'!$B:$R"),16,FALSE)))</f>
        <v/>
      </c>
      <c r="Q26" s="132">
        <f t="array" ref="Q26">IF(O26="","",IFERROR(OFFSET($BZ$11,0,MATCH($O26,$CA26:$FV26,0),),""))</f>
        <v/>
      </c>
      <c r="R26" s="121">
        <f t="array" ref="R26">IF(O26="","",INDIRECT("'GRD-"&amp;Q26&amp;"'!$L$7"))</f>
        <v/>
      </c>
      <c r="S26" s="83">
        <f t="array" ref="S26">IFERROR(OFFSET($BZ$11,ROW($B26)-11,MATCH(S$10,$CA26:$FV26,0),),"")</f>
        <v/>
      </c>
      <c r="T26" s="83">
        <f>IF(S26="","",IF(VLOOKUP($B26,INDIRECT("'GRD-"&amp;U26&amp;"'!$B:$R"),16,FALSE)="","",VLOOKUP($B26,INDIRECT("'GRD-"&amp;U26&amp;"'!$B:$R"),16,FALSE)))</f>
        <v/>
      </c>
      <c r="U26" s="128">
        <f t="array" ref="U26">IF(S26="","",IFERROR(OFFSET($BZ$11,0,MATCH($S26,$CA26:$FV26,0),),""))</f>
        <v/>
      </c>
      <c r="V26" s="133">
        <f t="array" ref="V26">IF(S26="","",INDIRECT("'GRD-"&amp;U26&amp;"'!$L$7"))</f>
        <v/>
      </c>
      <c r="W26" s="84">
        <f t="array" ref="W26">IFERROR(OFFSET($BZ$11,ROW($B26)-11,MATCH(W$10,$CA26:$FV26,0),),"")</f>
        <v/>
      </c>
      <c r="X26" s="84">
        <f>IF(W26="","",IF(VLOOKUP($B26,INDIRECT("'GRD-"&amp;Y26&amp;"'!$B:$R"),16,FALSE)="","",VLOOKUP($B26,INDIRECT("'GRD-"&amp;Y26&amp;"'!$B:$R"),16,FALSE)))</f>
        <v/>
      </c>
      <c r="Y26" s="129">
        <f t="array" ref="Y26">IF(W26="","",IFERROR(OFFSET($BZ$11,0,MATCH($W26,$CA26:$FV26,0),),""))</f>
        <v/>
      </c>
      <c r="Z26" s="134">
        <f t="array" ref="Z26">IF(W26="","",INDIRECT("'GRD-"&amp;Y26&amp;"'!$L$7"))</f>
        <v/>
      </c>
      <c r="AA26" s="85">
        <f t="array" ref="AA26">IFERROR(OFFSET($BZ$11,ROW($B26)-11,MATCH(AA$10,$CA26:$FV26,0),),"")</f>
        <v/>
      </c>
      <c r="AB26" s="85">
        <f>IF(AA26="","",IF(VLOOKUP($B26,INDIRECT("'GRD-"&amp;AC26&amp;"'!$B:$R"),16,FALSE)="","",VLOOKUP($B26,INDIRECT("'GRD-"&amp;AC26&amp;"'!$B:$R"),16,FALSE)))</f>
        <v/>
      </c>
      <c r="AC26" s="130">
        <f t="array" ref="AC26">IF(AA26="","",IFERROR(OFFSET($BZ$11,0,MATCH($AA26,$CA26:$FV26,0),),""))</f>
        <v/>
      </c>
      <c r="AD26" s="131">
        <f t="array" ref="AD26">IF(AA26="","",INDIRECT("'GRD-"&amp;AC26&amp;"'!$L$7"))</f>
        <v/>
      </c>
      <c r="AE26" s="76">
        <f t="array" ref="AE26">IFERROR(OFFSET($BZ$11,ROW($B26)-11,MATCH(AE$10,$CA26:$FV26,0),),"")</f>
        <v/>
      </c>
      <c r="AF26" s="76">
        <f>IF(AE26="","",IF(VLOOKUP($B26,INDIRECT("'GRD-"&amp;AG26&amp;"'!$B:$R"),16,FALSE)="","",VLOOKUP($B26,INDIRECT("'GRD-"&amp;AG26&amp;"'!$B:$R"),16,FALSE)))</f>
        <v/>
      </c>
      <c r="AG26" s="132">
        <f t="array" ref="AG26">IF(AE26="","",IFERROR(OFFSET($BZ$11,0,MATCH($AE26,$CA26:$FV26,0),),""))</f>
        <v/>
      </c>
      <c r="AH26" s="121">
        <f t="array" ref="AH26">IF(AE26="","",INDIRECT("'GRD-"&amp;AG26&amp;"'!$L$7"))</f>
        <v/>
      </c>
      <c r="AI26" s="83">
        <f t="array" ref="AI26">IFERROR(OFFSET($BZ$11,ROW($B26)-11,MATCH(AI$10,$CA26:$FV26,0),),"")</f>
        <v/>
      </c>
      <c r="AJ26" s="83">
        <f>IF(AI26="","",IF(VLOOKUP($B26,INDIRECT("'GRD-"&amp;AK26&amp;"'!$B:$R"),16,FALSE)="","",VLOOKUP($B26,INDIRECT("'GRD-"&amp;AK26&amp;"'!$B:$R"),16,FALSE)))</f>
        <v/>
      </c>
      <c r="AK26" s="128">
        <f t="array" ref="AK26">IF(AI26="","",IFERROR(OFFSET($BZ$11,0,MATCH($AI26,$CA26:$FV26,0),),""))</f>
        <v/>
      </c>
      <c r="AL26" s="133">
        <f t="array" ref="AL26">IF(AI26="","",INDIRECT("'GRD-"&amp;AK26&amp;"'!$L$7"))</f>
        <v/>
      </c>
      <c r="AM26" s="84">
        <f t="array" ref="AM26">IFERROR(OFFSET($BZ$11,ROW($B26)-11,MATCH(AM$10,$CA26:$FV26,0),),"")</f>
        <v/>
      </c>
      <c r="AN26" s="84">
        <f>IF(AM26="","",IF(VLOOKUP($B26,INDIRECT("'GRD-"&amp;AO26&amp;"'!$B:$R"),16,FALSE)="","",VLOOKUP($B26,INDIRECT("'GRD-"&amp;AO26&amp;"'!$B:$R"),16,FALSE)))</f>
        <v/>
      </c>
      <c r="AO26" s="129">
        <f t="array" ref="AO26">IF(AM26="","",IFERROR(OFFSET($BZ$11,0,MATCH($AM26,$CA26:$FV26,0),),""))</f>
        <v/>
      </c>
      <c r="AP26" s="134">
        <f t="array" ref="AP26">IF(AM26="","",INDIRECT("'GRD-"&amp;AO26&amp;"'!$L$7"))</f>
        <v/>
      </c>
      <c r="AQ26" s="85">
        <f t="array" ref="AQ26">IFERROR(OFFSET($BZ$11,ROW($B26)-11,MATCH(AQ$10,$CA26:$FV26,0),),"")</f>
        <v/>
      </c>
      <c r="AR26" s="85">
        <f>IF(AQ26="","",IF(VLOOKUP($B26,INDIRECT("'GRD-"&amp;AS26&amp;"'!$B:$R"),16,FALSE)="","",VLOOKUP($B26,INDIRECT("'GRD-"&amp;AS26&amp;"'!$B:$R"),16,FALSE)))</f>
        <v/>
      </c>
      <c r="AS26" s="130">
        <f t="array" ref="AS26">IF(AQ26="","",IFERROR(OFFSET($BZ$11,0,MATCH($AQ26,$CA26:$FV26,0),),""))</f>
        <v/>
      </c>
      <c r="AT26" s="131">
        <f t="array" ref="AT26">IF(AQ26="","",INDIRECT("'GRD-"&amp;AS26&amp;"'!$L$7"))</f>
        <v/>
      </c>
      <c r="AU26" s="76">
        <f t="array" ref="AU26">IFERROR(OFFSET($BZ$11,ROW($B26)-11,MATCH(AU$10,$CA26:$FV26,0),),"")</f>
        <v/>
      </c>
      <c r="AV26" s="76">
        <f>IF(AU26="","",IF(VLOOKUP($B26,INDIRECT("'GRD-"&amp;AW26&amp;"'!$B:$R"),16,FALSE)="","",VLOOKUP($B26,INDIRECT("'GRD-"&amp;AW26&amp;"'!$B:$R"),16,FALSE)))</f>
        <v/>
      </c>
      <c r="AW26" s="132">
        <f t="array" ref="AW26">IF(AU26="","",IFERROR(OFFSET($BZ$11,0,MATCH($AU26,$CA26:$FV26,0),),""))</f>
        <v/>
      </c>
      <c r="AX26" s="121">
        <f t="array" ref="AX26">IF(AU26="","",INDIRECT("'GRD-"&amp;AW26&amp;"'!$L$7"))</f>
        <v/>
      </c>
      <c r="AY26" s="83">
        <f t="array" ref="AY26">IFERROR(OFFSET($BZ$11,ROW($B26)-11,MATCH(AY$10,$CA26:$FV26,0),),"")</f>
        <v/>
      </c>
      <c r="AZ26" s="83">
        <f>IF(AY26="","",IF(VLOOKUP($B26,INDIRECT("'GRD-"&amp;BA26&amp;"'!$B:$R"),16,FALSE)="","",VLOOKUP($B26,INDIRECT("'GRD-"&amp;BA26&amp;"'!$B:$R"),16,FALSE)))</f>
        <v/>
      </c>
      <c r="BA26" s="128">
        <f t="array" ref="BA26">IF(AY26="","",IFERROR(OFFSET($BZ$11,0,MATCH($AY26,$CA26:$FV26,0),),""))</f>
        <v/>
      </c>
      <c r="BB26" s="133">
        <f t="array" ref="BB26">IF(AY26="","",INDIRECT("'GRD-"&amp;BA26&amp;"'!$L$7"))</f>
        <v/>
      </c>
      <c r="BC26" s="84">
        <f t="array" ref="BC26">IFERROR(OFFSET($BZ$11,ROW($B26)-11,MATCH(BC$10,$CA26:$FV26,0),),"")</f>
        <v/>
      </c>
      <c r="BD26" s="84">
        <f>IF(BC26="","",IF(VLOOKUP($B26,INDIRECT("'GRD-"&amp;BE26&amp;"'!$B:$R"),16,FALSE)="","",VLOOKUP($B26,INDIRECT("'GRD-"&amp;BE26&amp;"'!$B:$R"),16,FALSE)))</f>
        <v/>
      </c>
      <c r="BE26" s="129">
        <f t="array" ref="BE26">IF(BC26="","",IFERROR(OFFSET($BZ$11,0,MATCH($BC26,$CA26:$FV26,0),),""))</f>
        <v/>
      </c>
      <c r="BF26" s="134">
        <f t="array" ref="BF26">IF(BC26="","",INDIRECT("'GRD-"&amp;BE26&amp;"'!$L$7"))</f>
        <v/>
      </c>
      <c r="CA26" s="96">
        <f>IFERROR(VLOOKUP($B26,INDIRECT("'GRD-"&amp;CA$11&amp;"'!B:R"),15,FALSE),"")</f>
        <v/>
      </c>
      <c r="CB26" s="96">
        <f>IFERROR(VLOOKUP($B26,INDIRECT("'GRD-"&amp;CB$11&amp;"'!B:R"),15,FALSE),"")</f>
        <v/>
      </c>
      <c r="CC26" s="96">
        <f>IFERROR(VLOOKUP($B26,INDIRECT("'GRD-"&amp;CC$11&amp;"'!B:R"),15,FALSE),"")</f>
        <v/>
      </c>
      <c r="CD26" s="96">
        <f>IFERROR(VLOOKUP($B26,INDIRECT("'GRD-"&amp;CD$11&amp;"'!B:R"),15,FALSE),"")</f>
        <v/>
      </c>
      <c r="CE26" s="96">
        <f>IFERROR(VLOOKUP($B26,INDIRECT("'GRD-"&amp;CE$11&amp;"'!B:R"),15,FALSE),"")</f>
        <v/>
      </c>
      <c r="CF26" s="96">
        <f>IFERROR(VLOOKUP($B26,INDIRECT("'GRD-"&amp;CF$11&amp;"'!B:R"),15,FALSE),"")</f>
        <v/>
      </c>
      <c r="CG26" s="96">
        <f>IFERROR(VLOOKUP($B26,INDIRECT("'GRD-"&amp;CG$11&amp;"'!B:R"),15,FALSE),"")</f>
        <v/>
      </c>
      <c r="CH26" s="96">
        <f>IFERROR(VLOOKUP($B26,INDIRECT("'GRD-"&amp;CH$11&amp;"'!B:R"),15,FALSE),"")</f>
        <v/>
      </c>
      <c r="CI26" s="96">
        <f>IFERROR(VLOOKUP($B26,INDIRECT("'GRD-"&amp;CI$11&amp;"'!B:R"),15,FALSE),"")</f>
        <v/>
      </c>
      <c r="CJ26" s="96">
        <f>IFERROR(VLOOKUP($B26,INDIRECT("'GRD-"&amp;CJ$11&amp;"'!B:R"),15,FALSE),"")</f>
        <v/>
      </c>
      <c r="CK26" s="96">
        <f>IFERROR(VLOOKUP($B26,INDIRECT("'GRD-"&amp;CK$11&amp;"'!B:R"),15,FALSE),"")</f>
        <v/>
      </c>
      <c r="CL26" s="96">
        <f>IFERROR(VLOOKUP($B26,INDIRECT("'GRD-"&amp;CL$11&amp;"'!B:R"),15,FALSE),"")</f>
        <v/>
      </c>
      <c r="CM26" s="96">
        <f>IFERROR(VLOOKUP($B26,INDIRECT("'GRD-"&amp;CM$11&amp;"'!B:R"),15,FALSE),"")</f>
        <v/>
      </c>
      <c r="CN26" s="96">
        <f>IFERROR(VLOOKUP($B26,INDIRECT("'GRD-"&amp;CN$11&amp;"'!B:R"),15,FALSE),"")</f>
        <v/>
      </c>
      <c r="CO26" s="96">
        <f>IFERROR(VLOOKUP($B26,INDIRECT("'GRD-"&amp;CO$11&amp;"'!B:R"),15,FALSE),"")</f>
        <v/>
      </c>
      <c r="CP26" s="96">
        <f>IFERROR(VLOOKUP($B26,INDIRECT("'GRD-"&amp;CP$11&amp;"'!B:R"),15,FALSE),"")</f>
        <v/>
      </c>
      <c r="CQ26" s="96">
        <f>IFERROR(VLOOKUP($B26,INDIRECT("'GRD-"&amp;CQ$11&amp;"'!B:R"),15,FALSE),"")</f>
        <v/>
      </c>
      <c r="CR26" s="96">
        <f>IFERROR(VLOOKUP($B26,INDIRECT("'GRD-"&amp;CR$11&amp;"'!B:R"),15,FALSE),"")</f>
        <v/>
      </c>
      <c r="CS26" s="96">
        <f>IFERROR(VLOOKUP($B26,INDIRECT("'GRD-"&amp;CS$11&amp;"'!B:R"),15,FALSE),"")</f>
        <v/>
      </c>
      <c r="CT26" s="96">
        <f>IFERROR(VLOOKUP($B26,INDIRECT("'GRD-"&amp;CT$11&amp;"'!B:R"),15,FALSE),"")</f>
        <v/>
      </c>
      <c r="CU26" s="96">
        <f>IFERROR(VLOOKUP($B26,INDIRECT("'GRD-"&amp;CU$11&amp;"'!B:R"),15,FALSE),"")</f>
        <v/>
      </c>
      <c r="CV26" s="96">
        <f>IFERROR(VLOOKUP($B26,INDIRECT("'GRD-"&amp;CV$11&amp;"'!B:R"),15,FALSE),"")</f>
        <v/>
      </c>
      <c r="CW26" s="96">
        <f>IFERROR(VLOOKUP($B26,INDIRECT("'GRD-"&amp;CW$11&amp;"'!B:R"),15,FALSE),"")</f>
        <v/>
      </c>
      <c r="CX26" s="96">
        <f>IFERROR(VLOOKUP($B26,INDIRECT("'GRD-"&amp;CX$11&amp;"'!B:R"),15,FALSE),"")</f>
        <v/>
      </c>
      <c r="CY26" s="96">
        <f>IFERROR(VLOOKUP($B26,INDIRECT("'GRD-"&amp;CY$11&amp;"'!B:R"),15,FALSE),"")</f>
        <v/>
      </c>
      <c r="CZ26" s="96">
        <f>IFERROR(VLOOKUP($B26,INDIRECT("'GRD-"&amp;CZ$11&amp;"'!B:R"),15,FALSE),"")</f>
        <v/>
      </c>
      <c r="DA26" s="96">
        <f>IFERROR(VLOOKUP($B26,INDIRECT("'GRD-"&amp;DA$11&amp;"'!B:R"),15,FALSE),"")</f>
        <v/>
      </c>
      <c r="DB26" s="96">
        <f>IFERROR(VLOOKUP($B26,INDIRECT("'GRD-"&amp;DB$11&amp;"'!B:R"),15,FALSE),"")</f>
        <v/>
      </c>
      <c r="DC26" s="96">
        <f>IFERROR(VLOOKUP($B26,INDIRECT("'GRD-"&amp;DC$11&amp;"'!B:R"),15,FALSE),"")</f>
        <v/>
      </c>
      <c r="DD26" s="96">
        <f>IFERROR(VLOOKUP($B26,INDIRECT("'GRD-"&amp;DD$11&amp;"'!B:R"),15,FALSE),"")</f>
        <v/>
      </c>
      <c r="DE26" s="96">
        <f>IFERROR(VLOOKUP($B26,INDIRECT("'GRD-"&amp;DE$11&amp;"'!B:R"),15,FALSE),"")</f>
        <v/>
      </c>
      <c r="DF26" s="96">
        <f>IFERROR(VLOOKUP($B26,INDIRECT("'GRD-"&amp;DF$11&amp;"'!B:R"),15,FALSE),"")</f>
        <v/>
      </c>
      <c r="DG26" s="96">
        <f>IFERROR(VLOOKUP($B26,INDIRECT("'GRD-"&amp;DG$11&amp;"'!B:R"),15,FALSE),"")</f>
        <v/>
      </c>
      <c r="DH26" s="96">
        <f>IFERROR(VLOOKUP($B26,INDIRECT("'GRD-"&amp;DH$11&amp;"'!B:R"),15,FALSE),"")</f>
        <v/>
      </c>
      <c r="DI26" s="96">
        <f>IFERROR(VLOOKUP($B26,INDIRECT("'GRD-"&amp;DI$11&amp;"'!B:R"),15,FALSE),"")</f>
        <v/>
      </c>
      <c r="DJ26" s="96">
        <f>IFERROR(VLOOKUP($B26,INDIRECT("'GRD-"&amp;DJ$11&amp;"'!B:R"),15,FALSE),"")</f>
        <v/>
      </c>
      <c r="DK26" s="96">
        <f>IFERROR(VLOOKUP($B26,INDIRECT("'GRD-"&amp;DK$11&amp;"'!B:R"),15,FALSE),"")</f>
        <v/>
      </c>
      <c r="DL26" s="96">
        <f>IFERROR(VLOOKUP($B26,INDIRECT("'GRD-"&amp;DL$11&amp;"'!B:R"),15,FALSE),"")</f>
        <v/>
      </c>
      <c r="DM26" s="96">
        <f>IFERROR(VLOOKUP($B26,INDIRECT("'GRD-"&amp;DM$11&amp;"'!B:R"),15,FALSE),"")</f>
        <v/>
      </c>
      <c r="DN26" s="96">
        <f>IFERROR(VLOOKUP($B26,INDIRECT("'GRD-"&amp;DN$11&amp;"'!B:R"),15,FALSE),"")</f>
        <v/>
      </c>
      <c r="DO26" s="96">
        <f>IFERROR(VLOOKUP($B26,INDIRECT("'GRD-"&amp;DO$11&amp;"'!B:R"),15,FALSE),"")</f>
        <v/>
      </c>
      <c r="DP26" s="96">
        <f>IFERROR(VLOOKUP($B26,INDIRECT("'GRD-"&amp;DP$11&amp;"'!B:R"),15,FALSE),"")</f>
        <v/>
      </c>
      <c r="DQ26" s="96">
        <f>IFERROR(VLOOKUP($B26,INDIRECT("'GRD-"&amp;DQ$11&amp;"'!B:R"),15,FALSE),"")</f>
        <v/>
      </c>
      <c r="DR26" s="96">
        <f>IFERROR(VLOOKUP($B26,INDIRECT("'GRD-"&amp;DR$11&amp;"'!B:R"),15,FALSE),"")</f>
        <v/>
      </c>
      <c r="DS26" s="96">
        <f>IFERROR(VLOOKUP($B26,INDIRECT("'GRD-"&amp;DS$11&amp;"'!B:R"),15,FALSE),"")</f>
        <v/>
      </c>
      <c r="DT26" s="96">
        <f>IFERROR(VLOOKUP($B26,INDIRECT("'GRD-"&amp;DT$11&amp;"'!B:R"),15,FALSE),"")</f>
        <v/>
      </c>
      <c r="DU26" s="96">
        <f>IFERROR(VLOOKUP($B26,INDIRECT("'GRD-"&amp;DU$11&amp;"'!B:R"),15,FALSE),"")</f>
        <v/>
      </c>
      <c r="DV26" s="96">
        <f>IFERROR(VLOOKUP($B26,INDIRECT("'GRD-"&amp;DV$11&amp;"'!B:R"),15,FALSE),"")</f>
        <v/>
      </c>
      <c r="DW26" s="96">
        <f>IFERROR(VLOOKUP($B26,INDIRECT("'GRD-"&amp;DW$11&amp;"'!B:R"),15,FALSE),"")</f>
        <v/>
      </c>
      <c r="DX26" s="96">
        <f>IFERROR(VLOOKUP($B26,INDIRECT("'GRD-"&amp;DX$11&amp;"'!B:R"),15,FALSE),"")</f>
        <v/>
      </c>
      <c r="DY26" s="96">
        <f>IFERROR(VLOOKUP($B26,INDIRECT("'GRD-"&amp;DY$11&amp;"'!B:R"),15,FALSE),"")</f>
        <v/>
      </c>
      <c r="DZ26" s="96">
        <f>IFERROR(VLOOKUP($B26,INDIRECT("'GRD-"&amp;DZ$11&amp;"'!B:R"),15,FALSE),"")</f>
        <v/>
      </c>
      <c r="EA26" s="96">
        <f>IFERROR(VLOOKUP($B26,INDIRECT("'GRD-"&amp;EA$11&amp;"'!B:R"),15,FALSE),"")</f>
        <v/>
      </c>
      <c r="EB26" s="96">
        <f>IFERROR(VLOOKUP($B26,INDIRECT("'GRD-"&amp;EB$11&amp;"'!B:R"),15,FALSE),"")</f>
        <v/>
      </c>
      <c r="EC26" s="96">
        <f>IFERROR(VLOOKUP($B26,INDIRECT("'GRD-"&amp;EC$11&amp;"'!B:R"),15,FALSE),"")</f>
        <v/>
      </c>
      <c r="ED26" s="96">
        <f>IFERROR(VLOOKUP($B26,INDIRECT("'GRD-"&amp;ED$11&amp;"'!B:R"),15,FALSE),"")</f>
        <v/>
      </c>
      <c r="EE26" s="96">
        <f>IFERROR(VLOOKUP($B26,INDIRECT("'GRD-"&amp;EE$11&amp;"'!B:R"),15,FALSE),"")</f>
        <v/>
      </c>
      <c r="EF26" s="96">
        <f>IFERROR(VLOOKUP($B26,INDIRECT("'GRD-"&amp;EF$11&amp;"'!B:R"),15,FALSE),"")</f>
        <v/>
      </c>
      <c r="EG26" s="96">
        <f>IFERROR(VLOOKUP($B26,INDIRECT("'GRD-"&amp;EG$11&amp;"'!B:R"),15,FALSE),"")</f>
        <v/>
      </c>
      <c r="EH26" s="96">
        <f>IFERROR(VLOOKUP($B26,INDIRECT("'GRD-"&amp;EH$11&amp;"'!B:R"),15,FALSE),"")</f>
        <v/>
      </c>
      <c r="EI26" s="96">
        <f>IFERROR(VLOOKUP($B26,INDIRECT("'GRD-"&amp;EI$11&amp;"'!B:R"),15,FALSE),"")</f>
        <v/>
      </c>
      <c r="EJ26" s="96">
        <f>IFERROR(VLOOKUP($B26,INDIRECT("'GRD-"&amp;EJ$11&amp;"'!B:R"),15,FALSE),"")</f>
        <v/>
      </c>
      <c r="EK26" s="96">
        <f>IFERROR(VLOOKUP($B26,INDIRECT("'GRD-"&amp;EK$11&amp;"'!B:R"),15,FALSE),"")</f>
        <v/>
      </c>
      <c r="EL26" s="96">
        <f>IFERROR(VLOOKUP($B26,INDIRECT("'GRD-"&amp;EL$11&amp;"'!B:R"),15,FALSE),"")</f>
        <v/>
      </c>
      <c r="EM26" s="96">
        <f>IFERROR(VLOOKUP($B26,INDIRECT("'GRD-"&amp;EM$11&amp;"'!B:R"),15,FALSE),"")</f>
        <v/>
      </c>
      <c r="EN26" s="96">
        <f>IFERROR(VLOOKUP($B26,INDIRECT("'GRD-"&amp;EN$11&amp;"'!B:R"),15,FALSE),"")</f>
        <v/>
      </c>
      <c r="EO26" s="96">
        <f>IFERROR(VLOOKUP($B26,INDIRECT("'GRD-"&amp;EO$11&amp;"'!B:R"),15,FALSE),"")</f>
        <v/>
      </c>
      <c r="EP26" s="96">
        <f>IFERROR(VLOOKUP($B26,INDIRECT("'GRD-"&amp;EP$11&amp;"'!B:R"),15,FALSE),"")</f>
        <v/>
      </c>
      <c r="EQ26" s="96">
        <f>IFERROR(VLOOKUP($B26,INDIRECT("'GRD-"&amp;EQ$11&amp;"'!B:R"),15,FALSE),"")</f>
        <v/>
      </c>
      <c r="ER26" s="96">
        <f>IFERROR(VLOOKUP($B26,INDIRECT("'GRD-"&amp;ER$11&amp;"'!B:R"),15,FALSE),"")</f>
        <v/>
      </c>
      <c r="ES26" s="96">
        <f>IFERROR(VLOOKUP($B26,INDIRECT("'GRD-"&amp;ES$11&amp;"'!B:R"),15,FALSE),"")</f>
        <v/>
      </c>
      <c r="ET26" s="96">
        <f>IFERROR(VLOOKUP($B26,INDIRECT("'GRD-"&amp;ET$11&amp;"'!B:R"),15,FALSE),"")</f>
        <v/>
      </c>
      <c r="EU26" s="96">
        <f>IFERROR(VLOOKUP($B26,INDIRECT("'GRD-"&amp;EU$11&amp;"'!B:R"),15,FALSE),"")</f>
        <v/>
      </c>
      <c r="EV26" s="96">
        <f>IFERROR(VLOOKUP($B26,INDIRECT("'GRD-"&amp;EV$11&amp;"'!B:R"),15,FALSE),"")</f>
        <v/>
      </c>
      <c r="EW26" s="96">
        <f>IFERROR(VLOOKUP($B26,INDIRECT("'GRD-"&amp;EW$11&amp;"'!B:R"),15,FALSE),"")</f>
        <v/>
      </c>
      <c r="EX26" s="96">
        <f>IFERROR(VLOOKUP($B26,INDIRECT("'GRD-"&amp;EX$11&amp;"'!B:R"),15,FALSE),"")</f>
        <v/>
      </c>
      <c r="EY26" s="96">
        <f>IFERROR(VLOOKUP($B26,INDIRECT("'GRD-"&amp;EY$11&amp;"'!B:R"),15,FALSE),"")</f>
        <v/>
      </c>
      <c r="EZ26" s="96">
        <f>IFERROR(VLOOKUP($B26,INDIRECT("'GRD-"&amp;EZ$11&amp;"'!B:R"),15,FALSE),"")</f>
        <v/>
      </c>
      <c r="FA26" s="96">
        <f>IFERROR(VLOOKUP($B26,INDIRECT("'GRD-"&amp;FA$11&amp;"'!B:R"),15,FALSE),"")</f>
        <v/>
      </c>
      <c r="FB26" s="96">
        <f>IFERROR(VLOOKUP($B26,INDIRECT("'GRD-"&amp;FB$11&amp;"'!B:R"),15,FALSE),"")</f>
        <v/>
      </c>
      <c r="FC26" s="96">
        <f>IFERROR(VLOOKUP($B26,INDIRECT("'GRD-"&amp;FC$11&amp;"'!B:R"),15,FALSE),"")</f>
        <v/>
      </c>
      <c r="FD26" s="96">
        <f>IFERROR(VLOOKUP($B26,INDIRECT("'GRD-"&amp;FD$11&amp;"'!B:R"),15,FALSE),"")</f>
        <v/>
      </c>
      <c r="FE26" s="96">
        <f>IFERROR(VLOOKUP($B26,INDIRECT("'GRD-"&amp;FE$11&amp;"'!B:R"),15,FALSE),"")</f>
        <v/>
      </c>
      <c r="FF26" s="96">
        <f>IFERROR(VLOOKUP($B26,INDIRECT("'GRD-"&amp;FF$11&amp;"'!B:R"),15,FALSE),"")</f>
        <v/>
      </c>
      <c r="FG26" s="96">
        <f>IFERROR(VLOOKUP($B26,INDIRECT("'GRD-"&amp;FG$11&amp;"'!B:R"),15,FALSE),"")</f>
        <v/>
      </c>
      <c r="FH26" s="96">
        <f>IFERROR(VLOOKUP($B26,INDIRECT("'GRD-"&amp;FH$11&amp;"'!B:R"),15,FALSE),"")</f>
        <v/>
      </c>
      <c r="FI26" s="96">
        <f>IFERROR(VLOOKUP($B26,INDIRECT("'GRD-"&amp;FI$11&amp;"'!B:R"),15,FALSE),"")</f>
        <v/>
      </c>
      <c r="FJ26" s="96">
        <f>IFERROR(VLOOKUP($B26,INDIRECT("'GRD-"&amp;FJ$11&amp;"'!B:R"),15,FALSE),"")</f>
        <v/>
      </c>
      <c r="FK26" s="96">
        <f>IFERROR(VLOOKUP($B26,INDIRECT("'GRD-"&amp;FK$11&amp;"'!B:R"),15,FALSE),"")</f>
        <v/>
      </c>
      <c r="FL26" s="96">
        <f>IFERROR(VLOOKUP($B26,INDIRECT("'GRD-"&amp;FL$11&amp;"'!B:R"),15,FALSE),"")</f>
        <v/>
      </c>
      <c r="FM26" s="96">
        <f>IFERROR(VLOOKUP($B26,INDIRECT("'GRD-"&amp;FM$11&amp;"'!B:R"),15,FALSE),"")</f>
        <v/>
      </c>
      <c r="FN26" s="96">
        <f>IFERROR(VLOOKUP($B26,INDIRECT("'GRD-"&amp;FN$11&amp;"'!B:R"),15,FALSE),"")</f>
        <v/>
      </c>
      <c r="FO26" s="96">
        <f>IFERROR(VLOOKUP($B26,INDIRECT("'GRD-"&amp;FO$11&amp;"'!B:R"),15,FALSE),"")</f>
        <v/>
      </c>
      <c r="FP26" s="96">
        <f>IFERROR(VLOOKUP($B26,INDIRECT("'GRD-"&amp;FP$11&amp;"'!B:R"),15,FALSE),"")</f>
        <v/>
      </c>
      <c r="FQ26" s="96">
        <f>IFERROR(VLOOKUP($B26,INDIRECT("'GRD-"&amp;FQ$11&amp;"'!B:R"),15,FALSE),"")</f>
        <v/>
      </c>
      <c r="FR26" s="96">
        <f>IFERROR(VLOOKUP($B26,INDIRECT("'GRD-"&amp;FR$11&amp;"'!B:R"),15,FALSE),"")</f>
        <v/>
      </c>
      <c r="FS26" s="96">
        <f>IFERROR(VLOOKUP($B26,INDIRECT("'GRD-"&amp;FS$11&amp;"'!B:R"),15,FALSE),"")</f>
        <v/>
      </c>
      <c r="FT26" s="96">
        <f>IFERROR(VLOOKUP($B26,INDIRECT("'GRD-"&amp;FT$11&amp;"'!B:R"),15,FALSE),"")</f>
        <v/>
      </c>
      <c r="FU26" s="96">
        <f>IFERROR(VLOOKUP($B26,INDIRECT("'GRD-"&amp;FU$11&amp;"'!B:R"),15,FALSE),"")</f>
        <v/>
      </c>
      <c r="FV26" s="96">
        <f>IFERROR(VLOOKUP($B26,INDIRECT("'GRD-"&amp;FV$11&amp;"'!B:R"),15,FALSE),"")</f>
        <v/>
      </c>
    </row>
    <row r="27">
      <c r="B27" s="68" t="n"/>
      <c r="C27" s="72" t="n"/>
      <c r="D27" s="73">
        <f>IF(K27="","",MAX($CA27:$FV27))</f>
        <v/>
      </c>
      <c r="E27" s="74">
        <f t="array" ref="E27">IF($K27="","",OFFSET($A$1,ROW($B27)-1,11+$D27*4,))</f>
        <v/>
      </c>
      <c r="F27" s="74">
        <f t="array" ref="F27">IF($K27="","",OFFSET($A$1,ROW($B27)-1,12+$D27*4,))</f>
        <v/>
      </c>
      <c r="G27" s="118">
        <f t="array" ref="G27">IF($K27="","",OFFSET($A$1,ROW($B27)-1,13+$D27*4,))</f>
        <v/>
      </c>
      <c r="H27" s="81" t="n"/>
      <c r="I27" s="82" t="n"/>
      <c r="J27" s="75">
        <f>IF(I27="A4",H27/8,IF(I27="A3",H27/4,IF(I27="A2",H27/2,IF(I27="A1",H27/1,IF(I27="A0",H27*2,"")))))</f>
        <v/>
      </c>
      <c r="K27" s="68">
        <f t="array" ref="K27">IFERROR(OFFSET($BZ$11,ROW($B27)-11,MATCH(K$10,$CA27:$FV27,0),),"")</f>
        <v/>
      </c>
      <c r="L27" s="85">
        <f>IF(K27="","",IF(VLOOKUP($B27,INDIRECT("'GRD-"&amp;M27&amp;"'!$B:$R"),16,FALSE)="","",VLOOKUP($B27,INDIRECT("'GRD-"&amp;M27&amp;"'!$B:$R"),16,FALSE)))</f>
        <v/>
      </c>
      <c r="M27" s="130">
        <f t="array" ref="M27">IF(K27="","",IFERROR(OFFSET($BZ$11,0,MATCH($K27,$CA27:$FV27,0),),""))</f>
        <v/>
      </c>
      <c r="N27" s="119">
        <f t="array" ref="N27">IF(K27="","",INDIRECT("'GRD-"&amp;M27&amp;"'!$L$7"))</f>
        <v/>
      </c>
      <c r="O27" s="76">
        <f t="array" ref="O27">IFERROR(OFFSET($BZ$11,ROW($B27)-11,MATCH(O$10,$CA27:$FV27,0),),"")</f>
        <v/>
      </c>
      <c r="P27" s="76">
        <f>IF(O27="","",IF(VLOOKUP($B27,INDIRECT("'GRD-"&amp;Q27&amp;"'!$B:$R"),16,FALSE)="","",VLOOKUP($B27,INDIRECT("'GRD-"&amp;Q27&amp;"'!$B:$R"),16,FALSE)))</f>
        <v/>
      </c>
      <c r="Q27" s="132">
        <f t="array" ref="Q27">IF(O27="","",IFERROR(OFFSET($BZ$11,0,MATCH($O27,$CA27:$FV27,0),),""))</f>
        <v/>
      </c>
      <c r="R27" s="121">
        <f t="array" ref="R27">IF(O27="","",INDIRECT("'GRD-"&amp;Q27&amp;"'!$L$7"))</f>
        <v/>
      </c>
      <c r="S27" s="83">
        <f t="array" ref="S27">IFERROR(OFFSET($BZ$11,ROW($B27)-11,MATCH(S$10,$CA27:$FV27,0),),"")</f>
        <v/>
      </c>
      <c r="T27" s="83">
        <f>IF(S27="","",IF(VLOOKUP($B27,INDIRECT("'GRD-"&amp;U27&amp;"'!$B:$R"),16,FALSE)="","",VLOOKUP($B27,INDIRECT("'GRD-"&amp;U27&amp;"'!$B:$R"),16,FALSE)))</f>
        <v/>
      </c>
      <c r="U27" s="128">
        <f t="array" ref="U27">IF(S27="","",IFERROR(OFFSET($BZ$11,0,MATCH($S27,$CA27:$FV27,0),),""))</f>
        <v/>
      </c>
      <c r="V27" s="133">
        <f t="array" ref="V27">IF(S27="","",INDIRECT("'GRD-"&amp;U27&amp;"'!$L$7"))</f>
        <v/>
      </c>
      <c r="W27" s="84">
        <f t="array" ref="W27">IFERROR(OFFSET($BZ$11,ROW($B27)-11,MATCH(W$10,$CA27:$FV27,0),),"")</f>
        <v/>
      </c>
      <c r="X27" s="84">
        <f>IF(W27="","",IF(VLOOKUP($B27,INDIRECT("'GRD-"&amp;Y27&amp;"'!$B:$R"),16,FALSE)="","",VLOOKUP($B27,INDIRECT("'GRD-"&amp;Y27&amp;"'!$B:$R"),16,FALSE)))</f>
        <v/>
      </c>
      <c r="Y27" s="129">
        <f t="array" ref="Y27">IF(W27="","",IFERROR(OFFSET($BZ$11,0,MATCH($W27,$CA27:$FV27,0),),""))</f>
        <v/>
      </c>
      <c r="Z27" s="134">
        <f t="array" ref="Z27">IF(W27="","",INDIRECT("'GRD-"&amp;Y27&amp;"'!$L$7"))</f>
        <v/>
      </c>
      <c r="AA27" s="85">
        <f t="array" ref="AA27">IFERROR(OFFSET($BZ$11,ROW($B27)-11,MATCH(AA$10,$CA27:$FV27,0),),"")</f>
        <v/>
      </c>
      <c r="AB27" s="85">
        <f>IF(AA27="","",IF(VLOOKUP($B27,INDIRECT("'GRD-"&amp;AC27&amp;"'!$B:$R"),16,FALSE)="","",VLOOKUP($B27,INDIRECT("'GRD-"&amp;AC27&amp;"'!$B:$R"),16,FALSE)))</f>
        <v/>
      </c>
      <c r="AC27" s="130">
        <f t="array" ref="AC27">IF(AA27="","",IFERROR(OFFSET($BZ$11,0,MATCH($AA27,$CA27:$FV27,0),),""))</f>
        <v/>
      </c>
      <c r="AD27" s="131">
        <f t="array" ref="AD27">IF(AA27="","",INDIRECT("'GRD-"&amp;AC27&amp;"'!$L$7"))</f>
        <v/>
      </c>
      <c r="AE27" s="76">
        <f t="array" ref="AE27">IFERROR(OFFSET($BZ$11,ROW($B27)-11,MATCH(AE$10,$CA27:$FV27,0),),"")</f>
        <v/>
      </c>
      <c r="AF27" s="76">
        <f>IF(AE27="","",IF(VLOOKUP($B27,INDIRECT("'GRD-"&amp;AG27&amp;"'!$B:$R"),16,FALSE)="","",VLOOKUP($B27,INDIRECT("'GRD-"&amp;AG27&amp;"'!$B:$R"),16,FALSE)))</f>
        <v/>
      </c>
      <c r="AG27" s="132">
        <f t="array" ref="AG27">IF(AE27="","",IFERROR(OFFSET($BZ$11,0,MATCH($AE27,$CA27:$FV27,0),),""))</f>
        <v/>
      </c>
      <c r="AH27" s="121">
        <f t="array" ref="AH27">IF(AE27="","",INDIRECT("'GRD-"&amp;AG27&amp;"'!$L$7"))</f>
        <v/>
      </c>
      <c r="AI27" s="83">
        <f t="array" ref="AI27">IFERROR(OFFSET($BZ$11,ROW($B27)-11,MATCH(AI$10,$CA27:$FV27,0),),"")</f>
        <v/>
      </c>
      <c r="AJ27" s="83">
        <f>IF(AI27="","",IF(VLOOKUP($B27,INDIRECT("'GRD-"&amp;AK27&amp;"'!$B:$R"),16,FALSE)="","",VLOOKUP($B27,INDIRECT("'GRD-"&amp;AK27&amp;"'!$B:$R"),16,FALSE)))</f>
        <v/>
      </c>
      <c r="AK27" s="128">
        <f t="array" ref="AK27">IF(AI27="","",IFERROR(OFFSET($BZ$11,0,MATCH($AI27,$CA27:$FV27,0),),""))</f>
        <v/>
      </c>
      <c r="AL27" s="133">
        <f t="array" ref="AL27">IF(AI27="","",INDIRECT("'GRD-"&amp;AK27&amp;"'!$L$7"))</f>
        <v/>
      </c>
      <c r="AM27" s="84">
        <f t="array" ref="AM27">IFERROR(OFFSET($BZ$11,ROW($B27)-11,MATCH(AM$10,$CA27:$FV27,0),),"")</f>
        <v/>
      </c>
      <c r="AN27" s="84">
        <f>IF(AM27="","",IF(VLOOKUP($B27,INDIRECT("'GRD-"&amp;AO27&amp;"'!$B:$R"),16,FALSE)="","",VLOOKUP($B27,INDIRECT("'GRD-"&amp;AO27&amp;"'!$B:$R"),16,FALSE)))</f>
        <v/>
      </c>
      <c r="AO27" s="129">
        <f t="array" ref="AO27">IF(AM27="","",IFERROR(OFFSET($BZ$11,0,MATCH($AM27,$CA27:$FV27,0),),""))</f>
        <v/>
      </c>
      <c r="AP27" s="134">
        <f t="array" ref="AP27">IF(AM27="","",INDIRECT("'GRD-"&amp;AO27&amp;"'!$L$7"))</f>
        <v/>
      </c>
      <c r="AQ27" s="85">
        <f t="array" ref="AQ27">IFERROR(OFFSET($BZ$11,ROW($B27)-11,MATCH(AQ$10,$CA27:$FV27,0),),"")</f>
        <v/>
      </c>
      <c r="AR27" s="85">
        <f>IF(AQ27="","",IF(VLOOKUP($B27,INDIRECT("'GRD-"&amp;AS27&amp;"'!$B:$R"),16,FALSE)="","",VLOOKUP($B27,INDIRECT("'GRD-"&amp;AS27&amp;"'!$B:$R"),16,FALSE)))</f>
        <v/>
      </c>
      <c r="AS27" s="130">
        <f t="array" ref="AS27">IF(AQ27="","",IFERROR(OFFSET($BZ$11,0,MATCH($AQ27,$CA27:$FV27,0),),""))</f>
        <v/>
      </c>
      <c r="AT27" s="131">
        <f t="array" ref="AT27">IF(AQ27="","",INDIRECT("'GRD-"&amp;AS27&amp;"'!$L$7"))</f>
        <v/>
      </c>
      <c r="AU27" s="76">
        <f t="array" ref="AU27">IFERROR(OFFSET($BZ$11,ROW($B27)-11,MATCH(AU$10,$CA27:$FV27,0),),"")</f>
        <v/>
      </c>
      <c r="AV27" s="76">
        <f>IF(AU27="","",IF(VLOOKUP($B27,INDIRECT("'GRD-"&amp;AW27&amp;"'!$B:$R"),16,FALSE)="","",VLOOKUP($B27,INDIRECT("'GRD-"&amp;AW27&amp;"'!$B:$R"),16,FALSE)))</f>
        <v/>
      </c>
      <c r="AW27" s="132">
        <f t="array" ref="AW27">IF(AU27="","",IFERROR(OFFSET($BZ$11,0,MATCH($AU27,$CA27:$FV27,0),),""))</f>
        <v/>
      </c>
      <c r="AX27" s="121">
        <f t="array" ref="AX27">IF(AU27="","",INDIRECT("'GRD-"&amp;AW27&amp;"'!$L$7"))</f>
        <v/>
      </c>
      <c r="AY27" s="83">
        <f t="array" ref="AY27">IFERROR(OFFSET($BZ$11,ROW($B27)-11,MATCH(AY$10,$CA27:$FV27,0),),"")</f>
        <v/>
      </c>
      <c r="AZ27" s="83">
        <f>IF(AY27="","",IF(VLOOKUP($B27,INDIRECT("'GRD-"&amp;BA27&amp;"'!$B:$R"),16,FALSE)="","",VLOOKUP($B27,INDIRECT("'GRD-"&amp;BA27&amp;"'!$B:$R"),16,FALSE)))</f>
        <v/>
      </c>
      <c r="BA27" s="128">
        <f t="array" ref="BA27">IF(AY27="","",IFERROR(OFFSET($BZ$11,0,MATCH($AY27,$CA27:$FV27,0),),""))</f>
        <v/>
      </c>
      <c r="BB27" s="133">
        <f t="array" ref="BB27">IF(AY27="","",INDIRECT("'GRD-"&amp;BA27&amp;"'!$L$7"))</f>
        <v/>
      </c>
      <c r="BC27" s="84">
        <f t="array" ref="BC27">IFERROR(OFFSET($BZ$11,ROW($B27)-11,MATCH(BC$10,$CA27:$FV27,0),),"")</f>
        <v/>
      </c>
      <c r="BD27" s="84">
        <f>IF(BC27="","",IF(VLOOKUP($B27,INDIRECT("'GRD-"&amp;BE27&amp;"'!$B:$R"),16,FALSE)="","",VLOOKUP($B27,INDIRECT("'GRD-"&amp;BE27&amp;"'!$B:$R"),16,FALSE)))</f>
        <v/>
      </c>
      <c r="BE27" s="129">
        <f t="array" ref="BE27">IF(BC27="","",IFERROR(OFFSET($BZ$11,0,MATCH($BC27,$CA27:$FV27,0),),""))</f>
        <v/>
      </c>
      <c r="BF27" s="134">
        <f t="array" ref="BF27">IF(BC27="","",INDIRECT("'GRD-"&amp;BE27&amp;"'!$L$7"))</f>
        <v/>
      </c>
      <c r="CA27" s="96">
        <f>IFERROR(VLOOKUP($B27,INDIRECT("'GRD-"&amp;CA$11&amp;"'!B:R"),15,FALSE),"")</f>
        <v/>
      </c>
      <c r="CB27" s="96">
        <f>IFERROR(VLOOKUP($B27,INDIRECT("'GRD-"&amp;CB$11&amp;"'!B:R"),15,FALSE),"")</f>
        <v/>
      </c>
      <c r="CC27" s="96">
        <f>IFERROR(VLOOKUP($B27,INDIRECT("'GRD-"&amp;CC$11&amp;"'!B:R"),15,FALSE),"")</f>
        <v/>
      </c>
      <c r="CD27" s="96">
        <f>IFERROR(VLOOKUP($B27,INDIRECT("'GRD-"&amp;CD$11&amp;"'!B:R"),15,FALSE),"")</f>
        <v/>
      </c>
      <c r="CE27" s="96">
        <f>IFERROR(VLOOKUP($B27,INDIRECT("'GRD-"&amp;CE$11&amp;"'!B:R"),15,FALSE),"")</f>
        <v/>
      </c>
      <c r="CF27" s="96">
        <f>IFERROR(VLOOKUP($B27,INDIRECT("'GRD-"&amp;CF$11&amp;"'!B:R"),15,FALSE),"")</f>
        <v/>
      </c>
      <c r="CG27" s="96">
        <f>IFERROR(VLOOKUP($B27,INDIRECT("'GRD-"&amp;CG$11&amp;"'!B:R"),15,FALSE),"")</f>
        <v/>
      </c>
      <c r="CH27" s="96">
        <f>IFERROR(VLOOKUP($B27,INDIRECT("'GRD-"&amp;CH$11&amp;"'!B:R"),15,FALSE),"")</f>
        <v/>
      </c>
      <c r="CI27" s="96">
        <f>IFERROR(VLOOKUP($B27,INDIRECT("'GRD-"&amp;CI$11&amp;"'!B:R"),15,FALSE),"")</f>
        <v/>
      </c>
      <c r="CJ27" s="96">
        <f>IFERROR(VLOOKUP($B27,INDIRECT("'GRD-"&amp;CJ$11&amp;"'!B:R"),15,FALSE),"")</f>
        <v/>
      </c>
      <c r="CK27" s="96">
        <f>IFERROR(VLOOKUP($B27,INDIRECT("'GRD-"&amp;CK$11&amp;"'!B:R"),15,FALSE),"")</f>
        <v/>
      </c>
      <c r="CL27" s="96">
        <f>IFERROR(VLOOKUP($B27,INDIRECT("'GRD-"&amp;CL$11&amp;"'!B:R"),15,FALSE),"")</f>
        <v/>
      </c>
      <c r="CM27" s="96">
        <f>IFERROR(VLOOKUP($B27,INDIRECT("'GRD-"&amp;CM$11&amp;"'!B:R"),15,FALSE),"")</f>
        <v/>
      </c>
      <c r="CN27" s="96">
        <f>IFERROR(VLOOKUP($B27,INDIRECT("'GRD-"&amp;CN$11&amp;"'!B:R"),15,FALSE),"")</f>
        <v/>
      </c>
      <c r="CO27" s="96">
        <f>IFERROR(VLOOKUP($B27,INDIRECT("'GRD-"&amp;CO$11&amp;"'!B:R"),15,FALSE),"")</f>
        <v/>
      </c>
      <c r="CP27" s="96">
        <f>IFERROR(VLOOKUP($B27,INDIRECT("'GRD-"&amp;CP$11&amp;"'!B:R"),15,FALSE),"")</f>
        <v/>
      </c>
      <c r="CQ27" s="96">
        <f>IFERROR(VLOOKUP($B27,INDIRECT("'GRD-"&amp;CQ$11&amp;"'!B:R"),15,FALSE),"")</f>
        <v/>
      </c>
      <c r="CR27" s="96">
        <f>IFERROR(VLOOKUP($B27,INDIRECT("'GRD-"&amp;CR$11&amp;"'!B:R"),15,FALSE),"")</f>
        <v/>
      </c>
      <c r="CS27" s="96">
        <f>IFERROR(VLOOKUP($B27,INDIRECT("'GRD-"&amp;CS$11&amp;"'!B:R"),15,FALSE),"")</f>
        <v/>
      </c>
      <c r="CT27" s="96">
        <f>IFERROR(VLOOKUP($B27,INDIRECT("'GRD-"&amp;CT$11&amp;"'!B:R"),15,FALSE),"")</f>
        <v/>
      </c>
      <c r="CU27" s="96">
        <f>IFERROR(VLOOKUP($B27,INDIRECT("'GRD-"&amp;CU$11&amp;"'!B:R"),15,FALSE),"")</f>
        <v/>
      </c>
      <c r="CV27" s="96">
        <f>IFERROR(VLOOKUP($B27,INDIRECT("'GRD-"&amp;CV$11&amp;"'!B:R"),15,FALSE),"")</f>
        <v/>
      </c>
      <c r="CW27" s="96">
        <f>IFERROR(VLOOKUP($B27,INDIRECT("'GRD-"&amp;CW$11&amp;"'!B:R"),15,FALSE),"")</f>
        <v/>
      </c>
      <c r="CX27" s="96">
        <f>IFERROR(VLOOKUP($B27,INDIRECT("'GRD-"&amp;CX$11&amp;"'!B:R"),15,FALSE),"")</f>
        <v/>
      </c>
      <c r="CY27" s="96">
        <f>IFERROR(VLOOKUP($B27,INDIRECT("'GRD-"&amp;CY$11&amp;"'!B:R"),15,FALSE),"")</f>
        <v/>
      </c>
      <c r="CZ27" s="96">
        <f>IFERROR(VLOOKUP($B27,INDIRECT("'GRD-"&amp;CZ$11&amp;"'!B:R"),15,FALSE),"")</f>
        <v/>
      </c>
      <c r="DA27" s="96">
        <f>IFERROR(VLOOKUP($B27,INDIRECT("'GRD-"&amp;DA$11&amp;"'!B:R"),15,FALSE),"")</f>
        <v/>
      </c>
      <c r="DB27" s="96">
        <f>IFERROR(VLOOKUP($B27,INDIRECT("'GRD-"&amp;DB$11&amp;"'!B:R"),15,FALSE),"")</f>
        <v/>
      </c>
      <c r="DC27" s="96">
        <f>IFERROR(VLOOKUP($B27,INDIRECT("'GRD-"&amp;DC$11&amp;"'!B:R"),15,FALSE),"")</f>
        <v/>
      </c>
      <c r="DD27" s="96">
        <f>IFERROR(VLOOKUP($B27,INDIRECT("'GRD-"&amp;DD$11&amp;"'!B:R"),15,FALSE),"")</f>
        <v/>
      </c>
      <c r="DE27" s="96">
        <f>IFERROR(VLOOKUP($B27,INDIRECT("'GRD-"&amp;DE$11&amp;"'!B:R"),15,FALSE),"")</f>
        <v/>
      </c>
      <c r="DF27" s="96">
        <f>IFERROR(VLOOKUP($B27,INDIRECT("'GRD-"&amp;DF$11&amp;"'!B:R"),15,FALSE),"")</f>
        <v/>
      </c>
      <c r="DG27" s="96">
        <f>IFERROR(VLOOKUP($B27,INDIRECT("'GRD-"&amp;DG$11&amp;"'!B:R"),15,FALSE),"")</f>
        <v/>
      </c>
      <c r="DH27" s="96">
        <f>IFERROR(VLOOKUP($B27,INDIRECT("'GRD-"&amp;DH$11&amp;"'!B:R"),15,FALSE),"")</f>
        <v/>
      </c>
      <c r="DI27" s="96">
        <f>IFERROR(VLOOKUP($B27,INDIRECT("'GRD-"&amp;DI$11&amp;"'!B:R"),15,FALSE),"")</f>
        <v/>
      </c>
      <c r="DJ27" s="96">
        <f>IFERROR(VLOOKUP($B27,INDIRECT("'GRD-"&amp;DJ$11&amp;"'!B:R"),15,FALSE),"")</f>
        <v/>
      </c>
      <c r="DK27" s="96">
        <f>IFERROR(VLOOKUP($B27,INDIRECT("'GRD-"&amp;DK$11&amp;"'!B:R"),15,FALSE),"")</f>
        <v/>
      </c>
      <c r="DL27" s="96">
        <f>IFERROR(VLOOKUP($B27,INDIRECT("'GRD-"&amp;DL$11&amp;"'!B:R"),15,FALSE),"")</f>
        <v/>
      </c>
      <c r="DM27" s="96">
        <f>IFERROR(VLOOKUP($B27,INDIRECT("'GRD-"&amp;DM$11&amp;"'!B:R"),15,FALSE),"")</f>
        <v/>
      </c>
      <c r="DN27" s="96">
        <f>IFERROR(VLOOKUP($B27,INDIRECT("'GRD-"&amp;DN$11&amp;"'!B:R"),15,FALSE),"")</f>
        <v/>
      </c>
      <c r="DO27" s="96">
        <f>IFERROR(VLOOKUP($B27,INDIRECT("'GRD-"&amp;DO$11&amp;"'!B:R"),15,FALSE),"")</f>
        <v/>
      </c>
      <c r="DP27" s="96">
        <f>IFERROR(VLOOKUP($B27,INDIRECT("'GRD-"&amp;DP$11&amp;"'!B:R"),15,FALSE),"")</f>
        <v/>
      </c>
      <c r="DQ27" s="96">
        <f>IFERROR(VLOOKUP($B27,INDIRECT("'GRD-"&amp;DQ$11&amp;"'!B:R"),15,FALSE),"")</f>
        <v/>
      </c>
      <c r="DR27" s="96">
        <f>IFERROR(VLOOKUP($B27,INDIRECT("'GRD-"&amp;DR$11&amp;"'!B:R"),15,FALSE),"")</f>
        <v/>
      </c>
      <c r="DS27" s="96">
        <f>IFERROR(VLOOKUP($B27,INDIRECT("'GRD-"&amp;DS$11&amp;"'!B:R"),15,FALSE),"")</f>
        <v/>
      </c>
      <c r="DT27" s="96">
        <f>IFERROR(VLOOKUP($B27,INDIRECT("'GRD-"&amp;DT$11&amp;"'!B:R"),15,FALSE),"")</f>
        <v/>
      </c>
      <c r="DU27" s="96">
        <f>IFERROR(VLOOKUP($B27,INDIRECT("'GRD-"&amp;DU$11&amp;"'!B:R"),15,FALSE),"")</f>
        <v/>
      </c>
      <c r="DV27" s="96">
        <f>IFERROR(VLOOKUP($B27,INDIRECT("'GRD-"&amp;DV$11&amp;"'!B:R"),15,FALSE),"")</f>
        <v/>
      </c>
      <c r="DW27" s="96">
        <f>IFERROR(VLOOKUP($B27,INDIRECT("'GRD-"&amp;DW$11&amp;"'!B:R"),15,FALSE),"")</f>
        <v/>
      </c>
      <c r="DX27" s="96">
        <f>IFERROR(VLOOKUP($B27,INDIRECT("'GRD-"&amp;DX$11&amp;"'!B:R"),15,FALSE),"")</f>
        <v/>
      </c>
      <c r="DY27" s="96">
        <f>IFERROR(VLOOKUP($B27,INDIRECT("'GRD-"&amp;DY$11&amp;"'!B:R"),15,FALSE),"")</f>
        <v/>
      </c>
      <c r="DZ27" s="96">
        <f>IFERROR(VLOOKUP($B27,INDIRECT("'GRD-"&amp;DZ$11&amp;"'!B:R"),15,FALSE),"")</f>
        <v/>
      </c>
      <c r="EA27" s="96">
        <f>IFERROR(VLOOKUP($B27,INDIRECT("'GRD-"&amp;EA$11&amp;"'!B:R"),15,FALSE),"")</f>
        <v/>
      </c>
      <c r="EB27" s="96">
        <f>IFERROR(VLOOKUP($B27,INDIRECT("'GRD-"&amp;EB$11&amp;"'!B:R"),15,FALSE),"")</f>
        <v/>
      </c>
      <c r="EC27" s="96">
        <f>IFERROR(VLOOKUP($B27,INDIRECT("'GRD-"&amp;EC$11&amp;"'!B:R"),15,FALSE),"")</f>
        <v/>
      </c>
      <c r="ED27" s="96">
        <f>IFERROR(VLOOKUP($B27,INDIRECT("'GRD-"&amp;ED$11&amp;"'!B:R"),15,FALSE),"")</f>
        <v/>
      </c>
      <c r="EE27" s="96">
        <f>IFERROR(VLOOKUP($B27,INDIRECT("'GRD-"&amp;EE$11&amp;"'!B:R"),15,FALSE),"")</f>
        <v/>
      </c>
      <c r="EF27" s="96">
        <f>IFERROR(VLOOKUP($B27,INDIRECT("'GRD-"&amp;EF$11&amp;"'!B:R"),15,FALSE),"")</f>
        <v/>
      </c>
      <c r="EG27" s="96">
        <f>IFERROR(VLOOKUP($B27,INDIRECT("'GRD-"&amp;EG$11&amp;"'!B:R"),15,FALSE),"")</f>
        <v/>
      </c>
      <c r="EH27" s="96">
        <f>IFERROR(VLOOKUP($B27,INDIRECT("'GRD-"&amp;EH$11&amp;"'!B:R"),15,FALSE),"")</f>
        <v/>
      </c>
      <c r="EI27" s="96">
        <f>IFERROR(VLOOKUP($B27,INDIRECT("'GRD-"&amp;EI$11&amp;"'!B:R"),15,FALSE),"")</f>
        <v/>
      </c>
      <c r="EJ27" s="96">
        <f>IFERROR(VLOOKUP($B27,INDIRECT("'GRD-"&amp;EJ$11&amp;"'!B:R"),15,FALSE),"")</f>
        <v/>
      </c>
      <c r="EK27" s="96">
        <f>IFERROR(VLOOKUP($B27,INDIRECT("'GRD-"&amp;EK$11&amp;"'!B:R"),15,FALSE),"")</f>
        <v/>
      </c>
      <c r="EL27" s="96">
        <f>IFERROR(VLOOKUP($B27,INDIRECT("'GRD-"&amp;EL$11&amp;"'!B:R"),15,FALSE),"")</f>
        <v/>
      </c>
      <c r="EM27" s="96">
        <f>IFERROR(VLOOKUP($B27,INDIRECT("'GRD-"&amp;EM$11&amp;"'!B:R"),15,FALSE),"")</f>
        <v/>
      </c>
      <c r="EN27" s="96">
        <f>IFERROR(VLOOKUP($B27,INDIRECT("'GRD-"&amp;EN$11&amp;"'!B:R"),15,FALSE),"")</f>
        <v/>
      </c>
      <c r="EO27" s="96">
        <f>IFERROR(VLOOKUP($B27,INDIRECT("'GRD-"&amp;EO$11&amp;"'!B:R"),15,FALSE),"")</f>
        <v/>
      </c>
      <c r="EP27" s="96">
        <f>IFERROR(VLOOKUP($B27,INDIRECT("'GRD-"&amp;EP$11&amp;"'!B:R"),15,FALSE),"")</f>
        <v/>
      </c>
      <c r="EQ27" s="96">
        <f>IFERROR(VLOOKUP($B27,INDIRECT("'GRD-"&amp;EQ$11&amp;"'!B:R"),15,FALSE),"")</f>
        <v/>
      </c>
      <c r="ER27" s="96">
        <f>IFERROR(VLOOKUP($B27,INDIRECT("'GRD-"&amp;ER$11&amp;"'!B:R"),15,FALSE),"")</f>
        <v/>
      </c>
      <c r="ES27" s="96">
        <f>IFERROR(VLOOKUP($B27,INDIRECT("'GRD-"&amp;ES$11&amp;"'!B:R"),15,FALSE),"")</f>
        <v/>
      </c>
      <c r="ET27" s="96">
        <f>IFERROR(VLOOKUP($B27,INDIRECT("'GRD-"&amp;ET$11&amp;"'!B:R"),15,FALSE),"")</f>
        <v/>
      </c>
      <c r="EU27" s="96">
        <f>IFERROR(VLOOKUP($B27,INDIRECT("'GRD-"&amp;EU$11&amp;"'!B:R"),15,FALSE),"")</f>
        <v/>
      </c>
      <c r="EV27" s="96">
        <f>IFERROR(VLOOKUP($B27,INDIRECT("'GRD-"&amp;EV$11&amp;"'!B:R"),15,FALSE),"")</f>
        <v/>
      </c>
      <c r="EW27" s="96">
        <f>IFERROR(VLOOKUP($B27,INDIRECT("'GRD-"&amp;EW$11&amp;"'!B:R"),15,FALSE),"")</f>
        <v/>
      </c>
      <c r="EX27" s="96">
        <f>IFERROR(VLOOKUP($B27,INDIRECT("'GRD-"&amp;EX$11&amp;"'!B:R"),15,FALSE),"")</f>
        <v/>
      </c>
      <c r="EY27" s="96">
        <f>IFERROR(VLOOKUP($B27,INDIRECT("'GRD-"&amp;EY$11&amp;"'!B:R"),15,FALSE),"")</f>
        <v/>
      </c>
      <c r="EZ27" s="96">
        <f>IFERROR(VLOOKUP($B27,INDIRECT("'GRD-"&amp;EZ$11&amp;"'!B:R"),15,FALSE),"")</f>
        <v/>
      </c>
      <c r="FA27" s="96">
        <f>IFERROR(VLOOKUP($B27,INDIRECT("'GRD-"&amp;FA$11&amp;"'!B:R"),15,FALSE),"")</f>
        <v/>
      </c>
      <c r="FB27" s="96">
        <f>IFERROR(VLOOKUP($B27,INDIRECT("'GRD-"&amp;FB$11&amp;"'!B:R"),15,FALSE),"")</f>
        <v/>
      </c>
      <c r="FC27" s="96">
        <f>IFERROR(VLOOKUP($B27,INDIRECT("'GRD-"&amp;FC$11&amp;"'!B:R"),15,FALSE),"")</f>
        <v/>
      </c>
      <c r="FD27" s="96">
        <f>IFERROR(VLOOKUP($B27,INDIRECT("'GRD-"&amp;FD$11&amp;"'!B:R"),15,FALSE),"")</f>
        <v/>
      </c>
      <c r="FE27" s="96">
        <f>IFERROR(VLOOKUP($B27,INDIRECT("'GRD-"&amp;FE$11&amp;"'!B:R"),15,FALSE),"")</f>
        <v/>
      </c>
      <c r="FF27" s="96">
        <f>IFERROR(VLOOKUP($B27,INDIRECT("'GRD-"&amp;FF$11&amp;"'!B:R"),15,FALSE),"")</f>
        <v/>
      </c>
      <c r="FG27" s="96">
        <f>IFERROR(VLOOKUP($B27,INDIRECT("'GRD-"&amp;FG$11&amp;"'!B:R"),15,FALSE),"")</f>
        <v/>
      </c>
      <c r="FH27" s="96">
        <f>IFERROR(VLOOKUP($B27,INDIRECT("'GRD-"&amp;FH$11&amp;"'!B:R"),15,FALSE),"")</f>
        <v/>
      </c>
      <c r="FI27" s="96">
        <f>IFERROR(VLOOKUP($B27,INDIRECT("'GRD-"&amp;FI$11&amp;"'!B:R"),15,FALSE),"")</f>
        <v/>
      </c>
      <c r="FJ27" s="96">
        <f>IFERROR(VLOOKUP($B27,INDIRECT("'GRD-"&amp;FJ$11&amp;"'!B:R"),15,FALSE),"")</f>
        <v/>
      </c>
      <c r="FK27" s="96">
        <f>IFERROR(VLOOKUP($B27,INDIRECT("'GRD-"&amp;FK$11&amp;"'!B:R"),15,FALSE),"")</f>
        <v/>
      </c>
      <c r="FL27" s="96">
        <f>IFERROR(VLOOKUP($B27,INDIRECT("'GRD-"&amp;FL$11&amp;"'!B:R"),15,FALSE),"")</f>
        <v/>
      </c>
      <c r="FM27" s="96">
        <f>IFERROR(VLOOKUP($B27,INDIRECT("'GRD-"&amp;FM$11&amp;"'!B:R"),15,FALSE),"")</f>
        <v/>
      </c>
      <c r="FN27" s="96">
        <f>IFERROR(VLOOKUP($B27,INDIRECT("'GRD-"&amp;FN$11&amp;"'!B:R"),15,FALSE),"")</f>
        <v/>
      </c>
      <c r="FO27" s="96">
        <f>IFERROR(VLOOKUP($B27,INDIRECT("'GRD-"&amp;FO$11&amp;"'!B:R"),15,FALSE),"")</f>
        <v/>
      </c>
      <c r="FP27" s="96">
        <f>IFERROR(VLOOKUP($B27,INDIRECT("'GRD-"&amp;FP$11&amp;"'!B:R"),15,FALSE),"")</f>
        <v/>
      </c>
      <c r="FQ27" s="96">
        <f>IFERROR(VLOOKUP($B27,INDIRECT("'GRD-"&amp;FQ$11&amp;"'!B:R"),15,FALSE),"")</f>
        <v/>
      </c>
      <c r="FR27" s="96">
        <f>IFERROR(VLOOKUP($B27,INDIRECT("'GRD-"&amp;FR$11&amp;"'!B:R"),15,FALSE),"")</f>
        <v/>
      </c>
      <c r="FS27" s="96">
        <f>IFERROR(VLOOKUP($B27,INDIRECT("'GRD-"&amp;FS$11&amp;"'!B:R"),15,FALSE),"")</f>
        <v/>
      </c>
      <c r="FT27" s="96">
        <f>IFERROR(VLOOKUP($B27,INDIRECT("'GRD-"&amp;FT$11&amp;"'!B:R"),15,FALSE),"")</f>
        <v/>
      </c>
      <c r="FU27" s="96">
        <f>IFERROR(VLOOKUP($B27,INDIRECT("'GRD-"&amp;FU$11&amp;"'!B:R"),15,FALSE),"")</f>
        <v/>
      </c>
      <c r="FV27" s="96">
        <f>IFERROR(VLOOKUP($B27,INDIRECT("'GRD-"&amp;FV$11&amp;"'!B:R"),15,FALSE),"")</f>
        <v/>
      </c>
    </row>
    <row r="28">
      <c r="B28" s="68" t="n"/>
      <c r="C28" s="72" t="n"/>
      <c r="D28" s="73">
        <f>IF(K28="","",MAX($CA28:$FV28))</f>
        <v/>
      </c>
      <c r="E28" s="74">
        <f t="array" ref="E28">IF($K28="","",OFFSET($A$1,ROW($B28)-1,11+$D28*4,))</f>
        <v/>
      </c>
      <c r="F28" s="74">
        <f t="array" ref="F28">IF($K28="","",OFFSET($A$1,ROW($B28)-1,12+$D28*4,))</f>
        <v/>
      </c>
      <c r="G28" s="118">
        <f t="array" ref="G28">IF($K28="","",OFFSET($A$1,ROW($B28)-1,13+$D28*4,))</f>
        <v/>
      </c>
      <c r="H28" s="81" t="n"/>
      <c r="I28" s="82" t="n"/>
      <c r="J28" s="75">
        <f>IF(I28="A4",H28/8,IF(I28="A3",H28/4,IF(I28="A2",H28/2,IF(I28="A1",H28/1,IF(I28="A0",H28*2,"")))))</f>
        <v/>
      </c>
      <c r="K28" s="68">
        <f t="array" ref="K28">IFERROR(OFFSET($BZ$11,ROW($B28)-11,MATCH(K$10,$CA28:$FV28,0),),"")</f>
        <v/>
      </c>
      <c r="L28" s="85">
        <f>IF(K28="","",IF(VLOOKUP($B28,INDIRECT("'GRD-"&amp;M28&amp;"'!$B:$R"),16,FALSE)="","",VLOOKUP($B28,INDIRECT("'GRD-"&amp;M28&amp;"'!$B:$R"),16,FALSE)))</f>
        <v/>
      </c>
      <c r="M28" s="130">
        <f t="array" ref="M28">IF(K28="","",IFERROR(OFFSET($BZ$11,0,MATCH($K28,$CA28:$FV28,0),),""))</f>
        <v/>
      </c>
      <c r="N28" s="119">
        <f t="array" ref="N28">IF(K28="","",INDIRECT("'GRD-"&amp;M28&amp;"'!$L$7"))</f>
        <v/>
      </c>
      <c r="O28" s="76">
        <f t="array" ref="O28">IFERROR(OFFSET($BZ$11,ROW($B28)-11,MATCH(O$10,$CA28:$FV28,0),),"")</f>
        <v/>
      </c>
      <c r="P28" s="76">
        <f>IF(O28="","",IF(VLOOKUP($B28,INDIRECT("'GRD-"&amp;Q28&amp;"'!$B:$R"),16,FALSE)="","",VLOOKUP($B28,INDIRECT("'GRD-"&amp;Q28&amp;"'!$B:$R"),16,FALSE)))</f>
        <v/>
      </c>
      <c r="Q28" s="132">
        <f t="array" ref="Q28">IF(O28="","",IFERROR(OFFSET($BZ$11,0,MATCH($O28,$CA28:$FV28,0),),""))</f>
        <v/>
      </c>
      <c r="R28" s="121">
        <f t="array" ref="R28">IF(O28="","",INDIRECT("'GRD-"&amp;Q28&amp;"'!$L$7"))</f>
        <v/>
      </c>
      <c r="S28" s="83">
        <f t="array" ref="S28">IFERROR(OFFSET($BZ$11,ROW($B28)-11,MATCH(S$10,$CA28:$FV28,0),),"")</f>
        <v/>
      </c>
      <c r="T28" s="83">
        <f>IF(S28="","",IF(VLOOKUP($B28,INDIRECT("'GRD-"&amp;U28&amp;"'!$B:$R"),16,FALSE)="","",VLOOKUP($B28,INDIRECT("'GRD-"&amp;U28&amp;"'!$B:$R"),16,FALSE)))</f>
        <v/>
      </c>
      <c r="U28" s="128">
        <f t="array" ref="U28">IF(S28="","",IFERROR(OFFSET($BZ$11,0,MATCH($S28,$CA28:$FV28,0),),""))</f>
        <v/>
      </c>
      <c r="V28" s="133">
        <f t="array" ref="V28">IF(S28="","",INDIRECT("'GRD-"&amp;U28&amp;"'!$L$7"))</f>
        <v/>
      </c>
      <c r="W28" s="84">
        <f t="array" ref="W28">IFERROR(OFFSET($BZ$11,ROW($B28)-11,MATCH(W$10,$CA28:$FV28,0),),"")</f>
        <v/>
      </c>
      <c r="X28" s="84">
        <f>IF(W28="","",IF(VLOOKUP($B28,INDIRECT("'GRD-"&amp;Y28&amp;"'!$B:$R"),16,FALSE)="","",VLOOKUP($B28,INDIRECT("'GRD-"&amp;Y28&amp;"'!$B:$R"),16,FALSE)))</f>
        <v/>
      </c>
      <c r="Y28" s="129">
        <f t="array" ref="Y28">IF(W28="","",IFERROR(OFFSET($BZ$11,0,MATCH($W28,$CA28:$FV28,0),),""))</f>
        <v/>
      </c>
      <c r="Z28" s="134">
        <f t="array" ref="Z28">IF(W28="","",INDIRECT("'GRD-"&amp;Y28&amp;"'!$L$7"))</f>
        <v/>
      </c>
      <c r="AA28" s="85">
        <f t="array" ref="AA28">IFERROR(OFFSET($BZ$11,ROW($B28)-11,MATCH(AA$10,$CA28:$FV28,0),),"")</f>
        <v/>
      </c>
      <c r="AB28" s="85">
        <f>IF(AA28="","",IF(VLOOKUP($B28,INDIRECT("'GRD-"&amp;AC28&amp;"'!$B:$R"),16,FALSE)="","",VLOOKUP($B28,INDIRECT("'GRD-"&amp;AC28&amp;"'!$B:$R"),16,FALSE)))</f>
        <v/>
      </c>
      <c r="AC28" s="130">
        <f t="array" ref="AC28">IF(AA28="","",IFERROR(OFFSET($BZ$11,0,MATCH($AA28,$CA28:$FV28,0),),""))</f>
        <v/>
      </c>
      <c r="AD28" s="131">
        <f t="array" ref="AD28">IF(AA28="","",INDIRECT("'GRD-"&amp;AC28&amp;"'!$L$7"))</f>
        <v/>
      </c>
      <c r="AE28" s="76">
        <f t="array" ref="AE28">IFERROR(OFFSET($BZ$11,ROW($B28)-11,MATCH(AE$10,$CA28:$FV28,0),),"")</f>
        <v/>
      </c>
      <c r="AF28" s="76">
        <f>IF(AE28="","",IF(VLOOKUP($B28,INDIRECT("'GRD-"&amp;AG28&amp;"'!$B:$R"),16,FALSE)="","",VLOOKUP($B28,INDIRECT("'GRD-"&amp;AG28&amp;"'!$B:$R"),16,FALSE)))</f>
        <v/>
      </c>
      <c r="AG28" s="132">
        <f t="array" ref="AG28">IF(AE28="","",IFERROR(OFFSET($BZ$11,0,MATCH($AE28,$CA28:$FV28,0),),""))</f>
        <v/>
      </c>
      <c r="AH28" s="121">
        <f t="array" ref="AH28">IF(AE28="","",INDIRECT("'GRD-"&amp;AG28&amp;"'!$L$7"))</f>
        <v/>
      </c>
      <c r="AI28" s="83">
        <f t="array" ref="AI28">IFERROR(OFFSET($BZ$11,ROW($B28)-11,MATCH(AI$10,$CA28:$FV28,0),),"")</f>
        <v/>
      </c>
      <c r="AJ28" s="83">
        <f>IF(AI28="","",IF(VLOOKUP($B28,INDIRECT("'GRD-"&amp;AK28&amp;"'!$B:$R"),16,FALSE)="","",VLOOKUP($B28,INDIRECT("'GRD-"&amp;AK28&amp;"'!$B:$R"),16,FALSE)))</f>
        <v/>
      </c>
      <c r="AK28" s="128">
        <f t="array" ref="AK28">IF(AI28="","",IFERROR(OFFSET($BZ$11,0,MATCH($AI28,$CA28:$FV28,0),),""))</f>
        <v/>
      </c>
      <c r="AL28" s="133">
        <f t="array" ref="AL28">IF(AI28="","",INDIRECT("'GRD-"&amp;AK28&amp;"'!$L$7"))</f>
        <v/>
      </c>
      <c r="AM28" s="84">
        <f t="array" ref="AM28">IFERROR(OFFSET($BZ$11,ROW($B28)-11,MATCH(AM$10,$CA28:$FV28,0),),"")</f>
        <v/>
      </c>
      <c r="AN28" s="84">
        <f>IF(AM28="","",IF(VLOOKUP($B28,INDIRECT("'GRD-"&amp;AO28&amp;"'!$B:$R"),16,FALSE)="","",VLOOKUP($B28,INDIRECT("'GRD-"&amp;AO28&amp;"'!$B:$R"),16,FALSE)))</f>
        <v/>
      </c>
      <c r="AO28" s="129">
        <f t="array" ref="AO28">IF(AM28="","",IFERROR(OFFSET($BZ$11,0,MATCH($AM28,$CA28:$FV28,0),),""))</f>
        <v/>
      </c>
      <c r="AP28" s="134">
        <f t="array" ref="AP28">IF(AM28="","",INDIRECT("'GRD-"&amp;AO28&amp;"'!$L$7"))</f>
        <v/>
      </c>
      <c r="AQ28" s="85">
        <f t="array" ref="AQ28">IFERROR(OFFSET($BZ$11,ROW($B28)-11,MATCH(AQ$10,$CA28:$FV28,0),),"")</f>
        <v/>
      </c>
      <c r="AR28" s="85">
        <f>IF(AQ28="","",IF(VLOOKUP($B28,INDIRECT("'GRD-"&amp;AS28&amp;"'!$B:$R"),16,FALSE)="","",VLOOKUP($B28,INDIRECT("'GRD-"&amp;AS28&amp;"'!$B:$R"),16,FALSE)))</f>
        <v/>
      </c>
      <c r="AS28" s="130">
        <f t="array" ref="AS28">IF(AQ28="","",IFERROR(OFFSET($BZ$11,0,MATCH($AQ28,$CA28:$FV28,0),),""))</f>
        <v/>
      </c>
      <c r="AT28" s="131">
        <f t="array" ref="AT28">IF(AQ28="","",INDIRECT("'GRD-"&amp;AS28&amp;"'!$L$7"))</f>
        <v/>
      </c>
      <c r="AU28" s="76">
        <f t="array" ref="AU28">IFERROR(OFFSET($BZ$11,ROW($B28)-11,MATCH(AU$10,$CA28:$FV28,0),),"")</f>
        <v/>
      </c>
      <c r="AV28" s="76">
        <f>IF(AU28="","",IF(VLOOKUP($B28,INDIRECT("'GRD-"&amp;AW28&amp;"'!$B:$R"),16,FALSE)="","",VLOOKUP($B28,INDIRECT("'GRD-"&amp;AW28&amp;"'!$B:$R"),16,FALSE)))</f>
        <v/>
      </c>
      <c r="AW28" s="132">
        <f t="array" ref="AW28">IF(AU28="","",IFERROR(OFFSET($BZ$11,0,MATCH($AU28,$CA28:$FV28,0),),""))</f>
        <v/>
      </c>
      <c r="AX28" s="121">
        <f t="array" ref="AX28">IF(AU28="","",INDIRECT("'GRD-"&amp;AW28&amp;"'!$L$7"))</f>
        <v/>
      </c>
      <c r="AY28" s="83">
        <f t="array" ref="AY28">IFERROR(OFFSET($BZ$11,ROW($B28)-11,MATCH(AY$10,$CA28:$FV28,0),),"")</f>
        <v/>
      </c>
      <c r="AZ28" s="83">
        <f>IF(AY28="","",IF(VLOOKUP($B28,INDIRECT("'GRD-"&amp;BA28&amp;"'!$B:$R"),16,FALSE)="","",VLOOKUP($B28,INDIRECT("'GRD-"&amp;BA28&amp;"'!$B:$R"),16,FALSE)))</f>
        <v/>
      </c>
      <c r="BA28" s="128">
        <f t="array" ref="BA28">IF(AY28="","",IFERROR(OFFSET($BZ$11,0,MATCH($AY28,$CA28:$FV28,0),),""))</f>
        <v/>
      </c>
      <c r="BB28" s="133">
        <f t="array" ref="BB28">IF(AY28="","",INDIRECT("'GRD-"&amp;BA28&amp;"'!$L$7"))</f>
        <v/>
      </c>
      <c r="BC28" s="84">
        <f t="array" ref="BC28">IFERROR(OFFSET($BZ$11,ROW($B28)-11,MATCH(BC$10,$CA28:$FV28,0),),"")</f>
        <v/>
      </c>
      <c r="BD28" s="84">
        <f>IF(BC28="","",IF(VLOOKUP($B28,INDIRECT("'GRD-"&amp;BE28&amp;"'!$B:$R"),16,FALSE)="","",VLOOKUP($B28,INDIRECT("'GRD-"&amp;BE28&amp;"'!$B:$R"),16,FALSE)))</f>
        <v/>
      </c>
      <c r="BE28" s="129">
        <f t="array" ref="BE28">IF(BC28="","",IFERROR(OFFSET($BZ$11,0,MATCH($BC28,$CA28:$FV28,0),),""))</f>
        <v/>
      </c>
      <c r="BF28" s="134">
        <f t="array" ref="BF28">IF(BC28="","",INDIRECT("'GRD-"&amp;BE28&amp;"'!$L$7"))</f>
        <v/>
      </c>
      <c r="CA28" s="96">
        <f>IFERROR(VLOOKUP($B28,INDIRECT("'GRD-"&amp;CA$11&amp;"'!B:R"),15,FALSE),"")</f>
        <v/>
      </c>
      <c r="CB28" s="96">
        <f>IFERROR(VLOOKUP($B28,INDIRECT("'GRD-"&amp;CB$11&amp;"'!B:R"),15,FALSE),"")</f>
        <v/>
      </c>
      <c r="CC28" s="96">
        <f>IFERROR(VLOOKUP($B28,INDIRECT("'GRD-"&amp;CC$11&amp;"'!B:R"),15,FALSE),"")</f>
        <v/>
      </c>
      <c r="CD28" s="96">
        <f>IFERROR(VLOOKUP($B28,INDIRECT("'GRD-"&amp;CD$11&amp;"'!B:R"),15,FALSE),"")</f>
        <v/>
      </c>
      <c r="CE28" s="96">
        <f>IFERROR(VLOOKUP($B28,INDIRECT("'GRD-"&amp;CE$11&amp;"'!B:R"),15,FALSE),"")</f>
        <v/>
      </c>
      <c r="CF28" s="96">
        <f>IFERROR(VLOOKUP($B28,INDIRECT("'GRD-"&amp;CF$11&amp;"'!B:R"),15,FALSE),"")</f>
        <v/>
      </c>
      <c r="CG28" s="96">
        <f>IFERROR(VLOOKUP($B28,INDIRECT("'GRD-"&amp;CG$11&amp;"'!B:R"),15,FALSE),"")</f>
        <v/>
      </c>
      <c r="CH28" s="96">
        <f>IFERROR(VLOOKUP($B28,INDIRECT("'GRD-"&amp;CH$11&amp;"'!B:R"),15,FALSE),"")</f>
        <v/>
      </c>
      <c r="CI28" s="96">
        <f>IFERROR(VLOOKUP($B28,INDIRECT("'GRD-"&amp;CI$11&amp;"'!B:R"),15,FALSE),"")</f>
        <v/>
      </c>
      <c r="CJ28" s="96">
        <f>IFERROR(VLOOKUP($B28,INDIRECT("'GRD-"&amp;CJ$11&amp;"'!B:R"),15,FALSE),"")</f>
        <v/>
      </c>
      <c r="CK28" s="96">
        <f>IFERROR(VLOOKUP($B28,INDIRECT("'GRD-"&amp;CK$11&amp;"'!B:R"),15,FALSE),"")</f>
        <v/>
      </c>
      <c r="CL28" s="96">
        <f>IFERROR(VLOOKUP($B28,INDIRECT("'GRD-"&amp;CL$11&amp;"'!B:R"),15,FALSE),"")</f>
        <v/>
      </c>
      <c r="CM28" s="96">
        <f>IFERROR(VLOOKUP($B28,INDIRECT("'GRD-"&amp;CM$11&amp;"'!B:R"),15,FALSE),"")</f>
        <v/>
      </c>
      <c r="CN28" s="96">
        <f>IFERROR(VLOOKUP($B28,INDIRECT("'GRD-"&amp;CN$11&amp;"'!B:R"),15,FALSE),"")</f>
        <v/>
      </c>
      <c r="CO28" s="96">
        <f>IFERROR(VLOOKUP($B28,INDIRECT("'GRD-"&amp;CO$11&amp;"'!B:R"),15,FALSE),"")</f>
        <v/>
      </c>
      <c r="CP28" s="96">
        <f>IFERROR(VLOOKUP($B28,INDIRECT("'GRD-"&amp;CP$11&amp;"'!B:R"),15,FALSE),"")</f>
        <v/>
      </c>
      <c r="CQ28" s="96">
        <f>IFERROR(VLOOKUP($B28,INDIRECT("'GRD-"&amp;CQ$11&amp;"'!B:R"),15,FALSE),"")</f>
        <v/>
      </c>
      <c r="CR28" s="96">
        <f>IFERROR(VLOOKUP($B28,INDIRECT("'GRD-"&amp;CR$11&amp;"'!B:R"),15,FALSE),"")</f>
        <v/>
      </c>
      <c r="CS28" s="96">
        <f>IFERROR(VLOOKUP($B28,INDIRECT("'GRD-"&amp;CS$11&amp;"'!B:R"),15,FALSE),"")</f>
        <v/>
      </c>
      <c r="CT28" s="96">
        <f>IFERROR(VLOOKUP($B28,INDIRECT("'GRD-"&amp;CT$11&amp;"'!B:R"),15,FALSE),"")</f>
        <v/>
      </c>
      <c r="CU28" s="96">
        <f>IFERROR(VLOOKUP($B28,INDIRECT("'GRD-"&amp;CU$11&amp;"'!B:R"),15,FALSE),"")</f>
        <v/>
      </c>
      <c r="CV28" s="96">
        <f>IFERROR(VLOOKUP($B28,INDIRECT("'GRD-"&amp;CV$11&amp;"'!B:R"),15,FALSE),"")</f>
        <v/>
      </c>
      <c r="CW28" s="96">
        <f>IFERROR(VLOOKUP($B28,INDIRECT("'GRD-"&amp;CW$11&amp;"'!B:R"),15,FALSE),"")</f>
        <v/>
      </c>
      <c r="CX28" s="96">
        <f>IFERROR(VLOOKUP($B28,INDIRECT("'GRD-"&amp;CX$11&amp;"'!B:R"),15,FALSE),"")</f>
        <v/>
      </c>
      <c r="CY28" s="96">
        <f>IFERROR(VLOOKUP($B28,INDIRECT("'GRD-"&amp;CY$11&amp;"'!B:R"),15,FALSE),"")</f>
        <v/>
      </c>
      <c r="CZ28" s="96">
        <f>IFERROR(VLOOKUP($B28,INDIRECT("'GRD-"&amp;CZ$11&amp;"'!B:R"),15,FALSE),"")</f>
        <v/>
      </c>
      <c r="DA28" s="96">
        <f>IFERROR(VLOOKUP($B28,INDIRECT("'GRD-"&amp;DA$11&amp;"'!B:R"),15,FALSE),"")</f>
        <v/>
      </c>
      <c r="DB28" s="96">
        <f>IFERROR(VLOOKUP($B28,INDIRECT("'GRD-"&amp;DB$11&amp;"'!B:R"),15,FALSE),"")</f>
        <v/>
      </c>
      <c r="DC28" s="96">
        <f>IFERROR(VLOOKUP($B28,INDIRECT("'GRD-"&amp;DC$11&amp;"'!B:R"),15,FALSE),"")</f>
        <v/>
      </c>
      <c r="DD28" s="96">
        <f>IFERROR(VLOOKUP($B28,INDIRECT("'GRD-"&amp;DD$11&amp;"'!B:R"),15,FALSE),"")</f>
        <v/>
      </c>
      <c r="DE28" s="96">
        <f>IFERROR(VLOOKUP($B28,INDIRECT("'GRD-"&amp;DE$11&amp;"'!B:R"),15,FALSE),"")</f>
        <v/>
      </c>
      <c r="DF28" s="96">
        <f>IFERROR(VLOOKUP($B28,INDIRECT("'GRD-"&amp;DF$11&amp;"'!B:R"),15,FALSE),"")</f>
        <v/>
      </c>
      <c r="DG28" s="96">
        <f>IFERROR(VLOOKUP($B28,INDIRECT("'GRD-"&amp;DG$11&amp;"'!B:R"),15,FALSE),"")</f>
        <v/>
      </c>
      <c r="DH28" s="96">
        <f>IFERROR(VLOOKUP($B28,INDIRECT("'GRD-"&amp;DH$11&amp;"'!B:R"),15,FALSE),"")</f>
        <v/>
      </c>
      <c r="DI28" s="96">
        <f>IFERROR(VLOOKUP($B28,INDIRECT("'GRD-"&amp;DI$11&amp;"'!B:R"),15,FALSE),"")</f>
        <v/>
      </c>
      <c r="DJ28" s="96">
        <f>IFERROR(VLOOKUP($B28,INDIRECT("'GRD-"&amp;DJ$11&amp;"'!B:R"),15,FALSE),"")</f>
        <v/>
      </c>
      <c r="DK28" s="96">
        <f>IFERROR(VLOOKUP($B28,INDIRECT("'GRD-"&amp;DK$11&amp;"'!B:R"),15,FALSE),"")</f>
        <v/>
      </c>
      <c r="DL28" s="96">
        <f>IFERROR(VLOOKUP($B28,INDIRECT("'GRD-"&amp;DL$11&amp;"'!B:R"),15,FALSE),"")</f>
        <v/>
      </c>
      <c r="DM28" s="96">
        <f>IFERROR(VLOOKUP($B28,INDIRECT("'GRD-"&amp;DM$11&amp;"'!B:R"),15,FALSE),"")</f>
        <v/>
      </c>
      <c r="DN28" s="96">
        <f>IFERROR(VLOOKUP($B28,INDIRECT("'GRD-"&amp;DN$11&amp;"'!B:R"),15,FALSE),"")</f>
        <v/>
      </c>
      <c r="DO28" s="96">
        <f>IFERROR(VLOOKUP($B28,INDIRECT("'GRD-"&amp;DO$11&amp;"'!B:R"),15,FALSE),"")</f>
        <v/>
      </c>
      <c r="DP28" s="96">
        <f>IFERROR(VLOOKUP($B28,INDIRECT("'GRD-"&amp;DP$11&amp;"'!B:R"),15,FALSE),"")</f>
        <v/>
      </c>
      <c r="DQ28" s="96">
        <f>IFERROR(VLOOKUP($B28,INDIRECT("'GRD-"&amp;DQ$11&amp;"'!B:R"),15,FALSE),"")</f>
        <v/>
      </c>
      <c r="DR28" s="96">
        <f>IFERROR(VLOOKUP($B28,INDIRECT("'GRD-"&amp;DR$11&amp;"'!B:R"),15,FALSE),"")</f>
        <v/>
      </c>
      <c r="DS28" s="96">
        <f>IFERROR(VLOOKUP($B28,INDIRECT("'GRD-"&amp;DS$11&amp;"'!B:R"),15,FALSE),"")</f>
        <v/>
      </c>
      <c r="DT28" s="96">
        <f>IFERROR(VLOOKUP($B28,INDIRECT("'GRD-"&amp;DT$11&amp;"'!B:R"),15,FALSE),"")</f>
        <v/>
      </c>
      <c r="DU28" s="96">
        <f>IFERROR(VLOOKUP($B28,INDIRECT("'GRD-"&amp;DU$11&amp;"'!B:R"),15,FALSE),"")</f>
        <v/>
      </c>
      <c r="DV28" s="96">
        <f>IFERROR(VLOOKUP($B28,INDIRECT("'GRD-"&amp;DV$11&amp;"'!B:R"),15,FALSE),"")</f>
        <v/>
      </c>
      <c r="DW28" s="96">
        <f>IFERROR(VLOOKUP($B28,INDIRECT("'GRD-"&amp;DW$11&amp;"'!B:R"),15,FALSE),"")</f>
        <v/>
      </c>
      <c r="DX28" s="96">
        <f>IFERROR(VLOOKUP($B28,INDIRECT("'GRD-"&amp;DX$11&amp;"'!B:R"),15,FALSE),"")</f>
        <v/>
      </c>
      <c r="DY28" s="96">
        <f>IFERROR(VLOOKUP($B28,INDIRECT("'GRD-"&amp;DY$11&amp;"'!B:R"),15,FALSE),"")</f>
        <v/>
      </c>
      <c r="DZ28" s="96">
        <f>IFERROR(VLOOKUP($B28,INDIRECT("'GRD-"&amp;DZ$11&amp;"'!B:R"),15,FALSE),"")</f>
        <v/>
      </c>
      <c r="EA28" s="96">
        <f>IFERROR(VLOOKUP($B28,INDIRECT("'GRD-"&amp;EA$11&amp;"'!B:R"),15,FALSE),"")</f>
        <v/>
      </c>
      <c r="EB28" s="96">
        <f>IFERROR(VLOOKUP($B28,INDIRECT("'GRD-"&amp;EB$11&amp;"'!B:R"),15,FALSE),"")</f>
        <v/>
      </c>
      <c r="EC28" s="96">
        <f>IFERROR(VLOOKUP($B28,INDIRECT("'GRD-"&amp;EC$11&amp;"'!B:R"),15,FALSE),"")</f>
        <v/>
      </c>
      <c r="ED28" s="96">
        <f>IFERROR(VLOOKUP($B28,INDIRECT("'GRD-"&amp;ED$11&amp;"'!B:R"),15,FALSE),"")</f>
        <v/>
      </c>
      <c r="EE28" s="96">
        <f>IFERROR(VLOOKUP($B28,INDIRECT("'GRD-"&amp;EE$11&amp;"'!B:R"),15,FALSE),"")</f>
        <v/>
      </c>
      <c r="EF28" s="96">
        <f>IFERROR(VLOOKUP($B28,INDIRECT("'GRD-"&amp;EF$11&amp;"'!B:R"),15,FALSE),"")</f>
        <v/>
      </c>
      <c r="EG28" s="96">
        <f>IFERROR(VLOOKUP($B28,INDIRECT("'GRD-"&amp;EG$11&amp;"'!B:R"),15,FALSE),"")</f>
        <v/>
      </c>
      <c r="EH28" s="96">
        <f>IFERROR(VLOOKUP($B28,INDIRECT("'GRD-"&amp;EH$11&amp;"'!B:R"),15,FALSE),"")</f>
        <v/>
      </c>
      <c r="EI28" s="96">
        <f>IFERROR(VLOOKUP($B28,INDIRECT("'GRD-"&amp;EI$11&amp;"'!B:R"),15,FALSE),"")</f>
        <v/>
      </c>
      <c r="EJ28" s="96">
        <f>IFERROR(VLOOKUP($B28,INDIRECT("'GRD-"&amp;EJ$11&amp;"'!B:R"),15,FALSE),"")</f>
        <v/>
      </c>
      <c r="EK28" s="96">
        <f>IFERROR(VLOOKUP($B28,INDIRECT("'GRD-"&amp;EK$11&amp;"'!B:R"),15,FALSE),"")</f>
        <v/>
      </c>
      <c r="EL28" s="96">
        <f>IFERROR(VLOOKUP($B28,INDIRECT("'GRD-"&amp;EL$11&amp;"'!B:R"),15,FALSE),"")</f>
        <v/>
      </c>
      <c r="EM28" s="96">
        <f>IFERROR(VLOOKUP($B28,INDIRECT("'GRD-"&amp;EM$11&amp;"'!B:R"),15,FALSE),"")</f>
        <v/>
      </c>
      <c r="EN28" s="96">
        <f>IFERROR(VLOOKUP($B28,INDIRECT("'GRD-"&amp;EN$11&amp;"'!B:R"),15,FALSE),"")</f>
        <v/>
      </c>
      <c r="EO28" s="96">
        <f>IFERROR(VLOOKUP($B28,INDIRECT("'GRD-"&amp;EO$11&amp;"'!B:R"),15,FALSE),"")</f>
        <v/>
      </c>
      <c r="EP28" s="96">
        <f>IFERROR(VLOOKUP($B28,INDIRECT("'GRD-"&amp;EP$11&amp;"'!B:R"),15,FALSE),"")</f>
        <v/>
      </c>
      <c r="EQ28" s="96">
        <f>IFERROR(VLOOKUP($B28,INDIRECT("'GRD-"&amp;EQ$11&amp;"'!B:R"),15,FALSE),"")</f>
        <v/>
      </c>
      <c r="ER28" s="96">
        <f>IFERROR(VLOOKUP($B28,INDIRECT("'GRD-"&amp;ER$11&amp;"'!B:R"),15,FALSE),"")</f>
        <v/>
      </c>
      <c r="ES28" s="96">
        <f>IFERROR(VLOOKUP($B28,INDIRECT("'GRD-"&amp;ES$11&amp;"'!B:R"),15,FALSE),"")</f>
        <v/>
      </c>
      <c r="ET28" s="96">
        <f>IFERROR(VLOOKUP($B28,INDIRECT("'GRD-"&amp;ET$11&amp;"'!B:R"),15,FALSE),"")</f>
        <v/>
      </c>
      <c r="EU28" s="96">
        <f>IFERROR(VLOOKUP($B28,INDIRECT("'GRD-"&amp;EU$11&amp;"'!B:R"),15,FALSE),"")</f>
        <v/>
      </c>
      <c r="EV28" s="96">
        <f>IFERROR(VLOOKUP($B28,INDIRECT("'GRD-"&amp;EV$11&amp;"'!B:R"),15,FALSE),"")</f>
        <v/>
      </c>
      <c r="EW28" s="96">
        <f>IFERROR(VLOOKUP($B28,INDIRECT("'GRD-"&amp;EW$11&amp;"'!B:R"),15,FALSE),"")</f>
        <v/>
      </c>
      <c r="EX28" s="96">
        <f>IFERROR(VLOOKUP($B28,INDIRECT("'GRD-"&amp;EX$11&amp;"'!B:R"),15,FALSE),"")</f>
        <v/>
      </c>
      <c r="EY28" s="96">
        <f>IFERROR(VLOOKUP($B28,INDIRECT("'GRD-"&amp;EY$11&amp;"'!B:R"),15,FALSE),"")</f>
        <v/>
      </c>
      <c r="EZ28" s="96">
        <f>IFERROR(VLOOKUP($B28,INDIRECT("'GRD-"&amp;EZ$11&amp;"'!B:R"),15,FALSE),"")</f>
        <v/>
      </c>
      <c r="FA28" s="96">
        <f>IFERROR(VLOOKUP($B28,INDIRECT("'GRD-"&amp;FA$11&amp;"'!B:R"),15,FALSE),"")</f>
        <v/>
      </c>
      <c r="FB28" s="96">
        <f>IFERROR(VLOOKUP($B28,INDIRECT("'GRD-"&amp;FB$11&amp;"'!B:R"),15,FALSE),"")</f>
        <v/>
      </c>
      <c r="FC28" s="96">
        <f>IFERROR(VLOOKUP($B28,INDIRECT("'GRD-"&amp;FC$11&amp;"'!B:R"),15,FALSE),"")</f>
        <v/>
      </c>
      <c r="FD28" s="96">
        <f>IFERROR(VLOOKUP($B28,INDIRECT("'GRD-"&amp;FD$11&amp;"'!B:R"),15,FALSE),"")</f>
        <v/>
      </c>
      <c r="FE28" s="96">
        <f>IFERROR(VLOOKUP($B28,INDIRECT("'GRD-"&amp;FE$11&amp;"'!B:R"),15,FALSE),"")</f>
        <v/>
      </c>
      <c r="FF28" s="96">
        <f>IFERROR(VLOOKUP($B28,INDIRECT("'GRD-"&amp;FF$11&amp;"'!B:R"),15,FALSE),"")</f>
        <v/>
      </c>
      <c r="FG28" s="96">
        <f>IFERROR(VLOOKUP($B28,INDIRECT("'GRD-"&amp;FG$11&amp;"'!B:R"),15,FALSE),"")</f>
        <v/>
      </c>
      <c r="FH28" s="96">
        <f>IFERROR(VLOOKUP($B28,INDIRECT("'GRD-"&amp;FH$11&amp;"'!B:R"),15,FALSE),"")</f>
        <v/>
      </c>
      <c r="FI28" s="96">
        <f>IFERROR(VLOOKUP($B28,INDIRECT("'GRD-"&amp;FI$11&amp;"'!B:R"),15,FALSE),"")</f>
        <v/>
      </c>
      <c r="FJ28" s="96">
        <f>IFERROR(VLOOKUP($B28,INDIRECT("'GRD-"&amp;FJ$11&amp;"'!B:R"),15,FALSE),"")</f>
        <v/>
      </c>
      <c r="FK28" s="96">
        <f>IFERROR(VLOOKUP($B28,INDIRECT("'GRD-"&amp;FK$11&amp;"'!B:R"),15,FALSE),"")</f>
        <v/>
      </c>
      <c r="FL28" s="96">
        <f>IFERROR(VLOOKUP($B28,INDIRECT("'GRD-"&amp;FL$11&amp;"'!B:R"),15,FALSE),"")</f>
        <v/>
      </c>
      <c r="FM28" s="96">
        <f>IFERROR(VLOOKUP($B28,INDIRECT("'GRD-"&amp;FM$11&amp;"'!B:R"),15,FALSE),"")</f>
        <v/>
      </c>
      <c r="FN28" s="96">
        <f>IFERROR(VLOOKUP($B28,INDIRECT("'GRD-"&amp;FN$11&amp;"'!B:R"),15,FALSE),"")</f>
        <v/>
      </c>
      <c r="FO28" s="96">
        <f>IFERROR(VLOOKUP($B28,INDIRECT("'GRD-"&amp;FO$11&amp;"'!B:R"),15,FALSE),"")</f>
        <v/>
      </c>
      <c r="FP28" s="96">
        <f>IFERROR(VLOOKUP($B28,INDIRECT("'GRD-"&amp;FP$11&amp;"'!B:R"),15,FALSE),"")</f>
        <v/>
      </c>
      <c r="FQ28" s="96">
        <f>IFERROR(VLOOKUP($B28,INDIRECT("'GRD-"&amp;FQ$11&amp;"'!B:R"),15,FALSE),"")</f>
        <v/>
      </c>
      <c r="FR28" s="96">
        <f>IFERROR(VLOOKUP($B28,INDIRECT("'GRD-"&amp;FR$11&amp;"'!B:R"),15,FALSE),"")</f>
        <v/>
      </c>
      <c r="FS28" s="96">
        <f>IFERROR(VLOOKUP($B28,INDIRECT("'GRD-"&amp;FS$11&amp;"'!B:R"),15,FALSE),"")</f>
        <v/>
      </c>
      <c r="FT28" s="96">
        <f>IFERROR(VLOOKUP($B28,INDIRECT("'GRD-"&amp;FT$11&amp;"'!B:R"),15,FALSE),"")</f>
        <v/>
      </c>
      <c r="FU28" s="96">
        <f>IFERROR(VLOOKUP($B28,INDIRECT("'GRD-"&amp;FU$11&amp;"'!B:R"),15,FALSE),"")</f>
        <v/>
      </c>
      <c r="FV28" s="96">
        <f>IFERROR(VLOOKUP($B28,INDIRECT("'GRD-"&amp;FV$11&amp;"'!B:R"),15,FALSE),"")</f>
        <v/>
      </c>
    </row>
    <row r="29">
      <c r="B29" s="68" t="n"/>
      <c r="C29" s="72" t="n"/>
      <c r="D29" s="73">
        <f>IF(K29="","",MAX($CA29:$FV29))</f>
        <v/>
      </c>
      <c r="E29" s="74">
        <f t="array" ref="E29">IF($K29="","",OFFSET($A$1,ROW($B29)-1,11+$D29*4,))</f>
        <v/>
      </c>
      <c r="F29" s="74">
        <f t="array" ref="F29">IF($K29="","",OFFSET($A$1,ROW($B29)-1,12+$D29*4,))</f>
        <v/>
      </c>
      <c r="G29" s="118">
        <f t="array" ref="G29">IF($K29="","",OFFSET($A$1,ROW($B29)-1,13+$D29*4,))</f>
        <v/>
      </c>
      <c r="H29" s="81" t="n"/>
      <c r="I29" s="82" t="n"/>
      <c r="J29" s="75">
        <f>IF(I29="A4",H29/8,IF(I29="A3",H29/4,IF(I29="A2",H29/2,IF(I29="A1",H29/1,IF(I29="A0",H29*2,"")))))</f>
        <v/>
      </c>
      <c r="K29" s="68">
        <f t="array" ref="K29">IFERROR(OFFSET($BZ$11,ROW($B29)-11,MATCH(K$10,$CA29:$FV29,0),),"")</f>
        <v/>
      </c>
      <c r="L29" s="85">
        <f>IF(K29="","",IF(VLOOKUP($B29,INDIRECT("'GRD-"&amp;M29&amp;"'!$B:$R"),16,FALSE)="","",VLOOKUP($B29,INDIRECT("'GRD-"&amp;M29&amp;"'!$B:$R"),16,FALSE)))</f>
        <v/>
      </c>
      <c r="M29" s="130">
        <f t="array" ref="M29">IF(K29="","",IFERROR(OFFSET($BZ$11,0,MATCH($K29,$CA29:$FV29,0),),""))</f>
        <v/>
      </c>
      <c r="N29" s="119">
        <f t="array" ref="N29">IF(K29="","",INDIRECT("'GRD-"&amp;M29&amp;"'!$L$7"))</f>
        <v/>
      </c>
      <c r="O29" s="76">
        <f t="array" ref="O29">IFERROR(OFFSET($BZ$11,ROW($B29)-11,MATCH(O$10,$CA29:$FV29,0),),"")</f>
        <v/>
      </c>
      <c r="P29" s="76">
        <f>IF(O29="","",IF(VLOOKUP($B29,INDIRECT("'GRD-"&amp;Q29&amp;"'!$B:$R"),16,FALSE)="","",VLOOKUP($B29,INDIRECT("'GRD-"&amp;Q29&amp;"'!$B:$R"),16,FALSE)))</f>
        <v/>
      </c>
      <c r="Q29" s="132">
        <f t="array" ref="Q29">IF(O29="","",IFERROR(OFFSET($BZ$11,0,MATCH($O29,$CA29:$FV29,0),),""))</f>
        <v/>
      </c>
      <c r="R29" s="121">
        <f t="array" ref="R29">IF(O29="","",INDIRECT("'GRD-"&amp;Q29&amp;"'!$L$7"))</f>
        <v/>
      </c>
      <c r="S29" s="83">
        <f t="array" ref="S29">IFERROR(OFFSET($BZ$11,ROW($B29)-11,MATCH(S$10,$CA29:$FV29,0),),"")</f>
        <v/>
      </c>
      <c r="T29" s="83">
        <f>IF(S29="","",IF(VLOOKUP($B29,INDIRECT("'GRD-"&amp;U29&amp;"'!$B:$R"),16,FALSE)="","",VLOOKUP($B29,INDIRECT("'GRD-"&amp;U29&amp;"'!$B:$R"),16,FALSE)))</f>
        <v/>
      </c>
      <c r="U29" s="128">
        <f t="array" ref="U29">IF(S29="","",IFERROR(OFFSET($BZ$11,0,MATCH($S29,$CA29:$FV29,0),),""))</f>
        <v/>
      </c>
      <c r="V29" s="133">
        <f t="array" ref="V29">IF(S29="","",INDIRECT("'GRD-"&amp;U29&amp;"'!$L$7"))</f>
        <v/>
      </c>
      <c r="W29" s="84">
        <f t="array" ref="W29">IFERROR(OFFSET($BZ$11,ROW($B29)-11,MATCH(W$10,$CA29:$FV29,0),),"")</f>
        <v/>
      </c>
      <c r="X29" s="84">
        <f>IF(W29="","",IF(VLOOKUP($B29,INDIRECT("'GRD-"&amp;Y29&amp;"'!$B:$R"),16,FALSE)="","",VLOOKUP($B29,INDIRECT("'GRD-"&amp;Y29&amp;"'!$B:$R"),16,FALSE)))</f>
        <v/>
      </c>
      <c r="Y29" s="129">
        <f t="array" ref="Y29">IF(W29="","",IFERROR(OFFSET($BZ$11,0,MATCH($W29,$CA29:$FV29,0),),""))</f>
        <v/>
      </c>
      <c r="Z29" s="134">
        <f t="array" ref="Z29">IF(W29="","",INDIRECT("'GRD-"&amp;Y29&amp;"'!$L$7"))</f>
        <v/>
      </c>
      <c r="AA29" s="85">
        <f t="array" ref="AA29">IFERROR(OFFSET($BZ$11,ROW($B29)-11,MATCH(AA$10,$CA29:$FV29,0),),"")</f>
        <v/>
      </c>
      <c r="AB29" s="85">
        <f>IF(AA29="","",IF(VLOOKUP($B29,INDIRECT("'GRD-"&amp;AC29&amp;"'!$B:$R"),16,FALSE)="","",VLOOKUP($B29,INDIRECT("'GRD-"&amp;AC29&amp;"'!$B:$R"),16,FALSE)))</f>
        <v/>
      </c>
      <c r="AC29" s="130">
        <f t="array" ref="AC29">IF(AA29="","",IFERROR(OFFSET($BZ$11,0,MATCH($AA29,$CA29:$FV29,0),),""))</f>
        <v/>
      </c>
      <c r="AD29" s="131">
        <f t="array" ref="AD29">IF(AA29="","",INDIRECT("'GRD-"&amp;AC29&amp;"'!$L$7"))</f>
        <v/>
      </c>
      <c r="AE29" s="76">
        <f t="array" ref="AE29">IFERROR(OFFSET($BZ$11,ROW($B29)-11,MATCH(AE$10,$CA29:$FV29,0),),"")</f>
        <v/>
      </c>
      <c r="AF29" s="76">
        <f>IF(AE29="","",IF(VLOOKUP($B29,INDIRECT("'GRD-"&amp;AG29&amp;"'!$B:$R"),16,FALSE)="","",VLOOKUP($B29,INDIRECT("'GRD-"&amp;AG29&amp;"'!$B:$R"),16,FALSE)))</f>
        <v/>
      </c>
      <c r="AG29" s="132">
        <f t="array" ref="AG29">IF(AE29="","",IFERROR(OFFSET($BZ$11,0,MATCH($AE29,$CA29:$FV29,0),),""))</f>
        <v/>
      </c>
      <c r="AH29" s="121">
        <f t="array" ref="AH29">IF(AE29="","",INDIRECT("'GRD-"&amp;AG29&amp;"'!$L$7"))</f>
        <v/>
      </c>
      <c r="AI29" s="83">
        <f t="array" ref="AI29">IFERROR(OFFSET($BZ$11,ROW($B29)-11,MATCH(AI$10,$CA29:$FV29,0),),"")</f>
        <v/>
      </c>
      <c r="AJ29" s="83">
        <f>IF(AI29="","",IF(VLOOKUP($B29,INDIRECT("'GRD-"&amp;AK29&amp;"'!$B:$R"),16,FALSE)="","",VLOOKUP($B29,INDIRECT("'GRD-"&amp;AK29&amp;"'!$B:$R"),16,FALSE)))</f>
        <v/>
      </c>
      <c r="AK29" s="128">
        <f t="array" ref="AK29">IF(AI29="","",IFERROR(OFFSET($BZ$11,0,MATCH($AI29,$CA29:$FV29,0),),""))</f>
        <v/>
      </c>
      <c r="AL29" s="133">
        <f t="array" ref="AL29">IF(AI29="","",INDIRECT("'GRD-"&amp;AK29&amp;"'!$L$7"))</f>
        <v/>
      </c>
      <c r="AM29" s="84">
        <f t="array" ref="AM29">IFERROR(OFFSET($BZ$11,ROW($B29)-11,MATCH(AM$10,$CA29:$FV29,0),),"")</f>
        <v/>
      </c>
      <c r="AN29" s="84">
        <f>IF(AM29="","",IF(VLOOKUP($B29,INDIRECT("'GRD-"&amp;AO29&amp;"'!$B:$R"),16,FALSE)="","",VLOOKUP($B29,INDIRECT("'GRD-"&amp;AO29&amp;"'!$B:$R"),16,FALSE)))</f>
        <v/>
      </c>
      <c r="AO29" s="129">
        <f t="array" ref="AO29">IF(AM29="","",IFERROR(OFFSET($BZ$11,0,MATCH($AM29,$CA29:$FV29,0),),""))</f>
        <v/>
      </c>
      <c r="AP29" s="134">
        <f t="array" ref="AP29">IF(AM29="","",INDIRECT("'GRD-"&amp;AO29&amp;"'!$L$7"))</f>
        <v/>
      </c>
      <c r="AQ29" s="85">
        <f t="array" ref="AQ29">IFERROR(OFFSET($BZ$11,ROW($B29)-11,MATCH(AQ$10,$CA29:$FV29,0),),"")</f>
        <v/>
      </c>
      <c r="AR29" s="85">
        <f>IF(AQ29="","",IF(VLOOKUP($B29,INDIRECT("'GRD-"&amp;AS29&amp;"'!$B:$R"),16,FALSE)="","",VLOOKUP($B29,INDIRECT("'GRD-"&amp;AS29&amp;"'!$B:$R"),16,FALSE)))</f>
        <v/>
      </c>
      <c r="AS29" s="130">
        <f t="array" ref="AS29">IF(AQ29="","",IFERROR(OFFSET($BZ$11,0,MATCH($AQ29,$CA29:$FV29,0),),""))</f>
        <v/>
      </c>
      <c r="AT29" s="131">
        <f t="array" ref="AT29">IF(AQ29="","",INDIRECT("'GRD-"&amp;AS29&amp;"'!$L$7"))</f>
        <v/>
      </c>
      <c r="AU29" s="76">
        <f t="array" ref="AU29">IFERROR(OFFSET($BZ$11,ROW($B29)-11,MATCH(AU$10,$CA29:$FV29,0),),"")</f>
        <v/>
      </c>
      <c r="AV29" s="76">
        <f>IF(AU29="","",IF(VLOOKUP($B29,INDIRECT("'GRD-"&amp;AW29&amp;"'!$B:$R"),16,FALSE)="","",VLOOKUP($B29,INDIRECT("'GRD-"&amp;AW29&amp;"'!$B:$R"),16,FALSE)))</f>
        <v/>
      </c>
      <c r="AW29" s="132">
        <f t="array" ref="AW29">IF(AU29="","",IFERROR(OFFSET($BZ$11,0,MATCH($AU29,$CA29:$FV29,0),),""))</f>
        <v/>
      </c>
      <c r="AX29" s="121">
        <f t="array" ref="AX29">IF(AU29="","",INDIRECT("'GRD-"&amp;AW29&amp;"'!$L$7"))</f>
        <v/>
      </c>
      <c r="AY29" s="83">
        <f t="array" ref="AY29">IFERROR(OFFSET($BZ$11,ROW($B29)-11,MATCH(AY$10,$CA29:$FV29,0),),"")</f>
        <v/>
      </c>
      <c r="AZ29" s="83">
        <f>IF(AY29="","",IF(VLOOKUP($B29,INDIRECT("'GRD-"&amp;BA29&amp;"'!$B:$R"),16,FALSE)="","",VLOOKUP($B29,INDIRECT("'GRD-"&amp;BA29&amp;"'!$B:$R"),16,FALSE)))</f>
        <v/>
      </c>
      <c r="BA29" s="128">
        <f t="array" ref="BA29">IF(AY29="","",IFERROR(OFFSET($BZ$11,0,MATCH($AY29,$CA29:$FV29,0),),""))</f>
        <v/>
      </c>
      <c r="BB29" s="133">
        <f t="array" ref="BB29">IF(AY29="","",INDIRECT("'GRD-"&amp;BA29&amp;"'!$L$7"))</f>
        <v/>
      </c>
      <c r="BC29" s="84">
        <f t="array" ref="BC29">IFERROR(OFFSET($BZ$11,ROW($B29)-11,MATCH(BC$10,$CA29:$FV29,0),),"")</f>
        <v/>
      </c>
      <c r="BD29" s="84">
        <f>IF(BC29="","",IF(VLOOKUP($B29,INDIRECT("'GRD-"&amp;BE29&amp;"'!$B:$R"),16,FALSE)="","",VLOOKUP($B29,INDIRECT("'GRD-"&amp;BE29&amp;"'!$B:$R"),16,FALSE)))</f>
        <v/>
      </c>
      <c r="BE29" s="129">
        <f t="array" ref="BE29">IF(BC29="","",IFERROR(OFFSET($BZ$11,0,MATCH($BC29,$CA29:$FV29,0),),""))</f>
        <v/>
      </c>
      <c r="BF29" s="134">
        <f t="array" ref="BF29">IF(BC29="","",INDIRECT("'GRD-"&amp;BE29&amp;"'!$L$7"))</f>
        <v/>
      </c>
      <c r="CA29" s="96">
        <f>IFERROR(VLOOKUP($B29,INDIRECT("'GRD-"&amp;CA$11&amp;"'!B:R"),15,FALSE),"")</f>
        <v/>
      </c>
      <c r="CB29" s="96">
        <f>IFERROR(VLOOKUP($B29,INDIRECT("'GRD-"&amp;CB$11&amp;"'!B:R"),15,FALSE),"")</f>
        <v/>
      </c>
      <c r="CC29" s="96">
        <f>IFERROR(VLOOKUP($B29,INDIRECT("'GRD-"&amp;CC$11&amp;"'!B:R"),15,FALSE),"")</f>
        <v/>
      </c>
      <c r="CD29" s="96">
        <f>IFERROR(VLOOKUP($B29,INDIRECT("'GRD-"&amp;CD$11&amp;"'!B:R"),15,FALSE),"")</f>
        <v/>
      </c>
      <c r="CE29" s="96">
        <f>IFERROR(VLOOKUP($B29,INDIRECT("'GRD-"&amp;CE$11&amp;"'!B:R"),15,FALSE),"")</f>
        <v/>
      </c>
      <c r="CF29" s="96">
        <f>IFERROR(VLOOKUP($B29,INDIRECT("'GRD-"&amp;CF$11&amp;"'!B:R"),15,FALSE),"")</f>
        <v/>
      </c>
      <c r="CG29" s="96">
        <f>IFERROR(VLOOKUP($B29,INDIRECT("'GRD-"&amp;CG$11&amp;"'!B:R"),15,FALSE),"")</f>
        <v/>
      </c>
      <c r="CH29" s="96">
        <f>IFERROR(VLOOKUP($B29,INDIRECT("'GRD-"&amp;CH$11&amp;"'!B:R"),15,FALSE),"")</f>
        <v/>
      </c>
      <c r="CI29" s="96">
        <f>IFERROR(VLOOKUP($B29,INDIRECT("'GRD-"&amp;CI$11&amp;"'!B:R"),15,FALSE),"")</f>
        <v/>
      </c>
      <c r="CJ29" s="96">
        <f>IFERROR(VLOOKUP($B29,INDIRECT("'GRD-"&amp;CJ$11&amp;"'!B:R"),15,FALSE),"")</f>
        <v/>
      </c>
      <c r="CK29" s="96">
        <f>IFERROR(VLOOKUP($B29,INDIRECT("'GRD-"&amp;CK$11&amp;"'!B:R"),15,FALSE),"")</f>
        <v/>
      </c>
      <c r="CL29" s="96">
        <f>IFERROR(VLOOKUP($B29,INDIRECT("'GRD-"&amp;CL$11&amp;"'!B:R"),15,FALSE),"")</f>
        <v/>
      </c>
      <c r="CM29" s="96">
        <f>IFERROR(VLOOKUP($B29,INDIRECT("'GRD-"&amp;CM$11&amp;"'!B:R"),15,FALSE),"")</f>
        <v/>
      </c>
      <c r="CN29" s="96">
        <f>IFERROR(VLOOKUP($B29,INDIRECT("'GRD-"&amp;CN$11&amp;"'!B:R"),15,FALSE),"")</f>
        <v/>
      </c>
      <c r="CO29" s="96">
        <f>IFERROR(VLOOKUP($B29,INDIRECT("'GRD-"&amp;CO$11&amp;"'!B:R"),15,FALSE),"")</f>
        <v/>
      </c>
      <c r="CP29" s="96">
        <f>IFERROR(VLOOKUP($B29,INDIRECT("'GRD-"&amp;CP$11&amp;"'!B:R"),15,FALSE),"")</f>
        <v/>
      </c>
      <c r="CQ29" s="96">
        <f>IFERROR(VLOOKUP($B29,INDIRECT("'GRD-"&amp;CQ$11&amp;"'!B:R"),15,FALSE),"")</f>
        <v/>
      </c>
      <c r="CR29" s="96">
        <f>IFERROR(VLOOKUP($B29,INDIRECT("'GRD-"&amp;CR$11&amp;"'!B:R"),15,FALSE),"")</f>
        <v/>
      </c>
      <c r="CS29" s="96">
        <f>IFERROR(VLOOKUP($B29,INDIRECT("'GRD-"&amp;CS$11&amp;"'!B:R"),15,FALSE),"")</f>
        <v/>
      </c>
      <c r="CT29" s="96">
        <f>IFERROR(VLOOKUP($B29,INDIRECT("'GRD-"&amp;CT$11&amp;"'!B:R"),15,FALSE),"")</f>
        <v/>
      </c>
      <c r="CU29" s="96">
        <f>IFERROR(VLOOKUP($B29,INDIRECT("'GRD-"&amp;CU$11&amp;"'!B:R"),15,FALSE),"")</f>
        <v/>
      </c>
      <c r="CV29" s="96">
        <f>IFERROR(VLOOKUP($B29,INDIRECT("'GRD-"&amp;CV$11&amp;"'!B:R"),15,FALSE),"")</f>
        <v/>
      </c>
      <c r="CW29" s="96">
        <f>IFERROR(VLOOKUP($B29,INDIRECT("'GRD-"&amp;CW$11&amp;"'!B:R"),15,FALSE),"")</f>
        <v/>
      </c>
      <c r="CX29" s="96">
        <f>IFERROR(VLOOKUP($B29,INDIRECT("'GRD-"&amp;CX$11&amp;"'!B:R"),15,FALSE),"")</f>
        <v/>
      </c>
      <c r="CY29" s="96">
        <f>IFERROR(VLOOKUP($B29,INDIRECT("'GRD-"&amp;CY$11&amp;"'!B:R"),15,FALSE),"")</f>
        <v/>
      </c>
      <c r="CZ29" s="96">
        <f>IFERROR(VLOOKUP($B29,INDIRECT("'GRD-"&amp;CZ$11&amp;"'!B:R"),15,FALSE),"")</f>
        <v/>
      </c>
      <c r="DA29" s="96">
        <f>IFERROR(VLOOKUP($B29,INDIRECT("'GRD-"&amp;DA$11&amp;"'!B:R"),15,FALSE),"")</f>
        <v/>
      </c>
      <c r="DB29" s="96">
        <f>IFERROR(VLOOKUP($B29,INDIRECT("'GRD-"&amp;DB$11&amp;"'!B:R"),15,FALSE),"")</f>
        <v/>
      </c>
      <c r="DC29" s="96">
        <f>IFERROR(VLOOKUP($B29,INDIRECT("'GRD-"&amp;DC$11&amp;"'!B:R"),15,FALSE),"")</f>
        <v/>
      </c>
      <c r="DD29" s="96">
        <f>IFERROR(VLOOKUP($B29,INDIRECT("'GRD-"&amp;DD$11&amp;"'!B:R"),15,FALSE),"")</f>
        <v/>
      </c>
      <c r="DE29" s="96">
        <f>IFERROR(VLOOKUP($B29,INDIRECT("'GRD-"&amp;DE$11&amp;"'!B:R"),15,FALSE),"")</f>
        <v/>
      </c>
      <c r="DF29" s="96">
        <f>IFERROR(VLOOKUP($B29,INDIRECT("'GRD-"&amp;DF$11&amp;"'!B:R"),15,FALSE),"")</f>
        <v/>
      </c>
      <c r="DG29" s="96">
        <f>IFERROR(VLOOKUP($B29,INDIRECT("'GRD-"&amp;DG$11&amp;"'!B:R"),15,FALSE),"")</f>
        <v/>
      </c>
      <c r="DH29" s="96">
        <f>IFERROR(VLOOKUP($B29,INDIRECT("'GRD-"&amp;DH$11&amp;"'!B:R"),15,FALSE),"")</f>
        <v/>
      </c>
      <c r="DI29" s="96">
        <f>IFERROR(VLOOKUP($B29,INDIRECT("'GRD-"&amp;DI$11&amp;"'!B:R"),15,FALSE),"")</f>
        <v/>
      </c>
      <c r="DJ29" s="96">
        <f>IFERROR(VLOOKUP($B29,INDIRECT("'GRD-"&amp;DJ$11&amp;"'!B:R"),15,FALSE),"")</f>
        <v/>
      </c>
      <c r="DK29" s="96">
        <f>IFERROR(VLOOKUP($B29,INDIRECT("'GRD-"&amp;DK$11&amp;"'!B:R"),15,FALSE),"")</f>
        <v/>
      </c>
      <c r="DL29" s="96">
        <f>IFERROR(VLOOKUP($B29,INDIRECT("'GRD-"&amp;DL$11&amp;"'!B:R"),15,FALSE),"")</f>
        <v/>
      </c>
      <c r="DM29" s="96">
        <f>IFERROR(VLOOKUP($B29,INDIRECT("'GRD-"&amp;DM$11&amp;"'!B:R"),15,FALSE),"")</f>
        <v/>
      </c>
      <c r="DN29" s="96">
        <f>IFERROR(VLOOKUP($B29,INDIRECT("'GRD-"&amp;DN$11&amp;"'!B:R"),15,FALSE),"")</f>
        <v/>
      </c>
      <c r="DO29" s="96">
        <f>IFERROR(VLOOKUP($B29,INDIRECT("'GRD-"&amp;DO$11&amp;"'!B:R"),15,FALSE),"")</f>
        <v/>
      </c>
      <c r="DP29" s="96">
        <f>IFERROR(VLOOKUP($B29,INDIRECT("'GRD-"&amp;DP$11&amp;"'!B:R"),15,FALSE),"")</f>
        <v/>
      </c>
      <c r="DQ29" s="96">
        <f>IFERROR(VLOOKUP($B29,INDIRECT("'GRD-"&amp;DQ$11&amp;"'!B:R"),15,FALSE),"")</f>
        <v/>
      </c>
      <c r="DR29" s="96">
        <f>IFERROR(VLOOKUP($B29,INDIRECT("'GRD-"&amp;DR$11&amp;"'!B:R"),15,FALSE),"")</f>
        <v/>
      </c>
      <c r="DS29" s="96">
        <f>IFERROR(VLOOKUP($B29,INDIRECT("'GRD-"&amp;DS$11&amp;"'!B:R"),15,FALSE),"")</f>
        <v/>
      </c>
      <c r="DT29" s="96">
        <f>IFERROR(VLOOKUP($B29,INDIRECT("'GRD-"&amp;DT$11&amp;"'!B:R"),15,FALSE),"")</f>
        <v/>
      </c>
      <c r="DU29" s="96">
        <f>IFERROR(VLOOKUP($B29,INDIRECT("'GRD-"&amp;DU$11&amp;"'!B:R"),15,FALSE),"")</f>
        <v/>
      </c>
      <c r="DV29" s="96">
        <f>IFERROR(VLOOKUP($B29,INDIRECT("'GRD-"&amp;DV$11&amp;"'!B:R"),15,FALSE),"")</f>
        <v/>
      </c>
      <c r="DW29" s="96">
        <f>IFERROR(VLOOKUP($B29,INDIRECT("'GRD-"&amp;DW$11&amp;"'!B:R"),15,FALSE),"")</f>
        <v/>
      </c>
      <c r="DX29" s="96">
        <f>IFERROR(VLOOKUP($B29,INDIRECT("'GRD-"&amp;DX$11&amp;"'!B:R"),15,FALSE),"")</f>
        <v/>
      </c>
      <c r="DY29" s="96">
        <f>IFERROR(VLOOKUP($B29,INDIRECT("'GRD-"&amp;DY$11&amp;"'!B:R"),15,FALSE),"")</f>
        <v/>
      </c>
      <c r="DZ29" s="96">
        <f>IFERROR(VLOOKUP($B29,INDIRECT("'GRD-"&amp;DZ$11&amp;"'!B:R"),15,FALSE),"")</f>
        <v/>
      </c>
      <c r="EA29" s="96">
        <f>IFERROR(VLOOKUP($B29,INDIRECT("'GRD-"&amp;EA$11&amp;"'!B:R"),15,FALSE),"")</f>
        <v/>
      </c>
      <c r="EB29" s="96">
        <f>IFERROR(VLOOKUP($B29,INDIRECT("'GRD-"&amp;EB$11&amp;"'!B:R"),15,FALSE),"")</f>
        <v/>
      </c>
      <c r="EC29" s="96">
        <f>IFERROR(VLOOKUP($B29,INDIRECT("'GRD-"&amp;EC$11&amp;"'!B:R"),15,FALSE),"")</f>
        <v/>
      </c>
      <c r="ED29" s="96">
        <f>IFERROR(VLOOKUP($B29,INDIRECT("'GRD-"&amp;ED$11&amp;"'!B:R"),15,FALSE),"")</f>
        <v/>
      </c>
      <c r="EE29" s="96">
        <f>IFERROR(VLOOKUP($B29,INDIRECT("'GRD-"&amp;EE$11&amp;"'!B:R"),15,FALSE),"")</f>
        <v/>
      </c>
      <c r="EF29" s="96">
        <f>IFERROR(VLOOKUP($B29,INDIRECT("'GRD-"&amp;EF$11&amp;"'!B:R"),15,FALSE),"")</f>
        <v/>
      </c>
      <c r="EG29" s="96">
        <f>IFERROR(VLOOKUP($B29,INDIRECT("'GRD-"&amp;EG$11&amp;"'!B:R"),15,FALSE),"")</f>
        <v/>
      </c>
      <c r="EH29" s="96">
        <f>IFERROR(VLOOKUP($B29,INDIRECT("'GRD-"&amp;EH$11&amp;"'!B:R"),15,FALSE),"")</f>
        <v/>
      </c>
      <c r="EI29" s="96">
        <f>IFERROR(VLOOKUP($B29,INDIRECT("'GRD-"&amp;EI$11&amp;"'!B:R"),15,FALSE),"")</f>
        <v/>
      </c>
      <c r="EJ29" s="96">
        <f>IFERROR(VLOOKUP($B29,INDIRECT("'GRD-"&amp;EJ$11&amp;"'!B:R"),15,FALSE),"")</f>
        <v/>
      </c>
      <c r="EK29" s="96">
        <f>IFERROR(VLOOKUP($B29,INDIRECT("'GRD-"&amp;EK$11&amp;"'!B:R"),15,FALSE),"")</f>
        <v/>
      </c>
      <c r="EL29" s="96">
        <f>IFERROR(VLOOKUP($B29,INDIRECT("'GRD-"&amp;EL$11&amp;"'!B:R"),15,FALSE),"")</f>
        <v/>
      </c>
      <c r="EM29" s="96">
        <f>IFERROR(VLOOKUP($B29,INDIRECT("'GRD-"&amp;EM$11&amp;"'!B:R"),15,FALSE),"")</f>
        <v/>
      </c>
      <c r="EN29" s="96">
        <f>IFERROR(VLOOKUP($B29,INDIRECT("'GRD-"&amp;EN$11&amp;"'!B:R"),15,FALSE),"")</f>
        <v/>
      </c>
      <c r="EO29" s="96">
        <f>IFERROR(VLOOKUP($B29,INDIRECT("'GRD-"&amp;EO$11&amp;"'!B:R"),15,FALSE),"")</f>
        <v/>
      </c>
      <c r="EP29" s="96">
        <f>IFERROR(VLOOKUP($B29,INDIRECT("'GRD-"&amp;EP$11&amp;"'!B:R"),15,FALSE),"")</f>
        <v/>
      </c>
      <c r="EQ29" s="96">
        <f>IFERROR(VLOOKUP($B29,INDIRECT("'GRD-"&amp;EQ$11&amp;"'!B:R"),15,FALSE),"")</f>
        <v/>
      </c>
      <c r="ER29" s="96">
        <f>IFERROR(VLOOKUP($B29,INDIRECT("'GRD-"&amp;ER$11&amp;"'!B:R"),15,FALSE),"")</f>
        <v/>
      </c>
      <c r="ES29" s="96">
        <f>IFERROR(VLOOKUP($B29,INDIRECT("'GRD-"&amp;ES$11&amp;"'!B:R"),15,FALSE),"")</f>
        <v/>
      </c>
      <c r="ET29" s="96">
        <f>IFERROR(VLOOKUP($B29,INDIRECT("'GRD-"&amp;ET$11&amp;"'!B:R"),15,FALSE),"")</f>
        <v/>
      </c>
      <c r="EU29" s="96">
        <f>IFERROR(VLOOKUP($B29,INDIRECT("'GRD-"&amp;EU$11&amp;"'!B:R"),15,FALSE),"")</f>
        <v/>
      </c>
      <c r="EV29" s="96">
        <f>IFERROR(VLOOKUP($B29,INDIRECT("'GRD-"&amp;EV$11&amp;"'!B:R"),15,FALSE),"")</f>
        <v/>
      </c>
      <c r="EW29" s="96">
        <f>IFERROR(VLOOKUP($B29,INDIRECT("'GRD-"&amp;EW$11&amp;"'!B:R"),15,FALSE),"")</f>
        <v/>
      </c>
      <c r="EX29" s="96">
        <f>IFERROR(VLOOKUP($B29,INDIRECT("'GRD-"&amp;EX$11&amp;"'!B:R"),15,FALSE),"")</f>
        <v/>
      </c>
      <c r="EY29" s="96">
        <f>IFERROR(VLOOKUP($B29,INDIRECT("'GRD-"&amp;EY$11&amp;"'!B:R"),15,FALSE),"")</f>
        <v/>
      </c>
      <c r="EZ29" s="96">
        <f>IFERROR(VLOOKUP($B29,INDIRECT("'GRD-"&amp;EZ$11&amp;"'!B:R"),15,FALSE),"")</f>
        <v/>
      </c>
      <c r="FA29" s="96">
        <f>IFERROR(VLOOKUP($B29,INDIRECT("'GRD-"&amp;FA$11&amp;"'!B:R"),15,FALSE),"")</f>
        <v/>
      </c>
      <c r="FB29" s="96">
        <f>IFERROR(VLOOKUP($B29,INDIRECT("'GRD-"&amp;FB$11&amp;"'!B:R"),15,FALSE),"")</f>
        <v/>
      </c>
      <c r="FC29" s="96">
        <f>IFERROR(VLOOKUP($B29,INDIRECT("'GRD-"&amp;FC$11&amp;"'!B:R"),15,FALSE),"")</f>
        <v/>
      </c>
      <c r="FD29" s="96">
        <f>IFERROR(VLOOKUP($B29,INDIRECT("'GRD-"&amp;FD$11&amp;"'!B:R"),15,FALSE),"")</f>
        <v/>
      </c>
      <c r="FE29" s="96">
        <f>IFERROR(VLOOKUP($B29,INDIRECT("'GRD-"&amp;FE$11&amp;"'!B:R"),15,FALSE),"")</f>
        <v/>
      </c>
      <c r="FF29" s="96">
        <f>IFERROR(VLOOKUP($B29,INDIRECT("'GRD-"&amp;FF$11&amp;"'!B:R"),15,FALSE),"")</f>
        <v/>
      </c>
      <c r="FG29" s="96">
        <f>IFERROR(VLOOKUP($B29,INDIRECT("'GRD-"&amp;FG$11&amp;"'!B:R"),15,FALSE),"")</f>
        <v/>
      </c>
      <c r="FH29" s="96">
        <f>IFERROR(VLOOKUP($B29,INDIRECT("'GRD-"&amp;FH$11&amp;"'!B:R"),15,FALSE),"")</f>
        <v/>
      </c>
      <c r="FI29" s="96">
        <f>IFERROR(VLOOKUP($B29,INDIRECT("'GRD-"&amp;FI$11&amp;"'!B:R"),15,FALSE),"")</f>
        <v/>
      </c>
      <c r="FJ29" s="96">
        <f>IFERROR(VLOOKUP($B29,INDIRECT("'GRD-"&amp;FJ$11&amp;"'!B:R"),15,FALSE),"")</f>
        <v/>
      </c>
      <c r="FK29" s="96">
        <f>IFERROR(VLOOKUP($B29,INDIRECT("'GRD-"&amp;FK$11&amp;"'!B:R"),15,FALSE),"")</f>
        <v/>
      </c>
      <c r="FL29" s="96">
        <f>IFERROR(VLOOKUP($B29,INDIRECT("'GRD-"&amp;FL$11&amp;"'!B:R"),15,FALSE),"")</f>
        <v/>
      </c>
      <c r="FM29" s="96">
        <f>IFERROR(VLOOKUP($B29,INDIRECT("'GRD-"&amp;FM$11&amp;"'!B:R"),15,FALSE),"")</f>
        <v/>
      </c>
      <c r="FN29" s="96">
        <f>IFERROR(VLOOKUP($B29,INDIRECT("'GRD-"&amp;FN$11&amp;"'!B:R"),15,FALSE),"")</f>
        <v/>
      </c>
      <c r="FO29" s="96">
        <f>IFERROR(VLOOKUP($B29,INDIRECT("'GRD-"&amp;FO$11&amp;"'!B:R"),15,FALSE),"")</f>
        <v/>
      </c>
      <c r="FP29" s="96">
        <f>IFERROR(VLOOKUP($B29,INDIRECT("'GRD-"&amp;FP$11&amp;"'!B:R"),15,FALSE),"")</f>
        <v/>
      </c>
      <c r="FQ29" s="96">
        <f>IFERROR(VLOOKUP($B29,INDIRECT("'GRD-"&amp;FQ$11&amp;"'!B:R"),15,FALSE),"")</f>
        <v/>
      </c>
      <c r="FR29" s="96">
        <f>IFERROR(VLOOKUP($B29,INDIRECT("'GRD-"&amp;FR$11&amp;"'!B:R"),15,FALSE),"")</f>
        <v/>
      </c>
      <c r="FS29" s="96">
        <f>IFERROR(VLOOKUP($B29,INDIRECT("'GRD-"&amp;FS$11&amp;"'!B:R"),15,FALSE),"")</f>
        <v/>
      </c>
      <c r="FT29" s="96">
        <f>IFERROR(VLOOKUP($B29,INDIRECT("'GRD-"&amp;FT$11&amp;"'!B:R"),15,FALSE),"")</f>
        <v/>
      </c>
      <c r="FU29" s="96">
        <f>IFERROR(VLOOKUP($B29,INDIRECT("'GRD-"&amp;FU$11&amp;"'!B:R"),15,FALSE),"")</f>
        <v/>
      </c>
      <c r="FV29" s="96">
        <f>IFERROR(VLOOKUP($B29,INDIRECT("'GRD-"&amp;FV$11&amp;"'!B:R"),15,FALSE),"")</f>
        <v/>
      </c>
    </row>
    <row r="30">
      <c r="B30" s="68" t="n"/>
      <c r="C30" s="72" t="n"/>
      <c r="D30" s="73">
        <f>IF(K30="","",MAX($CA30:$FV30))</f>
        <v/>
      </c>
      <c r="E30" s="74">
        <f t="array" ref="E30">IF($K30="","",OFFSET($A$1,ROW($B30)-1,11+$D30*4,))</f>
        <v/>
      </c>
      <c r="F30" s="74">
        <f t="array" ref="F30">IF($K30="","",OFFSET($A$1,ROW($B30)-1,12+$D30*4,))</f>
        <v/>
      </c>
      <c r="G30" s="118">
        <f t="array" ref="G30">IF($K30="","",OFFSET($A$1,ROW($B30)-1,13+$D30*4,))</f>
        <v/>
      </c>
      <c r="H30" s="81" t="n"/>
      <c r="I30" s="82" t="n"/>
      <c r="J30" s="75">
        <f>IF(I30="A4",H30/8,IF(I30="A3",H30/4,IF(I30="A2",H30/2,IF(I30="A1",H30/1,IF(I30="A0",H30*2,"")))))</f>
        <v/>
      </c>
      <c r="K30" s="68">
        <f t="array" ref="K30">IFERROR(OFFSET($BZ$11,ROW($B30)-11,MATCH(K$10,$CA30:$FV30,0),),"")</f>
        <v/>
      </c>
      <c r="L30" s="85">
        <f>IF(K30="","",IF(VLOOKUP($B30,INDIRECT("'GRD-"&amp;M30&amp;"'!$B:$R"),16,FALSE)="","",VLOOKUP($B30,INDIRECT("'GRD-"&amp;M30&amp;"'!$B:$R"),16,FALSE)))</f>
        <v/>
      </c>
      <c r="M30" s="130">
        <f t="array" ref="M30">IF(K30="","",IFERROR(OFFSET($BZ$11,0,MATCH($K30,$CA30:$FV30,0),),""))</f>
        <v/>
      </c>
      <c r="N30" s="119">
        <f t="array" ref="N30">IF(K30="","",INDIRECT("'GRD-"&amp;M30&amp;"'!$L$7"))</f>
        <v/>
      </c>
      <c r="O30" s="76">
        <f t="array" ref="O30">IFERROR(OFFSET($BZ$11,ROW($B30)-11,MATCH(O$10,$CA30:$FV30,0),),"")</f>
        <v/>
      </c>
      <c r="P30" s="76">
        <f>IF(O30="","",IF(VLOOKUP($B30,INDIRECT("'GRD-"&amp;Q30&amp;"'!$B:$R"),16,FALSE)="","",VLOOKUP($B30,INDIRECT("'GRD-"&amp;Q30&amp;"'!$B:$R"),16,FALSE)))</f>
        <v/>
      </c>
      <c r="Q30" s="132">
        <f t="array" ref="Q30">IF(O30="","",IFERROR(OFFSET($BZ$11,0,MATCH($O30,$CA30:$FV30,0),),""))</f>
        <v/>
      </c>
      <c r="R30" s="121">
        <f t="array" ref="R30">IF(O30="","",INDIRECT("'GRD-"&amp;Q30&amp;"'!$L$7"))</f>
        <v/>
      </c>
      <c r="S30" s="83">
        <f t="array" ref="S30">IFERROR(OFFSET($BZ$11,ROW($B30)-11,MATCH(S$10,$CA30:$FV30,0),),"")</f>
        <v/>
      </c>
      <c r="T30" s="83">
        <f>IF(S30="","",IF(VLOOKUP($B30,INDIRECT("'GRD-"&amp;U30&amp;"'!$B:$R"),16,FALSE)="","",VLOOKUP($B30,INDIRECT("'GRD-"&amp;U30&amp;"'!$B:$R"),16,FALSE)))</f>
        <v/>
      </c>
      <c r="U30" s="128">
        <f t="array" ref="U30">IF(S30="","",IFERROR(OFFSET($BZ$11,0,MATCH($S30,$CA30:$FV30,0),),""))</f>
        <v/>
      </c>
      <c r="V30" s="133">
        <f t="array" ref="V30">IF(S30="","",INDIRECT("'GRD-"&amp;U30&amp;"'!$L$7"))</f>
        <v/>
      </c>
      <c r="W30" s="84">
        <f t="array" ref="W30">IFERROR(OFFSET($BZ$11,ROW($B30)-11,MATCH(W$10,$CA30:$FV30,0),),"")</f>
        <v/>
      </c>
      <c r="X30" s="84">
        <f>IF(W30="","",IF(VLOOKUP($B30,INDIRECT("'GRD-"&amp;Y30&amp;"'!$B:$R"),16,FALSE)="","",VLOOKUP($B30,INDIRECT("'GRD-"&amp;Y30&amp;"'!$B:$R"),16,FALSE)))</f>
        <v/>
      </c>
      <c r="Y30" s="129">
        <f t="array" ref="Y30">IF(W30="","",IFERROR(OFFSET($BZ$11,0,MATCH($W30,$CA30:$FV30,0),),""))</f>
        <v/>
      </c>
      <c r="Z30" s="134">
        <f t="array" ref="Z30">IF(W30="","",INDIRECT("'GRD-"&amp;Y30&amp;"'!$L$7"))</f>
        <v/>
      </c>
      <c r="AA30" s="85">
        <f t="array" ref="AA30">IFERROR(OFFSET($BZ$11,ROW($B30)-11,MATCH(AA$10,$CA30:$FV30,0),),"")</f>
        <v/>
      </c>
      <c r="AB30" s="85">
        <f>IF(AA30="","",IF(VLOOKUP($B30,INDIRECT("'GRD-"&amp;AC30&amp;"'!$B:$R"),16,FALSE)="","",VLOOKUP($B30,INDIRECT("'GRD-"&amp;AC30&amp;"'!$B:$R"),16,FALSE)))</f>
        <v/>
      </c>
      <c r="AC30" s="130">
        <f t="array" ref="AC30">IF(AA30="","",IFERROR(OFFSET($BZ$11,0,MATCH($AA30,$CA30:$FV30,0),),""))</f>
        <v/>
      </c>
      <c r="AD30" s="131">
        <f t="array" ref="AD30">IF(AA30="","",INDIRECT("'GRD-"&amp;AC30&amp;"'!$L$7"))</f>
        <v/>
      </c>
      <c r="AE30" s="76">
        <f t="array" ref="AE30">IFERROR(OFFSET($BZ$11,ROW($B30)-11,MATCH(AE$10,$CA30:$FV30,0),),"")</f>
        <v/>
      </c>
      <c r="AF30" s="76">
        <f>IF(AE30="","",IF(VLOOKUP($B30,INDIRECT("'GRD-"&amp;AG30&amp;"'!$B:$R"),16,FALSE)="","",VLOOKUP($B30,INDIRECT("'GRD-"&amp;AG30&amp;"'!$B:$R"),16,FALSE)))</f>
        <v/>
      </c>
      <c r="AG30" s="132">
        <f t="array" ref="AG30">IF(AE30="","",IFERROR(OFFSET($BZ$11,0,MATCH($AE30,$CA30:$FV30,0),),""))</f>
        <v/>
      </c>
      <c r="AH30" s="121">
        <f t="array" ref="AH30">IF(AE30="","",INDIRECT("'GRD-"&amp;AG30&amp;"'!$L$7"))</f>
        <v/>
      </c>
      <c r="AI30" s="83">
        <f t="array" ref="AI30">IFERROR(OFFSET($BZ$11,ROW($B30)-11,MATCH(AI$10,$CA30:$FV30,0),),"")</f>
        <v/>
      </c>
      <c r="AJ30" s="83">
        <f>IF(AI30="","",IF(VLOOKUP($B30,INDIRECT("'GRD-"&amp;AK30&amp;"'!$B:$R"),16,FALSE)="","",VLOOKUP($B30,INDIRECT("'GRD-"&amp;AK30&amp;"'!$B:$R"),16,FALSE)))</f>
        <v/>
      </c>
      <c r="AK30" s="128">
        <f t="array" ref="AK30">IF(AI30="","",IFERROR(OFFSET($BZ$11,0,MATCH($AI30,$CA30:$FV30,0),),""))</f>
        <v/>
      </c>
      <c r="AL30" s="133">
        <f t="array" ref="AL30">IF(AI30="","",INDIRECT("'GRD-"&amp;AK30&amp;"'!$L$7"))</f>
        <v/>
      </c>
      <c r="AM30" s="84">
        <f t="array" ref="AM30">IFERROR(OFFSET($BZ$11,ROW($B30)-11,MATCH(AM$10,$CA30:$FV30,0),),"")</f>
        <v/>
      </c>
      <c r="AN30" s="84">
        <f>IF(AM30="","",IF(VLOOKUP($B30,INDIRECT("'GRD-"&amp;AO30&amp;"'!$B:$R"),16,FALSE)="","",VLOOKUP($B30,INDIRECT("'GRD-"&amp;AO30&amp;"'!$B:$R"),16,FALSE)))</f>
        <v/>
      </c>
      <c r="AO30" s="129">
        <f t="array" ref="AO30">IF(AM30="","",IFERROR(OFFSET($BZ$11,0,MATCH($AM30,$CA30:$FV30,0),),""))</f>
        <v/>
      </c>
      <c r="AP30" s="134">
        <f t="array" ref="AP30">IF(AM30="","",INDIRECT("'GRD-"&amp;AO30&amp;"'!$L$7"))</f>
        <v/>
      </c>
      <c r="AQ30" s="85">
        <f t="array" ref="AQ30">IFERROR(OFFSET($BZ$11,ROW($B30)-11,MATCH(AQ$10,$CA30:$FV30,0),),"")</f>
        <v/>
      </c>
      <c r="AR30" s="85">
        <f>IF(AQ30="","",IF(VLOOKUP($B30,INDIRECT("'GRD-"&amp;AS30&amp;"'!$B:$R"),16,FALSE)="","",VLOOKUP($B30,INDIRECT("'GRD-"&amp;AS30&amp;"'!$B:$R"),16,FALSE)))</f>
        <v/>
      </c>
      <c r="AS30" s="130">
        <f t="array" ref="AS30">IF(AQ30="","",IFERROR(OFFSET($BZ$11,0,MATCH($AQ30,$CA30:$FV30,0),),""))</f>
        <v/>
      </c>
      <c r="AT30" s="131">
        <f t="array" ref="AT30">IF(AQ30="","",INDIRECT("'GRD-"&amp;AS30&amp;"'!$L$7"))</f>
        <v/>
      </c>
      <c r="AU30" s="76">
        <f t="array" ref="AU30">IFERROR(OFFSET($BZ$11,ROW($B30)-11,MATCH(AU$10,$CA30:$FV30,0),),"")</f>
        <v/>
      </c>
      <c r="AV30" s="76">
        <f>IF(AU30="","",IF(VLOOKUP($B30,INDIRECT("'GRD-"&amp;AW30&amp;"'!$B:$R"),16,FALSE)="","",VLOOKUP($B30,INDIRECT("'GRD-"&amp;AW30&amp;"'!$B:$R"),16,FALSE)))</f>
        <v/>
      </c>
      <c r="AW30" s="132">
        <f t="array" ref="AW30">IF(AU30="","",IFERROR(OFFSET($BZ$11,0,MATCH($AU30,$CA30:$FV30,0),),""))</f>
        <v/>
      </c>
      <c r="AX30" s="121">
        <f t="array" ref="AX30">IF(AU30="","",INDIRECT("'GRD-"&amp;AW30&amp;"'!$L$7"))</f>
        <v/>
      </c>
      <c r="AY30" s="83">
        <f t="array" ref="AY30">IFERROR(OFFSET($BZ$11,ROW($B30)-11,MATCH(AY$10,$CA30:$FV30,0),),"")</f>
        <v/>
      </c>
      <c r="AZ30" s="83">
        <f>IF(AY30="","",IF(VLOOKUP($B30,INDIRECT("'GRD-"&amp;BA30&amp;"'!$B:$R"),16,FALSE)="","",VLOOKUP($B30,INDIRECT("'GRD-"&amp;BA30&amp;"'!$B:$R"),16,FALSE)))</f>
        <v/>
      </c>
      <c r="BA30" s="128">
        <f t="array" ref="BA30">IF(AY30="","",IFERROR(OFFSET($BZ$11,0,MATCH($AY30,$CA30:$FV30,0),),""))</f>
        <v/>
      </c>
      <c r="BB30" s="133">
        <f t="array" ref="BB30">IF(AY30="","",INDIRECT("'GRD-"&amp;BA30&amp;"'!$L$7"))</f>
        <v/>
      </c>
      <c r="BC30" s="84">
        <f t="array" ref="BC30">IFERROR(OFFSET($BZ$11,ROW($B30)-11,MATCH(BC$10,$CA30:$FV30,0),),"")</f>
        <v/>
      </c>
      <c r="BD30" s="84">
        <f>IF(BC30="","",IF(VLOOKUP($B30,INDIRECT("'GRD-"&amp;BE30&amp;"'!$B:$R"),16,FALSE)="","",VLOOKUP($B30,INDIRECT("'GRD-"&amp;BE30&amp;"'!$B:$R"),16,FALSE)))</f>
        <v/>
      </c>
      <c r="BE30" s="129">
        <f t="array" ref="BE30">IF(BC30="","",IFERROR(OFFSET($BZ$11,0,MATCH($BC30,$CA30:$FV30,0),),""))</f>
        <v/>
      </c>
      <c r="BF30" s="134">
        <f t="array" ref="BF30">IF(BC30="","",INDIRECT("'GRD-"&amp;BE30&amp;"'!$L$7"))</f>
        <v/>
      </c>
      <c r="CA30" s="96">
        <f>IFERROR(VLOOKUP($B30,INDIRECT("'GRD-"&amp;CA$11&amp;"'!B:R"),15,FALSE),"")</f>
        <v/>
      </c>
      <c r="CB30" s="96">
        <f>IFERROR(VLOOKUP($B30,INDIRECT("'GRD-"&amp;CB$11&amp;"'!B:R"),15,FALSE),"")</f>
        <v/>
      </c>
      <c r="CC30" s="96">
        <f>IFERROR(VLOOKUP($B30,INDIRECT("'GRD-"&amp;CC$11&amp;"'!B:R"),15,FALSE),"")</f>
        <v/>
      </c>
      <c r="CD30" s="96">
        <f>IFERROR(VLOOKUP($B30,INDIRECT("'GRD-"&amp;CD$11&amp;"'!B:R"),15,FALSE),"")</f>
        <v/>
      </c>
      <c r="CE30" s="96">
        <f>IFERROR(VLOOKUP($B30,INDIRECT("'GRD-"&amp;CE$11&amp;"'!B:R"),15,FALSE),"")</f>
        <v/>
      </c>
      <c r="CF30" s="96">
        <f>IFERROR(VLOOKUP($B30,INDIRECT("'GRD-"&amp;CF$11&amp;"'!B:R"),15,FALSE),"")</f>
        <v/>
      </c>
      <c r="CG30" s="96">
        <f>IFERROR(VLOOKUP($B30,INDIRECT("'GRD-"&amp;CG$11&amp;"'!B:R"),15,FALSE),"")</f>
        <v/>
      </c>
      <c r="CH30" s="96">
        <f>IFERROR(VLOOKUP($B30,INDIRECT("'GRD-"&amp;CH$11&amp;"'!B:R"),15,FALSE),"")</f>
        <v/>
      </c>
      <c r="CI30" s="96">
        <f>IFERROR(VLOOKUP($B30,INDIRECT("'GRD-"&amp;CI$11&amp;"'!B:R"),15,FALSE),"")</f>
        <v/>
      </c>
      <c r="CJ30" s="96">
        <f>IFERROR(VLOOKUP($B30,INDIRECT("'GRD-"&amp;CJ$11&amp;"'!B:R"),15,FALSE),"")</f>
        <v/>
      </c>
      <c r="CK30" s="96">
        <f>IFERROR(VLOOKUP($B30,INDIRECT("'GRD-"&amp;CK$11&amp;"'!B:R"),15,FALSE),"")</f>
        <v/>
      </c>
      <c r="CL30" s="96">
        <f>IFERROR(VLOOKUP($B30,INDIRECT("'GRD-"&amp;CL$11&amp;"'!B:R"),15,FALSE),"")</f>
        <v/>
      </c>
      <c r="CM30" s="96">
        <f>IFERROR(VLOOKUP($B30,INDIRECT("'GRD-"&amp;CM$11&amp;"'!B:R"),15,FALSE),"")</f>
        <v/>
      </c>
      <c r="CN30" s="96">
        <f>IFERROR(VLOOKUP($B30,INDIRECT("'GRD-"&amp;CN$11&amp;"'!B:R"),15,FALSE),"")</f>
        <v/>
      </c>
      <c r="CO30" s="96">
        <f>IFERROR(VLOOKUP($B30,INDIRECT("'GRD-"&amp;CO$11&amp;"'!B:R"),15,FALSE),"")</f>
        <v/>
      </c>
      <c r="CP30" s="96">
        <f>IFERROR(VLOOKUP($B30,INDIRECT("'GRD-"&amp;CP$11&amp;"'!B:R"),15,FALSE),"")</f>
        <v/>
      </c>
      <c r="CQ30" s="96">
        <f>IFERROR(VLOOKUP($B30,INDIRECT("'GRD-"&amp;CQ$11&amp;"'!B:R"),15,FALSE),"")</f>
        <v/>
      </c>
      <c r="CR30" s="96">
        <f>IFERROR(VLOOKUP($B30,INDIRECT("'GRD-"&amp;CR$11&amp;"'!B:R"),15,FALSE),"")</f>
        <v/>
      </c>
      <c r="CS30" s="96">
        <f>IFERROR(VLOOKUP($B30,INDIRECT("'GRD-"&amp;CS$11&amp;"'!B:R"),15,FALSE),"")</f>
        <v/>
      </c>
      <c r="CT30" s="96">
        <f>IFERROR(VLOOKUP($B30,INDIRECT("'GRD-"&amp;CT$11&amp;"'!B:R"),15,FALSE),"")</f>
        <v/>
      </c>
      <c r="CU30" s="96">
        <f>IFERROR(VLOOKUP($B30,INDIRECT("'GRD-"&amp;CU$11&amp;"'!B:R"),15,FALSE),"")</f>
        <v/>
      </c>
      <c r="CV30" s="96">
        <f>IFERROR(VLOOKUP($B30,INDIRECT("'GRD-"&amp;CV$11&amp;"'!B:R"),15,FALSE),"")</f>
        <v/>
      </c>
      <c r="CW30" s="96">
        <f>IFERROR(VLOOKUP($B30,INDIRECT("'GRD-"&amp;CW$11&amp;"'!B:R"),15,FALSE),"")</f>
        <v/>
      </c>
      <c r="CX30" s="96">
        <f>IFERROR(VLOOKUP($B30,INDIRECT("'GRD-"&amp;CX$11&amp;"'!B:R"),15,FALSE),"")</f>
        <v/>
      </c>
      <c r="CY30" s="96">
        <f>IFERROR(VLOOKUP($B30,INDIRECT("'GRD-"&amp;CY$11&amp;"'!B:R"),15,FALSE),"")</f>
        <v/>
      </c>
      <c r="CZ30" s="96">
        <f>IFERROR(VLOOKUP($B30,INDIRECT("'GRD-"&amp;CZ$11&amp;"'!B:R"),15,FALSE),"")</f>
        <v/>
      </c>
      <c r="DA30" s="96">
        <f>IFERROR(VLOOKUP($B30,INDIRECT("'GRD-"&amp;DA$11&amp;"'!B:R"),15,FALSE),"")</f>
        <v/>
      </c>
      <c r="DB30" s="96">
        <f>IFERROR(VLOOKUP($B30,INDIRECT("'GRD-"&amp;DB$11&amp;"'!B:R"),15,FALSE),"")</f>
        <v/>
      </c>
      <c r="DC30" s="96">
        <f>IFERROR(VLOOKUP($B30,INDIRECT("'GRD-"&amp;DC$11&amp;"'!B:R"),15,FALSE),"")</f>
        <v/>
      </c>
      <c r="DD30" s="96">
        <f>IFERROR(VLOOKUP($B30,INDIRECT("'GRD-"&amp;DD$11&amp;"'!B:R"),15,FALSE),"")</f>
        <v/>
      </c>
      <c r="DE30" s="96">
        <f>IFERROR(VLOOKUP($B30,INDIRECT("'GRD-"&amp;DE$11&amp;"'!B:R"),15,FALSE),"")</f>
        <v/>
      </c>
      <c r="DF30" s="96">
        <f>IFERROR(VLOOKUP($B30,INDIRECT("'GRD-"&amp;DF$11&amp;"'!B:R"),15,FALSE),"")</f>
        <v/>
      </c>
      <c r="DG30" s="96">
        <f>IFERROR(VLOOKUP($B30,INDIRECT("'GRD-"&amp;DG$11&amp;"'!B:R"),15,FALSE),"")</f>
        <v/>
      </c>
      <c r="DH30" s="96">
        <f>IFERROR(VLOOKUP($B30,INDIRECT("'GRD-"&amp;DH$11&amp;"'!B:R"),15,FALSE),"")</f>
        <v/>
      </c>
      <c r="DI30" s="96">
        <f>IFERROR(VLOOKUP($B30,INDIRECT("'GRD-"&amp;DI$11&amp;"'!B:R"),15,FALSE),"")</f>
        <v/>
      </c>
      <c r="DJ30" s="96">
        <f>IFERROR(VLOOKUP($B30,INDIRECT("'GRD-"&amp;DJ$11&amp;"'!B:R"),15,FALSE),"")</f>
        <v/>
      </c>
      <c r="DK30" s="96">
        <f>IFERROR(VLOOKUP($B30,INDIRECT("'GRD-"&amp;DK$11&amp;"'!B:R"),15,FALSE),"")</f>
        <v/>
      </c>
      <c r="DL30" s="96">
        <f>IFERROR(VLOOKUP($B30,INDIRECT("'GRD-"&amp;DL$11&amp;"'!B:R"),15,FALSE),"")</f>
        <v/>
      </c>
      <c r="DM30" s="96">
        <f>IFERROR(VLOOKUP($B30,INDIRECT("'GRD-"&amp;DM$11&amp;"'!B:R"),15,FALSE),"")</f>
        <v/>
      </c>
      <c r="DN30" s="96">
        <f>IFERROR(VLOOKUP($B30,INDIRECT("'GRD-"&amp;DN$11&amp;"'!B:R"),15,FALSE),"")</f>
        <v/>
      </c>
      <c r="DO30" s="96">
        <f>IFERROR(VLOOKUP($B30,INDIRECT("'GRD-"&amp;DO$11&amp;"'!B:R"),15,FALSE),"")</f>
        <v/>
      </c>
      <c r="DP30" s="96">
        <f>IFERROR(VLOOKUP($B30,INDIRECT("'GRD-"&amp;DP$11&amp;"'!B:R"),15,FALSE),"")</f>
        <v/>
      </c>
      <c r="DQ30" s="96">
        <f>IFERROR(VLOOKUP($B30,INDIRECT("'GRD-"&amp;DQ$11&amp;"'!B:R"),15,FALSE),"")</f>
        <v/>
      </c>
      <c r="DR30" s="96">
        <f>IFERROR(VLOOKUP($B30,INDIRECT("'GRD-"&amp;DR$11&amp;"'!B:R"),15,FALSE),"")</f>
        <v/>
      </c>
      <c r="DS30" s="96">
        <f>IFERROR(VLOOKUP($B30,INDIRECT("'GRD-"&amp;DS$11&amp;"'!B:R"),15,FALSE),"")</f>
        <v/>
      </c>
      <c r="DT30" s="96">
        <f>IFERROR(VLOOKUP($B30,INDIRECT("'GRD-"&amp;DT$11&amp;"'!B:R"),15,FALSE),"")</f>
        <v/>
      </c>
      <c r="DU30" s="96">
        <f>IFERROR(VLOOKUP($B30,INDIRECT("'GRD-"&amp;DU$11&amp;"'!B:R"),15,FALSE),"")</f>
        <v/>
      </c>
      <c r="DV30" s="96">
        <f>IFERROR(VLOOKUP($B30,INDIRECT("'GRD-"&amp;DV$11&amp;"'!B:R"),15,FALSE),"")</f>
        <v/>
      </c>
      <c r="DW30" s="96">
        <f>IFERROR(VLOOKUP($B30,INDIRECT("'GRD-"&amp;DW$11&amp;"'!B:R"),15,FALSE),"")</f>
        <v/>
      </c>
      <c r="DX30" s="96">
        <f>IFERROR(VLOOKUP($B30,INDIRECT("'GRD-"&amp;DX$11&amp;"'!B:R"),15,FALSE),"")</f>
        <v/>
      </c>
      <c r="DY30" s="96">
        <f>IFERROR(VLOOKUP($B30,INDIRECT("'GRD-"&amp;DY$11&amp;"'!B:R"),15,FALSE),"")</f>
        <v/>
      </c>
      <c r="DZ30" s="96">
        <f>IFERROR(VLOOKUP($B30,INDIRECT("'GRD-"&amp;DZ$11&amp;"'!B:R"),15,FALSE),"")</f>
        <v/>
      </c>
      <c r="EA30" s="96">
        <f>IFERROR(VLOOKUP($B30,INDIRECT("'GRD-"&amp;EA$11&amp;"'!B:R"),15,FALSE),"")</f>
        <v/>
      </c>
      <c r="EB30" s="96">
        <f>IFERROR(VLOOKUP($B30,INDIRECT("'GRD-"&amp;EB$11&amp;"'!B:R"),15,FALSE),"")</f>
        <v/>
      </c>
      <c r="EC30" s="96">
        <f>IFERROR(VLOOKUP($B30,INDIRECT("'GRD-"&amp;EC$11&amp;"'!B:R"),15,FALSE),"")</f>
        <v/>
      </c>
      <c r="ED30" s="96">
        <f>IFERROR(VLOOKUP($B30,INDIRECT("'GRD-"&amp;ED$11&amp;"'!B:R"),15,FALSE),"")</f>
        <v/>
      </c>
      <c r="EE30" s="96">
        <f>IFERROR(VLOOKUP($B30,INDIRECT("'GRD-"&amp;EE$11&amp;"'!B:R"),15,FALSE),"")</f>
        <v/>
      </c>
      <c r="EF30" s="96">
        <f>IFERROR(VLOOKUP($B30,INDIRECT("'GRD-"&amp;EF$11&amp;"'!B:R"),15,FALSE),"")</f>
        <v/>
      </c>
      <c r="EG30" s="96">
        <f>IFERROR(VLOOKUP($B30,INDIRECT("'GRD-"&amp;EG$11&amp;"'!B:R"),15,FALSE),"")</f>
        <v/>
      </c>
      <c r="EH30" s="96">
        <f>IFERROR(VLOOKUP($B30,INDIRECT("'GRD-"&amp;EH$11&amp;"'!B:R"),15,FALSE),"")</f>
        <v/>
      </c>
      <c r="EI30" s="96">
        <f>IFERROR(VLOOKUP($B30,INDIRECT("'GRD-"&amp;EI$11&amp;"'!B:R"),15,FALSE),"")</f>
        <v/>
      </c>
      <c r="EJ30" s="96">
        <f>IFERROR(VLOOKUP($B30,INDIRECT("'GRD-"&amp;EJ$11&amp;"'!B:R"),15,FALSE),"")</f>
        <v/>
      </c>
      <c r="EK30" s="96">
        <f>IFERROR(VLOOKUP($B30,INDIRECT("'GRD-"&amp;EK$11&amp;"'!B:R"),15,FALSE),"")</f>
        <v/>
      </c>
      <c r="EL30" s="96">
        <f>IFERROR(VLOOKUP($B30,INDIRECT("'GRD-"&amp;EL$11&amp;"'!B:R"),15,FALSE),"")</f>
        <v/>
      </c>
      <c r="EM30" s="96">
        <f>IFERROR(VLOOKUP($B30,INDIRECT("'GRD-"&amp;EM$11&amp;"'!B:R"),15,FALSE),"")</f>
        <v/>
      </c>
      <c r="EN30" s="96">
        <f>IFERROR(VLOOKUP($B30,INDIRECT("'GRD-"&amp;EN$11&amp;"'!B:R"),15,FALSE),"")</f>
        <v/>
      </c>
      <c r="EO30" s="96">
        <f>IFERROR(VLOOKUP($B30,INDIRECT("'GRD-"&amp;EO$11&amp;"'!B:R"),15,FALSE),"")</f>
        <v/>
      </c>
      <c r="EP30" s="96">
        <f>IFERROR(VLOOKUP($B30,INDIRECT("'GRD-"&amp;EP$11&amp;"'!B:R"),15,FALSE),"")</f>
        <v/>
      </c>
      <c r="EQ30" s="96">
        <f>IFERROR(VLOOKUP($B30,INDIRECT("'GRD-"&amp;EQ$11&amp;"'!B:R"),15,FALSE),"")</f>
        <v/>
      </c>
      <c r="ER30" s="96">
        <f>IFERROR(VLOOKUP($B30,INDIRECT("'GRD-"&amp;ER$11&amp;"'!B:R"),15,FALSE),"")</f>
        <v/>
      </c>
      <c r="ES30" s="96">
        <f>IFERROR(VLOOKUP($B30,INDIRECT("'GRD-"&amp;ES$11&amp;"'!B:R"),15,FALSE),"")</f>
        <v/>
      </c>
      <c r="ET30" s="96">
        <f>IFERROR(VLOOKUP($B30,INDIRECT("'GRD-"&amp;ET$11&amp;"'!B:R"),15,FALSE),"")</f>
        <v/>
      </c>
      <c r="EU30" s="96">
        <f>IFERROR(VLOOKUP($B30,INDIRECT("'GRD-"&amp;EU$11&amp;"'!B:R"),15,FALSE),"")</f>
        <v/>
      </c>
      <c r="EV30" s="96">
        <f>IFERROR(VLOOKUP($B30,INDIRECT("'GRD-"&amp;EV$11&amp;"'!B:R"),15,FALSE),"")</f>
        <v/>
      </c>
      <c r="EW30" s="96">
        <f>IFERROR(VLOOKUP($B30,INDIRECT("'GRD-"&amp;EW$11&amp;"'!B:R"),15,FALSE),"")</f>
        <v/>
      </c>
      <c r="EX30" s="96">
        <f>IFERROR(VLOOKUP($B30,INDIRECT("'GRD-"&amp;EX$11&amp;"'!B:R"),15,FALSE),"")</f>
        <v/>
      </c>
      <c r="EY30" s="96">
        <f>IFERROR(VLOOKUP($B30,INDIRECT("'GRD-"&amp;EY$11&amp;"'!B:R"),15,FALSE),"")</f>
        <v/>
      </c>
      <c r="EZ30" s="96">
        <f>IFERROR(VLOOKUP($B30,INDIRECT("'GRD-"&amp;EZ$11&amp;"'!B:R"),15,FALSE),"")</f>
        <v/>
      </c>
      <c r="FA30" s="96">
        <f>IFERROR(VLOOKUP($B30,INDIRECT("'GRD-"&amp;FA$11&amp;"'!B:R"),15,FALSE),"")</f>
        <v/>
      </c>
      <c r="FB30" s="96">
        <f>IFERROR(VLOOKUP($B30,INDIRECT("'GRD-"&amp;FB$11&amp;"'!B:R"),15,FALSE),"")</f>
        <v/>
      </c>
      <c r="FC30" s="96">
        <f>IFERROR(VLOOKUP($B30,INDIRECT("'GRD-"&amp;FC$11&amp;"'!B:R"),15,FALSE),"")</f>
        <v/>
      </c>
      <c r="FD30" s="96">
        <f>IFERROR(VLOOKUP($B30,INDIRECT("'GRD-"&amp;FD$11&amp;"'!B:R"),15,FALSE),"")</f>
        <v/>
      </c>
      <c r="FE30" s="96">
        <f>IFERROR(VLOOKUP($B30,INDIRECT("'GRD-"&amp;FE$11&amp;"'!B:R"),15,FALSE),"")</f>
        <v/>
      </c>
      <c r="FF30" s="96">
        <f>IFERROR(VLOOKUP($B30,INDIRECT("'GRD-"&amp;FF$11&amp;"'!B:R"),15,FALSE),"")</f>
        <v/>
      </c>
      <c r="FG30" s="96">
        <f>IFERROR(VLOOKUP($B30,INDIRECT("'GRD-"&amp;FG$11&amp;"'!B:R"),15,FALSE),"")</f>
        <v/>
      </c>
      <c r="FH30" s="96">
        <f>IFERROR(VLOOKUP($B30,INDIRECT("'GRD-"&amp;FH$11&amp;"'!B:R"),15,FALSE),"")</f>
        <v/>
      </c>
      <c r="FI30" s="96">
        <f>IFERROR(VLOOKUP($B30,INDIRECT("'GRD-"&amp;FI$11&amp;"'!B:R"),15,FALSE),"")</f>
        <v/>
      </c>
      <c r="FJ30" s="96">
        <f>IFERROR(VLOOKUP($B30,INDIRECT("'GRD-"&amp;FJ$11&amp;"'!B:R"),15,FALSE),"")</f>
        <v/>
      </c>
      <c r="FK30" s="96">
        <f>IFERROR(VLOOKUP($B30,INDIRECT("'GRD-"&amp;FK$11&amp;"'!B:R"),15,FALSE),"")</f>
        <v/>
      </c>
      <c r="FL30" s="96">
        <f>IFERROR(VLOOKUP($B30,INDIRECT("'GRD-"&amp;FL$11&amp;"'!B:R"),15,FALSE),"")</f>
        <v/>
      </c>
      <c r="FM30" s="96">
        <f>IFERROR(VLOOKUP($B30,INDIRECT("'GRD-"&amp;FM$11&amp;"'!B:R"),15,FALSE),"")</f>
        <v/>
      </c>
      <c r="FN30" s="96">
        <f>IFERROR(VLOOKUP($B30,INDIRECT("'GRD-"&amp;FN$11&amp;"'!B:R"),15,FALSE),"")</f>
        <v/>
      </c>
      <c r="FO30" s="96">
        <f>IFERROR(VLOOKUP($B30,INDIRECT("'GRD-"&amp;FO$11&amp;"'!B:R"),15,FALSE),"")</f>
        <v/>
      </c>
      <c r="FP30" s="96">
        <f>IFERROR(VLOOKUP($B30,INDIRECT("'GRD-"&amp;FP$11&amp;"'!B:R"),15,FALSE),"")</f>
        <v/>
      </c>
      <c r="FQ30" s="96">
        <f>IFERROR(VLOOKUP($B30,INDIRECT("'GRD-"&amp;FQ$11&amp;"'!B:R"),15,FALSE),"")</f>
        <v/>
      </c>
      <c r="FR30" s="96">
        <f>IFERROR(VLOOKUP($B30,INDIRECT("'GRD-"&amp;FR$11&amp;"'!B:R"),15,FALSE),"")</f>
        <v/>
      </c>
      <c r="FS30" s="96">
        <f>IFERROR(VLOOKUP($B30,INDIRECT("'GRD-"&amp;FS$11&amp;"'!B:R"),15,FALSE),"")</f>
        <v/>
      </c>
      <c r="FT30" s="96">
        <f>IFERROR(VLOOKUP($B30,INDIRECT("'GRD-"&amp;FT$11&amp;"'!B:R"),15,FALSE),"")</f>
        <v/>
      </c>
      <c r="FU30" s="96">
        <f>IFERROR(VLOOKUP($B30,INDIRECT("'GRD-"&amp;FU$11&amp;"'!B:R"),15,FALSE),"")</f>
        <v/>
      </c>
      <c r="FV30" s="96">
        <f>IFERROR(VLOOKUP($B30,INDIRECT("'GRD-"&amp;FV$11&amp;"'!B:R"),15,FALSE),"")</f>
        <v/>
      </c>
    </row>
    <row r="31">
      <c r="B31" s="68" t="n"/>
      <c r="C31" s="72" t="n"/>
      <c r="D31" s="73">
        <f>IF(K31="","",MAX($CA31:$FV31))</f>
        <v/>
      </c>
      <c r="E31" s="74">
        <f t="array" ref="E31">IF($K31="","",OFFSET($A$1,ROW($B31)-1,11+$D31*4,))</f>
        <v/>
      </c>
      <c r="F31" s="74">
        <f t="array" ref="F31">IF($K31="","",OFFSET($A$1,ROW($B31)-1,12+$D31*4,))</f>
        <v/>
      </c>
      <c r="G31" s="118">
        <f t="array" ref="G31">IF($K31="","",OFFSET($A$1,ROW($B31)-1,13+$D31*4,))</f>
        <v/>
      </c>
      <c r="H31" s="81" t="n"/>
      <c r="I31" s="82" t="n"/>
      <c r="J31" s="75">
        <f>IF(I31="A4",H31/8,IF(I31="A3",H31/4,IF(I31="A2",H31/2,IF(I31="A1",H31/1,IF(I31="A0",H31*2,"")))))</f>
        <v/>
      </c>
      <c r="K31" s="68">
        <f t="array" ref="K31">IFERROR(OFFSET($BZ$11,ROW($B31)-11,MATCH(K$10,$CA31:$FV31,0),),"")</f>
        <v/>
      </c>
      <c r="L31" s="85">
        <f>IF(K31="","",IF(VLOOKUP($B31,INDIRECT("'GRD-"&amp;M31&amp;"'!$B:$R"),16,FALSE)="","",VLOOKUP($B31,INDIRECT("'GRD-"&amp;M31&amp;"'!$B:$R"),16,FALSE)))</f>
        <v/>
      </c>
      <c r="M31" s="130">
        <f t="array" ref="M31">IF(K31="","",IFERROR(OFFSET($BZ$11,0,MATCH($K31,$CA31:$FV31,0),),""))</f>
        <v/>
      </c>
      <c r="N31" s="119">
        <f t="array" ref="N31">IF(K31="","",INDIRECT("'GRD-"&amp;M31&amp;"'!$L$7"))</f>
        <v/>
      </c>
      <c r="O31" s="76">
        <f t="array" ref="O31">IFERROR(OFFSET($BZ$11,ROW($B31)-11,MATCH(O$10,$CA31:$FV31,0),),"")</f>
        <v/>
      </c>
      <c r="P31" s="76">
        <f>IF(O31="","",IF(VLOOKUP($B31,INDIRECT("'GRD-"&amp;Q31&amp;"'!$B:$R"),16,FALSE)="","",VLOOKUP($B31,INDIRECT("'GRD-"&amp;Q31&amp;"'!$B:$R"),16,FALSE)))</f>
        <v/>
      </c>
      <c r="Q31" s="132">
        <f t="array" ref="Q31">IF(O31="","",IFERROR(OFFSET($BZ$11,0,MATCH($O31,$CA31:$FV31,0),),""))</f>
        <v/>
      </c>
      <c r="R31" s="121">
        <f t="array" ref="R31">IF(O31="","",INDIRECT("'GRD-"&amp;Q31&amp;"'!$L$7"))</f>
        <v/>
      </c>
      <c r="S31" s="83">
        <f t="array" ref="S31">IFERROR(OFFSET($BZ$11,ROW($B31)-11,MATCH(S$10,$CA31:$FV31,0),),"")</f>
        <v/>
      </c>
      <c r="T31" s="83">
        <f>IF(S31="","",IF(VLOOKUP($B31,INDIRECT("'GRD-"&amp;U31&amp;"'!$B:$R"),16,FALSE)="","",VLOOKUP($B31,INDIRECT("'GRD-"&amp;U31&amp;"'!$B:$R"),16,FALSE)))</f>
        <v/>
      </c>
      <c r="U31" s="128">
        <f t="array" ref="U31">IF(S31="","",IFERROR(OFFSET($BZ$11,0,MATCH($S31,$CA31:$FV31,0),),""))</f>
        <v/>
      </c>
      <c r="V31" s="133">
        <f t="array" ref="V31">IF(S31="","",INDIRECT("'GRD-"&amp;U31&amp;"'!$L$7"))</f>
        <v/>
      </c>
      <c r="W31" s="84">
        <f t="array" ref="W31">IFERROR(OFFSET($BZ$11,ROW($B31)-11,MATCH(W$10,$CA31:$FV31,0),),"")</f>
        <v/>
      </c>
      <c r="X31" s="84">
        <f>IF(W31="","",IF(VLOOKUP($B31,INDIRECT("'GRD-"&amp;Y31&amp;"'!$B:$R"),16,FALSE)="","",VLOOKUP($B31,INDIRECT("'GRD-"&amp;Y31&amp;"'!$B:$R"),16,FALSE)))</f>
        <v/>
      </c>
      <c r="Y31" s="129">
        <f t="array" ref="Y31">IF(W31="","",IFERROR(OFFSET($BZ$11,0,MATCH($W31,$CA31:$FV31,0),),""))</f>
        <v/>
      </c>
      <c r="Z31" s="134">
        <f t="array" ref="Z31">IF(W31="","",INDIRECT("'GRD-"&amp;Y31&amp;"'!$L$7"))</f>
        <v/>
      </c>
      <c r="AA31" s="85">
        <f t="array" ref="AA31">IFERROR(OFFSET($BZ$11,ROW($B31)-11,MATCH(AA$10,$CA31:$FV31,0),),"")</f>
        <v/>
      </c>
      <c r="AB31" s="85">
        <f>IF(AA31="","",IF(VLOOKUP($B31,INDIRECT("'GRD-"&amp;AC31&amp;"'!$B:$R"),16,FALSE)="","",VLOOKUP($B31,INDIRECT("'GRD-"&amp;AC31&amp;"'!$B:$R"),16,FALSE)))</f>
        <v/>
      </c>
      <c r="AC31" s="130">
        <f t="array" ref="AC31">IF(AA31="","",IFERROR(OFFSET($BZ$11,0,MATCH($AA31,$CA31:$FV31,0),),""))</f>
        <v/>
      </c>
      <c r="AD31" s="131">
        <f t="array" ref="AD31">IF(AA31="","",INDIRECT("'GRD-"&amp;AC31&amp;"'!$L$7"))</f>
        <v/>
      </c>
      <c r="AE31" s="76">
        <f t="array" ref="AE31">IFERROR(OFFSET($BZ$11,ROW($B31)-11,MATCH(AE$10,$CA31:$FV31,0),),"")</f>
        <v/>
      </c>
      <c r="AF31" s="76">
        <f>IF(AE31="","",IF(VLOOKUP($B31,INDIRECT("'GRD-"&amp;AG31&amp;"'!$B:$R"),16,FALSE)="","",VLOOKUP($B31,INDIRECT("'GRD-"&amp;AG31&amp;"'!$B:$R"),16,FALSE)))</f>
        <v/>
      </c>
      <c r="AG31" s="132">
        <f t="array" ref="AG31">IF(AE31="","",IFERROR(OFFSET($BZ$11,0,MATCH($AE31,$CA31:$FV31,0),),""))</f>
        <v/>
      </c>
      <c r="AH31" s="121">
        <f t="array" ref="AH31">IF(AE31="","",INDIRECT("'GRD-"&amp;AG31&amp;"'!$L$7"))</f>
        <v/>
      </c>
      <c r="AI31" s="83">
        <f t="array" ref="AI31">IFERROR(OFFSET($BZ$11,ROW($B31)-11,MATCH(AI$10,$CA31:$FV31,0),),"")</f>
        <v/>
      </c>
      <c r="AJ31" s="83">
        <f>IF(AI31="","",IF(VLOOKUP($B31,INDIRECT("'GRD-"&amp;AK31&amp;"'!$B:$R"),16,FALSE)="","",VLOOKUP($B31,INDIRECT("'GRD-"&amp;AK31&amp;"'!$B:$R"),16,FALSE)))</f>
        <v/>
      </c>
      <c r="AK31" s="128">
        <f t="array" ref="AK31">IF(AI31="","",IFERROR(OFFSET($BZ$11,0,MATCH($AI31,$CA31:$FV31,0),),""))</f>
        <v/>
      </c>
      <c r="AL31" s="133">
        <f t="array" ref="AL31">IF(AI31="","",INDIRECT("'GRD-"&amp;AK31&amp;"'!$L$7"))</f>
        <v/>
      </c>
      <c r="AM31" s="84">
        <f t="array" ref="AM31">IFERROR(OFFSET($BZ$11,ROW($B31)-11,MATCH(AM$10,$CA31:$FV31,0),),"")</f>
        <v/>
      </c>
      <c r="AN31" s="84">
        <f>IF(AM31="","",IF(VLOOKUP($B31,INDIRECT("'GRD-"&amp;AO31&amp;"'!$B:$R"),16,FALSE)="","",VLOOKUP($B31,INDIRECT("'GRD-"&amp;AO31&amp;"'!$B:$R"),16,FALSE)))</f>
        <v/>
      </c>
      <c r="AO31" s="129">
        <f t="array" ref="AO31">IF(AM31="","",IFERROR(OFFSET($BZ$11,0,MATCH($AM31,$CA31:$FV31,0),),""))</f>
        <v/>
      </c>
      <c r="AP31" s="134">
        <f t="array" ref="AP31">IF(AM31="","",INDIRECT("'GRD-"&amp;AO31&amp;"'!$L$7"))</f>
        <v/>
      </c>
      <c r="AQ31" s="85">
        <f t="array" ref="AQ31">IFERROR(OFFSET($BZ$11,ROW($B31)-11,MATCH(AQ$10,$CA31:$FV31,0),),"")</f>
        <v/>
      </c>
      <c r="AR31" s="85">
        <f>IF(AQ31="","",IF(VLOOKUP($B31,INDIRECT("'GRD-"&amp;AS31&amp;"'!$B:$R"),16,FALSE)="","",VLOOKUP($B31,INDIRECT("'GRD-"&amp;AS31&amp;"'!$B:$R"),16,FALSE)))</f>
        <v/>
      </c>
      <c r="AS31" s="130">
        <f t="array" ref="AS31">IF(AQ31="","",IFERROR(OFFSET($BZ$11,0,MATCH($AQ31,$CA31:$FV31,0),),""))</f>
        <v/>
      </c>
      <c r="AT31" s="131">
        <f t="array" ref="AT31">IF(AQ31="","",INDIRECT("'GRD-"&amp;AS31&amp;"'!$L$7"))</f>
        <v/>
      </c>
      <c r="AU31" s="76">
        <f t="array" ref="AU31">IFERROR(OFFSET($BZ$11,ROW($B31)-11,MATCH(AU$10,$CA31:$FV31,0),),"")</f>
        <v/>
      </c>
      <c r="AV31" s="76">
        <f>IF(AU31="","",IF(VLOOKUP($B31,INDIRECT("'GRD-"&amp;AW31&amp;"'!$B:$R"),16,FALSE)="","",VLOOKUP($B31,INDIRECT("'GRD-"&amp;AW31&amp;"'!$B:$R"),16,FALSE)))</f>
        <v/>
      </c>
      <c r="AW31" s="132">
        <f t="array" ref="AW31">IF(AU31="","",IFERROR(OFFSET($BZ$11,0,MATCH($AU31,$CA31:$FV31,0),),""))</f>
        <v/>
      </c>
      <c r="AX31" s="121">
        <f t="array" ref="AX31">IF(AU31="","",INDIRECT("'GRD-"&amp;AW31&amp;"'!$L$7"))</f>
        <v/>
      </c>
      <c r="AY31" s="83">
        <f t="array" ref="AY31">IFERROR(OFFSET($BZ$11,ROW($B31)-11,MATCH(AY$10,$CA31:$FV31,0),),"")</f>
        <v/>
      </c>
      <c r="AZ31" s="83">
        <f>IF(AY31="","",IF(VLOOKUP($B31,INDIRECT("'GRD-"&amp;BA31&amp;"'!$B:$R"),16,FALSE)="","",VLOOKUP($B31,INDIRECT("'GRD-"&amp;BA31&amp;"'!$B:$R"),16,FALSE)))</f>
        <v/>
      </c>
      <c r="BA31" s="128">
        <f t="array" ref="BA31">IF(AY31="","",IFERROR(OFFSET($BZ$11,0,MATCH($AY31,$CA31:$FV31,0),),""))</f>
        <v/>
      </c>
      <c r="BB31" s="133">
        <f t="array" ref="BB31">IF(AY31="","",INDIRECT("'GRD-"&amp;BA31&amp;"'!$L$7"))</f>
        <v/>
      </c>
      <c r="BC31" s="84">
        <f t="array" ref="BC31">IFERROR(OFFSET($BZ$11,ROW($B31)-11,MATCH(BC$10,$CA31:$FV31,0),),"")</f>
        <v/>
      </c>
      <c r="BD31" s="84">
        <f>IF(BC31="","",IF(VLOOKUP($B31,INDIRECT("'GRD-"&amp;BE31&amp;"'!$B:$R"),16,FALSE)="","",VLOOKUP($B31,INDIRECT("'GRD-"&amp;BE31&amp;"'!$B:$R"),16,FALSE)))</f>
        <v/>
      </c>
      <c r="BE31" s="129">
        <f t="array" ref="BE31">IF(BC31="","",IFERROR(OFFSET($BZ$11,0,MATCH($BC31,$CA31:$FV31,0),),""))</f>
        <v/>
      </c>
      <c r="BF31" s="134">
        <f t="array" ref="BF31">IF(BC31="","",INDIRECT("'GRD-"&amp;BE31&amp;"'!$L$7"))</f>
        <v/>
      </c>
      <c r="CA31" s="96">
        <f>IFERROR(VLOOKUP($B31,INDIRECT("'GRD-"&amp;CA$11&amp;"'!B:R"),15,FALSE),"")</f>
        <v/>
      </c>
      <c r="CB31" s="96">
        <f>IFERROR(VLOOKUP($B31,INDIRECT("'GRD-"&amp;CB$11&amp;"'!B:R"),15,FALSE),"")</f>
        <v/>
      </c>
      <c r="CC31" s="96">
        <f>IFERROR(VLOOKUP($B31,INDIRECT("'GRD-"&amp;CC$11&amp;"'!B:R"),15,FALSE),"")</f>
        <v/>
      </c>
      <c r="CD31" s="96">
        <f>IFERROR(VLOOKUP($B31,INDIRECT("'GRD-"&amp;CD$11&amp;"'!B:R"),15,FALSE),"")</f>
        <v/>
      </c>
      <c r="CE31" s="96">
        <f>IFERROR(VLOOKUP($B31,INDIRECT("'GRD-"&amp;CE$11&amp;"'!B:R"),15,FALSE),"")</f>
        <v/>
      </c>
      <c r="CF31" s="96">
        <f>IFERROR(VLOOKUP($B31,INDIRECT("'GRD-"&amp;CF$11&amp;"'!B:R"),15,FALSE),"")</f>
        <v/>
      </c>
      <c r="CG31" s="96">
        <f>IFERROR(VLOOKUP($B31,INDIRECT("'GRD-"&amp;CG$11&amp;"'!B:R"),15,FALSE),"")</f>
        <v/>
      </c>
      <c r="CH31" s="96">
        <f>IFERROR(VLOOKUP($B31,INDIRECT("'GRD-"&amp;CH$11&amp;"'!B:R"),15,FALSE),"")</f>
        <v/>
      </c>
      <c r="CI31" s="96">
        <f>IFERROR(VLOOKUP($B31,INDIRECT("'GRD-"&amp;CI$11&amp;"'!B:R"),15,FALSE),"")</f>
        <v/>
      </c>
      <c r="CJ31" s="96">
        <f>IFERROR(VLOOKUP($B31,INDIRECT("'GRD-"&amp;CJ$11&amp;"'!B:R"),15,FALSE),"")</f>
        <v/>
      </c>
      <c r="CK31" s="96">
        <f>IFERROR(VLOOKUP($B31,INDIRECT("'GRD-"&amp;CK$11&amp;"'!B:R"),15,FALSE),"")</f>
        <v/>
      </c>
      <c r="CL31" s="96">
        <f>IFERROR(VLOOKUP($B31,INDIRECT("'GRD-"&amp;CL$11&amp;"'!B:R"),15,FALSE),"")</f>
        <v/>
      </c>
      <c r="CM31" s="96">
        <f>IFERROR(VLOOKUP($B31,INDIRECT("'GRD-"&amp;CM$11&amp;"'!B:R"),15,FALSE),"")</f>
        <v/>
      </c>
      <c r="CN31" s="96">
        <f>IFERROR(VLOOKUP($B31,INDIRECT("'GRD-"&amp;CN$11&amp;"'!B:R"),15,FALSE),"")</f>
        <v/>
      </c>
      <c r="CO31" s="96">
        <f>IFERROR(VLOOKUP($B31,INDIRECT("'GRD-"&amp;CO$11&amp;"'!B:R"),15,FALSE),"")</f>
        <v/>
      </c>
      <c r="CP31" s="96">
        <f>IFERROR(VLOOKUP($B31,INDIRECT("'GRD-"&amp;CP$11&amp;"'!B:R"),15,FALSE),"")</f>
        <v/>
      </c>
      <c r="CQ31" s="96">
        <f>IFERROR(VLOOKUP($B31,INDIRECT("'GRD-"&amp;CQ$11&amp;"'!B:R"),15,FALSE),"")</f>
        <v/>
      </c>
      <c r="CR31" s="96">
        <f>IFERROR(VLOOKUP($B31,INDIRECT("'GRD-"&amp;CR$11&amp;"'!B:R"),15,FALSE),"")</f>
        <v/>
      </c>
      <c r="CS31" s="96">
        <f>IFERROR(VLOOKUP($B31,INDIRECT("'GRD-"&amp;CS$11&amp;"'!B:R"),15,FALSE),"")</f>
        <v/>
      </c>
      <c r="CT31" s="96">
        <f>IFERROR(VLOOKUP($B31,INDIRECT("'GRD-"&amp;CT$11&amp;"'!B:R"),15,FALSE),"")</f>
        <v/>
      </c>
      <c r="CU31" s="96">
        <f>IFERROR(VLOOKUP($B31,INDIRECT("'GRD-"&amp;CU$11&amp;"'!B:R"),15,FALSE),"")</f>
        <v/>
      </c>
      <c r="CV31" s="96">
        <f>IFERROR(VLOOKUP($B31,INDIRECT("'GRD-"&amp;CV$11&amp;"'!B:R"),15,FALSE),"")</f>
        <v/>
      </c>
      <c r="CW31" s="96">
        <f>IFERROR(VLOOKUP($B31,INDIRECT("'GRD-"&amp;CW$11&amp;"'!B:R"),15,FALSE),"")</f>
        <v/>
      </c>
      <c r="CX31" s="96">
        <f>IFERROR(VLOOKUP($B31,INDIRECT("'GRD-"&amp;CX$11&amp;"'!B:R"),15,FALSE),"")</f>
        <v/>
      </c>
      <c r="CY31" s="96">
        <f>IFERROR(VLOOKUP($B31,INDIRECT("'GRD-"&amp;CY$11&amp;"'!B:R"),15,FALSE),"")</f>
        <v/>
      </c>
      <c r="CZ31" s="96">
        <f>IFERROR(VLOOKUP($B31,INDIRECT("'GRD-"&amp;CZ$11&amp;"'!B:R"),15,FALSE),"")</f>
        <v/>
      </c>
      <c r="DA31" s="96">
        <f>IFERROR(VLOOKUP($B31,INDIRECT("'GRD-"&amp;DA$11&amp;"'!B:R"),15,FALSE),"")</f>
        <v/>
      </c>
      <c r="DB31" s="96">
        <f>IFERROR(VLOOKUP($B31,INDIRECT("'GRD-"&amp;DB$11&amp;"'!B:R"),15,FALSE),"")</f>
        <v/>
      </c>
      <c r="DC31" s="96">
        <f>IFERROR(VLOOKUP($B31,INDIRECT("'GRD-"&amp;DC$11&amp;"'!B:R"),15,FALSE),"")</f>
        <v/>
      </c>
      <c r="DD31" s="96">
        <f>IFERROR(VLOOKUP($B31,INDIRECT("'GRD-"&amp;DD$11&amp;"'!B:R"),15,FALSE),"")</f>
        <v/>
      </c>
      <c r="DE31" s="96">
        <f>IFERROR(VLOOKUP($B31,INDIRECT("'GRD-"&amp;DE$11&amp;"'!B:R"),15,FALSE),"")</f>
        <v/>
      </c>
      <c r="DF31" s="96">
        <f>IFERROR(VLOOKUP($B31,INDIRECT("'GRD-"&amp;DF$11&amp;"'!B:R"),15,FALSE),"")</f>
        <v/>
      </c>
      <c r="DG31" s="96">
        <f>IFERROR(VLOOKUP($B31,INDIRECT("'GRD-"&amp;DG$11&amp;"'!B:R"),15,FALSE),"")</f>
        <v/>
      </c>
      <c r="DH31" s="96">
        <f>IFERROR(VLOOKUP($B31,INDIRECT("'GRD-"&amp;DH$11&amp;"'!B:R"),15,FALSE),"")</f>
        <v/>
      </c>
      <c r="DI31" s="96">
        <f>IFERROR(VLOOKUP($B31,INDIRECT("'GRD-"&amp;DI$11&amp;"'!B:R"),15,FALSE),"")</f>
        <v/>
      </c>
      <c r="DJ31" s="96">
        <f>IFERROR(VLOOKUP($B31,INDIRECT("'GRD-"&amp;DJ$11&amp;"'!B:R"),15,FALSE),"")</f>
        <v/>
      </c>
      <c r="DK31" s="96">
        <f>IFERROR(VLOOKUP($B31,INDIRECT("'GRD-"&amp;DK$11&amp;"'!B:R"),15,FALSE),"")</f>
        <v/>
      </c>
      <c r="DL31" s="96">
        <f>IFERROR(VLOOKUP($B31,INDIRECT("'GRD-"&amp;DL$11&amp;"'!B:R"),15,FALSE),"")</f>
        <v/>
      </c>
      <c r="DM31" s="96">
        <f>IFERROR(VLOOKUP($B31,INDIRECT("'GRD-"&amp;DM$11&amp;"'!B:R"),15,FALSE),"")</f>
        <v/>
      </c>
      <c r="DN31" s="96">
        <f>IFERROR(VLOOKUP($B31,INDIRECT("'GRD-"&amp;DN$11&amp;"'!B:R"),15,FALSE),"")</f>
        <v/>
      </c>
      <c r="DO31" s="96">
        <f>IFERROR(VLOOKUP($B31,INDIRECT("'GRD-"&amp;DO$11&amp;"'!B:R"),15,FALSE),"")</f>
        <v/>
      </c>
      <c r="DP31" s="96">
        <f>IFERROR(VLOOKUP($B31,INDIRECT("'GRD-"&amp;DP$11&amp;"'!B:R"),15,FALSE),"")</f>
        <v/>
      </c>
      <c r="DQ31" s="96">
        <f>IFERROR(VLOOKUP($B31,INDIRECT("'GRD-"&amp;DQ$11&amp;"'!B:R"),15,FALSE),"")</f>
        <v/>
      </c>
      <c r="DR31" s="96">
        <f>IFERROR(VLOOKUP($B31,INDIRECT("'GRD-"&amp;DR$11&amp;"'!B:R"),15,FALSE),"")</f>
        <v/>
      </c>
      <c r="DS31" s="96">
        <f>IFERROR(VLOOKUP($B31,INDIRECT("'GRD-"&amp;DS$11&amp;"'!B:R"),15,FALSE),"")</f>
        <v/>
      </c>
      <c r="DT31" s="96">
        <f>IFERROR(VLOOKUP($B31,INDIRECT("'GRD-"&amp;DT$11&amp;"'!B:R"),15,FALSE),"")</f>
        <v/>
      </c>
      <c r="DU31" s="96">
        <f>IFERROR(VLOOKUP($B31,INDIRECT("'GRD-"&amp;DU$11&amp;"'!B:R"),15,FALSE),"")</f>
        <v/>
      </c>
      <c r="DV31" s="96">
        <f>IFERROR(VLOOKUP($B31,INDIRECT("'GRD-"&amp;DV$11&amp;"'!B:R"),15,FALSE),"")</f>
        <v/>
      </c>
      <c r="DW31" s="96">
        <f>IFERROR(VLOOKUP($B31,INDIRECT("'GRD-"&amp;DW$11&amp;"'!B:R"),15,FALSE),"")</f>
        <v/>
      </c>
      <c r="DX31" s="96">
        <f>IFERROR(VLOOKUP($B31,INDIRECT("'GRD-"&amp;DX$11&amp;"'!B:R"),15,FALSE),"")</f>
        <v/>
      </c>
      <c r="DY31" s="96">
        <f>IFERROR(VLOOKUP($B31,INDIRECT("'GRD-"&amp;DY$11&amp;"'!B:R"),15,FALSE),"")</f>
        <v/>
      </c>
      <c r="DZ31" s="96">
        <f>IFERROR(VLOOKUP($B31,INDIRECT("'GRD-"&amp;DZ$11&amp;"'!B:R"),15,FALSE),"")</f>
        <v/>
      </c>
      <c r="EA31" s="96">
        <f>IFERROR(VLOOKUP($B31,INDIRECT("'GRD-"&amp;EA$11&amp;"'!B:R"),15,FALSE),"")</f>
        <v/>
      </c>
      <c r="EB31" s="96">
        <f>IFERROR(VLOOKUP($B31,INDIRECT("'GRD-"&amp;EB$11&amp;"'!B:R"),15,FALSE),"")</f>
        <v/>
      </c>
      <c r="EC31" s="96">
        <f>IFERROR(VLOOKUP($B31,INDIRECT("'GRD-"&amp;EC$11&amp;"'!B:R"),15,FALSE),"")</f>
        <v/>
      </c>
      <c r="ED31" s="96">
        <f>IFERROR(VLOOKUP($B31,INDIRECT("'GRD-"&amp;ED$11&amp;"'!B:R"),15,FALSE),"")</f>
        <v/>
      </c>
      <c r="EE31" s="96">
        <f>IFERROR(VLOOKUP($B31,INDIRECT("'GRD-"&amp;EE$11&amp;"'!B:R"),15,FALSE),"")</f>
        <v/>
      </c>
      <c r="EF31" s="96">
        <f>IFERROR(VLOOKUP($B31,INDIRECT("'GRD-"&amp;EF$11&amp;"'!B:R"),15,FALSE),"")</f>
        <v/>
      </c>
      <c r="EG31" s="96">
        <f>IFERROR(VLOOKUP($B31,INDIRECT("'GRD-"&amp;EG$11&amp;"'!B:R"),15,FALSE),"")</f>
        <v/>
      </c>
      <c r="EH31" s="96">
        <f>IFERROR(VLOOKUP($B31,INDIRECT("'GRD-"&amp;EH$11&amp;"'!B:R"),15,FALSE),"")</f>
        <v/>
      </c>
      <c r="EI31" s="96">
        <f>IFERROR(VLOOKUP($B31,INDIRECT("'GRD-"&amp;EI$11&amp;"'!B:R"),15,FALSE),"")</f>
        <v/>
      </c>
      <c r="EJ31" s="96">
        <f>IFERROR(VLOOKUP($B31,INDIRECT("'GRD-"&amp;EJ$11&amp;"'!B:R"),15,FALSE),"")</f>
        <v/>
      </c>
      <c r="EK31" s="96">
        <f>IFERROR(VLOOKUP($B31,INDIRECT("'GRD-"&amp;EK$11&amp;"'!B:R"),15,FALSE),"")</f>
        <v/>
      </c>
      <c r="EL31" s="96">
        <f>IFERROR(VLOOKUP($B31,INDIRECT("'GRD-"&amp;EL$11&amp;"'!B:R"),15,FALSE),"")</f>
        <v/>
      </c>
      <c r="EM31" s="96">
        <f>IFERROR(VLOOKUP($B31,INDIRECT("'GRD-"&amp;EM$11&amp;"'!B:R"),15,FALSE),"")</f>
        <v/>
      </c>
      <c r="EN31" s="96">
        <f>IFERROR(VLOOKUP($B31,INDIRECT("'GRD-"&amp;EN$11&amp;"'!B:R"),15,FALSE),"")</f>
        <v/>
      </c>
      <c r="EO31" s="96">
        <f>IFERROR(VLOOKUP($B31,INDIRECT("'GRD-"&amp;EO$11&amp;"'!B:R"),15,FALSE),"")</f>
        <v/>
      </c>
      <c r="EP31" s="96">
        <f>IFERROR(VLOOKUP($B31,INDIRECT("'GRD-"&amp;EP$11&amp;"'!B:R"),15,FALSE),"")</f>
        <v/>
      </c>
      <c r="EQ31" s="96">
        <f>IFERROR(VLOOKUP($B31,INDIRECT("'GRD-"&amp;EQ$11&amp;"'!B:R"),15,FALSE),"")</f>
        <v/>
      </c>
      <c r="ER31" s="96">
        <f>IFERROR(VLOOKUP($B31,INDIRECT("'GRD-"&amp;ER$11&amp;"'!B:R"),15,FALSE),"")</f>
        <v/>
      </c>
      <c r="ES31" s="96">
        <f>IFERROR(VLOOKUP($B31,INDIRECT("'GRD-"&amp;ES$11&amp;"'!B:R"),15,FALSE),"")</f>
        <v/>
      </c>
      <c r="ET31" s="96">
        <f>IFERROR(VLOOKUP($B31,INDIRECT("'GRD-"&amp;ET$11&amp;"'!B:R"),15,FALSE),"")</f>
        <v/>
      </c>
      <c r="EU31" s="96">
        <f>IFERROR(VLOOKUP($B31,INDIRECT("'GRD-"&amp;EU$11&amp;"'!B:R"),15,FALSE),"")</f>
        <v/>
      </c>
      <c r="EV31" s="96">
        <f>IFERROR(VLOOKUP($B31,INDIRECT("'GRD-"&amp;EV$11&amp;"'!B:R"),15,FALSE),"")</f>
        <v/>
      </c>
      <c r="EW31" s="96">
        <f>IFERROR(VLOOKUP($B31,INDIRECT("'GRD-"&amp;EW$11&amp;"'!B:R"),15,FALSE),"")</f>
        <v/>
      </c>
      <c r="EX31" s="96">
        <f>IFERROR(VLOOKUP($B31,INDIRECT("'GRD-"&amp;EX$11&amp;"'!B:R"),15,FALSE),"")</f>
        <v/>
      </c>
      <c r="EY31" s="96">
        <f>IFERROR(VLOOKUP($B31,INDIRECT("'GRD-"&amp;EY$11&amp;"'!B:R"),15,FALSE),"")</f>
        <v/>
      </c>
      <c r="EZ31" s="96">
        <f>IFERROR(VLOOKUP($B31,INDIRECT("'GRD-"&amp;EZ$11&amp;"'!B:R"),15,FALSE),"")</f>
        <v/>
      </c>
      <c r="FA31" s="96">
        <f>IFERROR(VLOOKUP($B31,INDIRECT("'GRD-"&amp;FA$11&amp;"'!B:R"),15,FALSE),"")</f>
        <v/>
      </c>
      <c r="FB31" s="96">
        <f>IFERROR(VLOOKUP($B31,INDIRECT("'GRD-"&amp;FB$11&amp;"'!B:R"),15,FALSE),"")</f>
        <v/>
      </c>
      <c r="FC31" s="96">
        <f>IFERROR(VLOOKUP($B31,INDIRECT("'GRD-"&amp;FC$11&amp;"'!B:R"),15,FALSE),"")</f>
        <v/>
      </c>
      <c r="FD31" s="96">
        <f>IFERROR(VLOOKUP($B31,INDIRECT("'GRD-"&amp;FD$11&amp;"'!B:R"),15,FALSE),"")</f>
        <v/>
      </c>
      <c r="FE31" s="96">
        <f>IFERROR(VLOOKUP($B31,INDIRECT("'GRD-"&amp;FE$11&amp;"'!B:R"),15,FALSE),"")</f>
        <v/>
      </c>
      <c r="FF31" s="96">
        <f>IFERROR(VLOOKUP($B31,INDIRECT("'GRD-"&amp;FF$11&amp;"'!B:R"),15,FALSE),"")</f>
        <v/>
      </c>
      <c r="FG31" s="96">
        <f>IFERROR(VLOOKUP($B31,INDIRECT("'GRD-"&amp;FG$11&amp;"'!B:R"),15,FALSE),"")</f>
        <v/>
      </c>
      <c r="FH31" s="96">
        <f>IFERROR(VLOOKUP($B31,INDIRECT("'GRD-"&amp;FH$11&amp;"'!B:R"),15,FALSE),"")</f>
        <v/>
      </c>
      <c r="FI31" s="96">
        <f>IFERROR(VLOOKUP($B31,INDIRECT("'GRD-"&amp;FI$11&amp;"'!B:R"),15,FALSE),"")</f>
        <v/>
      </c>
      <c r="FJ31" s="96">
        <f>IFERROR(VLOOKUP($B31,INDIRECT("'GRD-"&amp;FJ$11&amp;"'!B:R"),15,FALSE),"")</f>
        <v/>
      </c>
      <c r="FK31" s="96">
        <f>IFERROR(VLOOKUP($B31,INDIRECT("'GRD-"&amp;FK$11&amp;"'!B:R"),15,FALSE),"")</f>
        <v/>
      </c>
      <c r="FL31" s="96">
        <f>IFERROR(VLOOKUP($B31,INDIRECT("'GRD-"&amp;FL$11&amp;"'!B:R"),15,FALSE),"")</f>
        <v/>
      </c>
      <c r="FM31" s="96">
        <f>IFERROR(VLOOKUP($B31,INDIRECT("'GRD-"&amp;FM$11&amp;"'!B:R"),15,FALSE),"")</f>
        <v/>
      </c>
      <c r="FN31" s="96">
        <f>IFERROR(VLOOKUP($B31,INDIRECT("'GRD-"&amp;FN$11&amp;"'!B:R"),15,FALSE),"")</f>
        <v/>
      </c>
      <c r="FO31" s="96">
        <f>IFERROR(VLOOKUP($B31,INDIRECT("'GRD-"&amp;FO$11&amp;"'!B:R"),15,FALSE),"")</f>
        <v/>
      </c>
      <c r="FP31" s="96">
        <f>IFERROR(VLOOKUP($B31,INDIRECT("'GRD-"&amp;FP$11&amp;"'!B:R"),15,FALSE),"")</f>
        <v/>
      </c>
      <c r="FQ31" s="96">
        <f>IFERROR(VLOOKUP($B31,INDIRECT("'GRD-"&amp;FQ$11&amp;"'!B:R"),15,FALSE),"")</f>
        <v/>
      </c>
      <c r="FR31" s="96">
        <f>IFERROR(VLOOKUP($B31,INDIRECT("'GRD-"&amp;FR$11&amp;"'!B:R"),15,FALSE),"")</f>
        <v/>
      </c>
      <c r="FS31" s="96">
        <f>IFERROR(VLOOKUP($B31,INDIRECT("'GRD-"&amp;FS$11&amp;"'!B:R"),15,FALSE),"")</f>
        <v/>
      </c>
      <c r="FT31" s="96">
        <f>IFERROR(VLOOKUP($B31,INDIRECT("'GRD-"&amp;FT$11&amp;"'!B:R"),15,FALSE),"")</f>
        <v/>
      </c>
      <c r="FU31" s="96">
        <f>IFERROR(VLOOKUP($B31,INDIRECT("'GRD-"&amp;FU$11&amp;"'!B:R"),15,FALSE),"")</f>
        <v/>
      </c>
      <c r="FV31" s="96">
        <f>IFERROR(VLOOKUP($B31,INDIRECT("'GRD-"&amp;FV$11&amp;"'!B:R"),15,FALSE),"")</f>
        <v/>
      </c>
    </row>
    <row r="32">
      <c r="B32" s="68" t="n"/>
      <c r="C32" s="72" t="n"/>
      <c r="D32" s="73">
        <f>IF(K32="","",MAX($CA32:$FV32))</f>
        <v/>
      </c>
      <c r="E32" s="74">
        <f t="array" ref="E32">IF($K32="","",OFFSET($A$1,ROW($B32)-1,11+$D32*4,))</f>
        <v/>
      </c>
      <c r="F32" s="74">
        <f t="array" ref="F32">IF($K32="","",OFFSET($A$1,ROW($B32)-1,12+$D32*4,))</f>
        <v/>
      </c>
      <c r="G32" s="118">
        <f t="array" ref="G32">IF($K32="","",OFFSET($A$1,ROW($B32)-1,13+$D32*4,))</f>
        <v/>
      </c>
      <c r="H32" s="81" t="n"/>
      <c r="I32" s="82" t="n"/>
      <c r="J32" s="75">
        <f>IF(I32="A4",H32/8,IF(I32="A3",H32/4,IF(I32="A2",H32/2,IF(I32="A1",H32/1,IF(I32="A0",H32*2,"")))))</f>
        <v/>
      </c>
      <c r="K32" s="68">
        <f t="array" ref="K32">IFERROR(OFFSET($BZ$11,ROW($B32)-11,MATCH(K$10,$CA32:$FV32,0),),"")</f>
        <v/>
      </c>
      <c r="L32" s="85">
        <f>IF(K32="","",IF(VLOOKUP($B32,INDIRECT("'GRD-"&amp;M32&amp;"'!$B:$R"),16,FALSE)="","",VLOOKUP($B32,INDIRECT("'GRD-"&amp;M32&amp;"'!$B:$R"),16,FALSE)))</f>
        <v/>
      </c>
      <c r="M32" s="130">
        <f t="array" ref="M32">IF(K32="","",IFERROR(OFFSET($BZ$11,0,MATCH($K32,$CA32:$FV32,0),),""))</f>
        <v/>
      </c>
      <c r="N32" s="119">
        <f t="array" ref="N32">IF(K32="","",INDIRECT("'GRD-"&amp;M32&amp;"'!$L$7"))</f>
        <v/>
      </c>
      <c r="O32" s="76">
        <f t="array" ref="O32">IFERROR(OFFSET($BZ$11,ROW($B32)-11,MATCH(O$10,$CA32:$FV32,0),),"")</f>
        <v/>
      </c>
      <c r="P32" s="76">
        <f>IF(O32="","",IF(VLOOKUP($B32,INDIRECT("'GRD-"&amp;Q32&amp;"'!$B:$R"),16,FALSE)="","",VLOOKUP($B32,INDIRECT("'GRD-"&amp;Q32&amp;"'!$B:$R"),16,FALSE)))</f>
        <v/>
      </c>
      <c r="Q32" s="132">
        <f t="array" ref="Q32">IF(O32="","",IFERROR(OFFSET($BZ$11,0,MATCH($O32,$CA32:$FV32,0),),""))</f>
        <v/>
      </c>
      <c r="R32" s="121">
        <f t="array" ref="R32">IF(O32="","",INDIRECT("'GRD-"&amp;Q32&amp;"'!$L$7"))</f>
        <v/>
      </c>
      <c r="S32" s="83">
        <f t="array" ref="S32">IFERROR(OFFSET($BZ$11,ROW($B32)-11,MATCH(S$10,$CA32:$FV32,0),),"")</f>
        <v/>
      </c>
      <c r="T32" s="83">
        <f>IF(S32="","",IF(VLOOKUP($B32,INDIRECT("'GRD-"&amp;U32&amp;"'!$B:$R"),16,FALSE)="","",VLOOKUP($B32,INDIRECT("'GRD-"&amp;U32&amp;"'!$B:$R"),16,FALSE)))</f>
        <v/>
      </c>
      <c r="U32" s="128">
        <f t="array" ref="U32">IF(S32="","",IFERROR(OFFSET($BZ$11,0,MATCH($S32,$CA32:$FV32,0),),""))</f>
        <v/>
      </c>
      <c r="V32" s="133">
        <f t="array" ref="V32">IF(S32="","",INDIRECT("'GRD-"&amp;U32&amp;"'!$L$7"))</f>
        <v/>
      </c>
      <c r="W32" s="84">
        <f t="array" ref="W32">IFERROR(OFFSET($BZ$11,ROW($B32)-11,MATCH(W$10,$CA32:$FV32,0),),"")</f>
        <v/>
      </c>
      <c r="X32" s="84">
        <f>IF(W32="","",IF(VLOOKUP($B32,INDIRECT("'GRD-"&amp;Y32&amp;"'!$B:$R"),16,FALSE)="","",VLOOKUP($B32,INDIRECT("'GRD-"&amp;Y32&amp;"'!$B:$R"),16,FALSE)))</f>
        <v/>
      </c>
      <c r="Y32" s="129">
        <f t="array" ref="Y32">IF(W32="","",IFERROR(OFFSET($BZ$11,0,MATCH($W32,$CA32:$FV32,0),),""))</f>
        <v/>
      </c>
      <c r="Z32" s="134">
        <f t="array" ref="Z32">IF(W32="","",INDIRECT("'GRD-"&amp;Y32&amp;"'!$L$7"))</f>
        <v/>
      </c>
      <c r="AA32" s="85">
        <f t="array" ref="AA32">IFERROR(OFFSET($BZ$11,ROW($B32)-11,MATCH(AA$10,$CA32:$FV32,0),),"")</f>
        <v/>
      </c>
      <c r="AB32" s="85">
        <f>IF(AA32="","",IF(VLOOKUP($B32,INDIRECT("'GRD-"&amp;AC32&amp;"'!$B:$R"),16,FALSE)="","",VLOOKUP($B32,INDIRECT("'GRD-"&amp;AC32&amp;"'!$B:$R"),16,FALSE)))</f>
        <v/>
      </c>
      <c r="AC32" s="130">
        <f t="array" ref="AC32">IF(AA32="","",IFERROR(OFFSET($BZ$11,0,MATCH($AA32,$CA32:$FV32,0),),""))</f>
        <v/>
      </c>
      <c r="AD32" s="131">
        <f t="array" ref="AD32">IF(AA32="","",INDIRECT("'GRD-"&amp;AC32&amp;"'!$L$7"))</f>
        <v/>
      </c>
      <c r="AE32" s="76">
        <f t="array" ref="AE32">IFERROR(OFFSET($BZ$11,ROW($B32)-11,MATCH(AE$10,$CA32:$FV32,0),),"")</f>
        <v/>
      </c>
      <c r="AF32" s="76">
        <f>IF(AE32="","",IF(VLOOKUP($B32,INDIRECT("'GRD-"&amp;AG32&amp;"'!$B:$R"),16,FALSE)="","",VLOOKUP($B32,INDIRECT("'GRD-"&amp;AG32&amp;"'!$B:$R"),16,FALSE)))</f>
        <v/>
      </c>
      <c r="AG32" s="132">
        <f t="array" ref="AG32">IF(AE32="","",IFERROR(OFFSET($BZ$11,0,MATCH($AE32,$CA32:$FV32,0),),""))</f>
        <v/>
      </c>
      <c r="AH32" s="121">
        <f t="array" ref="AH32">IF(AE32="","",INDIRECT("'GRD-"&amp;AG32&amp;"'!$L$7"))</f>
        <v/>
      </c>
      <c r="AI32" s="83">
        <f t="array" ref="AI32">IFERROR(OFFSET($BZ$11,ROW($B32)-11,MATCH(AI$10,$CA32:$FV32,0),),"")</f>
        <v/>
      </c>
      <c r="AJ32" s="83">
        <f>IF(AI32="","",IF(VLOOKUP($B32,INDIRECT("'GRD-"&amp;AK32&amp;"'!$B:$R"),16,FALSE)="","",VLOOKUP($B32,INDIRECT("'GRD-"&amp;AK32&amp;"'!$B:$R"),16,FALSE)))</f>
        <v/>
      </c>
      <c r="AK32" s="128">
        <f t="array" ref="AK32">IF(AI32="","",IFERROR(OFFSET($BZ$11,0,MATCH($AI32,$CA32:$FV32,0),),""))</f>
        <v/>
      </c>
      <c r="AL32" s="133">
        <f t="array" ref="AL32">IF(AI32="","",INDIRECT("'GRD-"&amp;AK32&amp;"'!$L$7"))</f>
        <v/>
      </c>
      <c r="AM32" s="84">
        <f t="array" ref="AM32">IFERROR(OFFSET($BZ$11,ROW($B32)-11,MATCH(AM$10,$CA32:$FV32,0),),"")</f>
        <v/>
      </c>
      <c r="AN32" s="84">
        <f>IF(AM32="","",IF(VLOOKUP($B32,INDIRECT("'GRD-"&amp;AO32&amp;"'!$B:$R"),16,FALSE)="","",VLOOKUP($B32,INDIRECT("'GRD-"&amp;AO32&amp;"'!$B:$R"),16,FALSE)))</f>
        <v/>
      </c>
      <c r="AO32" s="129">
        <f t="array" ref="AO32">IF(AM32="","",IFERROR(OFFSET($BZ$11,0,MATCH($AM32,$CA32:$FV32,0),),""))</f>
        <v/>
      </c>
      <c r="AP32" s="134">
        <f t="array" ref="AP32">IF(AM32="","",INDIRECT("'GRD-"&amp;AO32&amp;"'!$L$7"))</f>
        <v/>
      </c>
      <c r="AQ32" s="85">
        <f t="array" ref="AQ32">IFERROR(OFFSET($BZ$11,ROW($B32)-11,MATCH(AQ$10,$CA32:$FV32,0),),"")</f>
        <v/>
      </c>
      <c r="AR32" s="85">
        <f>IF(AQ32="","",IF(VLOOKUP($B32,INDIRECT("'GRD-"&amp;AS32&amp;"'!$B:$R"),16,FALSE)="","",VLOOKUP($B32,INDIRECT("'GRD-"&amp;AS32&amp;"'!$B:$R"),16,FALSE)))</f>
        <v/>
      </c>
      <c r="AS32" s="130">
        <f t="array" ref="AS32">IF(AQ32="","",IFERROR(OFFSET($BZ$11,0,MATCH($AQ32,$CA32:$FV32,0),),""))</f>
        <v/>
      </c>
      <c r="AT32" s="131">
        <f t="array" ref="AT32">IF(AQ32="","",INDIRECT("'GRD-"&amp;AS32&amp;"'!$L$7"))</f>
        <v/>
      </c>
      <c r="AU32" s="76">
        <f t="array" ref="AU32">IFERROR(OFFSET($BZ$11,ROW($B32)-11,MATCH(AU$10,$CA32:$FV32,0),),"")</f>
        <v/>
      </c>
      <c r="AV32" s="76">
        <f>IF(AU32="","",IF(VLOOKUP($B32,INDIRECT("'GRD-"&amp;AW32&amp;"'!$B:$R"),16,FALSE)="","",VLOOKUP($B32,INDIRECT("'GRD-"&amp;AW32&amp;"'!$B:$R"),16,FALSE)))</f>
        <v/>
      </c>
      <c r="AW32" s="132">
        <f t="array" ref="AW32">IF(AU32="","",IFERROR(OFFSET($BZ$11,0,MATCH($AU32,$CA32:$FV32,0),),""))</f>
        <v/>
      </c>
      <c r="AX32" s="121">
        <f t="array" ref="AX32">IF(AU32="","",INDIRECT("'GRD-"&amp;AW32&amp;"'!$L$7"))</f>
        <v/>
      </c>
      <c r="AY32" s="83">
        <f t="array" ref="AY32">IFERROR(OFFSET($BZ$11,ROW($B32)-11,MATCH(AY$10,$CA32:$FV32,0),),"")</f>
        <v/>
      </c>
      <c r="AZ32" s="83">
        <f>IF(AY32="","",IF(VLOOKUP($B32,INDIRECT("'GRD-"&amp;BA32&amp;"'!$B:$R"),16,FALSE)="","",VLOOKUP($B32,INDIRECT("'GRD-"&amp;BA32&amp;"'!$B:$R"),16,FALSE)))</f>
        <v/>
      </c>
      <c r="BA32" s="128">
        <f t="array" ref="BA32">IF(AY32="","",IFERROR(OFFSET($BZ$11,0,MATCH($AY32,$CA32:$FV32,0),),""))</f>
        <v/>
      </c>
      <c r="BB32" s="133">
        <f t="array" ref="BB32">IF(AY32="","",INDIRECT("'GRD-"&amp;BA32&amp;"'!$L$7"))</f>
        <v/>
      </c>
      <c r="BC32" s="84">
        <f t="array" ref="BC32">IFERROR(OFFSET($BZ$11,ROW($B32)-11,MATCH(BC$10,$CA32:$FV32,0),),"")</f>
        <v/>
      </c>
      <c r="BD32" s="84">
        <f>IF(BC32="","",IF(VLOOKUP($B32,INDIRECT("'GRD-"&amp;BE32&amp;"'!$B:$R"),16,FALSE)="","",VLOOKUP($B32,INDIRECT("'GRD-"&amp;BE32&amp;"'!$B:$R"),16,FALSE)))</f>
        <v/>
      </c>
      <c r="BE32" s="129">
        <f t="array" ref="BE32">IF(BC32="","",IFERROR(OFFSET($BZ$11,0,MATCH($BC32,$CA32:$FV32,0),),""))</f>
        <v/>
      </c>
      <c r="BF32" s="134">
        <f t="array" ref="BF32">IF(BC32="","",INDIRECT("'GRD-"&amp;BE32&amp;"'!$L$7"))</f>
        <v/>
      </c>
      <c r="CA32" s="96">
        <f>IFERROR(VLOOKUP($B32,INDIRECT("'GRD-"&amp;CA$11&amp;"'!B:R"),15,FALSE),"")</f>
        <v/>
      </c>
      <c r="CB32" s="96">
        <f>IFERROR(VLOOKUP($B32,INDIRECT("'GRD-"&amp;CB$11&amp;"'!B:R"),15,FALSE),"")</f>
        <v/>
      </c>
      <c r="CC32" s="96">
        <f>IFERROR(VLOOKUP($B32,INDIRECT("'GRD-"&amp;CC$11&amp;"'!B:R"),15,FALSE),"")</f>
        <v/>
      </c>
      <c r="CD32" s="96">
        <f>IFERROR(VLOOKUP($B32,INDIRECT("'GRD-"&amp;CD$11&amp;"'!B:R"),15,FALSE),"")</f>
        <v/>
      </c>
      <c r="CE32" s="96">
        <f>IFERROR(VLOOKUP($B32,INDIRECT("'GRD-"&amp;CE$11&amp;"'!B:R"),15,FALSE),"")</f>
        <v/>
      </c>
      <c r="CF32" s="96">
        <f>IFERROR(VLOOKUP($B32,INDIRECT("'GRD-"&amp;CF$11&amp;"'!B:R"),15,FALSE),"")</f>
        <v/>
      </c>
      <c r="CG32" s="96">
        <f>IFERROR(VLOOKUP($B32,INDIRECT("'GRD-"&amp;CG$11&amp;"'!B:R"),15,FALSE),"")</f>
        <v/>
      </c>
      <c r="CH32" s="96">
        <f>IFERROR(VLOOKUP($B32,INDIRECT("'GRD-"&amp;CH$11&amp;"'!B:R"),15,FALSE),"")</f>
        <v/>
      </c>
      <c r="CI32" s="96">
        <f>IFERROR(VLOOKUP($B32,INDIRECT("'GRD-"&amp;CI$11&amp;"'!B:R"),15,FALSE),"")</f>
        <v/>
      </c>
      <c r="CJ32" s="96">
        <f>IFERROR(VLOOKUP($B32,INDIRECT("'GRD-"&amp;CJ$11&amp;"'!B:R"),15,FALSE),"")</f>
        <v/>
      </c>
      <c r="CK32" s="96">
        <f>IFERROR(VLOOKUP($B32,INDIRECT("'GRD-"&amp;CK$11&amp;"'!B:R"),15,FALSE),"")</f>
        <v/>
      </c>
      <c r="CL32" s="96">
        <f>IFERROR(VLOOKUP($B32,INDIRECT("'GRD-"&amp;CL$11&amp;"'!B:R"),15,FALSE),"")</f>
        <v/>
      </c>
      <c r="CM32" s="96">
        <f>IFERROR(VLOOKUP($B32,INDIRECT("'GRD-"&amp;CM$11&amp;"'!B:R"),15,FALSE),"")</f>
        <v/>
      </c>
      <c r="CN32" s="96">
        <f>IFERROR(VLOOKUP($B32,INDIRECT("'GRD-"&amp;CN$11&amp;"'!B:R"),15,FALSE),"")</f>
        <v/>
      </c>
      <c r="CO32" s="96">
        <f>IFERROR(VLOOKUP($B32,INDIRECT("'GRD-"&amp;CO$11&amp;"'!B:R"),15,FALSE),"")</f>
        <v/>
      </c>
      <c r="CP32" s="96">
        <f>IFERROR(VLOOKUP($B32,INDIRECT("'GRD-"&amp;CP$11&amp;"'!B:R"),15,FALSE),"")</f>
        <v/>
      </c>
      <c r="CQ32" s="96">
        <f>IFERROR(VLOOKUP($B32,INDIRECT("'GRD-"&amp;CQ$11&amp;"'!B:R"),15,FALSE),"")</f>
        <v/>
      </c>
      <c r="CR32" s="96">
        <f>IFERROR(VLOOKUP($B32,INDIRECT("'GRD-"&amp;CR$11&amp;"'!B:R"),15,FALSE),"")</f>
        <v/>
      </c>
      <c r="CS32" s="96">
        <f>IFERROR(VLOOKUP($B32,INDIRECT("'GRD-"&amp;CS$11&amp;"'!B:R"),15,FALSE),"")</f>
        <v/>
      </c>
      <c r="CT32" s="96">
        <f>IFERROR(VLOOKUP($B32,INDIRECT("'GRD-"&amp;CT$11&amp;"'!B:R"),15,FALSE),"")</f>
        <v/>
      </c>
      <c r="CU32" s="96">
        <f>IFERROR(VLOOKUP($B32,INDIRECT("'GRD-"&amp;CU$11&amp;"'!B:R"),15,FALSE),"")</f>
        <v/>
      </c>
      <c r="CV32" s="96">
        <f>IFERROR(VLOOKUP($B32,INDIRECT("'GRD-"&amp;CV$11&amp;"'!B:R"),15,FALSE),"")</f>
        <v/>
      </c>
      <c r="CW32" s="96">
        <f>IFERROR(VLOOKUP($B32,INDIRECT("'GRD-"&amp;CW$11&amp;"'!B:R"),15,FALSE),"")</f>
        <v/>
      </c>
      <c r="CX32" s="96">
        <f>IFERROR(VLOOKUP($B32,INDIRECT("'GRD-"&amp;CX$11&amp;"'!B:R"),15,FALSE),"")</f>
        <v/>
      </c>
      <c r="CY32" s="96">
        <f>IFERROR(VLOOKUP($B32,INDIRECT("'GRD-"&amp;CY$11&amp;"'!B:R"),15,FALSE),"")</f>
        <v/>
      </c>
      <c r="CZ32" s="96">
        <f>IFERROR(VLOOKUP($B32,INDIRECT("'GRD-"&amp;CZ$11&amp;"'!B:R"),15,FALSE),"")</f>
        <v/>
      </c>
      <c r="DA32" s="96">
        <f>IFERROR(VLOOKUP($B32,INDIRECT("'GRD-"&amp;DA$11&amp;"'!B:R"),15,FALSE),"")</f>
        <v/>
      </c>
      <c r="DB32" s="96">
        <f>IFERROR(VLOOKUP($B32,INDIRECT("'GRD-"&amp;DB$11&amp;"'!B:R"),15,FALSE),"")</f>
        <v/>
      </c>
      <c r="DC32" s="96">
        <f>IFERROR(VLOOKUP($B32,INDIRECT("'GRD-"&amp;DC$11&amp;"'!B:R"),15,FALSE),"")</f>
        <v/>
      </c>
      <c r="DD32" s="96">
        <f>IFERROR(VLOOKUP($B32,INDIRECT("'GRD-"&amp;DD$11&amp;"'!B:R"),15,FALSE),"")</f>
        <v/>
      </c>
      <c r="DE32" s="96">
        <f>IFERROR(VLOOKUP($B32,INDIRECT("'GRD-"&amp;DE$11&amp;"'!B:R"),15,FALSE),"")</f>
        <v/>
      </c>
      <c r="DF32" s="96">
        <f>IFERROR(VLOOKUP($B32,INDIRECT("'GRD-"&amp;DF$11&amp;"'!B:R"),15,FALSE),"")</f>
        <v/>
      </c>
      <c r="DG32" s="96">
        <f>IFERROR(VLOOKUP($B32,INDIRECT("'GRD-"&amp;DG$11&amp;"'!B:R"),15,FALSE),"")</f>
        <v/>
      </c>
      <c r="DH32" s="96">
        <f>IFERROR(VLOOKUP($B32,INDIRECT("'GRD-"&amp;DH$11&amp;"'!B:R"),15,FALSE),"")</f>
        <v/>
      </c>
      <c r="DI32" s="96">
        <f>IFERROR(VLOOKUP($B32,INDIRECT("'GRD-"&amp;DI$11&amp;"'!B:R"),15,FALSE),"")</f>
        <v/>
      </c>
      <c r="DJ32" s="96">
        <f>IFERROR(VLOOKUP($B32,INDIRECT("'GRD-"&amp;DJ$11&amp;"'!B:R"),15,FALSE),"")</f>
        <v/>
      </c>
      <c r="DK32" s="96">
        <f>IFERROR(VLOOKUP($B32,INDIRECT("'GRD-"&amp;DK$11&amp;"'!B:R"),15,FALSE),"")</f>
        <v/>
      </c>
      <c r="DL32" s="96">
        <f>IFERROR(VLOOKUP($B32,INDIRECT("'GRD-"&amp;DL$11&amp;"'!B:R"),15,FALSE),"")</f>
        <v/>
      </c>
      <c r="DM32" s="96">
        <f>IFERROR(VLOOKUP($B32,INDIRECT("'GRD-"&amp;DM$11&amp;"'!B:R"),15,FALSE),"")</f>
        <v/>
      </c>
      <c r="DN32" s="96">
        <f>IFERROR(VLOOKUP($B32,INDIRECT("'GRD-"&amp;DN$11&amp;"'!B:R"),15,FALSE),"")</f>
        <v/>
      </c>
      <c r="DO32" s="96">
        <f>IFERROR(VLOOKUP($B32,INDIRECT("'GRD-"&amp;DO$11&amp;"'!B:R"),15,FALSE),"")</f>
        <v/>
      </c>
      <c r="DP32" s="96">
        <f>IFERROR(VLOOKUP($B32,INDIRECT("'GRD-"&amp;DP$11&amp;"'!B:R"),15,FALSE),"")</f>
        <v/>
      </c>
      <c r="DQ32" s="96">
        <f>IFERROR(VLOOKUP($B32,INDIRECT("'GRD-"&amp;DQ$11&amp;"'!B:R"),15,FALSE),"")</f>
        <v/>
      </c>
      <c r="DR32" s="96">
        <f>IFERROR(VLOOKUP($B32,INDIRECT("'GRD-"&amp;DR$11&amp;"'!B:R"),15,FALSE),"")</f>
        <v/>
      </c>
      <c r="DS32" s="96">
        <f>IFERROR(VLOOKUP($B32,INDIRECT("'GRD-"&amp;DS$11&amp;"'!B:R"),15,FALSE),"")</f>
        <v/>
      </c>
      <c r="DT32" s="96">
        <f>IFERROR(VLOOKUP($B32,INDIRECT("'GRD-"&amp;DT$11&amp;"'!B:R"),15,FALSE),"")</f>
        <v/>
      </c>
      <c r="DU32" s="96">
        <f>IFERROR(VLOOKUP($B32,INDIRECT("'GRD-"&amp;DU$11&amp;"'!B:R"),15,FALSE),"")</f>
        <v/>
      </c>
      <c r="DV32" s="96">
        <f>IFERROR(VLOOKUP($B32,INDIRECT("'GRD-"&amp;DV$11&amp;"'!B:R"),15,FALSE),"")</f>
        <v/>
      </c>
      <c r="DW32" s="96">
        <f>IFERROR(VLOOKUP($B32,INDIRECT("'GRD-"&amp;DW$11&amp;"'!B:R"),15,FALSE),"")</f>
        <v/>
      </c>
      <c r="DX32" s="96">
        <f>IFERROR(VLOOKUP($B32,INDIRECT("'GRD-"&amp;DX$11&amp;"'!B:R"),15,FALSE),"")</f>
        <v/>
      </c>
      <c r="DY32" s="96">
        <f>IFERROR(VLOOKUP($B32,INDIRECT("'GRD-"&amp;DY$11&amp;"'!B:R"),15,FALSE),"")</f>
        <v/>
      </c>
      <c r="DZ32" s="96">
        <f>IFERROR(VLOOKUP($B32,INDIRECT("'GRD-"&amp;DZ$11&amp;"'!B:R"),15,FALSE),"")</f>
        <v/>
      </c>
      <c r="EA32" s="96">
        <f>IFERROR(VLOOKUP($B32,INDIRECT("'GRD-"&amp;EA$11&amp;"'!B:R"),15,FALSE),"")</f>
        <v/>
      </c>
      <c r="EB32" s="96">
        <f>IFERROR(VLOOKUP($B32,INDIRECT("'GRD-"&amp;EB$11&amp;"'!B:R"),15,FALSE),"")</f>
        <v/>
      </c>
      <c r="EC32" s="96">
        <f>IFERROR(VLOOKUP($B32,INDIRECT("'GRD-"&amp;EC$11&amp;"'!B:R"),15,FALSE),"")</f>
        <v/>
      </c>
      <c r="ED32" s="96">
        <f>IFERROR(VLOOKUP($B32,INDIRECT("'GRD-"&amp;ED$11&amp;"'!B:R"),15,FALSE),"")</f>
        <v/>
      </c>
      <c r="EE32" s="96">
        <f>IFERROR(VLOOKUP($B32,INDIRECT("'GRD-"&amp;EE$11&amp;"'!B:R"),15,FALSE),"")</f>
        <v/>
      </c>
      <c r="EF32" s="96">
        <f>IFERROR(VLOOKUP($B32,INDIRECT("'GRD-"&amp;EF$11&amp;"'!B:R"),15,FALSE),"")</f>
        <v/>
      </c>
      <c r="EG32" s="96">
        <f>IFERROR(VLOOKUP($B32,INDIRECT("'GRD-"&amp;EG$11&amp;"'!B:R"),15,FALSE),"")</f>
        <v/>
      </c>
      <c r="EH32" s="96">
        <f>IFERROR(VLOOKUP($B32,INDIRECT("'GRD-"&amp;EH$11&amp;"'!B:R"),15,FALSE),"")</f>
        <v/>
      </c>
      <c r="EI32" s="96">
        <f>IFERROR(VLOOKUP($B32,INDIRECT("'GRD-"&amp;EI$11&amp;"'!B:R"),15,FALSE),"")</f>
        <v/>
      </c>
      <c r="EJ32" s="96">
        <f>IFERROR(VLOOKUP($B32,INDIRECT("'GRD-"&amp;EJ$11&amp;"'!B:R"),15,FALSE),"")</f>
        <v/>
      </c>
      <c r="EK32" s="96">
        <f>IFERROR(VLOOKUP($B32,INDIRECT("'GRD-"&amp;EK$11&amp;"'!B:R"),15,FALSE),"")</f>
        <v/>
      </c>
      <c r="EL32" s="96">
        <f>IFERROR(VLOOKUP($B32,INDIRECT("'GRD-"&amp;EL$11&amp;"'!B:R"),15,FALSE),"")</f>
        <v/>
      </c>
      <c r="EM32" s="96">
        <f>IFERROR(VLOOKUP($B32,INDIRECT("'GRD-"&amp;EM$11&amp;"'!B:R"),15,FALSE),"")</f>
        <v/>
      </c>
      <c r="EN32" s="96">
        <f>IFERROR(VLOOKUP($B32,INDIRECT("'GRD-"&amp;EN$11&amp;"'!B:R"),15,FALSE),"")</f>
        <v/>
      </c>
      <c r="EO32" s="96">
        <f>IFERROR(VLOOKUP($B32,INDIRECT("'GRD-"&amp;EO$11&amp;"'!B:R"),15,FALSE),"")</f>
        <v/>
      </c>
      <c r="EP32" s="96">
        <f>IFERROR(VLOOKUP($B32,INDIRECT("'GRD-"&amp;EP$11&amp;"'!B:R"),15,FALSE),"")</f>
        <v/>
      </c>
      <c r="EQ32" s="96">
        <f>IFERROR(VLOOKUP($B32,INDIRECT("'GRD-"&amp;EQ$11&amp;"'!B:R"),15,FALSE),"")</f>
        <v/>
      </c>
      <c r="ER32" s="96">
        <f>IFERROR(VLOOKUP($B32,INDIRECT("'GRD-"&amp;ER$11&amp;"'!B:R"),15,FALSE),"")</f>
        <v/>
      </c>
      <c r="ES32" s="96">
        <f>IFERROR(VLOOKUP($B32,INDIRECT("'GRD-"&amp;ES$11&amp;"'!B:R"),15,FALSE),"")</f>
        <v/>
      </c>
      <c r="ET32" s="96">
        <f>IFERROR(VLOOKUP($B32,INDIRECT("'GRD-"&amp;ET$11&amp;"'!B:R"),15,FALSE),"")</f>
        <v/>
      </c>
      <c r="EU32" s="96">
        <f>IFERROR(VLOOKUP($B32,INDIRECT("'GRD-"&amp;EU$11&amp;"'!B:R"),15,FALSE),"")</f>
        <v/>
      </c>
      <c r="EV32" s="96">
        <f>IFERROR(VLOOKUP($B32,INDIRECT("'GRD-"&amp;EV$11&amp;"'!B:R"),15,FALSE),"")</f>
        <v/>
      </c>
      <c r="EW32" s="96">
        <f>IFERROR(VLOOKUP($B32,INDIRECT("'GRD-"&amp;EW$11&amp;"'!B:R"),15,FALSE),"")</f>
        <v/>
      </c>
      <c r="EX32" s="96">
        <f>IFERROR(VLOOKUP($B32,INDIRECT("'GRD-"&amp;EX$11&amp;"'!B:R"),15,FALSE),"")</f>
        <v/>
      </c>
      <c r="EY32" s="96">
        <f>IFERROR(VLOOKUP($B32,INDIRECT("'GRD-"&amp;EY$11&amp;"'!B:R"),15,FALSE),"")</f>
        <v/>
      </c>
      <c r="EZ32" s="96">
        <f>IFERROR(VLOOKUP($B32,INDIRECT("'GRD-"&amp;EZ$11&amp;"'!B:R"),15,FALSE),"")</f>
        <v/>
      </c>
      <c r="FA32" s="96">
        <f>IFERROR(VLOOKUP($B32,INDIRECT("'GRD-"&amp;FA$11&amp;"'!B:R"),15,FALSE),"")</f>
        <v/>
      </c>
      <c r="FB32" s="96">
        <f>IFERROR(VLOOKUP($B32,INDIRECT("'GRD-"&amp;FB$11&amp;"'!B:R"),15,FALSE),"")</f>
        <v/>
      </c>
      <c r="FC32" s="96">
        <f>IFERROR(VLOOKUP($B32,INDIRECT("'GRD-"&amp;FC$11&amp;"'!B:R"),15,FALSE),"")</f>
        <v/>
      </c>
      <c r="FD32" s="96">
        <f>IFERROR(VLOOKUP($B32,INDIRECT("'GRD-"&amp;FD$11&amp;"'!B:R"),15,FALSE),"")</f>
        <v/>
      </c>
      <c r="FE32" s="96">
        <f>IFERROR(VLOOKUP($B32,INDIRECT("'GRD-"&amp;FE$11&amp;"'!B:R"),15,FALSE),"")</f>
        <v/>
      </c>
      <c r="FF32" s="96">
        <f>IFERROR(VLOOKUP($B32,INDIRECT("'GRD-"&amp;FF$11&amp;"'!B:R"),15,FALSE),"")</f>
        <v/>
      </c>
      <c r="FG32" s="96">
        <f>IFERROR(VLOOKUP($B32,INDIRECT("'GRD-"&amp;FG$11&amp;"'!B:R"),15,FALSE),"")</f>
        <v/>
      </c>
      <c r="FH32" s="96">
        <f>IFERROR(VLOOKUP($B32,INDIRECT("'GRD-"&amp;FH$11&amp;"'!B:R"),15,FALSE),"")</f>
        <v/>
      </c>
      <c r="FI32" s="96">
        <f>IFERROR(VLOOKUP($B32,INDIRECT("'GRD-"&amp;FI$11&amp;"'!B:R"),15,FALSE),"")</f>
        <v/>
      </c>
      <c r="FJ32" s="96">
        <f>IFERROR(VLOOKUP($B32,INDIRECT("'GRD-"&amp;FJ$11&amp;"'!B:R"),15,FALSE),"")</f>
        <v/>
      </c>
      <c r="FK32" s="96">
        <f>IFERROR(VLOOKUP($B32,INDIRECT("'GRD-"&amp;FK$11&amp;"'!B:R"),15,FALSE),"")</f>
        <v/>
      </c>
      <c r="FL32" s="96">
        <f>IFERROR(VLOOKUP($B32,INDIRECT("'GRD-"&amp;FL$11&amp;"'!B:R"),15,FALSE),"")</f>
        <v/>
      </c>
      <c r="FM32" s="96">
        <f>IFERROR(VLOOKUP($B32,INDIRECT("'GRD-"&amp;FM$11&amp;"'!B:R"),15,FALSE),"")</f>
        <v/>
      </c>
      <c r="FN32" s="96">
        <f>IFERROR(VLOOKUP($B32,INDIRECT("'GRD-"&amp;FN$11&amp;"'!B:R"),15,FALSE),"")</f>
        <v/>
      </c>
      <c r="FO32" s="96">
        <f>IFERROR(VLOOKUP($B32,INDIRECT("'GRD-"&amp;FO$11&amp;"'!B:R"),15,FALSE),"")</f>
        <v/>
      </c>
      <c r="FP32" s="96">
        <f>IFERROR(VLOOKUP($B32,INDIRECT("'GRD-"&amp;FP$11&amp;"'!B:R"),15,FALSE),"")</f>
        <v/>
      </c>
      <c r="FQ32" s="96">
        <f>IFERROR(VLOOKUP($B32,INDIRECT("'GRD-"&amp;FQ$11&amp;"'!B:R"),15,FALSE),"")</f>
        <v/>
      </c>
      <c r="FR32" s="96">
        <f>IFERROR(VLOOKUP($B32,INDIRECT("'GRD-"&amp;FR$11&amp;"'!B:R"),15,FALSE),"")</f>
        <v/>
      </c>
      <c r="FS32" s="96">
        <f>IFERROR(VLOOKUP($B32,INDIRECT("'GRD-"&amp;FS$11&amp;"'!B:R"),15,FALSE),"")</f>
        <v/>
      </c>
      <c r="FT32" s="96">
        <f>IFERROR(VLOOKUP($B32,INDIRECT("'GRD-"&amp;FT$11&amp;"'!B:R"),15,FALSE),"")</f>
        <v/>
      </c>
      <c r="FU32" s="96">
        <f>IFERROR(VLOOKUP($B32,INDIRECT("'GRD-"&amp;FU$11&amp;"'!B:R"),15,FALSE),"")</f>
        <v/>
      </c>
      <c r="FV32" s="96">
        <f>IFERROR(VLOOKUP($B32,INDIRECT("'GRD-"&amp;FV$11&amp;"'!B:R"),15,FALSE),"")</f>
        <v/>
      </c>
    </row>
    <row r="33">
      <c r="B33" s="68" t="n"/>
      <c r="C33" s="72" t="n"/>
      <c r="D33" s="73">
        <f>IF(K33="","",MAX($CA33:$FV33))</f>
        <v/>
      </c>
      <c r="E33" s="74">
        <f t="array" ref="E33">IF($K33="","",OFFSET($A$1,ROW($B33)-1,11+$D33*4,))</f>
        <v/>
      </c>
      <c r="F33" s="74">
        <f t="array" ref="F33">IF($K33="","",OFFSET($A$1,ROW($B33)-1,12+$D33*4,))</f>
        <v/>
      </c>
      <c r="G33" s="118">
        <f t="array" ref="G33">IF($K33="","",OFFSET($A$1,ROW($B33)-1,13+$D33*4,))</f>
        <v/>
      </c>
      <c r="H33" s="81" t="n"/>
      <c r="I33" s="82" t="n"/>
      <c r="J33" s="75">
        <f>IF(I33="A4",H33/8,IF(I33="A3",H33/4,IF(I33="A2",H33/2,IF(I33="A1",H33/1,IF(I33="A0",H33*2,"")))))</f>
        <v/>
      </c>
      <c r="K33" s="68">
        <f t="array" ref="K33">IFERROR(OFFSET($BZ$11,ROW($B33)-11,MATCH(K$10,$CA33:$FV33,0),),"")</f>
        <v/>
      </c>
      <c r="L33" s="85">
        <f>IF(K33="","",IF(VLOOKUP($B33,INDIRECT("'GRD-"&amp;M33&amp;"'!$B:$R"),16,FALSE)="","",VLOOKUP($B33,INDIRECT("'GRD-"&amp;M33&amp;"'!$B:$R"),16,FALSE)))</f>
        <v/>
      </c>
      <c r="M33" s="130">
        <f t="array" ref="M33">IF(K33="","",IFERROR(OFFSET($BZ$11,0,MATCH($K33,$CA33:$FV33,0),),""))</f>
        <v/>
      </c>
      <c r="N33" s="119">
        <f t="array" ref="N33">IF(K33="","",INDIRECT("'GRD-"&amp;M33&amp;"'!$L$7"))</f>
        <v/>
      </c>
      <c r="O33" s="76">
        <f t="array" ref="O33">IFERROR(OFFSET($BZ$11,ROW($B33)-11,MATCH(O$10,$CA33:$FV33,0),),"")</f>
        <v/>
      </c>
      <c r="P33" s="76">
        <f>IF(O33="","",IF(VLOOKUP($B33,INDIRECT("'GRD-"&amp;Q33&amp;"'!$B:$R"),16,FALSE)="","",VLOOKUP($B33,INDIRECT("'GRD-"&amp;Q33&amp;"'!$B:$R"),16,FALSE)))</f>
        <v/>
      </c>
      <c r="Q33" s="132">
        <f t="array" ref="Q33">IF(O33="","",IFERROR(OFFSET($BZ$11,0,MATCH($O33,$CA33:$FV33,0),),""))</f>
        <v/>
      </c>
      <c r="R33" s="121">
        <f t="array" ref="R33">IF(O33="","",INDIRECT("'GRD-"&amp;Q33&amp;"'!$L$7"))</f>
        <v/>
      </c>
      <c r="S33" s="83">
        <f t="array" ref="S33">IFERROR(OFFSET($BZ$11,ROW($B33)-11,MATCH(S$10,$CA33:$FV33,0),),"")</f>
        <v/>
      </c>
      <c r="T33" s="83">
        <f>IF(S33="","",IF(VLOOKUP($B33,INDIRECT("'GRD-"&amp;U33&amp;"'!$B:$R"),16,FALSE)="","",VLOOKUP($B33,INDIRECT("'GRD-"&amp;U33&amp;"'!$B:$R"),16,FALSE)))</f>
        <v/>
      </c>
      <c r="U33" s="128">
        <f t="array" ref="U33">IF(S33="","",IFERROR(OFFSET($BZ$11,0,MATCH($S33,$CA33:$FV33,0),),""))</f>
        <v/>
      </c>
      <c r="V33" s="133">
        <f t="array" ref="V33">IF(S33="","",INDIRECT("'GRD-"&amp;U33&amp;"'!$L$7"))</f>
        <v/>
      </c>
      <c r="W33" s="84">
        <f t="array" ref="W33">IFERROR(OFFSET($BZ$11,ROW($B33)-11,MATCH(W$10,$CA33:$FV33,0),),"")</f>
        <v/>
      </c>
      <c r="X33" s="84">
        <f>IF(W33="","",IF(VLOOKUP($B33,INDIRECT("'GRD-"&amp;Y33&amp;"'!$B:$R"),16,FALSE)="","",VLOOKUP($B33,INDIRECT("'GRD-"&amp;Y33&amp;"'!$B:$R"),16,FALSE)))</f>
        <v/>
      </c>
      <c r="Y33" s="129">
        <f t="array" ref="Y33">IF(W33="","",IFERROR(OFFSET($BZ$11,0,MATCH($W33,$CA33:$FV33,0),),""))</f>
        <v/>
      </c>
      <c r="Z33" s="134">
        <f t="array" ref="Z33">IF(W33="","",INDIRECT("'GRD-"&amp;Y33&amp;"'!$L$7"))</f>
        <v/>
      </c>
      <c r="AA33" s="85">
        <f t="array" ref="AA33">IFERROR(OFFSET($BZ$11,ROW($B33)-11,MATCH(AA$10,$CA33:$FV33,0),),"")</f>
        <v/>
      </c>
      <c r="AB33" s="85">
        <f>IF(AA33="","",IF(VLOOKUP($B33,INDIRECT("'GRD-"&amp;AC33&amp;"'!$B:$R"),16,FALSE)="","",VLOOKUP($B33,INDIRECT("'GRD-"&amp;AC33&amp;"'!$B:$R"),16,FALSE)))</f>
        <v/>
      </c>
      <c r="AC33" s="130">
        <f t="array" ref="AC33">IF(AA33="","",IFERROR(OFFSET($BZ$11,0,MATCH($AA33,$CA33:$FV33,0),),""))</f>
        <v/>
      </c>
      <c r="AD33" s="131">
        <f t="array" ref="AD33">IF(AA33="","",INDIRECT("'GRD-"&amp;AC33&amp;"'!$L$7"))</f>
        <v/>
      </c>
      <c r="AE33" s="76">
        <f t="array" ref="AE33">IFERROR(OFFSET($BZ$11,ROW($B33)-11,MATCH(AE$10,$CA33:$FV33,0),),"")</f>
        <v/>
      </c>
      <c r="AF33" s="76">
        <f>IF(AE33="","",IF(VLOOKUP($B33,INDIRECT("'GRD-"&amp;AG33&amp;"'!$B:$R"),16,FALSE)="","",VLOOKUP($B33,INDIRECT("'GRD-"&amp;AG33&amp;"'!$B:$R"),16,FALSE)))</f>
        <v/>
      </c>
      <c r="AG33" s="132">
        <f t="array" ref="AG33">IF(AE33="","",IFERROR(OFFSET($BZ$11,0,MATCH($AE33,$CA33:$FV33,0),),""))</f>
        <v/>
      </c>
      <c r="AH33" s="121">
        <f t="array" ref="AH33">IF(AE33="","",INDIRECT("'GRD-"&amp;AG33&amp;"'!$L$7"))</f>
        <v/>
      </c>
      <c r="AI33" s="83">
        <f t="array" ref="AI33">IFERROR(OFFSET($BZ$11,ROW($B33)-11,MATCH(AI$10,$CA33:$FV33,0),),"")</f>
        <v/>
      </c>
      <c r="AJ33" s="83">
        <f>IF(AI33="","",IF(VLOOKUP($B33,INDIRECT("'GRD-"&amp;AK33&amp;"'!$B:$R"),16,FALSE)="","",VLOOKUP($B33,INDIRECT("'GRD-"&amp;AK33&amp;"'!$B:$R"),16,FALSE)))</f>
        <v/>
      </c>
      <c r="AK33" s="128">
        <f t="array" ref="AK33">IF(AI33="","",IFERROR(OFFSET($BZ$11,0,MATCH($AI33,$CA33:$FV33,0),),""))</f>
        <v/>
      </c>
      <c r="AL33" s="133">
        <f t="array" ref="AL33">IF(AI33="","",INDIRECT("'GRD-"&amp;AK33&amp;"'!$L$7"))</f>
        <v/>
      </c>
      <c r="AM33" s="84">
        <f t="array" ref="AM33">IFERROR(OFFSET($BZ$11,ROW($B33)-11,MATCH(AM$10,$CA33:$FV33,0),),"")</f>
        <v/>
      </c>
      <c r="AN33" s="84">
        <f>IF(AM33="","",IF(VLOOKUP($B33,INDIRECT("'GRD-"&amp;AO33&amp;"'!$B:$R"),16,FALSE)="","",VLOOKUP($B33,INDIRECT("'GRD-"&amp;AO33&amp;"'!$B:$R"),16,FALSE)))</f>
        <v/>
      </c>
      <c r="AO33" s="129">
        <f t="array" ref="AO33">IF(AM33="","",IFERROR(OFFSET($BZ$11,0,MATCH($AM33,$CA33:$FV33,0),),""))</f>
        <v/>
      </c>
      <c r="AP33" s="134">
        <f t="array" ref="AP33">IF(AM33="","",INDIRECT("'GRD-"&amp;AO33&amp;"'!$L$7"))</f>
        <v/>
      </c>
      <c r="AQ33" s="85">
        <f t="array" ref="AQ33">IFERROR(OFFSET($BZ$11,ROW($B33)-11,MATCH(AQ$10,$CA33:$FV33,0),),"")</f>
        <v/>
      </c>
      <c r="AR33" s="85">
        <f>IF(AQ33="","",IF(VLOOKUP($B33,INDIRECT("'GRD-"&amp;AS33&amp;"'!$B:$R"),16,FALSE)="","",VLOOKUP($B33,INDIRECT("'GRD-"&amp;AS33&amp;"'!$B:$R"),16,FALSE)))</f>
        <v/>
      </c>
      <c r="AS33" s="130">
        <f t="array" ref="AS33">IF(AQ33="","",IFERROR(OFFSET($BZ$11,0,MATCH($AQ33,$CA33:$FV33,0),),""))</f>
        <v/>
      </c>
      <c r="AT33" s="131">
        <f t="array" ref="AT33">IF(AQ33="","",INDIRECT("'GRD-"&amp;AS33&amp;"'!$L$7"))</f>
        <v/>
      </c>
      <c r="AU33" s="76">
        <f t="array" ref="AU33">IFERROR(OFFSET($BZ$11,ROW($B33)-11,MATCH(AU$10,$CA33:$FV33,0),),"")</f>
        <v/>
      </c>
      <c r="AV33" s="76">
        <f>IF(AU33="","",IF(VLOOKUP($B33,INDIRECT("'GRD-"&amp;AW33&amp;"'!$B:$R"),16,FALSE)="","",VLOOKUP($B33,INDIRECT("'GRD-"&amp;AW33&amp;"'!$B:$R"),16,FALSE)))</f>
        <v/>
      </c>
      <c r="AW33" s="132">
        <f t="array" ref="AW33">IF(AU33="","",IFERROR(OFFSET($BZ$11,0,MATCH($AU33,$CA33:$FV33,0),),""))</f>
        <v/>
      </c>
      <c r="AX33" s="121">
        <f t="array" ref="AX33">IF(AU33="","",INDIRECT("'GRD-"&amp;AW33&amp;"'!$L$7"))</f>
        <v/>
      </c>
      <c r="AY33" s="83">
        <f t="array" ref="AY33">IFERROR(OFFSET($BZ$11,ROW($B33)-11,MATCH(AY$10,$CA33:$FV33,0),),"")</f>
        <v/>
      </c>
      <c r="AZ33" s="83">
        <f>IF(AY33="","",IF(VLOOKUP($B33,INDIRECT("'GRD-"&amp;BA33&amp;"'!$B:$R"),16,FALSE)="","",VLOOKUP($B33,INDIRECT("'GRD-"&amp;BA33&amp;"'!$B:$R"),16,FALSE)))</f>
        <v/>
      </c>
      <c r="BA33" s="128">
        <f t="array" ref="BA33">IF(AY33="","",IFERROR(OFFSET($BZ$11,0,MATCH($AY33,$CA33:$FV33,0),),""))</f>
        <v/>
      </c>
      <c r="BB33" s="133">
        <f t="array" ref="BB33">IF(AY33="","",INDIRECT("'GRD-"&amp;BA33&amp;"'!$L$7"))</f>
        <v/>
      </c>
      <c r="BC33" s="84">
        <f t="array" ref="BC33">IFERROR(OFFSET($BZ$11,ROW($B33)-11,MATCH(BC$10,$CA33:$FV33,0),),"")</f>
        <v/>
      </c>
      <c r="BD33" s="84">
        <f>IF(BC33="","",IF(VLOOKUP($B33,INDIRECT("'GRD-"&amp;BE33&amp;"'!$B:$R"),16,FALSE)="","",VLOOKUP($B33,INDIRECT("'GRD-"&amp;BE33&amp;"'!$B:$R"),16,FALSE)))</f>
        <v/>
      </c>
      <c r="BE33" s="129">
        <f t="array" ref="BE33">IF(BC33="","",IFERROR(OFFSET($BZ$11,0,MATCH($BC33,$CA33:$FV33,0),),""))</f>
        <v/>
      </c>
      <c r="BF33" s="134">
        <f t="array" ref="BF33">IF(BC33="","",INDIRECT("'GRD-"&amp;BE33&amp;"'!$L$7"))</f>
        <v/>
      </c>
      <c r="CA33" s="96">
        <f>IFERROR(VLOOKUP($B33,INDIRECT("'GRD-"&amp;CA$11&amp;"'!B:R"),15,FALSE),"")</f>
        <v/>
      </c>
      <c r="CB33" s="96">
        <f>IFERROR(VLOOKUP($B33,INDIRECT("'GRD-"&amp;CB$11&amp;"'!B:R"),15,FALSE),"")</f>
        <v/>
      </c>
      <c r="CC33" s="96">
        <f>IFERROR(VLOOKUP($B33,INDIRECT("'GRD-"&amp;CC$11&amp;"'!B:R"),15,FALSE),"")</f>
        <v/>
      </c>
      <c r="CD33" s="96">
        <f>IFERROR(VLOOKUP($B33,INDIRECT("'GRD-"&amp;CD$11&amp;"'!B:R"),15,FALSE),"")</f>
        <v/>
      </c>
      <c r="CE33" s="96">
        <f>IFERROR(VLOOKUP($B33,INDIRECT("'GRD-"&amp;CE$11&amp;"'!B:R"),15,FALSE),"")</f>
        <v/>
      </c>
      <c r="CF33" s="96">
        <f>IFERROR(VLOOKUP($B33,INDIRECT("'GRD-"&amp;CF$11&amp;"'!B:R"),15,FALSE),"")</f>
        <v/>
      </c>
      <c r="CG33" s="96">
        <f>IFERROR(VLOOKUP($B33,INDIRECT("'GRD-"&amp;CG$11&amp;"'!B:R"),15,FALSE),"")</f>
        <v/>
      </c>
      <c r="CH33" s="96">
        <f>IFERROR(VLOOKUP($B33,INDIRECT("'GRD-"&amp;CH$11&amp;"'!B:R"),15,FALSE),"")</f>
        <v/>
      </c>
      <c r="CI33" s="96">
        <f>IFERROR(VLOOKUP($B33,INDIRECT("'GRD-"&amp;CI$11&amp;"'!B:R"),15,FALSE),"")</f>
        <v/>
      </c>
      <c r="CJ33" s="96">
        <f>IFERROR(VLOOKUP($B33,INDIRECT("'GRD-"&amp;CJ$11&amp;"'!B:R"),15,FALSE),"")</f>
        <v/>
      </c>
      <c r="CK33" s="96">
        <f>IFERROR(VLOOKUP($B33,INDIRECT("'GRD-"&amp;CK$11&amp;"'!B:R"),15,FALSE),"")</f>
        <v/>
      </c>
      <c r="CL33" s="96">
        <f>IFERROR(VLOOKUP($B33,INDIRECT("'GRD-"&amp;CL$11&amp;"'!B:R"),15,FALSE),"")</f>
        <v/>
      </c>
      <c r="CM33" s="96">
        <f>IFERROR(VLOOKUP($B33,INDIRECT("'GRD-"&amp;CM$11&amp;"'!B:R"),15,FALSE),"")</f>
        <v/>
      </c>
      <c r="CN33" s="96">
        <f>IFERROR(VLOOKUP($B33,INDIRECT("'GRD-"&amp;CN$11&amp;"'!B:R"),15,FALSE),"")</f>
        <v/>
      </c>
      <c r="CO33" s="96">
        <f>IFERROR(VLOOKUP($B33,INDIRECT("'GRD-"&amp;CO$11&amp;"'!B:R"),15,FALSE),"")</f>
        <v/>
      </c>
      <c r="CP33" s="96">
        <f>IFERROR(VLOOKUP($B33,INDIRECT("'GRD-"&amp;CP$11&amp;"'!B:R"),15,FALSE),"")</f>
        <v/>
      </c>
      <c r="CQ33" s="96">
        <f>IFERROR(VLOOKUP($B33,INDIRECT("'GRD-"&amp;CQ$11&amp;"'!B:R"),15,FALSE),"")</f>
        <v/>
      </c>
      <c r="CR33" s="96">
        <f>IFERROR(VLOOKUP($B33,INDIRECT("'GRD-"&amp;CR$11&amp;"'!B:R"),15,FALSE),"")</f>
        <v/>
      </c>
      <c r="CS33" s="96">
        <f>IFERROR(VLOOKUP($B33,INDIRECT("'GRD-"&amp;CS$11&amp;"'!B:R"),15,FALSE),"")</f>
        <v/>
      </c>
      <c r="CT33" s="96">
        <f>IFERROR(VLOOKUP($B33,INDIRECT("'GRD-"&amp;CT$11&amp;"'!B:R"),15,FALSE),"")</f>
        <v/>
      </c>
      <c r="CU33" s="96">
        <f>IFERROR(VLOOKUP($B33,INDIRECT("'GRD-"&amp;CU$11&amp;"'!B:R"),15,FALSE),"")</f>
        <v/>
      </c>
      <c r="CV33" s="96">
        <f>IFERROR(VLOOKUP($B33,INDIRECT("'GRD-"&amp;CV$11&amp;"'!B:R"),15,FALSE),"")</f>
        <v/>
      </c>
      <c r="CW33" s="96">
        <f>IFERROR(VLOOKUP($B33,INDIRECT("'GRD-"&amp;CW$11&amp;"'!B:R"),15,FALSE),"")</f>
        <v/>
      </c>
      <c r="CX33" s="96">
        <f>IFERROR(VLOOKUP($B33,INDIRECT("'GRD-"&amp;CX$11&amp;"'!B:R"),15,FALSE),"")</f>
        <v/>
      </c>
      <c r="CY33" s="96">
        <f>IFERROR(VLOOKUP($B33,INDIRECT("'GRD-"&amp;CY$11&amp;"'!B:R"),15,FALSE),"")</f>
        <v/>
      </c>
      <c r="CZ33" s="96">
        <f>IFERROR(VLOOKUP($B33,INDIRECT("'GRD-"&amp;CZ$11&amp;"'!B:R"),15,FALSE),"")</f>
        <v/>
      </c>
      <c r="DA33" s="96">
        <f>IFERROR(VLOOKUP($B33,INDIRECT("'GRD-"&amp;DA$11&amp;"'!B:R"),15,FALSE),"")</f>
        <v/>
      </c>
      <c r="DB33" s="96">
        <f>IFERROR(VLOOKUP($B33,INDIRECT("'GRD-"&amp;DB$11&amp;"'!B:R"),15,FALSE),"")</f>
        <v/>
      </c>
      <c r="DC33" s="96">
        <f>IFERROR(VLOOKUP($B33,INDIRECT("'GRD-"&amp;DC$11&amp;"'!B:R"),15,FALSE),"")</f>
        <v/>
      </c>
      <c r="DD33" s="96">
        <f>IFERROR(VLOOKUP($B33,INDIRECT("'GRD-"&amp;DD$11&amp;"'!B:R"),15,FALSE),"")</f>
        <v/>
      </c>
      <c r="DE33" s="96">
        <f>IFERROR(VLOOKUP($B33,INDIRECT("'GRD-"&amp;DE$11&amp;"'!B:R"),15,FALSE),"")</f>
        <v/>
      </c>
      <c r="DF33" s="96">
        <f>IFERROR(VLOOKUP($B33,INDIRECT("'GRD-"&amp;DF$11&amp;"'!B:R"),15,FALSE),"")</f>
        <v/>
      </c>
      <c r="DG33" s="96">
        <f>IFERROR(VLOOKUP($B33,INDIRECT("'GRD-"&amp;DG$11&amp;"'!B:R"),15,FALSE),"")</f>
        <v/>
      </c>
      <c r="DH33" s="96">
        <f>IFERROR(VLOOKUP($B33,INDIRECT("'GRD-"&amp;DH$11&amp;"'!B:R"),15,FALSE),"")</f>
        <v/>
      </c>
      <c r="DI33" s="96">
        <f>IFERROR(VLOOKUP($B33,INDIRECT("'GRD-"&amp;DI$11&amp;"'!B:R"),15,FALSE),"")</f>
        <v/>
      </c>
      <c r="DJ33" s="96">
        <f>IFERROR(VLOOKUP($B33,INDIRECT("'GRD-"&amp;DJ$11&amp;"'!B:R"),15,FALSE),"")</f>
        <v/>
      </c>
      <c r="DK33" s="96">
        <f>IFERROR(VLOOKUP($B33,INDIRECT("'GRD-"&amp;DK$11&amp;"'!B:R"),15,FALSE),"")</f>
        <v/>
      </c>
      <c r="DL33" s="96">
        <f>IFERROR(VLOOKUP($B33,INDIRECT("'GRD-"&amp;DL$11&amp;"'!B:R"),15,FALSE),"")</f>
        <v/>
      </c>
      <c r="DM33" s="96">
        <f>IFERROR(VLOOKUP($B33,INDIRECT("'GRD-"&amp;DM$11&amp;"'!B:R"),15,FALSE),"")</f>
        <v/>
      </c>
      <c r="DN33" s="96">
        <f>IFERROR(VLOOKUP($B33,INDIRECT("'GRD-"&amp;DN$11&amp;"'!B:R"),15,FALSE),"")</f>
        <v/>
      </c>
      <c r="DO33" s="96">
        <f>IFERROR(VLOOKUP($B33,INDIRECT("'GRD-"&amp;DO$11&amp;"'!B:R"),15,FALSE),"")</f>
        <v/>
      </c>
      <c r="DP33" s="96">
        <f>IFERROR(VLOOKUP($B33,INDIRECT("'GRD-"&amp;DP$11&amp;"'!B:R"),15,FALSE),"")</f>
        <v/>
      </c>
      <c r="DQ33" s="96">
        <f>IFERROR(VLOOKUP($B33,INDIRECT("'GRD-"&amp;DQ$11&amp;"'!B:R"),15,FALSE),"")</f>
        <v/>
      </c>
      <c r="DR33" s="96">
        <f>IFERROR(VLOOKUP($B33,INDIRECT("'GRD-"&amp;DR$11&amp;"'!B:R"),15,FALSE),"")</f>
        <v/>
      </c>
      <c r="DS33" s="96">
        <f>IFERROR(VLOOKUP($B33,INDIRECT("'GRD-"&amp;DS$11&amp;"'!B:R"),15,FALSE),"")</f>
        <v/>
      </c>
      <c r="DT33" s="96">
        <f>IFERROR(VLOOKUP($B33,INDIRECT("'GRD-"&amp;DT$11&amp;"'!B:R"),15,FALSE),"")</f>
        <v/>
      </c>
      <c r="DU33" s="96">
        <f>IFERROR(VLOOKUP($B33,INDIRECT("'GRD-"&amp;DU$11&amp;"'!B:R"),15,FALSE),"")</f>
        <v/>
      </c>
      <c r="DV33" s="96">
        <f>IFERROR(VLOOKUP($B33,INDIRECT("'GRD-"&amp;DV$11&amp;"'!B:R"),15,FALSE),"")</f>
        <v/>
      </c>
      <c r="DW33" s="96">
        <f>IFERROR(VLOOKUP($B33,INDIRECT("'GRD-"&amp;DW$11&amp;"'!B:R"),15,FALSE),"")</f>
        <v/>
      </c>
      <c r="DX33" s="96">
        <f>IFERROR(VLOOKUP($B33,INDIRECT("'GRD-"&amp;DX$11&amp;"'!B:R"),15,FALSE),"")</f>
        <v/>
      </c>
      <c r="DY33" s="96">
        <f>IFERROR(VLOOKUP($B33,INDIRECT("'GRD-"&amp;DY$11&amp;"'!B:R"),15,FALSE),"")</f>
        <v/>
      </c>
      <c r="DZ33" s="96">
        <f>IFERROR(VLOOKUP($B33,INDIRECT("'GRD-"&amp;DZ$11&amp;"'!B:R"),15,FALSE),"")</f>
        <v/>
      </c>
      <c r="EA33" s="96">
        <f>IFERROR(VLOOKUP($B33,INDIRECT("'GRD-"&amp;EA$11&amp;"'!B:R"),15,FALSE),"")</f>
        <v/>
      </c>
      <c r="EB33" s="96">
        <f>IFERROR(VLOOKUP($B33,INDIRECT("'GRD-"&amp;EB$11&amp;"'!B:R"),15,FALSE),"")</f>
        <v/>
      </c>
      <c r="EC33" s="96">
        <f>IFERROR(VLOOKUP($B33,INDIRECT("'GRD-"&amp;EC$11&amp;"'!B:R"),15,FALSE),"")</f>
        <v/>
      </c>
      <c r="ED33" s="96">
        <f>IFERROR(VLOOKUP($B33,INDIRECT("'GRD-"&amp;ED$11&amp;"'!B:R"),15,FALSE),"")</f>
        <v/>
      </c>
      <c r="EE33" s="96">
        <f>IFERROR(VLOOKUP($B33,INDIRECT("'GRD-"&amp;EE$11&amp;"'!B:R"),15,FALSE),"")</f>
        <v/>
      </c>
      <c r="EF33" s="96">
        <f>IFERROR(VLOOKUP($B33,INDIRECT("'GRD-"&amp;EF$11&amp;"'!B:R"),15,FALSE),"")</f>
        <v/>
      </c>
      <c r="EG33" s="96">
        <f>IFERROR(VLOOKUP($B33,INDIRECT("'GRD-"&amp;EG$11&amp;"'!B:R"),15,FALSE),"")</f>
        <v/>
      </c>
      <c r="EH33" s="96">
        <f>IFERROR(VLOOKUP($B33,INDIRECT("'GRD-"&amp;EH$11&amp;"'!B:R"),15,FALSE),"")</f>
        <v/>
      </c>
      <c r="EI33" s="96">
        <f>IFERROR(VLOOKUP($B33,INDIRECT("'GRD-"&amp;EI$11&amp;"'!B:R"),15,FALSE),"")</f>
        <v/>
      </c>
      <c r="EJ33" s="96">
        <f>IFERROR(VLOOKUP($B33,INDIRECT("'GRD-"&amp;EJ$11&amp;"'!B:R"),15,FALSE),"")</f>
        <v/>
      </c>
      <c r="EK33" s="96">
        <f>IFERROR(VLOOKUP($B33,INDIRECT("'GRD-"&amp;EK$11&amp;"'!B:R"),15,FALSE),"")</f>
        <v/>
      </c>
      <c r="EL33" s="96">
        <f>IFERROR(VLOOKUP($B33,INDIRECT("'GRD-"&amp;EL$11&amp;"'!B:R"),15,FALSE),"")</f>
        <v/>
      </c>
      <c r="EM33" s="96">
        <f>IFERROR(VLOOKUP($B33,INDIRECT("'GRD-"&amp;EM$11&amp;"'!B:R"),15,FALSE),"")</f>
        <v/>
      </c>
      <c r="EN33" s="96">
        <f>IFERROR(VLOOKUP($B33,INDIRECT("'GRD-"&amp;EN$11&amp;"'!B:R"),15,FALSE),"")</f>
        <v/>
      </c>
      <c r="EO33" s="96">
        <f>IFERROR(VLOOKUP($B33,INDIRECT("'GRD-"&amp;EO$11&amp;"'!B:R"),15,FALSE),"")</f>
        <v/>
      </c>
      <c r="EP33" s="96">
        <f>IFERROR(VLOOKUP($B33,INDIRECT("'GRD-"&amp;EP$11&amp;"'!B:R"),15,FALSE),"")</f>
        <v/>
      </c>
      <c r="EQ33" s="96">
        <f>IFERROR(VLOOKUP($B33,INDIRECT("'GRD-"&amp;EQ$11&amp;"'!B:R"),15,FALSE),"")</f>
        <v/>
      </c>
      <c r="ER33" s="96">
        <f>IFERROR(VLOOKUP($B33,INDIRECT("'GRD-"&amp;ER$11&amp;"'!B:R"),15,FALSE),"")</f>
        <v/>
      </c>
      <c r="ES33" s="96">
        <f>IFERROR(VLOOKUP($B33,INDIRECT("'GRD-"&amp;ES$11&amp;"'!B:R"),15,FALSE),"")</f>
        <v/>
      </c>
      <c r="ET33" s="96">
        <f>IFERROR(VLOOKUP($B33,INDIRECT("'GRD-"&amp;ET$11&amp;"'!B:R"),15,FALSE),"")</f>
        <v/>
      </c>
      <c r="EU33" s="96">
        <f>IFERROR(VLOOKUP($B33,INDIRECT("'GRD-"&amp;EU$11&amp;"'!B:R"),15,FALSE),"")</f>
        <v/>
      </c>
      <c r="EV33" s="96">
        <f>IFERROR(VLOOKUP($B33,INDIRECT("'GRD-"&amp;EV$11&amp;"'!B:R"),15,FALSE),"")</f>
        <v/>
      </c>
      <c r="EW33" s="96">
        <f>IFERROR(VLOOKUP($B33,INDIRECT("'GRD-"&amp;EW$11&amp;"'!B:R"),15,FALSE),"")</f>
        <v/>
      </c>
      <c r="EX33" s="96">
        <f>IFERROR(VLOOKUP($B33,INDIRECT("'GRD-"&amp;EX$11&amp;"'!B:R"),15,FALSE),"")</f>
        <v/>
      </c>
      <c r="EY33" s="96">
        <f>IFERROR(VLOOKUP($B33,INDIRECT("'GRD-"&amp;EY$11&amp;"'!B:R"),15,FALSE),"")</f>
        <v/>
      </c>
      <c r="EZ33" s="96">
        <f>IFERROR(VLOOKUP($B33,INDIRECT("'GRD-"&amp;EZ$11&amp;"'!B:R"),15,FALSE),"")</f>
        <v/>
      </c>
      <c r="FA33" s="96">
        <f>IFERROR(VLOOKUP($B33,INDIRECT("'GRD-"&amp;FA$11&amp;"'!B:R"),15,FALSE),"")</f>
        <v/>
      </c>
      <c r="FB33" s="96">
        <f>IFERROR(VLOOKUP($B33,INDIRECT("'GRD-"&amp;FB$11&amp;"'!B:R"),15,FALSE),"")</f>
        <v/>
      </c>
      <c r="FC33" s="96">
        <f>IFERROR(VLOOKUP($B33,INDIRECT("'GRD-"&amp;FC$11&amp;"'!B:R"),15,FALSE),"")</f>
        <v/>
      </c>
      <c r="FD33" s="96">
        <f>IFERROR(VLOOKUP($B33,INDIRECT("'GRD-"&amp;FD$11&amp;"'!B:R"),15,FALSE),"")</f>
        <v/>
      </c>
      <c r="FE33" s="96">
        <f>IFERROR(VLOOKUP($B33,INDIRECT("'GRD-"&amp;FE$11&amp;"'!B:R"),15,FALSE),"")</f>
        <v/>
      </c>
      <c r="FF33" s="96">
        <f>IFERROR(VLOOKUP($B33,INDIRECT("'GRD-"&amp;FF$11&amp;"'!B:R"),15,FALSE),"")</f>
        <v/>
      </c>
      <c r="FG33" s="96">
        <f>IFERROR(VLOOKUP($B33,INDIRECT("'GRD-"&amp;FG$11&amp;"'!B:R"),15,FALSE),"")</f>
        <v/>
      </c>
      <c r="FH33" s="96">
        <f>IFERROR(VLOOKUP($B33,INDIRECT("'GRD-"&amp;FH$11&amp;"'!B:R"),15,FALSE),"")</f>
        <v/>
      </c>
      <c r="FI33" s="96">
        <f>IFERROR(VLOOKUP($B33,INDIRECT("'GRD-"&amp;FI$11&amp;"'!B:R"),15,FALSE),"")</f>
        <v/>
      </c>
      <c r="FJ33" s="96">
        <f>IFERROR(VLOOKUP($B33,INDIRECT("'GRD-"&amp;FJ$11&amp;"'!B:R"),15,FALSE),"")</f>
        <v/>
      </c>
      <c r="FK33" s="96">
        <f>IFERROR(VLOOKUP($B33,INDIRECT("'GRD-"&amp;FK$11&amp;"'!B:R"),15,FALSE),"")</f>
        <v/>
      </c>
      <c r="FL33" s="96">
        <f>IFERROR(VLOOKUP($B33,INDIRECT("'GRD-"&amp;FL$11&amp;"'!B:R"),15,FALSE),"")</f>
        <v/>
      </c>
      <c r="FM33" s="96">
        <f>IFERROR(VLOOKUP($B33,INDIRECT("'GRD-"&amp;FM$11&amp;"'!B:R"),15,FALSE),"")</f>
        <v/>
      </c>
      <c r="FN33" s="96">
        <f>IFERROR(VLOOKUP($B33,INDIRECT("'GRD-"&amp;FN$11&amp;"'!B:R"),15,FALSE),"")</f>
        <v/>
      </c>
      <c r="FO33" s="96">
        <f>IFERROR(VLOOKUP($B33,INDIRECT("'GRD-"&amp;FO$11&amp;"'!B:R"),15,FALSE),"")</f>
        <v/>
      </c>
      <c r="FP33" s="96">
        <f>IFERROR(VLOOKUP($B33,INDIRECT("'GRD-"&amp;FP$11&amp;"'!B:R"),15,FALSE),"")</f>
        <v/>
      </c>
      <c r="FQ33" s="96">
        <f>IFERROR(VLOOKUP($B33,INDIRECT("'GRD-"&amp;FQ$11&amp;"'!B:R"),15,FALSE),"")</f>
        <v/>
      </c>
      <c r="FR33" s="96">
        <f>IFERROR(VLOOKUP($B33,INDIRECT("'GRD-"&amp;FR$11&amp;"'!B:R"),15,FALSE),"")</f>
        <v/>
      </c>
      <c r="FS33" s="96">
        <f>IFERROR(VLOOKUP($B33,INDIRECT("'GRD-"&amp;FS$11&amp;"'!B:R"),15,FALSE),"")</f>
        <v/>
      </c>
      <c r="FT33" s="96">
        <f>IFERROR(VLOOKUP($B33,INDIRECT("'GRD-"&amp;FT$11&amp;"'!B:R"),15,FALSE),"")</f>
        <v/>
      </c>
      <c r="FU33" s="96">
        <f>IFERROR(VLOOKUP($B33,INDIRECT("'GRD-"&amp;FU$11&amp;"'!B:R"),15,FALSE),"")</f>
        <v/>
      </c>
      <c r="FV33" s="96">
        <f>IFERROR(VLOOKUP($B33,INDIRECT("'GRD-"&amp;FV$11&amp;"'!B:R"),15,FALSE),"")</f>
        <v/>
      </c>
    </row>
    <row r="34">
      <c r="B34" s="68" t="n"/>
      <c r="C34" s="72" t="n"/>
      <c r="D34" s="73">
        <f>IF(K34="","",MAX($CA34:$FV34))</f>
        <v/>
      </c>
      <c r="E34" s="74">
        <f t="array" ref="E34">IF($K34="","",OFFSET($A$1,ROW($B34)-1,11+$D34*4,))</f>
        <v/>
      </c>
      <c r="F34" s="74">
        <f t="array" ref="F34">IF($K34="","",OFFSET($A$1,ROW($B34)-1,12+$D34*4,))</f>
        <v/>
      </c>
      <c r="G34" s="118">
        <f t="array" ref="G34">IF($K34="","",OFFSET($A$1,ROW($B34)-1,13+$D34*4,))</f>
        <v/>
      </c>
      <c r="H34" s="81" t="n"/>
      <c r="I34" s="82" t="n"/>
      <c r="J34" s="75">
        <f>IF(I34="A4",H34/8,IF(I34="A3",H34/4,IF(I34="A2",H34/2,IF(I34="A1",H34/1,IF(I34="A0",H34*2,"")))))</f>
        <v/>
      </c>
      <c r="K34" s="68">
        <f t="array" ref="K34">IFERROR(OFFSET($BZ$11,ROW($B34)-11,MATCH(K$10,$CA34:$FV34,0),),"")</f>
        <v/>
      </c>
      <c r="L34" s="85">
        <f>IF(K34="","",IF(VLOOKUP($B34,INDIRECT("'GRD-"&amp;M34&amp;"'!$B:$R"),16,FALSE)="","",VLOOKUP($B34,INDIRECT("'GRD-"&amp;M34&amp;"'!$B:$R"),16,FALSE)))</f>
        <v/>
      </c>
      <c r="M34" s="130">
        <f t="array" ref="M34">IF(K34="","",IFERROR(OFFSET($BZ$11,0,MATCH($K34,$CA34:$FV34,0),),""))</f>
        <v/>
      </c>
      <c r="N34" s="119">
        <f t="array" ref="N34">IF(K34="","",INDIRECT("'GRD-"&amp;M34&amp;"'!$L$7"))</f>
        <v/>
      </c>
      <c r="O34" s="76">
        <f t="array" ref="O34">IFERROR(OFFSET($BZ$11,ROW($B34)-11,MATCH(O$10,$CA34:$FV34,0),),"")</f>
        <v/>
      </c>
      <c r="P34" s="76">
        <f>IF(O34="","",IF(VLOOKUP($B34,INDIRECT("'GRD-"&amp;Q34&amp;"'!$B:$R"),16,FALSE)="","",VLOOKUP($B34,INDIRECT("'GRD-"&amp;Q34&amp;"'!$B:$R"),16,FALSE)))</f>
        <v/>
      </c>
      <c r="Q34" s="132">
        <f t="array" ref="Q34">IF(O34="","",IFERROR(OFFSET($BZ$11,0,MATCH($O34,$CA34:$FV34,0),),""))</f>
        <v/>
      </c>
      <c r="R34" s="121">
        <f t="array" ref="R34">IF(O34="","",INDIRECT("'GRD-"&amp;Q34&amp;"'!$L$7"))</f>
        <v/>
      </c>
      <c r="S34" s="83">
        <f t="array" ref="S34">IFERROR(OFFSET($BZ$11,ROW($B34)-11,MATCH(S$10,$CA34:$FV34,0),),"")</f>
        <v/>
      </c>
      <c r="T34" s="83">
        <f>IF(S34="","",IF(VLOOKUP($B34,INDIRECT("'GRD-"&amp;U34&amp;"'!$B:$R"),16,FALSE)="","",VLOOKUP($B34,INDIRECT("'GRD-"&amp;U34&amp;"'!$B:$R"),16,FALSE)))</f>
        <v/>
      </c>
      <c r="U34" s="128">
        <f t="array" ref="U34">IF(S34="","",IFERROR(OFFSET($BZ$11,0,MATCH($S34,$CA34:$FV34,0),),""))</f>
        <v/>
      </c>
      <c r="V34" s="133">
        <f t="array" ref="V34">IF(S34="","",INDIRECT("'GRD-"&amp;U34&amp;"'!$L$7"))</f>
        <v/>
      </c>
      <c r="W34" s="84">
        <f t="array" ref="W34">IFERROR(OFFSET($BZ$11,ROW($B34)-11,MATCH(W$10,$CA34:$FV34,0),),"")</f>
        <v/>
      </c>
      <c r="X34" s="84">
        <f>IF(W34="","",IF(VLOOKUP($B34,INDIRECT("'GRD-"&amp;Y34&amp;"'!$B:$R"),16,FALSE)="","",VLOOKUP($B34,INDIRECT("'GRD-"&amp;Y34&amp;"'!$B:$R"),16,FALSE)))</f>
        <v/>
      </c>
      <c r="Y34" s="129">
        <f t="array" ref="Y34">IF(W34="","",IFERROR(OFFSET($BZ$11,0,MATCH($W34,$CA34:$FV34,0),),""))</f>
        <v/>
      </c>
      <c r="Z34" s="134">
        <f t="array" ref="Z34">IF(W34="","",INDIRECT("'GRD-"&amp;Y34&amp;"'!$L$7"))</f>
        <v/>
      </c>
      <c r="AA34" s="85">
        <f t="array" ref="AA34">IFERROR(OFFSET($BZ$11,ROW($B34)-11,MATCH(AA$10,$CA34:$FV34,0),),"")</f>
        <v/>
      </c>
      <c r="AB34" s="85">
        <f>IF(AA34="","",IF(VLOOKUP($B34,INDIRECT("'GRD-"&amp;AC34&amp;"'!$B:$R"),16,FALSE)="","",VLOOKUP($B34,INDIRECT("'GRD-"&amp;AC34&amp;"'!$B:$R"),16,FALSE)))</f>
        <v/>
      </c>
      <c r="AC34" s="130">
        <f t="array" ref="AC34">IF(AA34="","",IFERROR(OFFSET($BZ$11,0,MATCH($AA34,$CA34:$FV34,0),),""))</f>
        <v/>
      </c>
      <c r="AD34" s="131">
        <f t="array" ref="AD34">IF(AA34="","",INDIRECT("'GRD-"&amp;AC34&amp;"'!$L$7"))</f>
        <v/>
      </c>
      <c r="AE34" s="76">
        <f t="array" ref="AE34">IFERROR(OFFSET($BZ$11,ROW($B34)-11,MATCH(AE$10,$CA34:$FV34,0),),"")</f>
        <v/>
      </c>
      <c r="AF34" s="76">
        <f>IF(AE34="","",IF(VLOOKUP($B34,INDIRECT("'GRD-"&amp;AG34&amp;"'!$B:$R"),16,FALSE)="","",VLOOKUP($B34,INDIRECT("'GRD-"&amp;AG34&amp;"'!$B:$R"),16,FALSE)))</f>
        <v/>
      </c>
      <c r="AG34" s="132">
        <f t="array" ref="AG34">IF(AE34="","",IFERROR(OFFSET($BZ$11,0,MATCH($AE34,$CA34:$FV34,0),),""))</f>
        <v/>
      </c>
      <c r="AH34" s="121">
        <f t="array" ref="AH34">IF(AE34="","",INDIRECT("'GRD-"&amp;AG34&amp;"'!$L$7"))</f>
        <v/>
      </c>
      <c r="AI34" s="83">
        <f t="array" ref="AI34">IFERROR(OFFSET($BZ$11,ROW($B34)-11,MATCH(AI$10,$CA34:$FV34,0),),"")</f>
        <v/>
      </c>
      <c r="AJ34" s="83">
        <f>IF(AI34="","",IF(VLOOKUP($B34,INDIRECT("'GRD-"&amp;AK34&amp;"'!$B:$R"),16,FALSE)="","",VLOOKUP($B34,INDIRECT("'GRD-"&amp;AK34&amp;"'!$B:$R"),16,FALSE)))</f>
        <v/>
      </c>
      <c r="AK34" s="128">
        <f t="array" ref="AK34">IF(AI34="","",IFERROR(OFFSET($BZ$11,0,MATCH($AI34,$CA34:$FV34,0),),""))</f>
        <v/>
      </c>
      <c r="AL34" s="133">
        <f t="array" ref="AL34">IF(AI34="","",INDIRECT("'GRD-"&amp;AK34&amp;"'!$L$7"))</f>
        <v/>
      </c>
      <c r="AM34" s="84">
        <f t="array" ref="AM34">IFERROR(OFFSET($BZ$11,ROW($B34)-11,MATCH(AM$10,$CA34:$FV34,0),),"")</f>
        <v/>
      </c>
      <c r="AN34" s="84">
        <f>IF(AM34="","",IF(VLOOKUP($B34,INDIRECT("'GRD-"&amp;AO34&amp;"'!$B:$R"),16,FALSE)="","",VLOOKUP($B34,INDIRECT("'GRD-"&amp;AO34&amp;"'!$B:$R"),16,FALSE)))</f>
        <v/>
      </c>
      <c r="AO34" s="129">
        <f t="array" ref="AO34">IF(AM34="","",IFERROR(OFFSET($BZ$11,0,MATCH($AM34,$CA34:$FV34,0),),""))</f>
        <v/>
      </c>
      <c r="AP34" s="134">
        <f t="array" ref="AP34">IF(AM34="","",INDIRECT("'GRD-"&amp;AO34&amp;"'!$L$7"))</f>
        <v/>
      </c>
      <c r="AQ34" s="85">
        <f t="array" ref="AQ34">IFERROR(OFFSET($BZ$11,ROW($B34)-11,MATCH(AQ$10,$CA34:$FV34,0),),"")</f>
        <v/>
      </c>
      <c r="AR34" s="85">
        <f>IF(AQ34="","",IF(VLOOKUP($B34,INDIRECT("'GRD-"&amp;AS34&amp;"'!$B:$R"),16,FALSE)="","",VLOOKUP($B34,INDIRECT("'GRD-"&amp;AS34&amp;"'!$B:$R"),16,FALSE)))</f>
        <v/>
      </c>
      <c r="AS34" s="130">
        <f t="array" ref="AS34">IF(AQ34="","",IFERROR(OFFSET($BZ$11,0,MATCH($AQ34,$CA34:$FV34,0),),""))</f>
        <v/>
      </c>
      <c r="AT34" s="131">
        <f t="array" ref="AT34">IF(AQ34="","",INDIRECT("'GRD-"&amp;AS34&amp;"'!$L$7"))</f>
        <v/>
      </c>
      <c r="AU34" s="76">
        <f t="array" ref="AU34">IFERROR(OFFSET($BZ$11,ROW($B34)-11,MATCH(AU$10,$CA34:$FV34,0),),"")</f>
        <v/>
      </c>
      <c r="AV34" s="76">
        <f>IF(AU34="","",IF(VLOOKUP($B34,INDIRECT("'GRD-"&amp;AW34&amp;"'!$B:$R"),16,FALSE)="","",VLOOKUP($B34,INDIRECT("'GRD-"&amp;AW34&amp;"'!$B:$R"),16,FALSE)))</f>
        <v/>
      </c>
      <c r="AW34" s="132">
        <f t="array" ref="AW34">IF(AU34="","",IFERROR(OFFSET($BZ$11,0,MATCH($AU34,$CA34:$FV34,0),),""))</f>
        <v/>
      </c>
      <c r="AX34" s="121">
        <f t="array" ref="AX34">IF(AU34="","",INDIRECT("'GRD-"&amp;AW34&amp;"'!$L$7"))</f>
        <v/>
      </c>
      <c r="AY34" s="83">
        <f t="array" ref="AY34">IFERROR(OFFSET($BZ$11,ROW($B34)-11,MATCH(AY$10,$CA34:$FV34,0),),"")</f>
        <v/>
      </c>
      <c r="AZ34" s="83">
        <f>IF(AY34="","",IF(VLOOKUP($B34,INDIRECT("'GRD-"&amp;BA34&amp;"'!$B:$R"),16,FALSE)="","",VLOOKUP($B34,INDIRECT("'GRD-"&amp;BA34&amp;"'!$B:$R"),16,FALSE)))</f>
        <v/>
      </c>
      <c r="BA34" s="128">
        <f t="array" ref="BA34">IF(AY34="","",IFERROR(OFFSET($BZ$11,0,MATCH($AY34,$CA34:$FV34,0),),""))</f>
        <v/>
      </c>
      <c r="BB34" s="133">
        <f t="array" ref="BB34">IF(AY34="","",INDIRECT("'GRD-"&amp;BA34&amp;"'!$L$7"))</f>
        <v/>
      </c>
      <c r="BC34" s="84">
        <f t="array" ref="BC34">IFERROR(OFFSET($BZ$11,ROW($B34)-11,MATCH(BC$10,$CA34:$FV34,0),),"")</f>
        <v/>
      </c>
      <c r="BD34" s="84">
        <f>IF(BC34="","",IF(VLOOKUP($B34,INDIRECT("'GRD-"&amp;BE34&amp;"'!$B:$R"),16,FALSE)="","",VLOOKUP($B34,INDIRECT("'GRD-"&amp;BE34&amp;"'!$B:$R"),16,FALSE)))</f>
        <v/>
      </c>
      <c r="BE34" s="129">
        <f t="array" ref="BE34">IF(BC34="","",IFERROR(OFFSET($BZ$11,0,MATCH($BC34,$CA34:$FV34,0),),""))</f>
        <v/>
      </c>
      <c r="BF34" s="134">
        <f t="array" ref="BF34">IF(BC34="","",INDIRECT("'GRD-"&amp;BE34&amp;"'!$L$7"))</f>
        <v/>
      </c>
      <c r="CA34" s="96">
        <f>IFERROR(VLOOKUP($B34,INDIRECT("'GRD-"&amp;CA$11&amp;"'!B:R"),15,FALSE),"")</f>
        <v/>
      </c>
      <c r="CB34" s="96">
        <f>IFERROR(VLOOKUP($B34,INDIRECT("'GRD-"&amp;CB$11&amp;"'!B:R"),15,FALSE),"")</f>
        <v/>
      </c>
      <c r="CC34" s="96">
        <f>IFERROR(VLOOKUP($B34,INDIRECT("'GRD-"&amp;CC$11&amp;"'!B:R"),15,FALSE),"")</f>
        <v/>
      </c>
      <c r="CD34" s="96">
        <f>IFERROR(VLOOKUP($B34,INDIRECT("'GRD-"&amp;CD$11&amp;"'!B:R"),15,FALSE),"")</f>
        <v/>
      </c>
      <c r="CE34" s="96">
        <f>IFERROR(VLOOKUP($B34,INDIRECT("'GRD-"&amp;CE$11&amp;"'!B:R"),15,FALSE),"")</f>
        <v/>
      </c>
      <c r="CF34" s="96">
        <f>IFERROR(VLOOKUP($B34,INDIRECT("'GRD-"&amp;CF$11&amp;"'!B:R"),15,FALSE),"")</f>
        <v/>
      </c>
      <c r="CG34" s="96">
        <f>IFERROR(VLOOKUP($B34,INDIRECT("'GRD-"&amp;CG$11&amp;"'!B:R"),15,FALSE),"")</f>
        <v/>
      </c>
      <c r="CH34" s="96">
        <f>IFERROR(VLOOKUP($B34,INDIRECT("'GRD-"&amp;CH$11&amp;"'!B:R"),15,FALSE),"")</f>
        <v/>
      </c>
      <c r="CI34" s="96">
        <f>IFERROR(VLOOKUP($B34,INDIRECT("'GRD-"&amp;CI$11&amp;"'!B:R"),15,FALSE),"")</f>
        <v/>
      </c>
      <c r="CJ34" s="96">
        <f>IFERROR(VLOOKUP($B34,INDIRECT("'GRD-"&amp;CJ$11&amp;"'!B:R"),15,FALSE),"")</f>
        <v/>
      </c>
      <c r="CK34" s="96">
        <f>IFERROR(VLOOKUP($B34,INDIRECT("'GRD-"&amp;CK$11&amp;"'!B:R"),15,FALSE),"")</f>
        <v/>
      </c>
      <c r="CL34" s="96">
        <f>IFERROR(VLOOKUP($B34,INDIRECT("'GRD-"&amp;CL$11&amp;"'!B:R"),15,FALSE),"")</f>
        <v/>
      </c>
      <c r="CM34" s="96">
        <f>IFERROR(VLOOKUP($B34,INDIRECT("'GRD-"&amp;CM$11&amp;"'!B:R"),15,FALSE),"")</f>
        <v/>
      </c>
      <c r="CN34" s="96">
        <f>IFERROR(VLOOKUP($B34,INDIRECT("'GRD-"&amp;CN$11&amp;"'!B:R"),15,FALSE),"")</f>
        <v/>
      </c>
      <c r="CO34" s="96">
        <f>IFERROR(VLOOKUP($B34,INDIRECT("'GRD-"&amp;CO$11&amp;"'!B:R"),15,FALSE),"")</f>
        <v/>
      </c>
      <c r="CP34" s="96">
        <f>IFERROR(VLOOKUP($B34,INDIRECT("'GRD-"&amp;CP$11&amp;"'!B:R"),15,FALSE),"")</f>
        <v/>
      </c>
      <c r="CQ34" s="96">
        <f>IFERROR(VLOOKUP($B34,INDIRECT("'GRD-"&amp;CQ$11&amp;"'!B:R"),15,FALSE),"")</f>
        <v/>
      </c>
      <c r="CR34" s="96">
        <f>IFERROR(VLOOKUP($B34,INDIRECT("'GRD-"&amp;CR$11&amp;"'!B:R"),15,FALSE),"")</f>
        <v/>
      </c>
      <c r="CS34" s="96">
        <f>IFERROR(VLOOKUP($B34,INDIRECT("'GRD-"&amp;CS$11&amp;"'!B:R"),15,FALSE),"")</f>
        <v/>
      </c>
      <c r="CT34" s="96">
        <f>IFERROR(VLOOKUP($B34,INDIRECT("'GRD-"&amp;CT$11&amp;"'!B:R"),15,FALSE),"")</f>
        <v/>
      </c>
      <c r="CU34" s="96">
        <f>IFERROR(VLOOKUP($B34,INDIRECT("'GRD-"&amp;CU$11&amp;"'!B:R"),15,FALSE),"")</f>
        <v/>
      </c>
      <c r="CV34" s="96">
        <f>IFERROR(VLOOKUP($B34,INDIRECT("'GRD-"&amp;CV$11&amp;"'!B:R"),15,FALSE),"")</f>
        <v/>
      </c>
      <c r="CW34" s="96">
        <f>IFERROR(VLOOKUP($B34,INDIRECT("'GRD-"&amp;CW$11&amp;"'!B:R"),15,FALSE),"")</f>
        <v/>
      </c>
      <c r="CX34" s="96">
        <f>IFERROR(VLOOKUP($B34,INDIRECT("'GRD-"&amp;CX$11&amp;"'!B:R"),15,FALSE),"")</f>
        <v/>
      </c>
      <c r="CY34" s="96">
        <f>IFERROR(VLOOKUP($B34,INDIRECT("'GRD-"&amp;CY$11&amp;"'!B:R"),15,FALSE),"")</f>
        <v/>
      </c>
      <c r="CZ34" s="96">
        <f>IFERROR(VLOOKUP($B34,INDIRECT("'GRD-"&amp;CZ$11&amp;"'!B:R"),15,FALSE),"")</f>
        <v/>
      </c>
      <c r="DA34" s="96">
        <f>IFERROR(VLOOKUP($B34,INDIRECT("'GRD-"&amp;DA$11&amp;"'!B:R"),15,FALSE),"")</f>
        <v/>
      </c>
      <c r="DB34" s="96">
        <f>IFERROR(VLOOKUP($B34,INDIRECT("'GRD-"&amp;DB$11&amp;"'!B:R"),15,FALSE),"")</f>
        <v/>
      </c>
      <c r="DC34" s="96">
        <f>IFERROR(VLOOKUP($B34,INDIRECT("'GRD-"&amp;DC$11&amp;"'!B:R"),15,FALSE),"")</f>
        <v/>
      </c>
      <c r="DD34" s="96">
        <f>IFERROR(VLOOKUP($B34,INDIRECT("'GRD-"&amp;DD$11&amp;"'!B:R"),15,FALSE),"")</f>
        <v/>
      </c>
      <c r="DE34" s="96">
        <f>IFERROR(VLOOKUP($B34,INDIRECT("'GRD-"&amp;DE$11&amp;"'!B:R"),15,FALSE),"")</f>
        <v/>
      </c>
      <c r="DF34" s="96">
        <f>IFERROR(VLOOKUP($B34,INDIRECT("'GRD-"&amp;DF$11&amp;"'!B:R"),15,FALSE),"")</f>
        <v/>
      </c>
      <c r="DG34" s="96">
        <f>IFERROR(VLOOKUP($B34,INDIRECT("'GRD-"&amp;DG$11&amp;"'!B:R"),15,FALSE),"")</f>
        <v/>
      </c>
      <c r="DH34" s="96">
        <f>IFERROR(VLOOKUP($B34,INDIRECT("'GRD-"&amp;DH$11&amp;"'!B:R"),15,FALSE),"")</f>
        <v/>
      </c>
      <c r="DI34" s="96">
        <f>IFERROR(VLOOKUP($B34,INDIRECT("'GRD-"&amp;DI$11&amp;"'!B:R"),15,FALSE),"")</f>
        <v/>
      </c>
      <c r="DJ34" s="96">
        <f>IFERROR(VLOOKUP($B34,INDIRECT("'GRD-"&amp;DJ$11&amp;"'!B:R"),15,FALSE),"")</f>
        <v/>
      </c>
      <c r="DK34" s="96">
        <f>IFERROR(VLOOKUP($B34,INDIRECT("'GRD-"&amp;DK$11&amp;"'!B:R"),15,FALSE),"")</f>
        <v/>
      </c>
      <c r="DL34" s="96">
        <f>IFERROR(VLOOKUP($B34,INDIRECT("'GRD-"&amp;DL$11&amp;"'!B:R"),15,FALSE),"")</f>
        <v/>
      </c>
      <c r="DM34" s="96">
        <f>IFERROR(VLOOKUP($B34,INDIRECT("'GRD-"&amp;DM$11&amp;"'!B:R"),15,FALSE),"")</f>
        <v/>
      </c>
      <c r="DN34" s="96">
        <f>IFERROR(VLOOKUP($B34,INDIRECT("'GRD-"&amp;DN$11&amp;"'!B:R"),15,FALSE),"")</f>
        <v/>
      </c>
      <c r="DO34" s="96">
        <f>IFERROR(VLOOKUP($B34,INDIRECT("'GRD-"&amp;DO$11&amp;"'!B:R"),15,FALSE),"")</f>
        <v/>
      </c>
      <c r="DP34" s="96">
        <f>IFERROR(VLOOKUP($B34,INDIRECT("'GRD-"&amp;DP$11&amp;"'!B:R"),15,FALSE),"")</f>
        <v/>
      </c>
      <c r="DQ34" s="96">
        <f>IFERROR(VLOOKUP($B34,INDIRECT("'GRD-"&amp;DQ$11&amp;"'!B:R"),15,FALSE),"")</f>
        <v/>
      </c>
      <c r="DR34" s="96">
        <f>IFERROR(VLOOKUP($B34,INDIRECT("'GRD-"&amp;DR$11&amp;"'!B:R"),15,FALSE),"")</f>
        <v/>
      </c>
      <c r="DS34" s="96">
        <f>IFERROR(VLOOKUP($B34,INDIRECT("'GRD-"&amp;DS$11&amp;"'!B:R"),15,FALSE),"")</f>
        <v/>
      </c>
      <c r="DT34" s="96">
        <f>IFERROR(VLOOKUP($B34,INDIRECT("'GRD-"&amp;DT$11&amp;"'!B:R"),15,FALSE),"")</f>
        <v/>
      </c>
      <c r="DU34" s="96">
        <f>IFERROR(VLOOKUP($B34,INDIRECT("'GRD-"&amp;DU$11&amp;"'!B:R"),15,FALSE),"")</f>
        <v/>
      </c>
      <c r="DV34" s="96">
        <f>IFERROR(VLOOKUP($B34,INDIRECT("'GRD-"&amp;DV$11&amp;"'!B:R"),15,FALSE),"")</f>
        <v/>
      </c>
      <c r="DW34" s="96">
        <f>IFERROR(VLOOKUP($B34,INDIRECT("'GRD-"&amp;DW$11&amp;"'!B:R"),15,FALSE),"")</f>
        <v/>
      </c>
      <c r="DX34" s="96">
        <f>IFERROR(VLOOKUP($B34,INDIRECT("'GRD-"&amp;DX$11&amp;"'!B:R"),15,FALSE),"")</f>
        <v/>
      </c>
      <c r="DY34" s="96">
        <f>IFERROR(VLOOKUP($B34,INDIRECT("'GRD-"&amp;DY$11&amp;"'!B:R"),15,FALSE),"")</f>
        <v/>
      </c>
      <c r="DZ34" s="96">
        <f>IFERROR(VLOOKUP($B34,INDIRECT("'GRD-"&amp;DZ$11&amp;"'!B:R"),15,FALSE),"")</f>
        <v/>
      </c>
      <c r="EA34" s="96">
        <f>IFERROR(VLOOKUP($B34,INDIRECT("'GRD-"&amp;EA$11&amp;"'!B:R"),15,FALSE),"")</f>
        <v/>
      </c>
      <c r="EB34" s="96">
        <f>IFERROR(VLOOKUP($B34,INDIRECT("'GRD-"&amp;EB$11&amp;"'!B:R"),15,FALSE),"")</f>
        <v/>
      </c>
      <c r="EC34" s="96">
        <f>IFERROR(VLOOKUP($B34,INDIRECT("'GRD-"&amp;EC$11&amp;"'!B:R"),15,FALSE),"")</f>
        <v/>
      </c>
      <c r="ED34" s="96">
        <f>IFERROR(VLOOKUP($B34,INDIRECT("'GRD-"&amp;ED$11&amp;"'!B:R"),15,FALSE),"")</f>
        <v/>
      </c>
      <c r="EE34" s="96">
        <f>IFERROR(VLOOKUP($B34,INDIRECT("'GRD-"&amp;EE$11&amp;"'!B:R"),15,FALSE),"")</f>
        <v/>
      </c>
      <c r="EF34" s="96">
        <f>IFERROR(VLOOKUP($B34,INDIRECT("'GRD-"&amp;EF$11&amp;"'!B:R"),15,FALSE),"")</f>
        <v/>
      </c>
      <c r="EG34" s="96">
        <f>IFERROR(VLOOKUP($B34,INDIRECT("'GRD-"&amp;EG$11&amp;"'!B:R"),15,FALSE),"")</f>
        <v/>
      </c>
      <c r="EH34" s="96">
        <f>IFERROR(VLOOKUP($B34,INDIRECT("'GRD-"&amp;EH$11&amp;"'!B:R"),15,FALSE),"")</f>
        <v/>
      </c>
      <c r="EI34" s="96">
        <f>IFERROR(VLOOKUP($B34,INDIRECT("'GRD-"&amp;EI$11&amp;"'!B:R"),15,FALSE),"")</f>
        <v/>
      </c>
      <c r="EJ34" s="96">
        <f>IFERROR(VLOOKUP($B34,INDIRECT("'GRD-"&amp;EJ$11&amp;"'!B:R"),15,FALSE),"")</f>
        <v/>
      </c>
      <c r="EK34" s="96">
        <f>IFERROR(VLOOKUP($B34,INDIRECT("'GRD-"&amp;EK$11&amp;"'!B:R"),15,FALSE),"")</f>
        <v/>
      </c>
      <c r="EL34" s="96">
        <f>IFERROR(VLOOKUP($B34,INDIRECT("'GRD-"&amp;EL$11&amp;"'!B:R"),15,FALSE),"")</f>
        <v/>
      </c>
      <c r="EM34" s="96">
        <f>IFERROR(VLOOKUP($B34,INDIRECT("'GRD-"&amp;EM$11&amp;"'!B:R"),15,FALSE),"")</f>
        <v/>
      </c>
      <c r="EN34" s="96">
        <f>IFERROR(VLOOKUP($B34,INDIRECT("'GRD-"&amp;EN$11&amp;"'!B:R"),15,FALSE),"")</f>
        <v/>
      </c>
      <c r="EO34" s="96">
        <f>IFERROR(VLOOKUP($B34,INDIRECT("'GRD-"&amp;EO$11&amp;"'!B:R"),15,FALSE),"")</f>
        <v/>
      </c>
      <c r="EP34" s="96">
        <f>IFERROR(VLOOKUP($B34,INDIRECT("'GRD-"&amp;EP$11&amp;"'!B:R"),15,FALSE),"")</f>
        <v/>
      </c>
      <c r="EQ34" s="96">
        <f>IFERROR(VLOOKUP($B34,INDIRECT("'GRD-"&amp;EQ$11&amp;"'!B:R"),15,FALSE),"")</f>
        <v/>
      </c>
      <c r="ER34" s="96">
        <f>IFERROR(VLOOKUP($B34,INDIRECT("'GRD-"&amp;ER$11&amp;"'!B:R"),15,FALSE),"")</f>
        <v/>
      </c>
      <c r="ES34" s="96">
        <f>IFERROR(VLOOKUP($B34,INDIRECT("'GRD-"&amp;ES$11&amp;"'!B:R"),15,FALSE),"")</f>
        <v/>
      </c>
      <c r="ET34" s="96">
        <f>IFERROR(VLOOKUP($B34,INDIRECT("'GRD-"&amp;ET$11&amp;"'!B:R"),15,FALSE),"")</f>
        <v/>
      </c>
      <c r="EU34" s="96">
        <f>IFERROR(VLOOKUP($B34,INDIRECT("'GRD-"&amp;EU$11&amp;"'!B:R"),15,FALSE),"")</f>
        <v/>
      </c>
      <c r="EV34" s="96">
        <f>IFERROR(VLOOKUP($B34,INDIRECT("'GRD-"&amp;EV$11&amp;"'!B:R"),15,FALSE),"")</f>
        <v/>
      </c>
      <c r="EW34" s="96">
        <f>IFERROR(VLOOKUP($B34,INDIRECT("'GRD-"&amp;EW$11&amp;"'!B:R"),15,FALSE),"")</f>
        <v/>
      </c>
      <c r="EX34" s="96">
        <f>IFERROR(VLOOKUP($B34,INDIRECT("'GRD-"&amp;EX$11&amp;"'!B:R"),15,FALSE),"")</f>
        <v/>
      </c>
      <c r="EY34" s="96">
        <f>IFERROR(VLOOKUP($B34,INDIRECT("'GRD-"&amp;EY$11&amp;"'!B:R"),15,FALSE),"")</f>
        <v/>
      </c>
      <c r="EZ34" s="96">
        <f>IFERROR(VLOOKUP($B34,INDIRECT("'GRD-"&amp;EZ$11&amp;"'!B:R"),15,FALSE),"")</f>
        <v/>
      </c>
      <c r="FA34" s="96">
        <f>IFERROR(VLOOKUP($B34,INDIRECT("'GRD-"&amp;FA$11&amp;"'!B:R"),15,FALSE),"")</f>
        <v/>
      </c>
      <c r="FB34" s="96">
        <f>IFERROR(VLOOKUP($B34,INDIRECT("'GRD-"&amp;FB$11&amp;"'!B:R"),15,FALSE),"")</f>
        <v/>
      </c>
      <c r="FC34" s="96">
        <f>IFERROR(VLOOKUP($B34,INDIRECT("'GRD-"&amp;FC$11&amp;"'!B:R"),15,FALSE),"")</f>
        <v/>
      </c>
      <c r="FD34" s="96">
        <f>IFERROR(VLOOKUP($B34,INDIRECT("'GRD-"&amp;FD$11&amp;"'!B:R"),15,FALSE),"")</f>
        <v/>
      </c>
      <c r="FE34" s="96">
        <f>IFERROR(VLOOKUP($B34,INDIRECT("'GRD-"&amp;FE$11&amp;"'!B:R"),15,FALSE),"")</f>
        <v/>
      </c>
      <c r="FF34" s="96">
        <f>IFERROR(VLOOKUP($B34,INDIRECT("'GRD-"&amp;FF$11&amp;"'!B:R"),15,FALSE),"")</f>
        <v/>
      </c>
      <c r="FG34" s="96">
        <f>IFERROR(VLOOKUP($B34,INDIRECT("'GRD-"&amp;FG$11&amp;"'!B:R"),15,FALSE),"")</f>
        <v/>
      </c>
      <c r="FH34" s="96">
        <f>IFERROR(VLOOKUP($B34,INDIRECT("'GRD-"&amp;FH$11&amp;"'!B:R"),15,FALSE),"")</f>
        <v/>
      </c>
      <c r="FI34" s="96">
        <f>IFERROR(VLOOKUP($B34,INDIRECT("'GRD-"&amp;FI$11&amp;"'!B:R"),15,FALSE),"")</f>
        <v/>
      </c>
      <c r="FJ34" s="96">
        <f>IFERROR(VLOOKUP($B34,INDIRECT("'GRD-"&amp;FJ$11&amp;"'!B:R"),15,FALSE),"")</f>
        <v/>
      </c>
      <c r="FK34" s="96">
        <f>IFERROR(VLOOKUP($B34,INDIRECT("'GRD-"&amp;FK$11&amp;"'!B:R"),15,FALSE),"")</f>
        <v/>
      </c>
      <c r="FL34" s="96">
        <f>IFERROR(VLOOKUP($B34,INDIRECT("'GRD-"&amp;FL$11&amp;"'!B:R"),15,FALSE),"")</f>
        <v/>
      </c>
      <c r="FM34" s="96">
        <f>IFERROR(VLOOKUP($B34,INDIRECT("'GRD-"&amp;FM$11&amp;"'!B:R"),15,FALSE),"")</f>
        <v/>
      </c>
      <c r="FN34" s="96">
        <f>IFERROR(VLOOKUP($B34,INDIRECT("'GRD-"&amp;FN$11&amp;"'!B:R"),15,FALSE),"")</f>
        <v/>
      </c>
      <c r="FO34" s="96">
        <f>IFERROR(VLOOKUP($B34,INDIRECT("'GRD-"&amp;FO$11&amp;"'!B:R"),15,FALSE),"")</f>
        <v/>
      </c>
      <c r="FP34" s="96">
        <f>IFERROR(VLOOKUP($B34,INDIRECT("'GRD-"&amp;FP$11&amp;"'!B:R"),15,FALSE),"")</f>
        <v/>
      </c>
      <c r="FQ34" s="96">
        <f>IFERROR(VLOOKUP($B34,INDIRECT("'GRD-"&amp;FQ$11&amp;"'!B:R"),15,FALSE),"")</f>
        <v/>
      </c>
      <c r="FR34" s="96">
        <f>IFERROR(VLOOKUP($B34,INDIRECT("'GRD-"&amp;FR$11&amp;"'!B:R"),15,FALSE),"")</f>
        <v/>
      </c>
      <c r="FS34" s="96">
        <f>IFERROR(VLOOKUP($B34,INDIRECT("'GRD-"&amp;FS$11&amp;"'!B:R"),15,FALSE),"")</f>
        <v/>
      </c>
      <c r="FT34" s="96">
        <f>IFERROR(VLOOKUP($B34,INDIRECT("'GRD-"&amp;FT$11&amp;"'!B:R"),15,FALSE),"")</f>
        <v/>
      </c>
      <c r="FU34" s="96">
        <f>IFERROR(VLOOKUP($B34,INDIRECT("'GRD-"&amp;FU$11&amp;"'!B:R"),15,FALSE),"")</f>
        <v/>
      </c>
      <c r="FV34" s="96">
        <f>IFERROR(VLOOKUP($B34,INDIRECT("'GRD-"&amp;FV$11&amp;"'!B:R"),15,FALSE),"")</f>
        <v/>
      </c>
    </row>
    <row r="35">
      <c r="B35" s="68" t="n"/>
      <c r="C35" s="72" t="n"/>
      <c r="D35" s="73">
        <f>IF(K35="","",MAX($CA35:$FV35))</f>
        <v/>
      </c>
      <c r="E35" s="74">
        <f t="array" ref="E35">IF($K35="","",OFFSET($A$1,ROW($B35)-1,11+$D35*4,))</f>
        <v/>
      </c>
      <c r="F35" s="74">
        <f t="array" ref="F35">IF($K35="","",OFFSET($A$1,ROW($B35)-1,12+$D35*4,))</f>
        <v/>
      </c>
      <c r="G35" s="118">
        <f t="array" ref="G35">IF($K35="","",OFFSET($A$1,ROW($B35)-1,13+$D35*4,))</f>
        <v/>
      </c>
      <c r="H35" s="81" t="n"/>
      <c r="I35" s="82" t="n"/>
      <c r="J35" s="75">
        <f>IF(I35="A4",H35/8,IF(I35="A3",H35/4,IF(I35="A2",H35/2,IF(I35="A1",H35/1,IF(I35="A0",H35*2,"")))))</f>
        <v/>
      </c>
      <c r="K35" s="68">
        <f t="array" ref="K35">IFERROR(OFFSET($BZ$11,ROW($B35)-11,MATCH(K$10,$CA35:$FV35,0),),"")</f>
        <v/>
      </c>
      <c r="L35" s="85">
        <f>IF(K35="","",IF(VLOOKUP($B35,INDIRECT("'GRD-"&amp;M35&amp;"'!$B:$R"),16,FALSE)="","",VLOOKUP($B35,INDIRECT("'GRD-"&amp;M35&amp;"'!$B:$R"),16,FALSE)))</f>
        <v/>
      </c>
      <c r="M35" s="130">
        <f t="array" ref="M35">IF(K35="","",IFERROR(OFFSET($BZ$11,0,MATCH($K35,$CA35:$FV35,0),),""))</f>
        <v/>
      </c>
      <c r="N35" s="119">
        <f t="array" ref="N35">IF(K35="","",INDIRECT("'GRD-"&amp;M35&amp;"'!$L$7"))</f>
        <v/>
      </c>
      <c r="O35" s="76">
        <f t="array" ref="O35">IFERROR(OFFSET($BZ$11,ROW($B35)-11,MATCH(O$10,$CA35:$FV35,0),),"")</f>
        <v/>
      </c>
      <c r="P35" s="76">
        <f>IF(O35="","",IF(VLOOKUP($B35,INDIRECT("'GRD-"&amp;Q35&amp;"'!$B:$R"),16,FALSE)="","",VLOOKUP($B35,INDIRECT("'GRD-"&amp;Q35&amp;"'!$B:$R"),16,FALSE)))</f>
        <v/>
      </c>
      <c r="Q35" s="132">
        <f t="array" ref="Q35">IF(O35="","",IFERROR(OFFSET($BZ$11,0,MATCH($O35,$CA35:$FV35,0),),""))</f>
        <v/>
      </c>
      <c r="R35" s="121">
        <f t="array" ref="R35">IF(O35="","",INDIRECT("'GRD-"&amp;Q35&amp;"'!$L$7"))</f>
        <v/>
      </c>
      <c r="S35" s="83">
        <f t="array" ref="S35">IFERROR(OFFSET($BZ$11,ROW($B35)-11,MATCH(S$10,$CA35:$FV35,0),),"")</f>
        <v/>
      </c>
      <c r="T35" s="83">
        <f>IF(S35="","",IF(VLOOKUP($B35,INDIRECT("'GRD-"&amp;U35&amp;"'!$B:$R"),16,FALSE)="","",VLOOKUP($B35,INDIRECT("'GRD-"&amp;U35&amp;"'!$B:$R"),16,FALSE)))</f>
        <v/>
      </c>
      <c r="U35" s="128">
        <f t="array" ref="U35">IF(S35="","",IFERROR(OFFSET($BZ$11,0,MATCH($S35,$CA35:$FV35,0),),""))</f>
        <v/>
      </c>
      <c r="V35" s="133">
        <f t="array" ref="V35">IF(S35="","",INDIRECT("'GRD-"&amp;U35&amp;"'!$L$7"))</f>
        <v/>
      </c>
      <c r="W35" s="84">
        <f t="array" ref="W35">IFERROR(OFFSET($BZ$11,ROW($B35)-11,MATCH(W$10,$CA35:$FV35,0),),"")</f>
        <v/>
      </c>
      <c r="X35" s="84">
        <f>IF(W35="","",IF(VLOOKUP($B35,INDIRECT("'GRD-"&amp;Y35&amp;"'!$B:$R"),16,FALSE)="","",VLOOKUP($B35,INDIRECT("'GRD-"&amp;Y35&amp;"'!$B:$R"),16,FALSE)))</f>
        <v/>
      </c>
      <c r="Y35" s="129">
        <f t="array" ref="Y35">IF(W35="","",IFERROR(OFFSET($BZ$11,0,MATCH($W35,$CA35:$FV35,0),),""))</f>
        <v/>
      </c>
      <c r="Z35" s="134">
        <f t="array" ref="Z35">IF(W35="","",INDIRECT("'GRD-"&amp;Y35&amp;"'!$L$7"))</f>
        <v/>
      </c>
      <c r="AA35" s="85">
        <f t="array" ref="AA35">IFERROR(OFFSET($BZ$11,ROW($B35)-11,MATCH(AA$10,$CA35:$FV35,0),),"")</f>
        <v/>
      </c>
      <c r="AB35" s="85">
        <f>IF(AA35="","",IF(VLOOKUP($B35,INDIRECT("'GRD-"&amp;AC35&amp;"'!$B:$R"),16,FALSE)="","",VLOOKUP($B35,INDIRECT("'GRD-"&amp;AC35&amp;"'!$B:$R"),16,FALSE)))</f>
        <v/>
      </c>
      <c r="AC35" s="130">
        <f t="array" ref="AC35">IF(AA35="","",IFERROR(OFFSET($BZ$11,0,MATCH($AA35,$CA35:$FV35,0),),""))</f>
        <v/>
      </c>
      <c r="AD35" s="131">
        <f t="array" ref="AD35">IF(AA35="","",INDIRECT("'GRD-"&amp;AC35&amp;"'!$L$7"))</f>
        <v/>
      </c>
      <c r="AE35" s="76">
        <f t="array" ref="AE35">IFERROR(OFFSET($BZ$11,ROW($B35)-11,MATCH(AE$10,$CA35:$FV35,0),),"")</f>
        <v/>
      </c>
      <c r="AF35" s="76">
        <f>IF(AE35="","",IF(VLOOKUP($B35,INDIRECT("'GRD-"&amp;AG35&amp;"'!$B:$R"),16,FALSE)="","",VLOOKUP($B35,INDIRECT("'GRD-"&amp;AG35&amp;"'!$B:$R"),16,FALSE)))</f>
        <v/>
      </c>
      <c r="AG35" s="132">
        <f t="array" ref="AG35">IF(AE35="","",IFERROR(OFFSET($BZ$11,0,MATCH($AE35,$CA35:$FV35,0),),""))</f>
        <v/>
      </c>
      <c r="AH35" s="121">
        <f t="array" ref="AH35">IF(AE35="","",INDIRECT("'GRD-"&amp;AG35&amp;"'!$L$7"))</f>
        <v/>
      </c>
      <c r="AI35" s="83">
        <f t="array" ref="AI35">IFERROR(OFFSET($BZ$11,ROW($B35)-11,MATCH(AI$10,$CA35:$FV35,0),),"")</f>
        <v/>
      </c>
      <c r="AJ35" s="83">
        <f>IF(AI35="","",IF(VLOOKUP($B35,INDIRECT("'GRD-"&amp;AK35&amp;"'!$B:$R"),16,FALSE)="","",VLOOKUP($B35,INDIRECT("'GRD-"&amp;AK35&amp;"'!$B:$R"),16,FALSE)))</f>
        <v/>
      </c>
      <c r="AK35" s="128">
        <f t="array" ref="AK35">IF(AI35="","",IFERROR(OFFSET($BZ$11,0,MATCH($AI35,$CA35:$FV35,0),),""))</f>
        <v/>
      </c>
      <c r="AL35" s="133">
        <f t="array" ref="AL35">IF(AI35="","",INDIRECT("'GRD-"&amp;AK35&amp;"'!$L$7"))</f>
        <v/>
      </c>
      <c r="AM35" s="84">
        <f t="array" ref="AM35">IFERROR(OFFSET($BZ$11,ROW($B35)-11,MATCH(AM$10,$CA35:$FV35,0),),"")</f>
        <v/>
      </c>
      <c r="AN35" s="84">
        <f>IF(AM35="","",IF(VLOOKUP($B35,INDIRECT("'GRD-"&amp;AO35&amp;"'!$B:$R"),16,FALSE)="","",VLOOKUP($B35,INDIRECT("'GRD-"&amp;AO35&amp;"'!$B:$R"),16,FALSE)))</f>
        <v/>
      </c>
      <c r="AO35" s="129">
        <f t="array" ref="AO35">IF(AM35="","",IFERROR(OFFSET($BZ$11,0,MATCH($AM35,$CA35:$FV35,0),),""))</f>
        <v/>
      </c>
      <c r="AP35" s="134">
        <f t="array" ref="AP35">IF(AM35="","",INDIRECT("'GRD-"&amp;AO35&amp;"'!$L$7"))</f>
        <v/>
      </c>
      <c r="AQ35" s="85">
        <f t="array" ref="AQ35">IFERROR(OFFSET($BZ$11,ROW($B35)-11,MATCH(AQ$10,$CA35:$FV35,0),),"")</f>
        <v/>
      </c>
      <c r="AR35" s="85">
        <f>IF(AQ35="","",IF(VLOOKUP($B35,INDIRECT("'GRD-"&amp;AS35&amp;"'!$B:$R"),16,FALSE)="","",VLOOKUP($B35,INDIRECT("'GRD-"&amp;AS35&amp;"'!$B:$R"),16,FALSE)))</f>
        <v/>
      </c>
      <c r="AS35" s="130">
        <f t="array" ref="AS35">IF(AQ35="","",IFERROR(OFFSET($BZ$11,0,MATCH($AQ35,$CA35:$FV35,0),),""))</f>
        <v/>
      </c>
      <c r="AT35" s="131">
        <f t="array" ref="AT35">IF(AQ35="","",INDIRECT("'GRD-"&amp;AS35&amp;"'!$L$7"))</f>
        <v/>
      </c>
      <c r="AU35" s="76">
        <f t="array" ref="AU35">IFERROR(OFFSET($BZ$11,ROW($B35)-11,MATCH(AU$10,$CA35:$FV35,0),),"")</f>
        <v/>
      </c>
      <c r="AV35" s="76">
        <f>IF(AU35="","",IF(VLOOKUP($B35,INDIRECT("'GRD-"&amp;AW35&amp;"'!$B:$R"),16,FALSE)="","",VLOOKUP($B35,INDIRECT("'GRD-"&amp;AW35&amp;"'!$B:$R"),16,FALSE)))</f>
        <v/>
      </c>
      <c r="AW35" s="132">
        <f t="array" ref="AW35">IF(AU35="","",IFERROR(OFFSET($BZ$11,0,MATCH($AU35,$CA35:$FV35,0),),""))</f>
        <v/>
      </c>
      <c r="AX35" s="121">
        <f t="array" ref="AX35">IF(AU35="","",INDIRECT("'GRD-"&amp;AW35&amp;"'!$L$7"))</f>
        <v/>
      </c>
      <c r="AY35" s="83">
        <f t="array" ref="AY35">IFERROR(OFFSET($BZ$11,ROW($B35)-11,MATCH(AY$10,$CA35:$FV35,0),),"")</f>
        <v/>
      </c>
      <c r="AZ35" s="83">
        <f>IF(AY35="","",IF(VLOOKUP($B35,INDIRECT("'GRD-"&amp;BA35&amp;"'!$B:$R"),16,FALSE)="","",VLOOKUP($B35,INDIRECT("'GRD-"&amp;BA35&amp;"'!$B:$R"),16,FALSE)))</f>
        <v/>
      </c>
      <c r="BA35" s="128">
        <f t="array" ref="BA35">IF(AY35="","",IFERROR(OFFSET($BZ$11,0,MATCH($AY35,$CA35:$FV35,0),),""))</f>
        <v/>
      </c>
      <c r="BB35" s="133">
        <f t="array" ref="BB35">IF(AY35="","",INDIRECT("'GRD-"&amp;BA35&amp;"'!$L$7"))</f>
        <v/>
      </c>
      <c r="BC35" s="84">
        <f t="array" ref="BC35">IFERROR(OFFSET($BZ$11,ROW($B35)-11,MATCH(BC$10,$CA35:$FV35,0),),"")</f>
        <v/>
      </c>
      <c r="BD35" s="84">
        <f>IF(BC35="","",IF(VLOOKUP($B35,INDIRECT("'GRD-"&amp;BE35&amp;"'!$B:$R"),16,FALSE)="","",VLOOKUP($B35,INDIRECT("'GRD-"&amp;BE35&amp;"'!$B:$R"),16,FALSE)))</f>
        <v/>
      </c>
      <c r="BE35" s="129">
        <f t="array" ref="BE35">IF(BC35="","",IFERROR(OFFSET($BZ$11,0,MATCH($BC35,$CA35:$FV35,0),),""))</f>
        <v/>
      </c>
      <c r="BF35" s="134">
        <f t="array" ref="BF35">IF(BC35="","",INDIRECT("'GRD-"&amp;BE35&amp;"'!$L$7"))</f>
        <v/>
      </c>
      <c r="CA35" s="96">
        <f>IFERROR(VLOOKUP($B35,INDIRECT("'GRD-"&amp;CA$11&amp;"'!B:R"),15,FALSE),"")</f>
        <v/>
      </c>
      <c r="CB35" s="96">
        <f>IFERROR(VLOOKUP($B35,INDIRECT("'GRD-"&amp;CB$11&amp;"'!B:R"),15,FALSE),"")</f>
        <v/>
      </c>
      <c r="CC35" s="96">
        <f>IFERROR(VLOOKUP($B35,INDIRECT("'GRD-"&amp;CC$11&amp;"'!B:R"),15,FALSE),"")</f>
        <v/>
      </c>
      <c r="CD35" s="96">
        <f>IFERROR(VLOOKUP($B35,INDIRECT("'GRD-"&amp;CD$11&amp;"'!B:R"),15,FALSE),"")</f>
        <v/>
      </c>
      <c r="CE35" s="96">
        <f>IFERROR(VLOOKUP($B35,INDIRECT("'GRD-"&amp;CE$11&amp;"'!B:R"),15,FALSE),"")</f>
        <v/>
      </c>
      <c r="CF35" s="96">
        <f>IFERROR(VLOOKUP($B35,INDIRECT("'GRD-"&amp;CF$11&amp;"'!B:R"),15,FALSE),"")</f>
        <v/>
      </c>
      <c r="CG35" s="96">
        <f>IFERROR(VLOOKUP($B35,INDIRECT("'GRD-"&amp;CG$11&amp;"'!B:R"),15,FALSE),"")</f>
        <v/>
      </c>
      <c r="CH35" s="96">
        <f>IFERROR(VLOOKUP($B35,INDIRECT("'GRD-"&amp;CH$11&amp;"'!B:R"),15,FALSE),"")</f>
        <v/>
      </c>
      <c r="CI35" s="96">
        <f>IFERROR(VLOOKUP($B35,INDIRECT("'GRD-"&amp;CI$11&amp;"'!B:R"),15,FALSE),"")</f>
        <v/>
      </c>
      <c r="CJ35" s="96">
        <f>IFERROR(VLOOKUP($B35,INDIRECT("'GRD-"&amp;CJ$11&amp;"'!B:R"),15,FALSE),"")</f>
        <v/>
      </c>
      <c r="CK35" s="96">
        <f>IFERROR(VLOOKUP($B35,INDIRECT("'GRD-"&amp;CK$11&amp;"'!B:R"),15,FALSE),"")</f>
        <v/>
      </c>
      <c r="CL35" s="96">
        <f>IFERROR(VLOOKUP($B35,INDIRECT("'GRD-"&amp;CL$11&amp;"'!B:R"),15,FALSE),"")</f>
        <v/>
      </c>
      <c r="CM35" s="96">
        <f>IFERROR(VLOOKUP($B35,INDIRECT("'GRD-"&amp;CM$11&amp;"'!B:R"),15,FALSE),"")</f>
        <v/>
      </c>
      <c r="CN35" s="96">
        <f>IFERROR(VLOOKUP($B35,INDIRECT("'GRD-"&amp;CN$11&amp;"'!B:R"),15,FALSE),"")</f>
        <v/>
      </c>
      <c r="CO35" s="96">
        <f>IFERROR(VLOOKUP($B35,INDIRECT("'GRD-"&amp;CO$11&amp;"'!B:R"),15,FALSE),"")</f>
        <v/>
      </c>
      <c r="CP35" s="96">
        <f>IFERROR(VLOOKUP($B35,INDIRECT("'GRD-"&amp;CP$11&amp;"'!B:R"),15,FALSE),"")</f>
        <v/>
      </c>
      <c r="CQ35" s="96">
        <f>IFERROR(VLOOKUP($B35,INDIRECT("'GRD-"&amp;CQ$11&amp;"'!B:R"),15,FALSE),"")</f>
        <v/>
      </c>
      <c r="CR35" s="96">
        <f>IFERROR(VLOOKUP($B35,INDIRECT("'GRD-"&amp;CR$11&amp;"'!B:R"),15,FALSE),"")</f>
        <v/>
      </c>
      <c r="CS35" s="96">
        <f>IFERROR(VLOOKUP($B35,INDIRECT("'GRD-"&amp;CS$11&amp;"'!B:R"),15,FALSE),"")</f>
        <v/>
      </c>
      <c r="CT35" s="96">
        <f>IFERROR(VLOOKUP($B35,INDIRECT("'GRD-"&amp;CT$11&amp;"'!B:R"),15,FALSE),"")</f>
        <v/>
      </c>
      <c r="CU35" s="96">
        <f>IFERROR(VLOOKUP($B35,INDIRECT("'GRD-"&amp;CU$11&amp;"'!B:R"),15,FALSE),"")</f>
        <v/>
      </c>
      <c r="CV35" s="96">
        <f>IFERROR(VLOOKUP($B35,INDIRECT("'GRD-"&amp;CV$11&amp;"'!B:R"),15,FALSE),"")</f>
        <v/>
      </c>
      <c r="CW35" s="96">
        <f>IFERROR(VLOOKUP($B35,INDIRECT("'GRD-"&amp;CW$11&amp;"'!B:R"),15,FALSE),"")</f>
        <v/>
      </c>
      <c r="CX35" s="96">
        <f>IFERROR(VLOOKUP($B35,INDIRECT("'GRD-"&amp;CX$11&amp;"'!B:R"),15,FALSE),"")</f>
        <v/>
      </c>
      <c r="CY35" s="96">
        <f>IFERROR(VLOOKUP($B35,INDIRECT("'GRD-"&amp;CY$11&amp;"'!B:R"),15,FALSE),"")</f>
        <v/>
      </c>
      <c r="CZ35" s="96">
        <f>IFERROR(VLOOKUP($B35,INDIRECT("'GRD-"&amp;CZ$11&amp;"'!B:R"),15,FALSE),"")</f>
        <v/>
      </c>
      <c r="DA35" s="96">
        <f>IFERROR(VLOOKUP($B35,INDIRECT("'GRD-"&amp;DA$11&amp;"'!B:R"),15,FALSE),"")</f>
        <v/>
      </c>
      <c r="DB35" s="96">
        <f>IFERROR(VLOOKUP($B35,INDIRECT("'GRD-"&amp;DB$11&amp;"'!B:R"),15,FALSE),"")</f>
        <v/>
      </c>
      <c r="DC35" s="96">
        <f>IFERROR(VLOOKUP($B35,INDIRECT("'GRD-"&amp;DC$11&amp;"'!B:R"),15,FALSE),"")</f>
        <v/>
      </c>
      <c r="DD35" s="96">
        <f>IFERROR(VLOOKUP($B35,INDIRECT("'GRD-"&amp;DD$11&amp;"'!B:R"),15,FALSE),"")</f>
        <v/>
      </c>
      <c r="DE35" s="96">
        <f>IFERROR(VLOOKUP($B35,INDIRECT("'GRD-"&amp;DE$11&amp;"'!B:R"),15,FALSE),"")</f>
        <v/>
      </c>
      <c r="DF35" s="96">
        <f>IFERROR(VLOOKUP($B35,INDIRECT("'GRD-"&amp;DF$11&amp;"'!B:R"),15,FALSE),"")</f>
        <v/>
      </c>
      <c r="DG35" s="96">
        <f>IFERROR(VLOOKUP($B35,INDIRECT("'GRD-"&amp;DG$11&amp;"'!B:R"),15,FALSE),"")</f>
        <v/>
      </c>
      <c r="DH35" s="96">
        <f>IFERROR(VLOOKUP($B35,INDIRECT("'GRD-"&amp;DH$11&amp;"'!B:R"),15,FALSE),"")</f>
        <v/>
      </c>
      <c r="DI35" s="96">
        <f>IFERROR(VLOOKUP($B35,INDIRECT("'GRD-"&amp;DI$11&amp;"'!B:R"),15,FALSE),"")</f>
        <v/>
      </c>
      <c r="DJ35" s="96">
        <f>IFERROR(VLOOKUP($B35,INDIRECT("'GRD-"&amp;DJ$11&amp;"'!B:R"),15,FALSE),"")</f>
        <v/>
      </c>
      <c r="DK35" s="96">
        <f>IFERROR(VLOOKUP($B35,INDIRECT("'GRD-"&amp;DK$11&amp;"'!B:R"),15,FALSE),"")</f>
        <v/>
      </c>
      <c r="DL35" s="96">
        <f>IFERROR(VLOOKUP($B35,INDIRECT("'GRD-"&amp;DL$11&amp;"'!B:R"),15,FALSE),"")</f>
        <v/>
      </c>
      <c r="DM35" s="96">
        <f>IFERROR(VLOOKUP($B35,INDIRECT("'GRD-"&amp;DM$11&amp;"'!B:R"),15,FALSE),"")</f>
        <v/>
      </c>
      <c r="DN35" s="96">
        <f>IFERROR(VLOOKUP($B35,INDIRECT("'GRD-"&amp;DN$11&amp;"'!B:R"),15,FALSE),"")</f>
        <v/>
      </c>
      <c r="DO35" s="96">
        <f>IFERROR(VLOOKUP($B35,INDIRECT("'GRD-"&amp;DO$11&amp;"'!B:R"),15,FALSE),"")</f>
        <v/>
      </c>
      <c r="DP35" s="96">
        <f>IFERROR(VLOOKUP($B35,INDIRECT("'GRD-"&amp;DP$11&amp;"'!B:R"),15,FALSE),"")</f>
        <v/>
      </c>
      <c r="DQ35" s="96">
        <f>IFERROR(VLOOKUP($B35,INDIRECT("'GRD-"&amp;DQ$11&amp;"'!B:R"),15,FALSE),"")</f>
        <v/>
      </c>
      <c r="DR35" s="96">
        <f>IFERROR(VLOOKUP($B35,INDIRECT("'GRD-"&amp;DR$11&amp;"'!B:R"),15,FALSE),"")</f>
        <v/>
      </c>
      <c r="DS35" s="96">
        <f>IFERROR(VLOOKUP($B35,INDIRECT("'GRD-"&amp;DS$11&amp;"'!B:R"),15,FALSE),"")</f>
        <v/>
      </c>
      <c r="DT35" s="96">
        <f>IFERROR(VLOOKUP($B35,INDIRECT("'GRD-"&amp;DT$11&amp;"'!B:R"),15,FALSE),"")</f>
        <v/>
      </c>
      <c r="DU35" s="96">
        <f>IFERROR(VLOOKUP($B35,INDIRECT("'GRD-"&amp;DU$11&amp;"'!B:R"),15,FALSE),"")</f>
        <v/>
      </c>
      <c r="DV35" s="96">
        <f>IFERROR(VLOOKUP($B35,INDIRECT("'GRD-"&amp;DV$11&amp;"'!B:R"),15,FALSE),"")</f>
        <v/>
      </c>
      <c r="DW35" s="96">
        <f>IFERROR(VLOOKUP($B35,INDIRECT("'GRD-"&amp;DW$11&amp;"'!B:R"),15,FALSE),"")</f>
        <v/>
      </c>
      <c r="DX35" s="96">
        <f>IFERROR(VLOOKUP($B35,INDIRECT("'GRD-"&amp;DX$11&amp;"'!B:R"),15,FALSE),"")</f>
        <v/>
      </c>
      <c r="DY35" s="96">
        <f>IFERROR(VLOOKUP($B35,INDIRECT("'GRD-"&amp;DY$11&amp;"'!B:R"),15,FALSE),"")</f>
        <v/>
      </c>
      <c r="DZ35" s="96">
        <f>IFERROR(VLOOKUP($B35,INDIRECT("'GRD-"&amp;DZ$11&amp;"'!B:R"),15,FALSE),"")</f>
        <v/>
      </c>
      <c r="EA35" s="96">
        <f>IFERROR(VLOOKUP($B35,INDIRECT("'GRD-"&amp;EA$11&amp;"'!B:R"),15,FALSE),"")</f>
        <v/>
      </c>
      <c r="EB35" s="96">
        <f>IFERROR(VLOOKUP($B35,INDIRECT("'GRD-"&amp;EB$11&amp;"'!B:R"),15,FALSE),"")</f>
        <v/>
      </c>
      <c r="EC35" s="96">
        <f>IFERROR(VLOOKUP($B35,INDIRECT("'GRD-"&amp;EC$11&amp;"'!B:R"),15,FALSE),"")</f>
        <v/>
      </c>
      <c r="ED35" s="96">
        <f>IFERROR(VLOOKUP($B35,INDIRECT("'GRD-"&amp;ED$11&amp;"'!B:R"),15,FALSE),"")</f>
        <v/>
      </c>
      <c r="EE35" s="96">
        <f>IFERROR(VLOOKUP($B35,INDIRECT("'GRD-"&amp;EE$11&amp;"'!B:R"),15,FALSE),"")</f>
        <v/>
      </c>
      <c r="EF35" s="96">
        <f>IFERROR(VLOOKUP($B35,INDIRECT("'GRD-"&amp;EF$11&amp;"'!B:R"),15,FALSE),"")</f>
        <v/>
      </c>
      <c r="EG35" s="96">
        <f>IFERROR(VLOOKUP($B35,INDIRECT("'GRD-"&amp;EG$11&amp;"'!B:R"),15,FALSE),"")</f>
        <v/>
      </c>
      <c r="EH35" s="96">
        <f>IFERROR(VLOOKUP($B35,INDIRECT("'GRD-"&amp;EH$11&amp;"'!B:R"),15,FALSE),"")</f>
        <v/>
      </c>
      <c r="EI35" s="96">
        <f>IFERROR(VLOOKUP($B35,INDIRECT("'GRD-"&amp;EI$11&amp;"'!B:R"),15,FALSE),"")</f>
        <v/>
      </c>
      <c r="EJ35" s="96">
        <f>IFERROR(VLOOKUP($B35,INDIRECT("'GRD-"&amp;EJ$11&amp;"'!B:R"),15,FALSE),"")</f>
        <v/>
      </c>
      <c r="EK35" s="96">
        <f>IFERROR(VLOOKUP($B35,INDIRECT("'GRD-"&amp;EK$11&amp;"'!B:R"),15,FALSE),"")</f>
        <v/>
      </c>
      <c r="EL35" s="96">
        <f>IFERROR(VLOOKUP($B35,INDIRECT("'GRD-"&amp;EL$11&amp;"'!B:R"),15,FALSE),"")</f>
        <v/>
      </c>
      <c r="EM35" s="96">
        <f>IFERROR(VLOOKUP($B35,INDIRECT("'GRD-"&amp;EM$11&amp;"'!B:R"),15,FALSE),"")</f>
        <v/>
      </c>
      <c r="EN35" s="96">
        <f>IFERROR(VLOOKUP($B35,INDIRECT("'GRD-"&amp;EN$11&amp;"'!B:R"),15,FALSE),"")</f>
        <v/>
      </c>
      <c r="EO35" s="96">
        <f>IFERROR(VLOOKUP($B35,INDIRECT("'GRD-"&amp;EO$11&amp;"'!B:R"),15,FALSE),"")</f>
        <v/>
      </c>
      <c r="EP35" s="96">
        <f>IFERROR(VLOOKUP($B35,INDIRECT("'GRD-"&amp;EP$11&amp;"'!B:R"),15,FALSE),"")</f>
        <v/>
      </c>
      <c r="EQ35" s="96">
        <f>IFERROR(VLOOKUP($B35,INDIRECT("'GRD-"&amp;EQ$11&amp;"'!B:R"),15,FALSE),"")</f>
        <v/>
      </c>
      <c r="ER35" s="96">
        <f>IFERROR(VLOOKUP($B35,INDIRECT("'GRD-"&amp;ER$11&amp;"'!B:R"),15,FALSE),"")</f>
        <v/>
      </c>
      <c r="ES35" s="96">
        <f>IFERROR(VLOOKUP($B35,INDIRECT("'GRD-"&amp;ES$11&amp;"'!B:R"),15,FALSE),"")</f>
        <v/>
      </c>
      <c r="ET35" s="96">
        <f>IFERROR(VLOOKUP($B35,INDIRECT("'GRD-"&amp;ET$11&amp;"'!B:R"),15,FALSE),"")</f>
        <v/>
      </c>
      <c r="EU35" s="96">
        <f>IFERROR(VLOOKUP($B35,INDIRECT("'GRD-"&amp;EU$11&amp;"'!B:R"),15,FALSE),"")</f>
        <v/>
      </c>
      <c r="EV35" s="96">
        <f>IFERROR(VLOOKUP($B35,INDIRECT("'GRD-"&amp;EV$11&amp;"'!B:R"),15,FALSE),"")</f>
        <v/>
      </c>
      <c r="EW35" s="96">
        <f>IFERROR(VLOOKUP($B35,INDIRECT("'GRD-"&amp;EW$11&amp;"'!B:R"),15,FALSE),"")</f>
        <v/>
      </c>
      <c r="EX35" s="96">
        <f>IFERROR(VLOOKUP($B35,INDIRECT("'GRD-"&amp;EX$11&amp;"'!B:R"),15,FALSE),"")</f>
        <v/>
      </c>
      <c r="EY35" s="96">
        <f>IFERROR(VLOOKUP($B35,INDIRECT("'GRD-"&amp;EY$11&amp;"'!B:R"),15,FALSE),"")</f>
        <v/>
      </c>
      <c r="EZ35" s="96">
        <f>IFERROR(VLOOKUP($B35,INDIRECT("'GRD-"&amp;EZ$11&amp;"'!B:R"),15,FALSE),"")</f>
        <v/>
      </c>
      <c r="FA35" s="96">
        <f>IFERROR(VLOOKUP($B35,INDIRECT("'GRD-"&amp;FA$11&amp;"'!B:R"),15,FALSE),"")</f>
        <v/>
      </c>
      <c r="FB35" s="96">
        <f>IFERROR(VLOOKUP($B35,INDIRECT("'GRD-"&amp;FB$11&amp;"'!B:R"),15,FALSE),"")</f>
        <v/>
      </c>
      <c r="FC35" s="96">
        <f>IFERROR(VLOOKUP($B35,INDIRECT("'GRD-"&amp;FC$11&amp;"'!B:R"),15,FALSE),"")</f>
        <v/>
      </c>
      <c r="FD35" s="96">
        <f>IFERROR(VLOOKUP($B35,INDIRECT("'GRD-"&amp;FD$11&amp;"'!B:R"),15,FALSE),"")</f>
        <v/>
      </c>
      <c r="FE35" s="96">
        <f>IFERROR(VLOOKUP($B35,INDIRECT("'GRD-"&amp;FE$11&amp;"'!B:R"),15,FALSE),"")</f>
        <v/>
      </c>
      <c r="FF35" s="96">
        <f>IFERROR(VLOOKUP($B35,INDIRECT("'GRD-"&amp;FF$11&amp;"'!B:R"),15,FALSE),"")</f>
        <v/>
      </c>
      <c r="FG35" s="96">
        <f>IFERROR(VLOOKUP($B35,INDIRECT("'GRD-"&amp;FG$11&amp;"'!B:R"),15,FALSE),"")</f>
        <v/>
      </c>
      <c r="FH35" s="96">
        <f>IFERROR(VLOOKUP($B35,INDIRECT("'GRD-"&amp;FH$11&amp;"'!B:R"),15,FALSE),"")</f>
        <v/>
      </c>
      <c r="FI35" s="96">
        <f>IFERROR(VLOOKUP($B35,INDIRECT("'GRD-"&amp;FI$11&amp;"'!B:R"),15,FALSE),"")</f>
        <v/>
      </c>
      <c r="FJ35" s="96">
        <f>IFERROR(VLOOKUP($B35,INDIRECT("'GRD-"&amp;FJ$11&amp;"'!B:R"),15,FALSE),"")</f>
        <v/>
      </c>
      <c r="FK35" s="96">
        <f>IFERROR(VLOOKUP($B35,INDIRECT("'GRD-"&amp;FK$11&amp;"'!B:R"),15,FALSE),"")</f>
        <v/>
      </c>
      <c r="FL35" s="96">
        <f>IFERROR(VLOOKUP($B35,INDIRECT("'GRD-"&amp;FL$11&amp;"'!B:R"),15,FALSE),"")</f>
        <v/>
      </c>
      <c r="FM35" s="96">
        <f>IFERROR(VLOOKUP($B35,INDIRECT("'GRD-"&amp;FM$11&amp;"'!B:R"),15,FALSE),"")</f>
        <v/>
      </c>
      <c r="FN35" s="96">
        <f>IFERROR(VLOOKUP($B35,INDIRECT("'GRD-"&amp;FN$11&amp;"'!B:R"),15,FALSE),"")</f>
        <v/>
      </c>
      <c r="FO35" s="96">
        <f>IFERROR(VLOOKUP($B35,INDIRECT("'GRD-"&amp;FO$11&amp;"'!B:R"),15,FALSE),"")</f>
        <v/>
      </c>
      <c r="FP35" s="96">
        <f>IFERROR(VLOOKUP($B35,INDIRECT("'GRD-"&amp;FP$11&amp;"'!B:R"),15,FALSE),"")</f>
        <v/>
      </c>
      <c r="FQ35" s="96">
        <f>IFERROR(VLOOKUP($B35,INDIRECT("'GRD-"&amp;FQ$11&amp;"'!B:R"),15,FALSE),"")</f>
        <v/>
      </c>
      <c r="FR35" s="96">
        <f>IFERROR(VLOOKUP($B35,INDIRECT("'GRD-"&amp;FR$11&amp;"'!B:R"),15,FALSE),"")</f>
        <v/>
      </c>
      <c r="FS35" s="96">
        <f>IFERROR(VLOOKUP($B35,INDIRECT("'GRD-"&amp;FS$11&amp;"'!B:R"),15,FALSE),"")</f>
        <v/>
      </c>
      <c r="FT35" s="96">
        <f>IFERROR(VLOOKUP($B35,INDIRECT("'GRD-"&amp;FT$11&amp;"'!B:R"),15,FALSE),"")</f>
        <v/>
      </c>
      <c r="FU35" s="96">
        <f>IFERROR(VLOOKUP($B35,INDIRECT("'GRD-"&amp;FU$11&amp;"'!B:R"),15,FALSE),"")</f>
        <v/>
      </c>
      <c r="FV35" s="96">
        <f>IFERROR(VLOOKUP($B35,INDIRECT("'GRD-"&amp;FV$11&amp;"'!B:R"),15,FALSE),"")</f>
        <v/>
      </c>
    </row>
    <row r="36">
      <c r="B36" s="68" t="n"/>
      <c r="C36" s="72" t="n"/>
      <c r="D36" s="73">
        <f>IF(K36="","",MAX($CA36:$FV36))</f>
        <v/>
      </c>
      <c r="E36" s="74">
        <f t="array" ref="E36">IF($K36="","",OFFSET($A$1,ROW($B36)-1,11+$D36*4,))</f>
        <v/>
      </c>
      <c r="F36" s="74">
        <f t="array" ref="F36">IF($K36="","",OFFSET($A$1,ROW($B36)-1,12+$D36*4,))</f>
        <v/>
      </c>
      <c r="G36" s="118">
        <f t="array" ref="G36">IF($K36="","",OFFSET($A$1,ROW($B36)-1,13+$D36*4,))</f>
        <v/>
      </c>
      <c r="H36" s="81" t="n"/>
      <c r="I36" s="82" t="n"/>
      <c r="J36" s="75">
        <f>IF(I36="A4",H36/8,IF(I36="A3",H36/4,IF(I36="A2",H36/2,IF(I36="A1",H36/1,IF(I36="A0",H36*2,"")))))</f>
        <v/>
      </c>
      <c r="K36" s="68">
        <f t="array" ref="K36">IFERROR(OFFSET($BZ$11,ROW($B36)-11,MATCH(K$10,$CA36:$FV36,0),),"")</f>
        <v/>
      </c>
      <c r="L36" s="85">
        <f>IF(K36="","",IF(VLOOKUP($B36,INDIRECT("'GRD-"&amp;M36&amp;"'!$B:$R"),16,FALSE)="","",VLOOKUP($B36,INDIRECT("'GRD-"&amp;M36&amp;"'!$B:$R"),16,FALSE)))</f>
        <v/>
      </c>
      <c r="M36" s="130">
        <f t="array" ref="M36">IF(K36="","",IFERROR(OFFSET($BZ$11,0,MATCH($K36,$CA36:$FV36,0),),""))</f>
        <v/>
      </c>
      <c r="N36" s="119">
        <f t="array" ref="N36">IF(K36="","",INDIRECT("'GRD-"&amp;M36&amp;"'!$L$7"))</f>
        <v/>
      </c>
      <c r="O36" s="76">
        <f t="array" ref="O36">IFERROR(OFFSET($BZ$11,ROW($B36)-11,MATCH(O$10,$CA36:$FV36,0),),"")</f>
        <v/>
      </c>
      <c r="P36" s="76">
        <f>IF(O36="","",IF(VLOOKUP($B36,INDIRECT("'GRD-"&amp;Q36&amp;"'!$B:$R"),16,FALSE)="","",VLOOKUP($B36,INDIRECT("'GRD-"&amp;Q36&amp;"'!$B:$R"),16,FALSE)))</f>
        <v/>
      </c>
      <c r="Q36" s="132">
        <f t="array" ref="Q36">IF(O36="","",IFERROR(OFFSET($BZ$11,0,MATCH($O36,$CA36:$FV36,0),),""))</f>
        <v/>
      </c>
      <c r="R36" s="121">
        <f t="array" ref="R36">IF(O36="","",INDIRECT("'GRD-"&amp;Q36&amp;"'!$L$7"))</f>
        <v/>
      </c>
      <c r="S36" s="83">
        <f t="array" ref="S36">IFERROR(OFFSET($BZ$11,ROW($B36)-11,MATCH(S$10,$CA36:$FV36,0),),"")</f>
        <v/>
      </c>
      <c r="T36" s="83">
        <f>IF(S36="","",IF(VLOOKUP($B36,INDIRECT("'GRD-"&amp;U36&amp;"'!$B:$R"),16,FALSE)="","",VLOOKUP($B36,INDIRECT("'GRD-"&amp;U36&amp;"'!$B:$R"),16,FALSE)))</f>
        <v/>
      </c>
      <c r="U36" s="128">
        <f t="array" ref="U36">IF(S36="","",IFERROR(OFFSET($BZ$11,0,MATCH($S36,$CA36:$FV36,0),),""))</f>
        <v/>
      </c>
      <c r="V36" s="133">
        <f t="array" ref="V36">IF(S36="","",INDIRECT("'GRD-"&amp;U36&amp;"'!$L$7"))</f>
        <v/>
      </c>
      <c r="W36" s="84">
        <f t="array" ref="W36">IFERROR(OFFSET($BZ$11,ROW($B36)-11,MATCH(W$10,$CA36:$FV36,0),),"")</f>
        <v/>
      </c>
      <c r="X36" s="84">
        <f>IF(W36="","",IF(VLOOKUP($B36,INDIRECT("'GRD-"&amp;Y36&amp;"'!$B:$R"),16,FALSE)="","",VLOOKUP($B36,INDIRECT("'GRD-"&amp;Y36&amp;"'!$B:$R"),16,FALSE)))</f>
        <v/>
      </c>
      <c r="Y36" s="129">
        <f t="array" ref="Y36">IF(W36="","",IFERROR(OFFSET($BZ$11,0,MATCH($W36,$CA36:$FV36,0),),""))</f>
        <v/>
      </c>
      <c r="Z36" s="134">
        <f t="array" ref="Z36">IF(W36="","",INDIRECT("'GRD-"&amp;Y36&amp;"'!$L$7"))</f>
        <v/>
      </c>
      <c r="AA36" s="85">
        <f t="array" ref="AA36">IFERROR(OFFSET($BZ$11,ROW($B36)-11,MATCH(AA$10,$CA36:$FV36,0),),"")</f>
        <v/>
      </c>
      <c r="AB36" s="85">
        <f>IF(AA36="","",IF(VLOOKUP($B36,INDIRECT("'GRD-"&amp;AC36&amp;"'!$B:$R"),16,FALSE)="","",VLOOKUP($B36,INDIRECT("'GRD-"&amp;AC36&amp;"'!$B:$R"),16,FALSE)))</f>
        <v/>
      </c>
      <c r="AC36" s="130">
        <f t="array" ref="AC36">IF(AA36="","",IFERROR(OFFSET($BZ$11,0,MATCH($AA36,$CA36:$FV36,0),),""))</f>
        <v/>
      </c>
      <c r="AD36" s="131">
        <f t="array" ref="AD36">IF(AA36="","",INDIRECT("'GRD-"&amp;AC36&amp;"'!$L$7"))</f>
        <v/>
      </c>
      <c r="AE36" s="76">
        <f t="array" ref="AE36">IFERROR(OFFSET($BZ$11,ROW($B36)-11,MATCH(AE$10,$CA36:$FV36,0),),"")</f>
        <v/>
      </c>
      <c r="AF36" s="76">
        <f>IF(AE36="","",IF(VLOOKUP($B36,INDIRECT("'GRD-"&amp;AG36&amp;"'!$B:$R"),16,FALSE)="","",VLOOKUP($B36,INDIRECT("'GRD-"&amp;AG36&amp;"'!$B:$R"),16,FALSE)))</f>
        <v/>
      </c>
      <c r="AG36" s="132">
        <f t="array" ref="AG36">IF(AE36="","",IFERROR(OFFSET($BZ$11,0,MATCH($AE36,$CA36:$FV36,0),),""))</f>
        <v/>
      </c>
      <c r="AH36" s="121">
        <f t="array" ref="AH36">IF(AE36="","",INDIRECT("'GRD-"&amp;AG36&amp;"'!$L$7"))</f>
        <v/>
      </c>
      <c r="AI36" s="83">
        <f t="array" ref="AI36">IFERROR(OFFSET($BZ$11,ROW($B36)-11,MATCH(AI$10,$CA36:$FV36,0),),"")</f>
        <v/>
      </c>
      <c r="AJ36" s="83">
        <f>IF(AI36="","",IF(VLOOKUP($B36,INDIRECT("'GRD-"&amp;AK36&amp;"'!$B:$R"),16,FALSE)="","",VLOOKUP($B36,INDIRECT("'GRD-"&amp;AK36&amp;"'!$B:$R"),16,FALSE)))</f>
        <v/>
      </c>
      <c r="AK36" s="128">
        <f t="array" ref="AK36">IF(AI36="","",IFERROR(OFFSET($BZ$11,0,MATCH($AI36,$CA36:$FV36,0),),""))</f>
        <v/>
      </c>
      <c r="AL36" s="133">
        <f t="array" ref="AL36">IF(AI36="","",INDIRECT("'GRD-"&amp;AK36&amp;"'!$L$7"))</f>
        <v/>
      </c>
      <c r="AM36" s="84">
        <f t="array" ref="AM36">IFERROR(OFFSET($BZ$11,ROW($B36)-11,MATCH(AM$10,$CA36:$FV36,0),),"")</f>
        <v/>
      </c>
      <c r="AN36" s="84">
        <f>IF(AM36="","",IF(VLOOKUP($B36,INDIRECT("'GRD-"&amp;AO36&amp;"'!$B:$R"),16,FALSE)="","",VLOOKUP($B36,INDIRECT("'GRD-"&amp;AO36&amp;"'!$B:$R"),16,FALSE)))</f>
        <v/>
      </c>
      <c r="AO36" s="129">
        <f t="array" ref="AO36">IF(AM36="","",IFERROR(OFFSET($BZ$11,0,MATCH($AM36,$CA36:$FV36,0),),""))</f>
        <v/>
      </c>
      <c r="AP36" s="134">
        <f t="array" ref="AP36">IF(AM36="","",INDIRECT("'GRD-"&amp;AO36&amp;"'!$L$7"))</f>
        <v/>
      </c>
      <c r="AQ36" s="85">
        <f t="array" ref="AQ36">IFERROR(OFFSET($BZ$11,ROW($B36)-11,MATCH(AQ$10,$CA36:$FV36,0),),"")</f>
        <v/>
      </c>
      <c r="AR36" s="85">
        <f>IF(AQ36="","",IF(VLOOKUP($B36,INDIRECT("'GRD-"&amp;AS36&amp;"'!$B:$R"),16,FALSE)="","",VLOOKUP($B36,INDIRECT("'GRD-"&amp;AS36&amp;"'!$B:$R"),16,FALSE)))</f>
        <v/>
      </c>
      <c r="AS36" s="130">
        <f t="array" ref="AS36">IF(AQ36="","",IFERROR(OFFSET($BZ$11,0,MATCH($AQ36,$CA36:$FV36,0),),""))</f>
        <v/>
      </c>
      <c r="AT36" s="131">
        <f t="array" ref="AT36">IF(AQ36="","",INDIRECT("'GRD-"&amp;AS36&amp;"'!$L$7"))</f>
        <v/>
      </c>
      <c r="AU36" s="76">
        <f t="array" ref="AU36">IFERROR(OFFSET($BZ$11,ROW($B36)-11,MATCH(AU$10,$CA36:$FV36,0),),"")</f>
        <v/>
      </c>
      <c r="AV36" s="76">
        <f>IF(AU36="","",IF(VLOOKUP($B36,INDIRECT("'GRD-"&amp;AW36&amp;"'!$B:$R"),16,FALSE)="","",VLOOKUP($B36,INDIRECT("'GRD-"&amp;AW36&amp;"'!$B:$R"),16,FALSE)))</f>
        <v/>
      </c>
      <c r="AW36" s="132">
        <f t="array" ref="AW36">IF(AU36="","",IFERROR(OFFSET($BZ$11,0,MATCH($AU36,$CA36:$FV36,0),),""))</f>
        <v/>
      </c>
      <c r="AX36" s="121">
        <f t="array" ref="AX36">IF(AU36="","",INDIRECT("'GRD-"&amp;AW36&amp;"'!$L$7"))</f>
        <v/>
      </c>
      <c r="AY36" s="83">
        <f t="array" ref="AY36">IFERROR(OFFSET($BZ$11,ROW($B36)-11,MATCH(AY$10,$CA36:$FV36,0),),"")</f>
        <v/>
      </c>
      <c r="AZ36" s="83">
        <f>IF(AY36="","",IF(VLOOKUP($B36,INDIRECT("'GRD-"&amp;BA36&amp;"'!$B:$R"),16,FALSE)="","",VLOOKUP($B36,INDIRECT("'GRD-"&amp;BA36&amp;"'!$B:$R"),16,FALSE)))</f>
        <v/>
      </c>
      <c r="BA36" s="128">
        <f t="array" ref="BA36">IF(AY36="","",IFERROR(OFFSET($BZ$11,0,MATCH($AY36,$CA36:$FV36,0),),""))</f>
        <v/>
      </c>
      <c r="BB36" s="133">
        <f t="array" ref="BB36">IF(AY36="","",INDIRECT("'GRD-"&amp;BA36&amp;"'!$L$7"))</f>
        <v/>
      </c>
      <c r="BC36" s="84">
        <f t="array" ref="BC36">IFERROR(OFFSET($BZ$11,ROW($B36)-11,MATCH(BC$10,$CA36:$FV36,0),),"")</f>
        <v/>
      </c>
      <c r="BD36" s="84">
        <f>IF(BC36="","",IF(VLOOKUP($B36,INDIRECT("'GRD-"&amp;BE36&amp;"'!$B:$R"),16,FALSE)="","",VLOOKUP($B36,INDIRECT("'GRD-"&amp;BE36&amp;"'!$B:$R"),16,FALSE)))</f>
        <v/>
      </c>
      <c r="BE36" s="129">
        <f t="array" ref="BE36">IF(BC36="","",IFERROR(OFFSET($BZ$11,0,MATCH($BC36,$CA36:$FV36,0),),""))</f>
        <v/>
      </c>
      <c r="BF36" s="134">
        <f t="array" ref="BF36">IF(BC36="","",INDIRECT("'GRD-"&amp;BE36&amp;"'!$L$7"))</f>
        <v/>
      </c>
      <c r="CA36" s="96">
        <f>IFERROR(VLOOKUP($B36,INDIRECT("'GRD-"&amp;CA$11&amp;"'!B:R"),15,FALSE),"")</f>
        <v/>
      </c>
      <c r="CB36" s="96">
        <f>IFERROR(VLOOKUP($B36,INDIRECT("'GRD-"&amp;CB$11&amp;"'!B:R"),15,FALSE),"")</f>
        <v/>
      </c>
      <c r="CC36" s="96">
        <f>IFERROR(VLOOKUP($B36,INDIRECT("'GRD-"&amp;CC$11&amp;"'!B:R"),15,FALSE),"")</f>
        <v/>
      </c>
      <c r="CD36" s="96">
        <f>IFERROR(VLOOKUP($B36,INDIRECT("'GRD-"&amp;CD$11&amp;"'!B:R"),15,FALSE),"")</f>
        <v/>
      </c>
      <c r="CE36" s="96">
        <f>IFERROR(VLOOKUP($B36,INDIRECT("'GRD-"&amp;CE$11&amp;"'!B:R"),15,FALSE),"")</f>
        <v/>
      </c>
      <c r="CF36" s="96">
        <f>IFERROR(VLOOKUP($B36,INDIRECT("'GRD-"&amp;CF$11&amp;"'!B:R"),15,FALSE),"")</f>
        <v/>
      </c>
      <c r="CG36" s="96">
        <f>IFERROR(VLOOKUP($B36,INDIRECT("'GRD-"&amp;CG$11&amp;"'!B:R"),15,FALSE),"")</f>
        <v/>
      </c>
      <c r="CH36" s="96">
        <f>IFERROR(VLOOKUP($B36,INDIRECT("'GRD-"&amp;CH$11&amp;"'!B:R"),15,FALSE),"")</f>
        <v/>
      </c>
      <c r="CI36" s="96">
        <f>IFERROR(VLOOKUP($B36,INDIRECT("'GRD-"&amp;CI$11&amp;"'!B:R"),15,FALSE),"")</f>
        <v/>
      </c>
      <c r="CJ36" s="96">
        <f>IFERROR(VLOOKUP($B36,INDIRECT("'GRD-"&amp;CJ$11&amp;"'!B:R"),15,FALSE),"")</f>
        <v/>
      </c>
      <c r="CK36" s="96">
        <f>IFERROR(VLOOKUP($B36,INDIRECT("'GRD-"&amp;CK$11&amp;"'!B:R"),15,FALSE),"")</f>
        <v/>
      </c>
      <c r="CL36" s="96">
        <f>IFERROR(VLOOKUP($B36,INDIRECT("'GRD-"&amp;CL$11&amp;"'!B:R"),15,FALSE),"")</f>
        <v/>
      </c>
      <c r="CM36" s="96">
        <f>IFERROR(VLOOKUP($B36,INDIRECT("'GRD-"&amp;CM$11&amp;"'!B:R"),15,FALSE),"")</f>
        <v/>
      </c>
      <c r="CN36" s="96">
        <f>IFERROR(VLOOKUP($B36,INDIRECT("'GRD-"&amp;CN$11&amp;"'!B:R"),15,FALSE),"")</f>
        <v/>
      </c>
      <c r="CO36" s="96">
        <f>IFERROR(VLOOKUP($B36,INDIRECT("'GRD-"&amp;CO$11&amp;"'!B:R"),15,FALSE),"")</f>
        <v/>
      </c>
      <c r="CP36" s="96">
        <f>IFERROR(VLOOKUP($B36,INDIRECT("'GRD-"&amp;CP$11&amp;"'!B:R"),15,FALSE),"")</f>
        <v/>
      </c>
      <c r="CQ36" s="96">
        <f>IFERROR(VLOOKUP($B36,INDIRECT("'GRD-"&amp;CQ$11&amp;"'!B:R"),15,FALSE),"")</f>
        <v/>
      </c>
      <c r="CR36" s="96">
        <f>IFERROR(VLOOKUP($B36,INDIRECT("'GRD-"&amp;CR$11&amp;"'!B:R"),15,FALSE),"")</f>
        <v/>
      </c>
      <c r="CS36" s="96">
        <f>IFERROR(VLOOKUP($B36,INDIRECT("'GRD-"&amp;CS$11&amp;"'!B:R"),15,FALSE),"")</f>
        <v/>
      </c>
      <c r="CT36" s="96">
        <f>IFERROR(VLOOKUP($B36,INDIRECT("'GRD-"&amp;CT$11&amp;"'!B:R"),15,FALSE),"")</f>
        <v/>
      </c>
      <c r="CU36" s="96">
        <f>IFERROR(VLOOKUP($B36,INDIRECT("'GRD-"&amp;CU$11&amp;"'!B:R"),15,FALSE),"")</f>
        <v/>
      </c>
      <c r="CV36" s="96">
        <f>IFERROR(VLOOKUP($B36,INDIRECT("'GRD-"&amp;CV$11&amp;"'!B:R"),15,FALSE),"")</f>
        <v/>
      </c>
      <c r="CW36" s="96">
        <f>IFERROR(VLOOKUP($B36,INDIRECT("'GRD-"&amp;CW$11&amp;"'!B:R"),15,FALSE),"")</f>
        <v/>
      </c>
      <c r="CX36" s="96">
        <f>IFERROR(VLOOKUP($B36,INDIRECT("'GRD-"&amp;CX$11&amp;"'!B:R"),15,FALSE),"")</f>
        <v/>
      </c>
      <c r="CY36" s="96">
        <f>IFERROR(VLOOKUP($B36,INDIRECT("'GRD-"&amp;CY$11&amp;"'!B:R"),15,FALSE),"")</f>
        <v/>
      </c>
      <c r="CZ36" s="96">
        <f>IFERROR(VLOOKUP($B36,INDIRECT("'GRD-"&amp;CZ$11&amp;"'!B:R"),15,FALSE),"")</f>
        <v/>
      </c>
      <c r="DA36" s="96">
        <f>IFERROR(VLOOKUP($B36,INDIRECT("'GRD-"&amp;DA$11&amp;"'!B:R"),15,FALSE),"")</f>
        <v/>
      </c>
      <c r="DB36" s="96">
        <f>IFERROR(VLOOKUP($B36,INDIRECT("'GRD-"&amp;DB$11&amp;"'!B:R"),15,FALSE),"")</f>
        <v/>
      </c>
      <c r="DC36" s="96">
        <f>IFERROR(VLOOKUP($B36,INDIRECT("'GRD-"&amp;DC$11&amp;"'!B:R"),15,FALSE),"")</f>
        <v/>
      </c>
      <c r="DD36" s="96">
        <f>IFERROR(VLOOKUP($B36,INDIRECT("'GRD-"&amp;DD$11&amp;"'!B:R"),15,FALSE),"")</f>
        <v/>
      </c>
      <c r="DE36" s="96">
        <f>IFERROR(VLOOKUP($B36,INDIRECT("'GRD-"&amp;DE$11&amp;"'!B:R"),15,FALSE),"")</f>
        <v/>
      </c>
      <c r="DF36" s="96">
        <f>IFERROR(VLOOKUP($B36,INDIRECT("'GRD-"&amp;DF$11&amp;"'!B:R"),15,FALSE),"")</f>
        <v/>
      </c>
      <c r="DG36" s="96">
        <f>IFERROR(VLOOKUP($B36,INDIRECT("'GRD-"&amp;DG$11&amp;"'!B:R"),15,FALSE),"")</f>
        <v/>
      </c>
      <c r="DH36" s="96">
        <f>IFERROR(VLOOKUP($B36,INDIRECT("'GRD-"&amp;DH$11&amp;"'!B:R"),15,FALSE),"")</f>
        <v/>
      </c>
      <c r="DI36" s="96">
        <f>IFERROR(VLOOKUP($B36,INDIRECT("'GRD-"&amp;DI$11&amp;"'!B:R"),15,FALSE),"")</f>
        <v/>
      </c>
      <c r="DJ36" s="96">
        <f>IFERROR(VLOOKUP($B36,INDIRECT("'GRD-"&amp;DJ$11&amp;"'!B:R"),15,FALSE),"")</f>
        <v/>
      </c>
      <c r="DK36" s="96">
        <f>IFERROR(VLOOKUP($B36,INDIRECT("'GRD-"&amp;DK$11&amp;"'!B:R"),15,FALSE),"")</f>
        <v/>
      </c>
      <c r="DL36" s="96">
        <f>IFERROR(VLOOKUP($B36,INDIRECT("'GRD-"&amp;DL$11&amp;"'!B:R"),15,FALSE),"")</f>
        <v/>
      </c>
      <c r="DM36" s="96">
        <f>IFERROR(VLOOKUP($B36,INDIRECT("'GRD-"&amp;DM$11&amp;"'!B:R"),15,FALSE),"")</f>
        <v/>
      </c>
      <c r="DN36" s="96">
        <f>IFERROR(VLOOKUP($B36,INDIRECT("'GRD-"&amp;DN$11&amp;"'!B:R"),15,FALSE),"")</f>
        <v/>
      </c>
      <c r="DO36" s="96">
        <f>IFERROR(VLOOKUP($B36,INDIRECT("'GRD-"&amp;DO$11&amp;"'!B:R"),15,FALSE),"")</f>
        <v/>
      </c>
      <c r="DP36" s="96">
        <f>IFERROR(VLOOKUP($B36,INDIRECT("'GRD-"&amp;DP$11&amp;"'!B:R"),15,FALSE),"")</f>
        <v/>
      </c>
      <c r="DQ36" s="96">
        <f>IFERROR(VLOOKUP($B36,INDIRECT("'GRD-"&amp;DQ$11&amp;"'!B:R"),15,FALSE),"")</f>
        <v/>
      </c>
      <c r="DR36" s="96">
        <f>IFERROR(VLOOKUP($B36,INDIRECT("'GRD-"&amp;DR$11&amp;"'!B:R"),15,FALSE),"")</f>
        <v/>
      </c>
      <c r="DS36" s="96">
        <f>IFERROR(VLOOKUP($B36,INDIRECT("'GRD-"&amp;DS$11&amp;"'!B:R"),15,FALSE),"")</f>
        <v/>
      </c>
      <c r="DT36" s="96">
        <f>IFERROR(VLOOKUP($B36,INDIRECT("'GRD-"&amp;DT$11&amp;"'!B:R"),15,FALSE),"")</f>
        <v/>
      </c>
      <c r="DU36" s="96">
        <f>IFERROR(VLOOKUP($B36,INDIRECT("'GRD-"&amp;DU$11&amp;"'!B:R"),15,FALSE),"")</f>
        <v/>
      </c>
      <c r="DV36" s="96">
        <f>IFERROR(VLOOKUP($B36,INDIRECT("'GRD-"&amp;DV$11&amp;"'!B:R"),15,FALSE),"")</f>
        <v/>
      </c>
      <c r="DW36" s="96">
        <f>IFERROR(VLOOKUP($B36,INDIRECT("'GRD-"&amp;DW$11&amp;"'!B:R"),15,FALSE),"")</f>
        <v/>
      </c>
      <c r="DX36" s="96">
        <f>IFERROR(VLOOKUP($B36,INDIRECT("'GRD-"&amp;DX$11&amp;"'!B:R"),15,FALSE),"")</f>
        <v/>
      </c>
      <c r="DY36" s="96">
        <f>IFERROR(VLOOKUP($B36,INDIRECT("'GRD-"&amp;DY$11&amp;"'!B:R"),15,FALSE),"")</f>
        <v/>
      </c>
      <c r="DZ36" s="96">
        <f>IFERROR(VLOOKUP($B36,INDIRECT("'GRD-"&amp;DZ$11&amp;"'!B:R"),15,FALSE),"")</f>
        <v/>
      </c>
      <c r="EA36" s="96">
        <f>IFERROR(VLOOKUP($B36,INDIRECT("'GRD-"&amp;EA$11&amp;"'!B:R"),15,FALSE),"")</f>
        <v/>
      </c>
      <c r="EB36" s="96">
        <f>IFERROR(VLOOKUP($B36,INDIRECT("'GRD-"&amp;EB$11&amp;"'!B:R"),15,FALSE),"")</f>
        <v/>
      </c>
      <c r="EC36" s="96">
        <f>IFERROR(VLOOKUP($B36,INDIRECT("'GRD-"&amp;EC$11&amp;"'!B:R"),15,FALSE),"")</f>
        <v/>
      </c>
      <c r="ED36" s="96">
        <f>IFERROR(VLOOKUP($B36,INDIRECT("'GRD-"&amp;ED$11&amp;"'!B:R"),15,FALSE),"")</f>
        <v/>
      </c>
      <c r="EE36" s="96">
        <f>IFERROR(VLOOKUP($B36,INDIRECT("'GRD-"&amp;EE$11&amp;"'!B:R"),15,FALSE),"")</f>
        <v/>
      </c>
      <c r="EF36" s="96">
        <f>IFERROR(VLOOKUP($B36,INDIRECT("'GRD-"&amp;EF$11&amp;"'!B:R"),15,FALSE),"")</f>
        <v/>
      </c>
      <c r="EG36" s="96">
        <f>IFERROR(VLOOKUP($B36,INDIRECT("'GRD-"&amp;EG$11&amp;"'!B:R"),15,FALSE),"")</f>
        <v/>
      </c>
      <c r="EH36" s="96">
        <f>IFERROR(VLOOKUP($B36,INDIRECT("'GRD-"&amp;EH$11&amp;"'!B:R"),15,FALSE),"")</f>
        <v/>
      </c>
      <c r="EI36" s="96">
        <f>IFERROR(VLOOKUP($B36,INDIRECT("'GRD-"&amp;EI$11&amp;"'!B:R"),15,FALSE),"")</f>
        <v/>
      </c>
      <c r="EJ36" s="96">
        <f>IFERROR(VLOOKUP($B36,INDIRECT("'GRD-"&amp;EJ$11&amp;"'!B:R"),15,FALSE),"")</f>
        <v/>
      </c>
      <c r="EK36" s="96">
        <f>IFERROR(VLOOKUP($B36,INDIRECT("'GRD-"&amp;EK$11&amp;"'!B:R"),15,FALSE),"")</f>
        <v/>
      </c>
      <c r="EL36" s="96">
        <f>IFERROR(VLOOKUP($B36,INDIRECT("'GRD-"&amp;EL$11&amp;"'!B:R"),15,FALSE),"")</f>
        <v/>
      </c>
      <c r="EM36" s="96">
        <f>IFERROR(VLOOKUP($B36,INDIRECT("'GRD-"&amp;EM$11&amp;"'!B:R"),15,FALSE),"")</f>
        <v/>
      </c>
      <c r="EN36" s="96">
        <f>IFERROR(VLOOKUP($B36,INDIRECT("'GRD-"&amp;EN$11&amp;"'!B:R"),15,FALSE),"")</f>
        <v/>
      </c>
      <c r="EO36" s="96">
        <f>IFERROR(VLOOKUP($B36,INDIRECT("'GRD-"&amp;EO$11&amp;"'!B:R"),15,FALSE),"")</f>
        <v/>
      </c>
      <c r="EP36" s="96">
        <f>IFERROR(VLOOKUP($B36,INDIRECT("'GRD-"&amp;EP$11&amp;"'!B:R"),15,FALSE),"")</f>
        <v/>
      </c>
      <c r="EQ36" s="96">
        <f>IFERROR(VLOOKUP($B36,INDIRECT("'GRD-"&amp;EQ$11&amp;"'!B:R"),15,FALSE),"")</f>
        <v/>
      </c>
      <c r="ER36" s="96">
        <f>IFERROR(VLOOKUP($B36,INDIRECT("'GRD-"&amp;ER$11&amp;"'!B:R"),15,FALSE),"")</f>
        <v/>
      </c>
      <c r="ES36" s="96">
        <f>IFERROR(VLOOKUP($B36,INDIRECT("'GRD-"&amp;ES$11&amp;"'!B:R"),15,FALSE),"")</f>
        <v/>
      </c>
      <c r="ET36" s="96">
        <f>IFERROR(VLOOKUP($B36,INDIRECT("'GRD-"&amp;ET$11&amp;"'!B:R"),15,FALSE),"")</f>
        <v/>
      </c>
      <c r="EU36" s="96">
        <f>IFERROR(VLOOKUP($B36,INDIRECT("'GRD-"&amp;EU$11&amp;"'!B:R"),15,FALSE),"")</f>
        <v/>
      </c>
      <c r="EV36" s="96">
        <f>IFERROR(VLOOKUP($B36,INDIRECT("'GRD-"&amp;EV$11&amp;"'!B:R"),15,FALSE),"")</f>
        <v/>
      </c>
      <c r="EW36" s="96">
        <f>IFERROR(VLOOKUP($B36,INDIRECT("'GRD-"&amp;EW$11&amp;"'!B:R"),15,FALSE),"")</f>
        <v/>
      </c>
      <c r="EX36" s="96">
        <f>IFERROR(VLOOKUP($B36,INDIRECT("'GRD-"&amp;EX$11&amp;"'!B:R"),15,FALSE),"")</f>
        <v/>
      </c>
      <c r="EY36" s="96">
        <f>IFERROR(VLOOKUP($B36,INDIRECT("'GRD-"&amp;EY$11&amp;"'!B:R"),15,FALSE),"")</f>
        <v/>
      </c>
      <c r="EZ36" s="96">
        <f>IFERROR(VLOOKUP($B36,INDIRECT("'GRD-"&amp;EZ$11&amp;"'!B:R"),15,FALSE),"")</f>
        <v/>
      </c>
      <c r="FA36" s="96">
        <f>IFERROR(VLOOKUP($B36,INDIRECT("'GRD-"&amp;FA$11&amp;"'!B:R"),15,FALSE),"")</f>
        <v/>
      </c>
      <c r="FB36" s="96">
        <f>IFERROR(VLOOKUP($B36,INDIRECT("'GRD-"&amp;FB$11&amp;"'!B:R"),15,FALSE),"")</f>
        <v/>
      </c>
      <c r="FC36" s="96">
        <f>IFERROR(VLOOKUP($B36,INDIRECT("'GRD-"&amp;FC$11&amp;"'!B:R"),15,FALSE),"")</f>
        <v/>
      </c>
      <c r="FD36" s="96">
        <f>IFERROR(VLOOKUP($B36,INDIRECT("'GRD-"&amp;FD$11&amp;"'!B:R"),15,FALSE),"")</f>
        <v/>
      </c>
      <c r="FE36" s="96">
        <f>IFERROR(VLOOKUP($B36,INDIRECT("'GRD-"&amp;FE$11&amp;"'!B:R"),15,FALSE),"")</f>
        <v/>
      </c>
      <c r="FF36" s="96">
        <f>IFERROR(VLOOKUP($B36,INDIRECT("'GRD-"&amp;FF$11&amp;"'!B:R"),15,FALSE),"")</f>
        <v/>
      </c>
      <c r="FG36" s="96">
        <f>IFERROR(VLOOKUP($B36,INDIRECT("'GRD-"&amp;FG$11&amp;"'!B:R"),15,FALSE),"")</f>
        <v/>
      </c>
      <c r="FH36" s="96">
        <f>IFERROR(VLOOKUP($B36,INDIRECT("'GRD-"&amp;FH$11&amp;"'!B:R"),15,FALSE),"")</f>
        <v/>
      </c>
      <c r="FI36" s="96">
        <f>IFERROR(VLOOKUP($B36,INDIRECT("'GRD-"&amp;FI$11&amp;"'!B:R"),15,FALSE),"")</f>
        <v/>
      </c>
      <c r="FJ36" s="96">
        <f>IFERROR(VLOOKUP($B36,INDIRECT("'GRD-"&amp;FJ$11&amp;"'!B:R"),15,FALSE),"")</f>
        <v/>
      </c>
      <c r="FK36" s="96">
        <f>IFERROR(VLOOKUP($B36,INDIRECT("'GRD-"&amp;FK$11&amp;"'!B:R"),15,FALSE),"")</f>
        <v/>
      </c>
      <c r="FL36" s="96">
        <f>IFERROR(VLOOKUP($B36,INDIRECT("'GRD-"&amp;FL$11&amp;"'!B:R"),15,FALSE),"")</f>
        <v/>
      </c>
      <c r="FM36" s="96">
        <f>IFERROR(VLOOKUP($B36,INDIRECT("'GRD-"&amp;FM$11&amp;"'!B:R"),15,FALSE),"")</f>
        <v/>
      </c>
      <c r="FN36" s="96">
        <f>IFERROR(VLOOKUP($B36,INDIRECT("'GRD-"&amp;FN$11&amp;"'!B:R"),15,FALSE),"")</f>
        <v/>
      </c>
      <c r="FO36" s="96">
        <f>IFERROR(VLOOKUP($B36,INDIRECT("'GRD-"&amp;FO$11&amp;"'!B:R"),15,FALSE),"")</f>
        <v/>
      </c>
      <c r="FP36" s="96">
        <f>IFERROR(VLOOKUP($B36,INDIRECT("'GRD-"&amp;FP$11&amp;"'!B:R"),15,FALSE),"")</f>
        <v/>
      </c>
      <c r="FQ36" s="96">
        <f>IFERROR(VLOOKUP($B36,INDIRECT("'GRD-"&amp;FQ$11&amp;"'!B:R"),15,FALSE),"")</f>
        <v/>
      </c>
      <c r="FR36" s="96">
        <f>IFERROR(VLOOKUP($B36,INDIRECT("'GRD-"&amp;FR$11&amp;"'!B:R"),15,FALSE),"")</f>
        <v/>
      </c>
      <c r="FS36" s="96">
        <f>IFERROR(VLOOKUP($B36,INDIRECT("'GRD-"&amp;FS$11&amp;"'!B:R"),15,FALSE),"")</f>
        <v/>
      </c>
      <c r="FT36" s="96">
        <f>IFERROR(VLOOKUP($B36,INDIRECT("'GRD-"&amp;FT$11&amp;"'!B:R"),15,FALSE),"")</f>
        <v/>
      </c>
      <c r="FU36" s="96">
        <f>IFERROR(VLOOKUP($B36,INDIRECT("'GRD-"&amp;FU$11&amp;"'!B:R"),15,FALSE),"")</f>
        <v/>
      </c>
      <c r="FV36" s="96">
        <f>IFERROR(VLOOKUP($B36,INDIRECT("'GRD-"&amp;FV$11&amp;"'!B:R"),15,FALSE),"")</f>
        <v/>
      </c>
    </row>
    <row r="37">
      <c r="B37" s="68" t="n"/>
      <c r="C37" s="72" t="n"/>
      <c r="D37" s="73">
        <f>IF(K37="","",MAX($CA37:$FV37))</f>
        <v/>
      </c>
      <c r="E37" s="74">
        <f t="array" ref="E37">IF($K37="","",OFFSET($A$1,ROW($B37)-1,11+$D37*4,))</f>
        <v/>
      </c>
      <c r="F37" s="74">
        <f t="array" ref="F37">IF($K37="","",OFFSET($A$1,ROW($B37)-1,12+$D37*4,))</f>
        <v/>
      </c>
      <c r="G37" s="118">
        <f t="array" ref="G37">IF($K37="","",OFFSET($A$1,ROW($B37)-1,13+$D37*4,))</f>
        <v/>
      </c>
      <c r="H37" s="81" t="n"/>
      <c r="I37" s="82" t="n"/>
      <c r="J37" s="75">
        <f>IF(I37="A4",H37/8,IF(I37="A3",H37/4,IF(I37="A2",H37/2,IF(I37="A1",H37/1,IF(I37="A0",H37*2,"")))))</f>
        <v/>
      </c>
      <c r="K37" s="68">
        <f t="array" ref="K37">IFERROR(OFFSET($BZ$11,ROW($B37)-11,MATCH(K$10,$CA37:$FV37,0),),"")</f>
        <v/>
      </c>
      <c r="L37" s="85">
        <f>IF(K37="","",IF(VLOOKUP($B37,INDIRECT("'GRD-"&amp;M37&amp;"'!$B:$R"),16,FALSE)="","",VLOOKUP($B37,INDIRECT("'GRD-"&amp;M37&amp;"'!$B:$R"),16,FALSE)))</f>
        <v/>
      </c>
      <c r="M37" s="130">
        <f t="array" ref="M37">IF(K37="","",IFERROR(OFFSET($BZ$11,0,MATCH($K37,$CA37:$FV37,0),),""))</f>
        <v/>
      </c>
      <c r="N37" s="119">
        <f t="array" ref="N37">IF(K37="","",INDIRECT("'GRD-"&amp;M37&amp;"'!$L$7"))</f>
        <v/>
      </c>
      <c r="O37" s="76">
        <f t="array" ref="O37">IFERROR(OFFSET($BZ$11,ROW($B37)-11,MATCH(O$10,$CA37:$FV37,0),),"")</f>
        <v/>
      </c>
      <c r="P37" s="76">
        <f>IF(O37="","",IF(VLOOKUP($B37,INDIRECT("'GRD-"&amp;Q37&amp;"'!$B:$R"),16,FALSE)="","",VLOOKUP($B37,INDIRECT("'GRD-"&amp;Q37&amp;"'!$B:$R"),16,FALSE)))</f>
        <v/>
      </c>
      <c r="Q37" s="132">
        <f t="array" ref="Q37">IF(O37="","",IFERROR(OFFSET($BZ$11,0,MATCH($O37,$CA37:$FV37,0),),""))</f>
        <v/>
      </c>
      <c r="R37" s="121">
        <f t="array" ref="R37">IF(O37="","",INDIRECT("'GRD-"&amp;Q37&amp;"'!$L$7"))</f>
        <v/>
      </c>
      <c r="S37" s="83">
        <f t="array" ref="S37">IFERROR(OFFSET($BZ$11,ROW($B37)-11,MATCH(S$10,$CA37:$FV37,0),),"")</f>
        <v/>
      </c>
      <c r="T37" s="83">
        <f>IF(S37="","",IF(VLOOKUP($B37,INDIRECT("'GRD-"&amp;U37&amp;"'!$B:$R"),16,FALSE)="","",VLOOKUP($B37,INDIRECT("'GRD-"&amp;U37&amp;"'!$B:$R"),16,FALSE)))</f>
        <v/>
      </c>
      <c r="U37" s="128">
        <f t="array" ref="U37">IF(S37="","",IFERROR(OFFSET($BZ$11,0,MATCH($S37,$CA37:$FV37,0),),""))</f>
        <v/>
      </c>
      <c r="V37" s="133">
        <f t="array" ref="V37">IF(S37="","",INDIRECT("'GRD-"&amp;U37&amp;"'!$L$7"))</f>
        <v/>
      </c>
      <c r="W37" s="84">
        <f t="array" ref="W37">IFERROR(OFFSET($BZ$11,ROW($B37)-11,MATCH(W$10,$CA37:$FV37,0),),"")</f>
        <v/>
      </c>
      <c r="X37" s="84">
        <f>IF(W37="","",IF(VLOOKUP($B37,INDIRECT("'GRD-"&amp;Y37&amp;"'!$B:$R"),16,FALSE)="","",VLOOKUP($B37,INDIRECT("'GRD-"&amp;Y37&amp;"'!$B:$R"),16,FALSE)))</f>
        <v/>
      </c>
      <c r="Y37" s="129">
        <f t="array" ref="Y37">IF(W37="","",IFERROR(OFFSET($BZ$11,0,MATCH($W37,$CA37:$FV37,0),),""))</f>
        <v/>
      </c>
      <c r="Z37" s="134">
        <f t="array" ref="Z37">IF(W37="","",INDIRECT("'GRD-"&amp;Y37&amp;"'!$L$7"))</f>
        <v/>
      </c>
      <c r="AA37" s="85">
        <f t="array" ref="AA37">IFERROR(OFFSET($BZ$11,ROW($B37)-11,MATCH(AA$10,$CA37:$FV37,0),),"")</f>
        <v/>
      </c>
      <c r="AB37" s="85">
        <f>IF(AA37="","",IF(VLOOKUP($B37,INDIRECT("'GRD-"&amp;AC37&amp;"'!$B:$R"),16,FALSE)="","",VLOOKUP($B37,INDIRECT("'GRD-"&amp;AC37&amp;"'!$B:$R"),16,FALSE)))</f>
        <v/>
      </c>
      <c r="AC37" s="130">
        <f t="array" ref="AC37">IF(AA37="","",IFERROR(OFFSET($BZ$11,0,MATCH($AA37,$CA37:$FV37,0),),""))</f>
        <v/>
      </c>
      <c r="AD37" s="131">
        <f t="array" ref="AD37">IF(AA37="","",INDIRECT("'GRD-"&amp;AC37&amp;"'!$L$7"))</f>
        <v/>
      </c>
      <c r="AE37" s="76">
        <f t="array" ref="AE37">IFERROR(OFFSET($BZ$11,ROW($B37)-11,MATCH(AE$10,$CA37:$FV37,0),),"")</f>
        <v/>
      </c>
      <c r="AF37" s="76">
        <f>IF(AE37="","",IF(VLOOKUP($B37,INDIRECT("'GRD-"&amp;AG37&amp;"'!$B:$R"),16,FALSE)="","",VLOOKUP($B37,INDIRECT("'GRD-"&amp;AG37&amp;"'!$B:$R"),16,FALSE)))</f>
        <v/>
      </c>
      <c r="AG37" s="132">
        <f t="array" ref="AG37">IF(AE37="","",IFERROR(OFFSET($BZ$11,0,MATCH($AE37,$CA37:$FV37,0),),""))</f>
        <v/>
      </c>
      <c r="AH37" s="121">
        <f t="array" ref="AH37">IF(AE37="","",INDIRECT("'GRD-"&amp;AG37&amp;"'!$L$7"))</f>
        <v/>
      </c>
      <c r="AI37" s="83">
        <f t="array" ref="AI37">IFERROR(OFFSET($BZ$11,ROW($B37)-11,MATCH(AI$10,$CA37:$FV37,0),),"")</f>
        <v/>
      </c>
      <c r="AJ37" s="83">
        <f>IF(AI37="","",IF(VLOOKUP($B37,INDIRECT("'GRD-"&amp;AK37&amp;"'!$B:$R"),16,FALSE)="","",VLOOKUP($B37,INDIRECT("'GRD-"&amp;AK37&amp;"'!$B:$R"),16,FALSE)))</f>
        <v/>
      </c>
      <c r="AK37" s="128">
        <f t="array" ref="AK37">IF(AI37="","",IFERROR(OFFSET($BZ$11,0,MATCH($AI37,$CA37:$FV37,0),),""))</f>
        <v/>
      </c>
      <c r="AL37" s="133">
        <f t="array" ref="AL37">IF(AI37="","",INDIRECT("'GRD-"&amp;AK37&amp;"'!$L$7"))</f>
        <v/>
      </c>
      <c r="AM37" s="84">
        <f t="array" ref="AM37">IFERROR(OFFSET($BZ$11,ROW($B37)-11,MATCH(AM$10,$CA37:$FV37,0),),"")</f>
        <v/>
      </c>
      <c r="AN37" s="84">
        <f>IF(AM37="","",IF(VLOOKUP($B37,INDIRECT("'GRD-"&amp;AO37&amp;"'!$B:$R"),16,FALSE)="","",VLOOKUP($B37,INDIRECT("'GRD-"&amp;AO37&amp;"'!$B:$R"),16,FALSE)))</f>
        <v/>
      </c>
      <c r="AO37" s="129">
        <f t="array" ref="AO37">IF(AM37="","",IFERROR(OFFSET($BZ$11,0,MATCH($AM37,$CA37:$FV37,0),),""))</f>
        <v/>
      </c>
      <c r="AP37" s="134">
        <f t="array" ref="AP37">IF(AM37="","",INDIRECT("'GRD-"&amp;AO37&amp;"'!$L$7"))</f>
        <v/>
      </c>
      <c r="AQ37" s="85">
        <f t="array" ref="AQ37">IFERROR(OFFSET($BZ$11,ROW($B37)-11,MATCH(AQ$10,$CA37:$FV37,0),),"")</f>
        <v/>
      </c>
      <c r="AR37" s="85">
        <f>IF(AQ37="","",IF(VLOOKUP($B37,INDIRECT("'GRD-"&amp;AS37&amp;"'!$B:$R"),16,FALSE)="","",VLOOKUP($B37,INDIRECT("'GRD-"&amp;AS37&amp;"'!$B:$R"),16,FALSE)))</f>
        <v/>
      </c>
      <c r="AS37" s="130">
        <f t="array" ref="AS37">IF(AQ37="","",IFERROR(OFFSET($BZ$11,0,MATCH($AQ37,$CA37:$FV37,0),),""))</f>
        <v/>
      </c>
      <c r="AT37" s="131">
        <f t="array" ref="AT37">IF(AQ37="","",INDIRECT("'GRD-"&amp;AS37&amp;"'!$L$7"))</f>
        <v/>
      </c>
      <c r="AU37" s="76">
        <f t="array" ref="AU37">IFERROR(OFFSET($BZ$11,ROW($B37)-11,MATCH(AU$10,$CA37:$FV37,0),),"")</f>
        <v/>
      </c>
      <c r="AV37" s="76">
        <f>IF(AU37="","",IF(VLOOKUP($B37,INDIRECT("'GRD-"&amp;AW37&amp;"'!$B:$R"),16,FALSE)="","",VLOOKUP($B37,INDIRECT("'GRD-"&amp;AW37&amp;"'!$B:$R"),16,FALSE)))</f>
        <v/>
      </c>
      <c r="AW37" s="132">
        <f t="array" ref="AW37">IF(AU37="","",IFERROR(OFFSET($BZ$11,0,MATCH($AU37,$CA37:$FV37,0),),""))</f>
        <v/>
      </c>
      <c r="AX37" s="121">
        <f t="array" ref="AX37">IF(AU37="","",INDIRECT("'GRD-"&amp;AW37&amp;"'!$L$7"))</f>
        <v/>
      </c>
      <c r="AY37" s="83">
        <f t="array" ref="AY37">IFERROR(OFFSET($BZ$11,ROW($B37)-11,MATCH(AY$10,$CA37:$FV37,0),),"")</f>
        <v/>
      </c>
      <c r="AZ37" s="83">
        <f>IF(AY37="","",IF(VLOOKUP($B37,INDIRECT("'GRD-"&amp;BA37&amp;"'!$B:$R"),16,FALSE)="","",VLOOKUP($B37,INDIRECT("'GRD-"&amp;BA37&amp;"'!$B:$R"),16,FALSE)))</f>
        <v/>
      </c>
      <c r="BA37" s="128">
        <f t="array" ref="BA37">IF(AY37="","",IFERROR(OFFSET($BZ$11,0,MATCH($AY37,$CA37:$FV37,0),),""))</f>
        <v/>
      </c>
      <c r="BB37" s="133">
        <f t="array" ref="BB37">IF(AY37="","",INDIRECT("'GRD-"&amp;BA37&amp;"'!$L$7"))</f>
        <v/>
      </c>
      <c r="BC37" s="84">
        <f t="array" ref="BC37">IFERROR(OFFSET($BZ$11,ROW($B37)-11,MATCH(BC$10,$CA37:$FV37,0),),"")</f>
        <v/>
      </c>
      <c r="BD37" s="84">
        <f>IF(BC37="","",IF(VLOOKUP($B37,INDIRECT("'GRD-"&amp;BE37&amp;"'!$B:$R"),16,FALSE)="","",VLOOKUP($B37,INDIRECT("'GRD-"&amp;BE37&amp;"'!$B:$R"),16,FALSE)))</f>
        <v/>
      </c>
      <c r="BE37" s="129">
        <f t="array" ref="BE37">IF(BC37="","",IFERROR(OFFSET($BZ$11,0,MATCH($BC37,$CA37:$FV37,0),),""))</f>
        <v/>
      </c>
      <c r="BF37" s="134">
        <f t="array" ref="BF37">IF(BC37="","",INDIRECT("'GRD-"&amp;BE37&amp;"'!$L$7"))</f>
        <v/>
      </c>
      <c r="CA37" s="96">
        <f>IFERROR(VLOOKUP($B37,INDIRECT("'GRD-"&amp;CA$11&amp;"'!B:R"),15,FALSE),"")</f>
        <v/>
      </c>
      <c r="CB37" s="96">
        <f>IFERROR(VLOOKUP($B37,INDIRECT("'GRD-"&amp;CB$11&amp;"'!B:R"),15,FALSE),"")</f>
        <v/>
      </c>
      <c r="CC37" s="96">
        <f>IFERROR(VLOOKUP($B37,INDIRECT("'GRD-"&amp;CC$11&amp;"'!B:R"),15,FALSE),"")</f>
        <v/>
      </c>
      <c r="CD37" s="96">
        <f>IFERROR(VLOOKUP($B37,INDIRECT("'GRD-"&amp;CD$11&amp;"'!B:R"),15,FALSE),"")</f>
        <v/>
      </c>
      <c r="CE37" s="96">
        <f>IFERROR(VLOOKUP($B37,INDIRECT("'GRD-"&amp;CE$11&amp;"'!B:R"),15,FALSE),"")</f>
        <v/>
      </c>
      <c r="CF37" s="96">
        <f>IFERROR(VLOOKUP($B37,INDIRECT("'GRD-"&amp;CF$11&amp;"'!B:R"),15,FALSE),"")</f>
        <v/>
      </c>
      <c r="CG37" s="96">
        <f>IFERROR(VLOOKUP($B37,INDIRECT("'GRD-"&amp;CG$11&amp;"'!B:R"),15,FALSE),"")</f>
        <v/>
      </c>
      <c r="CH37" s="96">
        <f>IFERROR(VLOOKUP($B37,INDIRECT("'GRD-"&amp;CH$11&amp;"'!B:R"),15,FALSE),"")</f>
        <v/>
      </c>
      <c r="CI37" s="96">
        <f>IFERROR(VLOOKUP($B37,INDIRECT("'GRD-"&amp;CI$11&amp;"'!B:R"),15,FALSE),"")</f>
        <v/>
      </c>
      <c r="CJ37" s="96">
        <f>IFERROR(VLOOKUP($B37,INDIRECT("'GRD-"&amp;CJ$11&amp;"'!B:R"),15,FALSE),"")</f>
        <v/>
      </c>
      <c r="CK37" s="96">
        <f>IFERROR(VLOOKUP($B37,INDIRECT("'GRD-"&amp;CK$11&amp;"'!B:R"),15,FALSE),"")</f>
        <v/>
      </c>
      <c r="CL37" s="96">
        <f>IFERROR(VLOOKUP($B37,INDIRECT("'GRD-"&amp;CL$11&amp;"'!B:R"),15,FALSE),"")</f>
        <v/>
      </c>
      <c r="CM37" s="96">
        <f>IFERROR(VLOOKUP($B37,INDIRECT("'GRD-"&amp;CM$11&amp;"'!B:R"),15,FALSE),"")</f>
        <v/>
      </c>
      <c r="CN37" s="96">
        <f>IFERROR(VLOOKUP($B37,INDIRECT("'GRD-"&amp;CN$11&amp;"'!B:R"),15,FALSE),"")</f>
        <v/>
      </c>
      <c r="CO37" s="96">
        <f>IFERROR(VLOOKUP($B37,INDIRECT("'GRD-"&amp;CO$11&amp;"'!B:R"),15,FALSE),"")</f>
        <v/>
      </c>
      <c r="CP37" s="96">
        <f>IFERROR(VLOOKUP($B37,INDIRECT("'GRD-"&amp;CP$11&amp;"'!B:R"),15,FALSE),"")</f>
        <v/>
      </c>
      <c r="CQ37" s="96">
        <f>IFERROR(VLOOKUP($B37,INDIRECT("'GRD-"&amp;CQ$11&amp;"'!B:R"),15,FALSE),"")</f>
        <v/>
      </c>
      <c r="CR37" s="96">
        <f>IFERROR(VLOOKUP($B37,INDIRECT("'GRD-"&amp;CR$11&amp;"'!B:R"),15,FALSE),"")</f>
        <v/>
      </c>
      <c r="CS37" s="96">
        <f>IFERROR(VLOOKUP($B37,INDIRECT("'GRD-"&amp;CS$11&amp;"'!B:R"),15,FALSE),"")</f>
        <v/>
      </c>
      <c r="CT37" s="96">
        <f>IFERROR(VLOOKUP($B37,INDIRECT("'GRD-"&amp;CT$11&amp;"'!B:R"),15,FALSE),"")</f>
        <v/>
      </c>
      <c r="CU37" s="96">
        <f>IFERROR(VLOOKUP($B37,INDIRECT("'GRD-"&amp;CU$11&amp;"'!B:R"),15,FALSE),"")</f>
        <v/>
      </c>
      <c r="CV37" s="96">
        <f>IFERROR(VLOOKUP($B37,INDIRECT("'GRD-"&amp;CV$11&amp;"'!B:R"),15,FALSE),"")</f>
        <v/>
      </c>
      <c r="CW37" s="96">
        <f>IFERROR(VLOOKUP($B37,INDIRECT("'GRD-"&amp;CW$11&amp;"'!B:R"),15,FALSE),"")</f>
        <v/>
      </c>
      <c r="CX37" s="96">
        <f>IFERROR(VLOOKUP($B37,INDIRECT("'GRD-"&amp;CX$11&amp;"'!B:R"),15,FALSE),"")</f>
        <v/>
      </c>
      <c r="CY37" s="96">
        <f>IFERROR(VLOOKUP($B37,INDIRECT("'GRD-"&amp;CY$11&amp;"'!B:R"),15,FALSE),"")</f>
        <v/>
      </c>
      <c r="CZ37" s="96">
        <f>IFERROR(VLOOKUP($B37,INDIRECT("'GRD-"&amp;CZ$11&amp;"'!B:R"),15,FALSE),"")</f>
        <v/>
      </c>
      <c r="DA37" s="96">
        <f>IFERROR(VLOOKUP($B37,INDIRECT("'GRD-"&amp;DA$11&amp;"'!B:R"),15,FALSE),"")</f>
        <v/>
      </c>
      <c r="DB37" s="96">
        <f>IFERROR(VLOOKUP($B37,INDIRECT("'GRD-"&amp;DB$11&amp;"'!B:R"),15,FALSE),"")</f>
        <v/>
      </c>
      <c r="DC37" s="96">
        <f>IFERROR(VLOOKUP($B37,INDIRECT("'GRD-"&amp;DC$11&amp;"'!B:R"),15,FALSE),"")</f>
        <v/>
      </c>
      <c r="DD37" s="96">
        <f>IFERROR(VLOOKUP($B37,INDIRECT("'GRD-"&amp;DD$11&amp;"'!B:R"),15,FALSE),"")</f>
        <v/>
      </c>
      <c r="DE37" s="96">
        <f>IFERROR(VLOOKUP($B37,INDIRECT("'GRD-"&amp;DE$11&amp;"'!B:R"),15,FALSE),"")</f>
        <v/>
      </c>
      <c r="DF37" s="96">
        <f>IFERROR(VLOOKUP($B37,INDIRECT("'GRD-"&amp;DF$11&amp;"'!B:R"),15,FALSE),"")</f>
        <v/>
      </c>
      <c r="DG37" s="96">
        <f>IFERROR(VLOOKUP($B37,INDIRECT("'GRD-"&amp;DG$11&amp;"'!B:R"),15,FALSE),"")</f>
        <v/>
      </c>
      <c r="DH37" s="96">
        <f>IFERROR(VLOOKUP($B37,INDIRECT("'GRD-"&amp;DH$11&amp;"'!B:R"),15,FALSE),"")</f>
        <v/>
      </c>
      <c r="DI37" s="96">
        <f>IFERROR(VLOOKUP($B37,INDIRECT("'GRD-"&amp;DI$11&amp;"'!B:R"),15,FALSE),"")</f>
        <v/>
      </c>
      <c r="DJ37" s="96">
        <f>IFERROR(VLOOKUP($B37,INDIRECT("'GRD-"&amp;DJ$11&amp;"'!B:R"),15,FALSE),"")</f>
        <v/>
      </c>
      <c r="DK37" s="96">
        <f>IFERROR(VLOOKUP($B37,INDIRECT("'GRD-"&amp;DK$11&amp;"'!B:R"),15,FALSE),"")</f>
        <v/>
      </c>
      <c r="DL37" s="96">
        <f>IFERROR(VLOOKUP($B37,INDIRECT("'GRD-"&amp;DL$11&amp;"'!B:R"),15,FALSE),"")</f>
        <v/>
      </c>
      <c r="DM37" s="96">
        <f>IFERROR(VLOOKUP($B37,INDIRECT("'GRD-"&amp;DM$11&amp;"'!B:R"),15,FALSE),"")</f>
        <v/>
      </c>
      <c r="DN37" s="96">
        <f>IFERROR(VLOOKUP($B37,INDIRECT("'GRD-"&amp;DN$11&amp;"'!B:R"),15,FALSE),"")</f>
        <v/>
      </c>
      <c r="DO37" s="96">
        <f>IFERROR(VLOOKUP($B37,INDIRECT("'GRD-"&amp;DO$11&amp;"'!B:R"),15,FALSE),"")</f>
        <v/>
      </c>
      <c r="DP37" s="96">
        <f>IFERROR(VLOOKUP($B37,INDIRECT("'GRD-"&amp;DP$11&amp;"'!B:R"),15,FALSE),"")</f>
        <v/>
      </c>
      <c r="DQ37" s="96">
        <f>IFERROR(VLOOKUP($B37,INDIRECT("'GRD-"&amp;DQ$11&amp;"'!B:R"),15,FALSE),"")</f>
        <v/>
      </c>
      <c r="DR37" s="96">
        <f>IFERROR(VLOOKUP($B37,INDIRECT("'GRD-"&amp;DR$11&amp;"'!B:R"),15,FALSE),"")</f>
        <v/>
      </c>
      <c r="DS37" s="96">
        <f>IFERROR(VLOOKUP($B37,INDIRECT("'GRD-"&amp;DS$11&amp;"'!B:R"),15,FALSE),"")</f>
        <v/>
      </c>
      <c r="DT37" s="96">
        <f>IFERROR(VLOOKUP($B37,INDIRECT("'GRD-"&amp;DT$11&amp;"'!B:R"),15,FALSE),"")</f>
        <v/>
      </c>
      <c r="DU37" s="96">
        <f>IFERROR(VLOOKUP($B37,INDIRECT("'GRD-"&amp;DU$11&amp;"'!B:R"),15,FALSE),"")</f>
        <v/>
      </c>
      <c r="DV37" s="96">
        <f>IFERROR(VLOOKUP($B37,INDIRECT("'GRD-"&amp;DV$11&amp;"'!B:R"),15,FALSE),"")</f>
        <v/>
      </c>
      <c r="DW37" s="96">
        <f>IFERROR(VLOOKUP($B37,INDIRECT("'GRD-"&amp;DW$11&amp;"'!B:R"),15,FALSE),"")</f>
        <v/>
      </c>
      <c r="DX37" s="96">
        <f>IFERROR(VLOOKUP($B37,INDIRECT("'GRD-"&amp;DX$11&amp;"'!B:R"),15,FALSE),"")</f>
        <v/>
      </c>
      <c r="DY37" s="96">
        <f>IFERROR(VLOOKUP($B37,INDIRECT("'GRD-"&amp;DY$11&amp;"'!B:R"),15,FALSE),"")</f>
        <v/>
      </c>
      <c r="DZ37" s="96">
        <f>IFERROR(VLOOKUP($B37,INDIRECT("'GRD-"&amp;DZ$11&amp;"'!B:R"),15,FALSE),"")</f>
        <v/>
      </c>
      <c r="EA37" s="96">
        <f>IFERROR(VLOOKUP($B37,INDIRECT("'GRD-"&amp;EA$11&amp;"'!B:R"),15,FALSE),"")</f>
        <v/>
      </c>
      <c r="EB37" s="96">
        <f>IFERROR(VLOOKUP($B37,INDIRECT("'GRD-"&amp;EB$11&amp;"'!B:R"),15,FALSE),"")</f>
        <v/>
      </c>
      <c r="EC37" s="96">
        <f>IFERROR(VLOOKUP($B37,INDIRECT("'GRD-"&amp;EC$11&amp;"'!B:R"),15,FALSE),"")</f>
        <v/>
      </c>
      <c r="ED37" s="96">
        <f>IFERROR(VLOOKUP($B37,INDIRECT("'GRD-"&amp;ED$11&amp;"'!B:R"),15,FALSE),"")</f>
        <v/>
      </c>
      <c r="EE37" s="96">
        <f>IFERROR(VLOOKUP($B37,INDIRECT("'GRD-"&amp;EE$11&amp;"'!B:R"),15,FALSE),"")</f>
        <v/>
      </c>
      <c r="EF37" s="96">
        <f>IFERROR(VLOOKUP($B37,INDIRECT("'GRD-"&amp;EF$11&amp;"'!B:R"),15,FALSE),"")</f>
        <v/>
      </c>
      <c r="EG37" s="96">
        <f>IFERROR(VLOOKUP($B37,INDIRECT("'GRD-"&amp;EG$11&amp;"'!B:R"),15,FALSE),"")</f>
        <v/>
      </c>
      <c r="EH37" s="96">
        <f>IFERROR(VLOOKUP($B37,INDIRECT("'GRD-"&amp;EH$11&amp;"'!B:R"),15,FALSE),"")</f>
        <v/>
      </c>
      <c r="EI37" s="96">
        <f>IFERROR(VLOOKUP($B37,INDIRECT("'GRD-"&amp;EI$11&amp;"'!B:R"),15,FALSE),"")</f>
        <v/>
      </c>
      <c r="EJ37" s="96">
        <f>IFERROR(VLOOKUP($B37,INDIRECT("'GRD-"&amp;EJ$11&amp;"'!B:R"),15,FALSE),"")</f>
        <v/>
      </c>
      <c r="EK37" s="96">
        <f>IFERROR(VLOOKUP($B37,INDIRECT("'GRD-"&amp;EK$11&amp;"'!B:R"),15,FALSE),"")</f>
        <v/>
      </c>
      <c r="EL37" s="96">
        <f>IFERROR(VLOOKUP($B37,INDIRECT("'GRD-"&amp;EL$11&amp;"'!B:R"),15,FALSE),"")</f>
        <v/>
      </c>
      <c r="EM37" s="96">
        <f>IFERROR(VLOOKUP($B37,INDIRECT("'GRD-"&amp;EM$11&amp;"'!B:R"),15,FALSE),"")</f>
        <v/>
      </c>
      <c r="EN37" s="96">
        <f>IFERROR(VLOOKUP($B37,INDIRECT("'GRD-"&amp;EN$11&amp;"'!B:R"),15,FALSE),"")</f>
        <v/>
      </c>
      <c r="EO37" s="96">
        <f>IFERROR(VLOOKUP($B37,INDIRECT("'GRD-"&amp;EO$11&amp;"'!B:R"),15,FALSE),"")</f>
        <v/>
      </c>
      <c r="EP37" s="96">
        <f>IFERROR(VLOOKUP($B37,INDIRECT("'GRD-"&amp;EP$11&amp;"'!B:R"),15,FALSE),"")</f>
        <v/>
      </c>
      <c r="EQ37" s="96">
        <f>IFERROR(VLOOKUP($B37,INDIRECT("'GRD-"&amp;EQ$11&amp;"'!B:R"),15,FALSE),"")</f>
        <v/>
      </c>
      <c r="ER37" s="96">
        <f>IFERROR(VLOOKUP($B37,INDIRECT("'GRD-"&amp;ER$11&amp;"'!B:R"),15,FALSE),"")</f>
        <v/>
      </c>
      <c r="ES37" s="96">
        <f>IFERROR(VLOOKUP($B37,INDIRECT("'GRD-"&amp;ES$11&amp;"'!B:R"),15,FALSE),"")</f>
        <v/>
      </c>
      <c r="ET37" s="96">
        <f>IFERROR(VLOOKUP($B37,INDIRECT("'GRD-"&amp;ET$11&amp;"'!B:R"),15,FALSE),"")</f>
        <v/>
      </c>
      <c r="EU37" s="96">
        <f>IFERROR(VLOOKUP($B37,INDIRECT("'GRD-"&amp;EU$11&amp;"'!B:R"),15,FALSE),"")</f>
        <v/>
      </c>
      <c r="EV37" s="96">
        <f>IFERROR(VLOOKUP($B37,INDIRECT("'GRD-"&amp;EV$11&amp;"'!B:R"),15,FALSE),"")</f>
        <v/>
      </c>
      <c r="EW37" s="96">
        <f>IFERROR(VLOOKUP($B37,INDIRECT("'GRD-"&amp;EW$11&amp;"'!B:R"),15,FALSE),"")</f>
        <v/>
      </c>
      <c r="EX37" s="96">
        <f>IFERROR(VLOOKUP($B37,INDIRECT("'GRD-"&amp;EX$11&amp;"'!B:R"),15,FALSE),"")</f>
        <v/>
      </c>
      <c r="EY37" s="96">
        <f>IFERROR(VLOOKUP($B37,INDIRECT("'GRD-"&amp;EY$11&amp;"'!B:R"),15,FALSE),"")</f>
        <v/>
      </c>
      <c r="EZ37" s="96">
        <f>IFERROR(VLOOKUP($B37,INDIRECT("'GRD-"&amp;EZ$11&amp;"'!B:R"),15,FALSE),"")</f>
        <v/>
      </c>
      <c r="FA37" s="96">
        <f>IFERROR(VLOOKUP($B37,INDIRECT("'GRD-"&amp;FA$11&amp;"'!B:R"),15,FALSE),"")</f>
        <v/>
      </c>
      <c r="FB37" s="96">
        <f>IFERROR(VLOOKUP($B37,INDIRECT("'GRD-"&amp;FB$11&amp;"'!B:R"),15,FALSE),"")</f>
        <v/>
      </c>
      <c r="FC37" s="96">
        <f>IFERROR(VLOOKUP($B37,INDIRECT("'GRD-"&amp;FC$11&amp;"'!B:R"),15,FALSE),"")</f>
        <v/>
      </c>
      <c r="FD37" s="96">
        <f>IFERROR(VLOOKUP($B37,INDIRECT("'GRD-"&amp;FD$11&amp;"'!B:R"),15,FALSE),"")</f>
        <v/>
      </c>
      <c r="FE37" s="96">
        <f>IFERROR(VLOOKUP($B37,INDIRECT("'GRD-"&amp;FE$11&amp;"'!B:R"),15,FALSE),"")</f>
        <v/>
      </c>
      <c r="FF37" s="96">
        <f>IFERROR(VLOOKUP($B37,INDIRECT("'GRD-"&amp;FF$11&amp;"'!B:R"),15,FALSE),"")</f>
        <v/>
      </c>
      <c r="FG37" s="96">
        <f>IFERROR(VLOOKUP($B37,INDIRECT("'GRD-"&amp;FG$11&amp;"'!B:R"),15,FALSE),"")</f>
        <v/>
      </c>
      <c r="FH37" s="96">
        <f>IFERROR(VLOOKUP($B37,INDIRECT("'GRD-"&amp;FH$11&amp;"'!B:R"),15,FALSE),"")</f>
        <v/>
      </c>
      <c r="FI37" s="96">
        <f>IFERROR(VLOOKUP($B37,INDIRECT("'GRD-"&amp;FI$11&amp;"'!B:R"),15,FALSE),"")</f>
        <v/>
      </c>
      <c r="FJ37" s="96">
        <f>IFERROR(VLOOKUP($B37,INDIRECT("'GRD-"&amp;FJ$11&amp;"'!B:R"),15,FALSE),"")</f>
        <v/>
      </c>
      <c r="FK37" s="96">
        <f>IFERROR(VLOOKUP($B37,INDIRECT("'GRD-"&amp;FK$11&amp;"'!B:R"),15,FALSE),"")</f>
        <v/>
      </c>
      <c r="FL37" s="96">
        <f>IFERROR(VLOOKUP($B37,INDIRECT("'GRD-"&amp;FL$11&amp;"'!B:R"),15,FALSE),"")</f>
        <v/>
      </c>
      <c r="FM37" s="96">
        <f>IFERROR(VLOOKUP($B37,INDIRECT("'GRD-"&amp;FM$11&amp;"'!B:R"),15,FALSE),"")</f>
        <v/>
      </c>
      <c r="FN37" s="96">
        <f>IFERROR(VLOOKUP($B37,INDIRECT("'GRD-"&amp;FN$11&amp;"'!B:R"),15,FALSE),"")</f>
        <v/>
      </c>
      <c r="FO37" s="96">
        <f>IFERROR(VLOOKUP($B37,INDIRECT("'GRD-"&amp;FO$11&amp;"'!B:R"),15,FALSE),"")</f>
        <v/>
      </c>
      <c r="FP37" s="96">
        <f>IFERROR(VLOOKUP($B37,INDIRECT("'GRD-"&amp;FP$11&amp;"'!B:R"),15,FALSE),"")</f>
        <v/>
      </c>
      <c r="FQ37" s="96">
        <f>IFERROR(VLOOKUP($B37,INDIRECT("'GRD-"&amp;FQ$11&amp;"'!B:R"),15,FALSE),"")</f>
        <v/>
      </c>
      <c r="FR37" s="96">
        <f>IFERROR(VLOOKUP($B37,INDIRECT("'GRD-"&amp;FR$11&amp;"'!B:R"),15,FALSE),"")</f>
        <v/>
      </c>
      <c r="FS37" s="96">
        <f>IFERROR(VLOOKUP($B37,INDIRECT("'GRD-"&amp;FS$11&amp;"'!B:R"),15,FALSE),"")</f>
        <v/>
      </c>
      <c r="FT37" s="96">
        <f>IFERROR(VLOOKUP($B37,INDIRECT("'GRD-"&amp;FT$11&amp;"'!B:R"),15,FALSE),"")</f>
        <v/>
      </c>
      <c r="FU37" s="96">
        <f>IFERROR(VLOOKUP($B37,INDIRECT("'GRD-"&amp;FU$11&amp;"'!B:R"),15,FALSE),"")</f>
        <v/>
      </c>
      <c r="FV37" s="96">
        <f>IFERROR(VLOOKUP($B37,INDIRECT("'GRD-"&amp;FV$11&amp;"'!B:R"),15,FALSE),"")</f>
        <v/>
      </c>
    </row>
    <row r="38">
      <c r="B38" s="68" t="n"/>
      <c r="C38" s="72" t="n"/>
      <c r="D38" s="73">
        <f>IF(K38="","",MAX($CA38:$FV38))</f>
        <v/>
      </c>
      <c r="E38" s="74">
        <f t="array" ref="E38">IF($K38="","",OFFSET($A$1,ROW($B38)-1,11+$D38*4,))</f>
        <v/>
      </c>
      <c r="F38" s="74">
        <f t="array" ref="F38">IF($K38="","",OFFSET($A$1,ROW($B38)-1,12+$D38*4,))</f>
        <v/>
      </c>
      <c r="G38" s="118">
        <f t="array" ref="G38">IF($K38="","",OFFSET($A$1,ROW($B38)-1,13+$D38*4,))</f>
        <v/>
      </c>
      <c r="H38" s="81" t="n"/>
      <c r="I38" s="82" t="n"/>
      <c r="J38" s="75">
        <f>IF(I38="A4",H38/8,IF(I38="A3",H38/4,IF(I38="A2",H38/2,IF(I38="A1",H38/1,IF(I38="A0",H38*2,"")))))</f>
        <v/>
      </c>
      <c r="K38" s="68">
        <f t="array" ref="K38">IFERROR(OFFSET($BZ$11,ROW($B38)-11,MATCH(K$10,$CA38:$FV38,0),),"")</f>
        <v/>
      </c>
      <c r="L38" s="85">
        <f>IF(K38="","",IF(VLOOKUP($B38,INDIRECT("'GRD-"&amp;M38&amp;"'!$B:$R"),16,FALSE)="","",VLOOKUP($B38,INDIRECT("'GRD-"&amp;M38&amp;"'!$B:$R"),16,FALSE)))</f>
        <v/>
      </c>
      <c r="M38" s="130">
        <f t="array" ref="M38">IF(K38="","",IFERROR(OFFSET($BZ$11,0,MATCH($K38,$CA38:$FV38,0),),""))</f>
        <v/>
      </c>
      <c r="N38" s="119">
        <f t="array" ref="N38">IF(K38="","",INDIRECT("'GRD-"&amp;M38&amp;"'!$L$7"))</f>
        <v/>
      </c>
      <c r="O38" s="76">
        <f t="array" ref="O38">IFERROR(OFFSET($BZ$11,ROW($B38)-11,MATCH(O$10,$CA38:$FV38,0),),"")</f>
        <v/>
      </c>
      <c r="P38" s="76">
        <f>IF(O38="","",IF(VLOOKUP($B38,INDIRECT("'GRD-"&amp;Q38&amp;"'!$B:$R"),16,FALSE)="","",VLOOKUP($B38,INDIRECT("'GRD-"&amp;Q38&amp;"'!$B:$R"),16,FALSE)))</f>
        <v/>
      </c>
      <c r="Q38" s="132">
        <f t="array" ref="Q38">IF(O38="","",IFERROR(OFFSET($BZ$11,0,MATCH($O38,$CA38:$FV38,0),),""))</f>
        <v/>
      </c>
      <c r="R38" s="121">
        <f t="array" ref="R38">IF(O38="","",INDIRECT("'GRD-"&amp;Q38&amp;"'!$L$7"))</f>
        <v/>
      </c>
      <c r="S38" s="83">
        <f t="array" ref="S38">IFERROR(OFFSET($BZ$11,ROW($B38)-11,MATCH(S$10,$CA38:$FV38,0),),"")</f>
        <v/>
      </c>
      <c r="T38" s="83">
        <f>IF(S38="","",IF(VLOOKUP($B38,INDIRECT("'GRD-"&amp;U38&amp;"'!$B:$R"),16,FALSE)="","",VLOOKUP($B38,INDIRECT("'GRD-"&amp;U38&amp;"'!$B:$R"),16,FALSE)))</f>
        <v/>
      </c>
      <c r="U38" s="128">
        <f t="array" ref="U38">IF(S38="","",IFERROR(OFFSET($BZ$11,0,MATCH($S38,$CA38:$FV38,0),),""))</f>
        <v/>
      </c>
      <c r="V38" s="133">
        <f t="array" ref="V38">IF(S38="","",INDIRECT("'GRD-"&amp;U38&amp;"'!$L$7"))</f>
        <v/>
      </c>
      <c r="W38" s="84">
        <f t="array" ref="W38">IFERROR(OFFSET($BZ$11,ROW($B38)-11,MATCH(W$10,$CA38:$FV38,0),),"")</f>
        <v/>
      </c>
      <c r="X38" s="84">
        <f>IF(W38="","",IF(VLOOKUP($B38,INDIRECT("'GRD-"&amp;Y38&amp;"'!$B:$R"),16,FALSE)="","",VLOOKUP($B38,INDIRECT("'GRD-"&amp;Y38&amp;"'!$B:$R"),16,FALSE)))</f>
        <v/>
      </c>
      <c r="Y38" s="129">
        <f t="array" ref="Y38">IF(W38="","",IFERROR(OFFSET($BZ$11,0,MATCH($W38,$CA38:$FV38,0),),""))</f>
        <v/>
      </c>
      <c r="Z38" s="134">
        <f t="array" ref="Z38">IF(W38="","",INDIRECT("'GRD-"&amp;Y38&amp;"'!$L$7"))</f>
        <v/>
      </c>
      <c r="AA38" s="85">
        <f t="array" ref="AA38">IFERROR(OFFSET($BZ$11,ROW($B38)-11,MATCH(AA$10,$CA38:$FV38,0),),"")</f>
        <v/>
      </c>
      <c r="AB38" s="85">
        <f>IF(AA38="","",IF(VLOOKUP($B38,INDIRECT("'GRD-"&amp;AC38&amp;"'!$B:$R"),16,FALSE)="","",VLOOKUP($B38,INDIRECT("'GRD-"&amp;AC38&amp;"'!$B:$R"),16,FALSE)))</f>
        <v/>
      </c>
      <c r="AC38" s="130">
        <f t="array" ref="AC38">IF(AA38="","",IFERROR(OFFSET($BZ$11,0,MATCH($AA38,$CA38:$FV38,0),),""))</f>
        <v/>
      </c>
      <c r="AD38" s="131">
        <f t="array" ref="AD38">IF(AA38="","",INDIRECT("'GRD-"&amp;AC38&amp;"'!$L$7"))</f>
        <v/>
      </c>
      <c r="AE38" s="76">
        <f t="array" ref="AE38">IFERROR(OFFSET($BZ$11,ROW($B38)-11,MATCH(AE$10,$CA38:$FV38,0),),"")</f>
        <v/>
      </c>
      <c r="AF38" s="76">
        <f>IF(AE38="","",IF(VLOOKUP($B38,INDIRECT("'GRD-"&amp;AG38&amp;"'!$B:$R"),16,FALSE)="","",VLOOKUP($B38,INDIRECT("'GRD-"&amp;AG38&amp;"'!$B:$R"),16,FALSE)))</f>
        <v/>
      </c>
      <c r="AG38" s="132">
        <f t="array" ref="AG38">IF(AE38="","",IFERROR(OFFSET($BZ$11,0,MATCH($AE38,$CA38:$FV38,0),),""))</f>
        <v/>
      </c>
      <c r="AH38" s="121">
        <f t="array" ref="AH38">IF(AE38="","",INDIRECT("'GRD-"&amp;AG38&amp;"'!$L$7"))</f>
        <v/>
      </c>
      <c r="AI38" s="83">
        <f t="array" ref="AI38">IFERROR(OFFSET($BZ$11,ROW($B38)-11,MATCH(AI$10,$CA38:$FV38,0),),"")</f>
        <v/>
      </c>
      <c r="AJ38" s="83">
        <f>IF(AI38="","",IF(VLOOKUP($B38,INDIRECT("'GRD-"&amp;AK38&amp;"'!$B:$R"),16,FALSE)="","",VLOOKUP($B38,INDIRECT("'GRD-"&amp;AK38&amp;"'!$B:$R"),16,FALSE)))</f>
        <v/>
      </c>
      <c r="AK38" s="128">
        <f t="array" ref="AK38">IF(AI38="","",IFERROR(OFFSET($BZ$11,0,MATCH($AI38,$CA38:$FV38,0),),""))</f>
        <v/>
      </c>
      <c r="AL38" s="133">
        <f t="array" ref="AL38">IF(AI38="","",INDIRECT("'GRD-"&amp;AK38&amp;"'!$L$7"))</f>
        <v/>
      </c>
      <c r="AM38" s="84">
        <f t="array" ref="AM38">IFERROR(OFFSET($BZ$11,ROW($B38)-11,MATCH(AM$10,$CA38:$FV38,0),),"")</f>
        <v/>
      </c>
      <c r="AN38" s="84">
        <f>IF(AM38="","",IF(VLOOKUP($B38,INDIRECT("'GRD-"&amp;AO38&amp;"'!$B:$R"),16,FALSE)="","",VLOOKUP($B38,INDIRECT("'GRD-"&amp;AO38&amp;"'!$B:$R"),16,FALSE)))</f>
        <v/>
      </c>
      <c r="AO38" s="129">
        <f t="array" ref="AO38">IF(AM38="","",IFERROR(OFFSET($BZ$11,0,MATCH($AM38,$CA38:$FV38,0),),""))</f>
        <v/>
      </c>
      <c r="AP38" s="134">
        <f t="array" ref="AP38">IF(AM38="","",INDIRECT("'GRD-"&amp;AO38&amp;"'!$L$7"))</f>
        <v/>
      </c>
      <c r="AQ38" s="85">
        <f t="array" ref="AQ38">IFERROR(OFFSET($BZ$11,ROW($B38)-11,MATCH(AQ$10,$CA38:$FV38,0),),"")</f>
        <v/>
      </c>
      <c r="AR38" s="85">
        <f>IF(AQ38="","",IF(VLOOKUP($B38,INDIRECT("'GRD-"&amp;AS38&amp;"'!$B:$R"),16,FALSE)="","",VLOOKUP($B38,INDIRECT("'GRD-"&amp;AS38&amp;"'!$B:$R"),16,FALSE)))</f>
        <v/>
      </c>
      <c r="AS38" s="130">
        <f t="array" ref="AS38">IF(AQ38="","",IFERROR(OFFSET($BZ$11,0,MATCH($AQ38,$CA38:$FV38,0),),""))</f>
        <v/>
      </c>
      <c r="AT38" s="131">
        <f t="array" ref="AT38">IF(AQ38="","",INDIRECT("'GRD-"&amp;AS38&amp;"'!$L$7"))</f>
        <v/>
      </c>
      <c r="AU38" s="76">
        <f t="array" ref="AU38">IFERROR(OFFSET($BZ$11,ROW($B38)-11,MATCH(AU$10,$CA38:$FV38,0),),"")</f>
        <v/>
      </c>
      <c r="AV38" s="76">
        <f>IF(AU38="","",IF(VLOOKUP($B38,INDIRECT("'GRD-"&amp;AW38&amp;"'!$B:$R"),16,FALSE)="","",VLOOKUP($B38,INDIRECT("'GRD-"&amp;AW38&amp;"'!$B:$R"),16,FALSE)))</f>
        <v/>
      </c>
      <c r="AW38" s="132">
        <f t="array" ref="AW38">IF(AU38="","",IFERROR(OFFSET($BZ$11,0,MATCH($AU38,$CA38:$FV38,0),),""))</f>
        <v/>
      </c>
      <c r="AX38" s="121">
        <f t="array" ref="AX38">IF(AU38="","",INDIRECT("'GRD-"&amp;AW38&amp;"'!$L$7"))</f>
        <v/>
      </c>
      <c r="AY38" s="83">
        <f t="array" ref="AY38">IFERROR(OFFSET($BZ$11,ROW($B38)-11,MATCH(AY$10,$CA38:$FV38,0),),"")</f>
        <v/>
      </c>
      <c r="AZ38" s="83">
        <f>IF(AY38="","",IF(VLOOKUP($B38,INDIRECT("'GRD-"&amp;BA38&amp;"'!$B:$R"),16,FALSE)="","",VLOOKUP($B38,INDIRECT("'GRD-"&amp;BA38&amp;"'!$B:$R"),16,FALSE)))</f>
        <v/>
      </c>
      <c r="BA38" s="128">
        <f t="array" ref="BA38">IF(AY38="","",IFERROR(OFFSET($BZ$11,0,MATCH($AY38,$CA38:$FV38,0),),""))</f>
        <v/>
      </c>
      <c r="BB38" s="133">
        <f t="array" ref="BB38">IF(AY38="","",INDIRECT("'GRD-"&amp;BA38&amp;"'!$L$7"))</f>
        <v/>
      </c>
      <c r="BC38" s="84">
        <f t="array" ref="BC38">IFERROR(OFFSET($BZ$11,ROW($B38)-11,MATCH(BC$10,$CA38:$FV38,0),),"")</f>
        <v/>
      </c>
      <c r="BD38" s="84">
        <f>IF(BC38="","",IF(VLOOKUP($B38,INDIRECT("'GRD-"&amp;BE38&amp;"'!$B:$R"),16,FALSE)="","",VLOOKUP($B38,INDIRECT("'GRD-"&amp;BE38&amp;"'!$B:$R"),16,FALSE)))</f>
        <v/>
      </c>
      <c r="BE38" s="129">
        <f t="array" ref="BE38">IF(BC38="","",IFERROR(OFFSET($BZ$11,0,MATCH($BC38,$CA38:$FV38,0),),""))</f>
        <v/>
      </c>
      <c r="BF38" s="134">
        <f t="array" ref="BF38">IF(BC38="","",INDIRECT("'GRD-"&amp;BE38&amp;"'!$L$7"))</f>
        <v/>
      </c>
      <c r="CA38" s="96">
        <f>IFERROR(VLOOKUP($B38,INDIRECT("'GRD-"&amp;CA$11&amp;"'!B:R"),15,FALSE),"")</f>
        <v/>
      </c>
      <c r="CB38" s="96">
        <f>IFERROR(VLOOKUP($B38,INDIRECT("'GRD-"&amp;CB$11&amp;"'!B:R"),15,FALSE),"")</f>
        <v/>
      </c>
      <c r="CC38" s="96">
        <f>IFERROR(VLOOKUP($B38,INDIRECT("'GRD-"&amp;CC$11&amp;"'!B:R"),15,FALSE),"")</f>
        <v/>
      </c>
      <c r="CD38" s="96">
        <f>IFERROR(VLOOKUP($B38,INDIRECT("'GRD-"&amp;CD$11&amp;"'!B:R"),15,FALSE),"")</f>
        <v/>
      </c>
      <c r="CE38" s="96">
        <f>IFERROR(VLOOKUP($B38,INDIRECT("'GRD-"&amp;CE$11&amp;"'!B:R"),15,FALSE),"")</f>
        <v/>
      </c>
      <c r="CF38" s="96">
        <f>IFERROR(VLOOKUP($B38,INDIRECT("'GRD-"&amp;CF$11&amp;"'!B:R"),15,FALSE),"")</f>
        <v/>
      </c>
      <c r="CG38" s="96">
        <f>IFERROR(VLOOKUP($B38,INDIRECT("'GRD-"&amp;CG$11&amp;"'!B:R"),15,FALSE),"")</f>
        <v/>
      </c>
      <c r="CH38" s="96">
        <f>IFERROR(VLOOKUP($B38,INDIRECT("'GRD-"&amp;CH$11&amp;"'!B:R"),15,FALSE),"")</f>
        <v/>
      </c>
      <c r="CI38" s="96">
        <f>IFERROR(VLOOKUP($B38,INDIRECT("'GRD-"&amp;CI$11&amp;"'!B:R"),15,FALSE),"")</f>
        <v/>
      </c>
      <c r="CJ38" s="96">
        <f>IFERROR(VLOOKUP($B38,INDIRECT("'GRD-"&amp;CJ$11&amp;"'!B:R"),15,FALSE),"")</f>
        <v/>
      </c>
      <c r="CK38" s="96">
        <f>IFERROR(VLOOKUP($B38,INDIRECT("'GRD-"&amp;CK$11&amp;"'!B:R"),15,FALSE),"")</f>
        <v/>
      </c>
      <c r="CL38" s="96">
        <f>IFERROR(VLOOKUP($B38,INDIRECT("'GRD-"&amp;CL$11&amp;"'!B:R"),15,FALSE),"")</f>
        <v/>
      </c>
      <c r="CM38" s="96">
        <f>IFERROR(VLOOKUP($B38,INDIRECT("'GRD-"&amp;CM$11&amp;"'!B:R"),15,FALSE),"")</f>
        <v/>
      </c>
      <c r="CN38" s="96">
        <f>IFERROR(VLOOKUP($B38,INDIRECT("'GRD-"&amp;CN$11&amp;"'!B:R"),15,FALSE),"")</f>
        <v/>
      </c>
      <c r="CO38" s="96">
        <f>IFERROR(VLOOKUP($B38,INDIRECT("'GRD-"&amp;CO$11&amp;"'!B:R"),15,FALSE),"")</f>
        <v/>
      </c>
      <c r="CP38" s="96">
        <f>IFERROR(VLOOKUP($B38,INDIRECT("'GRD-"&amp;CP$11&amp;"'!B:R"),15,FALSE),"")</f>
        <v/>
      </c>
      <c r="CQ38" s="96">
        <f>IFERROR(VLOOKUP($B38,INDIRECT("'GRD-"&amp;CQ$11&amp;"'!B:R"),15,FALSE),"")</f>
        <v/>
      </c>
      <c r="CR38" s="96">
        <f>IFERROR(VLOOKUP($B38,INDIRECT("'GRD-"&amp;CR$11&amp;"'!B:R"),15,FALSE),"")</f>
        <v/>
      </c>
      <c r="CS38" s="96">
        <f>IFERROR(VLOOKUP($B38,INDIRECT("'GRD-"&amp;CS$11&amp;"'!B:R"),15,FALSE),"")</f>
        <v/>
      </c>
      <c r="CT38" s="96">
        <f>IFERROR(VLOOKUP($B38,INDIRECT("'GRD-"&amp;CT$11&amp;"'!B:R"),15,FALSE),"")</f>
        <v/>
      </c>
      <c r="CU38" s="96">
        <f>IFERROR(VLOOKUP($B38,INDIRECT("'GRD-"&amp;CU$11&amp;"'!B:R"),15,FALSE),"")</f>
        <v/>
      </c>
      <c r="CV38" s="96">
        <f>IFERROR(VLOOKUP($B38,INDIRECT("'GRD-"&amp;CV$11&amp;"'!B:R"),15,FALSE),"")</f>
        <v/>
      </c>
      <c r="CW38" s="96">
        <f>IFERROR(VLOOKUP($B38,INDIRECT("'GRD-"&amp;CW$11&amp;"'!B:R"),15,FALSE),"")</f>
        <v/>
      </c>
      <c r="CX38" s="96">
        <f>IFERROR(VLOOKUP($B38,INDIRECT("'GRD-"&amp;CX$11&amp;"'!B:R"),15,FALSE),"")</f>
        <v/>
      </c>
      <c r="CY38" s="96">
        <f>IFERROR(VLOOKUP($B38,INDIRECT("'GRD-"&amp;CY$11&amp;"'!B:R"),15,FALSE),"")</f>
        <v/>
      </c>
      <c r="CZ38" s="96">
        <f>IFERROR(VLOOKUP($B38,INDIRECT("'GRD-"&amp;CZ$11&amp;"'!B:R"),15,FALSE),"")</f>
        <v/>
      </c>
      <c r="DA38" s="96">
        <f>IFERROR(VLOOKUP($B38,INDIRECT("'GRD-"&amp;DA$11&amp;"'!B:R"),15,FALSE),"")</f>
        <v/>
      </c>
      <c r="DB38" s="96">
        <f>IFERROR(VLOOKUP($B38,INDIRECT("'GRD-"&amp;DB$11&amp;"'!B:R"),15,FALSE),"")</f>
        <v/>
      </c>
      <c r="DC38" s="96">
        <f>IFERROR(VLOOKUP($B38,INDIRECT("'GRD-"&amp;DC$11&amp;"'!B:R"),15,FALSE),"")</f>
        <v/>
      </c>
      <c r="DD38" s="96">
        <f>IFERROR(VLOOKUP($B38,INDIRECT("'GRD-"&amp;DD$11&amp;"'!B:R"),15,FALSE),"")</f>
        <v/>
      </c>
      <c r="DE38" s="96">
        <f>IFERROR(VLOOKUP($B38,INDIRECT("'GRD-"&amp;DE$11&amp;"'!B:R"),15,FALSE),"")</f>
        <v/>
      </c>
      <c r="DF38" s="96">
        <f>IFERROR(VLOOKUP($B38,INDIRECT("'GRD-"&amp;DF$11&amp;"'!B:R"),15,FALSE),"")</f>
        <v/>
      </c>
      <c r="DG38" s="96">
        <f>IFERROR(VLOOKUP($B38,INDIRECT("'GRD-"&amp;DG$11&amp;"'!B:R"),15,FALSE),"")</f>
        <v/>
      </c>
      <c r="DH38" s="96">
        <f>IFERROR(VLOOKUP($B38,INDIRECT("'GRD-"&amp;DH$11&amp;"'!B:R"),15,FALSE),"")</f>
        <v/>
      </c>
      <c r="DI38" s="96">
        <f>IFERROR(VLOOKUP($B38,INDIRECT("'GRD-"&amp;DI$11&amp;"'!B:R"),15,FALSE),"")</f>
        <v/>
      </c>
      <c r="DJ38" s="96">
        <f>IFERROR(VLOOKUP($B38,INDIRECT("'GRD-"&amp;DJ$11&amp;"'!B:R"),15,FALSE),"")</f>
        <v/>
      </c>
      <c r="DK38" s="96">
        <f>IFERROR(VLOOKUP($B38,INDIRECT("'GRD-"&amp;DK$11&amp;"'!B:R"),15,FALSE),"")</f>
        <v/>
      </c>
      <c r="DL38" s="96">
        <f>IFERROR(VLOOKUP($B38,INDIRECT("'GRD-"&amp;DL$11&amp;"'!B:R"),15,FALSE),"")</f>
        <v/>
      </c>
      <c r="DM38" s="96">
        <f>IFERROR(VLOOKUP($B38,INDIRECT("'GRD-"&amp;DM$11&amp;"'!B:R"),15,FALSE),"")</f>
        <v/>
      </c>
      <c r="DN38" s="96">
        <f>IFERROR(VLOOKUP($B38,INDIRECT("'GRD-"&amp;DN$11&amp;"'!B:R"),15,FALSE),"")</f>
        <v/>
      </c>
      <c r="DO38" s="96">
        <f>IFERROR(VLOOKUP($B38,INDIRECT("'GRD-"&amp;DO$11&amp;"'!B:R"),15,FALSE),"")</f>
        <v/>
      </c>
      <c r="DP38" s="96">
        <f>IFERROR(VLOOKUP($B38,INDIRECT("'GRD-"&amp;DP$11&amp;"'!B:R"),15,FALSE),"")</f>
        <v/>
      </c>
      <c r="DQ38" s="96">
        <f>IFERROR(VLOOKUP($B38,INDIRECT("'GRD-"&amp;DQ$11&amp;"'!B:R"),15,FALSE),"")</f>
        <v/>
      </c>
      <c r="DR38" s="96">
        <f>IFERROR(VLOOKUP($B38,INDIRECT("'GRD-"&amp;DR$11&amp;"'!B:R"),15,FALSE),"")</f>
        <v/>
      </c>
      <c r="DS38" s="96">
        <f>IFERROR(VLOOKUP($B38,INDIRECT("'GRD-"&amp;DS$11&amp;"'!B:R"),15,FALSE),"")</f>
        <v/>
      </c>
      <c r="DT38" s="96">
        <f>IFERROR(VLOOKUP($B38,INDIRECT("'GRD-"&amp;DT$11&amp;"'!B:R"),15,FALSE),"")</f>
        <v/>
      </c>
      <c r="DU38" s="96">
        <f>IFERROR(VLOOKUP($B38,INDIRECT("'GRD-"&amp;DU$11&amp;"'!B:R"),15,FALSE),"")</f>
        <v/>
      </c>
      <c r="DV38" s="96">
        <f>IFERROR(VLOOKUP($B38,INDIRECT("'GRD-"&amp;DV$11&amp;"'!B:R"),15,FALSE),"")</f>
        <v/>
      </c>
      <c r="DW38" s="96">
        <f>IFERROR(VLOOKUP($B38,INDIRECT("'GRD-"&amp;DW$11&amp;"'!B:R"),15,FALSE),"")</f>
        <v/>
      </c>
      <c r="DX38" s="96">
        <f>IFERROR(VLOOKUP($B38,INDIRECT("'GRD-"&amp;DX$11&amp;"'!B:R"),15,FALSE),"")</f>
        <v/>
      </c>
      <c r="DY38" s="96">
        <f>IFERROR(VLOOKUP($B38,INDIRECT("'GRD-"&amp;DY$11&amp;"'!B:R"),15,FALSE),"")</f>
        <v/>
      </c>
      <c r="DZ38" s="96">
        <f>IFERROR(VLOOKUP($B38,INDIRECT("'GRD-"&amp;DZ$11&amp;"'!B:R"),15,FALSE),"")</f>
        <v/>
      </c>
      <c r="EA38" s="96">
        <f>IFERROR(VLOOKUP($B38,INDIRECT("'GRD-"&amp;EA$11&amp;"'!B:R"),15,FALSE),"")</f>
        <v/>
      </c>
      <c r="EB38" s="96">
        <f>IFERROR(VLOOKUP($B38,INDIRECT("'GRD-"&amp;EB$11&amp;"'!B:R"),15,FALSE),"")</f>
        <v/>
      </c>
      <c r="EC38" s="96">
        <f>IFERROR(VLOOKUP($B38,INDIRECT("'GRD-"&amp;EC$11&amp;"'!B:R"),15,FALSE),"")</f>
        <v/>
      </c>
      <c r="ED38" s="96">
        <f>IFERROR(VLOOKUP($B38,INDIRECT("'GRD-"&amp;ED$11&amp;"'!B:R"),15,FALSE),"")</f>
        <v/>
      </c>
      <c r="EE38" s="96">
        <f>IFERROR(VLOOKUP($B38,INDIRECT("'GRD-"&amp;EE$11&amp;"'!B:R"),15,FALSE),"")</f>
        <v/>
      </c>
      <c r="EF38" s="96">
        <f>IFERROR(VLOOKUP($B38,INDIRECT("'GRD-"&amp;EF$11&amp;"'!B:R"),15,FALSE),"")</f>
        <v/>
      </c>
      <c r="EG38" s="96">
        <f>IFERROR(VLOOKUP($B38,INDIRECT("'GRD-"&amp;EG$11&amp;"'!B:R"),15,FALSE),"")</f>
        <v/>
      </c>
      <c r="EH38" s="96">
        <f>IFERROR(VLOOKUP($B38,INDIRECT("'GRD-"&amp;EH$11&amp;"'!B:R"),15,FALSE),"")</f>
        <v/>
      </c>
      <c r="EI38" s="96">
        <f>IFERROR(VLOOKUP($B38,INDIRECT("'GRD-"&amp;EI$11&amp;"'!B:R"),15,FALSE),"")</f>
        <v/>
      </c>
      <c r="EJ38" s="96">
        <f>IFERROR(VLOOKUP($B38,INDIRECT("'GRD-"&amp;EJ$11&amp;"'!B:R"),15,FALSE),"")</f>
        <v/>
      </c>
      <c r="EK38" s="96">
        <f>IFERROR(VLOOKUP($B38,INDIRECT("'GRD-"&amp;EK$11&amp;"'!B:R"),15,FALSE),"")</f>
        <v/>
      </c>
      <c r="EL38" s="96">
        <f>IFERROR(VLOOKUP($B38,INDIRECT("'GRD-"&amp;EL$11&amp;"'!B:R"),15,FALSE),"")</f>
        <v/>
      </c>
      <c r="EM38" s="96">
        <f>IFERROR(VLOOKUP($B38,INDIRECT("'GRD-"&amp;EM$11&amp;"'!B:R"),15,FALSE),"")</f>
        <v/>
      </c>
      <c r="EN38" s="96">
        <f>IFERROR(VLOOKUP($B38,INDIRECT("'GRD-"&amp;EN$11&amp;"'!B:R"),15,FALSE),"")</f>
        <v/>
      </c>
      <c r="EO38" s="96">
        <f>IFERROR(VLOOKUP($B38,INDIRECT("'GRD-"&amp;EO$11&amp;"'!B:R"),15,FALSE),"")</f>
        <v/>
      </c>
      <c r="EP38" s="96">
        <f>IFERROR(VLOOKUP($B38,INDIRECT("'GRD-"&amp;EP$11&amp;"'!B:R"),15,FALSE),"")</f>
        <v/>
      </c>
      <c r="EQ38" s="96">
        <f>IFERROR(VLOOKUP($B38,INDIRECT("'GRD-"&amp;EQ$11&amp;"'!B:R"),15,FALSE),"")</f>
        <v/>
      </c>
      <c r="ER38" s="96">
        <f>IFERROR(VLOOKUP($B38,INDIRECT("'GRD-"&amp;ER$11&amp;"'!B:R"),15,FALSE),"")</f>
        <v/>
      </c>
      <c r="ES38" s="96">
        <f>IFERROR(VLOOKUP($B38,INDIRECT("'GRD-"&amp;ES$11&amp;"'!B:R"),15,FALSE),"")</f>
        <v/>
      </c>
      <c r="ET38" s="96">
        <f>IFERROR(VLOOKUP($B38,INDIRECT("'GRD-"&amp;ET$11&amp;"'!B:R"),15,FALSE),"")</f>
        <v/>
      </c>
      <c r="EU38" s="96">
        <f>IFERROR(VLOOKUP($B38,INDIRECT("'GRD-"&amp;EU$11&amp;"'!B:R"),15,FALSE),"")</f>
        <v/>
      </c>
      <c r="EV38" s="96">
        <f>IFERROR(VLOOKUP($B38,INDIRECT("'GRD-"&amp;EV$11&amp;"'!B:R"),15,FALSE),"")</f>
        <v/>
      </c>
      <c r="EW38" s="96">
        <f>IFERROR(VLOOKUP($B38,INDIRECT("'GRD-"&amp;EW$11&amp;"'!B:R"),15,FALSE),"")</f>
        <v/>
      </c>
      <c r="EX38" s="96">
        <f>IFERROR(VLOOKUP($B38,INDIRECT("'GRD-"&amp;EX$11&amp;"'!B:R"),15,FALSE),"")</f>
        <v/>
      </c>
      <c r="EY38" s="96">
        <f>IFERROR(VLOOKUP($B38,INDIRECT("'GRD-"&amp;EY$11&amp;"'!B:R"),15,FALSE),"")</f>
        <v/>
      </c>
      <c r="EZ38" s="96">
        <f>IFERROR(VLOOKUP($B38,INDIRECT("'GRD-"&amp;EZ$11&amp;"'!B:R"),15,FALSE),"")</f>
        <v/>
      </c>
      <c r="FA38" s="96">
        <f>IFERROR(VLOOKUP($B38,INDIRECT("'GRD-"&amp;FA$11&amp;"'!B:R"),15,FALSE),"")</f>
        <v/>
      </c>
      <c r="FB38" s="96">
        <f>IFERROR(VLOOKUP($B38,INDIRECT("'GRD-"&amp;FB$11&amp;"'!B:R"),15,FALSE),"")</f>
        <v/>
      </c>
      <c r="FC38" s="96">
        <f>IFERROR(VLOOKUP($B38,INDIRECT("'GRD-"&amp;FC$11&amp;"'!B:R"),15,FALSE),"")</f>
        <v/>
      </c>
      <c r="FD38" s="96">
        <f>IFERROR(VLOOKUP($B38,INDIRECT("'GRD-"&amp;FD$11&amp;"'!B:R"),15,FALSE),"")</f>
        <v/>
      </c>
      <c r="FE38" s="96">
        <f>IFERROR(VLOOKUP($B38,INDIRECT("'GRD-"&amp;FE$11&amp;"'!B:R"),15,FALSE),"")</f>
        <v/>
      </c>
      <c r="FF38" s="96">
        <f>IFERROR(VLOOKUP($B38,INDIRECT("'GRD-"&amp;FF$11&amp;"'!B:R"),15,FALSE),"")</f>
        <v/>
      </c>
      <c r="FG38" s="96">
        <f>IFERROR(VLOOKUP($B38,INDIRECT("'GRD-"&amp;FG$11&amp;"'!B:R"),15,FALSE),"")</f>
        <v/>
      </c>
      <c r="FH38" s="96">
        <f>IFERROR(VLOOKUP($B38,INDIRECT("'GRD-"&amp;FH$11&amp;"'!B:R"),15,FALSE),"")</f>
        <v/>
      </c>
      <c r="FI38" s="96">
        <f>IFERROR(VLOOKUP($B38,INDIRECT("'GRD-"&amp;FI$11&amp;"'!B:R"),15,FALSE),"")</f>
        <v/>
      </c>
      <c r="FJ38" s="96">
        <f>IFERROR(VLOOKUP($B38,INDIRECT("'GRD-"&amp;FJ$11&amp;"'!B:R"),15,FALSE),"")</f>
        <v/>
      </c>
      <c r="FK38" s="96">
        <f>IFERROR(VLOOKUP($B38,INDIRECT("'GRD-"&amp;FK$11&amp;"'!B:R"),15,FALSE),"")</f>
        <v/>
      </c>
      <c r="FL38" s="96">
        <f>IFERROR(VLOOKUP($B38,INDIRECT("'GRD-"&amp;FL$11&amp;"'!B:R"),15,FALSE),"")</f>
        <v/>
      </c>
      <c r="FM38" s="96">
        <f>IFERROR(VLOOKUP($B38,INDIRECT("'GRD-"&amp;FM$11&amp;"'!B:R"),15,FALSE),"")</f>
        <v/>
      </c>
      <c r="FN38" s="96">
        <f>IFERROR(VLOOKUP($B38,INDIRECT("'GRD-"&amp;FN$11&amp;"'!B:R"),15,FALSE),"")</f>
        <v/>
      </c>
      <c r="FO38" s="96">
        <f>IFERROR(VLOOKUP($B38,INDIRECT("'GRD-"&amp;FO$11&amp;"'!B:R"),15,FALSE),"")</f>
        <v/>
      </c>
      <c r="FP38" s="96">
        <f>IFERROR(VLOOKUP($B38,INDIRECT("'GRD-"&amp;FP$11&amp;"'!B:R"),15,FALSE),"")</f>
        <v/>
      </c>
      <c r="FQ38" s="96">
        <f>IFERROR(VLOOKUP($B38,INDIRECT("'GRD-"&amp;FQ$11&amp;"'!B:R"),15,FALSE),"")</f>
        <v/>
      </c>
      <c r="FR38" s="96">
        <f>IFERROR(VLOOKUP($B38,INDIRECT("'GRD-"&amp;FR$11&amp;"'!B:R"),15,FALSE),"")</f>
        <v/>
      </c>
      <c r="FS38" s="96">
        <f>IFERROR(VLOOKUP($B38,INDIRECT("'GRD-"&amp;FS$11&amp;"'!B:R"),15,FALSE),"")</f>
        <v/>
      </c>
      <c r="FT38" s="96">
        <f>IFERROR(VLOOKUP($B38,INDIRECT("'GRD-"&amp;FT$11&amp;"'!B:R"),15,FALSE),"")</f>
        <v/>
      </c>
      <c r="FU38" s="96">
        <f>IFERROR(VLOOKUP($B38,INDIRECT("'GRD-"&amp;FU$11&amp;"'!B:R"),15,FALSE),"")</f>
        <v/>
      </c>
      <c r="FV38" s="96">
        <f>IFERROR(VLOOKUP($B38,INDIRECT("'GRD-"&amp;FV$11&amp;"'!B:R"),15,FALSE),"")</f>
        <v/>
      </c>
    </row>
    <row r="39">
      <c r="B39" s="68" t="n"/>
      <c r="C39" s="72" t="n"/>
      <c r="D39" s="73">
        <f>IF(K39="","",MAX($CA39:$FV39))</f>
        <v/>
      </c>
      <c r="E39" s="74">
        <f t="array" ref="E39">IF($K39="","",OFFSET($A$1,ROW($B39)-1,11+$D39*4,))</f>
        <v/>
      </c>
      <c r="F39" s="74">
        <f t="array" ref="F39">IF($K39="","",OFFSET($A$1,ROW($B39)-1,12+$D39*4,))</f>
        <v/>
      </c>
      <c r="G39" s="118">
        <f t="array" ref="G39">IF($K39="","",OFFSET($A$1,ROW($B39)-1,13+$D39*4,))</f>
        <v/>
      </c>
      <c r="H39" s="81" t="n"/>
      <c r="I39" s="82" t="n"/>
      <c r="J39" s="75">
        <f>IF(I39="A4",H39/8,IF(I39="A3",H39/4,IF(I39="A2",H39/2,IF(I39="A1",H39/1,IF(I39="A0",H39*2,"")))))</f>
        <v/>
      </c>
      <c r="K39" s="68">
        <f t="array" ref="K39">IFERROR(OFFSET($BZ$11,ROW($B39)-11,MATCH(K$10,$CA39:$FV39,0),),"")</f>
        <v/>
      </c>
      <c r="L39" s="85">
        <f>IF(K39="","",IF(VLOOKUP($B39,INDIRECT("'GRD-"&amp;M39&amp;"'!$B:$R"),16,FALSE)="","",VLOOKUP($B39,INDIRECT("'GRD-"&amp;M39&amp;"'!$B:$R"),16,FALSE)))</f>
        <v/>
      </c>
      <c r="M39" s="130">
        <f t="array" ref="M39">IF(K39="","",IFERROR(OFFSET($BZ$11,0,MATCH($K39,$CA39:$FV39,0),),""))</f>
        <v/>
      </c>
      <c r="N39" s="119">
        <f t="array" ref="N39">IF(K39="","",INDIRECT("'GRD-"&amp;M39&amp;"'!$L$7"))</f>
        <v/>
      </c>
      <c r="O39" s="76">
        <f t="array" ref="O39">IFERROR(OFFSET($BZ$11,ROW($B39)-11,MATCH(O$10,$CA39:$FV39,0),),"")</f>
        <v/>
      </c>
      <c r="P39" s="76">
        <f>IF(O39="","",IF(VLOOKUP($B39,INDIRECT("'GRD-"&amp;Q39&amp;"'!$B:$R"),16,FALSE)="","",VLOOKUP($B39,INDIRECT("'GRD-"&amp;Q39&amp;"'!$B:$R"),16,FALSE)))</f>
        <v/>
      </c>
      <c r="Q39" s="132">
        <f t="array" ref="Q39">IF(O39="","",IFERROR(OFFSET($BZ$11,0,MATCH($O39,$CA39:$FV39,0),),""))</f>
        <v/>
      </c>
      <c r="R39" s="121">
        <f t="array" ref="R39">IF(O39="","",INDIRECT("'GRD-"&amp;Q39&amp;"'!$L$7"))</f>
        <v/>
      </c>
      <c r="S39" s="83">
        <f t="array" ref="S39">IFERROR(OFFSET($BZ$11,ROW($B39)-11,MATCH(S$10,$CA39:$FV39,0),),"")</f>
        <v/>
      </c>
      <c r="T39" s="83">
        <f>IF(S39="","",IF(VLOOKUP($B39,INDIRECT("'GRD-"&amp;U39&amp;"'!$B:$R"),16,FALSE)="","",VLOOKUP($B39,INDIRECT("'GRD-"&amp;U39&amp;"'!$B:$R"),16,FALSE)))</f>
        <v/>
      </c>
      <c r="U39" s="128">
        <f t="array" ref="U39">IF(S39="","",IFERROR(OFFSET($BZ$11,0,MATCH($S39,$CA39:$FV39,0),),""))</f>
        <v/>
      </c>
      <c r="V39" s="133">
        <f t="array" ref="V39">IF(S39="","",INDIRECT("'GRD-"&amp;U39&amp;"'!$L$7"))</f>
        <v/>
      </c>
      <c r="W39" s="84">
        <f t="array" ref="W39">IFERROR(OFFSET($BZ$11,ROW($B39)-11,MATCH(W$10,$CA39:$FV39,0),),"")</f>
        <v/>
      </c>
      <c r="X39" s="84">
        <f>IF(W39="","",IF(VLOOKUP($B39,INDIRECT("'GRD-"&amp;Y39&amp;"'!$B:$R"),16,FALSE)="","",VLOOKUP($B39,INDIRECT("'GRD-"&amp;Y39&amp;"'!$B:$R"),16,FALSE)))</f>
        <v/>
      </c>
      <c r="Y39" s="129">
        <f t="array" ref="Y39">IF(W39="","",IFERROR(OFFSET($BZ$11,0,MATCH($W39,$CA39:$FV39,0),),""))</f>
        <v/>
      </c>
      <c r="Z39" s="134">
        <f t="array" ref="Z39">IF(W39="","",INDIRECT("'GRD-"&amp;Y39&amp;"'!$L$7"))</f>
        <v/>
      </c>
      <c r="AA39" s="85">
        <f t="array" ref="AA39">IFERROR(OFFSET($BZ$11,ROW($B39)-11,MATCH(AA$10,$CA39:$FV39,0),),"")</f>
        <v/>
      </c>
      <c r="AB39" s="85">
        <f>IF(AA39="","",IF(VLOOKUP($B39,INDIRECT("'GRD-"&amp;AC39&amp;"'!$B:$R"),16,FALSE)="","",VLOOKUP($B39,INDIRECT("'GRD-"&amp;AC39&amp;"'!$B:$R"),16,FALSE)))</f>
        <v/>
      </c>
      <c r="AC39" s="130">
        <f t="array" ref="AC39">IF(AA39="","",IFERROR(OFFSET($BZ$11,0,MATCH($AA39,$CA39:$FV39,0),),""))</f>
        <v/>
      </c>
      <c r="AD39" s="131">
        <f t="array" ref="AD39">IF(AA39="","",INDIRECT("'GRD-"&amp;AC39&amp;"'!$L$7"))</f>
        <v/>
      </c>
      <c r="AE39" s="76">
        <f t="array" ref="AE39">IFERROR(OFFSET($BZ$11,ROW($B39)-11,MATCH(AE$10,$CA39:$FV39,0),),"")</f>
        <v/>
      </c>
      <c r="AF39" s="76">
        <f>IF(AE39="","",IF(VLOOKUP($B39,INDIRECT("'GRD-"&amp;AG39&amp;"'!$B:$R"),16,FALSE)="","",VLOOKUP($B39,INDIRECT("'GRD-"&amp;AG39&amp;"'!$B:$R"),16,FALSE)))</f>
        <v/>
      </c>
      <c r="AG39" s="132">
        <f t="array" ref="AG39">IF(AE39="","",IFERROR(OFFSET($BZ$11,0,MATCH($AE39,$CA39:$FV39,0),),""))</f>
        <v/>
      </c>
      <c r="AH39" s="121">
        <f t="array" ref="AH39">IF(AE39="","",INDIRECT("'GRD-"&amp;AG39&amp;"'!$L$7"))</f>
        <v/>
      </c>
      <c r="AI39" s="83">
        <f t="array" ref="AI39">IFERROR(OFFSET($BZ$11,ROW($B39)-11,MATCH(AI$10,$CA39:$FV39,0),),"")</f>
        <v/>
      </c>
      <c r="AJ39" s="83">
        <f>IF(AI39="","",IF(VLOOKUP($B39,INDIRECT("'GRD-"&amp;AK39&amp;"'!$B:$R"),16,FALSE)="","",VLOOKUP($B39,INDIRECT("'GRD-"&amp;AK39&amp;"'!$B:$R"),16,FALSE)))</f>
        <v/>
      </c>
      <c r="AK39" s="128">
        <f t="array" ref="AK39">IF(AI39="","",IFERROR(OFFSET($BZ$11,0,MATCH($AI39,$CA39:$FV39,0),),""))</f>
        <v/>
      </c>
      <c r="AL39" s="133">
        <f t="array" ref="AL39">IF(AI39="","",INDIRECT("'GRD-"&amp;AK39&amp;"'!$L$7"))</f>
        <v/>
      </c>
      <c r="AM39" s="84">
        <f t="array" ref="AM39">IFERROR(OFFSET($BZ$11,ROW($B39)-11,MATCH(AM$10,$CA39:$FV39,0),),"")</f>
        <v/>
      </c>
      <c r="AN39" s="84">
        <f>IF(AM39="","",IF(VLOOKUP($B39,INDIRECT("'GRD-"&amp;AO39&amp;"'!$B:$R"),16,FALSE)="","",VLOOKUP($B39,INDIRECT("'GRD-"&amp;AO39&amp;"'!$B:$R"),16,FALSE)))</f>
        <v/>
      </c>
      <c r="AO39" s="129">
        <f t="array" ref="AO39">IF(AM39="","",IFERROR(OFFSET($BZ$11,0,MATCH($AM39,$CA39:$FV39,0),),""))</f>
        <v/>
      </c>
      <c r="AP39" s="134">
        <f t="array" ref="AP39">IF(AM39="","",INDIRECT("'GRD-"&amp;AO39&amp;"'!$L$7"))</f>
        <v/>
      </c>
      <c r="AQ39" s="85">
        <f t="array" ref="AQ39">IFERROR(OFFSET($BZ$11,ROW($B39)-11,MATCH(AQ$10,$CA39:$FV39,0),),"")</f>
        <v/>
      </c>
      <c r="AR39" s="85">
        <f>IF(AQ39="","",IF(VLOOKUP($B39,INDIRECT("'GRD-"&amp;AS39&amp;"'!$B:$R"),16,FALSE)="","",VLOOKUP($B39,INDIRECT("'GRD-"&amp;AS39&amp;"'!$B:$R"),16,FALSE)))</f>
        <v/>
      </c>
      <c r="AS39" s="130">
        <f t="array" ref="AS39">IF(AQ39="","",IFERROR(OFFSET($BZ$11,0,MATCH($AQ39,$CA39:$FV39,0),),""))</f>
        <v/>
      </c>
      <c r="AT39" s="131">
        <f t="array" ref="AT39">IF(AQ39="","",INDIRECT("'GRD-"&amp;AS39&amp;"'!$L$7"))</f>
        <v/>
      </c>
      <c r="AU39" s="76">
        <f t="array" ref="AU39">IFERROR(OFFSET($BZ$11,ROW($B39)-11,MATCH(AU$10,$CA39:$FV39,0),),"")</f>
        <v/>
      </c>
      <c r="AV39" s="76">
        <f>IF(AU39="","",IF(VLOOKUP($B39,INDIRECT("'GRD-"&amp;AW39&amp;"'!$B:$R"),16,FALSE)="","",VLOOKUP($B39,INDIRECT("'GRD-"&amp;AW39&amp;"'!$B:$R"),16,FALSE)))</f>
        <v/>
      </c>
      <c r="AW39" s="132">
        <f t="array" ref="AW39">IF(AU39="","",IFERROR(OFFSET($BZ$11,0,MATCH($AU39,$CA39:$FV39,0),),""))</f>
        <v/>
      </c>
      <c r="AX39" s="121">
        <f t="array" ref="AX39">IF(AU39="","",INDIRECT("'GRD-"&amp;AW39&amp;"'!$L$7"))</f>
        <v/>
      </c>
      <c r="AY39" s="83">
        <f t="array" ref="AY39">IFERROR(OFFSET($BZ$11,ROW($B39)-11,MATCH(AY$10,$CA39:$FV39,0),),"")</f>
        <v/>
      </c>
      <c r="AZ39" s="83">
        <f>IF(AY39="","",IF(VLOOKUP($B39,INDIRECT("'GRD-"&amp;BA39&amp;"'!$B:$R"),16,FALSE)="","",VLOOKUP($B39,INDIRECT("'GRD-"&amp;BA39&amp;"'!$B:$R"),16,FALSE)))</f>
        <v/>
      </c>
      <c r="BA39" s="128">
        <f t="array" ref="BA39">IF(AY39="","",IFERROR(OFFSET($BZ$11,0,MATCH($AY39,$CA39:$FV39,0),),""))</f>
        <v/>
      </c>
      <c r="BB39" s="133">
        <f t="array" ref="BB39">IF(AY39="","",INDIRECT("'GRD-"&amp;BA39&amp;"'!$L$7"))</f>
        <v/>
      </c>
      <c r="BC39" s="84">
        <f t="array" ref="BC39">IFERROR(OFFSET($BZ$11,ROW($B39)-11,MATCH(BC$10,$CA39:$FV39,0),),"")</f>
        <v/>
      </c>
      <c r="BD39" s="84">
        <f>IF(BC39="","",IF(VLOOKUP($B39,INDIRECT("'GRD-"&amp;BE39&amp;"'!$B:$R"),16,FALSE)="","",VLOOKUP($B39,INDIRECT("'GRD-"&amp;BE39&amp;"'!$B:$R"),16,FALSE)))</f>
        <v/>
      </c>
      <c r="BE39" s="129">
        <f t="array" ref="BE39">IF(BC39="","",IFERROR(OFFSET($BZ$11,0,MATCH($BC39,$CA39:$FV39,0),),""))</f>
        <v/>
      </c>
      <c r="BF39" s="134">
        <f t="array" ref="BF39">IF(BC39="","",INDIRECT("'GRD-"&amp;BE39&amp;"'!$L$7"))</f>
        <v/>
      </c>
      <c r="CA39" s="96">
        <f>IFERROR(VLOOKUP($B39,INDIRECT("'GRD-"&amp;CA$11&amp;"'!B:R"),15,FALSE),"")</f>
        <v/>
      </c>
      <c r="CB39" s="96">
        <f>IFERROR(VLOOKUP($B39,INDIRECT("'GRD-"&amp;CB$11&amp;"'!B:R"),15,FALSE),"")</f>
        <v/>
      </c>
      <c r="CC39" s="96">
        <f>IFERROR(VLOOKUP($B39,INDIRECT("'GRD-"&amp;CC$11&amp;"'!B:R"),15,FALSE),"")</f>
        <v/>
      </c>
      <c r="CD39" s="96">
        <f>IFERROR(VLOOKUP($B39,INDIRECT("'GRD-"&amp;CD$11&amp;"'!B:R"),15,FALSE),"")</f>
        <v/>
      </c>
      <c r="CE39" s="96">
        <f>IFERROR(VLOOKUP($B39,INDIRECT("'GRD-"&amp;CE$11&amp;"'!B:R"),15,FALSE),"")</f>
        <v/>
      </c>
      <c r="CF39" s="96">
        <f>IFERROR(VLOOKUP($B39,INDIRECT("'GRD-"&amp;CF$11&amp;"'!B:R"),15,FALSE),"")</f>
        <v/>
      </c>
      <c r="CG39" s="96">
        <f>IFERROR(VLOOKUP($B39,INDIRECT("'GRD-"&amp;CG$11&amp;"'!B:R"),15,FALSE),"")</f>
        <v/>
      </c>
      <c r="CH39" s="96">
        <f>IFERROR(VLOOKUP($B39,INDIRECT("'GRD-"&amp;CH$11&amp;"'!B:R"),15,FALSE),"")</f>
        <v/>
      </c>
      <c r="CI39" s="96">
        <f>IFERROR(VLOOKUP($B39,INDIRECT("'GRD-"&amp;CI$11&amp;"'!B:R"),15,FALSE),"")</f>
        <v/>
      </c>
      <c r="CJ39" s="96">
        <f>IFERROR(VLOOKUP($B39,INDIRECT("'GRD-"&amp;CJ$11&amp;"'!B:R"),15,FALSE),"")</f>
        <v/>
      </c>
      <c r="CK39" s="96">
        <f>IFERROR(VLOOKUP($B39,INDIRECT("'GRD-"&amp;CK$11&amp;"'!B:R"),15,FALSE),"")</f>
        <v/>
      </c>
      <c r="CL39" s="96">
        <f>IFERROR(VLOOKUP($B39,INDIRECT("'GRD-"&amp;CL$11&amp;"'!B:R"),15,FALSE),"")</f>
        <v/>
      </c>
      <c r="CM39" s="96">
        <f>IFERROR(VLOOKUP($B39,INDIRECT("'GRD-"&amp;CM$11&amp;"'!B:R"),15,FALSE),"")</f>
        <v/>
      </c>
      <c r="CN39" s="96">
        <f>IFERROR(VLOOKUP($B39,INDIRECT("'GRD-"&amp;CN$11&amp;"'!B:R"),15,FALSE),"")</f>
        <v/>
      </c>
      <c r="CO39" s="96">
        <f>IFERROR(VLOOKUP($B39,INDIRECT("'GRD-"&amp;CO$11&amp;"'!B:R"),15,FALSE),"")</f>
        <v/>
      </c>
      <c r="CP39" s="96">
        <f>IFERROR(VLOOKUP($B39,INDIRECT("'GRD-"&amp;CP$11&amp;"'!B:R"),15,FALSE),"")</f>
        <v/>
      </c>
      <c r="CQ39" s="96">
        <f>IFERROR(VLOOKUP($B39,INDIRECT("'GRD-"&amp;CQ$11&amp;"'!B:R"),15,FALSE),"")</f>
        <v/>
      </c>
      <c r="CR39" s="96">
        <f>IFERROR(VLOOKUP($B39,INDIRECT("'GRD-"&amp;CR$11&amp;"'!B:R"),15,FALSE),"")</f>
        <v/>
      </c>
      <c r="CS39" s="96">
        <f>IFERROR(VLOOKUP($B39,INDIRECT("'GRD-"&amp;CS$11&amp;"'!B:R"),15,FALSE),"")</f>
        <v/>
      </c>
      <c r="CT39" s="96">
        <f>IFERROR(VLOOKUP($B39,INDIRECT("'GRD-"&amp;CT$11&amp;"'!B:R"),15,FALSE),"")</f>
        <v/>
      </c>
      <c r="CU39" s="96">
        <f>IFERROR(VLOOKUP($B39,INDIRECT("'GRD-"&amp;CU$11&amp;"'!B:R"),15,FALSE),"")</f>
        <v/>
      </c>
      <c r="CV39" s="96">
        <f>IFERROR(VLOOKUP($B39,INDIRECT("'GRD-"&amp;CV$11&amp;"'!B:R"),15,FALSE),"")</f>
        <v/>
      </c>
      <c r="CW39" s="96">
        <f>IFERROR(VLOOKUP($B39,INDIRECT("'GRD-"&amp;CW$11&amp;"'!B:R"),15,FALSE),"")</f>
        <v/>
      </c>
      <c r="CX39" s="96">
        <f>IFERROR(VLOOKUP($B39,INDIRECT("'GRD-"&amp;CX$11&amp;"'!B:R"),15,FALSE),"")</f>
        <v/>
      </c>
      <c r="CY39" s="96">
        <f>IFERROR(VLOOKUP($B39,INDIRECT("'GRD-"&amp;CY$11&amp;"'!B:R"),15,FALSE),"")</f>
        <v/>
      </c>
      <c r="CZ39" s="96">
        <f>IFERROR(VLOOKUP($B39,INDIRECT("'GRD-"&amp;CZ$11&amp;"'!B:R"),15,FALSE),"")</f>
        <v/>
      </c>
      <c r="DA39" s="96">
        <f>IFERROR(VLOOKUP($B39,INDIRECT("'GRD-"&amp;DA$11&amp;"'!B:R"),15,FALSE),"")</f>
        <v/>
      </c>
      <c r="DB39" s="96">
        <f>IFERROR(VLOOKUP($B39,INDIRECT("'GRD-"&amp;DB$11&amp;"'!B:R"),15,FALSE),"")</f>
        <v/>
      </c>
      <c r="DC39" s="96">
        <f>IFERROR(VLOOKUP($B39,INDIRECT("'GRD-"&amp;DC$11&amp;"'!B:R"),15,FALSE),"")</f>
        <v/>
      </c>
      <c r="DD39" s="96">
        <f>IFERROR(VLOOKUP($B39,INDIRECT("'GRD-"&amp;DD$11&amp;"'!B:R"),15,FALSE),"")</f>
        <v/>
      </c>
      <c r="DE39" s="96">
        <f>IFERROR(VLOOKUP($B39,INDIRECT("'GRD-"&amp;DE$11&amp;"'!B:R"),15,FALSE),"")</f>
        <v/>
      </c>
      <c r="DF39" s="96">
        <f>IFERROR(VLOOKUP($B39,INDIRECT("'GRD-"&amp;DF$11&amp;"'!B:R"),15,FALSE),"")</f>
        <v/>
      </c>
      <c r="DG39" s="96">
        <f>IFERROR(VLOOKUP($B39,INDIRECT("'GRD-"&amp;DG$11&amp;"'!B:R"),15,FALSE),"")</f>
        <v/>
      </c>
      <c r="DH39" s="96">
        <f>IFERROR(VLOOKUP($B39,INDIRECT("'GRD-"&amp;DH$11&amp;"'!B:R"),15,FALSE),"")</f>
        <v/>
      </c>
      <c r="DI39" s="96">
        <f>IFERROR(VLOOKUP($B39,INDIRECT("'GRD-"&amp;DI$11&amp;"'!B:R"),15,FALSE),"")</f>
        <v/>
      </c>
      <c r="DJ39" s="96">
        <f>IFERROR(VLOOKUP($B39,INDIRECT("'GRD-"&amp;DJ$11&amp;"'!B:R"),15,FALSE),"")</f>
        <v/>
      </c>
      <c r="DK39" s="96">
        <f>IFERROR(VLOOKUP($B39,INDIRECT("'GRD-"&amp;DK$11&amp;"'!B:R"),15,FALSE),"")</f>
        <v/>
      </c>
      <c r="DL39" s="96">
        <f>IFERROR(VLOOKUP($B39,INDIRECT("'GRD-"&amp;DL$11&amp;"'!B:R"),15,FALSE),"")</f>
        <v/>
      </c>
      <c r="DM39" s="96">
        <f>IFERROR(VLOOKUP($B39,INDIRECT("'GRD-"&amp;DM$11&amp;"'!B:R"),15,FALSE),"")</f>
        <v/>
      </c>
      <c r="DN39" s="96">
        <f>IFERROR(VLOOKUP($B39,INDIRECT("'GRD-"&amp;DN$11&amp;"'!B:R"),15,FALSE),"")</f>
        <v/>
      </c>
      <c r="DO39" s="96">
        <f>IFERROR(VLOOKUP($B39,INDIRECT("'GRD-"&amp;DO$11&amp;"'!B:R"),15,FALSE),"")</f>
        <v/>
      </c>
      <c r="DP39" s="96">
        <f>IFERROR(VLOOKUP($B39,INDIRECT("'GRD-"&amp;DP$11&amp;"'!B:R"),15,FALSE),"")</f>
        <v/>
      </c>
      <c r="DQ39" s="96">
        <f>IFERROR(VLOOKUP($B39,INDIRECT("'GRD-"&amp;DQ$11&amp;"'!B:R"),15,FALSE),"")</f>
        <v/>
      </c>
      <c r="DR39" s="96">
        <f>IFERROR(VLOOKUP($B39,INDIRECT("'GRD-"&amp;DR$11&amp;"'!B:R"),15,FALSE),"")</f>
        <v/>
      </c>
      <c r="DS39" s="96">
        <f>IFERROR(VLOOKUP($B39,INDIRECT("'GRD-"&amp;DS$11&amp;"'!B:R"),15,FALSE),"")</f>
        <v/>
      </c>
      <c r="DT39" s="96">
        <f>IFERROR(VLOOKUP($B39,INDIRECT("'GRD-"&amp;DT$11&amp;"'!B:R"),15,FALSE),"")</f>
        <v/>
      </c>
      <c r="DU39" s="96">
        <f>IFERROR(VLOOKUP($B39,INDIRECT("'GRD-"&amp;DU$11&amp;"'!B:R"),15,FALSE),"")</f>
        <v/>
      </c>
      <c r="DV39" s="96">
        <f>IFERROR(VLOOKUP($B39,INDIRECT("'GRD-"&amp;DV$11&amp;"'!B:R"),15,FALSE),"")</f>
        <v/>
      </c>
      <c r="DW39" s="96">
        <f>IFERROR(VLOOKUP($B39,INDIRECT("'GRD-"&amp;DW$11&amp;"'!B:R"),15,FALSE),"")</f>
        <v/>
      </c>
      <c r="DX39" s="96">
        <f>IFERROR(VLOOKUP($B39,INDIRECT("'GRD-"&amp;DX$11&amp;"'!B:R"),15,FALSE),"")</f>
        <v/>
      </c>
      <c r="DY39" s="96">
        <f>IFERROR(VLOOKUP($B39,INDIRECT("'GRD-"&amp;DY$11&amp;"'!B:R"),15,FALSE),"")</f>
        <v/>
      </c>
      <c r="DZ39" s="96">
        <f>IFERROR(VLOOKUP($B39,INDIRECT("'GRD-"&amp;DZ$11&amp;"'!B:R"),15,FALSE),"")</f>
        <v/>
      </c>
      <c r="EA39" s="96">
        <f>IFERROR(VLOOKUP($B39,INDIRECT("'GRD-"&amp;EA$11&amp;"'!B:R"),15,FALSE),"")</f>
        <v/>
      </c>
      <c r="EB39" s="96">
        <f>IFERROR(VLOOKUP($B39,INDIRECT("'GRD-"&amp;EB$11&amp;"'!B:R"),15,FALSE),"")</f>
        <v/>
      </c>
      <c r="EC39" s="96">
        <f>IFERROR(VLOOKUP($B39,INDIRECT("'GRD-"&amp;EC$11&amp;"'!B:R"),15,FALSE),"")</f>
        <v/>
      </c>
      <c r="ED39" s="96">
        <f>IFERROR(VLOOKUP($B39,INDIRECT("'GRD-"&amp;ED$11&amp;"'!B:R"),15,FALSE),"")</f>
        <v/>
      </c>
      <c r="EE39" s="96">
        <f>IFERROR(VLOOKUP($B39,INDIRECT("'GRD-"&amp;EE$11&amp;"'!B:R"),15,FALSE),"")</f>
        <v/>
      </c>
      <c r="EF39" s="96">
        <f>IFERROR(VLOOKUP($B39,INDIRECT("'GRD-"&amp;EF$11&amp;"'!B:R"),15,FALSE),"")</f>
        <v/>
      </c>
      <c r="EG39" s="96">
        <f>IFERROR(VLOOKUP($B39,INDIRECT("'GRD-"&amp;EG$11&amp;"'!B:R"),15,FALSE),"")</f>
        <v/>
      </c>
      <c r="EH39" s="96">
        <f>IFERROR(VLOOKUP($B39,INDIRECT("'GRD-"&amp;EH$11&amp;"'!B:R"),15,FALSE),"")</f>
        <v/>
      </c>
      <c r="EI39" s="96">
        <f>IFERROR(VLOOKUP($B39,INDIRECT("'GRD-"&amp;EI$11&amp;"'!B:R"),15,FALSE),"")</f>
        <v/>
      </c>
      <c r="EJ39" s="96">
        <f>IFERROR(VLOOKUP($B39,INDIRECT("'GRD-"&amp;EJ$11&amp;"'!B:R"),15,FALSE),"")</f>
        <v/>
      </c>
      <c r="EK39" s="96">
        <f>IFERROR(VLOOKUP($B39,INDIRECT("'GRD-"&amp;EK$11&amp;"'!B:R"),15,FALSE),"")</f>
        <v/>
      </c>
      <c r="EL39" s="96">
        <f>IFERROR(VLOOKUP($B39,INDIRECT("'GRD-"&amp;EL$11&amp;"'!B:R"),15,FALSE),"")</f>
        <v/>
      </c>
      <c r="EM39" s="96">
        <f>IFERROR(VLOOKUP($B39,INDIRECT("'GRD-"&amp;EM$11&amp;"'!B:R"),15,FALSE),"")</f>
        <v/>
      </c>
      <c r="EN39" s="96">
        <f>IFERROR(VLOOKUP($B39,INDIRECT("'GRD-"&amp;EN$11&amp;"'!B:R"),15,FALSE),"")</f>
        <v/>
      </c>
      <c r="EO39" s="96">
        <f>IFERROR(VLOOKUP($B39,INDIRECT("'GRD-"&amp;EO$11&amp;"'!B:R"),15,FALSE),"")</f>
        <v/>
      </c>
      <c r="EP39" s="96">
        <f>IFERROR(VLOOKUP($B39,INDIRECT("'GRD-"&amp;EP$11&amp;"'!B:R"),15,FALSE),"")</f>
        <v/>
      </c>
      <c r="EQ39" s="96">
        <f>IFERROR(VLOOKUP($B39,INDIRECT("'GRD-"&amp;EQ$11&amp;"'!B:R"),15,FALSE),"")</f>
        <v/>
      </c>
      <c r="ER39" s="96">
        <f>IFERROR(VLOOKUP($B39,INDIRECT("'GRD-"&amp;ER$11&amp;"'!B:R"),15,FALSE),"")</f>
        <v/>
      </c>
      <c r="ES39" s="96">
        <f>IFERROR(VLOOKUP($B39,INDIRECT("'GRD-"&amp;ES$11&amp;"'!B:R"),15,FALSE),"")</f>
        <v/>
      </c>
      <c r="ET39" s="96">
        <f>IFERROR(VLOOKUP($B39,INDIRECT("'GRD-"&amp;ET$11&amp;"'!B:R"),15,FALSE),"")</f>
        <v/>
      </c>
      <c r="EU39" s="96">
        <f>IFERROR(VLOOKUP($B39,INDIRECT("'GRD-"&amp;EU$11&amp;"'!B:R"),15,FALSE),"")</f>
        <v/>
      </c>
      <c r="EV39" s="96">
        <f>IFERROR(VLOOKUP($B39,INDIRECT("'GRD-"&amp;EV$11&amp;"'!B:R"),15,FALSE),"")</f>
        <v/>
      </c>
      <c r="EW39" s="96">
        <f>IFERROR(VLOOKUP($B39,INDIRECT("'GRD-"&amp;EW$11&amp;"'!B:R"),15,FALSE),"")</f>
        <v/>
      </c>
      <c r="EX39" s="96">
        <f>IFERROR(VLOOKUP($B39,INDIRECT("'GRD-"&amp;EX$11&amp;"'!B:R"),15,FALSE),"")</f>
        <v/>
      </c>
      <c r="EY39" s="96">
        <f>IFERROR(VLOOKUP($B39,INDIRECT("'GRD-"&amp;EY$11&amp;"'!B:R"),15,FALSE),"")</f>
        <v/>
      </c>
      <c r="EZ39" s="96">
        <f>IFERROR(VLOOKUP($B39,INDIRECT("'GRD-"&amp;EZ$11&amp;"'!B:R"),15,FALSE),"")</f>
        <v/>
      </c>
      <c r="FA39" s="96">
        <f>IFERROR(VLOOKUP($B39,INDIRECT("'GRD-"&amp;FA$11&amp;"'!B:R"),15,FALSE),"")</f>
        <v/>
      </c>
      <c r="FB39" s="96">
        <f>IFERROR(VLOOKUP($B39,INDIRECT("'GRD-"&amp;FB$11&amp;"'!B:R"),15,FALSE),"")</f>
        <v/>
      </c>
      <c r="FC39" s="96">
        <f>IFERROR(VLOOKUP($B39,INDIRECT("'GRD-"&amp;FC$11&amp;"'!B:R"),15,FALSE),"")</f>
        <v/>
      </c>
      <c r="FD39" s="96">
        <f>IFERROR(VLOOKUP($B39,INDIRECT("'GRD-"&amp;FD$11&amp;"'!B:R"),15,FALSE),"")</f>
        <v/>
      </c>
      <c r="FE39" s="96">
        <f>IFERROR(VLOOKUP($B39,INDIRECT("'GRD-"&amp;FE$11&amp;"'!B:R"),15,FALSE),"")</f>
        <v/>
      </c>
      <c r="FF39" s="96">
        <f>IFERROR(VLOOKUP($B39,INDIRECT("'GRD-"&amp;FF$11&amp;"'!B:R"),15,FALSE),"")</f>
        <v/>
      </c>
      <c r="FG39" s="96">
        <f>IFERROR(VLOOKUP($B39,INDIRECT("'GRD-"&amp;FG$11&amp;"'!B:R"),15,FALSE),"")</f>
        <v/>
      </c>
      <c r="FH39" s="96">
        <f>IFERROR(VLOOKUP($B39,INDIRECT("'GRD-"&amp;FH$11&amp;"'!B:R"),15,FALSE),"")</f>
        <v/>
      </c>
      <c r="FI39" s="96">
        <f>IFERROR(VLOOKUP($B39,INDIRECT("'GRD-"&amp;FI$11&amp;"'!B:R"),15,FALSE),"")</f>
        <v/>
      </c>
      <c r="FJ39" s="96">
        <f>IFERROR(VLOOKUP($B39,INDIRECT("'GRD-"&amp;FJ$11&amp;"'!B:R"),15,FALSE),"")</f>
        <v/>
      </c>
      <c r="FK39" s="96">
        <f>IFERROR(VLOOKUP($B39,INDIRECT("'GRD-"&amp;FK$11&amp;"'!B:R"),15,FALSE),"")</f>
        <v/>
      </c>
      <c r="FL39" s="96">
        <f>IFERROR(VLOOKUP($B39,INDIRECT("'GRD-"&amp;FL$11&amp;"'!B:R"),15,FALSE),"")</f>
        <v/>
      </c>
      <c r="FM39" s="96">
        <f>IFERROR(VLOOKUP($B39,INDIRECT("'GRD-"&amp;FM$11&amp;"'!B:R"),15,FALSE),"")</f>
        <v/>
      </c>
      <c r="FN39" s="96">
        <f>IFERROR(VLOOKUP($B39,INDIRECT("'GRD-"&amp;FN$11&amp;"'!B:R"),15,FALSE),"")</f>
        <v/>
      </c>
      <c r="FO39" s="96">
        <f>IFERROR(VLOOKUP($B39,INDIRECT("'GRD-"&amp;FO$11&amp;"'!B:R"),15,FALSE),"")</f>
        <v/>
      </c>
      <c r="FP39" s="96">
        <f>IFERROR(VLOOKUP($B39,INDIRECT("'GRD-"&amp;FP$11&amp;"'!B:R"),15,FALSE),"")</f>
        <v/>
      </c>
      <c r="FQ39" s="96">
        <f>IFERROR(VLOOKUP($B39,INDIRECT("'GRD-"&amp;FQ$11&amp;"'!B:R"),15,FALSE),"")</f>
        <v/>
      </c>
      <c r="FR39" s="96">
        <f>IFERROR(VLOOKUP($B39,INDIRECT("'GRD-"&amp;FR$11&amp;"'!B:R"),15,FALSE),"")</f>
        <v/>
      </c>
      <c r="FS39" s="96">
        <f>IFERROR(VLOOKUP($B39,INDIRECT("'GRD-"&amp;FS$11&amp;"'!B:R"),15,FALSE),"")</f>
        <v/>
      </c>
      <c r="FT39" s="96">
        <f>IFERROR(VLOOKUP($B39,INDIRECT("'GRD-"&amp;FT$11&amp;"'!B:R"),15,FALSE),"")</f>
        <v/>
      </c>
      <c r="FU39" s="96">
        <f>IFERROR(VLOOKUP($B39,INDIRECT("'GRD-"&amp;FU$11&amp;"'!B:R"),15,FALSE),"")</f>
        <v/>
      </c>
      <c r="FV39" s="96">
        <f>IFERROR(VLOOKUP($B39,INDIRECT("'GRD-"&amp;FV$11&amp;"'!B:R"),15,FALSE),"")</f>
        <v/>
      </c>
    </row>
    <row r="40">
      <c r="B40" s="68" t="n"/>
      <c r="C40" s="72" t="n"/>
      <c r="D40" s="73">
        <f>IF(K40="","",MAX($CA40:$FV40))</f>
        <v/>
      </c>
      <c r="E40" s="74">
        <f t="array" ref="E40">IF($K40="","",OFFSET($A$1,ROW($B40)-1,11+$D40*4,))</f>
        <v/>
      </c>
      <c r="F40" s="74">
        <f t="array" ref="F40">IF($K40="","",OFFSET($A$1,ROW($B40)-1,12+$D40*4,))</f>
        <v/>
      </c>
      <c r="G40" s="118">
        <f t="array" ref="G40">IF($K40="","",OFFSET($A$1,ROW($B40)-1,13+$D40*4,))</f>
        <v/>
      </c>
      <c r="H40" s="81" t="n"/>
      <c r="I40" s="82" t="n"/>
      <c r="J40" s="75">
        <f>IF(I40="A4",H40/8,IF(I40="A3",H40/4,IF(I40="A2",H40/2,IF(I40="A1",H40/1,IF(I40="A0",H40*2,"")))))</f>
        <v/>
      </c>
      <c r="K40" s="68">
        <f t="array" ref="K40">IFERROR(OFFSET($BZ$11,ROW($B40)-11,MATCH(K$10,$CA40:$FV40,0),),"")</f>
        <v/>
      </c>
      <c r="L40" s="85">
        <f>IF(K40="","",IF(VLOOKUP($B40,INDIRECT("'GRD-"&amp;M40&amp;"'!$B:$R"),16,FALSE)="","",VLOOKUP($B40,INDIRECT("'GRD-"&amp;M40&amp;"'!$B:$R"),16,FALSE)))</f>
        <v/>
      </c>
      <c r="M40" s="130">
        <f t="array" ref="M40">IF(K40="","",IFERROR(OFFSET($BZ$11,0,MATCH($K40,$CA40:$FV40,0),),""))</f>
        <v/>
      </c>
      <c r="N40" s="119">
        <f t="array" ref="N40">IF(K40="","",INDIRECT("'GRD-"&amp;M40&amp;"'!$L$7"))</f>
        <v/>
      </c>
      <c r="O40" s="76">
        <f t="array" ref="O40">IFERROR(OFFSET($BZ$11,ROW($B40)-11,MATCH(O$10,$CA40:$FV40,0),),"")</f>
        <v/>
      </c>
      <c r="P40" s="76">
        <f>IF(O40="","",IF(VLOOKUP($B40,INDIRECT("'GRD-"&amp;Q40&amp;"'!$B:$R"),16,FALSE)="","",VLOOKUP($B40,INDIRECT("'GRD-"&amp;Q40&amp;"'!$B:$R"),16,FALSE)))</f>
        <v/>
      </c>
      <c r="Q40" s="132">
        <f t="array" ref="Q40">IF(O40="","",IFERROR(OFFSET($BZ$11,0,MATCH($O40,$CA40:$FV40,0),),""))</f>
        <v/>
      </c>
      <c r="R40" s="121">
        <f t="array" ref="R40">IF(O40="","",INDIRECT("'GRD-"&amp;Q40&amp;"'!$L$7"))</f>
        <v/>
      </c>
      <c r="S40" s="83">
        <f t="array" ref="S40">IFERROR(OFFSET($BZ$11,ROW($B40)-11,MATCH(S$10,$CA40:$FV40,0),),"")</f>
        <v/>
      </c>
      <c r="T40" s="83">
        <f>IF(S40="","",IF(VLOOKUP($B40,INDIRECT("'GRD-"&amp;U40&amp;"'!$B:$R"),16,FALSE)="","",VLOOKUP($B40,INDIRECT("'GRD-"&amp;U40&amp;"'!$B:$R"),16,FALSE)))</f>
        <v/>
      </c>
      <c r="U40" s="128">
        <f t="array" ref="U40">IF(S40="","",IFERROR(OFFSET($BZ$11,0,MATCH($S40,$CA40:$FV40,0),),""))</f>
        <v/>
      </c>
      <c r="V40" s="133">
        <f t="array" ref="V40">IF(S40="","",INDIRECT("'GRD-"&amp;U40&amp;"'!$L$7"))</f>
        <v/>
      </c>
      <c r="W40" s="84">
        <f t="array" ref="W40">IFERROR(OFFSET($BZ$11,ROW($B40)-11,MATCH(W$10,$CA40:$FV40,0),),"")</f>
        <v/>
      </c>
      <c r="X40" s="84">
        <f>IF(W40="","",IF(VLOOKUP($B40,INDIRECT("'GRD-"&amp;Y40&amp;"'!$B:$R"),16,FALSE)="","",VLOOKUP($B40,INDIRECT("'GRD-"&amp;Y40&amp;"'!$B:$R"),16,FALSE)))</f>
        <v/>
      </c>
      <c r="Y40" s="129">
        <f t="array" ref="Y40">IF(W40="","",IFERROR(OFFSET($BZ$11,0,MATCH($W40,$CA40:$FV40,0),),""))</f>
        <v/>
      </c>
      <c r="Z40" s="134">
        <f t="array" ref="Z40">IF(W40="","",INDIRECT("'GRD-"&amp;Y40&amp;"'!$L$7"))</f>
        <v/>
      </c>
      <c r="AA40" s="85">
        <f t="array" ref="AA40">IFERROR(OFFSET($BZ$11,ROW($B40)-11,MATCH(AA$10,$CA40:$FV40,0),),"")</f>
        <v/>
      </c>
      <c r="AB40" s="85">
        <f>IF(AA40="","",IF(VLOOKUP($B40,INDIRECT("'GRD-"&amp;AC40&amp;"'!$B:$R"),16,FALSE)="","",VLOOKUP($B40,INDIRECT("'GRD-"&amp;AC40&amp;"'!$B:$R"),16,FALSE)))</f>
        <v/>
      </c>
      <c r="AC40" s="130">
        <f t="array" ref="AC40">IF(AA40="","",IFERROR(OFFSET($BZ$11,0,MATCH($AA40,$CA40:$FV40,0),),""))</f>
        <v/>
      </c>
      <c r="AD40" s="131">
        <f t="array" ref="AD40">IF(AA40="","",INDIRECT("'GRD-"&amp;AC40&amp;"'!$L$7"))</f>
        <v/>
      </c>
      <c r="AE40" s="76">
        <f t="array" ref="AE40">IFERROR(OFFSET($BZ$11,ROW($B40)-11,MATCH(AE$10,$CA40:$FV40,0),),"")</f>
        <v/>
      </c>
      <c r="AF40" s="76">
        <f>IF(AE40="","",IF(VLOOKUP($B40,INDIRECT("'GRD-"&amp;AG40&amp;"'!$B:$R"),16,FALSE)="","",VLOOKUP($B40,INDIRECT("'GRD-"&amp;AG40&amp;"'!$B:$R"),16,FALSE)))</f>
        <v/>
      </c>
      <c r="AG40" s="132">
        <f t="array" ref="AG40">IF(AE40="","",IFERROR(OFFSET($BZ$11,0,MATCH($AE40,$CA40:$FV40,0),),""))</f>
        <v/>
      </c>
      <c r="AH40" s="121">
        <f t="array" ref="AH40">IF(AE40="","",INDIRECT("'GRD-"&amp;AG40&amp;"'!$L$7"))</f>
        <v/>
      </c>
      <c r="AI40" s="83">
        <f t="array" ref="AI40">IFERROR(OFFSET($BZ$11,ROW($B40)-11,MATCH(AI$10,$CA40:$FV40,0),),"")</f>
        <v/>
      </c>
      <c r="AJ40" s="83">
        <f>IF(AI40="","",IF(VLOOKUP($B40,INDIRECT("'GRD-"&amp;AK40&amp;"'!$B:$R"),16,FALSE)="","",VLOOKUP($B40,INDIRECT("'GRD-"&amp;AK40&amp;"'!$B:$R"),16,FALSE)))</f>
        <v/>
      </c>
      <c r="AK40" s="128">
        <f t="array" ref="AK40">IF(AI40="","",IFERROR(OFFSET($BZ$11,0,MATCH($AI40,$CA40:$FV40,0),),""))</f>
        <v/>
      </c>
      <c r="AL40" s="133">
        <f t="array" ref="AL40">IF(AI40="","",INDIRECT("'GRD-"&amp;AK40&amp;"'!$L$7"))</f>
        <v/>
      </c>
      <c r="AM40" s="84">
        <f t="array" ref="AM40">IFERROR(OFFSET($BZ$11,ROW($B40)-11,MATCH(AM$10,$CA40:$FV40,0),),"")</f>
        <v/>
      </c>
      <c r="AN40" s="84">
        <f>IF(AM40="","",IF(VLOOKUP($B40,INDIRECT("'GRD-"&amp;AO40&amp;"'!$B:$R"),16,FALSE)="","",VLOOKUP($B40,INDIRECT("'GRD-"&amp;AO40&amp;"'!$B:$R"),16,FALSE)))</f>
        <v/>
      </c>
      <c r="AO40" s="129">
        <f t="array" ref="AO40">IF(AM40="","",IFERROR(OFFSET($BZ$11,0,MATCH($AM40,$CA40:$FV40,0),),""))</f>
        <v/>
      </c>
      <c r="AP40" s="134">
        <f t="array" ref="AP40">IF(AM40="","",INDIRECT("'GRD-"&amp;AO40&amp;"'!$L$7"))</f>
        <v/>
      </c>
      <c r="AQ40" s="85">
        <f t="array" ref="AQ40">IFERROR(OFFSET($BZ$11,ROW($B40)-11,MATCH(AQ$10,$CA40:$FV40,0),),"")</f>
        <v/>
      </c>
      <c r="AR40" s="85">
        <f>IF(AQ40="","",IF(VLOOKUP($B40,INDIRECT("'GRD-"&amp;AS40&amp;"'!$B:$R"),16,FALSE)="","",VLOOKUP($B40,INDIRECT("'GRD-"&amp;AS40&amp;"'!$B:$R"),16,FALSE)))</f>
        <v/>
      </c>
      <c r="AS40" s="130">
        <f t="array" ref="AS40">IF(AQ40="","",IFERROR(OFFSET($BZ$11,0,MATCH($AQ40,$CA40:$FV40,0),),""))</f>
        <v/>
      </c>
      <c r="AT40" s="131">
        <f t="array" ref="AT40">IF(AQ40="","",INDIRECT("'GRD-"&amp;AS40&amp;"'!$L$7"))</f>
        <v/>
      </c>
      <c r="AU40" s="76">
        <f t="array" ref="AU40">IFERROR(OFFSET($BZ$11,ROW($B40)-11,MATCH(AU$10,$CA40:$FV40,0),),"")</f>
        <v/>
      </c>
      <c r="AV40" s="76">
        <f>IF(AU40="","",IF(VLOOKUP($B40,INDIRECT("'GRD-"&amp;AW40&amp;"'!$B:$R"),16,FALSE)="","",VLOOKUP($B40,INDIRECT("'GRD-"&amp;AW40&amp;"'!$B:$R"),16,FALSE)))</f>
        <v/>
      </c>
      <c r="AW40" s="132">
        <f t="array" ref="AW40">IF(AU40="","",IFERROR(OFFSET($BZ$11,0,MATCH($AU40,$CA40:$FV40,0),),""))</f>
        <v/>
      </c>
      <c r="AX40" s="121">
        <f t="array" ref="AX40">IF(AU40="","",INDIRECT("'GRD-"&amp;AW40&amp;"'!$L$7"))</f>
        <v/>
      </c>
      <c r="AY40" s="83">
        <f t="array" ref="AY40">IFERROR(OFFSET($BZ$11,ROW($B40)-11,MATCH(AY$10,$CA40:$FV40,0),),"")</f>
        <v/>
      </c>
      <c r="AZ40" s="83">
        <f>IF(AY40="","",IF(VLOOKUP($B40,INDIRECT("'GRD-"&amp;BA40&amp;"'!$B:$R"),16,FALSE)="","",VLOOKUP($B40,INDIRECT("'GRD-"&amp;BA40&amp;"'!$B:$R"),16,FALSE)))</f>
        <v/>
      </c>
      <c r="BA40" s="128">
        <f t="array" ref="BA40">IF(AY40="","",IFERROR(OFFSET($BZ$11,0,MATCH($AY40,$CA40:$FV40,0),),""))</f>
        <v/>
      </c>
      <c r="BB40" s="133">
        <f t="array" ref="BB40">IF(AY40="","",INDIRECT("'GRD-"&amp;BA40&amp;"'!$L$7"))</f>
        <v/>
      </c>
      <c r="BC40" s="84">
        <f t="array" ref="BC40">IFERROR(OFFSET($BZ$11,ROW($B40)-11,MATCH(BC$10,$CA40:$FV40,0),),"")</f>
        <v/>
      </c>
      <c r="BD40" s="84">
        <f>IF(BC40="","",IF(VLOOKUP($B40,INDIRECT("'GRD-"&amp;BE40&amp;"'!$B:$R"),16,FALSE)="","",VLOOKUP($B40,INDIRECT("'GRD-"&amp;BE40&amp;"'!$B:$R"),16,FALSE)))</f>
        <v/>
      </c>
      <c r="BE40" s="129">
        <f t="array" ref="BE40">IF(BC40="","",IFERROR(OFFSET($BZ$11,0,MATCH($BC40,$CA40:$FV40,0),),""))</f>
        <v/>
      </c>
      <c r="BF40" s="134">
        <f t="array" ref="BF40">IF(BC40="","",INDIRECT("'GRD-"&amp;BE40&amp;"'!$L$7"))</f>
        <v/>
      </c>
      <c r="CA40" s="96">
        <f>IFERROR(VLOOKUP($B40,INDIRECT("'GRD-"&amp;CA$11&amp;"'!B:R"),15,FALSE),"")</f>
        <v/>
      </c>
      <c r="CB40" s="96">
        <f>IFERROR(VLOOKUP($B40,INDIRECT("'GRD-"&amp;CB$11&amp;"'!B:R"),15,FALSE),"")</f>
        <v/>
      </c>
      <c r="CC40" s="96">
        <f>IFERROR(VLOOKUP($B40,INDIRECT("'GRD-"&amp;CC$11&amp;"'!B:R"),15,FALSE),"")</f>
        <v/>
      </c>
      <c r="CD40" s="96">
        <f>IFERROR(VLOOKUP($B40,INDIRECT("'GRD-"&amp;CD$11&amp;"'!B:R"),15,FALSE),"")</f>
        <v/>
      </c>
      <c r="CE40" s="96">
        <f>IFERROR(VLOOKUP($B40,INDIRECT("'GRD-"&amp;CE$11&amp;"'!B:R"),15,FALSE),"")</f>
        <v/>
      </c>
      <c r="CF40" s="96">
        <f>IFERROR(VLOOKUP($B40,INDIRECT("'GRD-"&amp;CF$11&amp;"'!B:R"),15,FALSE),"")</f>
        <v/>
      </c>
      <c r="CG40" s="96">
        <f>IFERROR(VLOOKUP($B40,INDIRECT("'GRD-"&amp;CG$11&amp;"'!B:R"),15,FALSE),"")</f>
        <v/>
      </c>
      <c r="CH40" s="96">
        <f>IFERROR(VLOOKUP($B40,INDIRECT("'GRD-"&amp;CH$11&amp;"'!B:R"),15,FALSE),"")</f>
        <v/>
      </c>
      <c r="CI40" s="96">
        <f>IFERROR(VLOOKUP($B40,INDIRECT("'GRD-"&amp;CI$11&amp;"'!B:R"),15,FALSE),"")</f>
        <v/>
      </c>
      <c r="CJ40" s="96">
        <f>IFERROR(VLOOKUP($B40,INDIRECT("'GRD-"&amp;CJ$11&amp;"'!B:R"),15,FALSE),"")</f>
        <v/>
      </c>
      <c r="CK40" s="96">
        <f>IFERROR(VLOOKUP($B40,INDIRECT("'GRD-"&amp;CK$11&amp;"'!B:R"),15,FALSE),"")</f>
        <v/>
      </c>
      <c r="CL40" s="96">
        <f>IFERROR(VLOOKUP($B40,INDIRECT("'GRD-"&amp;CL$11&amp;"'!B:R"),15,FALSE),"")</f>
        <v/>
      </c>
      <c r="CM40" s="96">
        <f>IFERROR(VLOOKUP($B40,INDIRECT("'GRD-"&amp;CM$11&amp;"'!B:R"),15,FALSE),"")</f>
        <v/>
      </c>
      <c r="CN40" s="96">
        <f>IFERROR(VLOOKUP($B40,INDIRECT("'GRD-"&amp;CN$11&amp;"'!B:R"),15,FALSE),"")</f>
        <v/>
      </c>
      <c r="CO40" s="96">
        <f>IFERROR(VLOOKUP($B40,INDIRECT("'GRD-"&amp;CO$11&amp;"'!B:R"),15,FALSE),"")</f>
        <v/>
      </c>
      <c r="CP40" s="96">
        <f>IFERROR(VLOOKUP($B40,INDIRECT("'GRD-"&amp;CP$11&amp;"'!B:R"),15,FALSE),"")</f>
        <v/>
      </c>
      <c r="CQ40" s="96">
        <f>IFERROR(VLOOKUP($B40,INDIRECT("'GRD-"&amp;CQ$11&amp;"'!B:R"),15,FALSE),"")</f>
        <v/>
      </c>
      <c r="CR40" s="96">
        <f>IFERROR(VLOOKUP($B40,INDIRECT("'GRD-"&amp;CR$11&amp;"'!B:R"),15,FALSE),"")</f>
        <v/>
      </c>
      <c r="CS40" s="96">
        <f>IFERROR(VLOOKUP($B40,INDIRECT("'GRD-"&amp;CS$11&amp;"'!B:R"),15,FALSE),"")</f>
        <v/>
      </c>
      <c r="CT40" s="96">
        <f>IFERROR(VLOOKUP($B40,INDIRECT("'GRD-"&amp;CT$11&amp;"'!B:R"),15,FALSE),"")</f>
        <v/>
      </c>
      <c r="CU40" s="96">
        <f>IFERROR(VLOOKUP($B40,INDIRECT("'GRD-"&amp;CU$11&amp;"'!B:R"),15,FALSE),"")</f>
        <v/>
      </c>
      <c r="CV40" s="96">
        <f>IFERROR(VLOOKUP($B40,INDIRECT("'GRD-"&amp;CV$11&amp;"'!B:R"),15,FALSE),"")</f>
        <v/>
      </c>
      <c r="CW40" s="96">
        <f>IFERROR(VLOOKUP($B40,INDIRECT("'GRD-"&amp;CW$11&amp;"'!B:R"),15,FALSE),"")</f>
        <v/>
      </c>
      <c r="CX40" s="96">
        <f>IFERROR(VLOOKUP($B40,INDIRECT("'GRD-"&amp;CX$11&amp;"'!B:R"),15,FALSE),"")</f>
        <v/>
      </c>
      <c r="CY40" s="96">
        <f>IFERROR(VLOOKUP($B40,INDIRECT("'GRD-"&amp;CY$11&amp;"'!B:R"),15,FALSE),"")</f>
        <v/>
      </c>
      <c r="CZ40" s="96">
        <f>IFERROR(VLOOKUP($B40,INDIRECT("'GRD-"&amp;CZ$11&amp;"'!B:R"),15,FALSE),"")</f>
        <v/>
      </c>
      <c r="DA40" s="96">
        <f>IFERROR(VLOOKUP($B40,INDIRECT("'GRD-"&amp;DA$11&amp;"'!B:R"),15,FALSE),"")</f>
        <v/>
      </c>
      <c r="DB40" s="96">
        <f>IFERROR(VLOOKUP($B40,INDIRECT("'GRD-"&amp;DB$11&amp;"'!B:R"),15,FALSE),"")</f>
        <v/>
      </c>
      <c r="DC40" s="96">
        <f>IFERROR(VLOOKUP($B40,INDIRECT("'GRD-"&amp;DC$11&amp;"'!B:R"),15,FALSE),"")</f>
        <v/>
      </c>
      <c r="DD40" s="96">
        <f>IFERROR(VLOOKUP($B40,INDIRECT("'GRD-"&amp;DD$11&amp;"'!B:R"),15,FALSE),"")</f>
        <v/>
      </c>
      <c r="DE40" s="96">
        <f>IFERROR(VLOOKUP($B40,INDIRECT("'GRD-"&amp;DE$11&amp;"'!B:R"),15,FALSE),"")</f>
        <v/>
      </c>
      <c r="DF40" s="96">
        <f>IFERROR(VLOOKUP($B40,INDIRECT("'GRD-"&amp;DF$11&amp;"'!B:R"),15,FALSE),"")</f>
        <v/>
      </c>
      <c r="DG40" s="96">
        <f>IFERROR(VLOOKUP($B40,INDIRECT("'GRD-"&amp;DG$11&amp;"'!B:R"),15,FALSE),"")</f>
        <v/>
      </c>
      <c r="DH40" s="96">
        <f>IFERROR(VLOOKUP($B40,INDIRECT("'GRD-"&amp;DH$11&amp;"'!B:R"),15,FALSE),"")</f>
        <v/>
      </c>
      <c r="DI40" s="96">
        <f>IFERROR(VLOOKUP($B40,INDIRECT("'GRD-"&amp;DI$11&amp;"'!B:R"),15,FALSE),"")</f>
        <v/>
      </c>
      <c r="DJ40" s="96">
        <f>IFERROR(VLOOKUP($B40,INDIRECT("'GRD-"&amp;DJ$11&amp;"'!B:R"),15,FALSE),"")</f>
        <v/>
      </c>
      <c r="DK40" s="96">
        <f>IFERROR(VLOOKUP($B40,INDIRECT("'GRD-"&amp;DK$11&amp;"'!B:R"),15,FALSE),"")</f>
        <v/>
      </c>
      <c r="DL40" s="96">
        <f>IFERROR(VLOOKUP($B40,INDIRECT("'GRD-"&amp;DL$11&amp;"'!B:R"),15,FALSE),"")</f>
        <v/>
      </c>
      <c r="DM40" s="96">
        <f>IFERROR(VLOOKUP($B40,INDIRECT("'GRD-"&amp;DM$11&amp;"'!B:R"),15,FALSE),"")</f>
        <v/>
      </c>
      <c r="DN40" s="96">
        <f>IFERROR(VLOOKUP($B40,INDIRECT("'GRD-"&amp;DN$11&amp;"'!B:R"),15,FALSE),"")</f>
        <v/>
      </c>
      <c r="DO40" s="96">
        <f>IFERROR(VLOOKUP($B40,INDIRECT("'GRD-"&amp;DO$11&amp;"'!B:R"),15,FALSE),"")</f>
        <v/>
      </c>
      <c r="DP40" s="96">
        <f>IFERROR(VLOOKUP($B40,INDIRECT("'GRD-"&amp;DP$11&amp;"'!B:R"),15,FALSE),"")</f>
        <v/>
      </c>
      <c r="DQ40" s="96">
        <f>IFERROR(VLOOKUP($B40,INDIRECT("'GRD-"&amp;DQ$11&amp;"'!B:R"),15,FALSE),"")</f>
        <v/>
      </c>
      <c r="DR40" s="96">
        <f>IFERROR(VLOOKUP($B40,INDIRECT("'GRD-"&amp;DR$11&amp;"'!B:R"),15,FALSE),"")</f>
        <v/>
      </c>
      <c r="DS40" s="96">
        <f>IFERROR(VLOOKUP($B40,INDIRECT("'GRD-"&amp;DS$11&amp;"'!B:R"),15,FALSE),"")</f>
        <v/>
      </c>
      <c r="DT40" s="96">
        <f>IFERROR(VLOOKUP($B40,INDIRECT("'GRD-"&amp;DT$11&amp;"'!B:R"),15,FALSE),"")</f>
        <v/>
      </c>
      <c r="DU40" s="96">
        <f>IFERROR(VLOOKUP($B40,INDIRECT("'GRD-"&amp;DU$11&amp;"'!B:R"),15,FALSE),"")</f>
        <v/>
      </c>
      <c r="DV40" s="96">
        <f>IFERROR(VLOOKUP($B40,INDIRECT("'GRD-"&amp;DV$11&amp;"'!B:R"),15,FALSE),"")</f>
        <v/>
      </c>
      <c r="DW40" s="96">
        <f>IFERROR(VLOOKUP($B40,INDIRECT("'GRD-"&amp;DW$11&amp;"'!B:R"),15,FALSE),"")</f>
        <v/>
      </c>
      <c r="DX40" s="96">
        <f>IFERROR(VLOOKUP($B40,INDIRECT("'GRD-"&amp;DX$11&amp;"'!B:R"),15,FALSE),"")</f>
        <v/>
      </c>
      <c r="DY40" s="96">
        <f>IFERROR(VLOOKUP($B40,INDIRECT("'GRD-"&amp;DY$11&amp;"'!B:R"),15,FALSE),"")</f>
        <v/>
      </c>
      <c r="DZ40" s="96">
        <f>IFERROR(VLOOKUP($B40,INDIRECT("'GRD-"&amp;DZ$11&amp;"'!B:R"),15,FALSE),"")</f>
        <v/>
      </c>
      <c r="EA40" s="96">
        <f>IFERROR(VLOOKUP($B40,INDIRECT("'GRD-"&amp;EA$11&amp;"'!B:R"),15,FALSE),"")</f>
        <v/>
      </c>
      <c r="EB40" s="96">
        <f>IFERROR(VLOOKUP($B40,INDIRECT("'GRD-"&amp;EB$11&amp;"'!B:R"),15,FALSE),"")</f>
        <v/>
      </c>
      <c r="EC40" s="96">
        <f>IFERROR(VLOOKUP($B40,INDIRECT("'GRD-"&amp;EC$11&amp;"'!B:R"),15,FALSE),"")</f>
        <v/>
      </c>
      <c r="ED40" s="96">
        <f>IFERROR(VLOOKUP($B40,INDIRECT("'GRD-"&amp;ED$11&amp;"'!B:R"),15,FALSE),"")</f>
        <v/>
      </c>
      <c r="EE40" s="96">
        <f>IFERROR(VLOOKUP($B40,INDIRECT("'GRD-"&amp;EE$11&amp;"'!B:R"),15,FALSE),"")</f>
        <v/>
      </c>
      <c r="EF40" s="96">
        <f>IFERROR(VLOOKUP($B40,INDIRECT("'GRD-"&amp;EF$11&amp;"'!B:R"),15,FALSE),"")</f>
        <v/>
      </c>
      <c r="EG40" s="96">
        <f>IFERROR(VLOOKUP($B40,INDIRECT("'GRD-"&amp;EG$11&amp;"'!B:R"),15,FALSE),"")</f>
        <v/>
      </c>
      <c r="EH40" s="96">
        <f>IFERROR(VLOOKUP($B40,INDIRECT("'GRD-"&amp;EH$11&amp;"'!B:R"),15,FALSE),"")</f>
        <v/>
      </c>
      <c r="EI40" s="96">
        <f>IFERROR(VLOOKUP($B40,INDIRECT("'GRD-"&amp;EI$11&amp;"'!B:R"),15,FALSE),"")</f>
        <v/>
      </c>
      <c r="EJ40" s="96">
        <f>IFERROR(VLOOKUP($B40,INDIRECT("'GRD-"&amp;EJ$11&amp;"'!B:R"),15,FALSE),"")</f>
        <v/>
      </c>
      <c r="EK40" s="96">
        <f>IFERROR(VLOOKUP($B40,INDIRECT("'GRD-"&amp;EK$11&amp;"'!B:R"),15,FALSE),"")</f>
        <v/>
      </c>
      <c r="EL40" s="96">
        <f>IFERROR(VLOOKUP($B40,INDIRECT("'GRD-"&amp;EL$11&amp;"'!B:R"),15,FALSE),"")</f>
        <v/>
      </c>
      <c r="EM40" s="96">
        <f>IFERROR(VLOOKUP($B40,INDIRECT("'GRD-"&amp;EM$11&amp;"'!B:R"),15,FALSE),"")</f>
        <v/>
      </c>
      <c r="EN40" s="96">
        <f>IFERROR(VLOOKUP($B40,INDIRECT("'GRD-"&amp;EN$11&amp;"'!B:R"),15,FALSE),"")</f>
        <v/>
      </c>
      <c r="EO40" s="96">
        <f>IFERROR(VLOOKUP($B40,INDIRECT("'GRD-"&amp;EO$11&amp;"'!B:R"),15,FALSE),"")</f>
        <v/>
      </c>
      <c r="EP40" s="96">
        <f>IFERROR(VLOOKUP($B40,INDIRECT("'GRD-"&amp;EP$11&amp;"'!B:R"),15,FALSE),"")</f>
        <v/>
      </c>
      <c r="EQ40" s="96">
        <f>IFERROR(VLOOKUP($B40,INDIRECT("'GRD-"&amp;EQ$11&amp;"'!B:R"),15,FALSE),"")</f>
        <v/>
      </c>
      <c r="ER40" s="96">
        <f>IFERROR(VLOOKUP($B40,INDIRECT("'GRD-"&amp;ER$11&amp;"'!B:R"),15,FALSE),"")</f>
        <v/>
      </c>
      <c r="ES40" s="96">
        <f>IFERROR(VLOOKUP($B40,INDIRECT("'GRD-"&amp;ES$11&amp;"'!B:R"),15,FALSE),"")</f>
        <v/>
      </c>
      <c r="ET40" s="96">
        <f>IFERROR(VLOOKUP($B40,INDIRECT("'GRD-"&amp;ET$11&amp;"'!B:R"),15,FALSE),"")</f>
        <v/>
      </c>
      <c r="EU40" s="96">
        <f>IFERROR(VLOOKUP($B40,INDIRECT("'GRD-"&amp;EU$11&amp;"'!B:R"),15,FALSE),"")</f>
        <v/>
      </c>
      <c r="EV40" s="96">
        <f>IFERROR(VLOOKUP($B40,INDIRECT("'GRD-"&amp;EV$11&amp;"'!B:R"),15,FALSE),"")</f>
        <v/>
      </c>
      <c r="EW40" s="96">
        <f>IFERROR(VLOOKUP($B40,INDIRECT("'GRD-"&amp;EW$11&amp;"'!B:R"),15,FALSE),"")</f>
        <v/>
      </c>
      <c r="EX40" s="96">
        <f>IFERROR(VLOOKUP($B40,INDIRECT("'GRD-"&amp;EX$11&amp;"'!B:R"),15,FALSE),"")</f>
        <v/>
      </c>
      <c r="EY40" s="96">
        <f>IFERROR(VLOOKUP($B40,INDIRECT("'GRD-"&amp;EY$11&amp;"'!B:R"),15,FALSE),"")</f>
        <v/>
      </c>
      <c r="EZ40" s="96">
        <f>IFERROR(VLOOKUP($B40,INDIRECT("'GRD-"&amp;EZ$11&amp;"'!B:R"),15,FALSE),"")</f>
        <v/>
      </c>
      <c r="FA40" s="96">
        <f>IFERROR(VLOOKUP($B40,INDIRECT("'GRD-"&amp;FA$11&amp;"'!B:R"),15,FALSE),"")</f>
        <v/>
      </c>
      <c r="FB40" s="96">
        <f>IFERROR(VLOOKUP($B40,INDIRECT("'GRD-"&amp;FB$11&amp;"'!B:R"),15,FALSE),"")</f>
        <v/>
      </c>
      <c r="FC40" s="96">
        <f>IFERROR(VLOOKUP($B40,INDIRECT("'GRD-"&amp;FC$11&amp;"'!B:R"),15,FALSE),"")</f>
        <v/>
      </c>
      <c r="FD40" s="96">
        <f>IFERROR(VLOOKUP($B40,INDIRECT("'GRD-"&amp;FD$11&amp;"'!B:R"),15,FALSE),"")</f>
        <v/>
      </c>
      <c r="FE40" s="96">
        <f>IFERROR(VLOOKUP($B40,INDIRECT("'GRD-"&amp;FE$11&amp;"'!B:R"),15,FALSE),"")</f>
        <v/>
      </c>
      <c r="FF40" s="96">
        <f>IFERROR(VLOOKUP($B40,INDIRECT("'GRD-"&amp;FF$11&amp;"'!B:R"),15,FALSE),"")</f>
        <v/>
      </c>
      <c r="FG40" s="96">
        <f>IFERROR(VLOOKUP($B40,INDIRECT("'GRD-"&amp;FG$11&amp;"'!B:R"),15,FALSE),"")</f>
        <v/>
      </c>
      <c r="FH40" s="96">
        <f>IFERROR(VLOOKUP($B40,INDIRECT("'GRD-"&amp;FH$11&amp;"'!B:R"),15,FALSE),"")</f>
        <v/>
      </c>
      <c r="FI40" s="96">
        <f>IFERROR(VLOOKUP($B40,INDIRECT("'GRD-"&amp;FI$11&amp;"'!B:R"),15,FALSE),"")</f>
        <v/>
      </c>
      <c r="FJ40" s="96">
        <f>IFERROR(VLOOKUP($B40,INDIRECT("'GRD-"&amp;FJ$11&amp;"'!B:R"),15,FALSE),"")</f>
        <v/>
      </c>
      <c r="FK40" s="96">
        <f>IFERROR(VLOOKUP($B40,INDIRECT("'GRD-"&amp;FK$11&amp;"'!B:R"),15,FALSE),"")</f>
        <v/>
      </c>
      <c r="FL40" s="96">
        <f>IFERROR(VLOOKUP($B40,INDIRECT("'GRD-"&amp;FL$11&amp;"'!B:R"),15,FALSE),"")</f>
        <v/>
      </c>
      <c r="FM40" s="96">
        <f>IFERROR(VLOOKUP($B40,INDIRECT("'GRD-"&amp;FM$11&amp;"'!B:R"),15,FALSE),"")</f>
        <v/>
      </c>
      <c r="FN40" s="96">
        <f>IFERROR(VLOOKUP($B40,INDIRECT("'GRD-"&amp;FN$11&amp;"'!B:R"),15,FALSE),"")</f>
        <v/>
      </c>
      <c r="FO40" s="96">
        <f>IFERROR(VLOOKUP($B40,INDIRECT("'GRD-"&amp;FO$11&amp;"'!B:R"),15,FALSE),"")</f>
        <v/>
      </c>
      <c r="FP40" s="96">
        <f>IFERROR(VLOOKUP($B40,INDIRECT("'GRD-"&amp;FP$11&amp;"'!B:R"),15,FALSE),"")</f>
        <v/>
      </c>
      <c r="FQ40" s="96">
        <f>IFERROR(VLOOKUP($B40,INDIRECT("'GRD-"&amp;FQ$11&amp;"'!B:R"),15,FALSE),"")</f>
        <v/>
      </c>
      <c r="FR40" s="96">
        <f>IFERROR(VLOOKUP($B40,INDIRECT("'GRD-"&amp;FR$11&amp;"'!B:R"),15,FALSE),"")</f>
        <v/>
      </c>
      <c r="FS40" s="96">
        <f>IFERROR(VLOOKUP($B40,INDIRECT("'GRD-"&amp;FS$11&amp;"'!B:R"),15,FALSE),"")</f>
        <v/>
      </c>
      <c r="FT40" s="96">
        <f>IFERROR(VLOOKUP($B40,INDIRECT("'GRD-"&amp;FT$11&amp;"'!B:R"),15,FALSE),"")</f>
        <v/>
      </c>
      <c r="FU40" s="96">
        <f>IFERROR(VLOOKUP($B40,INDIRECT("'GRD-"&amp;FU$11&amp;"'!B:R"),15,FALSE),"")</f>
        <v/>
      </c>
      <c r="FV40" s="96">
        <f>IFERROR(VLOOKUP($B40,INDIRECT("'GRD-"&amp;FV$11&amp;"'!B:R"),15,FALSE),"")</f>
        <v/>
      </c>
    </row>
    <row r="41">
      <c r="B41" s="68" t="n"/>
      <c r="C41" s="72" t="n"/>
      <c r="D41" s="73">
        <f>IF(K41="","",MAX($CA41:$FV41))</f>
        <v/>
      </c>
      <c r="E41" s="74">
        <f t="array" ref="E41">IF($K41="","",OFFSET($A$1,ROW($B41)-1,11+$D41*4,))</f>
        <v/>
      </c>
      <c r="F41" s="74">
        <f t="array" ref="F41">IF($K41="","",OFFSET($A$1,ROW($B41)-1,12+$D41*4,))</f>
        <v/>
      </c>
      <c r="G41" s="118">
        <f t="array" ref="G41">IF($K41="","",OFFSET($A$1,ROW($B41)-1,13+$D41*4,))</f>
        <v/>
      </c>
      <c r="H41" s="81" t="n"/>
      <c r="I41" s="82" t="n"/>
      <c r="J41" s="75">
        <f>IF(I41="A4",H41/8,IF(I41="A3",H41/4,IF(I41="A2",H41/2,IF(I41="A1",H41/1,IF(I41="A0",H41*2,"")))))</f>
        <v/>
      </c>
      <c r="K41" s="68">
        <f t="array" ref="K41">IFERROR(OFFSET($BZ$11,ROW($B41)-11,MATCH(K$10,$CA41:$FV41,0),),"")</f>
        <v/>
      </c>
      <c r="L41" s="85">
        <f>IF(K41="","",IF(VLOOKUP($B41,INDIRECT("'GRD-"&amp;M41&amp;"'!$B:$R"),16,FALSE)="","",VLOOKUP($B41,INDIRECT("'GRD-"&amp;M41&amp;"'!$B:$R"),16,FALSE)))</f>
        <v/>
      </c>
      <c r="M41" s="130">
        <f t="array" ref="M41">IF(K41="","",IFERROR(OFFSET($BZ$11,0,MATCH($K41,$CA41:$FV41,0),),""))</f>
        <v/>
      </c>
      <c r="N41" s="119">
        <f t="array" ref="N41">IF(K41="","",INDIRECT("'GRD-"&amp;M41&amp;"'!$L$7"))</f>
        <v/>
      </c>
      <c r="O41" s="76">
        <f t="array" ref="O41">IFERROR(OFFSET($BZ$11,ROW($B41)-11,MATCH(O$10,$CA41:$FV41,0),),"")</f>
        <v/>
      </c>
      <c r="P41" s="76">
        <f>IF(O41="","",IF(VLOOKUP($B41,INDIRECT("'GRD-"&amp;Q41&amp;"'!$B:$R"),16,FALSE)="","",VLOOKUP($B41,INDIRECT("'GRD-"&amp;Q41&amp;"'!$B:$R"),16,FALSE)))</f>
        <v/>
      </c>
      <c r="Q41" s="132">
        <f t="array" ref="Q41">IF(O41="","",IFERROR(OFFSET($BZ$11,0,MATCH($O41,$CA41:$FV41,0),),""))</f>
        <v/>
      </c>
      <c r="R41" s="121">
        <f t="array" ref="R41">IF(O41="","",INDIRECT("'GRD-"&amp;Q41&amp;"'!$L$7"))</f>
        <v/>
      </c>
      <c r="S41" s="83">
        <f t="array" ref="S41">IFERROR(OFFSET($BZ$11,ROW($B41)-11,MATCH(S$10,$CA41:$FV41,0),),"")</f>
        <v/>
      </c>
      <c r="T41" s="83">
        <f>IF(S41="","",IF(VLOOKUP($B41,INDIRECT("'GRD-"&amp;U41&amp;"'!$B:$R"),16,FALSE)="","",VLOOKUP($B41,INDIRECT("'GRD-"&amp;U41&amp;"'!$B:$R"),16,FALSE)))</f>
        <v/>
      </c>
      <c r="U41" s="128">
        <f t="array" ref="U41">IF(S41="","",IFERROR(OFFSET($BZ$11,0,MATCH($S41,$CA41:$FV41,0),),""))</f>
        <v/>
      </c>
      <c r="V41" s="133">
        <f t="array" ref="V41">IF(S41="","",INDIRECT("'GRD-"&amp;U41&amp;"'!$L$7"))</f>
        <v/>
      </c>
      <c r="W41" s="84">
        <f t="array" ref="W41">IFERROR(OFFSET($BZ$11,ROW($B41)-11,MATCH(W$10,$CA41:$FV41,0),),"")</f>
        <v/>
      </c>
      <c r="X41" s="84">
        <f>IF(W41="","",IF(VLOOKUP($B41,INDIRECT("'GRD-"&amp;Y41&amp;"'!$B:$R"),16,FALSE)="","",VLOOKUP($B41,INDIRECT("'GRD-"&amp;Y41&amp;"'!$B:$R"),16,FALSE)))</f>
        <v/>
      </c>
      <c r="Y41" s="129">
        <f t="array" ref="Y41">IF(W41="","",IFERROR(OFFSET($BZ$11,0,MATCH($W41,$CA41:$FV41,0),),""))</f>
        <v/>
      </c>
      <c r="Z41" s="134">
        <f t="array" ref="Z41">IF(W41="","",INDIRECT("'GRD-"&amp;Y41&amp;"'!$L$7"))</f>
        <v/>
      </c>
      <c r="AA41" s="85">
        <f t="array" ref="AA41">IFERROR(OFFSET($BZ$11,ROW($B41)-11,MATCH(AA$10,$CA41:$FV41,0),),"")</f>
        <v/>
      </c>
      <c r="AB41" s="85">
        <f>IF(AA41="","",IF(VLOOKUP($B41,INDIRECT("'GRD-"&amp;AC41&amp;"'!$B:$R"),16,FALSE)="","",VLOOKUP($B41,INDIRECT("'GRD-"&amp;AC41&amp;"'!$B:$R"),16,FALSE)))</f>
        <v/>
      </c>
      <c r="AC41" s="130">
        <f t="array" ref="AC41">IF(AA41="","",IFERROR(OFFSET($BZ$11,0,MATCH($AA41,$CA41:$FV41,0),),""))</f>
        <v/>
      </c>
      <c r="AD41" s="131">
        <f t="array" ref="AD41">IF(AA41="","",INDIRECT("'GRD-"&amp;AC41&amp;"'!$L$7"))</f>
        <v/>
      </c>
      <c r="AE41" s="76">
        <f t="array" ref="AE41">IFERROR(OFFSET($BZ$11,ROW($B41)-11,MATCH(AE$10,$CA41:$FV41,0),),"")</f>
        <v/>
      </c>
      <c r="AF41" s="76">
        <f>IF(AE41="","",IF(VLOOKUP($B41,INDIRECT("'GRD-"&amp;AG41&amp;"'!$B:$R"),16,FALSE)="","",VLOOKUP($B41,INDIRECT("'GRD-"&amp;AG41&amp;"'!$B:$R"),16,FALSE)))</f>
        <v/>
      </c>
      <c r="AG41" s="132">
        <f t="array" ref="AG41">IF(AE41="","",IFERROR(OFFSET($BZ$11,0,MATCH($AE41,$CA41:$FV41,0),),""))</f>
        <v/>
      </c>
      <c r="AH41" s="121">
        <f t="array" ref="AH41">IF(AE41="","",INDIRECT("'GRD-"&amp;AG41&amp;"'!$L$7"))</f>
        <v/>
      </c>
      <c r="AI41" s="83">
        <f t="array" ref="AI41">IFERROR(OFFSET($BZ$11,ROW($B41)-11,MATCH(AI$10,$CA41:$FV41,0),),"")</f>
        <v/>
      </c>
      <c r="AJ41" s="83">
        <f>IF(AI41="","",IF(VLOOKUP($B41,INDIRECT("'GRD-"&amp;AK41&amp;"'!$B:$R"),16,FALSE)="","",VLOOKUP($B41,INDIRECT("'GRD-"&amp;AK41&amp;"'!$B:$R"),16,FALSE)))</f>
        <v/>
      </c>
      <c r="AK41" s="128">
        <f t="array" ref="AK41">IF(AI41="","",IFERROR(OFFSET($BZ$11,0,MATCH($AI41,$CA41:$FV41,0),),""))</f>
        <v/>
      </c>
      <c r="AL41" s="133">
        <f t="array" ref="AL41">IF(AI41="","",INDIRECT("'GRD-"&amp;AK41&amp;"'!$L$7"))</f>
        <v/>
      </c>
      <c r="AM41" s="84">
        <f t="array" ref="AM41">IFERROR(OFFSET($BZ$11,ROW($B41)-11,MATCH(AM$10,$CA41:$FV41,0),),"")</f>
        <v/>
      </c>
      <c r="AN41" s="84">
        <f>IF(AM41="","",IF(VLOOKUP($B41,INDIRECT("'GRD-"&amp;AO41&amp;"'!$B:$R"),16,FALSE)="","",VLOOKUP($B41,INDIRECT("'GRD-"&amp;AO41&amp;"'!$B:$R"),16,FALSE)))</f>
        <v/>
      </c>
      <c r="AO41" s="129">
        <f t="array" ref="AO41">IF(AM41="","",IFERROR(OFFSET($BZ$11,0,MATCH($AM41,$CA41:$FV41,0),),""))</f>
        <v/>
      </c>
      <c r="AP41" s="134">
        <f t="array" ref="AP41">IF(AM41="","",INDIRECT("'GRD-"&amp;AO41&amp;"'!$L$7"))</f>
        <v/>
      </c>
      <c r="AQ41" s="85">
        <f t="array" ref="AQ41">IFERROR(OFFSET($BZ$11,ROW($B41)-11,MATCH(AQ$10,$CA41:$FV41,0),),"")</f>
        <v/>
      </c>
      <c r="AR41" s="85">
        <f>IF(AQ41="","",IF(VLOOKUP($B41,INDIRECT("'GRD-"&amp;AS41&amp;"'!$B:$R"),16,FALSE)="","",VLOOKUP($B41,INDIRECT("'GRD-"&amp;AS41&amp;"'!$B:$R"),16,FALSE)))</f>
        <v/>
      </c>
      <c r="AS41" s="130">
        <f t="array" ref="AS41">IF(AQ41="","",IFERROR(OFFSET($BZ$11,0,MATCH($AQ41,$CA41:$FV41,0),),""))</f>
        <v/>
      </c>
      <c r="AT41" s="131">
        <f t="array" ref="AT41">IF(AQ41="","",INDIRECT("'GRD-"&amp;AS41&amp;"'!$L$7"))</f>
        <v/>
      </c>
      <c r="AU41" s="76">
        <f t="array" ref="AU41">IFERROR(OFFSET($BZ$11,ROW($B41)-11,MATCH(AU$10,$CA41:$FV41,0),),"")</f>
        <v/>
      </c>
      <c r="AV41" s="76">
        <f>IF(AU41="","",IF(VLOOKUP($B41,INDIRECT("'GRD-"&amp;AW41&amp;"'!$B:$R"),16,FALSE)="","",VLOOKUP($B41,INDIRECT("'GRD-"&amp;AW41&amp;"'!$B:$R"),16,FALSE)))</f>
        <v/>
      </c>
      <c r="AW41" s="132">
        <f t="array" ref="AW41">IF(AU41="","",IFERROR(OFFSET($BZ$11,0,MATCH($AU41,$CA41:$FV41,0),),""))</f>
        <v/>
      </c>
      <c r="AX41" s="121">
        <f t="array" ref="AX41">IF(AU41="","",INDIRECT("'GRD-"&amp;AW41&amp;"'!$L$7"))</f>
        <v/>
      </c>
      <c r="AY41" s="83">
        <f t="array" ref="AY41">IFERROR(OFFSET($BZ$11,ROW($B41)-11,MATCH(AY$10,$CA41:$FV41,0),),"")</f>
        <v/>
      </c>
      <c r="AZ41" s="83">
        <f>IF(AY41="","",IF(VLOOKUP($B41,INDIRECT("'GRD-"&amp;BA41&amp;"'!$B:$R"),16,FALSE)="","",VLOOKUP($B41,INDIRECT("'GRD-"&amp;BA41&amp;"'!$B:$R"),16,FALSE)))</f>
        <v/>
      </c>
      <c r="BA41" s="128">
        <f t="array" ref="BA41">IF(AY41="","",IFERROR(OFFSET($BZ$11,0,MATCH($AY41,$CA41:$FV41,0),),""))</f>
        <v/>
      </c>
      <c r="BB41" s="133">
        <f t="array" ref="BB41">IF(AY41="","",INDIRECT("'GRD-"&amp;BA41&amp;"'!$L$7"))</f>
        <v/>
      </c>
      <c r="BC41" s="84">
        <f t="array" ref="BC41">IFERROR(OFFSET($BZ$11,ROW($B41)-11,MATCH(BC$10,$CA41:$FV41,0),),"")</f>
        <v/>
      </c>
      <c r="BD41" s="84">
        <f>IF(BC41="","",IF(VLOOKUP($B41,INDIRECT("'GRD-"&amp;BE41&amp;"'!$B:$R"),16,FALSE)="","",VLOOKUP($B41,INDIRECT("'GRD-"&amp;BE41&amp;"'!$B:$R"),16,FALSE)))</f>
        <v/>
      </c>
      <c r="BE41" s="129">
        <f t="array" ref="BE41">IF(BC41="","",IFERROR(OFFSET($BZ$11,0,MATCH($BC41,$CA41:$FV41,0),),""))</f>
        <v/>
      </c>
      <c r="BF41" s="134">
        <f t="array" ref="BF41">IF(BC41="","",INDIRECT("'GRD-"&amp;BE41&amp;"'!$L$7"))</f>
        <v/>
      </c>
      <c r="CA41" s="96">
        <f>IFERROR(VLOOKUP($B41,INDIRECT("'GRD-"&amp;CA$11&amp;"'!B:R"),15,FALSE),"")</f>
        <v/>
      </c>
      <c r="CB41" s="96">
        <f>IFERROR(VLOOKUP($B41,INDIRECT("'GRD-"&amp;CB$11&amp;"'!B:R"),15,FALSE),"")</f>
        <v/>
      </c>
      <c r="CC41" s="96">
        <f>IFERROR(VLOOKUP($B41,INDIRECT("'GRD-"&amp;CC$11&amp;"'!B:R"),15,FALSE),"")</f>
        <v/>
      </c>
      <c r="CD41" s="96">
        <f>IFERROR(VLOOKUP($B41,INDIRECT("'GRD-"&amp;CD$11&amp;"'!B:R"),15,FALSE),"")</f>
        <v/>
      </c>
      <c r="CE41" s="96">
        <f>IFERROR(VLOOKUP($B41,INDIRECT("'GRD-"&amp;CE$11&amp;"'!B:R"),15,FALSE),"")</f>
        <v/>
      </c>
      <c r="CF41" s="96">
        <f>IFERROR(VLOOKUP($B41,INDIRECT("'GRD-"&amp;CF$11&amp;"'!B:R"),15,FALSE),"")</f>
        <v/>
      </c>
      <c r="CG41" s="96">
        <f>IFERROR(VLOOKUP($B41,INDIRECT("'GRD-"&amp;CG$11&amp;"'!B:R"),15,FALSE),"")</f>
        <v/>
      </c>
      <c r="CH41" s="96">
        <f>IFERROR(VLOOKUP($B41,INDIRECT("'GRD-"&amp;CH$11&amp;"'!B:R"),15,FALSE),"")</f>
        <v/>
      </c>
      <c r="CI41" s="96">
        <f>IFERROR(VLOOKUP($B41,INDIRECT("'GRD-"&amp;CI$11&amp;"'!B:R"),15,FALSE),"")</f>
        <v/>
      </c>
      <c r="CJ41" s="96">
        <f>IFERROR(VLOOKUP($B41,INDIRECT("'GRD-"&amp;CJ$11&amp;"'!B:R"),15,FALSE),"")</f>
        <v/>
      </c>
      <c r="CK41" s="96">
        <f>IFERROR(VLOOKUP($B41,INDIRECT("'GRD-"&amp;CK$11&amp;"'!B:R"),15,FALSE),"")</f>
        <v/>
      </c>
      <c r="CL41" s="96">
        <f>IFERROR(VLOOKUP($B41,INDIRECT("'GRD-"&amp;CL$11&amp;"'!B:R"),15,FALSE),"")</f>
        <v/>
      </c>
      <c r="CM41" s="96">
        <f>IFERROR(VLOOKUP($B41,INDIRECT("'GRD-"&amp;CM$11&amp;"'!B:R"),15,FALSE),"")</f>
        <v/>
      </c>
      <c r="CN41" s="96">
        <f>IFERROR(VLOOKUP($B41,INDIRECT("'GRD-"&amp;CN$11&amp;"'!B:R"),15,FALSE),"")</f>
        <v/>
      </c>
      <c r="CO41" s="96">
        <f>IFERROR(VLOOKUP($B41,INDIRECT("'GRD-"&amp;CO$11&amp;"'!B:R"),15,FALSE),"")</f>
        <v/>
      </c>
      <c r="CP41" s="96">
        <f>IFERROR(VLOOKUP($B41,INDIRECT("'GRD-"&amp;CP$11&amp;"'!B:R"),15,FALSE),"")</f>
        <v/>
      </c>
      <c r="CQ41" s="96">
        <f>IFERROR(VLOOKUP($B41,INDIRECT("'GRD-"&amp;CQ$11&amp;"'!B:R"),15,FALSE),"")</f>
        <v/>
      </c>
      <c r="CR41" s="96">
        <f>IFERROR(VLOOKUP($B41,INDIRECT("'GRD-"&amp;CR$11&amp;"'!B:R"),15,FALSE),"")</f>
        <v/>
      </c>
      <c r="CS41" s="96">
        <f>IFERROR(VLOOKUP($B41,INDIRECT("'GRD-"&amp;CS$11&amp;"'!B:R"),15,FALSE),"")</f>
        <v/>
      </c>
      <c r="CT41" s="96">
        <f>IFERROR(VLOOKUP($B41,INDIRECT("'GRD-"&amp;CT$11&amp;"'!B:R"),15,FALSE),"")</f>
        <v/>
      </c>
      <c r="CU41" s="96">
        <f>IFERROR(VLOOKUP($B41,INDIRECT("'GRD-"&amp;CU$11&amp;"'!B:R"),15,FALSE),"")</f>
        <v/>
      </c>
      <c r="CV41" s="96">
        <f>IFERROR(VLOOKUP($B41,INDIRECT("'GRD-"&amp;CV$11&amp;"'!B:R"),15,FALSE),"")</f>
        <v/>
      </c>
      <c r="CW41" s="96">
        <f>IFERROR(VLOOKUP($B41,INDIRECT("'GRD-"&amp;CW$11&amp;"'!B:R"),15,FALSE),"")</f>
        <v/>
      </c>
      <c r="CX41" s="96">
        <f>IFERROR(VLOOKUP($B41,INDIRECT("'GRD-"&amp;CX$11&amp;"'!B:R"),15,FALSE),"")</f>
        <v/>
      </c>
      <c r="CY41" s="96">
        <f>IFERROR(VLOOKUP($B41,INDIRECT("'GRD-"&amp;CY$11&amp;"'!B:R"),15,FALSE),"")</f>
        <v/>
      </c>
      <c r="CZ41" s="96">
        <f>IFERROR(VLOOKUP($B41,INDIRECT("'GRD-"&amp;CZ$11&amp;"'!B:R"),15,FALSE),"")</f>
        <v/>
      </c>
      <c r="DA41" s="96">
        <f>IFERROR(VLOOKUP($B41,INDIRECT("'GRD-"&amp;DA$11&amp;"'!B:R"),15,FALSE),"")</f>
        <v/>
      </c>
      <c r="DB41" s="96">
        <f>IFERROR(VLOOKUP($B41,INDIRECT("'GRD-"&amp;DB$11&amp;"'!B:R"),15,FALSE),"")</f>
        <v/>
      </c>
      <c r="DC41" s="96">
        <f>IFERROR(VLOOKUP($B41,INDIRECT("'GRD-"&amp;DC$11&amp;"'!B:R"),15,FALSE),"")</f>
        <v/>
      </c>
      <c r="DD41" s="96">
        <f>IFERROR(VLOOKUP($B41,INDIRECT("'GRD-"&amp;DD$11&amp;"'!B:R"),15,FALSE),"")</f>
        <v/>
      </c>
      <c r="DE41" s="96">
        <f>IFERROR(VLOOKUP($B41,INDIRECT("'GRD-"&amp;DE$11&amp;"'!B:R"),15,FALSE),"")</f>
        <v/>
      </c>
      <c r="DF41" s="96">
        <f>IFERROR(VLOOKUP($B41,INDIRECT("'GRD-"&amp;DF$11&amp;"'!B:R"),15,FALSE),"")</f>
        <v/>
      </c>
      <c r="DG41" s="96">
        <f>IFERROR(VLOOKUP($B41,INDIRECT("'GRD-"&amp;DG$11&amp;"'!B:R"),15,FALSE),"")</f>
        <v/>
      </c>
      <c r="DH41" s="96">
        <f>IFERROR(VLOOKUP($B41,INDIRECT("'GRD-"&amp;DH$11&amp;"'!B:R"),15,FALSE),"")</f>
        <v/>
      </c>
      <c r="DI41" s="96">
        <f>IFERROR(VLOOKUP($B41,INDIRECT("'GRD-"&amp;DI$11&amp;"'!B:R"),15,FALSE),"")</f>
        <v/>
      </c>
      <c r="DJ41" s="96">
        <f>IFERROR(VLOOKUP($B41,INDIRECT("'GRD-"&amp;DJ$11&amp;"'!B:R"),15,FALSE),"")</f>
        <v/>
      </c>
      <c r="DK41" s="96">
        <f>IFERROR(VLOOKUP($B41,INDIRECT("'GRD-"&amp;DK$11&amp;"'!B:R"),15,FALSE),"")</f>
        <v/>
      </c>
      <c r="DL41" s="96">
        <f>IFERROR(VLOOKUP($B41,INDIRECT("'GRD-"&amp;DL$11&amp;"'!B:R"),15,FALSE),"")</f>
        <v/>
      </c>
      <c r="DM41" s="96">
        <f>IFERROR(VLOOKUP($B41,INDIRECT("'GRD-"&amp;DM$11&amp;"'!B:R"),15,FALSE),"")</f>
        <v/>
      </c>
      <c r="DN41" s="96">
        <f>IFERROR(VLOOKUP($B41,INDIRECT("'GRD-"&amp;DN$11&amp;"'!B:R"),15,FALSE),"")</f>
        <v/>
      </c>
      <c r="DO41" s="96">
        <f>IFERROR(VLOOKUP($B41,INDIRECT("'GRD-"&amp;DO$11&amp;"'!B:R"),15,FALSE),"")</f>
        <v/>
      </c>
      <c r="DP41" s="96">
        <f>IFERROR(VLOOKUP($B41,INDIRECT("'GRD-"&amp;DP$11&amp;"'!B:R"),15,FALSE),"")</f>
        <v/>
      </c>
      <c r="DQ41" s="96">
        <f>IFERROR(VLOOKUP($B41,INDIRECT("'GRD-"&amp;DQ$11&amp;"'!B:R"),15,FALSE),"")</f>
        <v/>
      </c>
      <c r="DR41" s="96">
        <f>IFERROR(VLOOKUP($B41,INDIRECT("'GRD-"&amp;DR$11&amp;"'!B:R"),15,FALSE),"")</f>
        <v/>
      </c>
      <c r="DS41" s="96">
        <f>IFERROR(VLOOKUP($B41,INDIRECT("'GRD-"&amp;DS$11&amp;"'!B:R"),15,FALSE),"")</f>
        <v/>
      </c>
      <c r="DT41" s="96">
        <f>IFERROR(VLOOKUP($B41,INDIRECT("'GRD-"&amp;DT$11&amp;"'!B:R"),15,FALSE),"")</f>
        <v/>
      </c>
      <c r="DU41" s="96">
        <f>IFERROR(VLOOKUP($B41,INDIRECT("'GRD-"&amp;DU$11&amp;"'!B:R"),15,FALSE),"")</f>
        <v/>
      </c>
      <c r="DV41" s="96">
        <f>IFERROR(VLOOKUP($B41,INDIRECT("'GRD-"&amp;DV$11&amp;"'!B:R"),15,FALSE),"")</f>
        <v/>
      </c>
      <c r="DW41" s="96">
        <f>IFERROR(VLOOKUP($B41,INDIRECT("'GRD-"&amp;DW$11&amp;"'!B:R"),15,FALSE),"")</f>
        <v/>
      </c>
      <c r="DX41" s="96">
        <f>IFERROR(VLOOKUP($B41,INDIRECT("'GRD-"&amp;DX$11&amp;"'!B:R"),15,FALSE),"")</f>
        <v/>
      </c>
      <c r="DY41" s="96">
        <f>IFERROR(VLOOKUP($B41,INDIRECT("'GRD-"&amp;DY$11&amp;"'!B:R"),15,FALSE),"")</f>
        <v/>
      </c>
      <c r="DZ41" s="96">
        <f>IFERROR(VLOOKUP($B41,INDIRECT("'GRD-"&amp;DZ$11&amp;"'!B:R"),15,FALSE),"")</f>
        <v/>
      </c>
      <c r="EA41" s="96">
        <f>IFERROR(VLOOKUP($B41,INDIRECT("'GRD-"&amp;EA$11&amp;"'!B:R"),15,FALSE),"")</f>
        <v/>
      </c>
      <c r="EB41" s="96">
        <f>IFERROR(VLOOKUP($B41,INDIRECT("'GRD-"&amp;EB$11&amp;"'!B:R"),15,FALSE),"")</f>
        <v/>
      </c>
      <c r="EC41" s="96">
        <f>IFERROR(VLOOKUP($B41,INDIRECT("'GRD-"&amp;EC$11&amp;"'!B:R"),15,FALSE),"")</f>
        <v/>
      </c>
      <c r="ED41" s="96">
        <f>IFERROR(VLOOKUP($B41,INDIRECT("'GRD-"&amp;ED$11&amp;"'!B:R"),15,FALSE),"")</f>
        <v/>
      </c>
      <c r="EE41" s="96">
        <f>IFERROR(VLOOKUP($B41,INDIRECT("'GRD-"&amp;EE$11&amp;"'!B:R"),15,FALSE),"")</f>
        <v/>
      </c>
      <c r="EF41" s="96">
        <f>IFERROR(VLOOKUP($B41,INDIRECT("'GRD-"&amp;EF$11&amp;"'!B:R"),15,FALSE),"")</f>
        <v/>
      </c>
      <c r="EG41" s="96">
        <f>IFERROR(VLOOKUP($B41,INDIRECT("'GRD-"&amp;EG$11&amp;"'!B:R"),15,FALSE),"")</f>
        <v/>
      </c>
      <c r="EH41" s="96">
        <f>IFERROR(VLOOKUP($B41,INDIRECT("'GRD-"&amp;EH$11&amp;"'!B:R"),15,FALSE),"")</f>
        <v/>
      </c>
      <c r="EI41" s="96">
        <f>IFERROR(VLOOKUP($B41,INDIRECT("'GRD-"&amp;EI$11&amp;"'!B:R"),15,FALSE),"")</f>
        <v/>
      </c>
      <c r="EJ41" s="96">
        <f>IFERROR(VLOOKUP($B41,INDIRECT("'GRD-"&amp;EJ$11&amp;"'!B:R"),15,FALSE),"")</f>
        <v/>
      </c>
      <c r="EK41" s="96">
        <f>IFERROR(VLOOKUP($B41,INDIRECT("'GRD-"&amp;EK$11&amp;"'!B:R"),15,FALSE),"")</f>
        <v/>
      </c>
      <c r="EL41" s="96">
        <f>IFERROR(VLOOKUP($B41,INDIRECT("'GRD-"&amp;EL$11&amp;"'!B:R"),15,FALSE),"")</f>
        <v/>
      </c>
      <c r="EM41" s="96">
        <f>IFERROR(VLOOKUP($B41,INDIRECT("'GRD-"&amp;EM$11&amp;"'!B:R"),15,FALSE),"")</f>
        <v/>
      </c>
      <c r="EN41" s="96">
        <f>IFERROR(VLOOKUP($B41,INDIRECT("'GRD-"&amp;EN$11&amp;"'!B:R"),15,FALSE),"")</f>
        <v/>
      </c>
      <c r="EO41" s="96">
        <f>IFERROR(VLOOKUP($B41,INDIRECT("'GRD-"&amp;EO$11&amp;"'!B:R"),15,FALSE),"")</f>
        <v/>
      </c>
      <c r="EP41" s="96">
        <f>IFERROR(VLOOKUP($B41,INDIRECT("'GRD-"&amp;EP$11&amp;"'!B:R"),15,FALSE),"")</f>
        <v/>
      </c>
      <c r="EQ41" s="96">
        <f>IFERROR(VLOOKUP($B41,INDIRECT("'GRD-"&amp;EQ$11&amp;"'!B:R"),15,FALSE),"")</f>
        <v/>
      </c>
      <c r="ER41" s="96">
        <f>IFERROR(VLOOKUP($B41,INDIRECT("'GRD-"&amp;ER$11&amp;"'!B:R"),15,FALSE),"")</f>
        <v/>
      </c>
      <c r="ES41" s="96">
        <f>IFERROR(VLOOKUP($B41,INDIRECT("'GRD-"&amp;ES$11&amp;"'!B:R"),15,FALSE),"")</f>
        <v/>
      </c>
      <c r="ET41" s="96">
        <f>IFERROR(VLOOKUP($B41,INDIRECT("'GRD-"&amp;ET$11&amp;"'!B:R"),15,FALSE),"")</f>
        <v/>
      </c>
      <c r="EU41" s="96">
        <f>IFERROR(VLOOKUP($B41,INDIRECT("'GRD-"&amp;EU$11&amp;"'!B:R"),15,FALSE),"")</f>
        <v/>
      </c>
      <c r="EV41" s="96">
        <f>IFERROR(VLOOKUP($B41,INDIRECT("'GRD-"&amp;EV$11&amp;"'!B:R"),15,FALSE),"")</f>
        <v/>
      </c>
      <c r="EW41" s="96">
        <f>IFERROR(VLOOKUP($B41,INDIRECT("'GRD-"&amp;EW$11&amp;"'!B:R"),15,FALSE),"")</f>
        <v/>
      </c>
      <c r="EX41" s="96">
        <f>IFERROR(VLOOKUP($B41,INDIRECT("'GRD-"&amp;EX$11&amp;"'!B:R"),15,FALSE),"")</f>
        <v/>
      </c>
      <c r="EY41" s="96">
        <f>IFERROR(VLOOKUP($B41,INDIRECT("'GRD-"&amp;EY$11&amp;"'!B:R"),15,FALSE),"")</f>
        <v/>
      </c>
      <c r="EZ41" s="96">
        <f>IFERROR(VLOOKUP($B41,INDIRECT("'GRD-"&amp;EZ$11&amp;"'!B:R"),15,FALSE),"")</f>
        <v/>
      </c>
      <c r="FA41" s="96">
        <f>IFERROR(VLOOKUP($B41,INDIRECT("'GRD-"&amp;FA$11&amp;"'!B:R"),15,FALSE),"")</f>
        <v/>
      </c>
      <c r="FB41" s="96">
        <f>IFERROR(VLOOKUP($B41,INDIRECT("'GRD-"&amp;FB$11&amp;"'!B:R"),15,FALSE),"")</f>
        <v/>
      </c>
      <c r="FC41" s="96">
        <f>IFERROR(VLOOKUP($B41,INDIRECT("'GRD-"&amp;FC$11&amp;"'!B:R"),15,FALSE),"")</f>
        <v/>
      </c>
      <c r="FD41" s="96">
        <f>IFERROR(VLOOKUP($B41,INDIRECT("'GRD-"&amp;FD$11&amp;"'!B:R"),15,FALSE),"")</f>
        <v/>
      </c>
      <c r="FE41" s="96">
        <f>IFERROR(VLOOKUP($B41,INDIRECT("'GRD-"&amp;FE$11&amp;"'!B:R"),15,FALSE),"")</f>
        <v/>
      </c>
      <c r="FF41" s="96">
        <f>IFERROR(VLOOKUP($B41,INDIRECT("'GRD-"&amp;FF$11&amp;"'!B:R"),15,FALSE),"")</f>
        <v/>
      </c>
      <c r="FG41" s="96">
        <f>IFERROR(VLOOKUP($B41,INDIRECT("'GRD-"&amp;FG$11&amp;"'!B:R"),15,FALSE),"")</f>
        <v/>
      </c>
      <c r="FH41" s="96">
        <f>IFERROR(VLOOKUP($B41,INDIRECT("'GRD-"&amp;FH$11&amp;"'!B:R"),15,FALSE),"")</f>
        <v/>
      </c>
      <c r="FI41" s="96">
        <f>IFERROR(VLOOKUP($B41,INDIRECT("'GRD-"&amp;FI$11&amp;"'!B:R"),15,FALSE),"")</f>
        <v/>
      </c>
      <c r="FJ41" s="96">
        <f>IFERROR(VLOOKUP($B41,INDIRECT("'GRD-"&amp;FJ$11&amp;"'!B:R"),15,FALSE),"")</f>
        <v/>
      </c>
      <c r="FK41" s="96">
        <f>IFERROR(VLOOKUP($B41,INDIRECT("'GRD-"&amp;FK$11&amp;"'!B:R"),15,FALSE),"")</f>
        <v/>
      </c>
      <c r="FL41" s="96">
        <f>IFERROR(VLOOKUP($B41,INDIRECT("'GRD-"&amp;FL$11&amp;"'!B:R"),15,FALSE),"")</f>
        <v/>
      </c>
      <c r="FM41" s="96">
        <f>IFERROR(VLOOKUP($B41,INDIRECT("'GRD-"&amp;FM$11&amp;"'!B:R"),15,FALSE),"")</f>
        <v/>
      </c>
      <c r="FN41" s="96">
        <f>IFERROR(VLOOKUP($B41,INDIRECT("'GRD-"&amp;FN$11&amp;"'!B:R"),15,FALSE),"")</f>
        <v/>
      </c>
      <c r="FO41" s="96">
        <f>IFERROR(VLOOKUP($B41,INDIRECT("'GRD-"&amp;FO$11&amp;"'!B:R"),15,FALSE),"")</f>
        <v/>
      </c>
      <c r="FP41" s="96">
        <f>IFERROR(VLOOKUP($B41,INDIRECT("'GRD-"&amp;FP$11&amp;"'!B:R"),15,FALSE),"")</f>
        <v/>
      </c>
      <c r="FQ41" s="96">
        <f>IFERROR(VLOOKUP($B41,INDIRECT("'GRD-"&amp;FQ$11&amp;"'!B:R"),15,FALSE),"")</f>
        <v/>
      </c>
      <c r="FR41" s="96">
        <f>IFERROR(VLOOKUP($B41,INDIRECT("'GRD-"&amp;FR$11&amp;"'!B:R"),15,FALSE),"")</f>
        <v/>
      </c>
      <c r="FS41" s="96">
        <f>IFERROR(VLOOKUP($B41,INDIRECT("'GRD-"&amp;FS$11&amp;"'!B:R"),15,FALSE),"")</f>
        <v/>
      </c>
      <c r="FT41" s="96">
        <f>IFERROR(VLOOKUP($B41,INDIRECT("'GRD-"&amp;FT$11&amp;"'!B:R"),15,FALSE),"")</f>
        <v/>
      </c>
      <c r="FU41" s="96">
        <f>IFERROR(VLOOKUP($B41,INDIRECT("'GRD-"&amp;FU$11&amp;"'!B:R"),15,FALSE),"")</f>
        <v/>
      </c>
      <c r="FV41" s="96">
        <f>IFERROR(VLOOKUP($B41,INDIRECT("'GRD-"&amp;FV$11&amp;"'!B:R"),15,FALSE),"")</f>
        <v/>
      </c>
    </row>
    <row r="42">
      <c r="B42" s="68" t="n"/>
      <c r="C42" s="72" t="n"/>
      <c r="D42" s="73">
        <f>IF(K42="","",MAX($CA42:$FV42))</f>
        <v/>
      </c>
      <c r="E42" s="74">
        <f t="array" ref="E42">IF($K42="","",OFFSET($A$1,ROW($B42)-1,11+$D42*4,))</f>
        <v/>
      </c>
      <c r="F42" s="74">
        <f t="array" ref="F42">IF($K42="","",OFFSET($A$1,ROW($B42)-1,12+$D42*4,))</f>
        <v/>
      </c>
      <c r="G42" s="118">
        <f t="array" ref="G42">IF($K42="","",OFFSET($A$1,ROW($B42)-1,13+$D42*4,))</f>
        <v/>
      </c>
      <c r="H42" s="81" t="n"/>
      <c r="I42" s="82" t="n"/>
      <c r="J42" s="75">
        <f>IF(I42="A4",H42/8,IF(I42="A3",H42/4,IF(I42="A2",H42/2,IF(I42="A1",H42/1,IF(I42="A0",H42*2,"")))))</f>
        <v/>
      </c>
      <c r="K42" s="68">
        <f t="array" ref="K42">IFERROR(OFFSET($BZ$11,ROW($B42)-11,MATCH(K$10,$CA42:$FV42,0),),"")</f>
        <v/>
      </c>
      <c r="L42" s="85">
        <f>IF(K42="","",IF(VLOOKUP($B42,INDIRECT("'GRD-"&amp;M42&amp;"'!$B:$R"),16,FALSE)="","",VLOOKUP($B42,INDIRECT("'GRD-"&amp;M42&amp;"'!$B:$R"),16,FALSE)))</f>
        <v/>
      </c>
      <c r="M42" s="130">
        <f t="array" ref="M42">IF(K42="","",IFERROR(OFFSET($BZ$11,0,MATCH($K42,$CA42:$FV42,0),),""))</f>
        <v/>
      </c>
      <c r="N42" s="119">
        <f t="array" ref="N42">IF(K42="","",INDIRECT("'GRD-"&amp;M42&amp;"'!$L$7"))</f>
        <v/>
      </c>
      <c r="O42" s="76">
        <f t="array" ref="O42">IFERROR(OFFSET($BZ$11,ROW($B42)-11,MATCH(O$10,$CA42:$FV42,0),),"")</f>
        <v/>
      </c>
      <c r="P42" s="76">
        <f>IF(O42="","",IF(VLOOKUP($B42,INDIRECT("'GRD-"&amp;Q42&amp;"'!$B:$R"),16,FALSE)="","",VLOOKUP($B42,INDIRECT("'GRD-"&amp;Q42&amp;"'!$B:$R"),16,FALSE)))</f>
        <v/>
      </c>
      <c r="Q42" s="132">
        <f t="array" ref="Q42">IF(O42="","",IFERROR(OFFSET($BZ$11,0,MATCH($O42,$CA42:$FV42,0),),""))</f>
        <v/>
      </c>
      <c r="R42" s="121">
        <f t="array" ref="R42">IF(O42="","",INDIRECT("'GRD-"&amp;Q42&amp;"'!$L$7"))</f>
        <v/>
      </c>
      <c r="S42" s="83">
        <f t="array" ref="S42">IFERROR(OFFSET($BZ$11,ROW($B42)-11,MATCH(S$10,$CA42:$FV42,0),),"")</f>
        <v/>
      </c>
      <c r="T42" s="83">
        <f>IF(S42="","",IF(VLOOKUP($B42,INDIRECT("'GRD-"&amp;U42&amp;"'!$B:$R"),16,FALSE)="","",VLOOKUP($B42,INDIRECT("'GRD-"&amp;U42&amp;"'!$B:$R"),16,FALSE)))</f>
        <v/>
      </c>
      <c r="U42" s="128">
        <f t="array" ref="U42">IF(S42="","",IFERROR(OFFSET($BZ$11,0,MATCH($S42,$CA42:$FV42,0),),""))</f>
        <v/>
      </c>
      <c r="V42" s="133">
        <f t="array" ref="V42">IF(S42="","",INDIRECT("'GRD-"&amp;U42&amp;"'!$L$7"))</f>
        <v/>
      </c>
      <c r="W42" s="84">
        <f t="array" ref="W42">IFERROR(OFFSET($BZ$11,ROW($B42)-11,MATCH(W$10,$CA42:$FV42,0),),"")</f>
        <v/>
      </c>
      <c r="X42" s="84">
        <f>IF(W42="","",IF(VLOOKUP($B42,INDIRECT("'GRD-"&amp;Y42&amp;"'!$B:$R"),16,FALSE)="","",VLOOKUP($B42,INDIRECT("'GRD-"&amp;Y42&amp;"'!$B:$R"),16,FALSE)))</f>
        <v/>
      </c>
      <c r="Y42" s="129">
        <f t="array" ref="Y42">IF(W42="","",IFERROR(OFFSET($BZ$11,0,MATCH($W42,$CA42:$FV42,0),),""))</f>
        <v/>
      </c>
      <c r="Z42" s="134">
        <f t="array" ref="Z42">IF(W42="","",INDIRECT("'GRD-"&amp;Y42&amp;"'!$L$7"))</f>
        <v/>
      </c>
      <c r="AA42" s="85">
        <f t="array" ref="AA42">IFERROR(OFFSET($BZ$11,ROW($B42)-11,MATCH(AA$10,$CA42:$FV42,0),),"")</f>
        <v/>
      </c>
      <c r="AB42" s="85">
        <f>IF(AA42="","",IF(VLOOKUP($B42,INDIRECT("'GRD-"&amp;AC42&amp;"'!$B:$R"),16,FALSE)="","",VLOOKUP($B42,INDIRECT("'GRD-"&amp;AC42&amp;"'!$B:$R"),16,FALSE)))</f>
        <v/>
      </c>
      <c r="AC42" s="130">
        <f t="array" ref="AC42">IF(AA42="","",IFERROR(OFFSET($BZ$11,0,MATCH($AA42,$CA42:$FV42,0),),""))</f>
        <v/>
      </c>
      <c r="AD42" s="131">
        <f t="array" ref="AD42">IF(AA42="","",INDIRECT("'GRD-"&amp;AC42&amp;"'!$L$7"))</f>
        <v/>
      </c>
      <c r="AE42" s="76">
        <f t="array" ref="AE42">IFERROR(OFFSET($BZ$11,ROW($B42)-11,MATCH(AE$10,$CA42:$FV42,0),),"")</f>
        <v/>
      </c>
      <c r="AF42" s="76">
        <f>IF(AE42="","",IF(VLOOKUP($B42,INDIRECT("'GRD-"&amp;AG42&amp;"'!$B:$R"),16,FALSE)="","",VLOOKUP($B42,INDIRECT("'GRD-"&amp;AG42&amp;"'!$B:$R"),16,FALSE)))</f>
        <v/>
      </c>
      <c r="AG42" s="132">
        <f t="array" ref="AG42">IF(AE42="","",IFERROR(OFFSET($BZ$11,0,MATCH($AE42,$CA42:$FV42,0),),""))</f>
        <v/>
      </c>
      <c r="AH42" s="121">
        <f t="array" ref="AH42">IF(AE42="","",INDIRECT("'GRD-"&amp;AG42&amp;"'!$L$7"))</f>
        <v/>
      </c>
      <c r="AI42" s="83">
        <f t="array" ref="AI42">IFERROR(OFFSET($BZ$11,ROW($B42)-11,MATCH(AI$10,$CA42:$FV42,0),),"")</f>
        <v/>
      </c>
      <c r="AJ42" s="83">
        <f>IF(AI42="","",IF(VLOOKUP($B42,INDIRECT("'GRD-"&amp;AK42&amp;"'!$B:$R"),16,FALSE)="","",VLOOKUP($B42,INDIRECT("'GRD-"&amp;AK42&amp;"'!$B:$R"),16,FALSE)))</f>
        <v/>
      </c>
      <c r="AK42" s="128">
        <f t="array" ref="AK42">IF(AI42="","",IFERROR(OFFSET($BZ$11,0,MATCH($AI42,$CA42:$FV42,0),),""))</f>
        <v/>
      </c>
      <c r="AL42" s="133">
        <f t="array" ref="AL42">IF(AI42="","",INDIRECT("'GRD-"&amp;AK42&amp;"'!$L$7"))</f>
        <v/>
      </c>
      <c r="AM42" s="84">
        <f t="array" ref="AM42">IFERROR(OFFSET($BZ$11,ROW($B42)-11,MATCH(AM$10,$CA42:$FV42,0),),"")</f>
        <v/>
      </c>
      <c r="AN42" s="84">
        <f>IF(AM42="","",IF(VLOOKUP($B42,INDIRECT("'GRD-"&amp;AO42&amp;"'!$B:$R"),16,FALSE)="","",VLOOKUP($B42,INDIRECT("'GRD-"&amp;AO42&amp;"'!$B:$R"),16,FALSE)))</f>
        <v/>
      </c>
      <c r="AO42" s="129">
        <f t="array" ref="AO42">IF(AM42="","",IFERROR(OFFSET($BZ$11,0,MATCH($AM42,$CA42:$FV42,0),),""))</f>
        <v/>
      </c>
      <c r="AP42" s="134">
        <f t="array" ref="AP42">IF(AM42="","",INDIRECT("'GRD-"&amp;AO42&amp;"'!$L$7"))</f>
        <v/>
      </c>
      <c r="AQ42" s="85">
        <f t="array" ref="AQ42">IFERROR(OFFSET($BZ$11,ROW($B42)-11,MATCH(AQ$10,$CA42:$FV42,0),),"")</f>
        <v/>
      </c>
      <c r="AR42" s="85">
        <f>IF(AQ42="","",IF(VLOOKUP($B42,INDIRECT("'GRD-"&amp;AS42&amp;"'!$B:$R"),16,FALSE)="","",VLOOKUP($B42,INDIRECT("'GRD-"&amp;AS42&amp;"'!$B:$R"),16,FALSE)))</f>
        <v/>
      </c>
      <c r="AS42" s="130">
        <f t="array" ref="AS42">IF(AQ42="","",IFERROR(OFFSET($BZ$11,0,MATCH($AQ42,$CA42:$FV42,0),),""))</f>
        <v/>
      </c>
      <c r="AT42" s="131">
        <f t="array" ref="AT42">IF(AQ42="","",INDIRECT("'GRD-"&amp;AS42&amp;"'!$L$7"))</f>
        <v/>
      </c>
      <c r="AU42" s="76">
        <f t="array" ref="AU42">IFERROR(OFFSET($BZ$11,ROW($B42)-11,MATCH(AU$10,$CA42:$FV42,0),),"")</f>
        <v/>
      </c>
      <c r="AV42" s="76">
        <f>IF(AU42="","",IF(VLOOKUP($B42,INDIRECT("'GRD-"&amp;AW42&amp;"'!$B:$R"),16,FALSE)="","",VLOOKUP($B42,INDIRECT("'GRD-"&amp;AW42&amp;"'!$B:$R"),16,FALSE)))</f>
        <v/>
      </c>
      <c r="AW42" s="132">
        <f t="array" ref="AW42">IF(AU42="","",IFERROR(OFFSET($BZ$11,0,MATCH($AU42,$CA42:$FV42,0),),""))</f>
        <v/>
      </c>
      <c r="AX42" s="121">
        <f t="array" ref="AX42">IF(AU42="","",INDIRECT("'GRD-"&amp;AW42&amp;"'!$L$7"))</f>
        <v/>
      </c>
      <c r="AY42" s="83">
        <f t="array" ref="AY42">IFERROR(OFFSET($BZ$11,ROW($B42)-11,MATCH(AY$10,$CA42:$FV42,0),),"")</f>
        <v/>
      </c>
      <c r="AZ42" s="83">
        <f>IF(AY42="","",IF(VLOOKUP($B42,INDIRECT("'GRD-"&amp;BA42&amp;"'!$B:$R"),16,FALSE)="","",VLOOKUP($B42,INDIRECT("'GRD-"&amp;BA42&amp;"'!$B:$R"),16,FALSE)))</f>
        <v/>
      </c>
      <c r="BA42" s="128">
        <f t="array" ref="BA42">IF(AY42="","",IFERROR(OFFSET($BZ$11,0,MATCH($AY42,$CA42:$FV42,0),),""))</f>
        <v/>
      </c>
      <c r="BB42" s="133">
        <f t="array" ref="BB42">IF(AY42="","",INDIRECT("'GRD-"&amp;BA42&amp;"'!$L$7"))</f>
        <v/>
      </c>
      <c r="BC42" s="84">
        <f t="array" ref="BC42">IFERROR(OFFSET($BZ$11,ROW($B42)-11,MATCH(BC$10,$CA42:$FV42,0),),"")</f>
        <v/>
      </c>
      <c r="BD42" s="84">
        <f>IF(BC42="","",IF(VLOOKUP($B42,INDIRECT("'GRD-"&amp;BE42&amp;"'!$B:$R"),16,FALSE)="","",VLOOKUP($B42,INDIRECT("'GRD-"&amp;BE42&amp;"'!$B:$R"),16,FALSE)))</f>
        <v/>
      </c>
      <c r="BE42" s="129">
        <f t="array" ref="BE42">IF(BC42="","",IFERROR(OFFSET($BZ$11,0,MATCH($BC42,$CA42:$FV42,0),),""))</f>
        <v/>
      </c>
      <c r="BF42" s="134">
        <f t="array" ref="BF42">IF(BC42="","",INDIRECT("'GRD-"&amp;BE42&amp;"'!$L$7"))</f>
        <v/>
      </c>
      <c r="CA42" s="96">
        <f>IFERROR(VLOOKUP($B42,INDIRECT("'GRD-"&amp;CA$11&amp;"'!B:R"),15,FALSE),"")</f>
        <v/>
      </c>
      <c r="CB42" s="96">
        <f>IFERROR(VLOOKUP($B42,INDIRECT("'GRD-"&amp;CB$11&amp;"'!B:R"),15,FALSE),"")</f>
        <v/>
      </c>
      <c r="CC42" s="96">
        <f>IFERROR(VLOOKUP($B42,INDIRECT("'GRD-"&amp;CC$11&amp;"'!B:R"),15,FALSE),"")</f>
        <v/>
      </c>
      <c r="CD42" s="96">
        <f>IFERROR(VLOOKUP($B42,INDIRECT("'GRD-"&amp;CD$11&amp;"'!B:R"),15,FALSE),"")</f>
        <v/>
      </c>
      <c r="CE42" s="96">
        <f>IFERROR(VLOOKUP($B42,INDIRECT("'GRD-"&amp;CE$11&amp;"'!B:R"),15,FALSE),"")</f>
        <v/>
      </c>
      <c r="CF42" s="96">
        <f>IFERROR(VLOOKUP($B42,INDIRECT("'GRD-"&amp;CF$11&amp;"'!B:R"),15,FALSE),"")</f>
        <v/>
      </c>
      <c r="CG42" s="96">
        <f>IFERROR(VLOOKUP($B42,INDIRECT("'GRD-"&amp;CG$11&amp;"'!B:R"),15,FALSE),"")</f>
        <v/>
      </c>
      <c r="CH42" s="96">
        <f>IFERROR(VLOOKUP($B42,INDIRECT("'GRD-"&amp;CH$11&amp;"'!B:R"),15,FALSE),"")</f>
        <v/>
      </c>
      <c r="CI42" s="96">
        <f>IFERROR(VLOOKUP($B42,INDIRECT("'GRD-"&amp;CI$11&amp;"'!B:R"),15,FALSE),"")</f>
        <v/>
      </c>
      <c r="CJ42" s="96">
        <f>IFERROR(VLOOKUP($B42,INDIRECT("'GRD-"&amp;CJ$11&amp;"'!B:R"),15,FALSE),"")</f>
        <v/>
      </c>
      <c r="CK42" s="96">
        <f>IFERROR(VLOOKUP($B42,INDIRECT("'GRD-"&amp;CK$11&amp;"'!B:R"),15,FALSE),"")</f>
        <v/>
      </c>
      <c r="CL42" s="96">
        <f>IFERROR(VLOOKUP($B42,INDIRECT("'GRD-"&amp;CL$11&amp;"'!B:R"),15,FALSE),"")</f>
        <v/>
      </c>
      <c r="CM42" s="96">
        <f>IFERROR(VLOOKUP($B42,INDIRECT("'GRD-"&amp;CM$11&amp;"'!B:R"),15,FALSE),"")</f>
        <v/>
      </c>
      <c r="CN42" s="96">
        <f>IFERROR(VLOOKUP($B42,INDIRECT("'GRD-"&amp;CN$11&amp;"'!B:R"),15,FALSE),"")</f>
        <v/>
      </c>
      <c r="CO42" s="96">
        <f>IFERROR(VLOOKUP($B42,INDIRECT("'GRD-"&amp;CO$11&amp;"'!B:R"),15,FALSE),"")</f>
        <v/>
      </c>
      <c r="CP42" s="96">
        <f>IFERROR(VLOOKUP($B42,INDIRECT("'GRD-"&amp;CP$11&amp;"'!B:R"),15,FALSE),"")</f>
        <v/>
      </c>
      <c r="CQ42" s="96">
        <f>IFERROR(VLOOKUP($B42,INDIRECT("'GRD-"&amp;CQ$11&amp;"'!B:R"),15,FALSE),"")</f>
        <v/>
      </c>
      <c r="CR42" s="96">
        <f>IFERROR(VLOOKUP($B42,INDIRECT("'GRD-"&amp;CR$11&amp;"'!B:R"),15,FALSE),"")</f>
        <v/>
      </c>
      <c r="CS42" s="96">
        <f>IFERROR(VLOOKUP($B42,INDIRECT("'GRD-"&amp;CS$11&amp;"'!B:R"),15,FALSE),"")</f>
        <v/>
      </c>
      <c r="CT42" s="96">
        <f>IFERROR(VLOOKUP($B42,INDIRECT("'GRD-"&amp;CT$11&amp;"'!B:R"),15,FALSE),"")</f>
        <v/>
      </c>
      <c r="CU42" s="96">
        <f>IFERROR(VLOOKUP($B42,INDIRECT("'GRD-"&amp;CU$11&amp;"'!B:R"),15,FALSE),"")</f>
        <v/>
      </c>
      <c r="CV42" s="96">
        <f>IFERROR(VLOOKUP($B42,INDIRECT("'GRD-"&amp;CV$11&amp;"'!B:R"),15,FALSE),"")</f>
        <v/>
      </c>
      <c r="CW42" s="96">
        <f>IFERROR(VLOOKUP($B42,INDIRECT("'GRD-"&amp;CW$11&amp;"'!B:R"),15,FALSE),"")</f>
        <v/>
      </c>
      <c r="CX42" s="96">
        <f>IFERROR(VLOOKUP($B42,INDIRECT("'GRD-"&amp;CX$11&amp;"'!B:R"),15,FALSE),"")</f>
        <v/>
      </c>
      <c r="CY42" s="96">
        <f>IFERROR(VLOOKUP($B42,INDIRECT("'GRD-"&amp;CY$11&amp;"'!B:R"),15,FALSE),"")</f>
        <v/>
      </c>
      <c r="CZ42" s="96">
        <f>IFERROR(VLOOKUP($B42,INDIRECT("'GRD-"&amp;CZ$11&amp;"'!B:R"),15,FALSE),"")</f>
        <v/>
      </c>
      <c r="DA42" s="96">
        <f>IFERROR(VLOOKUP($B42,INDIRECT("'GRD-"&amp;DA$11&amp;"'!B:R"),15,FALSE),"")</f>
        <v/>
      </c>
      <c r="DB42" s="96">
        <f>IFERROR(VLOOKUP($B42,INDIRECT("'GRD-"&amp;DB$11&amp;"'!B:R"),15,FALSE),"")</f>
        <v/>
      </c>
      <c r="DC42" s="96">
        <f>IFERROR(VLOOKUP($B42,INDIRECT("'GRD-"&amp;DC$11&amp;"'!B:R"),15,FALSE),"")</f>
        <v/>
      </c>
      <c r="DD42" s="96">
        <f>IFERROR(VLOOKUP($B42,INDIRECT("'GRD-"&amp;DD$11&amp;"'!B:R"),15,FALSE),"")</f>
        <v/>
      </c>
      <c r="DE42" s="96">
        <f>IFERROR(VLOOKUP($B42,INDIRECT("'GRD-"&amp;DE$11&amp;"'!B:R"),15,FALSE),"")</f>
        <v/>
      </c>
      <c r="DF42" s="96">
        <f>IFERROR(VLOOKUP($B42,INDIRECT("'GRD-"&amp;DF$11&amp;"'!B:R"),15,FALSE),"")</f>
        <v/>
      </c>
      <c r="DG42" s="96">
        <f>IFERROR(VLOOKUP($B42,INDIRECT("'GRD-"&amp;DG$11&amp;"'!B:R"),15,FALSE),"")</f>
        <v/>
      </c>
      <c r="DH42" s="96">
        <f>IFERROR(VLOOKUP($B42,INDIRECT("'GRD-"&amp;DH$11&amp;"'!B:R"),15,FALSE),"")</f>
        <v/>
      </c>
      <c r="DI42" s="96">
        <f>IFERROR(VLOOKUP($B42,INDIRECT("'GRD-"&amp;DI$11&amp;"'!B:R"),15,FALSE),"")</f>
        <v/>
      </c>
      <c r="DJ42" s="96">
        <f>IFERROR(VLOOKUP($B42,INDIRECT("'GRD-"&amp;DJ$11&amp;"'!B:R"),15,FALSE),"")</f>
        <v/>
      </c>
      <c r="DK42" s="96">
        <f>IFERROR(VLOOKUP($B42,INDIRECT("'GRD-"&amp;DK$11&amp;"'!B:R"),15,FALSE),"")</f>
        <v/>
      </c>
      <c r="DL42" s="96">
        <f>IFERROR(VLOOKUP($B42,INDIRECT("'GRD-"&amp;DL$11&amp;"'!B:R"),15,FALSE),"")</f>
        <v/>
      </c>
      <c r="DM42" s="96">
        <f>IFERROR(VLOOKUP($B42,INDIRECT("'GRD-"&amp;DM$11&amp;"'!B:R"),15,FALSE),"")</f>
        <v/>
      </c>
      <c r="DN42" s="96">
        <f>IFERROR(VLOOKUP($B42,INDIRECT("'GRD-"&amp;DN$11&amp;"'!B:R"),15,FALSE),"")</f>
        <v/>
      </c>
      <c r="DO42" s="96">
        <f>IFERROR(VLOOKUP($B42,INDIRECT("'GRD-"&amp;DO$11&amp;"'!B:R"),15,FALSE),"")</f>
        <v/>
      </c>
      <c r="DP42" s="96">
        <f>IFERROR(VLOOKUP($B42,INDIRECT("'GRD-"&amp;DP$11&amp;"'!B:R"),15,FALSE),"")</f>
        <v/>
      </c>
      <c r="DQ42" s="96">
        <f>IFERROR(VLOOKUP($B42,INDIRECT("'GRD-"&amp;DQ$11&amp;"'!B:R"),15,FALSE),"")</f>
        <v/>
      </c>
      <c r="DR42" s="96">
        <f>IFERROR(VLOOKUP($B42,INDIRECT("'GRD-"&amp;DR$11&amp;"'!B:R"),15,FALSE),"")</f>
        <v/>
      </c>
      <c r="DS42" s="96">
        <f>IFERROR(VLOOKUP($B42,INDIRECT("'GRD-"&amp;DS$11&amp;"'!B:R"),15,FALSE),"")</f>
        <v/>
      </c>
      <c r="DT42" s="96">
        <f>IFERROR(VLOOKUP($B42,INDIRECT("'GRD-"&amp;DT$11&amp;"'!B:R"),15,FALSE),"")</f>
        <v/>
      </c>
      <c r="DU42" s="96">
        <f>IFERROR(VLOOKUP($B42,INDIRECT("'GRD-"&amp;DU$11&amp;"'!B:R"),15,FALSE),"")</f>
        <v/>
      </c>
      <c r="DV42" s="96">
        <f>IFERROR(VLOOKUP($B42,INDIRECT("'GRD-"&amp;DV$11&amp;"'!B:R"),15,FALSE),"")</f>
        <v/>
      </c>
      <c r="DW42" s="96">
        <f>IFERROR(VLOOKUP($B42,INDIRECT("'GRD-"&amp;DW$11&amp;"'!B:R"),15,FALSE),"")</f>
        <v/>
      </c>
      <c r="DX42" s="96">
        <f>IFERROR(VLOOKUP($B42,INDIRECT("'GRD-"&amp;DX$11&amp;"'!B:R"),15,FALSE),"")</f>
        <v/>
      </c>
      <c r="DY42" s="96">
        <f>IFERROR(VLOOKUP($B42,INDIRECT("'GRD-"&amp;DY$11&amp;"'!B:R"),15,FALSE),"")</f>
        <v/>
      </c>
      <c r="DZ42" s="96">
        <f>IFERROR(VLOOKUP($B42,INDIRECT("'GRD-"&amp;DZ$11&amp;"'!B:R"),15,FALSE),"")</f>
        <v/>
      </c>
      <c r="EA42" s="96">
        <f>IFERROR(VLOOKUP($B42,INDIRECT("'GRD-"&amp;EA$11&amp;"'!B:R"),15,FALSE),"")</f>
        <v/>
      </c>
      <c r="EB42" s="96">
        <f>IFERROR(VLOOKUP($B42,INDIRECT("'GRD-"&amp;EB$11&amp;"'!B:R"),15,FALSE),"")</f>
        <v/>
      </c>
      <c r="EC42" s="96">
        <f>IFERROR(VLOOKUP($B42,INDIRECT("'GRD-"&amp;EC$11&amp;"'!B:R"),15,FALSE),"")</f>
        <v/>
      </c>
      <c r="ED42" s="96">
        <f>IFERROR(VLOOKUP($B42,INDIRECT("'GRD-"&amp;ED$11&amp;"'!B:R"),15,FALSE),"")</f>
        <v/>
      </c>
      <c r="EE42" s="96">
        <f>IFERROR(VLOOKUP($B42,INDIRECT("'GRD-"&amp;EE$11&amp;"'!B:R"),15,FALSE),"")</f>
        <v/>
      </c>
      <c r="EF42" s="96">
        <f>IFERROR(VLOOKUP($B42,INDIRECT("'GRD-"&amp;EF$11&amp;"'!B:R"),15,FALSE),"")</f>
        <v/>
      </c>
      <c r="EG42" s="96">
        <f>IFERROR(VLOOKUP($B42,INDIRECT("'GRD-"&amp;EG$11&amp;"'!B:R"),15,FALSE),"")</f>
        <v/>
      </c>
      <c r="EH42" s="96">
        <f>IFERROR(VLOOKUP($B42,INDIRECT("'GRD-"&amp;EH$11&amp;"'!B:R"),15,FALSE),"")</f>
        <v/>
      </c>
      <c r="EI42" s="96">
        <f>IFERROR(VLOOKUP($B42,INDIRECT("'GRD-"&amp;EI$11&amp;"'!B:R"),15,FALSE),"")</f>
        <v/>
      </c>
      <c r="EJ42" s="96">
        <f>IFERROR(VLOOKUP($B42,INDIRECT("'GRD-"&amp;EJ$11&amp;"'!B:R"),15,FALSE),"")</f>
        <v/>
      </c>
      <c r="EK42" s="96">
        <f>IFERROR(VLOOKUP($B42,INDIRECT("'GRD-"&amp;EK$11&amp;"'!B:R"),15,FALSE),"")</f>
        <v/>
      </c>
      <c r="EL42" s="96">
        <f>IFERROR(VLOOKUP($B42,INDIRECT("'GRD-"&amp;EL$11&amp;"'!B:R"),15,FALSE),"")</f>
        <v/>
      </c>
      <c r="EM42" s="96">
        <f>IFERROR(VLOOKUP($B42,INDIRECT("'GRD-"&amp;EM$11&amp;"'!B:R"),15,FALSE),"")</f>
        <v/>
      </c>
      <c r="EN42" s="96">
        <f>IFERROR(VLOOKUP($B42,INDIRECT("'GRD-"&amp;EN$11&amp;"'!B:R"),15,FALSE),"")</f>
        <v/>
      </c>
      <c r="EO42" s="96">
        <f>IFERROR(VLOOKUP($B42,INDIRECT("'GRD-"&amp;EO$11&amp;"'!B:R"),15,FALSE),"")</f>
        <v/>
      </c>
      <c r="EP42" s="96">
        <f>IFERROR(VLOOKUP($B42,INDIRECT("'GRD-"&amp;EP$11&amp;"'!B:R"),15,FALSE),"")</f>
        <v/>
      </c>
      <c r="EQ42" s="96">
        <f>IFERROR(VLOOKUP($B42,INDIRECT("'GRD-"&amp;EQ$11&amp;"'!B:R"),15,FALSE),"")</f>
        <v/>
      </c>
      <c r="ER42" s="96">
        <f>IFERROR(VLOOKUP($B42,INDIRECT("'GRD-"&amp;ER$11&amp;"'!B:R"),15,FALSE),"")</f>
        <v/>
      </c>
      <c r="ES42" s="96">
        <f>IFERROR(VLOOKUP($B42,INDIRECT("'GRD-"&amp;ES$11&amp;"'!B:R"),15,FALSE),"")</f>
        <v/>
      </c>
      <c r="ET42" s="96">
        <f>IFERROR(VLOOKUP($B42,INDIRECT("'GRD-"&amp;ET$11&amp;"'!B:R"),15,FALSE),"")</f>
        <v/>
      </c>
      <c r="EU42" s="96">
        <f>IFERROR(VLOOKUP($B42,INDIRECT("'GRD-"&amp;EU$11&amp;"'!B:R"),15,FALSE),"")</f>
        <v/>
      </c>
      <c r="EV42" s="96">
        <f>IFERROR(VLOOKUP($B42,INDIRECT("'GRD-"&amp;EV$11&amp;"'!B:R"),15,FALSE),"")</f>
        <v/>
      </c>
      <c r="EW42" s="96">
        <f>IFERROR(VLOOKUP($B42,INDIRECT("'GRD-"&amp;EW$11&amp;"'!B:R"),15,FALSE),"")</f>
        <v/>
      </c>
      <c r="EX42" s="96">
        <f>IFERROR(VLOOKUP($B42,INDIRECT("'GRD-"&amp;EX$11&amp;"'!B:R"),15,FALSE),"")</f>
        <v/>
      </c>
      <c r="EY42" s="96">
        <f>IFERROR(VLOOKUP($B42,INDIRECT("'GRD-"&amp;EY$11&amp;"'!B:R"),15,FALSE),"")</f>
        <v/>
      </c>
      <c r="EZ42" s="96">
        <f>IFERROR(VLOOKUP($B42,INDIRECT("'GRD-"&amp;EZ$11&amp;"'!B:R"),15,FALSE),"")</f>
        <v/>
      </c>
      <c r="FA42" s="96">
        <f>IFERROR(VLOOKUP($B42,INDIRECT("'GRD-"&amp;FA$11&amp;"'!B:R"),15,FALSE),"")</f>
        <v/>
      </c>
      <c r="FB42" s="96">
        <f>IFERROR(VLOOKUP($B42,INDIRECT("'GRD-"&amp;FB$11&amp;"'!B:R"),15,FALSE),"")</f>
        <v/>
      </c>
      <c r="FC42" s="96">
        <f>IFERROR(VLOOKUP($B42,INDIRECT("'GRD-"&amp;FC$11&amp;"'!B:R"),15,FALSE),"")</f>
        <v/>
      </c>
      <c r="FD42" s="96">
        <f>IFERROR(VLOOKUP($B42,INDIRECT("'GRD-"&amp;FD$11&amp;"'!B:R"),15,FALSE),"")</f>
        <v/>
      </c>
      <c r="FE42" s="96">
        <f>IFERROR(VLOOKUP($B42,INDIRECT("'GRD-"&amp;FE$11&amp;"'!B:R"),15,FALSE),"")</f>
        <v/>
      </c>
      <c r="FF42" s="96">
        <f>IFERROR(VLOOKUP($B42,INDIRECT("'GRD-"&amp;FF$11&amp;"'!B:R"),15,FALSE),"")</f>
        <v/>
      </c>
      <c r="FG42" s="96">
        <f>IFERROR(VLOOKUP($B42,INDIRECT("'GRD-"&amp;FG$11&amp;"'!B:R"),15,FALSE),"")</f>
        <v/>
      </c>
      <c r="FH42" s="96">
        <f>IFERROR(VLOOKUP($B42,INDIRECT("'GRD-"&amp;FH$11&amp;"'!B:R"),15,FALSE),"")</f>
        <v/>
      </c>
      <c r="FI42" s="96">
        <f>IFERROR(VLOOKUP($B42,INDIRECT("'GRD-"&amp;FI$11&amp;"'!B:R"),15,FALSE),"")</f>
        <v/>
      </c>
      <c r="FJ42" s="96">
        <f>IFERROR(VLOOKUP($B42,INDIRECT("'GRD-"&amp;FJ$11&amp;"'!B:R"),15,FALSE),"")</f>
        <v/>
      </c>
      <c r="FK42" s="96">
        <f>IFERROR(VLOOKUP($B42,INDIRECT("'GRD-"&amp;FK$11&amp;"'!B:R"),15,FALSE),"")</f>
        <v/>
      </c>
      <c r="FL42" s="96">
        <f>IFERROR(VLOOKUP($B42,INDIRECT("'GRD-"&amp;FL$11&amp;"'!B:R"),15,FALSE),"")</f>
        <v/>
      </c>
      <c r="FM42" s="96">
        <f>IFERROR(VLOOKUP($B42,INDIRECT("'GRD-"&amp;FM$11&amp;"'!B:R"),15,FALSE),"")</f>
        <v/>
      </c>
      <c r="FN42" s="96">
        <f>IFERROR(VLOOKUP($B42,INDIRECT("'GRD-"&amp;FN$11&amp;"'!B:R"),15,FALSE),"")</f>
        <v/>
      </c>
      <c r="FO42" s="96">
        <f>IFERROR(VLOOKUP($B42,INDIRECT("'GRD-"&amp;FO$11&amp;"'!B:R"),15,FALSE),"")</f>
        <v/>
      </c>
      <c r="FP42" s="96">
        <f>IFERROR(VLOOKUP($B42,INDIRECT("'GRD-"&amp;FP$11&amp;"'!B:R"),15,FALSE),"")</f>
        <v/>
      </c>
      <c r="FQ42" s="96">
        <f>IFERROR(VLOOKUP($B42,INDIRECT("'GRD-"&amp;FQ$11&amp;"'!B:R"),15,FALSE),"")</f>
        <v/>
      </c>
      <c r="FR42" s="96">
        <f>IFERROR(VLOOKUP($B42,INDIRECT("'GRD-"&amp;FR$11&amp;"'!B:R"),15,FALSE),"")</f>
        <v/>
      </c>
      <c r="FS42" s="96">
        <f>IFERROR(VLOOKUP($B42,INDIRECT("'GRD-"&amp;FS$11&amp;"'!B:R"),15,FALSE),"")</f>
        <v/>
      </c>
      <c r="FT42" s="96">
        <f>IFERROR(VLOOKUP($B42,INDIRECT("'GRD-"&amp;FT$11&amp;"'!B:R"),15,FALSE),"")</f>
        <v/>
      </c>
      <c r="FU42" s="96">
        <f>IFERROR(VLOOKUP($B42,INDIRECT("'GRD-"&amp;FU$11&amp;"'!B:R"),15,FALSE),"")</f>
        <v/>
      </c>
      <c r="FV42" s="96">
        <f>IFERROR(VLOOKUP($B42,INDIRECT("'GRD-"&amp;FV$11&amp;"'!B:R"),15,FALSE),"")</f>
        <v/>
      </c>
    </row>
    <row r="43">
      <c r="B43" s="68" t="n"/>
      <c r="C43" s="72" t="n"/>
      <c r="D43" s="73">
        <f>IF(K43="","",MAX($CA43:$FV43))</f>
        <v/>
      </c>
      <c r="E43" s="74">
        <f t="array" ref="E43">IF($K43="","",OFFSET($A$1,ROW($B43)-1,11+$D43*4,))</f>
        <v/>
      </c>
      <c r="F43" s="74">
        <f t="array" ref="F43">IF($K43="","",OFFSET($A$1,ROW($B43)-1,12+$D43*4,))</f>
        <v/>
      </c>
      <c r="G43" s="118">
        <f t="array" ref="G43">IF($K43="","",OFFSET($A$1,ROW($B43)-1,13+$D43*4,))</f>
        <v/>
      </c>
      <c r="H43" s="81" t="n"/>
      <c r="I43" s="82" t="n"/>
      <c r="J43" s="75">
        <f>IF(I43="A4",H43/8,IF(I43="A3",H43/4,IF(I43="A2",H43/2,IF(I43="A1",H43/1,IF(I43="A0",H43*2,"")))))</f>
        <v/>
      </c>
      <c r="K43" s="68">
        <f t="array" ref="K43">IFERROR(OFFSET($BZ$11,ROW($B43)-11,MATCH(K$10,$CA43:$FV43,0),),"")</f>
        <v/>
      </c>
      <c r="L43" s="85">
        <f>IF(K43="","",IF(VLOOKUP($B43,INDIRECT("'GRD-"&amp;M43&amp;"'!$B:$R"),16,FALSE)="","",VLOOKUP($B43,INDIRECT("'GRD-"&amp;M43&amp;"'!$B:$R"),16,FALSE)))</f>
        <v/>
      </c>
      <c r="M43" s="130">
        <f t="array" ref="M43">IF(K43="","",IFERROR(OFFSET($BZ$11,0,MATCH($K43,$CA43:$FV43,0),),""))</f>
        <v/>
      </c>
      <c r="N43" s="119">
        <f t="array" ref="N43">IF(K43="","",INDIRECT("'GRD-"&amp;M43&amp;"'!$L$7"))</f>
        <v/>
      </c>
      <c r="O43" s="76">
        <f t="array" ref="O43">IFERROR(OFFSET($BZ$11,ROW($B43)-11,MATCH(O$10,$CA43:$FV43,0),),"")</f>
        <v/>
      </c>
      <c r="P43" s="76">
        <f>IF(O43="","",IF(VLOOKUP($B43,INDIRECT("'GRD-"&amp;Q43&amp;"'!$B:$R"),16,FALSE)="","",VLOOKUP($B43,INDIRECT("'GRD-"&amp;Q43&amp;"'!$B:$R"),16,FALSE)))</f>
        <v/>
      </c>
      <c r="Q43" s="132">
        <f t="array" ref="Q43">IF(O43="","",IFERROR(OFFSET($BZ$11,0,MATCH($O43,$CA43:$FV43,0),),""))</f>
        <v/>
      </c>
      <c r="R43" s="121">
        <f t="array" ref="R43">IF(O43="","",INDIRECT("'GRD-"&amp;Q43&amp;"'!$L$7"))</f>
        <v/>
      </c>
      <c r="S43" s="83">
        <f t="array" ref="S43">IFERROR(OFFSET($BZ$11,ROW($B43)-11,MATCH(S$10,$CA43:$FV43,0),),"")</f>
        <v/>
      </c>
      <c r="T43" s="83">
        <f>IF(S43="","",IF(VLOOKUP($B43,INDIRECT("'GRD-"&amp;U43&amp;"'!$B:$R"),16,FALSE)="","",VLOOKUP($B43,INDIRECT("'GRD-"&amp;U43&amp;"'!$B:$R"),16,FALSE)))</f>
        <v/>
      </c>
      <c r="U43" s="128">
        <f t="array" ref="U43">IF(S43="","",IFERROR(OFFSET($BZ$11,0,MATCH($S43,$CA43:$FV43,0),),""))</f>
        <v/>
      </c>
      <c r="V43" s="133">
        <f t="array" ref="V43">IF(S43="","",INDIRECT("'GRD-"&amp;U43&amp;"'!$L$7"))</f>
        <v/>
      </c>
      <c r="W43" s="84">
        <f t="array" ref="W43">IFERROR(OFFSET($BZ$11,ROW($B43)-11,MATCH(W$10,$CA43:$FV43,0),),"")</f>
        <v/>
      </c>
      <c r="X43" s="84">
        <f>IF(W43="","",IF(VLOOKUP($B43,INDIRECT("'GRD-"&amp;Y43&amp;"'!$B:$R"),16,FALSE)="","",VLOOKUP($B43,INDIRECT("'GRD-"&amp;Y43&amp;"'!$B:$R"),16,FALSE)))</f>
        <v/>
      </c>
      <c r="Y43" s="129">
        <f t="array" ref="Y43">IF(W43="","",IFERROR(OFFSET($BZ$11,0,MATCH($W43,$CA43:$FV43,0),),""))</f>
        <v/>
      </c>
      <c r="Z43" s="134">
        <f t="array" ref="Z43">IF(W43="","",INDIRECT("'GRD-"&amp;Y43&amp;"'!$L$7"))</f>
        <v/>
      </c>
      <c r="AA43" s="85">
        <f t="array" ref="AA43">IFERROR(OFFSET($BZ$11,ROW($B43)-11,MATCH(AA$10,$CA43:$FV43,0),),"")</f>
        <v/>
      </c>
      <c r="AB43" s="85">
        <f>IF(AA43="","",IF(VLOOKUP($B43,INDIRECT("'GRD-"&amp;AC43&amp;"'!$B:$R"),16,FALSE)="","",VLOOKUP($B43,INDIRECT("'GRD-"&amp;AC43&amp;"'!$B:$R"),16,FALSE)))</f>
        <v/>
      </c>
      <c r="AC43" s="130">
        <f t="array" ref="AC43">IF(AA43="","",IFERROR(OFFSET($BZ$11,0,MATCH($AA43,$CA43:$FV43,0),),""))</f>
        <v/>
      </c>
      <c r="AD43" s="131">
        <f t="array" ref="AD43">IF(AA43="","",INDIRECT("'GRD-"&amp;AC43&amp;"'!$L$7"))</f>
        <v/>
      </c>
      <c r="AE43" s="76">
        <f t="array" ref="AE43">IFERROR(OFFSET($BZ$11,ROW($B43)-11,MATCH(AE$10,$CA43:$FV43,0),),"")</f>
        <v/>
      </c>
      <c r="AF43" s="76">
        <f>IF(AE43="","",IF(VLOOKUP($B43,INDIRECT("'GRD-"&amp;AG43&amp;"'!$B:$R"),16,FALSE)="","",VLOOKUP($B43,INDIRECT("'GRD-"&amp;AG43&amp;"'!$B:$R"),16,FALSE)))</f>
        <v/>
      </c>
      <c r="AG43" s="132">
        <f t="array" ref="AG43">IF(AE43="","",IFERROR(OFFSET($BZ$11,0,MATCH($AE43,$CA43:$FV43,0),),""))</f>
        <v/>
      </c>
      <c r="AH43" s="121">
        <f t="array" ref="AH43">IF(AE43="","",INDIRECT("'GRD-"&amp;AG43&amp;"'!$L$7"))</f>
        <v/>
      </c>
      <c r="AI43" s="83">
        <f t="array" ref="AI43">IFERROR(OFFSET($BZ$11,ROW($B43)-11,MATCH(AI$10,$CA43:$FV43,0),),"")</f>
        <v/>
      </c>
      <c r="AJ43" s="83">
        <f>IF(AI43="","",IF(VLOOKUP($B43,INDIRECT("'GRD-"&amp;AK43&amp;"'!$B:$R"),16,FALSE)="","",VLOOKUP($B43,INDIRECT("'GRD-"&amp;AK43&amp;"'!$B:$R"),16,FALSE)))</f>
        <v/>
      </c>
      <c r="AK43" s="128">
        <f t="array" ref="AK43">IF(AI43="","",IFERROR(OFFSET($BZ$11,0,MATCH($AI43,$CA43:$FV43,0),),""))</f>
        <v/>
      </c>
      <c r="AL43" s="133">
        <f t="array" ref="AL43">IF(AI43="","",INDIRECT("'GRD-"&amp;AK43&amp;"'!$L$7"))</f>
        <v/>
      </c>
      <c r="AM43" s="84">
        <f t="array" ref="AM43">IFERROR(OFFSET($BZ$11,ROW($B43)-11,MATCH(AM$10,$CA43:$FV43,0),),"")</f>
        <v/>
      </c>
      <c r="AN43" s="84">
        <f>IF(AM43="","",IF(VLOOKUP($B43,INDIRECT("'GRD-"&amp;AO43&amp;"'!$B:$R"),16,FALSE)="","",VLOOKUP($B43,INDIRECT("'GRD-"&amp;AO43&amp;"'!$B:$R"),16,FALSE)))</f>
        <v/>
      </c>
      <c r="AO43" s="129">
        <f t="array" ref="AO43">IF(AM43="","",IFERROR(OFFSET($BZ$11,0,MATCH($AM43,$CA43:$FV43,0),),""))</f>
        <v/>
      </c>
      <c r="AP43" s="134">
        <f t="array" ref="AP43">IF(AM43="","",INDIRECT("'GRD-"&amp;AO43&amp;"'!$L$7"))</f>
        <v/>
      </c>
      <c r="AQ43" s="85">
        <f t="array" ref="AQ43">IFERROR(OFFSET($BZ$11,ROW($B43)-11,MATCH(AQ$10,$CA43:$FV43,0),),"")</f>
        <v/>
      </c>
      <c r="AR43" s="85">
        <f>IF(AQ43="","",IF(VLOOKUP($B43,INDIRECT("'GRD-"&amp;AS43&amp;"'!$B:$R"),16,FALSE)="","",VLOOKUP($B43,INDIRECT("'GRD-"&amp;AS43&amp;"'!$B:$R"),16,FALSE)))</f>
        <v/>
      </c>
      <c r="AS43" s="130">
        <f t="array" ref="AS43">IF(AQ43="","",IFERROR(OFFSET($BZ$11,0,MATCH($AQ43,$CA43:$FV43,0),),""))</f>
        <v/>
      </c>
      <c r="AT43" s="131">
        <f t="array" ref="AT43">IF(AQ43="","",INDIRECT("'GRD-"&amp;AS43&amp;"'!$L$7"))</f>
        <v/>
      </c>
      <c r="AU43" s="76">
        <f t="array" ref="AU43">IFERROR(OFFSET($BZ$11,ROW($B43)-11,MATCH(AU$10,$CA43:$FV43,0),),"")</f>
        <v/>
      </c>
      <c r="AV43" s="76">
        <f>IF(AU43="","",IF(VLOOKUP($B43,INDIRECT("'GRD-"&amp;AW43&amp;"'!$B:$R"),16,FALSE)="","",VLOOKUP($B43,INDIRECT("'GRD-"&amp;AW43&amp;"'!$B:$R"),16,FALSE)))</f>
        <v/>
      </c>
      <c r="AW43" s="132">
        <f t="array" ref="AW43">IF(AU43="","",IFERROR(OFFSET($BZ$11,0,MATCH($AU43,$CA43:$FV43,0),),""))</f>
        <v/>
      </c>
      <c r="AX43" s="121">
        <f t="array" ref="AX43">IF(AU43="","",INDIRECT("'GRD-"&amp;AW43&amp;"'!$L$7"))</f>
        <v/>
      </c>
      <c r="AY43" s="83">
        <f t="array" ref="AY43">IFERROR(OFFSET($BZ$11,ROW($B43)-11,MATCH(AY$10,$CA43:$FV43,0),),"")</f>
        <v/>
      </c>
      <c r="AZ43" s="83">
        <f>IF(AY43="","",IF(VLOOKUP($B43,INDIRECT("'GRD-"&amp;BA43&amp;"'!$B:$R"),16,FALSE)="","",VLOOKUP($B43,INDIRECT("'GRD-"&amp;BA43&amp;"'!$B:$R"),16,FALSE)))</f>
        <v/>
      </c>
      <c r="BA43" s="128">
        <f t="array" ref="BA43">IF(AY43="","",IFERROR(OFFSET($BZ$11,0,MATCH($AY43,$CA43:$FV43,0),),""))</f>
        <v/>
      </c>
      <c r="BB43" s="133">
        <f t="array" ref="BB43">IF(AY43="","",INDIRECT("'GRD-"&amp;BA43&amp;"'!$L$7"))</f>
        <v/>
      </c>
      <c r="BC43" s="84">
        <f t="array" ref="BC43">IFERROR(OFFSET($BZ$11,ROW($B43)-11,MATCH(BC$10,$CA43:$FV43,0),),"")</f>
        <v/>
      </c>
      <c r="BD43" s="84">
        <f>IF(BC43="","",IF(VLOOKUP($B43,INDIRECT("'GRD-"&amp;BE43&amp;"'!$B:$R"),16,FALSE)="","",VLOOKUP($B43,INDIRECT("'GRD-"&amp;BE43&amp;"'!$B:$R"),16,FALSE)))</f>
        <v/>
      </c>
      <c r="BE43" s="129">
        <f t="array" ref="BE43">IF(BC43="","",IFERROR(OFFSET($BZ$11,0,MATCH($BC43,$CA43:$FV43,0),),""))</f>
        <v/>
      </c>
      <c r="BF43" s="134">
        <f t="array" ref="BF43">IF(BC43="","",INDIRECT("'GRD-"&amp;BE43&amp;"'!$L$7"))</f>
        <v/>
      </c>
      <c r="CA43" s="96">
        <f>IFERROR(VLOOKUP($B43,INDIRECT("'GRD-"&amp;CA$11&amp;"'!B:R"),15,FALSE),"")</f>
        <v/>
      </c>
      <c r="CB43" s="96">
        <f>IFERROR(VLOOKUP($B43,INDIRECT("'GRD-"&amp;CB$11&amp;"'!B:R"),15,FALSE),"")</f>
        <v/>
      </c>
      <c r="CC43" s="96">
        <f>IFERROR(VLOOKUP($B43,INDIRECT("'GRD-"&amp;CC$11&amp;"'!B:R"),15,FALSE),"")</f>
        <v/>
      </c>
      <c r="CD43" s="96">
        <f>IFERROR(VLOOKUP($B43,INDIRECT("'GRD-"&amp;CD$11&amp;"'!B:R"),15,FALSE),"")</f>
        <v/>
      </c>
      <c r="CE43" s="96">
        <f>IFERROR(VLOOKUP($B43,INDIRECT("'GRD-"&amp;CE$11&amp;"'!B:R"),15,FALSE),"")</f>
        <v/>
      </c>
      <c r="CF43" s="96">
        <f>IFERROR(VLOOKUP($B43,INDIRECT("'GRD-"&amp;CF$11&amp;"'!B:R"),15,FALSE),"")</f>
        <v/>
      </c>
      <c r="CG43" s="96">
        <f>IFERROR(VLOOKUP($B43,INDIRECT("'GRD-"&amp;CG$11&amp;"'!B:R"),15,FALSE),"")</f>
        <v/>
      </c>
      <c r="CH43" s="96">
        <f>IFERROR(VLOOKUP($B43,INDIRECT("'GRD-"&amp;CH$11&amp;"'!B:R"),15,FALSE),"")</f>
        <v/>
      </c>
      <c r="CI43" s="96">
        <f>IFERROR(VLOOKUP($B43,INDIRECT("'GRD-"&amp;CI$11&amp;"'!B:R"),15,FALSE),"")</f>
        <v/>
      </c>
      <c r="CJ43" s="96">
        <f>IFERROR(VLOOKUP($B43,INDIRECT("'GRD-"&amp;CJ$11&amp;"'!B:R"),15,FALSE),"")</f>
        <v/>
      </c>
      <c r="CK43" s="96">
        <f>IFERROR(VLOOKUP($B43,INDIRECT("'GRD-"&amp;CK$11&amp;"'!B:R"),15,FALSE),"")</f>
        <v/>
      </c>
      <c r="CL43" s="96">
        <f>IFERROR(VLOOKUP($B43,INDIRECT("'GRD-"&amp;CL$11&amp;"'!B:R"),15,FALSE),"")</f>
        <v/>
      </c>
      <c r="CM43" s="96">
        <f>IFERROR(VLOOKUP($B43,INDIRECT("'GRD-"&amp;CM$11&amp;"'!B:R"),15,FALSE),"")</f>
        <v/>
      </c>
      <c r="CN43" s="96">
        <f>IFERROR(VLOOKUP($B43,INDIRECT("'GRD-"&amp;CN$11&amp;"'!B:R"),15,FALSE),"")</f>
        <v/>
      </c>
      <c r="CO43" s="96">
        <f>IFERROR(VLOOKUP($B43,INDIRECT("'GRD-"&amp;CO$11&amp;"'!B:R"),15,FALSE),"")</f>
        <v/>
      </c>
      <c r="CP43" s="96">
        <f>IFERROR(VLOOKUP($B43,INDIRECT("'GRD-"&amp;CP$11&amp;"'!B:R"),15,FALSE),"")</f>
        <v/>
      </c>
      <c r="CQ43" s="96">
        <f>IFERROR(VLOOKUP($B43,INDIRECT("'GRD-"&amp;CQ$11&amp;"'!B:R"),15,FALSE),"")</f>
        <v/>
      </c>
      <c r="CR43" s="96">
        <f>IFERROR(VLOOKUP($B43,INDIRECT("'GRD-"&amp;CR$11&amp;"'!B:R"),15,FALSE),"")</f>
        <v/>
      </c>
      <c r="CS43" s="96">
        <f>IFERROR(VLOOKUP($B43,INDIRECT("'GRD-"&amp;CS$11&amp;"'!B:R"),15,FALSE),"")</f>
        <v/>
      </c>
      <c r="CT43" s="96">
        <f>IFERROR(VLOOKUP($B43,INDIRECT("'GRD-"&amp;CT$11&amp;"'!B:R"),15,FALSE),"")</f>
        <v/>
      </c>
      <c r="CU43" s="96">
        <f>IFERROR(VLOOKUP($B43,INDIRECT("'GRD-"&amp;CU$11&amp;"'!B:R"),15,FALSE),"")</f>
        <v/>
      </c>
      <c r="CV43" s="96">
        <f>IFERROR(VLOOKUP($B43,INDIRECT("'GRD-"&amp;CV$11&amp;"'!B:R"),15,FALSE),"")</f>
        <v/>
      </c>
      <c r="CW43" s="96">
        <f>IFERROR(VLOOKUP($B43,INDIRECT("'GRD-"&amp;CW$11&amp;"'!B:R"),15,FALSE),"")</f>
        <v/>
      </c>
      <c r="CX43" s="96">
        <f>IFERROR(VLOOKUP($B43,INDIRECT("'GRD-"&amp;CX$11&amp;"'!B:R"),15,FALSE),"")</f>
        <v/>
      </c>
      <c r="CY43" s="96">
        <f>IFERROR(VLOOKUP($B43,INDIRECT("'GRD-"&amp;CY$11&amp;"'!B:R"),15,FALSE),"")</f>
        <v/>
      </c>
      <c r="CZ43" s="96">
        <f>IFERROR(VLOOKUP($B43,INDIRECT("'GRD-"&amp;CZ$11&amp;"'!B:R"),15,FALSE),"")</f>
        <v/>
      </c>
      <c r="DA43" s="96">
        <f>IFERROR(VLOOKUP($B43,INDIRECT("'GRD-"&amp;DA$11&amp;"'!B:R"),15,FALSE),"")</f>
        <v/>
      </c>
      <c r="DB43" s="96">
        <f>IFERROR(VLOOKUP($B43,INDIRECT("'GRD-"&amp;DB$11&amp;"'!B:R"),15,FALSE),"")</f>
        <v/>
      </c>
      <c r="DC43" s="96">
        <f>IFERROR(VLOOKUP($B43,INDIRECT("'GRD-"&amp;DC$11&amp;"'!B:R"),15,FALSE),"")</f>
        <v/>
      </c>
      <c r="DD43" s="96">
        <f>IFERROR(VLOOKUP($B43,INDIRECT("'GRD-"&amp;DD$11&amp;"'!B:R"),15,FALSE),"")</f>
        <v/>
      </c>
      <c r="DE43" s="96">
        <f>IFERROR(VLOOKUP($B43,INDIRECT("'GRD-"&amp;DE$11&amp;"'!B:R"),15,FALSE),"")</f>
        <v/>
      </c>
      <c r="DF43" s="96">
        <f>IFERROR(VLOOKUP($B43,INDIRECT("'GRD-"&amp;DF$11&amp;"'!B:R"),15,FALSE),"")</f>
        <v/>
      </c>
      <c r="DG43" s="96">
        <f>IFERROR(VLOOKUP($B43,INDIRECT("'GRD-"&amp;DG$11&amp;"'!B:R"),15,FALSE),"")</f>
        <v/>
      </c>
      <c r="DH43" s="96">
        <f>IFERROR(VLOOKUP($B43,INDIRECT("'GRD-"&amp;DH$11&amp;"'!B:R"),15,FALSE),"")</f>
        <v/>
      </c>
      <c r="DI43" s="96">
        <f>IFERROR(VLOOKUP($B43,INDIRECT("'GRD-"&amp;DI$11&amp;"'!B:R"),15,FALSE),"")</f>
        <v/>
      </c>
      <c r="DJ43" s="96">
        <f>IFERROR(VLOOKUP($B43,INDIRECT("'GRD-"&amp;DJ$11&amp;"'!B:R"),15,FALSE),"")</f>
        <v/>
      </c>
      <c r="DK43" s="96">
        <f>IFERROR(VLOOKUP($B43,INDIRECT("'GRD-"&amp;DK$11&amp;"'!B:R"),15,FALSE),"")</f>
        <v/>
      </c>
      <c r="DL43" s="96">
        <f>IFERROR(VLOOKUP($B43,INDIRECT("'GRD-"&amp;DL$11&amp;"'!B:R"),15,FALSE),"")</f>
        <v/>
      </c>
      <c r="DM43" s="96">
        <f>IFERROR(VLOOKUP($B43,INDIRECT("'GRD-"&amp;DM$11&amp;"'!B:R"),15,FALSE),"")</f>
        <v/>
      </c>
      <c r="DN43" s="96">
        <f>IFERROR(VLOOKUP($B43,INDIRECT("'GRD-"&amp;DN$11&amp;"'!B:R"),15,FALSE),"")</f>
        <v/>
      </c>
      <c r="DO43" s="96">
        <f>IFERROR(VLOOKUP($B43,INDIRECT("'GRD-"&amp;DO$11&amp;"'!B:R"),15,FALSE),"")</f>
        <v/>
      </c>
      <c r="DP43" s="96">
        <f>IFERROR(VLOOKUP($B43,INDIRECT("'GRD-"&amp;DP$11&amp;"'!B:R"),15,FALSE),"")</f>
        <v/>
      </c>
      <c r="DQ43" s="96">
        <f>IFERROR(VLOOKUP($B43,INDIRECT("'GRD-"&amp;DQ$11&amp;"'!B:R"),15,FALSE),"")</f>
        <v/>
      </c>
      <c r="DR43" s="96">
        <f>IFERROR(VLOOKUP($B43,INDIRECT("'GRD-"&amp;DR$11&amp;"'!B:R"),15,FALSE),"")</f>
        <v/>
      </c>
      <c r="DS43" s="96">
        <f>IFERROR(VLOOKUP($B43,INDIRECT("'GRD-"&amp;DS$11&amp;"'!B:R"),15,FALSE),"")</f>
        <v/>
      </c>
      <c r="DT43" s="96">
        <f>IFERROR(VLOOKUP($B43,INDIRECT("'GRD-"&amp;DT$11&amp;"'!B:R"),15,FALSE),"")</f>
        <v/>
      </c>
      <c r="DU43" s="96">
        <f>IFERROR(VLOOKUP($B43,INDIRECT("'GRD-"&amp;DU$11&amp;"'!B:R"),15,FALSE),"")</f>
        <v/>
      </c>
      <c r="DV43" s="96">
        <f>IFERROR(VLOOKUP($B43,INDIRECT("'GRD-"&amp;DV$11&amp;"'!B:R"),15,FALSE),"")</f>
        <v/>
      </c>
      <c r="DW43" s="96">
        <f>IFERROR(VLOOKUP($B43,INDIRECT("'GRD-"&amp;DW$11&amp;"'!B:R"),15,FALSE),"")</f>
        <v/>
      </c>
      <c r="DX43" s="96">
        <f>IFERROR(VLOOKUP($B43,INDIRECT("'GRD-"&amp;DX$11&amp;"'!B:R"),15,FALSE),"")</f>
        <v/>
      </c>
      <c r="DY43" s="96">
        <f>IFERROR(VLOOKUP($B43,INDIRECT("'GRD-"&amp;DY$11&amp;"'!B:R"),15,FALSE),"")</f>
        <v/>
      </c>
      <c r="DZ43" s="96">
        <f>IFERROR(VLOOKUP($B43,INDIRECT("'GRD-"&amp;DZ$11&amp;"'!B:R"),15,FALSE),"")</f>
        <v/>
      </c>
      <c r="EA43" s="96">
        <f>IFERROR(VLOOKUP($B43,INDIRECT("'GRD-"&amp;EA$11&amp;"'!B:R"),15,FALSE),"")</f>
        <v/>
      </c>
      <c r="EB43" s="96">
        <f>IFERROR(VLOOKUP($B43,INDIRECT("'GRD-"&amp;EB$11&amp;"'!B:R"),15,FALSE),"")</f>
        <v/>
      </c>
      <c r="EC43" s="96">
        <f>IFERROR(VLOOKUP($B43,INDIRECT("'GRD-"&amp;EC$11&amp;"'!B:R"),15,FALSE),"")</f>
        <v/>
      </c>
      <c r="ED43" s="96">
        <f>IFERROR(VLOOKUP($B43,INDIRECT("'GRD-"&amp;ED$11&amp;"'!B:R"),15,FALSE),"")</f>
        <v/>
      </c>
      <c r="EE43" s="96">
        <f>IFERROR(VLOOKUP($B43,INDIRECT("'GRD-"&amp;EE$11&amp;"'!B:R"),15,FALSE),"")</f>
        <v/>
      </c>
      <c r="EF43" s="96">
        <f>IFERROR(VLOOKUP($B43,INDIRECT("'GRD-"&amp;EF$11&amp;"'!B:R"),15,FALSE),"")</f>
        <v/>
      </c>
      <c r="EG43" s="96">
        <f>IFERROR(VLOOKUP($B43,INDIRECT("'GRD-"&amp;EG$11&amp;"'!B:R"),15,FALSE),"")</f>
        <v/>
      </c>
      <c r="EH43" s="96">
        <f>IFERROR(VLOOKUP($B43,INDIRECT("'GRD-"&amp;EH$11&amp;"'!B:R"),15,FALSE),"")</f>
        <v/>
      </c>
      <c r="EI43" s="96">
        <f>IFERROR(VLOOKUP($B43,INDIRECT("'GRD-"&amp;EI$11&amp;"'!B:R"),15,FALSE),"")</f>
        <v/>
      </c>
      <c r="EJ43" s="96">
        <f>IFERROR(VLOOKUP($B43,INDIRECT("'GRD-"&amp;EJ$11&amp;"'!B:R"),15,FALSE),"")</f>
        <v/>
      </c>
      <c r="EK43" s="96">
        <f>IFERROR(VLOOKUP($B43,INDIRECT("'GRD-"&amp;EK$11&amp;"'!B:R"),15,FALSE),"")</f>
        <v/>
      </c>
      <c r="EL43" s="96">
        <f>IFERROR(VLOOKUP($B43,INDIRECT("'GRD-"&amp;EL$11&amp;"'!B:R"),15,FALSE),"")</f>
        <v/>
      </c>
      <c r="EM43" s="96">
        <f>IFERROR(VLOOKUP($B43,INDIRECT("'GRD-"&amp;EM$11&amp;"'!B:R"),15,FALSE),"")</f>
        <v/>
      </c>
      <c r="EN43" s="96">
        <f>IFERROR(VLOOKUP($B43,INDIRECT("'GRD-"&amp;EN$11&amp;"'!B:R"),15,FALSE),"")</f>
        <v/>
      </c>
      <c r="EO43" s="96">
        <f>IFERROR(VLOOKUP($B43,INDIRECT("'GRD-"&amp;EO$11&amp;"'!B:R"),15,FALSE),"")</f>
        <v/>
      </c>
      <c r="EP43" s="96">
        <f>IFERROR(VLOOKUP($B43,INDIRECT("'GRD-"&amp;EP$11&amp;"'!B:R"),15,FALSE),"")</f>
        <v/>
      </c>
      <c r="EQ43" s="96">
        <f>IFERROR(VLOOKUP($B43,INDIRECT("'GRD-"&amp;EQ$11&amp;"'!B:R"),15,FALSE),"")</f>
        <v/>
      </c>
      <c r="ER43" s="96">
        <f>IFERROR(VLOOKUP($B43,INDIRECT("'GRD-"&amp;ER$11&amp;"'!B:R"),15,FALSE),"")</f>
        <v/>
      </c>
      <c r="ES43" s="96">
        <f>IFERROR(VLOOKUP($B43,INDIRECT("'GRD-"&amp;ES$11&amp;"'!B:R"),15,FALSE),"")</f>
        <v/>
      </c>
      <c r="ET43" s="96">
        <f>IFERROR(VLOOKUP($B43,INDIRECT("'GRD-"&amp;ET$11&amp;"'!B:R"),15,FALSE),"")</f>
        <v/>
      </c>
      <c r="EU43" s="96">
        <f>IFERROR(VLOOKUP($B43,INDIRECT("'GRD-"&amp;EU$11&amp;"'!B:R"),15,FALSE),"")</f>
        <v/>
      </c>
      <c r="EV43" s="96">
        <f>IFERROR(VLOOKUP($B43,INDIRECT("'GRD-"&amp;EV$11&amp;"'!B:R"),15,FALSE),"")</f>
        <v/>
      </c>
      <c r="EW43" s="96">
        <f>IFERROR(VLOOKUP($B43,INDIRECT("'GRD-"&amp;EW$11&amp;"'!B:R"),15,FALSE),"")</f>
        <v/>
      </c>
      <c r="EX43" s="96">
        <f>IFERROR(VLOOKUP($B43,INDIRECT("'GRD-"&amp;EX$11&amp;"'!B:R"),15,FALSE),"")</f>
        <v/>
      </c>
      <c r="EY43" s="96">
        <f>IFERROR(VLOOKUP($B43,INDIRECT("'GRD-"&amp;EY$11&amp;"'!B:R"),15,FALSE),"")</f>
        <v/>
      </c>
      <c r="EZ43" s="96">
        <f>IFERROR(VLOOKUP($B43,INDIRECT("'GRD-"&amp;EZ$11&amp;"'!B:R"),15,FALSE),"")</f>
        <v/>
      </c>
      <c r="FA43" s="96">
        <f>IFERROR(VLOOKUP($B43,INDIRECT("'GRD-"&amp;FA$11&amp;"'!B:R"),15,FALSE),"")</f>
        <v/>
      </c>
      <c r="FB43" s="96">
        <f>IFERROR(VLOOKUP($B43,INDIRECT("'GRD-"&amp;FB$11&amp;"'!B:R"),15,FALSE),"")</f>
        <v/>
      </c>
      <c r="FC43" s="96">
        <f>IFERROR(VLOOKUP($B43,INDIRECT("'GRD-"&amp;FC$11&amp;"'!B:R"),15,FALSE),"")</f>
        <v/>
      </c>
      <c r="FD43" s="96">
        <f>IFERROR(VLOOKUP($B43,INDIRECT("'GRD-"&amp;FD$11&amp;"'!B:R"),15,FALSE),"")</f>
        <v/>
      </c>
      <c r="FE43" s="96">
        <f>IFERROR(VLOOKUP($B43,INDIRECT("'GRD-"&amp;FE$11&amp;"'!B:R"),15,FALSE),"")</f>
        <v/>
      </c>
      <c r="FF43" s="96">
        <f>IFERROR(VLOOKUP($B43,INDIRECT("'GRD-"&amp;FF$11&amp;"'!B:R"),15,FALSE),"")</f>
        <v/>
      </c>
      <c r="FG43" s="96">
        <f>IFERROR(VLOOKUP($B43,INDIRECT("'GRD-"&amp;FG$11&amp;"'!B:R"),15,FALSE),"")</f>
        <v/>
      </c>
      <c r="FH43" s="96">
        <f>IFERROR(VLOOKUP($B43,INDIRECT("'GRD-"&amp;FH$11&amp;"'!B:R"),15,FALSE),"")</f>
        <v/>
      </c>
      <c r="FI43" s="96">
        <f>IFERROR(VLOOKUP($B43,INDIRECT("'GRD-"&amp;FI$11&amp;"'!B:R"),15,FALSE),"")</f>
        <v/>
      </c>
      <c r="FJ43" s="96">
        <f>IFERROR(VLOOKUP($B43,INDIRECT("'GRD-"&amp;FJ$11&amp;"'!B:R"),15,FALSE),"")</f>
        <v/>
      </c>
      <c r="FK43" s="96">
        <f>IFERROR(VLOOKUP($B43,INDIRECT("'GRD-"&amp;FK$11&amp;"'!B:R"),15,FALSE),"")</f>
        <v/>
      </c>
      <c r="FL43" s="96">
        <f>IFERROR(VLOOKUP($B43,INDIRECT("'GRD-"&amp;FL$11&amp;"'!B:R"),15,FALSE),"")</f>
        <v/>
      </c>
      <c r="FM43" s="96">
        <f>IFERROR(VLOOKUP($B43,INDIRECT("'GRD-"&amp;FM$11&amp;"'!B:R"),15,FALSE),"")</f>
        <v/>
      </c>
      <c r="FN43" s="96">
        <f>IFERROR(VLOOKUP($B43,INDIRECT("'GRD-"&amp;FN$11&amp;"'!B:R"),15,FALSE),"")</f>
        <v/>
      </c>
      <c r="FO43" s="96">
        <f>IFERROR(VLOOKUP($B43,INDIRECT("'GRD-"&amp;FO$11&amp;"'!B:R"),15,FALSE),"")</f>
        <v/>
      </c>
      <c r="FP43" s="96">
        <f>IFERROR(VLOOKUP($B43,INDIRECT("'GRD-"&amp;FP$11&amp;"'!B:R"),15,FALSE),"")</f>
        <v/>
      </c>
      <c r="FQ43" s="96">
        <f>IFERROR(VLOOKUP($B43,INDIRECT("'GRD-"&amp;FQ$11&amp;"'!B:R"),15,FALSE),"")</f>
        <v/>
      </c>
      <c r="FR43" s="96">
        <f>IFERROR(VLOOKUP($B43,INDIRECT("'GRD-"&amp;FR$11&amp;"'!B:R"),15,FALSE),"")</f>
        <v/>
      </c>
      <c r="FS43" s="96">
        <f>IFERROR(VLOOKUP($B43,INDIRECT("'GRD-"&amp;FS$11&amp;"'!B:R"),15,FALSE),"")</f>
        <v/>
      </c>
      <c r="FT43" s="96">
        <f>IFERROR(VLOOKUP($B43,INDIRECT("'GRD-"&amp;FT$11&amp;"'!B:R"),15,FALSE),"")</f>
        <v/>
      </c>
      <c r="FU43" s="96">
        <f>IFERROR(VLOOKUP($B43,INDIRECT("'GRD-"&amp;FU$11&amp;"'!B:R"),15,FALSE),"")</f>
        <v/>
      </c>
      <c r="FV43" s="96">
        <f>IFERROR(VLOOKUP($B43,INDIRECT("'GRD-"&amp;FV$11&amp;"'!B:R"),15,FALSE),"")</f>
        <v/>
      </c>
    </row>
    <row r="44">
      <c r="B44" s="68" t="n"/>
      <c r="C44" s="72" t="n"/>
      <c r="D44" s="73">
        <f>IF(K44="","",MAX($CA44:$FV44))</f>
        <v/>
      </c>
      <c r="E44" s="74">
        <f t="array" ref="E44">IF($K44="","",OFFSET($A$1,ROW($B44)-1,11+$D44*4,))</f>
        <v/>
      </c>
      <c r="F44" s="74">
        <f t="array" ref="F44">IF($K44="","",OFFSET($A$1,ROW($B44)-1,12+$D44*4,))</f>
        <v/>
      </c>
      <c r="G44" s="118">
        <f t="array" ref="G44">IF($K44="","",OFFSET($A$1,ROW($B44)-1,13+$D44*4,))</f>
        <v/>
      </c>
      <c r="H44" s="81" t="n"/>
      <c r="I44" s="82" t="n"/>
      <c r="J44" s="75">
        <f>IF(I44="A4",H44/8,IF(I44="A3",H44/4,IF(I44="A2",H44/2,IF(I44="A1",H44/1,IF(I44="A0",H44*2,"")))))</f>
        <v/>
      </c>
      <c r="K44" s="68">
        <f t="array" ref="K44">IFERROR(OFFSET($BZ$11,ROW($B44)-11,MATCH(K$10,$CA44:$FV44,0),),"")</f>
        <v/>
      </c>
      <c r="L44" s="85">
        <f>IF(K44="","",IF(VLOOKUP($B44,INDIRECT("'GRD-"&amp;M44&amp;"'!$B:$R"),16,FALSE)="","",VLOOKUP($B44,INDIRECT("'GRD-"&amp;M44&amp;"'!$B:$R"),16,FALSE)))</f>
        <v/>
      </c>
      <c r="M44" s="130">
        <f t="array" ref="M44">IF(K44="","",IFERROR(OFFSET($BZ$11,0,MATCH($K44,$CA44:$FV44,0),),""))</f>
        <v/>
      </c>
      <c r="N44" s="119">
        <f t="array" ref="N44">IF(K44="","",INDIRECT("'GRD-"&amp;M44&amp;"'!$L$7"))</f>
        <v/>
      </c>
      <c r="O44" s="76">
        <f t="array" ref="O44">IFERROR(OFFSET($BZ$11,ROW($B44)-11,MATCH(O$10,$CA44:$FV44,0),),"")</f>
        <v/>
      </c>
      <c r="P44" s="76">
        <f>IF(O44="","",IF(VLOOKUP($B44,INDIRECT("'GRD-"&amp;Q44&amp;"'!$B:$R"),16,FALSE)="","",VLOOKUP($B44,INDIRECT("'GRD-"&amp;Q44&amp;"'!$B:$R"),16,FALSE)))</f>
        <v/>
      </c>
      <c r="Q44" s="132">
        <f t="array" ref="Q44">IF(O44="","",IFERROR(OFFSET($BZ$11,0,MATCH($O44,$CA44:$FV44,0),),""))</f>
        <v/>
      </c>
      <c r="R44" s="121">
        <f t="array" ref="R44">IF(O44="","",INDIRECT("'GRD-"&amp;Q44&amp;"'!$L$7"))</f>
        <v/>
      </c>
      <c r="S44" s="83">
        <f t="array" ref="S44">IFERROR(OFFSET($BZ$11,ROW($B44)-11,MATCH(S$10,$CA44:$FV44,0),),"")</f>
        <v/>
      </c>
      <c r="T44" s="83">
        <f>IF(S44="","",IF(VLOOKUP($B44,INDIRECT("'GRD-"&amp;U44&amp;"'!$B:$R"),16,FALSE)="","",VLOOKUP($B44,INDIRECT("'GRD-"&amp;U44&amp;"'!$B:$R"),16,FALSE)))</f>
        <v/>
      </c>
      <c r="U44" s="128">
        <f t="array" ref="U44">IF(S44="","",IFERROR(OFFSET($BZ$11,0,MATCH($S44,$CA44:$FV44,0),),""))</f>
        <v/>
      </c>
      <c r="V44" s="133">
        <f t="array" ref="V44">IF(S44="","",INDIRECT("'GRD-"&amp;U44&amp;"'!$L$7"))</f>
        <v/>
      </c>
      <c r="W44" s="84">
        <f t="array" ref="W44">IFERROR(OFFSET($BZ$11,ROW($B44)-11,MATCH(W$10,$CA44:$FV44,0),),"")</f>
        <v/>
      </c>
      <c r="X44" s="84">
        <f>IF(W44="","",IF(VLOOKUP($B44,INDIRECT("'GRD-"&amp;Y44&amp;"'!$B:$R"),16,FALSE)="","",VLOOKUP($B44,INDIRECT("'GRD-"&amp;Y44&amp;"'!$B:$R"),16,FALSE)))</f>
        <v/>
      </c>
      <c r="Y44" s="129">
        <f t="array" ref="Y44">IF(W44="","",IFERROR(OFFSET($BZ$11,0,MATCH($W44,$CA44:$FV44,0),),""))</f>
        <v/>
      </c>
      <c r="Z44" s="134">
        <f t="array" ref="Z44">IF(W44="","",INDIRECT("'GRD-"&amp;Y44&amp;"'!$L$7"))</f>
        <v/>
      </c>
      <c r="AA44" s="85">
        <f t="array" ref="AA44">IFERROR(OFFSET($BZ$11,ROW($B44)-11,MATCH(AA$10,$CA44:$FV44,0),),"")</f>
        <v/>
      </c>
      <c r="AB44" s="85">
        <f>IF(AA44="","",IF(VLOOKUP($B44,INDIRECT("'GRD-"&amp;AC44&amp;"'!$B:$R"),16,FALSE)="","",VLOOKUP($B44,INDIRECT("'GRD-"&amp;AC44&amp;"'!$B:$R"),16,FALSE)))</f>
        <v/>
      </c>
      <c r="AC44" s="130">
        <f t="array" ref="AC44">IF(AA44="","",IFERROR(OFFSET($BZ$11,0,MATCH($AA44,$CA44:$FV44,0),),""))</f>
        <v/>
      </c>
      <c r="AD44" s="131">
        <f t="array" ref="AD44">IF(AA44="","",INDIRECT("'GRD-"&amp;AC44&amp;"'!$L$7"))</f>
        <v/>
      </c>
      <c r="AE44" s="76">
        <f t="array" ref="AE44">IFERROR(OFFSET($BZ$11,ROW($B44)-11,MATCH(AE$10,$CA44:$FV44,0),),"")</f>
        <v/>
      </c>
      <c r="AF44" s="76">
        <f>IF(AE44="","",IF(VLOOKUP($B44,INDIRECT("'GRD-"&amp;AG44&amp;"'!$B:$R"),16,FALSE)="","",VLOOKUP($B44,INDIRECT("'GRD-"&amp;AG44&amp;"'!$B:$R"),16,FALSE)))</f>
        <v/>
      </c>
      <c r="AG44" s="132">
        <f t="array" ref="AG44">IF(AE44="","",IFERROR(OFFSET($BZ$11,0,MATCH($AE44,$CA44:$FV44,0),),""))</f>
        <v/>
      </c>
      <c r="AH44" s="121">
        <f t="array" ref="AH44">IF(AE44="","",INDIRECT("'GRD-"&amp;AG44&amp;"'!$L$7"))</f>
        <v/>
      </c>
      <c r="AI44" s="83">
        <f t="array" ref="AI44">IFERROR(OFFSET($BZ$11,ROW($B44)-11,MATCH(AI$10,$CA44:$FV44,0),),"")</f>
        <v/>
      </c>
      <c r="AJ44" s="83">
        <f>IF(AI44="","",IF(VLOOKUP($B44,INDIRECT("'GRD-"&amp;AK44&amp;"'!$B:$R"),16,FALSE)="","",VLOOKUP($B44,INDIRECT("'GRD-"&amp;AK44&amp;"'!$B:$R"),16,FALSE)))</f>
        <v/>
      </c>
      <c r="AK44" s="128">
        <f t="array" ref="AK44">IF(AI44="","",IFERROR(OFFSET($BZ$11,0,MATCH($AI44,$CA44:$FV44,0),),""))</f>
        <v/>
      </c>
      <c r="AL44" s="133">
        <f t="array" ref="AL44">IF(AI44="","",INDIRECT("'GRD-"&amp;AK44&amp;"'!$L$7"))</f>
        <v/>
      </c>
      <c r="AM44" s="84">
        <f t="array" ref="AM44">IFERROR(OFFSET($BZ$11,ROW($B44)-11,MATCH(AM$10,$CA44:$FV44,0),),"")</f>
        <v/>
      </c>
      <c r="AN44" s="84">
        <f>IF(AM44="","",IF(VLOOKUP($B44,INDIRECT("'GRD-"&amp;AO44&amp;"'!$B:$R"),16,FALSE)="","",VLOOKUP($B44,INDIRECT("'GRD-"&amp;AO44&amp;"'!$B:$R"),16,FALSE)))</f>
        <v/>
      </c>
      <c r="AO44" s="129">
        <f t="array" ref="AO44">IF(AM44="","",IFERROR(OFFSET($BZ$11,0,MATCH($AM44,$CA44:$FV44,0),),""))</f>
        <v/>
      </c>
      <c r="AP44" s="134">
        <f t="array" ref="AP44">IF(AM44="","",INDIRECT("'GRD-"&amp;AO44&amp;"'!$L$7"))</f>
        <v/>
      </c>
      <c r="AQ44" s="85">
        <f t="array" ref="AQ44">IFERROR(OFFSET($BZ$11,ROW($B44)-11,MATCH(AQ$10,$CA44:$FV44,0),),"")</f>
        <v/>
      </c>
      <c r="AR44" s="85">
        <f>IF(AQ44="","",IF(VLOOKUP($B44,INDIRECT("'GRD-"&amp;AS44&amp;"'!$B:$R"),16,FALSE)="","",VLOOKUP($B44,INDIRECT("'GRD-"&amp;AS44&amp;"'!$B:$R"),16,FALSE)))</f>
        <v/>
      </c>
      <c r="AS44" s="130">
        <f t="array" ref="AS44">IF(AQ44="","",IFERROR(OFFSET($BZ$11,0,MATCH($AQ44,$CA44:$FV44,0),),""))</f>
        <v/>
      </c>
      <c r="AT44" s="131">
        <f t="array" ref="AT44">IF(AQ44="","",INDIRECT("'GRD-"&amp;AS44&amp;"'!$L$7"))</f>
        <v/>
      </c>
      <c r="AU44" s="76">
        <f t="array" ref="AU44">IFERROR(OFFSET($BZ$11,ROW($B44)-11,MATCH(AU$10,$CA44:$FV44,0),),"")</f>
        <v/>
      </c>
      <c r="AV44" s="76">
        <f>IF(AU44="","",IF(VLOOKUP($B44,INDIRECT("'GRD-"&amp;AW44&amp;"'!$B:$R"),16,FALSE)="","",VLOOKUP($B44,INDIRECT("'GRD-"&amp;AW44&amp;"'!$B:$R"),16,FALSE)))</f>
        <v/>
      </c>
      <c r="AW44" s="132">
        <f t="array" ref="AW44">IF(AU44="","",IFERROR(OFFSET($BZ$11,0,MATCH($AU44,$CA44:$FV44,0),),""))</f>
        <v/>
      </c>
      <c r="AX44" s="121">
        <f t="array" ref="AX44">IF(AU44="","",INDIRECT("'GRD-"&amp;AW44&amp;"'!$L$7"))</f>
        <v/>
      </c>
      <c r="AY44" s="83">
        <f t="array" ref="AY44">IFERROR(OFFSET($BZ$11,ROW($B44)-11,MATCH(AY$10,$CA44:$FV44,0),),"")</f>
        <v/>
      </c>
      <c r="AZ44" s="83">
        <f>IF(AY44="","",IF(VLOOKUP($B44,INDIRECT("'GRD-"&amp;BA44&amp;"'!$B:$R"),16,FALSE)="","",VLOOKUP($B44,INDIRECT("'GRD-"&amp;BA44&amp;"'!$B:$R"),16,FALSE)))</f>
        <v/>
      </c>
      <c r="BA44" s="128">
        <f t="array" ref="BA44">IF(AY44="","",IFERROR(OFFSET($BZ$11,0,MATCH($AY44,$CA44:$FV44,0),),""))</f>
        <v/>
      </c>
      <c r="BB44" s="133">
        <f t="array" ref="BB44">IF(AY44="","",INDIRECT("'GRD-"&amp;BA44&amp;"'!$L$7"))</f>
        <v/>
      </c>
      <c r="BC44" s="84">
        <f t="array" ref="BC44">IFERROR(OFFSET($BZ$11,ROW($B44)-11,MATCH(BC$10,$CA44:$FV44,0),),"")</f>
        <v/>
      </c>
      <c r="BD44" s="84">
        <f>IF(BC44="","",IF(VLOOKUP($B44,INDIRECT("'GRD-"&amp;BE44&amp;"'!$B:$R"),16,FALSE)="","",VLOOKUP($B44,INDIRECT("'GRD-"&amp;BE44&amp;"'!$B:$R"),16,FALSE)))</f>
        <v/>
      </c>
      <c r="BE44" s="129">
        <f t="array" ref="BE44">IF(BC44="","",IFERROR(OFFSET($BZ$11,0,MATCH($BC44,$CA44:$FV44,0),),""))</f>
        <v/>
      </c>
      <c r="BF44" s="134">
        <f t="array" ref="BF44">IF(BC44="","",INDIRECT("'GRD-"&amp;BE44&amp;"'!$L$7"))</f>
        <v/>
      </c>
      <c r="CA44" s="96">
        <f>IFERROR(VLOOKUP($B44,INDIRECT("'GRD-"&amp;CA$11&amp;"'!B:R"),15,FALSE),"")</f>
        <v/>
      </c>
      <c r="CB44" s="96">
        <f>IFERROR(VLOOKUP($B44,INDIRECT("'GRD-"&amp;CB$11&amp;"'!B:R"),15,FALSE),"")</f>
        <v/>
      </c>
      <c r="CC44" s="96">
        <f>IFERROR(VLOOKUP($B44,INDIRECT("'GRD-"&amp;CC$11&amp;"'!B:R"),15,FALSE),"")</f>
        <v/>
      </c>
      <c r="CD44" s="96">
        <f>IFERROR(VLOOKUP($B44,INDIRECT("'GRD-"&amp;CD$11&amp;"'!B:R"),15,FALSE),"")</f>
        <v/>
      </c>
      <c r="CE44" s="96">
        <f>IFERROR(VLOOKUP($B44,INDIRECT("'GRD-"&amp;CE$11&amp;"'!B:R"),15,FALSE),"")</f>
        <v/>
      </c>
      <c r="CF44" s="96">
        <f>IFERROR(VLOOKUP($B44,INDIRECT("'GRD-"&amp;CF$11&amp;"'!B:R"),15,FALSE),"")</f>
        <v/>
      </c>
      <c r="CG44" s="96">
        <f>IFERROR(VLOOKUP($B44,INDIRECT("'GRD-"&amp;CG$11&amp;"'!B:R"),15,FALSE),"")</f>
        <v/>
      </c>
      <c r="CH44" s="96">
        <f>IFERROR(VLOOKUP($B44,INDIRECT("'GRD-"&amp;CH$11&amp;"'!B:R"),15,FALSE),"")</f>
        <v/>
      </c>
      <c r="CI44" s="96">
        <f>IFERROR(VLOOKUP($B44,INDIRECT("'GRD-"&amp;CI$11&amp;"'!B:R"),15,FALSE),"")</f>
        <v/>
      </c>
      <c r="CJ44" s="96">
        <f>IFERROR(VLOOKUP($B44,INDIRECT("'GRD-"&amp;CJ$11&amp;"'!B:R"),15,FALSE),"")</f>
        <v/>
      </c>
      <c r="CK44" s="96">
        <f>IFERROR(VLOOKUP($B44,INDIRECT("'GRD-"&amp;CK$11&amp;"'!B:R"),15,FALSE),"")</f>
        <v/>
      </c>
      <c r="CL44" s="96">
        <f>IFERROR(VLOOKUP($B44,INDIRECT("'GRD-"&amp;CL$11&amp;"'!B:R"),15,FALSE),"")</f>
        <v/>
      </c>
      <c r="CM44" s="96">
        <f>IFERROR(VLOOKUP($B44,INDIRECT("'GRD-"&amp;CM$11&amp;"'!B:R"),15,FALSE),"")</f>
        <v/>
      </c>
      <c r="CN44" s="96">
        <f>IFERROR(VLOOKUP($B44,INDIRECT("'GRD-"&amp;CN$11&amp;"'!B:R"),15,FALSE),"")</f>
        <v/>
      </c>
      <c r="CO44" s="96">
        <f>IFERROR(VLOOKUP($B44,INDIRECT("'GRD-"&amp;CO$11&amp;"'!B:R"),15,FALSE),"")</f>
        <v/>
      </c>
      <c r="CP44" s="96">
        <f>IFERROR(VLOOKUP($B44,INDIRECT("'GRD-"&amp;CP$11&amp;"'!B:R"),15,FALSE),"")</f>
        <v/>
      </c>
      <c r="CQ44" s="96">
        <f>IFERROR(VLOOKUP($B44,INDIRECT("'GRD-"&amp;CQ$11&amp;"'!B:R"),15,FALSE),"")</f>
        <v/>
      </c>
      <c r="CR44" s="96">
        <f>IFERROR(VLOOKUP($B44,INDIRECT("'GRD-"&amp;CR$11&amp;"'!B:R"),15,FALSE),"")</f>
        <v/>
      </c>
      <c r="CS44" s="96">
        <f>IFERROR(VLOOKUP($B44,INDIRECT("'GRD-"&amp;CS$11&amp;"'!B:R"),15,FALSE),"")</f>
        <v/>
      </c>
      <c r="CT44" s="96">
        <f>IFERROR(VLOOKUP($B44,INDIRECT("'GRD-"&amp;CT$11&amp;"'!B:R"),15,FALSE),"")</f>
        <v/>
      </c>
      <c r="CU44" s="96">
        <f>IFERROR(VLOOKUP($B44,INDIRECT("'GRD-"&amp;CU$11&amp;"'!B:R"),15,FALSE),"")</f>
        <v/>
      </c>
      <c r="CV44" s="96">
        <f>IFERROR(VLOOKUP($B44,INDIRECT("'GRD-"&amp;CV$11&amp;"'!B:R"),15,FALSE),"")</f>
        <v/>
      </c>
      <c r="CW44" s="96">
        <f>IFERROR(VLOOKUP($B44,INDIRECT("'GRD-"&amp;CW$11&amp;"'!B:R"),15,FALSE),"")</f>
        <v/>
      </c>
      <c r="CX44" s="96">
        <f>IFERROR(VLOOKUP($B44,INDIRECT("'GRD-"&amp;CX$11&amp;"'!B:R"),15,FALSE),"")</f>
        <v/>
      </c>
      <c r="CY44" s="96">
        <f>IFERROR(VLOOKUP($B44,INDIRECT("'GRD-"&amp;CY$11&amp;"'!B:R"),15,FALSE),"")</f>
        <v/>
      </c>
      <c r="CZ44" s="96">
        <f>IFERROR(VLOOKUP($B44,INDIRECT("'GRD-"&amp;CZ$11&amp;"'!B:R"),15,FALSE),"")</f>
        <v/>
      </c>
      <c r="DA44" s="96">
        <f>IFERROR(VLOOKUP($B44,INDIRECT("'GRD-"&amp;DA$11&amp;"'!B:R"),15,FALSE),"")</f>
        <v/>
      </c>
      <c r="DB44" s="96">
        <f>IFERROR(VLOOKUP($B44,INDIRECT("'GRD-"&amp;DB$11&amp;"'!B:R"),15,FALSE),"")</f>
        <v/>
      </c>
      <c r="DC44" s="96">
        <f>IFERROR(VLOOKUP($B44,INDIRECT("'GRD-"&amp;DC$11&amp;"'!B:R"),15,FALSE),"")</f>
        <v/>
      </c>
      <c r="DD44" s="96">
        <f>IFERROR(VLOOKUP($B44,INDIRECT("'GRD-"&amp;DD$11&amp;"'!B:R"),15,FALSE),"")</f>
        <v/>
      </c>
      <c r="DE44" s="96">
        <f>IFERROR(VLOOKUP($B44,INDIRECT("'GRD-"&amp;DE$11&amp;"'!B:R"),15,FALSE),"")</f>
        <v/>
      </c>
      <c r="DF44" s="96">
        <f>IFERROR(VLOOKUP($B44,INDIRECT("'GRD-"&amp;DF$11&amp;"'!B:R"),15,FALSE),"")</f>
        <v/>
      </c>
      <c r="DG44" s="96">
        <f>IFERROR(VLOOKUP($B44,INDIRECT("'GRD-"&amp;DG$11&amp;"'!B:R"),15,FALSE),"")</f>
        <v/>
      </c>
      <c r="DH44" s="96">
        <f>IFERROR(VLOOKUP($B44,INDIRECT("'GRD-"&amp;DH$11&amp;"'!B:R"),15,FALSE),"")</f>
        <v/>
      </c>
      <c r="DI44" s="96">
        <f>IFERROR(VLOOKUP($B44,INDIRECT("'GRD-"&amp;DI$11&amp;"'!B:R"),15,FALSE),"")</f>
        <v/>
      </c>
      <c r="DJ44" s="96">
        <f>IFERROR(VLOOKUP($B44,INDIRECT("'GRD-"&amp;DJ$11&amp;"'!B:R"),15,FALSE),"")</f>
        <v/>
      </c>
      <c r="DK44" s="96">
        <f>IFERROR(VLOOKUP($B44,INDIRECT("'GRD-"&amp;DK$11&amp;"'!B:R"),15,FALSE),"")</f>
        <v/>
      </c>
      <c r="DL44" s="96">
        <f>IFERROR(VLOOKUP($B44,INDIRECT("'GRD-"&amp;DL$11&amp;"'!B:R"),15,FALSE),"")</f>
        <v/>
      </c>
      <c r="DM44" s="96">
        <f>IFERROR(VLOOKUP($B44,INDIRECT("'GRD-"&amp;DM$11&amp;"'!B:R"),15,FALSE),"")</f>
        <v/>
      </c>
      <c r="DN44" s="96">
        <f>IFERROR(VLOOKUP($B44,INDIRECT("'GRD-"&amp;DN$11&amp;"'!B:R"),15,FALSE),"")</f>
        <v/>
      </c>
      <c r="DO44" s="96">
        <f>IFERROR(VLOOKUP($B44,INDIRECT("'GRD-"&amp;DO$11&amp;"'!B:R"),15,FALSE),"")</f>
        <v/>
      </c>
      <c r="DP44" s="96">
        <f>IFERROR(VLOOKUP($B44,INDIRECT("'GRD-"&amp;DP$11&amp;"'!B:R"),15,FALSE),"")</f>
        <v/>
      </c>
      <c r="DQ44" s="96">
        <f>IFERROR(VLOOKUP($B44,INDIRECT("'GRD-"&amp;DQ$11&amp;"'!B:R"),15,FALSE),"")</f>
        <v/>
      </c>
      <c r="DR44" s="96">
        <f>IFERROR(VLOOKUP($B44,INDIRECT("'GRD-"&amp;DR$11&amp;"'!B:R"),15,FALSE),"")</f>
        <v/>
      </c>
      <c r="DS44" s="96">
        <f>IFERROR(VLOOKUP($B44,INDIRECT("'GRD-"&amp;DS$11&amp;"'!B:R"),15,FALSE),"")</f>
        <v/>
      </c>
      <c r="DT44" s="96">
        <f>IFERROR(VLOOKUP($B44,INDIRECT("'GRD-"&amp;DT$11&amp;"'!B:R"),15,FALSE),"")</f>
        <v/>
      </c>
      <c r="DU44" s="96">
        <f>IFERROR(VLOOKUP($B44,INDIRECT("'GRD-"&amp;DU$11&amp;"'!B:R"),15,FALSE),"")</f>
        <v/>
      </c>
      <c r="DV44" s="96">
        <f>IFERROR(VLOOKUP($B44,INDIRECT("'GRD-"&amp;DV$11&amp;"'!B:R"),15,FALSE),"")</f>
        <v/>
      </c>
      <c r="DW44" s="96">
        <f>IFERROR(VLOOKUP($B44,INDIRECT("'GRD-"&amp;DW$11&amp;"'!B:R"),15,FALSE),"")</f>
        <v/>
      </c>
      <c r="DX44" s="96">
        <f>IFERROR(VLOOKUP($B44,INDIRECT("'GRD-"&amp;DX$11&amp;"'!B:R"),15,FALSE),"")</f>
        <v/>
      </c>
      <c r="DY44" s="96">
        <f>IFERROR(VLOOKUP($B44,INDIRECT("'GRD-"&amp;DY$11&amp;"'!B:R"),15,FALSE),"")</f>
        <v/>
      </c>
      <c r="DZ44" s="96">
        <f>IFERROR(VLOOKUP($B44,INDIRECT("'GRD-"&amp;DZ$11&amp;"'!B:R"),15,FALSE),"")</f>
        <v/>
      </c>
      <c r="EA44" s="96">
        <f>IFERROR(VLOOKUP($B44,INDIRECT("'GRD-"&amp;EA$11&amp;"'!B:R"),15,FALSE),"")</f>
        <v/>
      </c>
      <c r="EB44" s="96">
        <f>IFERROR(VLOOKUP($B44,INDIRECT("'GRD-"&amp;EB$11&amp;"'!B:R"),15,FALSE),"")</f>
        <v/>
      </c>
      <c r="EC44" s="96">
        <f>IFERROR(VLOOKUP($B44,INDIRECT("'GRD-"&amp;EC$11&amp;"'!B:R"),15,FALSE),"")</f>
        <v/>
      </c>
      <c r="ED44" s="96">
        <f>IFERROR(VLOOKUP($B44,INDIRECT("'GRD-"&amp;ED$11&amp;"'!B:R"),15,FALSE),"")</f>
        <v/>
      </c>
      <c r="EE44" s="96">
        <f>IFERROR(VLOOKUP($B44,INDIRECT("'GRD-"&amp;EE$11&amp;"'!B:R"),15,FALSE),"")</f>
        <v/>
      </c>
      <c r="EF44" s="96">
        <f>IFERROR(VLOOKUP($B44,INDIRECT("'GRD-"&amp;EF$11&amp;"'!B:R"),15,FALSE),"")</f>
        <v/>
      </c>
      <c r="EG44" s="96">
        <f>IFERROR(VLOOKUP($B44,INDIRECT("'GRD-"&amp;EG$11&amp;"'!B:R"),15,FALSE),"")</f>
        <v/>
      </c>
      <c r="EH44" s="96">
        <f>IFERROR(VLOOKUP($B44,INDIRECT("'GRD-"&amp;EH$11&amp;"'!B:R"),15,FALSE),"")</f>
        <v/>
      </c>
      <c r="EI44" s="96">
        <f>IFERROR(VLOOKUP($B44,INDIRECT("'GRD-"&amp;EI$11&amp;"'!B:R"),15,FALSE),"")</f>
        <v/>
      </c>
      <c r="EJ44" s="96">
        <f>IFERROR(VLOOKUP($B44,INDIRECT("'GRD-"&amp;EJ$11&amp;"'!B:R"),15,FALSE),"")</f>
        <v/>
      </c>
      <c r="EK44" s="96">
        <f>IFERROR(VLOOKUP($B44,INDIRECT("'GRD-"&amp;EK$11&amp;"'!B:R"),15,FALSE),"")</f>
        <v/>
      </c>
      <c r="EL44" s="96">
        <f>IFERROR(VLOOKUP($B44,INDIRECT("'GRD-"&amp;EL$11&amp;"'!B:R"),15,FALSE),"")</f>
        <v/>
      </c>
      <c r="EM44" s="96">
        <f>IFERROR(VLOOKUP($B44,INDIRECT("'GRD-"&amp;EM$11&amp;"'!B:R"),15,FALSE),"")</f>
        <v/>
      </c>
      <c r="EN44" s="96">
        <f>IFERROR(VLOOKUP($B44,INDIRECT("'GRD-"&amp;EN$11&amp;"'!B:R"),15,FALSE),"")</f>
        <v/>
      </c>
      <c r="EO44" s="96">
        <f>IFERROR(VLOOKUP($B44,INDIRECT("'GRD-"&amp;EO$11&amp;"'!B:R"),15,FALSE),"")</f>
        <v/>
      </c>
      <c r="EP44" s="96">
        <f>IFERROR(VLOOKUP($B44,INDIRECT("'GRD-"&amp;EP$11&amp;"'!B:R"),15,FALSE),"")</f>
        <v/>
      </c>
      <c r="EQ44" s="96">
        <f>IFERROR(VLOOKUP($B44,INDIRECT("'GRD-"&amp;EQ$11&amp;"'!B:R"),15,FALSE),"")</f>
        <v/>
      </c>
      <c r="ER44" s="96">
        <f>IFERROR(VLOOKUP($B44,INDIRECT("'GRD-"&amp;ER$11&amp;"'!B:R"),15,FALSE),"")</f>
        <v/>
      </c>
      <c r="ES44" s="96">
        <f>IFERROR(VLOOKUP($B44,INDIRECT("'GRD-"&amp;ES$11&amp;"'!B:R"),15,FALSE),"")</f>
        <v/>
      </c>
      <c r="ET44" s="96">
        <f>IFERROR(VLOOKUP($B44,INDIRECT("'GRD-"&amp;ET$11&amp;"'!B:R"),15,FALSE),"")</f>
        <v/>
      </c>
      <c r="EU44" s="96">
        <f>IFERROR(VLOOKUP($B44,INDIRECT("'GRD-"&amp;EU$11&amp;"'!B:R"),15,FALSE),"")</f>
        <v/>
      </c>
      <c r="EV44" s="96">
        <f>IFERROR(VLOOKUP($B44,INDIRECT("'GRD-"&amp;EV$11&amp;"'!B:R"),15,FALSE),"")</f>
        <v/>
      </c>
      <c r="EW44" s="96">
        <f>IFERROR(VLOOKUP($B44,INDIRECT("'GRD-"&amp;EW$11&amp;"'!B:R"),15,FALSE),"")</f>
        <v/>
      </c>
      <c r="EX44" s="96">
        <f>IFERROR(VLOOKUP($B44,INDIRECT("'GRD-"&amp;EX$11&amp;"'!B:R"),15,FALSE),"")</f>
        <v/>
      </c>
      <c r="EY44" s="96">
        <f>IFERROR(VLOOKUP($B44,INDIRECT("'GRD-"&amp;EY$11&amp;"'!B:R"),15,FALSE),"")</f>
        <v/>
      </c>
      <c r="EZ44" s="96">
        <f>IFERROR(VLOOKUP($B44,INDIRECT("'GRD-"&amp;EZ$11&amp;"'!B:R"),15,FALSE),"")</f>
        <v/>
      </c>
      <c r="FA44" s="96">
        <f>IFERROR(VLOOKUP($B44,INDIRECT("'GRD-"&amp;FA$11&amp;"'!B:R"),15,FALSE),"")</f>
        <v/>
      </c>
      <c r="FB44" s="96">
        <f>IFERROR(VLOOKUP($B44,INDIRECT("'GRD-"&amp;FB$11&amp;"'!B:R"),15,FALSE),"")</f>
        <v/>
      </c>
      <c r="FC44" s="96">
        <f>IFERROR(VLOOKUP($B44,INDIRECT("'GRD-"&amp;FC$11&amp;"'!B:R"),15,FALSE),"")</f>
        <v/>
      </c>
      <c r="FD44" s="96">
        <f>IFERROR(VLOOKUP($B44,INDIRECT("'GRD-"&amp;FD$11&amp;"'!B:R"),15,FALSE),"")</f>
        <v/>
      </c>
      <c r="FE44" s="96">
        <f>IFERROR(VLOOKUP($B44,INDIRECT("'GRD-"&amp;FE$11&amp;"'!B:R"),15,FALSE),"")</f>
        <v/>
      </c>
      <c r="FF44" s="96">
        <f>IFERROR(VLOOKUP($B44,INDIRECT("'GRD-"&amp;FF$11&amp;"'!B:R"),15,FALSE),"")</f>
        <v/>
      </c>
      <c r="FG44" s="96">
        <f>IFERROR(VLOOKUP($B44,INDIRECT("'GRD-"&amp;FG$11&amp;"'!B:R"),15,FALSE),"")</f>
        <v/>
      </c>
      <c r="FH44" s="96">
        <f>IFERROR(VLOOKUP($B44,INDIRECT("'GRD-"&amp;FH$11&amp;"'!B:R"),15,FALSE),"")</f>
        <v/>
      </c>
      <c r="FI44" s="96">
        <f>IFERROR(VLOOKUP($B44,INDIRECT("'GRD-"&amp;FI$11&amp;"'!B:R"),15,FALSE),"")</f>
        <v/>
      </c>
      <c r="FJ44" s="96">
        <f>IFERROR(VLOOKUP($B44,INDIRECT("'GRD-"&amp;FJ$11&amp;"'!B:R"),15,FALSE),"")</f>
        <v/>
      </c>
      <c r="FK44" s="96">
        <f>IFERROR(VLOOKUP($B44,INDIRECT("'GRD-"&amp;FK$11&amp;"'!B:R"),15,FALSE),"")</f>
        <v/>
      </c>
      <c r="FL44" s="96">
        <f>IFERROR(VLOOKUP($B44,INDIRECT("'GRD-"&amp;FL$11&amp;"'!B:R"),15,FALSE),"")</f>
        <v/>
      </c>
      <c r="FM44" s="96">
        <f>IFERROR(VLOOKUP($B44,INDIRECT("'GRD-"&amp;FM$11&amp;"'!B:R"),15,FALSE),"")</f>
        <v/>
      </c>
      <c r="FN44" s="96">
        <f>IFERROR(VLOOKUP($B44,INDIRECT("'GRD-"&amp;FN$11&amp;"'!B:R"),15,FALSE),"")</f>
        <v/>
      </c>
      <c r="FO44" s="96">
        <f>IFERROR(VLOOKUP($B44,INDIRECT("'GRD-"&amp;FO$11&amp;"'!B:R"),15,FALSE),"")</f>
        <v/>
      </c>
      <c r="FP44" s="96">
        <f>IFERROR(VLOOKUP($B44,INDIRECT("'GRD-"&amp;FP$11&amp;"'!B:R"),15,FALSE),"")</f>
        <v/>
      </c>
      <c r="FQ44" s="96">
        <f>IFERROR(VLOOKUP($B44,INDIRECT("'GRD-"&amp;FQ$11&amp;"'!B:R"),15,FALSE),"")</f>
        <v/>
      </c>
      <c r="FR44" s="96">
        <f>IFERROR(VLOOKUP($B44,INDIRECT("'GRD-"&amp;FR$11&amp;"'!B:R"),15,FALSE),"")</f>
        <v/>
      </c>
      <c r="FS44" s="96">
        <f>IFERROR(VLOOKUP($B44,INDIRECT("'GRD-"&amp;FS$11&amp;"'!B:R"),15,FALSE),"")</f>
        <v/>
      </c>
      <c r="FT44" s="96">
        <f>IFERROR(VLOOKUP($B44,INDIRECT("'GRD-"&amp;FT$11&amp;"'!B:R"),15,FALSE),"")</f>
        <v/>
      </c>
      <c r="FU44" s="96">
        <f>IFERROR(VLOOKUP($B44,INDIRECT("'GRD-"&amp;FU$11&amp;"'!B:R"),15,FALSE),"")</f>
        <v/>
      </c>
      <c r="FV44" s="96">
        <f>IFERROR(VLOOKUP($B44,INDIRECT("'GRD-"&amp;FV$11&amp;"'!B:R"),15,FALSE),"")</f>
        <v/>
      </c>
    </row>
    <row r="45">
      <c r="B45" s="68" t="n"/>
      <c r="C45" s="72" t="n"/>
      <c r="D45" s="73">
        <f>IF(K45="","",MAX($CA45:$FV45))</f>
        <v/>
      </c>
      <c r="E45" s="74">
        <f t="array" ref="E45">IF($K45="","",OFFSET($A$1,ROW($B45)-1,11+$D45*4,))</f>
        <v/>
      </c>
      <c r="F45" s="74">
        <f t="array" ref="F45">IF($K45="","",OFFSET($A$1,ROW($B45)-1,12+$D45*4,))</f>
        <v/>
      </c>
      <c r="G45" s="118">
        <f t="array" ref="G45">IF($K45="","",OFFSET($A$1,ROW($B45)-1,13+$D45*4,))</f>
        <v/>
      </c>
      <c r="H45" s="81" t="n"/>
      <c r="I45" s="82" t="n"/>
      <c r="J45" s="75">
        <f>IF(I45="A4",H45/8,IF(I45="A3",H45/4,IF(I45="A2",H45/2,IF(I45="A1",H45/1,IF(I45="A0",H45*2,"")))))</f>
        <v/>
      </c>
      <c r="K45" s="68">
        <f t="array" ref="K45">IFERROR(OFFSET($BZ$11,ROW($B45)-11,MATCH(K$10,$CA45:$FV45,0),),"")</f>
        <v/>
      </c>
      <c r="L45" s="85">
        <f>IF(K45="","",IF(VLOOKUP($B45,INDIRECT("'GRD-"&amp;M45&amp;"'!$B:$R"),16,FALSE)="","",VLOOKUP($B45,INDIRECT("'GRD-"&amp;M45&amp;"'!$B:$R"),16,FALSE)))</f>
        <v/>
      </c>
      <c r="M45" s="130">
        <f t="array" ref="M45">IF(K45="","",IFERROR(OFFSET($BZ$11,0,MATCH($K45,$CA45:$FV45,0),),""))</f>
        <v/>
      </c>
      <c r="N45" s="119">
        <f t="array" ref="N45">IF(K45="","",INDIRECT("'GRD-"&amp;M45&amp;"'!$L$7"))</f>
        <v/>
      </c>
      <c r="O45" s="76">
        <f t="array" ref="O45">IFERROR(OFFSET($BZ$11,ROW($B45)-11,MATCH(O$10,$CA45:$FV45,0),),"")</f>
        <v/>
      </c>
      <c r="P45" s="76">
        <f>IF(O45="","",IF(VLOOKUP($B45,INDIRECT("'GRD-"&amp;Q45&amp;"'!$B:$R"),16,FALSE)="","",VLOOKUP($B45,INDIRECT("'GRD-"&amp;Q45&amp;"'!$B:$R"),16,FALSE)))</f>
        <v/>
      </c>
      <c r="Q45" s="132">
        <f t="array" ref="Q45">IF(O45="","",IFERROR(OFFSET($BZ$11,0,MATCH($O45,$CA45:$FV45,0),),""))</f>
        <v/>
      </c>
      <c r="R45" s="121">
        <f t="array" ref="R45">IF(O45="","",INDIRECT("'GRD-"&amp;Q45&amp;"'!$L$7"))</f>
        <v/>
      </c>
      <c r="S45" s="83">
        <f t="array" ref="S45">IFERROR(OFFSET($BZ$11,ROW($B45)-11,MATCH(S$10,$CA45:$FV45,0),),"")</f>
        <v/>
      </c>
      <c r="T45" s="83">
        <f>IF(S45="","",IF(VLOOKUP($B45,INDIRECT("'GRD-"&amp;U45&amp;"'!$B:$R"),16,FALSE)="","",VLOOKUP($B45,INDIRECT("'GRD-"&amp;U45&amp;"'!$B:$R"),16,FALSE)))</f>
        <v/>
      </c>
      <c r="U45" s="128">
        <f t="array" ref="U45">IF(S45="","",IFERROR(OFFSET($BZ$11,0,MATCH($S45,$CA45:$FV45,0),),""))</f>
        <v/>
      </c>
      <c r="V45" s="133">
        <f t="array" ref="V45">IF(S45="","",INDIRECT("'GRD-"&amp;U45&amp;"'!$L$7"))</f>
        <v/>
      </c>
      <c r="W45" s="84">
        <f t="array" ref="W45">IFERROR(OFFSET($BZ$11,ROW($B45)-11,MATCH(W$10,$CA45:$FV45,0),),"")</f>
        <v/>
      </c>
      <c r="X45" s="84">
        <f>IF(W45="","",IF(VLOOKUP($B45,INDIRECT("'GRD-"&amp;Y45&amp;"'!$B:$R"),16,FALSE)="","",VLOOKUP($B45,INDIRECT("'GRD-"&amp;Y45&amp;"'!$B:$R"),16,FALSE)))</f>
        <v/>
      </c>
      <c r="Y45" s="129">
        <f t="array" ref="Y45">IF(W45="","",IFERROR(OFFSET($BZ$11,0,MATCH($W45,$CA45:$FV45,0),),""))</f>
        <v/>
      </c>
      <c r="Z45" s="134">
        <f t="array" ref="Z45">IF(W45="","",INDIRECT("'GRD-"&amp;Y45&amp;"'!$L$7"))</f>
        <v/>
      </c>
      <c r="AA45" s="85">
        <f t="array" ref="AA45">IFERROR(OFFSET($BZ$11,ROW($B45)-11,MATCH(AA$10,$CA45:$FV45,0),),"")</f>
        <v/>
      </c>
      <c r="AB45" s="85">
        <f>IF(AA45="","",IF(VLOOKUP($B45,INDIRECT("'GRD-"&amp;AC45&amp;"'!$B:$R"),16,FALSE)="","",VLOOKUP($B45,INDIRECT("'GRD-"&amp;AC45&amp;"'!$B:$R"),16,FALSE)))</f>
        <v/>
      </c>
      <c r="AC45" s="130">
        <f t="array" ref="AC45">IF(AA45="","",IFERROR(OFFSET($BZ$11,0,MATCH($AA45,$CA45:$FV45,0),),""))</f>
        <v/>
      </c>
      <c r="AD45" s="131">
        <f t="array" ref="AD45">IF(AA45="","",INDIRECT("'GRD-"&amp;AC45&amp;"'!$L$7"))</f>
        <v/>
      </c>
      <c r="AE45" s="76">
        <f t="array" ref="AE45">IFERROR(OFFSET($BZ$11,ROW($B45)-11,MATCH(AE$10,$CA45:$FV45,0),),"")</f>
        <v/>
      </c>
      <c r="AF45" s="76">
        <f>IF(AE45="","",IF(VLOOKUP($B45,INDIRECT("'GRD-"&amp;AG45&amp;"'!$B:$R"),16,FALSE)="","",VLOOKUP($B45,INDIRECT("'GRD-"&amp;AG45&amp;"'!$B:$R"),16,FALSE)))</f>
        <v/>
      </c>
      <c r="AG45" s="132">
        <f t="array" ref="AG45">IF(AE45="","",IFERROR(OFFSET($BZ$11,0,MATCH($AE45,$CA45:$FV45,0),),""))</f>
        <v/>
      </c>
      <c r="AH45" s="121">
        <f t="array" ref="AH45">IF(AE45="","",INDIRECT("'GRD-"&amp;AG45&amp;"'!$L$7"))</f>
        <v/>
      </c>
      <c r="AI45" s="83">
        <f t="array" ref="AI45">IFERROR(OFFSET($BZ$11,ROW($B45)-11,MATCH(AI$10,$CA45:$FV45,0),),"")</f>
        <v/>
      </c>
      <c r="AJ45" s="83">
        <f>IF(AI45="","",IF(VLOOKUP($B45,INDIRECT("'GRD-"&amp;AK45&amp;"'!$B:$R"),16,FALSE)="","",VLOOKUP($B45,INDIRECT("'GRD-"&amp;AK45&amp;"'!$B:$R"),16,FALSE)))</f>
        <v/>
      </c>
      <c r="AK45" s="128">
        <f t="array" ref="AK45">IF(AI45="","",IFERROR(OFFSET($BZ$11,0,MATCH($AI45,$CA45:$FV45,0),),""))</f>
        <v/>
      </c>
      <c r="AL45" s="133">
        <f t="array" ref="AL45">IF(AI45="","",INDIRECT("'GRD-"&amp;AK45&amp;"'!$L$7"))</f>
        <v/>
      </c>
      <c r="AM45" s="84">
        <f t="array" ref="AM45">IFERROR(OFFSET($BZ$11,ROW($B45)-11,MATCH(AM$10,$CA45:$FV45,0),),"")</f>
        <v/>
      </c>
      <c r="AN45" s="84">
        <f>IF(AM45="","",IF(VLOOKUP($B45,INDIRECT("'GRD-"&amp;AO45&amp;"'!$B:$R"),16,FALSE)="","",VLOOKUP($B45,INDIRECT("'GRD-"&amp;AO45&amp;"'!$B:$R"),16,FALSE)))</f>
        <v/>
      </c>
      <c r="AO45" s="129">
        <f t="array" ref="AO45">IF(AM45="","",IFERROR(OFFSET($BZ$11,0,MATCH($AM45,$CA45:$FV45,0),),""))</f>
        <v/>
      </c>
      <c r="AP45" s="134">
        <f t="array" ref="AP45">IF(AM45="","",INDIRECT("'GRD-"&amp;AO45&amp;"'!$L$7"))</f>
        <v/>
      </c>
      <c r="AQ45" s="85">
        <f t="array" ref="AQ45">IFERROR(OFFSET($BZ$11,ROW($B45)-11,MATCH(AQ$10,$CA45:$FV45,0),),"")</f>
        <v/>
      </c>
      <c r="AR45" s="85">
        <f>IF(AQ45="","",IF(VLOOKUP($B45,INDIRECT("'GRD-"&amp;AS45&amp;"'!$B:$R"),16,FALSE)="","",VLOOKUP($B45,INDIRECT("'GRD-"&amp;AS45&amp;"'!$B:$R"),16,FALSE)))</f>
        <v/>
      </c>
      <c r="AS45" s="130">
        <f t="array" ref="AS45">IF(AQ45="","",IFERROR(OFFSET($BZ$11,0,MATCH($AQ45,$CA45:$FV45,0),),""))</f>
        <v/>
      </c>
      <c r="AT45" s="131">
        <f t="array" ref="AT45">IF(AQ45="","",INDIRECT("'GRD-"&amp;AS45&amp;"'!$L$7"))</f>
        <v/>
      </c>
      <c r="AU45" s="76">
        <f t="array" ref="AU45">IFERROR(OFFSET($BZ$11,ROW($B45)-11,MATCH(AU$10,$CA45:$FV45,0),),"")</f>
        <v/>
      </c>
      <c r="AV45" s="76">
        <f>IF(AU45="","",IF(VLOOKUP($B45,INDIRECT("'GRD-"&amp;AW45&amp;"'!$B:$R"),16,FALSE)="","",VLOOKUP($B45,INDIRECT("'GRD-"&amp;AW45&amp;"'!$B:$R"),16,FALSE)))</f>
        <v/>
      </c>
      <c r="AW45" s="132">
        <f t="array" ref="AW45">IF(AU45="","",IFERROR(OFFSET($BZ$11,0,MATCH($AU45,$CA45:$FV45,0),),""))</f>
        <v/>
      </c>
      <c r="AX45" s="121">
        <f t="array" ref="AX45">IF(AU45="","",INDIRECT("'GRD-"&amp;AW45&amp;"'!$L$7"))</f>
        <v/>
      </c>
      <c r="AY45" s="83">
        <f t="array" ref="AY45">IFERROR(OFFSET($BZ$11,ROW($B45)-11,MATCH(AY$10,$CA45:$FV45,0),),"")</f>
        <v/>
      </c>
      <c r="AZ45" s="83">
        <f>IF(AY45="","",IF(VLOOKUP($B45,INDIRECT("'GRD-"&amp;BA45&amp;"'!$B:$R"),16,FALSE)="","",VLOOKUP($B45,INDIRECT("'GRD-"&amp;BA45&amp;"'!$B:$R"),16,FALSE)))</f>
        <v/>
      </c>
      <c r="BA45" s="128">
        <f t="array" ref="BA45">IF(AY45="","",IFERROR(OFFSET($BZ$11,0,MATCH($AY45,$CA45:$FV45,0),),""))</f>
        <v/>
      </c>
      <c r="BB45" s="133">
        <f t="array" ref="BB45">IF(AY45="","",INDIRECT("'GRD-"&amp;BA45&amp;"'!$L$7"))</f>
        <v/>
      </c>
      <c r="BC45" s="84">
        <f t="array" ref="BC45">IFERROR(OFFSET($BZ$11,ROW($B45)-11,MATCH(BC$10,$CA45:$FV45,0),),"")</f>
        <v/>
      </c>
      <c r="BD45" s="84">
        <f>IF(BC45="","",IF(VLOOKUP($B45,INDIRECT("'GRD-"&amp;BE45&amp;"'!$B:$R"),16,FALSE)="","",VLOOKUP($B45,INDIRECT("'GRD-"&amp;BE45&amp;"'!$B:$R"),16,FALSE)))</f>
        <v/>
      </c>
      <c r="BE45" s="129">
        <f t="array" ref="BE45">IF(BC45="","",IFERROR(OFFSET($BZ$11,0,MATCH($BC45,$CA45:$FV45,0),),""))</f>
        <v/>
      </c>
      <c r="BF45" s="134">
        <f t="array" ref="BF45">IF(BC45="","",INDIRECT("'GRD-"&amp;BE45&amp;"'!$L$7"))</f>
        <v/>
      </c>
      <c r="CA45" s="96">
        <f>IFERROR(VLOOKUP($B45,INDIRECT("'GRD-"&amp;CA$11&amp;"'!B:R"),15,FALSE),"")</f>
        <v/>
      </c>
      <c r="CB45" s="96">
        <f>IFERROR(VLOOKUP($B45,INDIRECT("'GRD-"&amp;CB$11&amp;"'!B:R"),15,FALSE),"")</f>
        <v/>
      </c>
      <c r="CC45" s="96">
        <f>IFERROR(VLOOKUP($B45,INDIRECT("'GRD-"&amp;CC$11&amp;"'!B:R"),15,FALSE),"")</f>
        <v/>
      </c>
      <c r="CD45" s="96">
        <f>IFERROR(VLOOKUP($B45,INDIRECT("'GRD-"&amp;CD$11&amp;"'!B:R"),15,FALSE),"")</f>
        <v/>
      </c>
      <c r="CE45" s="96">
        <f>IFERROR(VLOOKUP($B45,INDIRECT("'GRD-"&amp;CE$11&amp;"'!B:R"),15,FALSE),"")</f>
        <v/>
      </c>
      <c r="CF45" s="96">
        <f>IFERROR(VLOOKUP($B45,INDIRECT("'GRD-"&amp;CF$11&amp;"'!B:R"),15,FALSE),"")</f>
        <v/>
      </c>
      <c r="CG45" s="96">
        <f>IFERROR(VLOOKUP($B45,INDIRECT("'GRD-"&amp;CG$11&amp;"'!B:R"),15,FALSE),"")</f>
        <v/>
      </c>
      <c r="CH45" s="96">
        <f>IFERROR(VLOOKUP($B45,INDIRECT("'GRD-"&amp;CH$11&amp;"'!B:R"),15,FALSE),"")</f>
        <v/>
      </c>
      <c r="CI45" s="96">
        <f>IFERROR(VLOOKUP($B45,INDIRECT("'GRD-"&amp;CI$11&amp;"'!B:R"),15,FALSE),"")</f>
        <v/>
      </c>
      <c r="CJ45" s="96">
        <f>IFERROR(VLOOKUP($B45,INDIRECT("'GRD-"&amp;CJ$11&amp;"'!B:R"),15,FALSE),"")</f>
        <v/>
      </c>
      <c r="CK45" s="96">
        <f>IFERROR(VLOOKUP($B45,INDIRECT("'GRD-"&amp;CK$11&amp;"'!B:R"),15,FALSE),"")</f>
        <v/>
      </c>
      <c r="CL45" s="96">
        <f>IFERROR(VLOOKUP($B45,INDIRECT("'GRD-"&amp;CL$11&amp;"'!B:R"),15,FALSE),"")</f>
        <v/>
      </c>
      <c r="CM45" s="96">
        <f>IFERROR(VLOOKUP($B45,INDIRECT("'GRD-"&amp;CM$11&amp;"'!B:R"),15,FALSE),"")</f>
        <v/>
      </c>
      <c r="CN45" s="96">
        <f>IFERROR(VLOOKUP($B45,INDIRECT("'GRD-"&amp;CN$11&amp;"'!B:R"),15,FALSE),"")</f>
        <v/>
      </c>
      <c r="CO45" s="96">
        <f>IFERROR(VLOOKUP($B45,INDIRECT("'GRD-"&amp;CO$11&amp;"'!B:R"),15,FALSE),"")</f>
        <v/>
      </c>
      <c r="CP45" s="96">
        <f>IFERROR(VLOOKUP($B45,INDIRECT("'GRD-"&amp;CP$11&amp;"'!B:R"),15,FALSE),"")</f>
        <v/>
      </c>
      <c r="CQ45" s="96">
        <f>IFERROR(VLOOKUP($B45,INDIRECT("'GRD-"&amp;CQ$11&amp;"'!B:R"),15,FALSE),"")</f>
        <v/>
      </c>
      <c r="CR45" s="96">
        <f>IFERROR(VLOOKUP($B45,INDIRECT("'GRD-"&amp;CR$11&amp;"'!B:R"),15,FALSE),"")</f>
        <v/>
      </c>
      <c r="CS45" s="96">
        <f>IFERROR(VLOOKUP($B45,INDIRECT("'GRD-"&amp;CS$11&amp;"'!B:R"),15,FALSE),"")</f>
        <v/>
      </c>
      <c r="CT45" s="96">
        <f>IFERROR(VLOOKUP($B45,INDIRECT("'GRD-"&amp;CT$11&amp;"'!B:R"),15,FALSE),"")</f>
        <v/>
      </c>
      <c r="CU45" s="96">
        <f>IFERROR(VLOOKUP($B45,INDIRECT("'GRD-"&amp;CU$11&amp;"'!B:R"),15,FALSE),"")</f>
        <v/>
      </c>
      <c r="CV45" s="96">
        <f>IFERROR(VLOOKUP($B45,INDIRECT("'GRD-"&amp;CV$11&amp;"'!B:R"),15,FALSE),"")</f>
        <v/>
      </c>
      <c r="CW45" s="96">
        <f>IFERROR(VLOOKUP($B45,INDIRECT("'GRD-"&amp;CW$11&amp;"'!B:R"),15,FALSE),"")</f>
        <v/>
      </c>
      <c r="CX45" s="96">
        <f>IFERROR(VLOOKUP($B45,INDIRECT("'GRD-"&amp;CX$11&amp;"'!B:R"),15,FALSE),"")</f>
        <v/>
      </c>
      <c r="CY45" s="96">
        <f>IFERROR(VLOOKUP($B45,INDIRECT("'GRD-"&amp;CY$11&amp;"'!B:R"),15,FALSE),"")</f>
        <v/>
      </c>
      <c r="CZ45" s="96">
        <f>IFERROR(VLOOKUP($B45,INDIRECT("'GRD-"&amp;CZ$11&amp;"'!B:R"),15,FALSE),"")</f>
        <v/>
      </c>
      <c r="DA45" s="96">
        <f>IFERROR(VLOOKUP($B45,INDIRECT("'GRD-"&amp;DA$11&amp;"'!B:R"),15,FALSE),"")</f>
        <v/>
      </c>
      <c r="DB45" s="96">
        <f>IFERROR(VLOOKUP($B45,INDIRECT("'GRD-"&amp;DB$11&amp;"'!B:R"),15,FALSE),"")</f>
        <v/>
      </c>
      <c r="DC45" s="96">
        <f>IFERROR(VLOOKUP($B45,INDIRECT("'GRD-"&amp;DC$11&amp;"'!B:R"),15,FALSE),"")</f>
        <v/>
      </c>
      <c r="DD45" s="96">
        <f>IFERROR(VLOOKUP($B45,INDIRECT("'GRD-"&amp;DD$11&amp;"'!B:R"),15,FALSE),"")</f>
        <v/>
      </c>
      <c r="DE45" s="96">
        <f>IFERROR(VLOOKUP($B45,INDIRECT("'GRD-"&amp;DE$11&amp;"'!B:R"),15,FALSE),"")</f>
        <v/>
      </c>
      <c r="DF45" s="96">
        <f>IFERROR(VLOOKUP($B45,INDIRECT("'GRD-"&amp;DF$11&amp;"'!B:R"),15,FALSE),"")</f>
        <v/>
      </c>
      <c r="DG45" s="96">
        <f>IFERROR(VLOOKUP($B45,INDIRECT("'GRD-"&amp;DG$11&amp;"'!B:R"),15,FALSE),"")</f>
        <v/>
      </c>
      <c r="DH45" s="96">
        <f>IFERROR(VLOOKUP($B45,INDIRECT("'GRD-"&amp;DH$11&amp;"'!B:R"),15,FALSE),"")</f>
        <v/>
      </c>
      <c r="DI45" s="96">
        <f>IFERROR(VLOOKUP($B45,INDIRECT("'GRD-"&amp;DI$11&amp;"'!B:R"),15,FALSE),"")</f>
        <v/>
      </c>
      <c r="DJ45" s="96">
        <f>IFERROR(VLOOKUP($B45,INDIRECT("'GRD-"&amp;DJ$11&amp;"'!B:R"),15,FALSE),"")</f>
        <v/>
      </c>
      <c r="DK45" s="96">
        <f>IFERROR(VLOOKUP($B45,INDIRECT("'GRD-"&amp;DK$11&amp;"'!B:R"),15,FALSE),"")</f>
        <v/>
      </c>
      <c r="DL45" s="96">
        <f>IFERROR(VLOOKUP($B45,INDIRECT("'GRD-"&amp;DL$11&amp;"'!B:R"),15,FALSE),"")</f>
        <v/>
      </c>
      <c r="DM45" s="96">
        <f>IFERROR(VLOOKUP($B45,INDIRECT("'GRD-"&amp;DM$11&amp;"'!B:R"),15,FALSE),"")</f>
        <v/>
      </c>
      <c r="DN45" s="96">
        <f>IFERROR(VLOOKUP($B45,INDIRECT("'GRD-"&amp;DN$11&amp;"'!B:R"),15,FALSE),"")</f>
        <v/>
      </c>
      <c r="DO45" s="96">
        <f>IFERROR(VLOOKUP($B45,INDIRECT("'GRD-"&amp;DO$11&amp;"'!B:R"),15,FALSE),"")</f>
        <v/>
      </c>
      <c r="DP45" s="96">
        <f>IFERROR(VLOOKUP($B45,INDIRECT("'GRD-"&amp;DP$11&amp;"'!B:R"),15,FALSE),"")</f>
        <v/>
      </c>
      <c r="DQ45" s="96">
        <f>IFERROR(VLOOKUP($B45,INDIRECT("'GRD-"&amp;DQ$11&amp;"'!B:R"),15,FALSE),"")</f>
        <v/>
      </c>
      <c r="DR45" s="96">
        <f>IFERROR(VLOOKUP($B45,INDIRECT("'GRD-"&amp;DR$11&amp;"'!B:R"),15,FALSE),"")</f>
        <v/>
      </c>
      <c r="DS45" s="96">
        <f>IFERROR(VLOOKUP($B45,INDIRECT("'GRD-"&amp;DS$11&amp;"'!B:R"),15,FALSE),"")</f>
        <v/>
      </c>
      <c r="DT45" s="96">
        <f>IFERROR(VLOOKUP($B45,INDIRECT("'GRD-"&amp;DT$11&amp;"'!B:R"),15,FALSE),"")</f>
        <v/>
      </c>
      <c r="DU45" s="96">
        <f>IFERROR(VLOOKUP($B45,INDIRECT("'GRD-"&amp;DU$11&amp;"'!B:R"),15,FALSE),"")</f>
        <v/>
      </c>
      <c r="DV45" s="96">
        <f>IFERROR(VLOOKUP($B45,INDIRECT("'GRD-"&amp;DV$11&amp;"'!B:R"),15,FALSE),"")</f>
        <v/>
      </c>
      <c r="DW45" s="96">
        <f>IFERROR(VLOOKUP($B45,INDIRECT("'GRD-"&amp;DW$11&amp;"'!B:R"),15,FALSE),"")</f>
        <v/>
      </c>
      <c r="DX45" s="96">
        <f>IFERROR(VLOOKUP($B45,INDIRECT("'GRD-"&amp;DX$11&amp;"'!B:R"),15,FALSE),"")</f>
        <v/>
      </c>
      <c r="DY45" s="96">
        <f>IFERROR(VLOOKUP($B45,INDIRECT("'GRD-"&amp;DY$11&amp;"'!B:R"),15,FALSE),"")</f>
        <v/>
      </c>
      <c r="DZ45" s="96">
        <f>IFERROR(VLOOKUP($B45,INDIRECT("'GRD-"&amp;DZ$11&amp;"'!B:R"),15,FALSE),"")</f>
        <v/>
      </c>
      <c r="EA45" s="96">
        <f>IFERROR(VLOOKUP($B45,INDIRECT("'GRD-"&amp;EA$11&amp;"'!B:R"),15,FALSE),"")</f>
        <v/>
      </c>
      <c r="EB45" s="96">
        <f>IFERROR(VLOOKUP($B45,INDIRECT("'GRD-"&amp;EB$11&amp;"'!B:R"),15,FALSE),"")</f>
        <v/>
      </c>
      <c r="EC45" s="96">
        <f>IFERROR(VLOOKUP($B45,INDIRECT("'GRD-"&amp;EC$11&amp;"'!B:R"),15,FALSE),"")</f>
        <v/>
      </c>
      <c r="ED45" s="96">
        <f>IFERROR(VLOOKUP($B45,INDIRECT("'GRD-"&amp;ED$11&amp;"'!B:R"),15,FALSE),"")</f>
        <v/>
      </c>
      <c r="EE45" s="96">
        <f>IFERROR(VLOOKUP($B45,INDIRECT("'GRD-"&amp;EE$11&amp;"'!B:R"),15,FALSE),"")</f>
        <v/>
      </c>
      <c r="EF45" s="96">
        <f>IFERROR(VLOOKUP($B45,INDIRECT("'GRD-"&amp;EF$11&amp;"'!B:R"),15,FALSE),"")</f>
        <v/>
      </c>
      <c r="EG45" s="96">
        <f>IFERROR(VLOOKUP($B45,INDIRECT("'GRD-"&amp;EG$11&amp;"'!B:R"),15,FALSE),"")</f>
        <v/>
      </c>
      <c r="EH45" s="96">
        <f>IFERROR(VLOOKUP($B45,INDIRECT("'GRD-"&amp;EH$11&amp;"'!B:R"),15,FALSE),"")</f>
        <v/>
      </c>
      <c r="EI45" s="96">
        <f>IFERROR(VLOOKUP($B45,INDIRECT("'GRD-"&amp;EI$11&amp;"'!B:R"),15,FALSE),"")</f>
        <v/>
      </c>
      <c r="EJ45" s="96">
        <f>IFERROR(VLOOKUP($B45,INDIRECT("'GRD-"&amp;EJ$11&amp;"'!B:R"),15,FALSE),"")</f>
        <v/>
      </c>
      <c r="EK45" s="96">
        <f>IFERROR(VLOOKUP($B45,INDIRECT("'GRD-"&amp;EK$11&amp;"'!B:R"),15,FALSE),"")</f>
        <v/>
      </c>
      <c r="EL45" s="96">
        <f>IFERROR(VLOOKUP($B45,INDIRECT("'GRD-"&amp;EL$11&amp;"'!B:R"),15,FALSE),"")</f>
        <v/>
      </c>
      <c r="EM45" s="96">
        <f>IFERROR(VLOOKUP($B45,INDIRECT("'GRD-"&amp;EM$11&amp;"'!B:R"),15,FALSE),"")</f>
        <v/>
      </c>
      <c r="EN45" s="96">
        <f>IFERROR(VLOOKUP($B45,INDIRECT("'GRD-"&amp;EN$11&amp;"'!B:R"),15,FALSE),"")</f>
        <v/>
      </c>
      <c r="EO45" s="96">
        <f>IFERROR(VLOOKUP($B45,INDIRECT("'GRD-"&amp;EO$11&amp;"'!B:R"),15,FALSE),"")</f>
        <v/>
      </c>
      <c r="EP45" s="96">
        <f>IFERROR(VLOOKUP($B45,INDIRECT("'GRD-"&amp;EP$11&amp;"'!B:R"),15,FALSE),"")</f>
        <v/>
      </c>
      <c r="EQ45" s="96">
        <f>IFERROR(VLOOKUP($B45,INDIRECT("'GRD-"&amp;EQ$11&amp;"'!B:R"),15,FALSE),"")</f>
        <v/>
      </c>
      <c r="ER45" s="96">
        <f>IFERROR(VLOOKUP($B45,INDIRECT("'GRD-"&amp;ER$11&amp;"'!B:R"),15,FALSE),"")</f>
        <v/>
      </c>
      <c r="ES45" s="96">
        <f>IFERROR(VLOOKUP($B45,INDIRECT("'GRD-"&amp;ES$11&amp;"'!B:R"),15,FALSE),"")</f>
        <v/>
      </c>
      <c r="ET45" s="96">
        <f>IFERROR(VLOOKUP($B45,INDIRECT("'GRD-"&amp;ET$11&amp;"'!B:R"),15,FALSE),"")</f>
        <v/>
      </c>
      <c r="EU45" s="96">
        <f>IFERROR(VLOOKUP($B45,INDIRECT("'GRD-"&amp;EU$11&amp;"'!B:R"),15,FALSE),"")</f>
        <v/>
      </c>
      <c r="EV45" s="96">
        <f>IFERROR(VLOOKUP($B45,INDIRECT("'GRD-"&amp;EV$11&amp;"'!B:R"),15,FALSE),"")</f>
        <v/>
      </c>
      <c r="EW45" s="96">
        <f>IFERROR(VLOOKUP($B45,INDIRECT("'GRD-"&amp;EW$11&amp;"'!B:R"),15,FALSE),"")</f>
        <v/>
      </c>
      <c r="EX45" s="96">
        <f>IFERROR(VLOOKUP($B45,INDIRECT("'GRD-"&amp;EX$11&amp;"'!B:R"),15,FALSE),"")</f>
        <v/>
      </c>
      <c r="EY45" s="96">
        <f>IFERROR(VLOOKUP($B45,INDIRECT("'GRD-"&amp;EY$11&amp;"'!B:R"),15,FALSE),"")</f>
        <v/>
      </c>
      <c r="EZ45" s="96">
        <f>IFERROR(VLOOKUP($B45,INDIRECT("'GRD-"&amp;EZ$11&amp;"'!B:R"),15,FALSE),"")</f>
        <v/>
      </c>
      <c r="FA45" s="96">
        <f>IFERROR(VLOOKUP($B45,INDIRECT("'GRD-"&amp;FA$11&amp;"'!B:R"),15,FALSE),"")</f>
        <v/>
      </c>
      <c r="FB45" s="96">
        <f>IFERROR(VLOOKUP($B45,INDIRECT("'GRD-"&amp;FB$11&amp;"'!B:R"),15,FALSE),"")</f>
        <v/>
      </c>
      <c r="FC45" s="96">
        <f>IFERROR(VLOOKUP($B45,INDIRECT("'GRD-"&amp;FC$11&amp;"'!B:R"),15,FALSE),"")</f>
        <v/>
      </c>
      <c r="FD45" s="96">
        <f>IFERROR(VLOOKUP($B45,INDIRECT("'GRD-"&amp;FD$11&amp;"'!B:R"),15,FALSE),"")</f>
        <v/>
      </c>
      <c r="FE45" s="96">
        <f>IFERROR(VLOOKUP($B45,INDIRECT("'GRD-"&amp;FE$11&amp;"'!B:R"),15,FALSE),"")</f>
        <v/>
      </c>
      <c r="FF45" s="96">
        <f>IFERROR(VLOOKUP($B45,INDIRECT("'GRD-"&amp;FF$11&amp;"'!B:R"),15,FALSE),"")</f>
        <v/>
      </c>
      <c r="FG45" s="96">
        <f>IFERROR(VLOOKUP($B45,INDIRECT("'GRD-"&amp;FG$11&amp;"'!B:R"),15,FALSE),"")</f>
        <v/>
      </c>
      <c r="FH45" s="96">
        <f>IFERROR(VLOOKUP($B45,INDIRECT("'GRD-"&amp;FH$11&amp;"'!B:R"),15,FALSE),"")</f>
        <v/>
      </c>
      <c r="FI45" s="96">
        <f>IFERROR(VLOOKUP($B45,INDIRECT("'GRD-"&amp;FI$11&amp;"'!B:R"),15,FALSE),"")</f>
        <v/>
      </c>
      <c r="FJ45" s="96">
        <f>IFERROR(VLOOKUP($B45,INDIRECT("'GRD-"&amp;FJ$11&amp;"'!B:R"),15,FALSE),"")</f>
        <v/>
      </c>
      <c r="FK45" s="96">
        <f>IFERROR(VLOOKUP($B45,INDIRECT("'GRD-"&amp;FK$11&amp;"'!B:R"),15,FALSE),"")</f>
        <v/>
      </c>
      <c r="FL45" s="96">
        <f>IFERROR(VLOOKUP($B45,INDIRECT("'GRD-"&amp;FL$11&amp;"'!B:R"),15,FALSE),"")</f>
        <v/>
      </c>
      <c r="FM45" s="96">
        <f>IFERROR(VLOOKUP($B45,INDIRECT("'GRD-"&amp;FM$11&amp;"'!B:R"),15,FALSE),"")</f>
        <v/>
      </c>
      <c r="FN45" s="96">
        <f>IFERROR(VLOOKUP($B45,INDIRECT("'GRD-"&amp;FN$11&amp;"'!B:R"),15,FALSE),"")</f>
        <v/>
      </c>
      <c r="FO45" s="96">
        <f>IFERROR(VLOOKUP($B45,INDIRECT("'GRD-"&amp;FO$11&amp;"'!B:R"),15,FALSE),"")</f>
        <v/>
      </c>
      <c r="FP45" s="96">
        <f>IFERROR(VLOOKUP($B45,INDIRECT("'GRD-"&amp;FP$11&amp;"'!B:R"),15,FALSE),"")</f>
        <v/>
      </c>
      <c r="FQ45" s="96">
        <f>IFERROR(VLOOKUP($B45,INDIRECT("'GRD-"&amp;FQ$11&amp;"'!B:R"),15,FALSE),"")</f>
        <v/>
      </c>
      <c r="FR45" s="96">
        <f>IFERROR(VLOOKUP($B45,INDIRECT("'GRD-"&amp;FR$11&amp;"'!B:R"),15,FALSE),"")</f>
        <v/>
      </c>
      <c r="FS45" s="96">
        <f>IFERROR(VLOOKUP($B45,INDIRECT("'GRD-"&amp;FS$11&amp;"'!B:R"),15,FALSE),"")</f>
        <v/>
      </c>
      <c r="FT45" s="96">
        <f>IFERROR(VLOOKUP($B45,INDIRECT("'GRD-"&amp;FT$11&amp;"'!B:R"),15,FALSE),"")</f>
        <v/>
      </c>
      <c r="FU45" s="96">
        <f>IFERROR(VLOOKUP($B45,INDIRECT("'GRD-"&amp;FU$11&amp;"'!B:R"),15,FALSE),"")</f>
        <v/>
      </c>
      <c r="FV45" s="96">
        <f>IFERROR(VLOOKUP($B45,INDIRECT("'GRD-"&amp;FV$11&amp;"'!B:R"),15,FALSE),"")</f>
        <v/>
      </c>
    </row>
    <row r="46">
      <c r="B46" s="68" t="n"/>
      <c r="C46" s="72" t="n"/>
      <c r="D46" s="73">
        <f>IF(K46="","",MAX($CA46:$FV46))</f>
        <v/>
      </c>
      <c r="E46" s="74">
        <f t="array" ref="E46">IF($K46="","",OFFSET($A$1,ROW($B46)-1,11+$D46*4,))</f>
        <v/>
      </c>
      <c r="F46" s="74">
        <f t="array" ref="F46">IF($K46="","",OFFSET($A$1,ROW($B46)-1,12+$D46*4,))</f>
        <v/>
      </c>
      <c r="G46" s="118">
        <f t="array" ref="G46">IF($K46="","",OFFSET($A$1,ROW($B46)-1,13+$D46*4,))</f>
        <v/>
      </c>
      <c r="H46" s="81" t="n"/>
      <c r="I46" s="82" t="n"/>
      <c r="J46" s="75">
        <f>IF(I46="A4",H46/8,IF(I46="A3",H46/4,IF(I46="A2",H46/2,IF(I46="A1",H46/1,IF(I46="A0",H46*2,"")))))</f>
        <v/>
      </c>
      <c r="K46" s="68">
        <f t="array" ref="K46">IFERROR(OFFSET($BZ$11,ROW($B46)-11,MATCH(K$10,$CA46:$FV46,0),),"")</f>
        <v/>
      </c>
      <c r="L46" s="85">
        <f>IF(K46="","",IF(VLOOKUP($B46,INDIRECT("'GRD-"&amp;M46&amp;"'!$B:$R"),16,FALSE)="","",VLOOKUP($B46,INDIRECT("'GRD-"&amp;M46&amp;"'!$B:$R"),16,FALSE)))</f>
        <v/>
      </c>
      <c r="M46" s="130">
        <f t="array" ref="M46">IF(K46="","",IFERROR(OFFSET($BZ$11,0,MATCH($K46,$CA46:$FV46,0),),""))</f>
        <v/>
      </c>
      <c r="N46" s="119">
        <f t="array" ref="N46">IF(K46="","",INDIRECT("'GRD-"&amp;M46&amp;"'!$L$7"))</f>
        <v/>
      </c>
      <c r="O46" s="76">
        <f t="array" ref="O46">IFERROR(OFFSET($BZ$11,ROW($B46)-11,MATCH(O$10,$CA46:$FV46,0),),"")</f>
        <v/>
      </c>
      <c r="P46" s="76">
        <f>IF(O46="","",IF(VLOOKUP($B46,INDIRECT("'GRD-"&amp;Q46&amp;"'!$B:$R"),16,FALSE)="","",VLOOKUP($B46,INDIRECT("'GRD-"&amp;Q46&amp;"'!$B:$R"),16,FALSE)))</f>
        <v/>
      </c>
      <c r="Q46" s="132">
        <f t="array" ref="Q46">IF(O46="","",IFERROR(OFFSET($BZ$11,0,MATCH($O46,$CA46:$FV46,0),),""))</f>
        <v/>
      </c>
      <c r="R46" s="121">
        <f t="array" ref="R46">IF(O46="","",INDIRECT("'GRD-"&amp;Q46&amp;"'!$L$7"))</f>
        <v/>
      </c>
      <c r="S46" s="83">
        <f t="array" ref="S46">IFERROR(OFFSET($BZ$11,ROW($B46)-11,MATCH(S$10,$CA46:$FV46,0),),"")</f>
        <v/>
      </c>
      <c r="T46" s="83">
        <f>IF(S46="","",IF(VLOOKUP($B46,INDIRECT("'GRD-"&amp;U46&amp;"'!$B:$R"),16,FALSE)="","",VLOOKUP($B46,INDIRECT("'GRD-"&amp;U46&amp;"'!$B:$R"),16,FALSE)))</f>
        <v/>
      </c>
      <c r="U46" s="128">
        <f t="array" ref="U46">IF(S46="","",IFERROR(OFFSET($BZ$11,0,MATCH($S46,$CA46:$FV46,0),),""))</f>
        <v/>
      </c>
      <c r="V46" s="133">
        <f t="array" ref="V46">IF(S46="","",INDIRECT("'GRD-"&amp;U46&amp;"'!$L$7"))</f>
        <v/>
      </c>
      <c r="W46" s="84">
        <f t="array" ref="W46">IFERROR(OFFSET($BZ$11,ROW($B46)-11,MATCH(W$10,$CA46:$FV46,0),),"")</f>
        <v/>
      </c>
      <c r="X46" s="84">
        <f>IF(W46="","",IF(VLOOKUP($B46,INDIRECT("'GRD-"&amp;Y46&amp;"'!$B:$R"),16,FALSE)="","",VLOOKUP($B46,INDIRECT("'GRD-"&amp;Y46&amp;"'!$B:$R"),16,FALSE)))</f>
        <v/>
      </c>
      <c r="Y46" s="129">
        <f t="array" ref="Y46">IF(W46="","",IFERROR(OFFSET($BZ$11,0,MATCH($W46,$CA46:$FV46,0),),""))</f>
        <v/>
      </c>
      <c r="Z46" s="134">
        <f t="array" ref="Z46">IF(W46="","",INDIRECT("'GRD-"&amp;Y46&amp;"'!$L$7"))</f>
        <v/>
      </c>
      <c r="AA46" s="85">
        <f t="array" ref="AA46">IFERROR(OFFSET($BZ$11,ROW($B46)-11,MATCH(AA$10,$CA46:$FV46,0),),"")</f>
        <v/>
      </c>
      <c r="AB46" s="85">
        <f>IF(AA46="","",IF(VLOOKUP($B46,INDIRECT("'GRD-"&amp;AC46&amp;"'!$B:$R"),16,FALSE)="","",VLOOKUP($B46,INDIRECT("'GRD-"&amp;AC46&amp;"'!$B:$R"),16,FALSE)))</f>
        <v/>
      </c>
      <c r="AC46" s="130">
        <f t="array" ref="AC46">IF(AA46="","",IFERROR(OFFSET($BZ$11,0,MATCH($AA46,$CA46:$FV46,0),),""))</f>
        <v/>
      </c>
      <c r="AD46" s="131">
        <f t="array" ref="AD46">IF(AA46="","",INDIRECT("'GRD-"&amp;AC46&amp;"'!$L$7"))</f>
        <v/>
      </c>
      <c r="AE46" s="76">
        <f t="array" ref="AE46">IFERROR(OFFSET($BZ$11,ROW($B46)-11,MATCH(AE$10,$CA46:$FV46,0),),"")</f>
        <v/>
      </c>
      <c r="AF46" s="76">
        <f>IF(AE46="","",IF(VLOOKUP($B46,INDIRECT("'GRD-"&amp;AG46&amp;"'!$B:$R"),16,FALSE)="","",VLOOKUP($B46,INDIRECT("'GRD-"&amp;AG46&amp;"'!$B:$R"),16,FALSE)))</f>
        <v/>
      </c>
      <c r="AG46" s="132">
        <f t="array" ref="AG46">IF(AE46="","",IFERROR(OFFSET($BZ$11,0,MATCH($AE46,$CA46:$FV46,0),),""))</f>
        <v/>
      </c>
      <c r="AH46" s="121">
        <f t="array" ref="AH46">IF(AE46="","",INDIRECT("'GRD-"&amp;AG46&amp;"'!$L$7"))</f>
        <v/>
      </c>
      <c r="AI46" s="83">
        <f t="array" ref="AI46">IFERROR(OFFSET($BZ$11,ROW($B46)-11,MATCH(AI$10,$CA46:$FV46,0),),"")</f>
        <v/>
      </c>
      <c r="AJ46" s="83">
        <f>IF(AI46="","",IF(VLOOKUP($B46,INDIRECT("'GRD-"&amp;AK46&amp;"'!$B:$R"),16,FALSE)="","",VLOOKUP($B46,INDIRECT("'GRD-"&amp;AK46&amp;"'!$B:$R"),16,FALSE)))</f>
        <v/>
      </c>
      <c r="AK46" s="128">
        <f t="array" ref="AK46">IF(AI46="","",IFERROR(OFFSET($BZ$11,0,MATCH($AI46,$CA46:$FV46,0),),""))</f>
        <v/>
      </c>
      <c r="AL46" s="133">
        <f t="array" ref="AL46">IF(AI46="","",INDIRECT("'GRD-"&amp;AK46&amp;"'!$L$7"))</f>
        <v/>
      </c>
      <c r="AM46" s="84">
        <f t="array" ref="AM46">IFERROR(OFFSET($BZ$11,ROW($B46)-11,MATCH(AM$10,$CA46:$FV46,0),),"")</f>
        <v/>
      </c>
      <c r="AN46" s="84">
        <f>IF(AM46="","",IF(VLOOKUP($B46,INDIRECT("'GRD-"&amp;AO46&amp;"'!$B:$R"),16,FALSE)="","",VLOOKUP($B46,INDIRECT("'GRD-"&amp;AO46&amp;"'!$B:$R"),16,FALSE)))</f>
        <v/>
      </c>
      <c r="AO46" s="129">
        <f t="array" ref="AO46">IF(AM46="","",IFERROR(OFFSET($BZ$11,0,MATCH($AM46,$CA46:$FV46,0),),""))</f>
        <v/>
      </c>
      <c r="AP46" s="134">
        <f t="array" ref="AP46">IF(AM46="","",INDIRECT("'GRD-"&amp;AO46&amp;"'!$L$7"))</f>
        <v/>
      </c>
      <c r="AQ46" s="85">
        <f t="array" ref="AQ46">IFERROR(OFFSET($BZ$11,ROW($B46)-11,MATCH(AQ$10,$CA46:$FV46,0),),"")</f>
        <v/>
      </c>
      <c r="AR46" s="85">
        <f>IF(AQ46="","",IF(VLOOKUP($B46,INDIRECT("'GRD-"&amp;AS46&amp;"'!$B:$R"),16,FALSE)="","",VLOOKUP($B46,INDIRECT("'GRD-"&amp;AS46&amp;"'!$B:$R"),16,FALSE)))</f>
        <v/>
      </c>
      <c r="AS46" s="130">
        <f t="array" ref="AS46">IF(AQ46="","",IFERROR(OFFSET($BZ$11,0,MATCH($AQ46,$CA46:$FV46,0),),""))</f>
        <v/>
      </c>
      <c r="AT46" s="131">
        <f t="array" ref="AT46">IF(AQ46="","",INDIRECT("'GRD-"&amp;AS46&amp;"'!$L$7"))</f>
        <v/>
      </c>
      <c r="AU46" s="76">
        <f t="array" ref="AU46">IFERROR(OFFSET($BZ$11,ROW($B46)-11,MATCH(AU$10,$CA46:$FV46,0),),"")</f>
        <v/>
      </c>
      <c r="AV46" s="76">
        <f>IF(AU46="","",IF(VLOOKUP($B46,INDIRECT("'GRD-"&amp;AW46&amp;"'!$B:$R"),16,FALSE)="","",VLOOKUP($B46,INDIRECT("'GRD-"&amp;AW46&amp;"'!$B:$R"),16,FALSE)))</f>
        <v/>
      </c>
      <c r="AW46" s="132">
        <f t="array" ref="AW46">IF(AU46="","",IFERROR(OFFSET($BZ$11,0,MATCH($AU46,$CA46:$FV46,0),),""))</f>
        <v/>
      </c>
      <c r="AX46" s="121">
        <f t="array" ref="AX46">IF(AU46="","",INDIRECT("'GRD-"&amp;AW46&amp;"'!$L$7"))</f>
        <v/>
      </c>
      <c r="AY46" s="83">
        <f t="array" ref="AY46">IFERROR(OFFSET($BZ$11,ROW($B46)-11,MATCH(AY$10,$CA46:$FV46,0),),"")</f>
        <v/>
      </c>
      <c r="AZ46" s="83">
        <f>IF(AY46="","",IF(VLOOKUP($B46,INDIRECT("'GRD-"&amp;BA46&amp;"'!$B:$R"),16,FALSE)="","",VLOOKUP($B46,INDIRECT("'GRD-"&amp;BA46&amp;"'!$B:$R"),16,FALSE)))</f>
        <v/>
      </c>
      <c r="BA46" s="128">
        <f t="array" ref="BA46">IF(AY46="","",IFERROR(OFFSET($BZ$11,0,MATCH($AY46,$CA46:$FV46,0),),""))</f>
        <v/>
      </c>
      <c r="BB46" s="133">
        <f t="array" ref="BB46">IF(AY46="","",INDIRECT("'GRD-"&amp;BA46&amp;"'!$L$7"))</f>
        <v/>
      </c>
      <c r="BC46" s="84">
        <f t="array" ref="BC46">IFERROR(OFFSET($BZ$11,ROW($B46)-11,MATCH(BC$10,$CA46:$FV46,0),),"")</f>
        <v/>
      </c>
      <c r="BD46" s="84">
        <f>IF(BC46="","",IF(VLOOKUP($B46,INDIRECT("'GRD-"&amp;BE46&amp;"'!$B:$R"),16,FALSE)="","",VLOOKUP($B46,INDIRECT("'GRD-"&amp;BE46&amp;"'!$B:$R"),16,FALSE)))</f>
        <v/>
      </c>
      <c r="BE46" s="129">
        <f t="array" ref="BE46">IF(BC46="","",IFERROR(OFFSET($BZ$11,0,MATCH($BC46,$CA46:$FV46,0),),""))</f>
        <v/>
      </c>
      <c r="BF46" s="134">
        <f t="array" ref="BF46">IF(BC46="","",INDIRECT("'GRD-"&amp;BE46&amp;"'!$L$7"))</f>
        <v/>
      </c>
      <c r="CA46" s="96">
        <f>IFERROR(VLOOKUP($B46,INDIRECT("'GRD-"&amp;CA$11&amp;"'!B:R"),15,FALSE),"")</f>
        <v/>
      </c>
      <c r="CB46" s="96">
        <f>IFERROR(VLOOKUP($B46,INDIRECT("'GRD-"&amp;CB$11&amp;"'!B:R"),15,FALSE),"")</f>
        <v/>
      </c>
      <c r="CC46" s="96">
        <f>IFERROR(VLOOKUP($B46,INDIRECT("'GRD-"&amp;CC$11&amp;"'!B:R"),15,FALSE),"")</f>
        <v/>
      </c>
      <c r="CD46" s="96">
        <f>IFERROR(VLOOKUP($B46,INDIRECT("'GRD-"&amp;CD$11&amp;"'!B:R"),15,FALSE),"")</f>
        <v/>
      </c>
      <c r="CE46" s="96">
        <f>IFERROR(VLOOKUP($B46,INDIRECT("'GRD-"&amp;CE$11&amp;"'!B:R"),15,FALSE),"")</f>
        <v/>
      </c>
      <c r="CF46" s="96">
        <f>IFERROR(VLOOKUP($B46,INDIRECT("'GRD-"&amp;CF$11&amp;"'!B:R"),15,FALSE),"")</f>
        <v/>
      </c>
      <c r="CG46" s="96">
        <f>IFERROR(VLOOKUP($B46,INDIRECT("'GRD-"&amp;CG$11&amp;"'!B:R"),15,FALSE),"")</f>
        <v/>
      </c>
      <c r="CH46" s="96">
        <f>IFERROR(VLOOKUP($B46,INDIRECT("'GRD-"&amp;CH$11&amp;"'!B:R"),15,FALSE),"")</f>
        <v/>
      </c>
      <c r="CI46" s="96">
        <f>IFERROR(VLOOKUP($B46,INDIRECT("'GRD-"&amp;CI$11&amp;"'!B:R"),15,FALSE),"")</f>
        <v/>
      </c>
      <c r="CJ46" s="96">
        <f>IFERROR(VLOOKUP($B46,INDIRECT("'GRD-"&amp;CJ$11&amp;"'!B:R"),15,FALSE),"")</f>
        <v/>
      </c>
      <c r="CK46" s="96">
        <f>IFERROR(VLOOKUP($B46,INDIRECT("'GRD-"&amp;CK$11&amp;"'!B:R"),15,FALSE),"")</f>
        <v/>
      </c>
      <c r="CL46" s="96">
        <f>IFERROR(VLOOKUP($B46,INDIRECT("'GRD-"&amp;CL$11&amp;"'!B:R"),15,FALSE),"")</f>
        <v/>
      </c>
      <c r="CM46" s="96">
        <f>IFERROR(VLOOKUP($B46,INDIRECT("'GRD-"&amp;CM$11&amp;"'!B:R"),15,FALSE),"")</f>
        <v/>
      </c>
      <c r="CN46" s="96">
        <f>IFERROR(VLOOKUP($B46,INDIRECT("'GRD-"&amp;CN$11&amp;"'!B:R"),15,FALSE),"")</f>
        <v/>
      </c>
      <c r="CO46" s="96">
        <f>IFERROR(VLOOKUP($B46,INDIRECT("'GRD-"&amp;CO$11&amp;"'!B:R"),15,FALSE),"")</f>
        <v/>
      </c>
      <c r="CP46" s="96">
        <f>IFERROR(VLOOKUP($B46,INDIRECT("'GRD-"&amp;CP$11&amp;"'!B:R"),15,FALSE),"")</f>
        <v/>
      </c>
      <c r="CQ46" s="96">
        <f>IFERROR(VLOOKUP($B46,INDIRECT("'GRD-"&amp;CQ$11&amp;"'!B:R"),15,FALSE),"")</f>
        <v/>
      </c>
      <c r="CR46" s="96">
        <f>IFERROR(VLOOKUP($B46,INDIRECT("'GRD-"&amp;CR$11&amp;"'!B:R"),15,FALSE),"")</f>
        <v/>
      </c>
      <c r="CS46" s="96">
        <f>IFERROR(VLOOKUP($B46,INDIRECT("'GRD-"&amp;CS$11&amp;"'!B:R"),15,FALSE),"")</f>
        <v/>
      </c>
      <c r="CT46" s="96">
        <f>IFERROR(VLOOKUP($B46,INDIRECT("'GRD-"&amp;CT$11&amp;"'!B:R"),15,FALSE),"")</f>
        <v/>
      </c>
      <c r="CU46" s="96">
        <f>IFERROR(VLOOKUP($B46,INDIRECT("'GRD-"&amp;CU$11&amp;"'!B:R"),15,FALSE),"")</f>
        <v/>
      </c>
      <c r="CV46" s="96">
        <f>IFERROR(VLOOKUP($B46,INDIRECT("'GRD-"&amp;CV$11&amp;"'!B:R"),15,FALSE),"")</f>
        <v/>
      </c>
      <c r="CW46" s="96">
        <f>IFERROR(VLOOKUP($B46,INDIRECT("'GRD-"&amp;CW$11&amp;"'!B:R"),15,FALSE),"")</f>
        <v/>
      </c>
      <c r="CX46" s="96">
        <f>IFERROR(VLOOKUP($B46,INDIRECT("'GRD-"&amp;CX$11&amp;"'!B:R"),15,FALSE),"")</f>
        <v/>
      </c>
      <c r="CY46" s="96">
        <f>IFERROR(VLOOKUP($B46,INDIRECT("'GRD-"&amp;CY$11&amp;"'!B:R"),15,FALSE),"")</f>
        <v/>
      </c>
      <c r="CZ46" s="96">
        <f>IFERROR(VLOOKUP($B46,INDIRECT("'GRD-"&amp;CZ$11&amp;"'!B:R"),15,FALSE),"")</f>
        <v/>
      </c>
      <c r="DA46" s="96">
        <f>IFERROR(VLOOKUP($B46,INDIRECT("'GRD-"&amp;DA$11&amp;"'!B:R"),15,FALSE),"")</f>
        <v/>
      </c>
      <c r="DB46" s="96">
        <f>IFERROR(VLOOKUP($B46,INDIRECT("'GRD-"&amp;DB$11&amp;"'!B:R"),15,FALSE),"")</f>
        <v/>
      </c>
      <c r="DC46" s="96">
        <f>IFERROR(VLOOKUP($B46,INDIRECT("'GRD-"&amp;DC$11&amp;"'!B:R"),15,FALSE),"")</f>
        <v/>
      </c>
      <c r="DD46" s="96">
        <f>IFERROR(VLOOKUP($B46,INDIRECT("'GRD-"&amp;DD$11&amp;"'!B:R"),15,FALSE),"")</f>
        <v/>
      </c>
      <c r="DE46" s="96">
        <f>IFERROR(VLOOKUP($B46,INDIRECT("'GRD-"&amp;DE$11&amp;"'!B:R"),15,FALSE),"")</f>
        <v/>
      </c>
      <c r="DF46" s="96">
        <f>IFERROR(VLOOKUP($B46,INDIRECT("'GRD-"&amp;DF$11&amp;"'!B:R"),15,FALSE),"")</f>
        <v/>
      </c>
      <c r="DG46" s="96">
        <f>IFERROR(VLOOKUP($B46,INDIRECT("'GRD-"&amp;DG$11&amp;"'!B:R"),15,FALSE),"")</f>
        <v/>
      </c>
      <c r="DH46" s="96">
        <f>IFERROR(VLOOKUP($B46,INDIRECT("'GRD-"&amp;DH$11&amp;"'!B:R"),15,FALSE),"")</f>
        <v/>
      </c>
      <c r="DI46" s="96">
        <f>IFERROR(VLOOKUP($B46,INDIRECT("'GRD-"&amp;DI$11&amp;"'!B:R"),15,FALSE),"")</f>
        <v/>
      </c>
      <c r="DJ46" s="96">
        <f>IFERROR(VLOOKUP($B46,INDIRECT("'GRD-"&amp;DJ$11&amp;"'!B:R"),15,FALSE),"")</f>
        <v/>
      </c>
      <c r="DK46" s="96">
        <f>IFERROR(VLOOKUP($B46,INDIRECT("'GRD-"&amp;DK$11&amp;"'!B:R"),15,FALSE),"")</f>
        <v/>
      </c>
      <c r="DL46" s="96">
        <f>IFERROR(VLOOKUP($B46,INDIRECT("'GRD-"&amp;DL$11&amp;"'!B:R"),15,FALSE),"")</f>
        <v/>
      </c>
      <c r="DM46" s="96">
        <f>IFERROR(VLOOKUP($B46,INDIRECT("'GRD-"&amp;DM$11&amp;"'!B:R"),15,FALSE),"")</f>
        <v/>
      </c>
      <c r="DN46" s="96">
        <f>IFERROR(VLOOKUP($B46,INDIRECT("'GRD-"&amp;DN$11&amp;"'!B:R"),15,FALSE),"")</f>
        <v/>
      </c>
      <c r="DO46" s="96">
        <f>IFERROR(VLOOKUP($B46,INDIRECT("'GRD-"&amp;DO$11&amp;"'!B:R"),15,FALSE),"")</f>
        <v/>
      </c>
      <c r="DP46" s="96">
        <f>IFERROR(VLOOKUP($B46,INDIRECT("'GRD-"&amp;DP$11&amp;"'!B:R"),15,FALSE),"")</f>
        <v/>
      </c>
      <c r="DQ46" s="96">
        <f>IFERROR(VLOOKUP($B46,INDIRECT("'GRD-"&amp;DQ$11&amp;"'!B:R"),15,FALSE),"")</f>
        <v/>
      </c>
      <c r="DR46" s="96">
        <f>IFERROR(VLOOKUP($B46,INDIRECT("'GRD-"&amp;DR$11&amp;"'!B:R"),15,FALSE),"")</f>
        <v/>
      </c>
      <c r="DS46" s="96">
        <f>IFERROR(VLOOKUP($B46,INDIRECT("'GRD-"&amp;DS$11&amp;"'!B:R"),15,FALSE),"")</f>
        <v/>
      </c>
      <c r="DT46" s="96">
        <f>IFERROR(VLOOKUP($B46,INDIRECT("'GRD-"&amp;DT$11&amp;"'!B:R"),15,FALSE),"")</f>
        <v/>
      </c>
      <c r="DU46" s="96">
        <f>IFERROR(VLOOKUP($B46,INDIRECT("'GRD-"&amp;DU$11&amp;"'!B:R"),15,FALSE),"")</f>
        <v/>
      </c>
      <c r="DV46" s="96">
        <f>IFERROR(VLOOKUP($B46,INDIRECT("'GRD-"&amp;DV$11&amp;"'!B:R"),15,FALSE),"")</f>
        <v/>
      </c>
      <c r="DW46" s="96">
        <f>IFERROR(VLOOKUP($B46,INDIRECT("'GRD-"&amp;DW$11&amp;"'!B:R"),15,FALSE),"")</f>
        <v/>
      </c>
      <c r="DX46" s="96">
        <f>IFERROR(VLOOKUP($B46,INDIRECT("'GRD-"&amp;DX$11&amp;"'!B:R"),15,FALSE),"")</f>
        <v/>
      </c>
      <c r="DY46" s="96">
        <f>IFERROR(VLOOKUP($B46,INDIRECT("'GRD-"&amp;DY$11&amp;"'!B:R"),15,FALSE),"")</f>
        <v/>
      </c>
      <c r="DZ46" s="96">
        <f>IFERROR(VLOOKUP($B46,INDIRECT("'GRD-"&amp;DZ$11&amp;"'!B:R"),15,FALSE),"")</f>
        <v/>
      </c>
      <c r="EA46" s="96">
        <f>IFERROR(VLOOKUP($B46,INDIRECT("'GRD-"&amp;EA$11&amp;"'!B:R"),15,FALSE),"")</f>
        <v/>
      </c>
      <c r="EB46" s="96">
        <f>IFERROR(VLOOKUP($B46,INDIRECT("'GRD-"&amp;EB$11&amp;"'!B:R"),15,FALSE),"")</f>
        <v/>
      </c>
      <c r="EC46" s="96">
        <f>IFERROR(VLOOKUP($B46,INDIRECT("'GRD-"&amp;EC$11&amp;"'!B:R"),15,FALSE),"")</f>
        <v/>
      </c>
      <c r="ED46" s="96">
        <f>IFERROR(VLOOKUP($B46,INDIRECT("'GRD-"&amp;ED$11&amp;"'!B:R"),15,FALSE),"")</f>
        <v/>
      </c>
      <c r="EE46" s="96">
        <f>IFERROR(VLOOKUP($B46,INDIRECT("'GRD-"&amp;EE$11&amp;"'!B:R"),15,FALSE),"")</f>
        <v/>
      </c>
      <c r="EF46" s="96">
        <f>IFERROR(VLOOKUP($B46,INDIRECT("'GRD-"&amp;EF$11&amp;"'!B:R"),15,FALSE),"")</f>
        <v/>
      </c>
      <c r="EG46" s="96">
        <f>IFERROR(VLOOKUP($B46,INDIRECT("'GRD-"&amp;EG$11&amp;"'!B:R"),15,FALSE),"")</f>
        <v/>
      </c>
      <c r="EH46" s="96">
        <f>IFERROR(VLOOKUP($B46,INDIRECT("'GRD-"&amp;EH$11&amp;"'!B:R"),15,FALSE),"")</f>
        <v/>
      </c>
      <c r="EI46" s="96">
        <f>IFERROR(VLOOKUP($B46,INDIRECT("'GRD-"&amp;EI$11&amp;"'!B:R"),15,FALSE),"")</f>
        <v/>
      </c>
      <c r="EJ46" s="96">
        <f>IFERROR(VLOOKUP($B46,INDIRECT("'GRD-"&amp;EJ$11&amp;"'!B:R"),15,FALSE),"")</f>
        <v/>
      </c>
      <c r="EK46" s="96">
        <f>IFERROR(VLOOKUP($B46,INDIRECT("'GRD-"&amp;EK$11&amp;"'!B:R"),15,FALSE),"")</f>
        <v/>
      </c>
      <c r="EL46" s="96">
        <f>IFERROR(VLOOKUP($B46,INDIRECT("'GRD-"&amp;EL$11&amp;"'!B:R"),15,FALSE),"")</f>
        <v/>
      </c>
      <c r="EM46" s="96">
        <f>IFERROR(VLOOKUP($B46,INDIRECT("'GRD-"&amp;EM$11&amp;"'!B:R"),15,FALSE),"")</f>
        <v/>
      </c>
      <c r="EN46" s="96">
        <f>IFERROR(VLOOKUP($B46,INDIRECT("'GRD-"&amp;EN$11&amp;"'!B:R"),15,FALSE),"")</f>
        <v/>
      </c>
      <c r="EO46" s="96">
        <f>IFERROR(VLOOKUP($B46,INDIRECT("'GRD-"&amp;EO$11&amp;"'!B:R"),15,FALSE),"")</f>
        <v/>
      </c>
      <c r="EP46" s="96">
        <f>IFERROR(VLOOKUP($B46,INDIRECT("'GRD-"&amp;EP$11&amp;"'!B:R"),15,FALSE),"")</f>
        <v/>
      </c>
      <c r="EQ46" s="96">
        <f>IFERROR(VLOOKUP($B46,INDIRECT("'GRD-"&amp;EQ$11&amp;"'!B:R"),15,FALSE),"")</f>
        <v/>
      </c>
      <c r="ER46" s="96">
        <f>IFERROR(VLOOKUP($B46,INDIRECT("'GRD-"&amp;ER$11&amp;"'!B:R"),15,FALSE),"")</f>
        <v/>
      </c>
      <c r="ES46" s="96">
        <f>IFERROR(VLOOKUP($B46,INDIRECT("'GRD-"&amp;ES$11&amp;"'!B:R"),15,FALSE),"")</f>
        <v/>
      </c>
      <c r="ET46" s="96">
        <f>IFERROR(VLOOKUP($B46,INDIRECT("'GRD-"&amp;ET$11&amp;"'!B:R"),15,FALSE),"")</f>
        <v/>
      </c>
      <c r="EU46" s="96">
        <f>IFERROR(VLOOKUP($B46,INDIRECT("'GRD-"&amp;EU$11&amp;"'!B:R"),15,FALSE),"")</f>
        <v/>
      </c>
      <c r="EV46" s="96">
        <f>IFERROR(VLOOKUP($B46,INDIRECT("'GRD-"&amp;EV$11&amp;"'!B:R"),15,FALSE),"")</f>
        <v/>
      </c>
      <c r="EW46" s="96">
        <f>IFERROR(VLOOKUP($B46,INDIRECT("'GRD-"&amp;EW$11&amp;"'!B:R"),15,FALSE),"")</f>
        <v/>
      </c>
      <c r="EX46" s="96">
        <f>IFERROR(VLOOKUP($B46,INDIRECT("'GRD-"&amp;EX$11&amp;"'!B:R"),15,FALSE),"")</f>
        <v/>
      </c>
      <c r="EY46" s="96">
        <f>IFERROR(VLOOKUP($B46,INDIRECT("'GRD-"&amp;EY$11&amp;"'!B:R"),15,FALSE),"")</f>
        <v/>
      </c>
      <c r="EZ46" s="96">
        <f>IFERROR(VLOOKUP($B46,INDIRECT("'GRD-"&amp;EZ$11&amp;"'!B:R"),15,FALSE),"")</f>
        <v/>
      </c>
      <c r="FA46" s="96">
        <f>IFERROR(VLOOKUP($B46,INDIRECT("'GRD-"&amp;FA$11&amp;"'!B:R"),15,FALSE),"")</f>
        <v/>
      </c>
      <c r="FB46" s="96">
        <f>IFERROR(VLOOKUP($B46,INDIRECT("'GRD-"&amp;FB$11&amp;"'!B:R"),15,FALSE),"")</f>
        <v/>
      </c>
      <c r="FC46" s="96">
        <f>IFERROR(VLOOKUP($B46,INDIRECT("'GRD-"&amp;FC$11&amp;"'!B:R"),15,FALSE),"")</f>
        <v/>
      </c>
      <c r="FD46" s="96">
        <f>IFERROR(VLOOKUP($B46,INDIRECT("'GRD-"&amp;FD$11&amp;"'!B:R"),15,FALSE),"")</f>
        <v/>
      </c>
      <c r="FE46" s="96">
        <f>IFERROR(VLOOKUP($B46,INDIRECT("'GRD-"&amp;FE$11&amp;"'!B:R"),15,FALSE),"")</f>
        <v/>
      </c>
      <c r="FF46" s="96">
        <f>IFERROR(VLOOKUP($B46,INDIRECT("'GRD-"&amp;FF$11&amp;"'!B:R"),15,FALSE),"")</f>
        <v/>
      </c>
      <c r="FG46" s="96">
        <f>IFERROR(VLOOKUP($B46,INDIRECT("'GRD-"&amp;FG$11&amp;"'!B:R"),15,FALSE),"")</f>
        <v/>
      </c>
      <c r="FH46" s="96">
        <f>IFERROR(VLOOKUP($B46,INDIRECT("'GRD-"&amp;FH$11&amp;"'!B:R"),15,FALSE),"")</f>
        <v/>
      </c>
      <c r="FI46" s="96">
        <f>IFERROR(VLOOKUP($B46,INDIRECT("'GRD-"&amp;FI$11&amp;"'!B:R"),15,FALSE),"")</f>
        <v/>
      </c>
      <c r="FJ46" s="96">
        <f>IFERROR(VLOOKUP($B46,INDIRECT("'GRD-"&amp;FJ$11&amp;"'!B:R"),15,FALSE),"")</f>
        <v/>
      </c>
      <c r="FK46" s="96">
        <f>IFERROR(VLOOKUP($B46,INDIRECT("'GRD-"&amp;FK$11&amp;"'!B:R"),15,FALSE),"")</f>
        <v/>
      </c>
      <c r="FL46" s="96">
        <f>IFERROR(VLOOKUP($B46,INDIRECT("'GRD-"&amp;FL$11&amp;"'!B:R"),15,FALSE),"")</f>
        <v/>
      </c>
      <c r="FM46" s="96">
        <f>IFERROR(VLOOKUP($B46,INDIRECT("'GRD-"&amp;FM$11&amp;"'!B:R"),15,FALSE),"")</f>
        <v/>
      </c>
      <c r="FN46" s="96">
        <f>IFERROR(VLOOKUP($B46,INDIRECT("'GRD-"&amp;FN$11&amp;"'!B:R"),15,FALSE),"")</f>
        <v/>
      </c>
      <c r="FO46" s="96">
        <f>IFERROR(VLOOKUP($B46,INDIRECT("'GRD-"&amp;FO$11&amp;"'!B:R"),15,FALSE),"")</f>
        <v/>
      </c>
      <c r="FP46" s="96">
        <f>IFERROR(VLOOKUP($B46,INDIRECT("'GRD-"&amp;FP$11&amp;"'!B:R"),15,FALSE),"")</f>
        <v/>
      </c>
      <c r="FQ46" s="96">
        <f>IFERROR(VLOOKUP($B46,INDIRECT("'GRD-"&amp;FQ$11&amp;"'!B:R"),15,FALSE),"")</f>
        <v/>
      </c>
      <c r="FR46" s="96">
        <f>IFERROR(VLOOKUP($B46,INDIRECT("'GRD-"&amp;FR$11&amp;"'!B:R"),15,FALSE),"")</f>
        <v/>
      </c>
      <c r="FS46" s="96">
        <f>IFERROR(VLOOKUP($B46,INDIRECT("'GRD-"&amp;FS$11&amp;"'!B:R"),15,FALSE),"")</f>
        <v/>
      </c>
      <c r="FT46" s="96">
        <f>IFERROR(VLOOKUP($B46,INDIRECT("'GRD-"&amp;FT$11&amp;"'!B:R"),15,FALSE),"")</f>
        <v/>
      </c>
      <c r="FU46" s="96">
        <f>IFERROR(VLOOKUP($B46,INDIRECT("'GRD-"&amp;FU$11&amp;"'!B:R"),15,FALSE),"")</f>
        <v/>
      </c>
      <c r="FV46" s="96">
        <f>IFERROR(VLOOKUP($B46,INDIRECT("'GRD-"&amp;FV$11&amp;"'!B:R"),15,FALSE),"")</f>
        <v/>
      </c>
    </row>
    <row r="47">
      <c r="B47" s="68" t="n"/>
      <c r="C47" s="72" t="n"/>
      <c r="D47" s="73">
        <f>IF(K47="","",MAX($CA47:$FV47))</f>
        <v/>
      </c>
      <c r="E47" s="74">
        <f t="array" ref="E47">IF($K47="","",OFFSET($A$1,ROW($B47)-1,11+$D47*4,))</f>
        <v/>
      </c>
      <c r="F47" s="74">
        <f t="array" ref="F47">IF($K47="","",OFFSET($A$1,ROW($B47)-1,12+$D47*4,))</f>
        <v/>
      </c>
      <c r="G47" s="118">
        <f t="array" ref="G47">IF($K47="","",OFFSET($A$1,ROW($B47)-1,13+$D47*4,))</f>
        <v/>
      </c>
      <c r="H47" s="81" t="n"/>
      <c r="I47" s="82" t="n"/>
      <c r="J47" s="75">
        <f>IF(I47="A4",H47/8,IF(I47="A3",H47/4,IF(I47="A2",H47/2,IF(I47="A1",H47/1,IF(I47="A0",H47*2,"")))))</f>
        <v/>
      </c>
      <c r="K47" s="68">
        <f t="array" ref="K47">IFERROR(OFFSET($BZ$11,ROW($B47)-11,MATCH(K$10,$CA47:$FV47,0),),"")</f>
        <v/>
      </c>
      <c r="L47" s="85">
        <f>IF(K47="","",IF(VLOOKUP($B47,INDIRECT("'GRD-"&amp;M47&amp;"'!$B:$R"),16,FALSE)="","",VLOOKUP($B47,INDIRECT("'GRD-"&amp;M47&amp;"'!$B:$R"),16,FALSE)))</f>
        <v/>
      </c>
      <c r="M47" s="130">
        <f t="array" ref="M47">IF(K47="","",IFERROR(OFFSET($BZ$11,0,MATCH($K47,$CA47:$FV47,0),),""))</f>
        <v/>
      </c>
      <c r="N47" s="119">
        <f t="array" ref="N47">IF(K47="","",INDIRECT("'GRD-"&amp;M47&amp;"'!$L$7"))</f>
        <v/>
      </c>
      <c r="O47" s="76">
        <f t="array" ref="O47">IFERROR(OFFSET($BZ$11,ROW($B47)-11,MATCH(O$10,$CA47:$FV47,0),),"")</f>
        <v/>
      </c>
      <c r="P47" s="76">
        <f>IF(O47="","",IF(VLOOKUP($B47,INDIRECT("'GRD-"&amp;Q47&amp;"'!$B:$R"),16,FALSE)="","",VLOOKUP($B47,INDIRECT("'GRD-"&amp;Q47&amp;"'!$B:$R"),16,FALSE)))</f>
        <v/>
      </c>
      <c r="Q47" s="132">
        <f t="array" ref="Q47">IF(O47="","",IFERROR(OFFSET($BZ$11,0,MATCH($O47,$CA47:$FV47,0),),""))</f>
        <v/>
      </c>
      <c r="R47" s="121">
        <f t="array" ref="R47">IF(O47="","",INDIRECT("'GRD-"&amp;Q47&amp;"'!$L$7"))</f>
        <v/>
      </c>
      <c r="S47" s="83">
        <f t="array" ref="S47">IFERROR(OFFSET($BZ$11,ROW($B47)-11,MATCH(S$10,$CA47:$FV47,0),),"")</f>
        <v/>
      </c>
      <c r="T47" s="83">
        <f>IF(S47="","",IF(VLOOKUP($B47,INDIRECT("'GRD-"&amp;U47&amp;"'!$B:$R"),16,FALSE)="","",VLOOKUP($B47,INDIRECT("'GRD-"&amp;U47&amp;"'!$B:$R"),16,FALSE)))</f>
        <v/>
      </c>
      <c r="U47" s="128">
        <f t="array" ref="U47">IF(S47="","",IFERROR(OFFSET($BZ$11,0,MATCH($S47,$CA47:$FV47,0),),""))</f>
        <v/>
      </c>
      <c r="V47" s="133">
        <f t="array" ref="V47">IF(S47="","",INDIRECT("'GRD-"&amp;U47&amp;"'!$L$7"))</f>
        <v/>
      </c>
      <c r="W47" s="84">
        <f t="array" ref="W47">IFERROR(OFFSET($BZ$11,ROW($B47)-11,MATCH(W$10,$CA47:$FV47,0),),"")</f>
        <v/>
      </c>
      <c r="X47" s="84">
        <f>IF(W47="","",IF(VLOOKUP($B47,INDIRECT("'GRD-"&amp;Y47&amp;"'!$B:$R"),16,FALSE)="","",VLOOKUP($B47,INDIRECT("'GRD-"&amp;Y47&amp;"'!$B:$R"),16,FALSE)))</f>
        <v/>
      </c>
      <c r="Y47" s="129">
        <f t="array" ref="Y47">IF(W47="","",IFERROR(OFFSET($BZ$11,0,MATCH($W47,$CA47:$FV47,0),),""))</f>
        <v/>
      </c>
      <c r="Z47" s="134">
        <f t="array" ref="Z47">IF(W47="","",INDIRECT("'GRD-"&amp;Y47&amp;"'!$L$7"))</f>
        <v/>
      </c>
      <c r="AA47" s="85">
        <f t="array" ref="AA47">IFERROR(OFFSET($BZ$11,ROW($B47)-11,MATCH(AA$10,$CA47:$FV47,0),),"")</f>
        <v/>
      </c>
      <c r="AB47" s="85">
        <f>IF(AA47="","",IF(VLOOKUP($B47,INDIRECT("'GRD-"&amp;AC47&amp;"'!$B:$R"),16,FALSE)="","",VLOOKUP($B47,INDIRECT("'GRD-"&amp;AC47&amp;"'!$B:$R"),16,FALSE)))</f>
        <v/>
      </c>
      <c r="AC47" s="130">
        <f t="array" ref="AC47">IF(AA47="","",IFERROR(OFFSET($BZ$11,0,MATCH($AA47,$CA47:$FV47,0),),""))</f>
        <v/>
      </c>
      <c r="AD47" s="131">
        <f t="array" ref="AD47">IF(AA47="","",INDIRECT("'GRD-"&amp;AC47&amp;"'!$L$7"))</f>
        <v/>
      </c>
      <c r="AE47" s="76">
        <f t="array" ref="AE47">IFERROR(OFFSET($BZ$11,ROW($B47)-11,MATCH(AE$10,$CA47:$FV47,0),),"")</f>
        <v/>
      </c>
      <c r="AF47" s="76">
        <f>IF(AE47="","",IF(VLOOKUP($B47,INDIRECT("'GRD-"&amp;AG47&amp;"'!$B:$R"),16,FALSE)="","",VLOOKUP($B47,INDIRECT("'GRD-"&amp;AG47&amp;"'!$B:$R"),16,FALSE)))</f>
        <v/>
      </c>
      <c r="AG47" s="132">
        <f t="array" ref="AG47">IF(AE47="","",IFERROR(OFFSET($BZ$11,0,MATCH($AE47,$CA47:$FV47,0),),""))</f>
        <v/>
      </c>
      <c r="AH47" s="121">
        <f t="array" ref="AH47">IF(AE47="","",INDIRECT("'GRD-"&amp;AG47&amp;"'!$L$7"))</f>
        <v/>
      </c>
      <c r="AI47" s="83">
        <f t="array" ref="AI47">IFERROR(OFFSET($BZ$11,ROW($B47)-11,MATCH(AI$10,$CA47:$FV47,0),),"")</f>
        <v/>
      </c>
      <c r="AJ47" s="83">
        <f>IF(AI47="","",IF(VLOOKUP($B47,INDIRECT("'GRD-"&amp;AK47&amp;"'!$B:$R"),16,FALSE)="","",VLOOKUP($B47,INDIRECT("'GRD-"&amp;AK47&amp;"'!$B:$R"),16,FALSE)))</f>
        <v/>
      </c>
      <c r="AK47" s="128">
        <f t="array" ref="AK47">IF(AI47="","",IFERROR(OFFSET($BZ$11,0,MATCH($AI47,$CA47:$FV47,0),),""))</f>
        <v/>
      </c>
      <c r="AL47" s="133">
        <f t="array" ref="AL47">IF(AI47="","",INDIRECT("'GRD-"&amp;AK47&amp;"'!$L$7"))</f>
        <v/>
      </c>
      <c r="AM47" s="84">
        <f t="array" ref="AM47">IFERROR(OFFSET($BZ$11,ROW($B47)-11,MATCH(AM$10,$CA47:$FV47,0),),"")</f>
        <v/>
      </c>
      <c r="AN47" s="84">
        <f>IF(AM47="","",IF(VLOOKUP($B47,INDIRECT("'GRD-"&amp;AO47&amp;"'!$B:$R"),16,FALSE)="","",VLOOKUP($B47,INDIRECT("'GRD-"&amp;AO47&amp;"'!$B:$R"),16,FALSE)))</f>
        <v/>
      </c>
      <c r="AO47" s="129">
        <f t="array" ref="AO47">IF(AM47="","",IFERROR(OFFSET($BZ$11,0,MATCH($AM47,$CA47:$FV47,0),),""))</f>
        <v/>
      </c>
      <c r="AP47" s="134">
        <f t="array" ref="AP47">IF(AM47="","",INDIRECT("'GRD-"&amp;AO47&amp;"'!$L$7"))</f>
        <v/>
      </c>
      <c r="AQ47" s="85">
        <f t="array" ref="AQ47">IFERROR(OFFSET($BZ$11,ROW($B47)-11,MATCH(AQ$10,$CA47:$FV47,0),),"")</f>
        <v/>
      </c>
      <c r="AR47" s="85">
        <f>IF(AQ47="","",IF(VLOOKUP($B47,INDIRECT("'GRD-"&amp;AS47&amp;"'!$B:$R"),16,FALSE)="","",VLOOKUP($B47,INDIRECT("'GRD-"&amp;AS47&amp;"'!$B:$R"),16,FALSE)))</f>
        <v/>
      </c>
      <c r="AS47" s="130">
        <f t="array" ref="AS47">IF(AQ47="","",IFERROR(OFFSET($BZ$11,0,MATCH($AQ47,$CA47:$FV47,0),),""))</f>
        <v/>
      </c>
      <c r="AT47" s="131">
        <f t="array" ref="AT47">IF(AQ47="","",INDIRECT("'GRD-"&amp;AS47&amp;"'!$L$7"))</f>
        <v/>
      </c>
      <c r="AU47" s="76">
        <f t="array" ref="AU47">IFERROR(OFFSET($BZ$11,ROW($B47)-11,MATCH(AU$10,$CA47:$FV47,0),),"")</f>
        <v/>
      </c>
      <c r="AV47" s="76">
        <f>IF(AU47="","",IF(VLOOKUP($B47,INDIRECT("'GRD-"&amp;AW47&amp;"'!$B:$R"),16,FALSE)="","",VLOOKUP($B47,INDIRECT("'GRD-"&amp;AW47&amp;"'!$B:$R"),16,FALSE)))</f>
        <v/>
      </c>
      <c r="AW47" s="132">
        <f t="array" ref="AW47">IF(AU47="","",IFERROR(OFFSET($BZ$11,0,MATCH($AU47,$CA47:$FV47,0),),""))</f>
        <v/>
      </c>
      <c r="AX47" s="121">
        <f t="array" ref="AX47">IF(AU47="","",INDIRECT("'GRD-"&amp;AW47&amp;"'!$L$7"))</f>
        <v/>
      </c>
      <c r="AY47" s="83">
        <f t="array" ref="AY47">IFERROR(OFFSET($BZ$11,ROW($B47)-11,MATCH(AY$10,$CA47:$FV47,0),),"")</f>
        <v/>
      </c>
      <c r="AZ47" s="83">
        <f>IF(AY47="","",IF(VLOOKUP($B47,INDIRECT("'GRD-"&amp;BA47&amp;"'!$B:$R"),16,FALSE)="","",VLOOKUP($B47,INDIRECT("'GRD-"&amp;BA47&amp;"'!$B:$R"),16,FALSE)))</f>
        <v/>
      </c>
      <c r="BA47" s="128">
        <f t="array" ref="BA47">IF(AY47="","",IFERROR(OFFSET($BZ$11,0,MATCH($AY47,$CA47:$FV47,0),),""))</f>
        <v/>
      </c>
      <c r="BB47" s="133">
        <f t="array" ref="BB47">IF(AY47="","",INDIRECT("'GRD-"&amp;BA47&amp;"'!$L$7"))</f>
        <v/>
      </c>
      <c r="BC47" s="84">
        <f t="array" ref="BC47">IFERROR(OFFSET($BZ$11,ROW($B47)-11,MATCH(BC$10,$CA47:$FV47,0),),"")</f>
        <v/>
      </c>
      <c r="BD47" s="84">
        <f>IF(BC47="","",IF(VLOOKUP($B47,INDIRECT("'GRD-"&amp;BE47&amp;"'!$B:$R"),16,FALSE)="","",VLOOKUP($B47,INDIRECT("'GRD-"&amp;BE47&amp;"'!$B:$R"),16,FALSE)))</f>
        <v/>
      </c>
      <c r="BE47" s="129">
        <f t="array" ref="BE47">IF(BC47="","",IFERROR(OFFSET($BZ$11,0,MATCH($BC47,$CA47:$FV47,0),),""))</f>
        <v/>
      </c>
      <c r="BF47" s="134">
        <f t="array" ref="BF47">IF(BC47="","",INDIRECT("'GRD-"&amp;BE47&amp;"'!$L$7"))</f>
        <v/>
      </c>
      <c r="CA47" s="96">
        <f>IFERROR(VLOOKUP($B47,INDIRECT("'GRD-"&amp;CA$11&amp;"'!B:R"),15,FALSE),"")</f>
        <v/>
      </c>
      <c r="CB47" s="96">
        <f>IFERROR(VLOOKUP($B47,INDIRECT("'GRD-"&amp;CB$11&amp;"'!B:R"),15,FALSE),"")</f>
        <v/>
      </c>
      <c r="CC47" s="96">
        <f>IFERROR(VLOOKUP($B47,INDIRECT("'GRD-"&amp;CC$11&amp;"'!B:R"),15,FALSE),"")</f>
        <v/>
      </c>
      <c r="CD47" s="96">
        <f>IFERROR(VLOOKUP($B47,INDIRECT("'GRD-"&amp;CD$11&amp;"'!B:R"),15,FALSE),"")</f>
        <v/>
      </c>
      <c r="CE47" s="96">
        <f>IFERROR(VLOOKUP($B47,INDIRECT("'GRD-"&amp;CE$11&amp;"'!B:R"),15,FALSE),"")</f>
        <v/>
      </c>
      <c r="CF47" s="96">
        <f>IFERROR(VLOOKUP($B47,INDIRECT("'GRD-"&amp;CF$11&amp;"'!B:R"),15,FALSE),"")</f>
        <v/>
      </c>
      <c r="CG47" s="96">
        <f>IFERROR(VLOOKUP($B47,INDIRECT("'GRD-"&amp;CG$11&amp;"'!B:R"),15,FALSE),"")</f>
        <v/>
      </c>
      <c r="CH47" s="96">
        <f>IFERROR(VLOOKUP($B47,INDIRECT("'GRD-"&amp;CH$11&amp;"'!B:R"),15,FALSE),"")</f>
        <v/>
      </c>
      <c r="CI47" s="96">
        <f>IFERROR(VLOOKUP($B47,INDIRECT("'GRD-"&amp;CI$11&amp;"'!B:R"),15,FALSE),"")</f>
        <v/>
      </c>
      <c r="CJ47" s="96">
        <f>IFERROR(VLOOKUP($B47,INDIRECT("'GRD-"&amp;CJ$11&amp;"'!B:R"),15,FALSE),"")</f>
        <v/>
      </c>
      <c r="CK47" s="96">
        <f>IFERROR(VLOOKUP($B47,INDIRECT("'GRD-"&amp;CK$11&amp;"'!B:R"),15,FALSE),"")</f>
        <v/>
      </c>
      <c r="CL47" s="96">
        <f>IFERROR(VLOOKUP($B47,INDIRECT("'GRD-"&amp;CL$11&amp;"'!B:R"),15,FALSE),"")</f>
        <v/>
      </c>
      <c r="CM47" s="96">
        <f>IFERROR(VLOOKUP($B47,INDIRECT("'GRD-"&amp;CM$11&amp;"'!B:R"),15,FALSE),"")</f>
        <v/>
      </c>
      <c r="CN47" s="96">
        <f>IFERROR(VLOOKUP($B47,INDIRECT("'GRD-"&amp;CN$11&amp;"'!B:R"),15,FALSE),"")</f>
        <v/>
      </c>
      <c r="CO47" s="96">
        <f>IFERROR(VLOOKUP($B47,INDIRECT("'GRD-"&amp;CO$11&amp;"'!B:R"),15,FALSE),"")</f>
        <v/>
      </c>
      <c r="CP47" s="96">
        <f>IFERROR(VLOOKUP($B47,INDIRECT("'GRD-"&amp;CP$11&amp;"'!B:R"),15,FALSE),"")</f>
        <v/>
      </c>
      <c r="CQ47" s="96">
        <f>IFERROR(VLOOKUP($B47,INDIRECT("'GRD-"&amp;CQ$11&amp;"'!B:R"),15,FALSE),"")</f>
        <v/>
      </c>
      <c r="CR47" s="96">
        <f>IFERROR(VLOOKUP($B47,INDIRECT("'GRD-"&amp;CR$11&amp;"'!B:R"),15,FALSE),"")</f>
        <v/>
      </c>
      <c r="CS47" s="96">
        <f>IFERROR(VLOOKUP($B47,INDIRECT("'GRD-"&amp;CS$11&amp;"'!B:R"),15,FALSE),"")</f>
        <v/>
      </c>
      <c r="CT47" s="96">
        <f>IFERROR(VLOOKUP($B47,INDIRECT("'GRD-"&amp;CT$11&amp;"'!B:R"),15,FALSE),"")</f>
        <v/>
      </c>
      <c r="CU47" s="96">
        <f>IFERROR(VLOOKUP($B47,INDIRECT("'GRD-"&amp;CU$11&amp;"'!B:R"),15,FALSE),"")</f>
        <v/>
      </c>
      <c r="CV47" s="96">
        <f>IFERROR(VLOOKUP($B47,INDIRECT("'GRD-"&amp;CV$11&amp;"'!B:R"),15,FALSE),"")</f>
        <v/>
      </c>
      <c r="CW47" s="96">
        <f>IFERROR(VLOOKUP($B47,INDIRECT("'GRD-"&amp;CW$11&amp;"'!B:R"),15,FALSE),"")</f>
        <v/>
      </c>
      <c r="CX47" s="96">
        <f>IFERROR(VLOOKUP($B47,INDIRECT("'GRD-"&amp;CX$11&amp;"'!B:R"),15,FALSE),"")</f>
        <v/>
      </c>
      <c r="CY47" s="96">
        <f>IFERROR(VLOOKUP($B47,INDIRECT("'GRD-"&amp;CY$11&amp;"'!B:R"),15,FALSE),"")</f>
        <v/>
      </c>
      <c r="CZ47" s="96">
        <f>IFERROR(VLOOKUP($B47,INDIRECT("'GRD-"&amp;CZ$11&amp;"'!B:R"),15,FALSE),"")</f>
        <v/>
      </c>
      <c r="DA47" s="96">
        <f>IFERROR(VLOOKUP($B47,INDIRECT("'GRD-"&amp;DA$11&amp;"'!B:R"),15,FALSE),"")</f>
        <v/>
      </c>
      <c r="DB47" s="96">
        <f>IFERROR(VLOOKUP($B47,INDIRECT("'GRD-"&amp;DB$11&amp;"'!B:R"),15,FALSE),"")</f>
        <v/>
      </c>
      <c r="DC47" s="96">
        <f>IFERROR(VLOOKUP($B47,INDIRECT("'GRD-"&amp;DC$11&amp;"'!B:R"),15,FALSE),"")</f>
        <v/>
      </c>
      <c r="DD47" s="96">
        <f>IFERROR(VLOOKUP($B47,INDIRECT("'GRD-"&amp;DD$11&amp;"'!B:R"),15,FALSE),"")</f>
        <v/>
      </c>
      <c r="DE47" s="96">
        <f>IFERROR(VLOOKUP($B47,INDIRECT("'GRD-"&amp;DE$11&amp;"'!B:R"),15,FALSE),"")</f>
        <v/>
      </c>
      <c r="DF47" s="96">
        <f>IFERROR(VLOOKUP($B47,INDIRECT("'GRD-"&amp;DF$11&amp;"'!B:R"),15,FALSE),"")</f>
        <v/>
      </c>
      <c r="DG47" s="96">
        <f>IFERROR(VLOOKUP($B47,INDIRECT("'GRD-"&amp;DG$11&amp;"'!B:R"),15,FALSE),"")</f>
        <v/>
      </c>
      <c r="DH47" s="96">
        <f>IFERROR(VLOOKUP($B47,INDIRECT("'GRD-"&amp;DH$11&amp;"'!B:R"),15,FALSE),"")</f>
        <v/>
      </c>
      <c r="DI47" s="96">
        <f>IFERROR(VLOOKUP($B47,INDIRECT("'GRD-"&amp;DI$11&amp;"'!B:R"),15,FALSE),"")</f>
        <v/>
      </c>
      <c r="DJ47" s="96">
        <f>IFERROR(VLOOKUP($B47,INDIRECT("'GRD-"&amp;DJ$11&amp;"'!B:R"),15,FALSE),"")</f>
        <v/>
      </c>
      <c r="DK47" s="96">
        <f>IFERROR(VLOOKUP($B47,INDIRECT("'GRD-"&amp;DK$11&amp;"'!B:R"),15,FALSE),"")</f>
        <v/>
      </c>
      <c r="DL47" s="96">
        <f>IFERROR(VLOOKUP($B47,INDIRECT("'GRD-"&amp;DL$11&amp;"'!B:R"),15,FALSE),"")</f>
        <v/>
      </c>
      <c r="DM47" s="96">
        <f>IFERROR(VLOOKUP($B47,INDIRECT("'GRD-"&amp;DM$11&amp;"'!B:R"),15,FALSE),"")</f>
        <v/>
      </c>
      <c r="DN47" s="96">
        <f>IFERROR(VLOOKUP($B47,INDIRECT("'GRD-"&amp;DN$11&amp;"'!B:R"),15,FALSE),"")</f>
        <v/>
      </c>
      <c r="DO47" s="96">
        <f>IFERROR(VLOOKUP($B47,INDIRECT("'GRD-"&amp;DO$11&amp;"'!B:R"),15,FALSE),"")</f>
        <v/>
      </c>
      <c r="DP47" s="96">
        <f>IFERROR(VLOOKUP($B47,INDIRECT("'GRD-"&amp;DP$11&amp;"'!B:R"),15,FALSE),"")</f>
        <v/>
      </c>
      <c r="DQ47" s="96">
        <f>IFERROR(VLOOKUP($B47,INDIRECT("'GRD-"&amp;DQ$11&amp;"'!B:R"),15,FALSE),"")</f>
        <v/>
      </c>
      <c r="DR47" s="96">
        <f>IFERROR(VLOOKUP($B47,INDIRECT("'GRD-"&amp;DR$11&amp;"'!B:R"),15,FALSE),"")</f>
        <v/>
      </c>
      <c r="DS47" s="96">
        <f>IFERROR(VLOOKUP($B47,INDIRECT("'GRD-"&amp;DS$11&amp;"'!B:R"),15,FALSE),"")</f>
        <v/>
      </c>
      <c r="DT47" s="96">
        <f>IFERROR(VLOOKUP($B47,INDIRECT("'GRD-"&amp;DT$11&amp;"'!B:R"),15,FALSE),"")</f>
        <v/>
      </c>
      <c r="DU47" s="96">
        <f>IFERROR(VLOOKUP($B47,INDIRECT("'GRD-"&amp;DU$11&amp;"'!B:R"),15,FALSE),"")</f>
        <v/>
      </c>
      <c r="DV47" s="96">
        <f>IFERROR(VLOOKUP($B47,INDIRECT("'GRD-"&amp;DV$11&amp;"'!B:R"),15,FALSE),"")</f>
        <v/>
      </c>
      <c r="DW47" s="96">
        <f>IFERROR(VLOOKUP($B47,INDIRECT("'GRD-"&amp;DW$11&amp;"'!B:R"),15,FALSE),"")</f>
        <v/>
      </c>
      <c r="DX47" s="96">
        <f>IFERROR(VLOOKUP($B47,INDIRECT("'GRD-"&amp;DX$11&amp;"'!B:R"),15,FALSE),"")</f>
        <v/>
      </c>
      <c r="DY47" s="96">
        <f>IFERROR(VLOOKUP($B47,INDIRECT("'GRD-"&amp;DY$11&amp;"'!B:R"),15,FALSE),"")</f>
        <v/>
      </c>
      <c r="DZ47" s="96">
        <f>IFERROR(VLOOKUP($B47,INDIRECT("'GRD-"&amp;DZ$11&amp;"'!B:R"),15,FALSE),"")</f>
        <v/>
      </c>
      <c r="EA47" s="96">
        <f>IFERROR(VLOOKUP($B47,INDIRECT("'GRD-"&amp;EA$11&amp;"'!B:R"),15,FALSE),"")</f>
        <v/>
      </c>
      <c r="EB47" s="96">
        <f>IFERROR(VLOOKUP($B47,INDIRECT("'GRD-"&amp;EB$11&amp;"'!B:R"),15,FALSE),"")</f>
        <v/>
      </c>
      <c r="EC47" s="96">
        <f>IFERROR(VLOOKUP($B47,INDIRECT("'GRD-"&amp;EC$11&amp;"'!B:R"),15,FALSE),"")</f>
        <v/>
      </c>
      <c r="ED47" s="96">
        <f>IFERROR(VLOOKUP($B47,INDIRECT("'GRD-"&amp;ED$11&amp;"'!B:R"),15,FALSE),"")</f>
        <v/>
      </c>
      <c r="EE47" s="96">
        <f>IFERROR(VLOOKUP($B47,INDIRECT("'GRD-"&amp;EE$11&amp;"'!B:R"),15,FALSE),"")</f>
        <v/>
      </c>
      <c r="EF47" s="96">
        <f>IFERROR(VLOOKUP($B47,INDIRECT("'GRD-"&amp;EF$11&amp;"'!B:R"),15,FALSE),"")</f>
        <v/>
      </c>
      <c r="EG47" s="96">
        <f>IFERROR(VLOOKUP($B47,INDIRECT("'GRD-"&amp;EG$11&amp;"'!B:R"),15,FALSE),"")</f>
        <v/>
      </c>
      <c r="EH47" s="96">
        <f>IFERROR(VLOOKUP($B47,INDIRECT("'GRD-"&amp;EH$11&amp;"'!B:R"),15,FALSE),"")</f>
        <v/>
      </c>
      <c r="EI47" s="96">
        <f>IFERROR(VLOOKUP($B47,INDIRECT("'GRD-"&amp;EI$11&amp;"'!B:R"),15,FALSE),"")</f>
        <v/>
      </c>
      <c r="EJ47" s="96">
        <f>IFERROR(VLOOKUP($B47,INDIRECT("'GRD-"&amp;EJ$11&amp;"'!B:R"),15,FALSE),"")</f>
        <v/>
      </c>
      <c r="EK47" s="96">
        <f>IFERROR(VLOOKUP($B47,INDIRECT("'GRD-"&amp;EK$11&amp;"'!B:R"),15,FALSE),"")</f>
        <v/>
      </c>
      <c r="EL47" s="96">
        <f>IFERROR(VLOOKUP($B47,INDIRECT("'GRD-"&amp;EL$11&amp;"'!B:R"),15,FALSE),"")</f>
        <v/>
      </c>
      <c r="EM47" s="96">
        <f>IFERROR(VLOOKUP($B47,INDIRECT("'GRD-"&amp;EM$11&amp;"'!B:R"),15,FALSE),"")</f>
        <v/>
      </c>
      <c r="EN47" s="96">
        <f>IFERROR(VLOOKUP($B47,INDIRECT("'GRD-"&amp;EN$11&amp;"'!B:R"),15,FALSE),"")</f>
        <v/>
      </c>
      <c r="EO47" s="96">
        <f>IFERROR(VLOOKUP($B47,INDIRECT("'GRD-"&amp;EO$11&amp;"'!B:R"),15,FALSE),"")</f>
        <v/>
      </c>
      <c r="EP47" s="96">
        <f>IFERROR(VLOOKUP($B47,INDIRECT("'GRD-"&amp;EP$11&amp;"'!B:R"),15,FALSE),"")</f>
        <v/>
      </c>
      <c r="EQ47" s="96">
        <f>IFERROR(VLOOKUP($B47,INDIRECT("'GRD-"&amp;EQ$11&amp;"'!B:R"),15,FALSE),"")</f>
        <v/>
      </c>
      <c r="ER47" s="96">
        <f>IFERROR(VLOOKUP($B47,INDIRECT("'GRD-"&amp;ER$11&amp;"'!B:R"),15,FALSE),"")</f>
        <v/>
      </c>
      <c r="ES47" s="96">
        <f>IFERROR(VLOOKUP($B47,INDIRECT("'GRD-"&amp;ES$11&amp;"'!B:R"),15,FALSE),"")</f>
        <v/>
      </c>
      <c r="ET47" s="96">
        <f>IFERROR(VLOOKUP($B47,INDIRECT("'GRD-"&amp;ET$11&amp;"'!B:R"),15,FALSE),"")</f>
        <v/>
      </c>
      <c r="EU47" s="96">
        <f>IFERROR(VLOOKUP($B47,INDIRECT("'GRD-"&amp;EU$11&amp;"'!B:R"),15,FALSE),"")</f>
        <v/>
      </c>
      <c r="EV47" s="96">
        <f>IFERROR(VLOOKUP($B47,INDIRECT("'GRD-"&amp;EV$11&amp;"'!B:R"),15,FALSE),"")</f>
        <v/>
      </c>
      <c r="EW47" s="96">
        <f>IFERROR(VLOOKUP($B47,INDIRECT("'GRD-"&amp;EW$11&amp;"'!B:R"),15,FALSE),"")</f>
        <v/>
      </c>
      <c r="EX47" s="96">
        <f>IFERROR(VLOOKUP($B47,INDIRECT("'GRD-"&amp;EX$11&amp;"'!B:R"),15,FALSE),"")</f>
        <v/>
      </c>
      <c r="EY47" s="96">
        <f>IFERROR(VLOOKUP($B47,INDIRECT("'GRD-"&amp;EY$11&amp;"'!B:R"),15,FALSE),"")</f>
        <v/>
      </c>
      <c r="EZ47" s="96">
        <f>IFERROR(VLOOKUP($B47,INDIRECT("'GRD-"&amp;EZ$11&amp;"'!B:R"),15,FALSE),"")</f>
        <v/>
      </c>
      <c r="FA47" s="96">
        <f>IFERROR(VLOOKUP($B47,INDIRECT("'GRD-"&amp;FA$11&amp;"'!B:R"),15,FALSE),"")</f>
        <v/>
      </c>
      <c r="FB47" s="96">
        <f>IFERROR(VLOOKUP($B47,INDIRECT("'GRD-"&amp;FB$11&amp;"'!B:R"),15,FALSE),"")</f>
        <v/>
      </c>
      <c r="FC47" s="96">
        <f>IFERROR(VLOOKUP($B47,INDIRECT("'GRD-"&amp;FC$11&amp;"'!B:R"),15,FALSE),"")</f>
        <v/>
      </c>
      <c r="FD47" s="96">
        <f>IFERROR(VLOOKUP($B47,INDIRECT("'GRD-"&amp;FD$11&amp;"'!B:R"),15,FALSE),"")</f>
        <v/>
      </c>
      <c r="FE47" s="96">
        <f>IFERROR(VLOOKUP($B47,INDIRECT("'GRD-"&amp;FE$11&amp;"'!B:R"),15,FALSE),"")</f>
        <v/>
      </c>
      <c r="FF47" s="96">
        <f>IFERROR(VLOOKUP($B47,INDIRECT("'GRD-"&amp;FF$11&amp;"'!B:R"),15,FALSE),"")</f>
        <v/>
      </c>
      <c r="FG47" s="96">
        <f>IFERROR(VLOOKUP($B47,INDIRECT("'GRD-"&amp;FG$11&amp;"'!B:R"),15,FALSE),"")</f>
        <v/>
      </c>
      <c r="FH47" s="96">
        <f>IFERROR(VLOOKUP($B47,INDIRECT("'GRD-"&amp;FH$11&amp;"'!B:R"),15,FALSE),"")</f>
        <v/>
      </c>
      <c r="FI47" s="96">
        <f>IFERROR(VLOOKUP($B47,INDIRECT("'GRD-"&amp;FI$11&amp;"'!B:R"),15,FALSE),"")</f>
        <v/>
      </c>
      <c r="FJ47" s="96">
        <f>IFERROR(VLOOKUP($B47,INDIRECT("'GRD-"&amp;FJ$11&amp;"'!B:R"),15,FALSE),"")</f>
        <v/>
      </c>
      <c r="FK47" s="96">
        <f>IFERROR(VLOOKUP($B47,INDIRECT("'GRD-"&amp;FK$11&amp;"'!B:R"),15,FALSE),"")</f>
        <v/>
      </c>
      <c r="FL47" s="96">
        <f>IFERROR(VLOOKUP($B47,INDIRECT("'GRD-"&amp;FL$11&amp;"'!B:R"),15,FALSE),"")</f>
        <v/>
      </c>
      <c r="FM47" s="96">
        <f>IFERROR(VLOOKUP($B47,INDIRECT("'GRD-"&amp;FM$11&amp;"'!B:R"),15,FALSE),"")</f>
        <v/>
      </c>
      <c r="FN47" s="96">
        <f>IFERROR(VLOOKUP($B47,INDIRECT("'GRD-"&amp;FN$11&amp;"'!B:R"),15,FALSE),"")</f>
        <v/>
      </c>
      <c r="FO47" s="96">
        <f>IFERROR(VLOOKUP($B47,INDIRECT("'GRD-"&amp;FO$11&amp;"'!B:R"),15,FALSE),"")</f>
        <v/>
      </c>
      <c r="FP47" s="96">
        <f>IFERROR(VLOOKUP($B47,INDIRECT("'GRD-"&amp;FP$11&amp;"'!B:R"),15,FALSE),"")</f>
        <v/>
      </c>
      <c r="FQ47" s="96">
        <f>IFERROR(VLOOKUP($B47,INDIRECT("'GRD-"&amp;FQ$11&amp;"'!B:R"),15,FALSE),"")</f>
        <v/>
      </c>
      <c r="FR47" s="96">
        <f>IFERROR(VLOOKUP($B47,INDIRECT("'GRD-"&amp;FR$11&amp;"'!B:R"),15,FALSE),"")</f>
        <v/>
      </c>
      <c r="FS47" s="96">
        <f>IFERROR(VLOOKUP($B47,INDIRECT("'GRD-"&amp;FS$11&amp;"'!B:R"),15,FALSE),"")</f>
        <v/>
      </c>
      <c r="FT47" s="96">
        <f>IFERROR(VLOOKUP($B47,INDIRECT("'GRD-"&amp;FT$11&amp;"'!B:R"),15,FALSE),"")</f>
        <v/>
      </c>
      <c r="FU47" s="96">
        <f>IFERROR(VLOOKUP($B47,INDIRECT("'GRD-"&amp;FU$11&amp;"'!B:R"),15,FALSE),"")</f>
        <v/>
      </c>
      <c r="FV47" s="96">
        <f>IFERROR(VLOOKUP($B47,INDIRECT("'GRD-"&amp;FV$11&amp;"'!B:R"),15,FALSE),"")</f>
        <v/>
      </c>
    </row>
    <row r="48">
      <c r="B48" s="68" t="n"/>
      <c r="C48" s="72" t="n"/>
      <c r="D48" s="73">
        <f>IF(K48="","",MAX($CA48:$FV48))</f>
        <v/>
      </c>
      <c r="E48" s="74">
        <f t="array" ref="E48">IF($K48="","",OFFSET($A$1,ROW($B48)-1,11+$D48*4,))</f>
        <v/>
      </c>
      <c r="F48" s="74">
        <f t="array" ref="F48">IF($K48="","",OFFSET($A$1,ROW($B48)-1,12+$D48*4,))</f>
        <v/>
      </c>
      <c r="G48" s="118">
        <f t="array" ref="G48">IF($K48="","",OFFSET($A$1,ROW($B48)-1,13+$D48*4,))</f>
        <v/>
      </c>
      <c r="H48" s="81" t="n"/>
      <c r="I48" s="82" t="n"/>
      <c r="J48" s="75">
        <f>IF(I48="A4",H48/8,IF(I48="A3",H48/4,IF(I48="A2",H48/2,IF(I48="A1",H48/1,IF(I48="A0",H48*2,"")))))</f>
        <v/>
      </c>
      <c r="K48" s="68">
        <f t="array" ref="K48">IFERROR(OFFSET($BZ$11,ROW($B48)-11,MATCH(K$10,$CA48:$FV48,0),),"")</f>
        <v/>
      </c>
      <c r="L48" s="85">
        <f>IF(K48="","",IF(VLOOKUP($B48,INDIRECT("'GRD-"&amp;M48&amp;"'!$B:$R"),16,FALSE)="","",VLOOKUP($B48,INDIRECT("'GRD-"&amp;M48&amp;"'!$B:$R"),16,FALSE)))</f>
        <v/>
      </c>
      <c r="M48" s="130">
        <f t="array" ref="M48">IF(K48="","",IFERROR(OFFSET($BZ$11,0,MATCH($K48,$CA48:$FV48,0),),""))</f>
        <v/>
      </c>
      <c r="N48" s="119">
        <f t="array" ref="N48">IF(K48="","",INDIRECT("'GRD-"&amp;M48&amp;"'!$L$7"))</f>
        <v/>
      </c>
      <c r="O48" s="76">
        <f t="array" ref="O48">IFERROR(OFFSET($BZ$11,ROW($B48)-11,MATCH(O$10,$CA48:$FV48,0),),"")</f>
        <v/>
      </c>
      <c r="P48" s="76">
        <f>IF(O48="","",IF(VLOOKUP($B48,INDIRECT("'GRD-"&amp;Q48&amp;"'!$B:$R"),16,FALSE)="","",VLOOKUP($B48,INDIRECT("'GRD-"&amp;Q48&amp;"'!$B:$R"),16,FALSE)))</f>
        <v/>
      </c>
      <c r="Q48" s="132">
        <f t="array" ref="Q48">IF(O48="","",IFERROR(OFFSET($BZ$11,0,MATCH($O48,$CA48:$FV48,0),),""))</f>
        <v/>
      </c>
      <c r="R48" s="121">
        <f t="array" ref="R48">IF(O48="","",INDIRECT("'GRD-"&amp;Q48&amp;"'!$L$7"))</f>
        <v/>
      </c>
      <c r="S48" s="83">
        <f t="array" ref="S48">IFERROR(OFFSET($BZ$11,ROW($B48)-11,MATCH(S$10,$CA48:$FV48,0),),"")</f>
        <v/>
      </c>
      <c r="T48" s="83">
        <f>IF(S48="","",IF(VLOOKUP($B48,INDIRECT("'GRD-"&amp;U48&amp;"'!$B:$R"),16,FALSE)="","",VLOOKUP($B48,INDIRECT("'GRD-"&amp;U48&amp;"'!$B:$R"),16,FALSE)))</f>
        <v/>
      </c>
      <c r="U48" s="128">
        <f t="array" ref="U48">IF(S48="","",IFERROR(OFFSET($BZ$11,0,MATCH($S48,$CA48:$FV48,0),),""))</f>
        <v/>
      </c>
      <c r="V48" s="133">
        <f t="array" ref="V48">IF(S48="","",INDIRECT("'GRD-"&amp;U48&amp;"'!$L$7"))</f>
        <v/>
      </c>
      <c r="W48" s="84">
        <f t="array" ref="W48">IFERROR(OFFSET($BZ$11,ROW($B48)-11,MATCH(W$10,$CA48:$FV48,0),),"")</f>
        <v/>
      </c>
      <c r="X48" s="84">
        <f>IF(W48="","",IF(VLOOKUP($B48,INDIRECT("'GRD-"&amp;Y48&amp;"'!$B:$R"),16,FALSE)="","",VLOOKUP($B48,INDIRECT("'GRD-"&amp;Y48&amp;"'!$B:$R"),16,FALSE)))</f>
        <v/>
      </c>
      <c r="Y48" s="129">
        <f t="array" ref="Y48">IF(W48="","",IFERROR(OFFSET($BZ$11,0,MATCH($W48,$CA48:$FV48,0),),""))</f>
        <v/>
      </c>
      <c r="Z48" s="134">
        <f t="array" ref="Z48">IF(W48="","",INDIRECT("'GRD-"&amp;Y48&amp;"'!$L$7"))</f>
        <v/>
      </c>
      <c r="AA48" s="85">
        <f t="array" ref="AA48">IFERROR(OFFSET($BZ$11,ROW($B48)-11,MATCH(AA$10,$CA48:$FV48,0),),"")</f>
        <v/>
      </c>
      <c r="AB48" s="85">
        <f>IF(AA48="","",IF(VLOOKUP($B48,INDIRECT("'GRD-"&amp;AC48&amp;"'!$B:$R"),16,FALSE)="","",VLOOKUP($B48,INDIRECT("'GRD-"&amp;AC48&amp;"'!$B:$R"),16,FALSE)))</f>
        <v/>
      </c>
      <c r="AC48" s="130">
        <f t="array" ref="AC48">IF(AA48="","",IFERROR(OFFSET($BZ$11,0,MATCH($AA48,$CA48:$FV48,0),),""))</f>
        <v/>
      </c>
      <c r="AD48" s="131">
        <f t="array" ref="AD48">IF(AA48="","",INDIRECT("'GRD-"&amp;AC48&amp;"'!$L$7"))</f>
        <v/>
      </c>
      <c r="AE48" s="76">
        <f t="array" ref="AE48">IFERROR(OFFSET($BZ$11,ROW($B48)-11,MATCH(AE$10,$CA48:$FV48,0),),"")</f>
        <v/>
      </c>
      <c r="AF48" s="76">
        <f>IF(AE48="","",IF(VLOOKUP($B48,INDIRECT("'GRD-"&amp;AG48&amp;"'!$B:$R"),16,FALSE)="","",VLOOKUP($B48,INDIRECT("'GRD-"&amp;AG48&amp;"'!$B:$R"),16,FALSE)))</f>
        <v/>
      </c>
      <c r="AG48" s="132">
        <f t="array" ref="AG48">IF(AE48="","",IFERROR(OFFSET($BZ$11,0,MATCH($AE48,$CA48:$FV48,0),),""))</f>
        <v/>
      </c>
      <c r="AH48" s="121">
        <f t="array" ref="AH48">IF(AE48="","",INDIRECT("'GRD-"&amp;AG48&amp;"'!$L$7"))</f>
        <v/>
      </c>
      <c r="AI48" s="83">
        <f t="array" ref="AI48">IFERROR(OFFSET($BZ$11,ROW($B48)-11,MATCH(AI$10,$CA48:$FV48,0),),"")</f>
        <v/>
      </c>
      <c r="AJ48" s="83">
        <f>IF(AI48="","",IF(VLOOKUP($B48,INDIRECT("'GRD-"&amp;AK48&amp;"'!$B:$R"),16,FALSE)="","",VLOOKUP($B48,INDIRECT("'GRD-"&amp;AK48&amp;"'!$B:$R"),16,FALSE)))</f>
        <v/>
      </c>
      <c r="AK48" s="128">
        <f t="array" ref="AK48">IF(AI48="","",IFERROR(OFFSET($BZ$11,0,MATCH($AI48,$CA48:$FV48,0),),""))</f>
        <v/>
      </c>
      <c r="AL48" s="133">
        <f t="array" ref="AL48">IF(AI48="","",INDIRECT("'GRD-"&amp;AK48&amp;"'!$L$7"))</f>
        <v/>
      </c>
      <c r="AM48" s="84">
        <f t="array" ref="AM48">IFERROR(OFFSET($BZ$11,ROW($B48)-11,MATCH(AM$10,$CA48:$FV48,0),),"")</f>
        <v/>
      </c>
      <c r="AN48" s="84">
        <f>IF(AM48="","",IF(VLOOKUP($B48,INDIRECT("'GRD-"&amp;AO48&amp;"'!$B:$R"),16,FALSE)="","",VLOOKUP($B48,INDIRECT("'GRD-"&amp;AO48&amp;"'!$B:$R"),16,FALSE)))</f>
        <v/>
      </c>
      <c r="AO48" s="129">
        <f t="array" ref="AO48">IF(AM48="","",IFERROR(OFFSET($BZ$11,0,MATCH($AM48,$CA48:$FV48,0),),""))</f>
        <v/>
      </c>
      <c r="AP48" s="134">
        <f t="array" ref="AP48">IF(AM48="","",INDIRECT("'GRD-"&amp;AO48&amp;"'!$L$7"))</f>
        <v/>
      </c>
      <c r="AQ48" s="85">
        <f t="array" ref="AQ48">IFERROR(OFFSET($BZ$11,ROW($B48)-11,MATCH(AQ$10,$CA48:$FV48,0),),"")</f>
        <v/>
      </c>
      <c r="AR48" s="85">
        <f>IF(AQ48="","",IF(VLOOKUP($B48,INDIRECT("'GRD-"&amp;AS48&amp;"'!$B:$R"),16,FALSE)="","",VLOOKUP($B48,INDIRECT("'GRD-"&amp;AS48&amp;"'!$B:$R"),16,FALSE)))</f>
        <v/>
      </c>
      <c r="AS48" s="130">
        <f t="array" ref="AS48">IF(AQ48="","",IFERROR(OFFSET($BZ$11,0,MATCH($AQ48,$CA48:$FV48,0),),""))</f>
        <v/>
      </c>
      <c r="AT48" s="131">
        <f t="array" ref="AT48">IF(AQ48="","",INDIRECT("'GRD-"&amp;AS48&amp;"'!$L$7"))</f>
        <v/>
      </c>
      <c r="AU48" s="76">
        <f t="array" ref="AU48">IFERROR(OFFSET($BZ$11,ROW($B48)-11,MATCH(AU$10,$CA48:$FV48,0),),"")</f>
        <v/>
      </c>
      <c r="AV48" s="76">
        <f>IF(AU48="","",IF(VLOOKUP($B48,INDIRECT("'GRD-"&amp;AW48&amp;"'!$B:$R"),16,FALSE)="","",VLOOKUP($B48,INDIRECT("'GRD-"&amp;AW48&amp;"'!$B:$R"),16,FALSE)))</f>
        <v/>
      </c>
      <c r="AW48" s="132">
        <f t="array" ref="AW48">IF(AU48="","",IFERROR(OFFSET($BZ$11,0,MATCH($AU48,$CA48:$FV48,0),),""))</f>
        <v/>
      </c>
      <c r="AX48" s="121">
        <f t="array" ref="AX48">IF(AU48="","",INDIRECT("'GRD-"&amp;AW48&amp;"'!$L$7"))</f>
        <v/>
      </c>
      <c r="AY48" s="83">
        <f t="array" ref="AY48">IFERROR(OFFSET($BZ$11,ROW($B48)-11,MATCH(AY$10,$CA48:$FV48,0),),"")</f>
        <v/>
      </c>
      <c r="AZ48" s="83">
        <f>IF(AY48="","",IF(VLOOKUP($B48,INDIRECT("'GRD-"&amp;BA48&amp;"'!$B:$R"),16,FALSE)="","",VLOOKUP($B48,INDIRECT("'GRD-"&amp;BA48&amp;"'!$B:$R"),16,FALSE)))</f>
        <v/>
      </c>
      <c r="BA48" s="128">
        <f t="array" ref="BA48">IF(AY48="","",IFERROR(OFFSET($BZ$11,0,MATCH($AY48,$CA48:$FV48,0),),""))</f>
        <v/>
      </c>
      <c r="BB48" s="133">
        <f t="array" ref="BB48">IF(AY48="","",INDIRECT("'GRD-"&amp;BA48&amp;"'!$L$7"))</f>
        <v/>
      </c>
      <c r="BC48" s="84">
        <f t="array" ref="BC48">IFERROR(OFFSET($BZ$11,ROW($B48)-11,MATCH(BC$10,$CA48:$FV48,0),),"")</f>
        <v/>
      </c>
      <c r="BD48" s="84">
        <f>IF(BC48="","",IF(VLOOKUP($B48,INDIRECT("'GRD-"&amp;BE48&amp;"'!$B:$R"),16,FALSE)="","",VLOOKUP($B48,INDIRECT("'GRD-"&amp;BE48&amp;"'!$B:$R"),16,FALSE)))</f>
        <v/>
      </c>
      <c r="BE48" s="129">
        <f t="array" ref="BE48">IF(BC48="","",IFERROR(OFFSET($BZ$11,0,MATCH($BC48,$CA48:$FV48,0),),""))</f>
        <v/>
      </c>
      <c r="BF48" s="134">
        <f t="array" ref="BF48">IF(BC48="","",INDIRECT("'GRD-"&amp;BE48&amp;"'!$L$7"))</f>
        <v/>
      </c>
      <c r="CA48" s="96">
        <f>IFERROR(VLOOKUP($B48,INDIRECT("'GRD-"&amp;CA$11&amp;"'!B:R"),15,FALSE),"")</f>
        <v/>
      </c>
      <c r="CB48" s="96">
        <f>IFERROR(VLOOKUP($B48,INDIRECT("'GRD-"&amp;CB$11&amp;"'!B:R"),15,FALSE),"")</f>
        <v/>
      </c>
      <c r="CC48" s="96">
        <f>IFERROR(VLOOKUP($B48,INDIRECT("'GRD-"&amp;CC$11&amp;"'!B:R"),15,FALSE),"")</f>
        <v/>
      </c>
      <c r="CD48" s="96">
        <f>IFERROR(VLOOKUP($B48,INDIRECT("'GRD-"&amp;CD$11&amp;"'!B:R"),15,FALSE),"")</f>
        <v/>
      </c>
      <c r="CE48" s="96">
        <f>IFERROR(VLOOKUP($B48,INDIRECT("'GRD-"&amp;CE$11&amp;"'!B:R"),15,FALSE),"")</f>
        <v/>
      </c>
      <c r="CF48" s="96">
        <f>IFERROR(VLOOKUP($B48,INDIRECT("'GRD-"&amp;CF$11&amp;"'!B:R"),15,FALSE),"")</f>
        <v/>
      </c>
      <c r="CG48" s="96">
        <f>IFERROR(VLOOKUP($B48,INDIRECT("'GRD-"&amp;CG$11&amp;"'!B:R"),15,FALSE),"")</f>
        <v/>
      </c>
      <c r="CH48" s="96">
        <f>IFERROR(VLOOKUP($B48,INDIRECT("'GRD-"&amp;CH$11&amp;"'!B:R"),15,FALSE),"")</f>
        <v/>
      </c>
      <c r="CI48" s="96">
        <f>IFERROR(VLOOKUP($B48,INDIRECT("'GRD-"&amp;CI$11&amp;"'!B:R"),15,FALSE),"")</f>
        <v/>
      </c>
      <c r="CJ48" s="96">
        <f>IFERROR(VLOOKUP($B48,INDIRECT("'GRD-"&amp;CJ$11&amp;"'!B:R"),15,FALSE),"")</f>
        <v/>
      </c>
      <c r="CK48" s="96">
        <f>IFERROR(VLOOKUP($B48,INDIRECT("'GRD-"&amp;CK$11&amp;"'!B:R"),15,FALSE),"")</f>
        <v/>
      </c>
      <c r="CL48" s="96">
        <f>IFERROR(VLOOKUP($B48,INDIRECT("'GRD-"&amp;CL$11&amp;"'!B:R"),15,FALSE),"")</f>
        <v/>
      </c>
      <c r="CM48" s="96">
        <f>IFERROR(VLOOKUP($B48,INDIRECT("'GRD-"&amp;CM$11&amp;"'!B:R"),15,FALSE),"")</f>
        <v/>
      </c>
      <c r="CN48" s="96">
        <f>IFERROR(VLOOKUP($B48,INDIRECT("'GRD-"&amp;CN$11&amp;"'!B:R"),15,FALSE),"")</f>
        <v/>
      </c>
      <c r="CO48" s="96">
        <f>IFERROR(VLOOKUP($B48,INDIRECT("'GRD-"&amp;CO$11&amp;"'!B:R"),15,FALSE),"")</f>
        <v/>
      </c>
      <c r="CP48" s="96">
        <f>IFERROR(VLOOKUP($B48,INDIRECT("'GRD-"&amp;CP$11&amp;"'!B:R"),15,FALSE),"")</f>
        <v/>
      </c>
      <c r="CQ48" s="96">
        <f>IFERROR(VLOOKUP($B48,INDIRECT("'GRD-"&amp;CQ$11&amp;"'!B:R"),15,FALSE),"")</f>
        <v/>
      </c>
      <c r="CR48" s="96">
        <f>IFERROR(VLOOKUP($B48,INDIRECT("'GRD-"&amp;CR$11&amp;"'!B:R"),15,FALSE),"")</f>
        <v/>
      </c>
      <c r="CS48" s="96">
        <f>IFERROR(VLOOKUP($B48,INDIRECT("'GRD-"&amp;CS$11&amp;"'!B:R"),15,FALSE),"")</f>
        <v/>
      </c>
      <c r="CT48" s="96">
        <f>IFERROR(VLOOKUP($B48,INDIRECT("'GRD-"&amp;CT$11&amp;"'!B:R"),15,FALSE),"")</f>
        <v/>
      </c>
      <c r="CU48" s="96">
        <f>IFERROR(VLOOKUP($B48,INDIRECT("'GRD-"&amp;CU$11&amp;"'!B:R"),15,FALSE),"")</f>
        <v/>
      </c>
      <c r="CV48" s="96">
        <f>IFERROR(VLOOKUP($B48,INDIRECT("'GRD-"&amp;CV$11&amp;"'!B:R"),15,FALSE),"")</f>
        <v/>
      </c>
      <c r="CW48" s="96">
        <f>IFERROR(VLOOKUP($B48,INDIRECT("'GRD-"&amp;CW$11&amp;"'!B:R"),15,FALSE),"")</f>
        <v/>
      </c>
      <c r="CX48" s="96">
        <f>IFERROR(VLOOKUP($B48,INDIRECT("'GRD-"&amp;CX$11&amp;"'!B:R"),15,FALSE),"")</f>
        <v/>
      </c>
      <c r="CY48" s="96">
        <f>IFERROR(VLOOKUP($B48,INDIRECT("'GRD-"&amp;CY$11&amp;"'!B:R"),15,FALSE),"")</f>
        <v/>
      </c>
      <c r="CZ48" s="96">
        <f>IFERROR(VLOOKUP($B48,INDIRECT("'GRD-"&amp;CZ$11&amp;"'!B:R"),15,FALSE),"")</f>
        <v/>
      </c>
      <c r="DA48" s="96">
        <f>IFERROR(VLOOKUP($B48,INDIRECT("'GRD-"&amp;DA$11&amp;"'!B:R"),15,FALSE),"")</f>
        <v/>
      </c>
      <c r="DB48" s="96">
        <f>IFERROR(VLOOKUP($B48,INDIRECT("'GRD-"&amp;DB$11&amp;"'!B:R"),15,FALSE),"")</f>
        <v/>
      </c>
      <c r="DC48" s="96">
        <f>IFERROR(VLOOKUP($B48,INDIRECT("'GRD-"&amp;DC$11&amp;"'!B:R"),15,FALSE),"")</f>
        <v/>
      </c>
      <c r="DD48" s="96">
        <f>IFERROR(VLOOKUP($B48,INDIRECT("'GRD-"&amp;DD$11&amp;"'!B:R"),15,FALSE),"")</f>
        <v/>
      </c>
      <c r="DE48" s="96">
        <f>IFERROR(VLOOKUP($B48,INDIRECT("'GRD-"&amp;DE$11&amp;"'!B:R"),15,FALSE),"")</f>
        <v/>
      </c>
      <c r="DF48" s="96">
        <f>IFERROR(VLOOKUP($B48,INDIRECT("'GRD-"&amp;DF$11&amp;"'!B:R"),15,FALSE),"")</f>
        <v/>
      </c>
      <c r="DG48" s="96">
        <f>IFERROR(VLOOKUP($B48,INDIRECT("'GRD-"&amp;DG$11&amp;"'!B:R"),15,FALSE),"")</f>
        <v/>
      </c>
      <c r="DH48" s="96">
        <f>IFERROR(VLOOKUP($B48,INDIRECT("'GRD-"&amp;DH$11&amp;"'!B:R"),15,FALSE),"")</f>
        <v/>
      </c>
      <c r="DI48" s="96">
        <f>IFERROR(VLOOKUP($B48,INDIRECT("'GRD-"&amp;DI$11&amp;"'!B:R"),15,FALSE),"")</f>
        <v/>
      </c>
      <c r="DJ48" s="96">
        <f>IFERROR(VLOOKUP($B48,INDIRECT("'GRD-"&amp;DJ$11&amp;"'!B:R"),15,FALSE),"")</f>
        <v/>
      </c>
      <c r="DK48" s="96">
        <f>IFERROR(VLOOKUP($B48,INDIRECT("'GRD-"&amp;DK$11&amp;"'!B:R"),15,FALSE),"")</f>
        <v/>
      </c>
      <c r="DL48" s="96">
        <f>IFERROR(VLOOKUP($B48,INDIRECT("'GRD-"&amp;DL$11&amp;"'!B:R"),15,FALSE),"")</f>
        <v/>
      </c>
      <c r="DM48" s="96">
        <f>IFERROR(VLOOKUP($B48,INDIRECT("'GRD-"&amp;DM$11&amp;"'!B:R"),15,FALSE),"")</f>
        <v/>
      </c>
      <c r="DN48" s="96">
        <f>IFERROR(VLOOKUP($B48,INDIRECT("'GRD-"&amp;DN$11&amp;"'!B:R"),15,FALSE),"")</f>
        <v/>
      </c>
      <c r="DO48" s="96">
        <f>IFERROR(VLOOKUP($B48,INDIRECT("'GRD-"&amp;DO$11&amp;"'!B:R"),15,FALSE),"")</f>
        <v/>
      </c>
      <c r="DP48" s="96">
        <f>IFERROR(VLOOKUP($B48,INDIRECT("'GRD-"&amp;DP$11&amp;"'!B:R"),15,FALSE),"")</f>
        <v/>
      </c>
      <c r="DQ48" s="96">
        <f>IFERROR(VLOOKUP($B48,INDIRECT("'GRD-"&amp;DQ$11&amp;"'!B:R"),15,FALSE),"")</f>
        <v/>
      </c>
      <c r="DR48" s="96">
        <f>IFERROR(VLOOKUP($B48,INDIRECT("'GRD-"&amp;DR$11&amp;"'!B:R"),15,FALSE),"")</f>
        <v/>
      </c>
      <c r="DS48" s="96">
        <f>IFERROR(VLOOKUP($B48,INDIRECT("'GRD-"&amp;DS$11&amp;"'!B:R"),15,FALSE),"")</f>
        <v/>
      </c>
      <c r="DT48" s="96">
        <f>IFERROR(VLOOKUP($B48,INDIRECT("'GRD-"&amp;DT$11&amp;"'!B:R"),15,FALSE),"")</f>
        <v/>
      </c>
      <c r="DU48" s="96">
        <f>IFERROR(VLOOKUP($B48,INDIRECT("'GRD-"&amp;DU$11&amp;"'!B:R"),15,FALSE),"")</f>
        <v/>
      </c>
      <c r="DV48" s="96">
        <f>IFERROR(VLOOKUP($B48,INDIRECT("'GRD-"&amp;DV$11&amp;"'!B:R"),15,FALSE),"")</f>
        <v/>
      </c>
      <c r="DW48" s="96">
        <f>IFERROR(VLOOKUP($B48,INDIRECT("'GRD-"&amp;DW$11&amp;"'!B:R"),15,FALSE),"")</f>
        <v/>
      </c>
      <c r="DX48" s="96">
        <f>IFERROR(VLOOKUP($B48,INDIRECT("'GRD-"&amp;DX$11&amp;"'!B:R"),15,FALSE),"")</f>
        <v/>
      </c>
      <c r="DY48" s="96">
        <f>IFERROR(VLOOKUP($B48,INDIRECT("'GRD-"&amp;DY$11&amp;"'!B:R"),15,FALSE),"")</f>
        <v/>
      </c>
      <c r="DZ48" s="96">
        <f>IFERROR(VLOOKUP($B48,INDIRECT("'GRD-"&amp;DZ$11&amp;"'!B:R"),15,FALSE),"")</f>
        <v/>
      </c>
      <c r="EA48" s="96">
        <f>IFERROR(VLOOKUP($B48,INDIRECT("'GRD-"&amp;EA$11&amp;"'!B:R"),15,FALSE),"")</f>
        <v/>
      </c>
      <c r="EB48" s="96">
        <f>IFERROR(VLOOKUP($B48,INDIRECT("'GRD-"&amp;EB$11&amp;"'!B:R"),15,FALSE),"")</f>
        <v/>
      </c>
      <c r="EC48" s="96">
        <f>IFERROR(VLOOKUP($B48,INDIRECT("'GRD-"&amp;EC$11&amp;"'!B:R"),15,FALSE),"")</f>
        <v/>
      </c>
      <c r="ED48" s="96">
        <f>IFERROR(VLOOKUP($B48,INDIRECT("'GRD-"&amp;ED$11&amp;"'!B:R"),15,FALSE),"")</f>
        <v/>
      </c>
      <c r="EE48" s="96">
        <f>IFERROR(VLOOKUP($B48,INDIRECT("'GRD-"&amp;EE$11&amp;"'!B:R"),15,FALSE),"")</f>
        <v/>
      </c>
      <c r="EF48" s="96">
        <f>IFERROR(VLOOKUP($B48,INDIRECT("'GRD-"&amp;EF$11&amp;"'!B:R"),15,FALSE),"")</f>
        <v/>
      </c>
      <c r="EG48" s="96">
        <f>IFERROR(VLOOKUP($B48,INDIRECT("'GRD-"&amp;EG$11&amp;"'!B:R"),15,FALSE),"")</f>
        <v/>
      </c>
      <c r="EH48" s="96">
        <f>IFERROR(VLOOKUP($B48,INDIRECT("'GRD-"&amp;EH$11&amp;"'!B:R"),15,FALSE),"")</f>
        <v/>
      </c>
      <c r="EI48" s="96">
        <f>IFERROR(VLOOKUP($B48,INDIRECT("'GRD-"&amp;EI$11&amp;"'!B:R"),15,FALSE),"")</f>
        <v/>
      </c>
      <c r="EJ48" s="96">
        <f>IFERROR(VLOOKUP($B48,INDIRECT("'GRD-"&amp;EJ$11&amp;"'!B:R"),15,FALSE),"")</f>
        <v/>
      </c>
      <c r="EK48" s="96">
        <f>IFERROR(VLOOKUP($B48,INDIRECT("'GRD-"&amp;EK$11&amp;"'!B:R"),15,FALSE),"")</f>
        <v/>
      </c>
      <c r="EL48" s="96">
        <f>IFERROR(VLOOKUP($B48,INDIRECT("'GRD-"&amp;EL$11&amp;"'!B:R"),15,FALSE),"")</f>
        <v/>
      </c>
      <c r="EM48" s="96">
        <f>IFERROR(VLOOKUP($B48,INDIRECT("'GRD-"&amp;EM$11&amp;"'!B:R"),15,FALSE),"")</f>
        <v/>
      </c>
      <c r="EN48" s="96">
        <f>IFERROR(VLOOKUP($B48,INDIRECT("'GRD-"&amp;EN$11&amp;"'!B:R"),15,FALSE),"")</f>
        <v/>
      </c>
      <c r="EO48" s="96">
        <f>IFERROR(VLOOKUP($B48,INDIRECT("'GRD-"&amp;EO$11&amp;"'!B:R"),15,FALSE),"")</f>
        <v/>
      </c>
      <c r="EP48" s="96">
        <f>IFERROR(VLOOKUP($B48,INDIRECT("'GRD-"&amp;EP$11&amp;"'!B:R"),15,FALSE),"")</f>
        <v/>
      </c>
      <c r="EQ48" s="96">
        <f>IFERROR(VLOOKUP($B48,INDIRECT("'GRD-"&amp;EQ$11&amp;"'!B:R"),15,FALSE),"")</f>
        <v/>
      </c>
      <c r="ER48" s="96">
        <f>IFERROR(VLOOKUP($B48,INDIRECT("'GRD-"&amp;ER$11&amp;"'!B:R"),15,FALSE),"")</f>
        <v/>
      </c>
      <c r="ES48" s="96">
        <f>IFERROR(VLOOKUP($B48,INDIRECT("'GRD-"&amp;ES$11&amp;"'!B:R"),15,FALSE),"")</f>
        <v/>
      </c>
      <c r="ET48" s="96">
        <f>IFERROR(VLOOKUP($B48,INDIRECT("'GRD-"&amp;ET$11&amp;"'!B:R"),15,FALSE),"")</f>
        <v/>
      </c>
      <c r="EU48" s="96">
        <f>IFERROR(VLOOKUP($B48,INDIRECT("'GRD-"&amp;EU$11&amp;"'!B:R"),15,FALSE),"")</f>
        <v/>
      </c>
      <c r="EV48" s="96">
        <f>IFERROR(VLOOKUP($B48,INDIRECT("'GRD-"&amp;EV$11&amp;"'!B:R"),15,FALSE),"")</f>
        <v/>
      </c>
      <c r="EW48" s="96">
        <f>IFERROR(VLOOKUP($B48,INDIRECT("'GRD-"&amp;EW$11&amp;"'!B:R"),15,FALSE),"")</f>
        <v/>
      </c>
      <c r="EX48" s="96">
        <f>IFERROR(VLOOKUP($B48,INDIRECT("'GRD-"&amp;EX$11&amp;"'!B:R"),15,FALSE),"")</f>
        <v/>
      </c>
      <c r="EY48" s="96">
        <f>IFERROR(VLOOKUP($B48,INDIRECT("'GRD-"&amp;EY$11&amp;"'!B:R"),15,FALSE),"")</f>
        <v/>
      </c>
      <c r="EZ48" s="96">
        <f>IFERROR(VLOOKUP($B48,INDIRECT("'GRD-"&amp;EZ$11&amp;"'!B:R"),15,FALSE),"")</f>
        <v/>
      </c>
      <c r="FA48" s="96">
        <f>IFERROR(VLOOKUP($B48,INDIRECT("'GRD-"&amp;FA$11&amp;"'!B:R"),15,FALSE),"")</f>
        <v/>
      </c>
      <c r="FB48" s="96">
        <f>IFERROR(VLOOKUP($B48,INDIRECT("'GRD-"&amp;FB$11&amp;"'!B:R"),15,FALSE),"")</f>
        <v/>
      </c>
      <c r="FC48" s="96">
        <f>IFERROR(VLOOKUP($B48,INDIRECT("'GRD-"&amp;FC$11&amp;"'!B:R"),15,FALSE),"")</f>
        <v/>
      </c>
      <c r="FD48" s="96">
        <f>IFERROR(VLOOKUP($B48,INDIRECT("'GRD-"&amp;FD$11&amp;"'!B:R"),15,FALSE),"")</f>
        <v/>
      </c>
      <c r="FE48" s="96">
        <f>IFERROR(VLOOKUP($B48,INDIRECT("'GRD-"&amp;FE$11&amp;"'!B:R"),15,FALSE),"")</f>
        <v/>
      </c>
      <c r="FF48" s="96">
        <f>IFERROR(VLOOKUP($B48,INDIRECT("'GRD-"&amp;FF$11&amp;"'!B:R"),15,FALSE),"")</f>
        <v/>
      </c>
      <c r="FG48" s="96">
        <f>IFERROR(VLOOKUP($B48,INDIRECT("'GRD-"&amp;FG$11&amp;"'!B:R"),15,FALSE),"")</f>
        <v/>
      </c>
      <c r="FH48" s="96">
        <f>IFERROR(VLOOKUP($B48,INDIRECT("'GRD-"&amp;FH$11&amp;"'!B:R"),15,FALSE),"")</f>
        <v/>
      </c>
      <c r="FI48" s="96">
        <f>IFERROR(VLOOKUP($B48,INDIRECT("'GRD-"&amp;FI$11&amp;"'!B:R"),15,FALSE),"")</f>
        <v/>
      </c>
      <c r="FJ48" s="96">
        <f>IFERROR(VLOOKUP($B48,INDIRECT("'GRD-"&amp;FJ$11&amp;"'!B:R"),15,FALSE),"")</f>
        <v/>
      </c>
      <c r="FK48" s="96">
        <f>IFERROR(VLOOKUP($B48,INDIRECT("'GRD-"&amp;FK$11&amp;"'!B:R"),15,FALSE),"")</f>
        <v/>
      </c>
      <c r="FL48" s="96">
        <f>IFERROR(VLOOKUP($B48,INDIRECT("'GRD-"&amp;FL$11&amp;"'!B:R"),15,FALSE),"")</f>
        <v/>
      </c>
      <c r="FM48" s="96">
        <f>IFERROR(VLOOKUP($B48,INDIRECT("'GRD-"&amp;FM$11&amp;"'!B:R"),15,FALSE),"")</f>
        <v/>
      </c>
      <c r="FN48" s="96">
        <f>IFERROR(VLOOKUP($B48,INDIRECT("'GRD-"&amp;FN$11&amp;"'!B:R"),15,FALSE),"")</f>
        <v/>
      </c>
      <c r="FO48" s="96">
        <f>IFERROR(VLOOKUP($B48,INDIRECT("'GRD-"&amp;FO$11&amp;"'!B:R"),15,FALSE),"")</f>
        <v/>
      </c>
      <c r="FP48" s="96">
        <f>IFERROR(VLOOKUP($B48,INDIRECT("'GRD-"&amp;FP$11&amp;"'!B:R"),15,FALSE),"")</f>
        <v/>
      </c>
      <c r="FQ48" s="96">
        <f>IFERROR(VLOOKUP($B48,INDIRECT("'GRD-"&amp;FQ$11&amp;"'!B:R"),15,FALSE),"")</f>
        <v/>
      </c>
      <c r="FR48" s="96">
        <f>IFERROR(VLOOKUP($B48,INDIRECT("'GRD-"&amp;FR$11&amp;"'!B:R"),15,FALSE),"")</f>
        <v/>
      </c>
      <c r="FS48" s="96">
        <f>IFERROR(VLOOKUP($B48,INDIRECT("'GRD-"&amp;FS$11&amp;"'!B:R"),15,FALSE),"")</f>
        <v/>
      </c>
      <c r="FT48" s="96">
        <f>IFERROR(VLOOKUP($B48,INDIRECT("'GRD-"&amp;FT$11&amp;"'!B:R"),15,FALSE),"")</f>
        <v/>
      </c>
      <c r="FU48" s="96">
        <f>IFERROR(VLOOKUP($B48,INDIRECT("'GRD-"&amp;FU$11&amp;"'!B:R"),15,FALSE),"")</f>
        <v/>
      </c>
      <c r="FV48" s="96">
        <f>IFERROR(VLOOKUP($B48,INDIRECT("'GRD-"&amp;FV$11&amp;"'!B:R"),15,FALSE),"")</f>
        <v/>
      </c>
    </row>
    <row r="49">
      <c r="B49" s="68" t="n"/>
      <c r="C49" s="72" t="n"/>
      <c r="D49" s="73">
        <f>IF(K49="","",MAX($CA49:$FV49))</f>
        <v/>
      </c>
      <c r="E49" s="74">
        <f t="array" ref="E49">IF($K49="","",OFFSET($A$1,ROW($B49)-1,11+$D49*4,))</f>
        <v/>
      </c>
      <c r="F49" s="74">
        <f t="array" ref="F49">IF($K49="","",OFFSET($A$1,ROW($B49)-1,12+$D49*4,))</f>
        <v/>
      </c>
      <c r="G49" s="118">
        <f t="array" ref="G49">IF($K49="","",OFFSET($A$1,ROW($B49)-1,13+$D49*4,))</f>
        <v/>
      </c>
      <c r="H49" s="81" t="n"/>
      <c r="I49" s="82" t="n"/>
      <c r="J49" s="75">
        <f>IF(I49="A4",H49/8,IF(I49="A3",H49/4,IF(I49="A2",H49/2,IF(I49="A1",H49/1,IF(I49="A0",H49*2,"")))))</f>
        <v/>
      </c>
      <c r="K49" s="68">
        <f t="array" ref="K49">IFERROR(OFFSET($BZ$11,ROW($B49)-11,MATCH(K$10,$CA49:$FV49,0),),"")</f>
        <v/>
      </c>
      <c r="L49" s="85">
        <f>IF(K49="","",IF(VLOOKUP($B49,INDIRECT("'GRD-"&amp;M49&amp;"'!$B:$R"),16,FALSE)="","",VLOOKUP($B49,INDIRECT("'GRD-"&amp;M49&amp;"'!$B:$R"),16,FALSE)))</f>
        <v/>
      </c>
      <c r="M49" s="130">
        <f t="array" ref="M49">IF(K49="","",IFERROR(OFFSET($BZ$11,0,MATCH($K49,$CA49:$FV49,0),),""))</f>
        <v/>
      </c>
      <c r="N49" s="119">
        <f t="array" ref="N49">IF(K49="","",INDIRECT("'GRD-"&amp;M49&amp;"'!$L$7"))</f>
        <v/>
      </c>
      <c r="O49" s="76">
        <f t="array" ref="O49">IFERROR(OFFSET($BZ$11,ROW($B49)-11,MATCH(O$10,$CA49:$FV49,0),),"")</f>
        <v/>
      </c>
      <c r="P49" s="76">
        <f>IF(O49="","",IF(VLOOKUP($B49,INDIRECT("'GRD-"&amp;Q49&amp;"'!$B:$R"),16,FALSE)="","",VLOOKUP($B49,INDIRECT("'GRD-"&amp;Q49&amp;"'!$B:$R"),16,FALSE)))</f>
        <v/>
      </c>
      <c r="Q49" s="132">
        <f t="array" ref="Q49">IF(O49="","",IFERROR(OFFSET($BZ$11,0,MATCH($O49,$CA49:$FV49,0),),""))</f>
        <v/>
      </c>
      <c r="R49" s="121">
        <f t="array" ref="R49">IF(O49="","",INDIRECT("'GRD-"&amp;Q49&amp;"'!$L$7"))</f>
        <v/>
      </c>
      <c r="S49" s="83">
        <f t="array" ref="S49">IFERROR(OFFSET($BZ$11,ROW($B49)-11,MATCH(S$10,$CA49:$FV49,0),),"")</f>
        <v/>
      </c>
      <c r="T49" s="83">
        <f>IF(S49="","",IF(VLOOKUP($B49,INDIRECT("'GRD-"&amp;U49&amp;"'!$B:$R"),16,FALSE)="","",VLOOKUP($B49,INDIRECT("'GRD-"&amp;U49&amp;"'!$B:$R"),16,FALSE)))</f>
        <v/>
      </c>
      <c r="U49" s="128">
        <f t="array" ref="U49">IF(S49="","",IFERROR(OFFSET($BZ$11,0,MATCH($S49,$CA49:$FV49,0),),""))</f>
        <v/>
      </c>
      <c r="V49" s="133">
        <f t="array" ref="V49">IF(S49="","",INDIRECT("'GRD-"&amp;U49&amp;"'!$L$7"))</f>
        <v/>
      </c>
      <c r="W49" s="84">
        <f t="array" ref="W49">IFERROR(OFFSET($BZ$11,ROW($B49)-11,MATCH(W$10,$CA49:$FV49,0),),"")</f>
        <v/>
      </c>
      <c r="X49" s="84">
        <f>IF(W49="","",IF(VLOOKUP($B49,INDIRECT("'GRD-"&amp;Y49&amp;"'!$B:$R"),16,FALSE)="","",VLOOKUP($B49,INDIRECT("'GRD-"&amp;Y49&amp;"'!$B:$R"),16,FALSE)))</f>
        <v/>
      </c>
      <c r="Y49" s="129">
        <f t="array" ref="Y49">IF(W49="","",IFERROR(OFFSET($BZ$11,0,MATCH($W49,$CA49:$FV49,0),),""))</f>
        <v/>
      </c>
      <c r="Z49" s="134">
        <f t="array" ref="Z49">IF(W49="","",INDIRECT("'GRD-"&amp;Y49&amp;"'!$L$7"))</f>
        <v/>
      </c>
      <c r="AA49" s="85">
        <f t="array" ref="AA49">IFERROR(OFFSET($BZ$11,ROW($B49)-11,MATCH(AA$10,$CA49:$FV49,0),),"")</f>
        <v/>
      </c>
      <c r="AB49" s="85">
        <f>IF(AA49="","",IF(VLOOKUP($B49,INDIRECT("'GRD-"&amp;AC49&amp;"'!$B:$R"),16,FALSE)="","",VLOOKUP($B49,INDIRECT("'GRD-"&amp;AC49&amp;"'!$B:$R"),16,FALSE)))</f>
        <v/>
      </c>
      <c r="AC49" s="130">
        <f t="array" ref="AC49">IF(AA49="","",IFERROR(OFFSET($BZ$11,0,MATCH($AA49,$CA49:$FV49,0),),""))</f>
        <v/>
      </c>
      <c r="AD49" s="131">
        <f t="array" ref="AD49">IF(AA49="","",INDIRECT("'GRD-"&amp;AC49&amp;"'!$L$7"))</f>
        <v/>
      </c>
      <c r="AE49" s="76">
        <f t="array" ref="AE49">IFERROR(OFFSET($BZ$11,ROW($B49)-11,MATCH(AE$10,$CA49:$FV49,0),),"")</f>
        <v/>
      </c>
      <c r="AF49" s="76">
        <f>IF(AE49="","",IF(VLOOKUP($B49,INDIRECT("'GRD-"&amp;AG49&amp;"'!$B:$R"),16,FALSE)="","",VLOOKUP($B49,INDIRECT("'GRD-"&amp;AG49&amp;"'!$B:$R"),16,FALSE)))</f>
        <v/>
      </c>
      <c r="AG49" s="132">
        <f t="array" ref="AG49">IF(AE49="","",IFERROR(OFFSET($BZ$11,0,MATCH($AE49,$CA49:$FV49,0),),""))</f>
        <v/>
      </c>
      <c r="AH49" s="121">
        <f t="array" ref="AH49">IF(AE49="","",INDIRECT("'GRD-"&amp;AG49&amp;"'!$L$7"))</f>
        <v/>
      </c>
      <c r="AI49" s="83">
        <f t="array" ref="AI49">IFERROR(OFFSET($BZ$11,ROW($B49)-11,MATCH(AI$10,$CA49:$FV49,0),),"")</f>
        <v/>
      </c>
      <c r="AJ49" s="83">
        <f>IF(AI49="","",IF(VLOOKUP($B49,INDIRECT("'GRD-"&amp;AK49&amp;"'!$B:$R"),16,FALSE)="","",VLOOKUP($B49,INDIRECT("'GRD-"&amp;AK49&amp;"'!$B:$R"),16,FALSE)))</f>
        <v/>
      </c>
      <c r="AK49" s="128">
        <f t="array" ref="AK49">IF(AI49="","",IFERROR(OFFSET($BZ$11,0,MATCH($AI49,$CA49:$FV49,0),),""))</f>
        <v/>
      </c>
      <c r="AL49" s="133">
        <f t="array" ref="AL49">IF(AI49="","",INDIRECT("'GRD-"&amp;AK49&amp;"'!$L$7"))</f>
        <v/>
      </c>
      <c r="AM49" s="84">
        <f t="array" ref="AM49">IFERROR(OFFSET($BZ$11,ROW($B49)-11,MATCH(AM$10,$CA49:$FV49,0),),"")</f>
        <v/>
      </c>
      <c r="AN49" s="84">
        <f>IF(AM49="","",IF(VLOOKUP($B49,INDIRECT("'GRD-"&amp;AO49&amp;"'!$B:$R"),16,FALSE)="","",VLOOKUP($B49,INDIRECT("'GRD-"&amp;AO49&amp;"'!$B:$R"),16,FALSE)))</f>
        <v/>
      </c>
      <c r="AO49" s="129">
        <f t="array" ref="AO49">IF(AM49="","",IFERROR(OFFSET($BZ$11,0,MATCH($AM49,$CA49:$FV49,0),),""))</f>
        <v/>
      </c>
      <c r="AP49" s="134">
        <f t="array" ref="AP49">IF(AM49="","",INDIRECT("'GRD-"&amp;AO49&amp;"'!$L$7"))</f>
        <v/>
      </c>
      <c r="AQ49" s="85">
        <f t="array" ref="AQ49">IFERROR(OFFSET($BZ$11,ROW($B49)-11,MATCH(AQ$10,$CA49:$FV49,0),),"")</f>
        <v/>
      </c>
      <c r="AR49" s="85">
        <f>IF(AQ49="","",IF(VLOOKUP($B49,INDIRECT("'GRD-"&amp;AS49&amp;"'!$B:$R"),16,FALSE)="","",VLOOKUP($B49,INDIRECT("'GRD-"&amp;AS49&amp;"'!$B:$R"),16,FALSE)))</f>
        <v/>
      </c>
      <c r="AS49" s="130">
        <f t="array" ref="AS49">IF(AQ49="","",IFERROR(OFFSET($BZ$11,0,MATCH($AQ49,$CA49:$FV49,0),),""))</f>
        <v/>
      </c>
      <c r="AT49" s="131">
        <f t="array" ref="AT49">IF(AQ49="","",INDIRECT("'GRD-"&amp;AS49&amp;"'!$L$7"))</f>
        <v/>
      </c>
      <c r="AU49" s="76">
        <f t="array" ref="AU49">IFERROR(OFFSET($BZ$11,ROW($B49)-11,MATCH(AU$10,$CA49:$FV49,0),),"")</f>
        <v/>
      </c>
      <c r="AV49" s="76">
        <f>IF(AU49="","",IF(VLOOKUP($B49,INDIRECT("'GRD-"&amp;AW49&amp;"'!$B:$R"),16,FALSE)="","",VLOOKUP($B49,INDIRECT("'GRD-"&amp;AW49&amp;"'!$B:$R"),16,FALSE)))</f>
        <v/>
      </c>
      <c r="AW49" s="132">
        <f t="array" ref="AW49">IF(AU49="","",IFERROR(OFFSET($BZ$11,0,MATCH($AU49,$CA49:$FV49,0),),""))</f>
        <v/>
      </c>
      <c r="AX49" s="121">
        <f t="array" ref="AX49">IF(AU49="","",INDIRECT("'GRD-"&amp;AW49&amp;"'!$L$7"))</f>
        <v/>
      </c>
      <c r="AY49" s="83">
        <f t="array" ref="AY49">IFERROR(OFFSET($BZ$11,ROW($B49)-11,MATCH(AY$10,$CA49:$FV49,0),),"")</f>
        <v/>
      </c>
      <c r="AZ49" s="83">
        <f>IF(AY49="","",IF(VLOOKUP($B49,INDIRECT("'GRD-"&amp;BA49&amp;"'!$B:$R"),16,FALSE)="","",VLOOKUP($B49,INDIRECT("'GRD-"&amp;BA49&amp;"'!$B:$R"),16,FALSE)))</f>
        <v/>
      </c>
      <c r="BA49" s="128">
        <f t="array" ref="BA49">IF(AY49="","",IFERROR(OFFSET($BZ$11,0,MATCH($AY49,$CA49:$FV49,0),),""))</f>
        <v/>
      </c>
      <c r="BB49" s="133">
        <f t="array" ref="BB49">IF(AY49="","",INDIRECT("'GRD-"&amp;BA49&amp;"'!$L$7"))</f>
        <v/>
      </c>
      <c r="BC49" s="84">
        <f t="array" ref="BC49">IFERROR(OFFSET($BZ$11,ROW($B49)-11,MATCH(BC$10,$CA49:$FV49,0),),"")</f>
        <v/>
      </c>
      <c r="BD49" s="84">
        <f>IF(BC49="","",IF(VLOOKUP($B49,INDIRECT("'GRD-"&amp;BE49&amp;"'!$B:$R"),16,FALSE)="","",VLOOKUP($B49,INDIRECT("'GRD-"&amp;BE49&amp;"'!$B:$R"),16,FALSE)))</f>
        <v/>
      </c>
      <c r="BE49" s="129">
        <f t="array" ref="BE49">IF(BC49="","",IFERROR(OFFSET($BZ$11,0,MATCH($BC49,$CA49:$FV49,0),),""))</f>
        <v/>
      </c>
      <c r="BF49" s="134">
        <f t="array" ref="BF49">IF(BC49="","",INDIRECT("'GRD-"&amp;BE49&amp;"'!$L$7"))</f>
        <v/>
      </c>
      <c r="CA49" s="96">
        <f>IFERROR(VLOOKUP($B49,INDIRECT("'GRD-"&amp;CA$11&amp;"'!B:R"),15,FALSE),"")</f>
        <v/>
      </c>
      <c r="CB49" s="96">
        <f>IFERROR(VLOOKUP($B49,INDIRECT("'GRD-"&amp;CB$11&amp;"'!B:R"),15,FALSE),"")</f>
        <v/>
      </c>
      <c r="CC49" s="96">
        <f>IFERROR(VLOOKUP($B49,INDIRECT("'GRD-"&amp;CC$11&amp;"'!B:R"),15,FALSE),"")</f>
        <v/>
      </c>
      <c r="CD49" s="96">
        <f>IFERROR(VLOOKUP($B49,INDIRECT("'GRD-"&amp;CD$11&amp;"'!B:R"),15,FALSE),"")</f>
        <v/>
      </c>
      <c r="CE49" s="96">
        <f>IFERROR(VLOOKUP($B49,INDIRECT("'GRD-"&amp;CE$11&amp;"'!B:R"),15,FALSE),"")</f>
        <v/>
      </c>
      <c r="CF49" s="96">
        <f>IFERROR(VLOOKUP($B49,INDIRECT("'GRD-"&amp;CF$11&amp;"'!B:R"),15,FALSE),"")</f>
        <v/>
      </c>
      <c r="CG49" s="96">
        <f>IFERROR(VLOOKUP($B49,INDIRECT("'GRD-"&amp;CG$11&amp;"'!B:R"),15,FALSE),"")</f>
        <v/>
      </c>
      <c r="CH49" s="96">
        <f>IFERROR(VLOOKUP($B49,INDIRECT("'GRD-"&amp;CH$11&amp;"'!B:R"),15,FALSE),"")</f>
        <v/>
      </c>
      <c r="CI49" s="96">
        <f>IFERROR(VLOOKUP($B49,INDIRECT("'GRD-"&amp;CI$11&amp;"'!B:R"),15,FALSE),"")</f>
        <v/>
      </c>
      <c r="CJ49" s="96">
        <f>IFERROR(VLOOKUP($B49,INDIRECT("'GRD-"&amp;CJ$11&amp;"'!B:R"),15,FALSE),"")</f>
        <v/>
      </c>
      <c r="CK49" s="96">
        <f>IFERROR(VLOOKUP($B49,INDIRECT("'GRD-"&amp;CK$11&amp;"'!B:R"),15,FALSE),"")</f>
        <v/>
      </c>
      <c r="CL49" s="96">
        <f>IFERROR(VLOOKUP($B49,INDIRECT("'GRD-"&amp;CL$11&amp;"'!B:R"),15,FALSE),"")</f>
        <v/>
      </c>
      <c r="CM49" s="96">
        <f>IFERROR(VLOOKUP($B49,INDIRECT("'GRD-"&amp;CM$11&amp;"'!B:R"),15,FALSE),"")</f>
        <v/>
      </c>
      <c r="CN49" s="96">
        <f>IFERROR(VLOOKUP($B49,INDIRECT("'GRD-"&amp;CN$11&amp;"'!B:R"),15,FALSE),"")</f>
        <v/>
      </c>
      <c r="CO49" s="96">
        <f>IFERROR(VLOOKUP($B49,INDIRECT("'GRD-"&amp;CO$11&amp;"'!B:R"),15,FALSE),"")</f>
        <v/>
      </c>
      <c r="CP49" s="96">
        <f>IFERROR(VLOOKUP($B49,INDIRECT("'GRD-"&amp;CP$11&amp;"'!B:R"),15,FALSE),"")</f>
        <v/>
      </c>
      <c r="CQ49" s="96">
        <f>IFERROR(VLOOKUP($B49,INDIRECT("'GRD-"&amp;CQ$11&amp;"'!B:R"),15,FALSE),"")</f>
        <v/>
      </c>
      <c r="CR49" s="96">
        <f>IFERROR(VLOOKUP($B49,INDIRECT("'GRD-"&amp;CR$11&amp;"'!B:R"),15,FALSE),"")</f>
        <v/>
      </c>
      <c r="CS49" s="96">
        <f>IFERROR(VLOOKUP($B49,INDIRECT("'GRD-"&amp;CS$11&amp;"'!B:R"),15,FALSE),"")</f>
        <v/>
      </c>
      <c r="CT49" s="96">
        <f>IFERROR(VLOOKUP($B49,INDIRECT("'GRD-"&amp;CT$11&amp;"'!B:R"),15,FALSE),"")</f>
        <v/>
      </c>
      <c r="CU49" s="96">
        <f>IFERROR(VLOOKUP($B49,INDIRECT("'GRD-"&amp;CU$11&amp;"'!B:R"),15,FALSE),"")</f>
        <v/>
      </c>
      <c r="CV49" s="96">
        <f>IFERROR(VLOOKUP($B49,INDIRECT("'GRD-"&amp;CV$11&amp;"'!B:R"),15,FALSE),"")</f>
        <v/>
      </c>
      <c r="CW49" s="96">
        <f>IFERROR(VLOOKUP($B49,INDIRECT("'GRD-"&amp;CW$11&amp;"'!B:R"),15,FALSE),"")</f>
        <v/>
      </c>
      <c r="CX49" s="96">
        <f>IFERROR(VLOOKUP($B49,INDIRECT("'GRD-"&amp;CX$11&amp;"'!B:R"),15,FALSE),"")</f>
        <v/>
      </c>
      <c r="CY49" s="96">
        <f>IFERROR(VLOOKUP($B49,INDIRECT("'GRD-"&amp;CY$11&amp;"'!B:R"),15,FALSE),"")</f>
        <v/>
      </c>
      <c r="CZ49" s="96">
        <f>IFERROR(VLOOKUP($B49,INDIRECT("'GRD-"&amp;CZ$11&amp;"'!B:R"),15,FALSE),"")</f>
        <v/>
      </c>
      <c r="DA49" s="96">
        <f>IFERROR(VLOOKUP($B49,INDIRECT("'GRD-"&amp;DA$11&amp;"'!B:R"),15,FALSE),"")</f>
        <v/>
      </c>
      <c r="DB49" s="96">
        <f>IFERROR(VLOOKUP($B49,INDIRECT("'GRD-"&amp;DB$11&amp;"'!B:R"),15,FALSE),"")</f>
        <v/>
      </c>
      <c r="DC49" s="96">
        <f>IFERROR(VLOOKUP($B49,INDIRECT("'GRD-"&amp;DC$11&amp;"'!B:R"),15,FALSE),"")</f>
        <v/>
      </c>
      <c r="DD49" s="96">
        <f>IFERROR(VLOOKUP($B49,INDIRECT("'GRD-"&amp;DD$11&amp;"'!B:R"),15,FALSE),"")</f>
        <v/>
      </c>
      <c r="DE49" s="96">
        <f>IFERROR(VLOOKUP($B49,INDIRECT("'GRD-"&amp;DE$11&amp;"'!B:R"),15,FALSE),"")</f>
        <v/>
      </c>
      <c r="DF49" s="96">
        <f>IFERROR(VLOOKUP($B49,INDIRECT("'GRD-"&amp;DF$11&amp;"'!B:R"),15,FALSE),"")</f>
        <v/>
      </c>
      <c r="DG49" s="96">
        <f>IFERROR(VLOOKUP($B49,INDIRECT("'GRD-"&amp;DG$11&amp;"'!B:R"),15,FALSE),"")</f>
        <v/>
      </c>
      <c r="DH49" s="96">
        <f>IFERROR(VLOOKUP($B49,INDIRECT("'GRD-"&amp;DH$11&amp;"'!B:R"),15,FALSE),"")</f>
        <v/>
      </c>
      <c r="DI49" s="96">
        <f>IFERROR(VLOOKUP($B49,INDIRECT("'GRD-"&amp;DI$11&amp;"'!B:R"),15,FALSE),"")</f>
        <v/>
      </c>
      <c r="DJ49" s="96">
        <f>IFERROR(VLOOKUP($B49,INDIRECT("'GRD-"&amp;DJ$11&amp;"'!B:R"),15,FALSE),"")</f>
        <v/>
      </c>
      <c r="DK49" s="96">
        <f>IFERROR(VLOOKUP($B49,INDIRECT("'GRD-"&amp;DK$11&amp;"'!B:R"),15,FALSE),"")</f>
        <v/>
      </c>
      <c r="DL49" s="96">
        <f>IFERROR(VLOOKUP($B49,INDIRECT("'GRD-"&amp;DL$11&amp;"'!B:R"),15,FALSE),"")</f>
        <v/>
      </c>
      <c r="DM49" s="96">
        <f>IFERROR(VLOOKUP($B49,INDIRECT("'GRD-"&amp;DM$11&amp;"'!B:R"),15,FALSE),"")</f>
        <v/>
      </c>
      <c r="DN49" s="96">
        <f>IFERROR(VLOOKUP($B49,INDIRECT("'GRD-"&amp;DN$11&amp;"'!B:R"),15,FALSE),"")</f>
        <v/>
      </c>
      <c r="DO49" s="96">
        <f>IFERROR(VLOOKUP($B49,INDIRECT("'GRD-"&amp;DO$11&amp;"'!B:R"),15,FALSE),"")</f>
        <v/>
      </c>
      <c r="DP49" s="96">
        <f>IFERROR(VLOOKUP($B49,INDIRECT("'GRD-"&amp;DP$11&amp;"'!B:R"),15,FALSE),"")</f>
        <v/>
      </c>
      <c r="DQ49" s="96">
        <f>IFERROR(VLOOKUP($B49,INDIRECT("'GRD-"&amp;DQ$11&amp;"'!B:R"),15,FALSE),"")</f>
        <v/>
      </c>
      <c r="DR49" s="96">
        <f>IFERROR(VLOOKUP($B49,INDIRECT("'GRD-"&amp;DR$11&amp;"'!B:R"),15,FALSE),"")</f>
        <v/>
      </c>
      <c r="DS49" s="96">
        <f>IFERROR(VLOOKUP($B49,INDIRECT("'GRD-"&amp;DS$11&amp;"'!B:R"),15,FALSE),"")</f>
        <v/>
      </c>
      <c r="DT49" s="96">
        <f>IFERROR(VLOOKUP($B49,INDIRECT("'GRD-"&amp;DT$11&amp;"'!B:R"),15,FALSE),"")</f>
        <v/>
      </c>
      <c r="DU49" s="96">
        <f>IFERROR(VLOOKUP($B49,INDIRECT("'GRD-"&amp;DU$11&amp;"'!B:R"),15,FALSE),"")</f>
        <v/>
      </c>
      <c r="DV49" s="96">
        <f>IFERROR(VLOOKUP($B49,INDIRECT("'GRD-"&amp;DV$11&amp;"'!B:R"),15,FALSE),"")</f>
        <v/>
      </c>
      <c r="DW49" s="96">
        <f>IFERROR(VLOOKUP($B49,INDIRECT("'GRD-"&amp;DW$11&amp;"'!B:R"),15,FALSE),"")</f>
        <v/>
      </c>
      <c r="DX49" s="96">
        <f>IFERROR(VLOOKUP($B49,INDIRECT("'GRD-"&amp;DX$11&amp;"'!B:R"),15,FALSE),"")</f>
        <v/>
      </c>
      <c r="DY49" s="96">
        <f>IFERROR(VLOOKUP($B49,INDIRECT("'GRD-"&amp;DY$11&amp;"'!B:R"),15,FALSE),"")</f>
        <v/>
      </c>
      <c r="DZ49" s="96">
        <f>IFERROR(VLOOKUP($B49,INDIRECT("'GRD-"&amp;DZ$11&amp;"'!B:R"),15,FALSE),"")</f>
        <v/>
      </c>
      <c r="EA49" s="96">
        <f>IFERROR(VLOOKUP($B49,INDIRECT("'GRD-"&amp;EA$11&amp;"'!B:R"),15,FALSE),"")</f>
        <v/>
      </c>
      <c r="EB49" s="96">
        <f>IFERROR(VLOOKUP($B49,INDIRECT("'GRD-"&amp;EB$11&amp;"'!B:R"),15,FALSE),"")</f>
        <v/>
      </c>
      <c r="EC49" s="96">
        <f>IFERROR(VLOOKUP($B49,INDIRECT("'GRD-"&amp;EC$11&amp;"'!B:R"),15,FALSE),"")</f>
        <v/>
      </c>
      <c r="ED49" s="96">
        <f>IFERROR(VLOOKUP($B49,INDIRECT("'GRD-"&amp;ED$11&amp;"'!B:R"),15,FALSE),"")</f>
        <v/>
      </c>
      <c r="EE49" s="96">
        <f>IFERROR(VLOOKUP($B49,INDIRECT("'GRD-"&amp;EE$11&amp;"'!B:R"),15,FALSE),"")</f>
        <v/>
      </c>
      <c r="EF49" s="96">
        <f>IFERROR(VLOOKUP($B49,INDIRECT("'GRD-"&amp;EF$11&amp;"'!B:R"),15,FALSE),"")</f>
        <v/>
      </c>
      <c r="EG49" s="96">
        <f>IFERROR(VLOOKUP($B49,INDIRECT("'GRD-"&amp;EG$11&amp;"'!B:R"),15,FALSE),"")</f>
        <v/>
      </c>
      <c r="EH49" s="96">
        <f>IFERROR(VLOOKUP($B49,INDIRECT("'GRD-"&amp;EH$11&amp;"'!B:R"),15,FALSE),"")</f>
        <v/>
      </c>
      <c r="EI49" s="96">
        <f>IFERROR(VLOOKUP($B49,INDIRECT("'GRD-"&amp;EI$11&amp;"'!B:R"),15,FALSE),"")</f>
        <v/>
      </c>
      <c r="EJ49" s="96">
        <f>IFERROR(VLOOKUP($B49,INDIRECT("'GRD-"&amp;EJ$11&amp;"'!B:R"),15,FALSE),"")</f>
        <v/>
      </c>
      <c r="EK49" s="96">
        <f>IFERROR(VLOOKUP($B49,INDIRECT("'GRD-"&amp;EK$11&amp;"'!B:R"),15,FALSE),"")</f>
        <v/>
      </c>
      <c r="EL49" s="96">
        <f>IFERROR(VLOOKUP($B49,INDIRECT("'GRD-"&amp;EL$11&amp;"'!B:R"),15,FALSE),"")</f>
        <v/>
      </c>
      <c r="EM49" s="96">
        <f>IFERROR(VLOOKUP($B49,INDIRECT("'GRD-"&amp;EM$11&amp;"'!B:R"),15,FALSE),"")</f>
        <v/>
      </c>
      <c r="EN49" s="96">
        <f>IFERROR(VLOOKUP($B49,INDIRECT("'GRD-"&amp;EN$11&amp;"'!B:R"),15,FALSE),"")</f>
        <v/>
      </c>
      <c r="EO49" s="96">
        <f>IFERROR(VLOOKUP($B49,INDIRECT("'GRD-"&amp;EO$11&amp;"'!B:R"),15,FALSE),"")</f>
        <v/>
      </c>
      <c r="EP49" s="96">
        <f>IFERROR(VLOOKUP($B49,INDIRECT("'GRD-"&amp;EP$11&amp;"'!B:R"),15,FALSE),"")</f>
        <v/>
      </c>
      <c r="EQ49" s="96">
        <f>IFERROR(VLOOKUP($B49,INDIRECT("'GRD-"&amp;EQ$11&amp;"'!B:R"),15,FALSE),"")</f>
        <v/>
      </c>
      <c r="ER49" s="96">
        <f>IFERROR(VLOOKUP($B49,INDIRECT("'GRD-"&amp;ER$11&amp;"'!B:R"),15,FALSE),"")</f>
        <v/>
      </c>
      <c r="ES49" s="96">
        <f>IFERROR(VLOOKUP($B49,INDIRECT("'GRD-"&amp;ES$11&amp;"'!B:R"),15,FALSE),"")</f>
        <v/>
      </c>
      <c r="ET49" s="96">
        <f>IFERROR(VLOOKUP($B49,INDIRECT("'GRD-"&amp;ET$11&amp;"'!B:R"),15,FALSE),"")</f>
        <v/>
      </c>
      <c r="EU49" s="96">
        <f>IFERROR(VLOOKUP($B49,INDIRECT("'GRD-"&amp;EU$11&amp;"'!B:R"),15,FALSE),"")</f>
        <v/>
      </c>
      <c r="EV49" s="96">
        <f>IFERROR(VLOOKUP($B49,INDIRECT("'GRD-"&amp;EV$11&amp;"'!B:R"),15,FALSE),"")</f>
        <v/>
      </c>
      <c r="EW49" s="96">
        <f>IFERROR(VLOOKUP($B49,INDIRECT("'GRD-"&amp;EW$11&amp;"'!B:R"),15,FALSE),"")</f>
        <v/>
      </c>
      <c r="EX49" s="96">
        <f>IFERROR(VLOOKUP($B49,INDIRECT("'GRD-"&amp;EX$11&amp;"'!B:R"),15,FALSE),"")</f>
        <v/>
      </c>
      <c r="EY49" s="96">
        <f>IFERROR(VLOOKUP($B49,INDIRECT("'GRD-"&amp;EY$11&amp;"'!B:R"),15,FALSE),"")</f>
        <v/>
      </c>
      <c r="EZ49" s="96">
        <f>IFERROR(VLOOKUP($B49,INDIRECT("'GRD-"&amp;EZ$11&amp;"'!B:R"),15,FALSE),"")</f>
        <v/>
      </c>
      <c r="FA49" s="96">
        <f>IFERROR(VLOOKUP($B49,INDIRECT("'GRD-"&amp;FA$11&amp;"'!B:R"),15,FALSE),"")</f>
        <v/>
      </c>
      <c r="FB49" s="96">
        <f>IFERROR(VLOOKUP($B49,INDIRECT("'GRD-"&amp;FB$11&amp;"'!B:R"),15,FALSE),"")</f>
        <v/>
      </c>
      <c r="FC49" s="96">
        <f>IFERROR(VLOOKUP($B49,INDIRECT("'GRD-"&amp;FC$11&amp;"'!B:R"),15,FALSE),"")</f>
        <v/>
      </c>
      <c r="FD49" s="96">
        <f>IFERROR(VLOOKUP($B49,INDIRECT("'GRD-"&amp;FD$11&amp;"'!B:R"),15,FALSE),"")</f>
        <v/>
      </c>
      <c r="FE49" s="96">
        <f>IFERROR(VLOOKUP($B49,INDIRECT("'GRD-"&amp;FE$11&amp;"'!B:R"),15,FALSE),"")</f>
        <v/>
      </c>
      <c r="FF49" s="96">
        <f>IFERROR(VLOOKUP($B49,INDIRECT("'GRD-"&amp;FF$11&amp;"'!B:R"),15,FALSE),"")</f>
        <v/>
      </c>
      <c r="FG49" s="96">
        <f>IFERROR(VLOOKUP($B49,INDIRECT("'GRD-"&amp;FG$11&amp;"'!B:R"),15,FALSE),"")</f>
        <v/>
      </c>
      <c r="FH49" s="96">
        <f>IFERROR(VLOOKUP($B49,INDIRECT("'GRD-"&amp;FH$11&amp;"'!B:R"),15,FALSE),"")</f>
        <v/>
      </c>
      <c r="FI49" s="96">
        <f>IFERROR(VLOOKUP($B49,INDIRECT("'GRD-"&amp;FI$11&amp;"'!B:R"),15,FALSE),"")</f>
        <v/>
      </c>
      <c r="FJ49" s="96">
        <f>IFERROR(VLOOKUP($B49,INDIRECT("'GRD-"&amp;FJ$11&amp;"'!B:R"),15,FALSE),"")</f>
        <v/>
      </c>
      <c r="FK49" s="96">
        <f>IFERROR(VLOOKUP($B49,INDIRECT("'GRD-"&amp;FK$11&amp;"'!B:R"),15,FALSE),"")</f>
        <v/>
      </c>
      <c r="FL49" s="96">
        <f>IFERROR(VLOOKUP($B49,INDIRECT("'GRD-"&amp;FL$11&amp;"'!B:R"),15,FALSE),"")</f>
        <v/>
      </c>
      <c r="FM49" s="96">
        <f>IFERROR(VLOOKUP($B49,INDIRECT("'GRD-"&amp;FM$11&amp;"'!B:R"),15,FALSE),"")</f>
        <v/>
      </c>
      <c r="FN49" s="96">
        <f>IFERROR(VLOOKUP($B49,INDIRECT("'GRD-"&amp;FN$11&amp;"'!B:R"),15,FALSE),"")</f>
        <v/>
      </c>
      <c r="FO49" s="96">
        <f>IFERROR(VLOOKUP($B49,INDIRECT("'GRD-"&amp;FO$11&amp;"'!B:R"),15,FALSE),"")</f>
        <v/>
      </c>
      <c r="FP49" s="96">
        <f>IFERROR(VLOOKUP($B49,INDIRECT("'GRD-"&amp;FP$11&amp;"'!B:R"),15,FALSE),"")</f>
        <v/>
      </c>
      <c r="FQ49" s="96">
        <f>IFERROR(VLOOKUP($B49,INDIRECT("'GRD-"&amp;FQ$11&amp;"'!B:R"),15,FALSE),"")</f>
        <v/>
      </c>
      <c r="FR49" s="96">
        <f>IFERROR(VLOOKUP($B49,INDIRECT("'GRD-"&amp;FR$11&amp;"'!B:R"),15,FALSE),"")</f>
        <v/>
      </c>
      <c r="FS49" s="96">
        <f>IFERROR(VLOOKUP($B49,INDIRECT("'GRD-"&amp;FS$11&amp;"'!B:R"),15,FALSE),"")</f>
        <v/>
      </c>
      <c r="FT49" s="96">
        <f>IFERROR(VLOOKUP($B49,INDIRECT("'GRD-"&amp;FT$11&amp;"'!B:R"),15,FALSE),"")</f>
        <v/>
      </c>
      <c r="FU49" s="96">
        <f>IFERROR(VLOOKUP($B49,INDIRECT("'GRD-"&amp;FU$11&amp;"'!B:R"),15,FALSE),"")</f>
        <v/>
      </c>
      <c r="FV49" s="96">
        <f>IFERROR(VLOOKUP($B49,INDIRECT("'GRD-"&amp;FV$11&amp;"'!B:R"),15,FALSE),"")</f>
        <v/>
      </c>
    </row>
    <row r="50">
      <c r="B50" s="68" t="n"/>
      <c r="C50" s="72" t="n"/>
      <c r="D50" s="73">
        <f>IF(K50="","",MAX($CA50:$FV50))</f>
        <v/>
      </c>
      <c r="E50" s="74">
        <f t="array" ref="E50">IF($K50="","",OFFSET($A$1,ROW($B50)-1,11+$D50*4,))</f>
        <v/>
      </c>
      <c r="F50" s="74">
        <f t="array" ref="F50">IF($K50="","",OFFSET($A$1,ROW($B50)-1,12+$D50*4,))</f>
        <v/>
      </c>
      <c r="G50" s="118">
        <f t="array" ref="G50">IF($K50="","",OFFSET($A$1,ROW($B50)-1,13+$D50*4,))</f>
        <v/>
      </c>
      <c r="H50" s="81" t="n"/>
      <c r="I50" s="82" t="n"/>
      <c r="J50" s="75">
        <f>IF(I50="A4",H50/8,IF(I50="A3",H50/4,IF(I50="A2",H50/2,IF(I50="A1",H50/1,IF(I50="A0",H50*2,"")))))</f>
        <v/>
      </c>
      <c r="K50" s="68">
        <f t="array" ref="K50">IFERROR(OFFSET($BZ$11,ROW($B50)-11,MATCH(K$10,$CA50:$FV50,0),),"")</f>
        <v/>
      </c>
      <c r="L50" s="85">
        <f>IF(K50="","",IF(VLOOKUP($B50,INDIRECT("'GRD-"&amp;M50&amp;"'!$B:$R"),16,FALSE)="","",VLOOKUP($B50,INDIRECT("'GRD-"&amp;M50&amp;"'!$B:$R"),16,FALSE)))</f>
        <v/>
      </c>
      <c r="M50" s="130">
        <f t="array" ref="M50">IF(K50="","",IFERROR(OFFSET($BZ$11,0,MATCH($K50,$CA50:$FV50,0),),""))</f>
        <v/>
      </c>
      <c r="N50" s="119">
        <f t="array" ref="N50">IF(K50="","",INDIRECT("'GRD-"&amp;M50&amp;"'!$L$7"))</f>
        <v/>
      </c>
      <c r="O50" s="76">
        <f t="array" ref="O50">IFERROR(OFFSET($BZ$11,ROW($B50)-11,MATCH(O$10,$CA50:$FV50,0),),"")</f>
        <v/>
      </c>
      <c r="P50" s="76">
        <f>IF(O50="","",IF(VLOOKUP($B50,INDIRECT("'GRD-"&amp;Q50&amp;"'!$B:$R"),16,FALSE)="","",VLOOKUP($B50,INDIRECT("'GRD-"&amp;Q50&amp;"'!$B:$R"),16,FALSE)))</f>
        <v/>
      </c>
      <c r="Q50" s="132">
        <f t="array" ref="Q50">IF(O50="","",IFERROR(OFFSET($BZ$11,0,MATCH($O50,$CA50:$FV50,0),),""))</f>
        <v/>
      </c>
      <c r="R50" s="121">
        <f t="array" ref="R50">IF(O50="","",INDIRECT("'GRD-"&amp;Q50&amp;"'!$L$7"))</f>
        <v/>
      </c>
      <c r="S50" s="83">
        <f t="array" ref="S50">IFERROR(OFFSET($BZ$11,ROW($B50)-11,MATCH(S$10,$CA50:$FV50,0),),"")</f>
        <v/>
      </c>
      <c r="T50" s="83">
        <f>IF(S50="","",IF(VLOOKUP($B50,INDIRECT("'GRD-"&amp;U50&amp;"'!$B:$R"),16,FALSE)="","",VLOOKUP($B50,INDIRECT("'GRD-"&amp;U50&amp;"'!$B:$R"),16,FALSE)))</f>
        <v/>
      </c>
      <c r="U50" s="128">
        <f t="array" ref="U50">IF(S50="","",IFERROR(OFFSET($BZ$11,0,MATCH($S50,$CA50:$FV50,0),),""))</f>
        <v/>
      </c>
      <c r="V50" s="133">
        <f t="array" ref="V50">IF(S50="","",INDIRECT("'GRD-"&amp;U50&amp;"'!$L$7"))</f>
        <v/>
      </c>
      <c r="W50" s="84">
        <f t="array" ref="W50">IFERROR(OFFSET($BZ$11,ROW($B50)-11,MATCH(W$10,$CA50:$FV50,0),),"")</f>
        <v/>
      </c>
      <c r="X50" s="84">
        <f>IF(W50="","",IF(VLOOKUP($B50,INDIRECT("'GRD-"&amp;Y50&amp;"'!$B:$R"),16,FALSE)="","",VLOOKUP($B50,INDIRECT("'GRD-"&amp;Y50&amp;"'!$B:$R"),16,FALSE)))</f>
        <v/>
      </c>
      <c r="Y50" s="129">
        <f t="array" ref="Y50">IF(W50="","",IFERROR(OFFSET($BZ$11,0,MATCH($W50,$CA50:$FV50,0),),""))</f>
        <v/>
      </c>
      <c r="Z50" s="134">
        <f t="array" ref="Z50">IF(W50="","",INDIRECT("'GRD-"&amp;Y50&amp;"'!$L$7"))</f>
        <v/>
      </c>
      <c r="AA50" s="85">
        <f t="array" ref="AA50">IFERROR(OFFSET($BZ$11,ROW($B50)-11,MATCH(AA$10,$CA50:$FV50,0),),"")</f>
        <v/>
      </c>
      <c r="AB50" s="85">
        <f>IF(AA50="","",IF(VLOOKUP($B50,INDIRECT("'GRD-"&amp;AC50&amp;"'!$B:$R"),16,FALSE)="","",VLOOKUP($B50,INDIRECT("'GRD-"&amp;AC50&amp;"'!$B:$R"),16,FALSE)))</f>
        <v/>
      </c>
      <c r="AC50" s="130">
        <f t="array" ref="AC50">IF(AA50="","",IFERROR(OFFSET($BZ$11,0,MATCH($AA50,$CA50:$FV50,0),),""))</f>
        <v/>
      </c>
      <c r="AD50" s="131">
        <f t="array" ref="AD50">IF(AA50="","",INDIRECT("'GRD-"&amp;AC50&amp;"'!$L$7"))</f>
        <v/>
      </c>
      <c r="AE50" s="76">
        <f t="array" ref="AE50">IFERROR(OFFSET($BZ$11,ROW($B50)-11,MATCH(AE$10,$CA50:$FV50,0),),"")</f>
        <v/>
      </c>
      <c r="AF50" s="76">
        <f>IF(AE50="","",IF(VLOOKUP($B50,INDIRECT("'GRD-"&amp;AG50&amp;"'!$B:$R"),16,FALSE)="","",VLOOKUP($B50,INDIRECT("'GRD-"&amp;AG50&amp;"'!$B:$R"),16,FALSE)))</f>
        <v/>
      </c>
      <c r="AG50" s="132">
        <f t="array" ref="AG50">IF(AE50="","",IFERROR(OFFSET($BZ$11,0,MATCH($AE50,$CA50:$FV50,0),),""))</f>
        <v/>
      </c>
      <c r="AH50" s="121">
        <f t="array" ref="AH50">IF(AE50="","",INDIRECT("'GRD-"&amp;AG50&amp;"'!$L$7"))</f>
        <v/>
      </c>
      <c r="AI50" s="83">
        <f t="array" ref="AI50">IFERROR(OFFSET($BZ$11,ROW($B50)-11,MATCH(AI$10,$CA50:$FV50,0),),"")</f>
        <v/>
      </c>
      <c r="AJ50" s="83">
        <f>IF(AI50="","",IF(VLOOKUP($B50,INDIRECT("'GRD-"&amp;AK50&amp;"'!$B:$R"),16,FALSE)="","",VLOOKUP($B50,INDIRECT("'GRD-"&amp;AK50&amp;"'!$B:$R"),16,FALSE)))</f>
        <v/>
      </c>
      <c r="AK50" s="128">
        <f t="array" ref="AK50">IF(AI50="","",IFERROR(OFFSET($BZ$11,0,MATCH($AI50,$CA50:$FV50,0),),""))</f>
        <v/>
      </c>
      <c r="AL50" s="133">
        <f t="array" ref="AL50">IF(AI50="","",INDIRECT("'GRD-"&amp;AK50&amp;"'!$L$7"))</f>
        <v/>
      </c>
      <c r="AM50" s="84">
        <f t="array" ref="AM50">IFERROR(OFFSET($BZ$11,ROW($B50)-11,MATCH(AM$10,$CA50:$FV50,0),),"")</f>
        <v/>
      </c>
      <c r="AN50" s="84">
        <f>IF(AM50="","",IF(VLOOKUP($B50,INDIRECT("'GRD-"&amp;AO50&amp;"'!$B:$R"),16,FALSE)="","",VLOOKUP($B50,INDIRECT("'GRD-"&amp;AO50&amp;"'!$B:$R"),16,FALSE)))</f>
        <v/>
      </c>
      <c r="AO50" s="129">
        <f t="array" ref="AO50">IF(AM50="","",IFERROR(OFFSET($BZ$11,0,MATCH($AM50,$CA50:$FV50,0),),""))</f>
        <v/>
      </c>
      <c r="AP50" s="134">
        <f t="array" ref="AP50">IF(AM50="","",INDIRECT("'GRD-"&amp;AO50&amp;"'!$L$7"))</f>
        <v/>
      </c>
      <c r="AQ50" s="85">
        <f t="array" ref="AQ50">IFERROR(OFFSET($BZ$11,ROW($B50)-11,MATCH(AQ$10,$CA50:$FV50,0),),"")</f>
        <v/>
      </c>
      <c r="AR50" s="85">
        <f>IF(AQ50="","",IF(VLOOKUP($B50,INDIRECT("'GRD-"&amp;AS50&amp;"'!$B:$R"),16,FALSE)="","",VLOOKUP($B50,INDIRECT("'GRD-"&amp;AS50&amp;"'!$B:$R"),16,FALSE)))</f>
        <v/>
      </c>
      <c r="AS50" s="130">
        <f t="array" ref="AS50">IF(AQ50="","",IFERROR(OFFSET($BZ$11,0,MATCH($AQ50,$CA50:$FV50,0),),""))</f>
        <v/>
      </c>
      <c r="AT50" s="131">
        <f t="array" ref="AT50">IF(AQ50="","",INDIRECT("'GRD-"&amp;AS50&amp;"'!$L$7"))</f>
        <v/>
      </c>
      <c r="AU50" s="76">
        <f t="array" ref="AU50">IFERROR(OFFSET($BZ$11,ROW($B50)-11,MATCH(AU$10,$CA50:$FV50,0),),"")</f>
        <v/>
      </c>
      <c r="AV50" s="76">
        <f>IF(AU50="","",IF(VLOOKUP($B50,INDIRECT("'GRD-"&amp;AW50&amp;"'!$B:$R"),16,FALSE)="","",VLOOKUP($B50,INDIRECT("'GRD-"&amp;AW50&amp;"'!$B:$R"),16,FALSE)))</f>
        <v/>
      </c>
      <c r="AW50" s="132">
        <f t="array" ref="AW50">IF(AU50="","",IFERROR(OFFSET($BZ$11,0,MATCH($AU50,$CA50:$FV50,0),),""))</f>
        <v/>
      </c>
      <c r="AX50" s="121">
        <f t="array" ref="AX50">IF(AU50="","",INDIRECT("'GRD-"&amp;AW50&amp;"'!$L$7"))</f>
        <v/>
      </c>
      <c r="AY50" s="83">
        <f t="array" ref="AY50">IFERROR(OFFSET($BZ$11,ROW($B50)-11,MATCH(AY$10,$CA50:$FV50,0),),"")</f>
        <v/>
      </c>
      <c r="AZ50" s="83">
        <f>IF(AY50="","",IF(VLOOKUP($B50,INDIRECT("'GRD-"&amp;BA50&amp;"'!$B:$R"),16,FALSE)="","",VLOOKUP($B50,INDIRECT("'GRD-"&amp;BA50&amp;"'!$B:$R"),16,FALSE)))</f>
        <v/>
      </c>
      <c r="BA50" s="128">
        <f t="array" ref="BA50">IF(AY50="","",IFERROR(OFFSET($BZ$11,0,MATCH($AY50,$CA50:$FV50,0),),""))</f>
        <v/>
      </c>
      <c r="BB50" s="133">
        <f t="array" ref="BB50">IF(AY50="","",INDIRECT("'GRD-"&amp;BA50&amp;"'!$L$7"))</f>
        <v/>
      </c>
      <c r="BC50" s="84">
        <f t="array" ref="BC50">IFERROR(OFFSET($BZ$11,ROW($B50)-11,MATCH(BC$10,$CA50:$FV50,0),),"")</f>
        <v/>
      </c>
      <c r="BD50" s="84">
        <f>IF(BC50="","",IF(VLOOKUP($B50,INDIRECT("'GRD-"&amp;BE50&amp;"'!$B:$R"),16,FALSE)="","",VLOOKUP($B50,INDIRECT("'GRD-"&amp;BE50&amp;"'!$B:$R"),16,FALSE)))</f>
        <v/>
      </c>
      <c r="BE50" s="129">
        <f t="array" ref="BE50">IF(BC50="","",IFERROR(OFFSET($BZ$11,0,MATCH($BC50,$CA50:$FV50,0),),""))</f>
        <v/>
      </c>
      <c r="BF50" s="134">
        <f t="array" ref="BF50">IF(BC50="","",INDIRECT("'GRD-"&amp;BE50&amp;"'!$L$7"))</f>
        <v/>
      </c>
      <c r="CA50" s="96">
        <f>IFERROR(VLOOKUP($B50,INDIRECT("'GRD-"&amp;CA$11&amp;"'!B:R"),15,FALSE),"")</f>
        <v/>
      </c>
      <c r="CB50" s="96">
        <f>IFERROR(VLOOKUP($B50,INDIRECT("'GRD-"&amp;CB$11&amp;"'!B:R"),15,FALSE),"")</f>
        <v/>
      </c>
      <c r="CC50" s="96">
        <f>IFERROR(VLOOKUP($B50,INDIRECT("'GRD-"&amp;CC$11&amp;"'!B:R"),15,FALSE),"")</f>
        <v/>
      </c>
      <c r="CD50" s="96">
        <f>IFERROR(VLOOKUP($B50,INDIRECT("'GRD-"&amp;CD$11&amp;"'!B:R"),15,FALSE),"")</f>
        <v/>
      </c>
      <c r="CE50" s="96">
        <f>IFERROR(VLOOKUP($B50,INDIRECT("'GRD-"&amp;CE$11&amp;"'!B:R"),15,FALSE),"")</f>
        <v/>
      </c>
      <c r="CF50" s="96">
        <f>IFERROR(VLOOKUP($B50,INDIRECT("'GRD-"&amp;CF$11&amp;"'!B:R"),15,FALSE),"")</f>
        <v/>
      </c>
      <c r="CG50" s="96">
        <f>IFERROR(VLOOKUP($B50,INDIRECT("'GRD-"&amp;CG$11&amp;"'!B:R"),15,FALSE),"")</f>
        <v/>
      </c>
      <c r="CH50" s="96">
        <f>IFERROR(VLOOKUP($B50,INDIRECT("'GRD-"&amp;CH$11&amp;"'!B:R"),15,FALSE),"")</f>
        <v/>
      </c>
      <c r="CI50" s="96">
        <f>IFERROR(VLOOKUP($B50,INDIRECT("'GRD-"&amp;CI$11&amp;"'!B:R"),15,FALSE),"")</f>
        <v/>
      </c>
      <c r="CJ50" s="96">
        <f>IFERROR(VLOOKUP($B50,INDIRECT("'GRD-"&amp;CJ$11&amp;"'!B:R"),15,FALSE),"")</f>
        <v/>
      </c>
      <c r="CK50" s="96">
        <f>IFERROR(VLOOKUP($B50,INDIRECT("'GRD-"&amp;CK$11&amp;"'!B:R"),15,FALSE),"")</f>
        <v/>
      </c>
      <c r="CL50" s="96">
        <f>IFERROR(VLOOKUP($B50,INDIRECT("'GRD-"&amp;CL$11&amp;"'!B:R"),15,FALSE),"")</f>
        <v/>
      </c>
      <c r="CM50" s="96">
        <f>IFERROR(VLOOKUP($B50,INDIRECT("'GRD-"&amp;CM$11&amp;"'!B:R"),15,FALSE),"")</f>
        <v/>
      </c>
      <c r="CN50" s="96">
        <f>IFERROR(VLOOKUP($B50,INDIRECT("'GRD-"&amp;CN$11&amp;"'!B:R"),15,FALSE),"")</f>
        <v/>
      </c>
      <c r="CO50" s="96">
        <f>IFERROR(VLOOKUP($B50,INDIRECT("'GRD-"&amp;CO$11&amp;"'!B:R"),15,FALSE),"")</f>
        <v/>
      </c>
      <c r="CP50" s="96">
        <f>IFERROR(VLOOKUP($B50,INDIRECT("'GRD-"&amp;CP$11&amp;"'!B:R"),15,FALSE),"")</f>
        <v/>
      </c>
      <c r="CQ50" s="96">
        <f>IFERROR(VLOOKUP($B50,INDIRECT("'GRD-"&amp;CQ$11&amp;"'!B:R"),15,FALSE),"")</f>
        <v/>
      </c>
      <c r="CR50" s="96">
        <f>IFERROR(VLOOKUP($B50,INDIRECT("'GRD-"&amp;CR$11&amp;"'!B:R"),15,FALSE),"")</f>
        <v/>
      </c>
      <c r="CS50" s="96">
        <f>IFERROR(VLOOKUP($B50,INDIRECT("'GRD-"&amp;CS$11&amp;"'!B:R"),15,FALSE),"")</f>
        <v/>
      </c>
      <c r="CT50" s="96">
        <f>IFERROR(VLOOKUP($B50,INDIRECT("'GRD-"&amp;CT$11&amp;"'!B:R"),15,FALSE),"")</f>
        <v/>
      </c>
      <c r="CU50" s="96">
        <f>IFERROR(VLOOKUP($B50,INDIRECT("'GRD-"&amp;CU$11&amp;"'!B:R"),15,FALSE),"")</f>
        <v/>
      </c>
      <c r="CV50" s="96">
        <f>IFERROR(VLOOKUP($B50,INDIRECT("'GRD-"&amp;CV$11&amp;"'!B:R"),15,FALSE),"")</f>
        <v/>
      </c>
      <c r="CW50" s="96">
        <f>IFERROR(VLOOKUP($B50,INDIRECT("'GRD-"&amp;CW$11&amp;"'!B:R"),15,FALSE),"")</f>
        <v/>
      </c>
      <c r="CX50" s="96">
        <f>IFERROR(VLOOKUP($B50,INDIRECT("'GRD-"&amp;CX$11&amp;"'!B:R"),15,FALSE),"")</f>
        <v/>
      </c>
      <c r="CY50" s="96">
        <f>IFERROR(VLOOKUP($B50,INDIRECT("'GRD-"&amp;CY$11&amp;"'!B:R"),15,FALSE),"")</f>
        <v/>
      </c>
      <c r="CZ50" s="96">
        <f>IFERROR(VLOOKUP($B50,INDIRECT("'GRD-"&amp;CZ$11&amp;"'!B:R"),15,FALSE),"")</f>
        <v/>
      </c>
      <c r="DA50" s="96">
        <f>IFERROR(VLOOKUP($B50,INDIRECT("'GRD-"&amp;DA$11&amp;"'!B:R"),15,FALSE),"")</f>
        <v/>
      </c>
      <c r="DB50" s="96">
        <f>IFERROR(VLOOKUP($B50,INDIRECT("'GRD-"&amp;DB$11&amp;"'!B:R"),15,FALSE),"")</f>
        <v/>
      </c>
      <c r="DC50" s="96">
        <f>IFERROR(VLOOKUP($B50,INDIRECT("'GRD-"&amp;DC$11&amp;"'!B:R"),15,FALSE),"")</f>
        <v/>
      </c>
      <c r="DD50" s="96">
        <f>IFERROR(VLOOKUP($B50,INDIRECT("'GRD-"&amp;DD$11&amp;"'!B:R"),15,FALSE),"")</f>
        <v/>
      </c>
      <c r="DE50" s="96">
        <f>IFERROR(VLOOKUP($B50,INDIRECT("'GRD-"&amp;DE$11&amp;"'!B:R"),15,FALSE),"")</f>
        <v/>
      </c>
      <c r="DF50" s="96">
        <f>IFERROR(VLOOKUP($B50,INDIRECT("'GRD-"&amp;DF$11&amp;"'!B:R"),15,FALSE),"")</f>
        <v/>
      </c>
      <c r="DG50" s="96">
        <f>IFERROR(VLOOKUP($B50,INDIRECT("'GRD-"&amp;DG$11&amp;"'!B:R"),15,FALSE),"")</f>
        <v/>
      </c>
      <c r="DH50" s="96">
        <f>IFERROR(VLOOKUP($B50,INDIRECT("'GRD-"&amp;DH$11&amp;"'!B:R"),15,FALSE),"")</f>
        <v/>
      </c>
      <c r="DI50" s="96">
        <f>IFERROR(VLOOKUP($B50,INDIRECT("'GRD-"&amp;DI$11&amp;"'!B:R"),15,FALSE),"")</f>
        <v/>
      </c>
      <c r="DJ50" s="96">
        <f>IFERROR(VLOOKUP($B50,INDIRECT("'GRD-"&amp;DJ$11&amp;"'!B:R"),15,FALSE),"")</f>
        <v/>
      </c>
      <c r="DK50" s="96">
        <f>IFERROR(VLOOKUP($B50,INDIRECT("'GRD-"&amp;DK$11&amp;"'!B:R"),15,FALSE),"")</f>
        <v/>
      </c>
      <c r="DL50" s="96">
        <f>IFERROR(VLOOKUP($B50,INDIRECT("'GRD-"&amp;DL$11&amp;"'!B:R"),15,FALSE),"")</f>
        <v/>
      </c>
      <c r="DM50" s="96">
        <f>IFERROR(VLOOKUP($B50,INDIRECT("'GRD-"&amp;DM$11&amp;"'!B:R"),15,FALSE),"")</f>
        <v/>
      </c>
      <c r="DN50" s="96">
        <f>IFERROR(VLOOKUP($B50,INDIRECT("'GRD-"&amp;DN$11&amp;"'!B:R"),15,FALSE),"")</f>
        <v/>
      </c>
      <c r="DO50" s="96">
        <f>IFERROR(VLOOKUP($B50,INDIRECT("'GRD-"&amp;DO$11&amp;"'!B:R"),15,FALSE),"")</f>
        <v/>
      </c>
      <c r="DP50" s="96">
        <f>IFERROR(VLOOKUP($B50,INDIRECT("'GRD-"&amp;DP$11&amp;"'!B:R"),15,FALSE),"")</f>
        <v/>
      </c>
      <c r="DQ50" s="96">
        <f>IFERROR(VLOOKUP($B50,INDIRECT("'GRD-"&amp;DQ$11&amp;"'!B:R"),15,FALSE),"")</f>
        <v/>
      </c>
      <c r="DR50" s="96">
        <f>IFERROR(VLOOKUP($B50,INDIRECT("'GRD-"&amp;DR$11&amp;"'!B:R"),15,FALSE),"")</f>
        <v/>
      </c>
      <c r="DS50" s="96">
        <f>IFERROR(VLOOKUP($B50,INDIRECT("'GRD-"&amp;DS$11&amp;"'!B:R"),15,FALSE),"")</f>
        <v/>
      </c>
      <c r="DT50" s="96">
        <f>IFERROR(VLOOKUP($B50,INDIRECT("'GRD-"&amp;DT$11&amp;"'!B:R"),15,FALSE),"")</f>
        <v/>
      </c>
      <c r="DU50" s="96">
        <f>IFERROR(VLOOKUP($B50,INDIRECT("'GRD-"&amp;DU$11&amp;"'!B:R"),15,FALSE),"")</f>
        <v/>
      </c>
      <c r="DV50" s="96">
        <f>IFERROR(VLOOKUP($B50,INDIRECT("'GRD-"&amp;DV$11&amp;"'!B:R"),15,FALSE),"")</f>
        <v/>
      </c>
      <c r="DW50" s="96">
        <f>IFERROR(VLOOKUP($B50,INDIRECT("'GRD-"&amp;DW$11&amp;"'!B:R"),15,FALSE),"")</f>
        <v/>
      </c>
      <c r="DX50" s="96">
        <f>IFERROR(VLOOKUP($B50,INDIRECT("'GRD-"&amp;DX$11&amp;"'!B:R"),15,FALSE),"")</f>
        <v/>
      </c>
      <c r="DY50" s="96">
        <f>IFERROR(VLOOKUP($B50,INDIRECT("'GRD-"&amp;DY$11&amp;"'!B:R"),15,FALSE),"")</f>
        <v/>
      </c>
      <c r="DZ50" s="96">
        <f>IFERROR(VLOOKUP($B50,INDIRECT("'GRD-"&amp;DZ$11&amp;"'!B:R"),15,FALSE),"")</f>
        <v/>
      </c>
      <c r="EA50" s="96">
        <f>IFERROR(VLOOKUP($B50,INDIRECT("'GRD-"&amp;EA$11&amp;"'!B:R"),15,FALSE),"")</f>
        <v/>
      </c>
      <c r="EB50" s="96">
        <f>IFERROR(VLOOKUP($B50,INDIRECT("'GRD-"&amp;EB$11&amp;"'!B:R"),15,FALSE),"")</f>
        <v/>
      </c>
      <c r="EC50" s="96">
        <f>IFERROR(VLOOKUP($B50,INDIRECT("'GRD-"&amp;EC$11&amp;"'!B:R"),15,FALSE),"")</f>
        <v/>
      </c>
      <c r="ED50" s="96">
        <f>IFERROR(VLOOKUP($B50,INDIRECT("'GRD-"&amp;ED$11&amp;"'!B:R"),15,FALSE),"")</f>
        <v/>
      </c>
      <c r="EE50" s="96">
        <f>IFERROR(VLOOKUP($B50,INDIRECT("'GRD-"&amp;EE$11&amp;"'!B:R"),15,FALSE),"")</f>
        <v/>
      </c>
      <c r="EF50" s="96">
        <f>IFERROR(VLOOKUP($B50,INDIRECT("'GRD-"&amp;EF$11&amp;"'!B:R"),15,FALSE),"")</f>
        <v/>
      </c>
      <c r="EG50" s="96">
        <f>IFERROR(VLOOKUP($B50,INDIRECT("'GRD-"&amp;EG$11&amp;"'!B:R"),15,FALSE),"")</f>
        <v/>
      </c>
      <c r="EH50" s="96">
        <f>IFERROR(VLOOKUP($B50,INDIRECT("'GRD-"&amp;EH$11&amp;"'!B:R"),15,FALSE),"")</f>
        <v/>
      </c>
      <c r="EI50" s="96">
        <f>IFERROR(VLOOKUP($B50,INDIRECT("'GRD-"&amp;EI$11&amp;"'!B:R"),15,FALSE),"")</f>
        <v/>
      </c>
      <c r="EJ50" s="96">
        <f>IFERROR(VLOOKUP($B50,INDIRECT("'GRD-"&amp;EJ$11&amp;"'!B:R"),15,FALSE),"")</f>
        <v/>
      </c>
      <c r="EK50" s="96">
        <f>IFERROR(VLOOKUP($B50,INDIRECT("'GRD-"&amp;EK$11&amp;"'!B:R"),15,FALSE),"")</f>
        <v/>
      </c>
      <c r="EL50" s="96">
        <f>IFERROR(VLOOKUP($B50,INDIRECT("'GRD-"&amp;EL$11&amp;"'!B:R"),15,FALSE),"")</f>
        <v/>
      </c>
      <c r="EM50" s="96">
        <f>IFERROR(VLOOKUP($B50,INDIRECT("'GRD-"&amp;EM$11&amp;"'!B:R"),15,FALSE),"")</f>
        <v/>
      </c>
      <c r="EN50" s="96">
        <f>IFERROR(VLOOKUP($B50,INDIRECT("'GRD-"&amp;EN$11&amp;"'!B:R"),15,FALSE),"")</f>
        <v/>
      </c>
      <c r="EO50" s="96">
        <f>IFERROR(VLOOKUP($B50,INDIRECT("'GRD-"&amp;EO$11&amp;"'!B:R"),15,FALSE),"")</f>
        <v/>
      </c>
      <c r="EP50" s="96">
        <f>IFERROR(VLOOKUP($B50,INDIRECT("'GRD-"&amp;EP$11&amp;"'!B:R"),15,FALSE),"")</f>
        <v/>
      </c>
      <c r="EQ50" s="96">
        <f>IFERROR(VLOOKUP($B50,INDIRECT("'GRD-"&amp;EQ$11&amp;"'!B:R"),15,FALSE),"")</f>
        <v/>
      </c>
      <c r="ER50" s="96">
        <f>IFERROR(VLOOKUP($B50,INDIRECT("'GRD-"&amp;ER$11&amp;"'!B:R"),15,FALSE),"")</f>
        <v/>
      </c>
      <c r="ES50" s="96">
        <f>IFERROR(VLOOKUP($B50,INDIRECT("'GRD-"&amp;ES$11&amp;"'!B:R"),15,FALSE),"")</f>
        <v/>
      </c>
      <c r="ET50" s="96">
        <f>IFERROR(VLOOKUP($B50,INDIRECT("'GRD-"&amp;ET$11&amp;"'!B:R"),15,FALSE),"")</f>
        <v/>
      </c>
      <c r="EU50" s="96">
        <f>IFERROR(VLOOKUP($B50,INDIRECT("'GRD-"&amp;EU$11&amp;"'!B:R"),15,FALSE),"")</f>
        <v/>
      </c>
      <c r="EV50" s="96">
        <f>IFERROR(VLOOKUP($B50,INDIRECT("'GRD-"&amp;EV$11&amp;"'!B:R"),15,FALSE),"")</f>
        <v/>
      </c>
      <c r="EW50" s="96">
        <f>IFERROR(VLOOKUP($B50,INDIRECT("'GRD-"&amp;EW$11&amp;"'!B:R"),15,FALSE),"")</f>
        <v/>
      </c>
      <c r="EX50" s="96">
        <f>IFERROR(VLOOKUP($B50,INDIRECT("'GRD-"&amp;EX$11&amp;"'!B:R"),15,FALSE),"")</f>
        <v/>
      </c>
      <c r="EY50" s="96">
        <f>IFERROR(VLOOKUP($B50,INDIRECT("'GRD-"&amp;EY$11&amp;"'!B:R"),15,FALSE),"")</f>
        <v/>
      </c>
      <c r="EZ50" s="96">
        <f>IFERROR(VLOOKUP($B50,INDIRECT("'GRD-"&amp;EZ$11&amp;"'!B:R"),15,FALSE),"")</f>
        <v/>
      </c>
      <c r="FA50" s="96">
        <f>IFERROR(VLOOKUP($B50,INDIRECT("'GRD-"&amp;FA$11&amp;"'!B:R"),15,FALSE),"")</f>
        <v/>
      </c>
      <c r="FB50" s="96">
        <f>IFERROR(VLOOKUP($B50,INDIRECT("'GRD-"&amp;FB$11&amp;"'!B:R"),15,FALSE),"")</f>
        <v/>
      </c>
      <c r="FC50" s="96">
        <f>IFERROR(VLOOKUP($B50,INDIRECT("'GRD-"&amp;FC$11&amp;"'!B:R"),15,FALSE),"")</f>
        <v/>
      </c>
      <c r="FD50" s="96">
        <f>IFERROR(VLOOKUP($B50,INDIRECT("'GRD-"&amp;FD$11&amp;"'!B:R"),15,FALSE),"")</f>
        <v/>
      </c>
      <c r="FE50" s="96">
        <f>IFERROR(VLOOKUP($B50,INDIRECT("'GRD-"&amp;FE$11&amp;"'!B:R"),15,FALSE),"")</f>
        <v/>
      </c>
      <c r="FF50" s="96">
        <f>IFERROR(VLOOKUP($B50,INDIRECT("'GRD-"&amp;FF$11&amp;"'!B:R"),15,FALSE),"")</f>
        <v/>
      </c>
      <c r="FG50" s="96">
        <f>IFERROR(VLOOKUP($B50,INDIRECT("'GRD-"&amp;FG$11&amp;"'!B:R"),15,FALSE),"")</f>
        <v/>
      </c>
      <c r="FH50" s="96">
        <f>IFERROR(VLOOKUP($B50,INDIRECT("'GRD-"&amp;FH$11&amp;"'!B:R"),15,FALSE),"")</f>
        <v/>
      </c>
      <c r="FI50" s="96">
        <f>IFERROR(VLOOKUP($B50,INDIRECT("'GRD-"&amp;FI$11&amp;"'!B:R"),15,FALSE),"")</f>
        <v/>
      </c>
      <c r="FJ50" s="96">
        <f>IFERROR(VLOOKUP($B50,INDIRECT("'GRD-"&amp;FJ$11&amp;"'!B:R"),15,FALSE),"")</f>
        <v/>
      </c>
      <c r="FK50" s="96">
        <f>IFERROR(VLOOKUP($B50,INDIRECT("'GRD-"&amp;FK$11&amp;"'!B:R"),15,FALSE),"")</f>
        <v/>
      </c>
      <c r="FL50" s="96">
        <f>IFERROR(VLOOKUP($B50,INDIRECT("'GRD-"&amp;FL$11&amp;"'!B:R"),15,FALSE),"")</f>
        <v/>
      </c>
      <c r="FM50" s="96">
        <f>IFERROR(VLOOKUP($B50,INDIRECT("'GRD-"&amp;FM$11&amp;"'!B:R"),15,FALSE),"")</f>
        <v/>
      </c>
      <c r="FN50" s="96">
        <f>IFERROR(VLOOKUP($B50,INDIRECT("'GRD-"&amp;FN$11&amp;"'!B:R"),15,FALSE),"")</f>
        <v/>
      </c>
      <c r="FO50" s="96">
        <f>IFERROR(VLOOKUP($B50,INDIRECT("'GRD-"&amp;FO$11&amp;"'!B:R"),15,FALSE),"")</f>
        <v/>
      </c>
      <c r="FP50" s="96">
        <f>IFERROR(VLOOKUP($B50,INDIRECT("'GRD-"&amp;FP$11&amp;"'!B:R"),15,FALSE),"")</f>
        <v/>
      </c>
      <c r="FQ50" s="96">
        <f>IFERROR(VLOOKUP($B50,INDIRECT("'GRD-"&amp;FQ$11&amp;"'!B:R"),15,FALSE),"")</f>
        <v/>
      </c>
      <c r="FR50" s="96">
        <f>IFERROR(VLOOKUP($B50,INDIRECT("'GRD-"&amp;FR$11&amp;"'!B:R"),15,FALSE),"")</f>
        <v/>
      </c>
      <c r="FS50" s="96">
        <f>IFERROR(VLOOKUP($B50,INDIRECT("'GRD-"&amp;FS$11&amp;"'!B:R"),15,FALSE),"")</f>
        <v/>
      </c>
      <c r="FT50" s="96">
        <f>IFERROR(VLOOKUP($B50,INDIRECT("'GRD-"&amp;FT$11&amp;"'!B:R"),15,FALSE),"")</f>
        <v/>
      </c>
      <c r="FU50" s="96">
        <f>IFERROR(VLOOKUP($B50,INDIRECT("'GRD-"&amp;FU$11&amp;"'!B:R"),15,FALSE),"")</f>
        <v/>
      </c>
      <c r="FV50" s="96">
        <f>IFERROR(VLOOKUP($B50,INDIRECT("'GRD-"&amp;FV$11&amp;"'!B:R"),15,FALSE),"")</f>
        <v/>
      </c>
    </row>
    <row r="51">
      <c r="B51" s="68" t="n"/>
      <c r="C51" s="72" t="n"/>
      <c r="D51" s="73">
        <f>IF(K51="","",MAX($CA51:$FV51))</f>
        <v/>
      </c>
      <c r="E51" s="74">
        <f t="array" ref="E51">IF($K51="","",OFFSET($A$1,ROW($B51)-1,11+$D51*4,))</f>
        <v/>
      </c>
      <c r="F51" s="74">
        <f t="array" ref="F51">IF($K51="","",OFFSET($A$1,ROW($B51)-1,12+$D51*4,))</f>
        <v/>
      </c>
      <c r="G51" s="118">
        <f t="array" ref="G51">IF($K51="","",OFFSET($A$1,ROW($B51)-1,13+$D51*4,))</f>
        <v/>
      </c>
      <c r="H51" s="81" t="n"/>
      <c r="I51" s="82" t="n"/>
      <c r="J51" s="75">
        <f>IF(I51="A4",H51/8,IF(I51="A3",H51/4,IF(I51="A2",H51/2,IF(I51="A1",H51/1,IF(I51="A0",H51*2,"")))))</f>
        <v/>
      </c>
      <c r="K51" s="68">
        <f t="array" ref="K51">IFERROR(OFFSET($BZ$11,ROW($B51)-11,MATCH(K$10,$CA51:$FV51,0),),"")</f>
        <v/>
      </c>
      <c r="L51" s="85">
        <f>IF(K51="","",IF(VLOOKUP($B51,INDIRECT("'GRD-"&amp;M51&amp;"'!$B:$R"),16,FALSE)="","",VLOOKUP($B51,INDIRECT("'GRD-"&amp;M51&amp;"'!$B:$R"),16,FALSE)))</f>
        <v/>
      </c>
      <c r="M51" s="130">
        <f t="array" ref="M51">IF(K51="","",IFERROR(OFFSET($BZ$11,0,MATCH($K51,$CA51:$FV51,0),),""))</f>
        <v/>
      </c>
      <c r="N51" s="119">
        <f t="array" ref="N51">IF(K51="","",INDIRECT("'GRD-"&amp;M51&amp;"'!$L$7"))</f>
        <v/>
      </c>
      <c r="O51" s="76">
        <f t="array" ref="O51">IFERROR(OFFSET($BZ$11,ROW($B51)-11,MATCH(O$10,$CA51:$FV51,0),),"")</f>
        <v/>
      </c>
      <c r="P51" s="76">
        <f>IF(O51="","",IF(VLOOKUP($B51,INDIRECT("'GRD-"&amp;Q51&amp;"'!$B:$R"),16,FALSE)="","",VLOOKUP($B51,INDIRECT("'GRD-"&amp;Q51&amp;"'!$B:$R"),16,FALSE)))</f>
        <v/>
      </c>
      <c r="Q51" s="132">
        <f t="array" ref="Q51">IF(O51="","",IFERROR(OFFSET($BZ$11,0,MATCH($O51,$CA51:$FV51,0),),""))</f>
        <v/>
      </c>
      <c r="R51" s="121">
        <f t="array" ref="R51">IF(O51="","",INDIRECT("'GRD-"&amp;Q51&amp;"'!$L$7"))</f>
        <v/>
      </c>
      <c r="S51" s="83">
        <f t="array" ref="S51">IFERROR(OFFSET($BZ$11,ROW($B51)-11,MATCH(S$10,$CA51:$FV51,0),),"")</f>
        <v/>
      </c>
      <c r="T51" s="83">
        <f>IF(S51="","",IF(VLOOKUP($B51,INDIRECT("'GRD-"&amp;U51&amp;"'!$B:$R"),16,FALSE)="","",VLOOKUP($B51,INDIRECT("'GRD-"&amp;U51&amp;"'!$B:$R"),16,FALSE)))</f>
        <v/>
      </c>
      <c r="U51" s="128">
        <f t="array" ref="U51">IF(S51="","",IFERROR(OFFSET($BZ$11,0,MATCH($S51,$CA51:$FV51,0),),""))</f>
        <v/>
      </c>
      <c r="V51" s="133">
        <f t="array" ref="V51">IF(S51="","",INDIRECT("'GRD-"&amp;U51&amp;"'!$L$7"))</f>
        <v/>
      </c>
      <c r="W51" s="84">
        <f t="array" ref="W51">IFERROR(OFFSET($BZ$11,ROW($B51)-11,MATCH(W$10,$CA51:$FV51,0),),"")</f>
        <v/>
      </c>
      <c r="X51" s="84">
        <f>IF(W51="","",IF(VLOOKUP($B51,INDIRECT("'GRD-"&amp;Y51&amp;"'!$B:$R"),16,FALSE)="","",VLOOKUP($B51,INDIRECT("'GRD-"&amp;Y51&amp;"'!$B:$R"),16,FALSE)))</f>
        <v/>
      </c>
      <c r="Y51" s="129">
        <f t="array" ref="Y51">IF(W51="","",IFERROR(OFFSET($BZ$11,0,MATCH($W51,$CA51:$FV51,0),),""))</f>
        <v/>
      </c>
      <c r="Z51" s="134">
        <f t="array" ref="Z51">IF(W51="","",INDIRECT("'GRD-"&amp;Y51&amp;"'!$L$7"))</f>
        <v/>
      </c>
      <c r="AA51" s="85">
        <f t="array" ref="AA51">IFERROR(OFFSET($BZ$11,ROW($B51)-11,MATCH(AA$10,$CA51:$FV51,0),),"")</f>
        <v/>
      </c>
      <c r="AB51" s="85">
        <f>IF(AA51="","",IF(VLOOKUP($B51,INDIRECT("'GRD-"&amp;AC51&amp;"'!$B:$R"),16,FALSE)="","",VLOOKUP($B51,INDIRECT("'GRD-"&amp;AC51&amp;"'!$B:$R"),16,FALSE)))</f>
        <v/>
      </c>
      <c r="AC51" s="130">
        <f t="array" ref="AC51">IF(AA51="","",IFERROR(OFFSET($BZ$11,0,MATCH($AA51,$CA51:$FV51,0),),""))</f>
        <v/>
      </c>
      <c r="AD51" s="131">
        <f t="array" ref="AD51">IF(AA51="","",INDIRECT("'GRD-"&amp;AC51&amp;"'!$L$7"))</f>
        <v/>
      </c>
      <c r="AE51" s="76">
        <f t="array" ref="AE51">IFERROR(OFFSET($BZ$11,ROW($B51)-11,MATCH(AE$10,$CA51:$FV51,0),),"")</f>
        <v/>
      </c>
      <c r="AF51" s="76">
        <f>IF(AE51="","",IF(VLOOKUP($B51,INDIRECT("'GRD-"&amp;AG51&amp;"'!$B:$R"),16,FALSE)="","",VLOOKUP($B51,INDIRECT("'GRD-"&amp;AG51&amp;"'!$B:$R"),16,FALSE)))</f>
        <v/>
      </c>
      <c r="AG51" s="132">
        <f t="array" ref="AG51">IF(AE51="","",IFERROR(OFFSET($BZ$11,0,MATCH($AE51,$CA51:$FV51,0),),""))</f>
        <v/>
      </c>
      <c r="AH51" s="121">
        <f t="array" ref="AH51">IF(AE51="","",INDIRECT("'GRD-"&amp;AG51&amp;"'!$L$7"))</f>
        <v/>
      </c>
      <c r="AI51" s="83">
        <f t="array" ref="AI51">IFERROR(OFFSET($BZ$11,ROW($B51)-11,MATCH(AI$10,$CA51:$FV51,0),),"")</f>
        <v/>
      </c>
      <c r="AJ51" s="83">
        <f>IF(AI51="","",IF(VLOOKUP($B51,INDIRECT("'GRD-"&amp;AK51&amp;"'!$B:$R"),16,FALSE)="","",VLOOKUP($B51,INDIRECT("'GRD-"&amp;AK51&amp;"'!$B:$R"),16,FALSE)))</f>
        <v/>
      </c>
      <c r="AK51" s="128">
        <f t="array" ref="AK51">IF(AI51="","",IFERROR(OFFSET($BZ$11,0,MATCH($AI51,$CA51:$FV51,0),),""))</f>
        <v/>
      </c>
      <c r="AL51" s="133">
        <f t="array" ref="AL51">IF(AI51="","",INDIRECT("'GRD-"&amp;AK51&amp;"'!$L$7"))</f>
        <v/>
      </c>
      <c r="AM51" s="84">
        <f t="array" ref="AM51">IFERROR(OFFSET($BZ$11,ROW($B51)-11,MATCH(AM$10,$CA51:$FV51,0),),"")</f>
        <v/>
      </c>
      <c r="AN51" s="84">
        <f>IF(AM51="","",IF(VLOOKUP($B51,INDIRECT("'GRD-"&amp;AO51&amp;"'!$B:$R"),16,FALSE)="","",VLOOKUP($B51,INDIRECT("'GRD-"&amp;AO51&amp;"'!$B:$R"),16,FALSE)))</f>
        <v/>
      </c>
      <c r="AO51" s="129">
        <f t="array" ref="AO51">IF(AM51="","",IFERROR(OFFSET($BZ$11,0,MATCH($AM51,$CA51:$FV51,0),),""))</f>
        <v/>
      </c>
      <c r="AP51" s="134">
        <f t="array" ref="AP51">IF(AM51="","",INDIRECT("'GRD-"&amp;AO51&amp;"'!$L$7"))</f>
        <v/>
      </c>
      <c r="AQ51" s="85">
        <f t="array" ref="AQ51">IFERROR(OFFSET($BZ$11,ROW($B51)-11,MATCH(AQ$10,$CA51:$FV51,0),),"")</f>
        <v/>
      </c>
      <c r="AR51" s="85">
        <f>IF(AQ51="","",IF(VLOOKUP($B51,INDIRECT("'GRD-"&amp;AS51&amp;"'!$B:$R"),16,FALSE)="","",VLOOKUP($B51,INDIRECT("'GRD-"&amp;AS51&amp;"'!$B:$R"),16,FALSE)))</f>
        <v/>
      </c>
      <c r="AS51" s="130">
        <f t="array" ref="AS51">IF(AQ51="","",IFERROR(OFFSET($BZ$11,0,MATCH($AQ51,$CA51:$FV51,0),),""))</f>
        <v/>
      </c>
      <c r="AT51" s="131">
        <f t="array" ref="AT51">IF(AQ51="","",INDIRECT("'GRD-"&amp;AS51&amp;"'!$L$7"))</f>
        <v/>
      </c>
      <c r="AU51" s="76">
        <f t="array" ref="AU51">IFERROR(OFFSET($BZ$11,ROW($B51)-11,MATCH(AU$10,$CA51:$FV51,0),),"")</f>
        <v/>
      </c>
      <c r="AV51" s="76">
        <f>IF(AU51="","",IF(VLOOKUP($B51,INDIRECT("'GRD-"&amp;AW51&amp;"'!$B:$R"),16,FALSE)="","",VLOOKUP($B51,INDIRECT("'GRD-"&amp;AW51&amp;"'!$B:$R"),16,FALSE)))</f>
        <v/>
      </c>
      <c r="AW51" s="132">
        <f t="array" ref="AW51">IF(AU51="","",IFERROR(OFFSET($BZ$11,0,MATCH($AU51,$CA51:$FV51,0),),""))</f>
        <v/>
      </c>
      <c r="AX51" s="121">
        <f t="array" ref="AX51">IF(AU51="","",INDIRECT("'GRD-"&amp;AW51&amp;"'!$L$7"))</f>
        <v/>
      </c>
      <c r="AY51" s="83">
        <f t="array" ref="AY51">IFERROR(OFFSET($BZ$11,ROW($B51)-11,MATCH(AY$10,$CA51:$FV51,0),),"")</f>
        <v/>
      </c>
      <c r="AZ51" s="83">
        <f>IF(AY51="","",IF(VLOOKUP($B51,INDIRECT("'GRD-"&amp;BA51&amp;"'!$B:$R"),16,FALSE)="","",VLOOKUP($B51,INDIRECT("'GRD-"&amp;BA51&amp;"'!$B:$R"),16,FALSE)))</f>
        <v/>
      </c>
      <c r="BA51" s="128">
        <f t="array" ref="BA51">IF(AY51="","",IFERROR(OFFSET($BZ$11,0,MATCH($AY51,$CA51:$FV51,0),),""))</f>
        <v/>
      </c>
      <c r="BB51" s="133">
        <f t="array" ref="BB51">IF(AY51="","",INDIRECT("'GRD-"&amp;BA51&amp;"'!$L$7"))</f>
        <v/>
      </c>
      <c r="BC51" s="84">
        <f t="array" ref="BC51">IFERROR(OFFSET($BZ$11,ROW($B51)-11,MATCH(BC$10,$CA51:$FV51,0),),"")</f>
        <v/>
      </c>
      <c r="BD51" s="84">
        <f>IF(BC51="","",IF(VLOOKUP($B51,INDIRECT("'GRD-"&amp;BE51&amp;"'!$B:$R"),16,FALSE)="","",VLOOKUP($B51,INDIRECT("'GRD-"&amp;BE51&amp;"'!$B:$R"),16,FALSE)))</f>
        <v/>
      </c>
      <c r="BE51" s="129">
        <f t="array" ref="BE51">IF(BC51="","",IFERROR(OFFSET($BZ$11,0,MATCH($BC51,$CA51:$FV51,0),),""))</f>
        <v/>
      </c>
      <c r="BF51" s="134">
        <f t="array" ref="BF51">IF(BC51="","",INDIRECT("'GRD-"&amp;BE51&amp;"'!$L$7"))</f>
        <v/>
      </c>
      <c r="CA51" s="96">
        <f>IFERROR(VLOOKUP($B51,INDIRECT("'GRD-"&amp;CA$11&amp;"'!B:R"),15,FALSE),"")</f>
        <v/>
      </c>
      <c r="CB51" s="96">
        <f>IFERROR(VLOOKUP($B51,INDIRECT("'GRD-"&amp;CB$11&amp;"'!B:R"),15,FALSE),"")</f>
        <v/>
      </c>
      <c r="CC51" s="96">
        <f>IFERROR(VLOOKUP($B51,INDIRECT("'GRD-"&amp;CC$11&amp;"'!B:R"),15,FALSE),"")</f>
        <v/>
      </c>
      <c r="CD51" s="96">
        <f>IFERROR(VLOOKUP($B51,INDIRECT("'GRD-"&amp;CD$11&amp;"'!B:R"),15,FALSE),"")</f>
        <v/>
      </c>
      <c r="CE51" s="96">
        <f>IFERROR(VLOOKUP($B51,INDIRECT("'GRD-"&amp;CE$11&amp;"'!B:R"),15,FALSE),"")</f>
        <v/>
      </c>
      <c r="CF51" s="96">
        <f>IFERROR(VLOOKUP($B51,INDIRECT("'GRD-"&amp;CF$11&amp;"'!B:R"),15,FALSE),"")</f>
        <v/>
      </c>
      <c r="CG51" s="96">
        <f>IFERROR(VLOOKUP($B51,INDIRECT("'GRD-"&amp;CG$11&amp;"'!B:R"),15,FALSE),"")</f>
        <v/>
      </c>
      <c r="CH51" s="96">
        <f>IFERROR(VLOOKUP($B51,INDIRECT("'GRD-"&amp;CH$11&amp;"'!B:R"),15,FALSE),"")</f>
        <v/>
      </c>
      <c r="CI51" s="96">
        <f>IFERROR(VLOOKUP($B51,INDIRECT("'GRD-"&amp;CI$11&amp;"'!B:R"),15,FALSE),"")</f>
        <v/>
      </c>
      <c r="CJ51" s="96">
        <f>IFERROR(VLOOKUP($B51,INDIRECT("'GRD-"&amp;CJ$11&amp;"'!B:R"),15,FALSE),"")</f>
        <v/>
      </c>
      <c r="CK51" s="96">
        <f>IFERROR(VLOOKUP($B51,INDIRECT("'GRD-"&amp;CK$11&amp;"'!B:R"),15,FALSE),"")</f>
        <v/>
      </c>
      <c r="CL51" s="96">
        <f>IFERROR(VLOOKUP($B51,INDIRECT("'GRD-"&amp;CL$11&amp;"'!B:R"),15,FALSE),"")</f>
        <v/>
      </c>
      <c r="CM51" s="96">
        <f>IFERROR(VLOOKUP($B51,INDIRECT("'GRD-"&amp;CM$11&amp;"'!B:R"),15,FALSE),"")</f>
        <v/>
      </c>
      <c r="CN51" s="96">
        <f>IFERROR(VLOOKUP($B51,INDIRECT("'GRD-"&amp;CN$11&amp;"'!B:R"),15,FALSE),"")</f>
        <v/>
      </c>
      <c r="CO51" s="96">
        <f>IFERROR(VLOOKUP($B51,INDIRECT("'GRD-"&amp;CO$11&amp;"'!B:R"),15,FALSE),"")</f>
        <v/>
      </c>
      <c r="CP51" s="96">
        <f>IFERROR(VLOOKUP($B51,INDIRECT("'GRD-"&amp;CP$11&amp;"'!B:R"),15,FALSE),"")</f>
        <v/>
      </c>
      <c r="CQ51" s="96">
        <f>IFERROR(VLOOKUP($B51,INDIRECT("'GRD-"&amp;CQ$11&amp;"'!B:R"),15,FALSE),"")</f>
        <v/>
      </c>
      <c r="CR51" s="96">
        <f>IFERROR(VLOOKUP($B51,INDIRECT("'GRD-"&amp;CR$11&amp;"'!B:R"),15,FALSE),"")</f>
        <v/>
      </c>
      <c r="CS51" s="96">
        <f>IFERROR(VLOOKUP($B51,INDIRECT("'GRD-"&amp;CS$11&amp;"'!B:R"),15,FALSE),"")</f>
        <v/>
      </c>
      <c r="CT51" s="96">
        <f>IFERROR(VLOOKUP($B51,INDIRECT("'GRD-"&amp;CT$11&amp;"'!B:R"),15,FALSE),"")</f>
        <v/>
      </c>
      <c r="CU51" s="96">
        <f>IFERROR(VLOOKUP($B51,INDIRECT("'GRD-"&amp;CU$11&amp;"'!B:R"),15,FALSE),"")</f>
        <v/>
      </c>
      <c r="CV51" s="96">
        <f>IFERROR(VLOOKUP($B51,INDIRECT("'GRD-"&amp;CV$11&amp;"'!B:R"),15,FALSE),"")</f>
        <v/>
      </c>
      <c r="CW51" s="96">
        <f>IFERROR(VLOOKUP($B51,INDIRECT("'GRD-"&amp;CW$11&amp;"'!B:R"),15,FALSE),"")</f>
        <v/>
      </c>
      <c r="CX51" s="96">
        <f>IFERROR(VLOOKUP($B51,INDIRECT("'GRD-"&amp;CX$11&amp;"'!B:R"),15,FALSE),"")</f>
        <v/>
      </c>
      <c r="CY51" s="96">
        <f>IFERROR(VLOOKUP($B51,INDIRECT("'GRD-"&amp;CY$11&amp;"'!B:R"),15,FALSE),"")</f>
        <v/>
      </c>
      <c r="CZ51" s="96">
        <f>IFERROR(VLOOKUP($B51,INDIRECT("'GRD-"&amp;CZ$11&amp;"'!B:R"),15,FALSE),"")</f>
        <v/>
      </c>
      <c r="DA51" s="96">
        <f>IFERROR(VLOOKUP($B51,INDIRECT("'GRD-"&amp;DA$11&amp;"'!B:R"),15,FALSE),"")</f>
        <v/>
      </c>
      <c r="DB51" s="96">
        <f>IFERROR(VLOOKUP($B51,INDIRECT("'GRD-"&amp;DB$11&amp;"'!B:R"),15,FALSE),"")</f>
        <v/>
      </c>
      <c r="DC51" s="96">
        <f>IFERROR(VLOOKUP($B51,INDIRECT("'GRD-"&amp;DC$11&amp;"'!B:R"),15,FALSE),"")</f>
        <v/>
      </c>
      <c r="DD51" s="96">
        <f>IFERROR(VLOOKUP($B51,INDIRECT("'GRD-"&amp;DD$11&amp;"'!B:R"),15,FALSE),"")</f>
        <v/>
      </c>
      <c r="DE51" s="96">
        <f>IFERROR(VLOOKUP($B51,INDIRECT("'GRD-"&amp;DE$11&amp;"'!B:R"),15,FALSE),"")</f>
        <v/>
      </c>
      <c r="DF51" s="96">
        <f>IFERROR(VLOOKUP($B51,INDIRECT("'GRD-"&amp;DF$11&amp;"'!B:R"),15,FALSE),"")</f>
        <v/>
      </c>
      <c r="DG51" s="96">
        <f>IFERROR(VLOOKUP($B51,INDIRECT("'GRD-"&amp;DG$11&amp;"'!B:R"),15,FALSE),"")</f>
        <v/>
      </c>
      <c r="DH51" s="96">
        <f>IFERROR(VLOOKUP($B51,INDIRECT("'GRD-"&amp;DH$11&amp;"'!B:R"),15,FALSE),"")</f>
        <v/>
      </c>
      <c r="DI51" s="96">
        <f>IFERROR(VLOOKUP($B51,INDIRECT("'GRD-"&amp;DI$11&amp;"'!B:R"),15,FALSE),"")</f>
        <v/>
      </c>
      <c r="DJ51" s="96">
        <f>IFERROR(VLOOKUP($B51,INDIRECT("'GRD-"&amp;DJ$11&amp;"'!B:R"),15,FALSE),"")</f>
        <v/>
      </c>
      <c r="DK51" s="96">
        <f>IFERROR(VLOOKUP($B51,INDIRECT("'GRD-"&amp;DK$11&amp;"'!B:R"),15,FALSE),"")</f>
        <v/>
      </c>
      <c r="DL51" s="96">
        <f>IFERROR(VLOOKUP($B51,INDIRECT("'GRD-"&amp;DL$11&amp;"'!B:R"),15,FALSE),"")</f>
        <v/>
      </c>
      <c r="DM51" s="96">
        <f>IFERROR(VLOOKUP($B51,INDIRECT("'GRD-"&amp;DM$11&amp;"'!B:R"),15,FALSE),"")</f>
        <v/>
      </c>
      <c r="DN51" s="96">
        <f>IFERROR(VLOOKUP($B51,INDIRECT("'GRD-"&amp;DN$11&amp;"'!B:R"),15,FALSE),"")</f>
        <v/>
      </c>
      <c r="DO51" s="96">
        <f>IFERROR(VLOOKUP($B51,INDIRECT("'GRD-"&amp;DO$11&amp;"'!B:R"),15,FALSE),"")</f>
        <v/>
      </c>
      <c r="DP51" s="96">
        <f>IFERROR(VLOOKUP($B51,INDIRECT("'GRD-"&amp;DP$11&amp;"'!B:R"),15,FALSE),"")</f>
        <v/>
      </c>
      <c r="DQ51" s="96">
        <f>IFERROR(VLOOKUP($B51,INDIRECT("'GRD-"&amp;DQ$11&amp;"'!B:R"),15,FALSE),"")</f>
        <v/>
      </c>
      <c r="DR51" s="96">
        <f>IFERROR(VLOOKUP($B51,INDIRECT("'GRD-"&amp;DR$11&amp;"'!B:R"),15,FALSE),"")</f>
        <v/>
      </c>
      <c r="DS51" s="96">
        <f>IFERROR(VLOOKUP($B51,INDIRECT("'GRD-"&amp;DS$11&amp;"'!B:R"),15,FALSE),"")</f>
        <v/>
      </c>
      <c r="DT51" s="96">
        <f>IFERROR(VLOOKUP($B51,INDIRECT("'GRD-"&amp;DT$11&amp;"'!B:R"),15,FALSE),"")</f>
        <v/>
      </c>
      <c r="DU51" s="96">
        <f>IFERROR(VLOOKUP($B51,INDIRECT("'GRD-"&amp;DU$11&amp;"'!B:R"),15,FALSE),"")</f>
        <v/>
      </c>
      <c r="DV51" s="96">
        <f>IFERROR(VLOOKUP($B51,INDIRECT("'GRD-"&amp;DV$11&amp;"'!B:R"),15,FALSE),"")</f>
        <v/>
      </c>
      <c r="DW51" s="96">
        <f>IFERROR(VLOOKUP($B51,INDIRECT("'GRD-"&amp;DW$11&amp;"'!B:R"),15,FALSE),"")</f>
        <v/>
      </c>
      <c r="DX51" s="96">
        <f>IFERROR(VLOOKUP($B51,INDIRECT("'GRD-"&amp;DX$11&amp;"'!B:R"),15,FALSE),"")</f>
        <v/>
      </c>
      <c r="DY51" s="96">
        <f>IFERROR(VLOOKUP($B51,INDIRECT("'GRD-"&amp;DY$11&amp;"'!B:R"),15,FALSE),"")</f>
        <v/>
      </c>
      <c r="DZ51" s="96">
        <f>IFERROR(VLOOKUP($B51,INDIRECT("'GRD-"&amp;DZ$11&amp;"'!B:R"),15,FALSE),"")</f>
        <v/>
      </c>
      <c r="EA51" s="96">
        <f>IFERROR(VLOOKUP($B51,INDIRECT("'GRD-"&amp;EA$11&amp;"'!B:R"),15,FALSE),"")</f>
        <v/>
      </c>
      <c r="EB51" s="96">
        <f>IFERROR(VLOOKUP($B51,INDIRECT("'GRD-"&amp;EB$11&amp;"'!B:R"),15,FALSE),"")</f>
        <v/>
      </c>
      <c r="EC51" s="96">
        <f>IFERROR(VLOOKUP($B51,INDIRECT("'GRD-"&amp;EC$11&amp;"'!B:R"),15,FALSE),"")</f>
        <v/>
      </c>
      <c r="ED51" s="96">
        <f>IFERROR(VLOOKUP($B51,INDIRECT("'GRD-"&amp;ED$11&amp;"'!B:R"),15,FALSE),"")</f>
        <v/>
      </c>
      <c r="EE51" s="96">
        <f>IFERROR(VLOOKUP($B51,INDIRECT("'GRD-"&amp;EE$11&amp;"'!B:R"),15,FALSE),"")</f>
        <v/>
      </c>
      <c r="EF51" s="96">
        <f>IFERROR(VLOOKUP($B51,INDIRECT("'GRD-"&amp;EF$11&amp;"'!B:R"),15,FALSE),"")</f>
        <v/>
      </c>
      <c r="EG51" s="96">
        <f>IFERROR(VLOOKUP($B51,INDIRECT("'GRD-"&amp;EG$11&amp;"'!B:R"),15,FALSE),"")</f>
        <v/>
      </c>
      <c r="EH51" s="96">
        <f>IFERROR(VLOOKUP($B51,INDIRECT("'GRD-"&amp;EH$11&amp;"'!B:R"),15,FALSE),"")</f>
        <v/>
      </c>
      <c r="EI51" s="96">
        <f>IFERROR(VLOOKUP($B51,INDIRECT("'GRD-"&amp;EI$11&amp;"'!B:R"),15,FALSE),"")</f>
        <v/>
      </c>
      <c r="EJ51" s="96">
        <f>IFERROR(VLOOKUP($B51,INDIRECT("'GRD-"&amp;EJ$11&amp;"'!B:R"),15,FALSE),"")</f>
        <v/>
      </c>
      <c r="EK51" s="96">
        <f>IFERROR(VLOOKUP($B51,INDIRECT("'GRD-"&amp;EK$11&amp;"'!B:R"),15,FALSE),"")</f>
        <v/>
      </c>
      <c r="EL51" s="96">
        <f>IFERROR(VLOOKUP($B51,INDIRECT("'GRD-"&amp;EL$11&amp;"'!B:R"),15,FALSE),"")</f>
        <v/>
      </c>
      <c r="EM51" s="96">
        <f>IFERROR(VLOOKUP($B51,INDIRECT("'GRD-"&amp;EM$11&amp;"'!B:R"),15,FALSE),"")</f>
        <v/>
      </c>
      <c r="EN51" s="96">
        <f>IFERROR(VLOOKUP($B51,INDIRECT("'GRD-"&amp;EN$11&amp;"'!B:R"),15,FALSE),"")</f>
        <v/>
      </c>
      <c r="EO51" s="96">
        <f>IFERROR(VLOOKUP($B51,INDIRECT("'GRD-"&amp;EO$11&amp;"'!B:R"),15,FALSE),"")</f>
        <v/>
      </c>
      <c r="EP51" s="96">
        <f>IFERROR(VLOOKUP($B51,INDIRECT("'GRD-"&amp;EP$11&amp;"'!B:R"),15,FALSE),"")</f>
        <v/>
      </c>
      <c r="EQ51" s="96">
        <f>IFERROR(VLOOKUP($B51,INDIRECT("'GRD-"&amp;EQ$11&amp;"'!B:R"),15,FALSE),"")</f>
        <v/>
      </c>
      <c r="ER51" s="96">
        <f>IFERROR(VLOOKUP($B51,INDIRECT("'GRD-"&amp;ER$11&amp;"'!B:R"),15,FALSE),"")</f>
        <v/>
      </c>
      <c r="ES51" s="96">
        <f>IFERROR(VLOOKUP($B51,INDIRECT("'GRD-"&amp;ES$11&amp;"'!B:R"),15,FALSE),"")</f>
        <v/>
      </c>
      <c r="ET51" s="96">
        <f>IFERROR(VLOOKUP($B51,INDIRECT("'GRD-"&amp;ET$11&amp;"'!B:R"),15,FALSE),"")</f>
        <v/>
      </c>
      <c r="EU51" s="96">
        <f>IFERROR(VLOOKUP($B51,INDIRECT("'GRD-"&amp;EU$11&amp;"'!B:R"),15,FALSE),"")</f>
        <v/>
      </c>
      <c r="EV51" s="96">
        <f>IFERROR(VLOOKUP($B51,INDIRECT("'GRD-"&amp;EV$11&amp;"'!B:R"),15,FALSE),"")</f>
        <v/>
      </c>
      <c r="EW51" s="96">
        <f>IFERROR(VLOOKUP($B51,INDIRECT("'GRD-"&amp;EW$11&amp;"'!B:R"),15,FALSE),"")</f>
        <v/>
      </c>
      <c r="EX51" s="96">
        <f>IFERROR(VLOOKUP($B51,INDIRECT("'GRD-"&amp;EX$11&amp;"'!B:R"),15,FALSE),"")</f>
        <v/>
      </c>
      <c r="EY51" s="96">
        <f>IFERROR(VLOOKUP($B51,INDIRECT("'GRD-"&amp;EY$11&amp;"'!B:R"),15,FALSE),"")</f>
        <v/>
      </c>
      <c r="EZ51" s="96">
        <f>IFERROR(VLOOKUP($B51,INDIRECT("'GRD-"&amp;EZ$11&amp;"'!B:R"),15,FALSE),"")</f>
        <v/>
      </c>
      <c r="FA51" s="96">
        <f>IFERROR(VLOOKUP($B51,INDIRECT("'GRD-"&amp;FA$11&amp;"'!B:R"),15,FALSE),"")</f>
        <v/>
      </c>
      <c r="FB51" s="96">
        <f>IFERROR(VLOOKUP($B51,INDIRECT("'GRD-"&amp;FB$11&amp;"'!B:R"),15,FALSE),"")</f>
        <v/>
      </c>
      <c r="FC51" s="96">
        <f>IFERROR(VLOOKUP($B51,INDIRECT("'GRD-"&amp;FC$11&amp;"'!B:R"),15,FALSE),"")</f>
        <v/>
      </c>
      <c r="FD51" s="96">
        <f>IFERROR(VLOOKUP($B51,INDIRECT("'GRD-"&amp;FD$11&amp;"'!B:R"),15,FALSE),"")</f>
        <v/>
      </c>
      <c r="FE51" s="96">
        <f>IFERROR(VLOOKUP($B51,INDIRECT("'GRD-"&amp;FE$11&amp;"'!B:R"),15,FALSE),"")</f>
        <v/>
      </c>
      <c r="FF51" s="96">
        <f>IFERROR(VLOOKUP($B51,INDIRECT("'GRD-"&amp;FF$11&amp;"'!B:R"),15,FALSE),"")</f>
        <v/>
      </c>
      <c r="FG51" s="96">
        <f>IFERROR(VLOOKUP($B51,INDIRECT("'GRD-"&amp;FG$11&amp;"'!B:R"),15,FALSE),"")</f>
        <v/>
      </c>
      <c r="FH51" s="96">
        <f>IFERROR(VLOOKUP($B51,INDIRECT("'GRD-"&amp;FH$11&amp;"'!B:R"),15,FALSE),"")</f>
        <v/>
      </c>
      <c r="FI51" s="96">
        <f>IFERROR(VLOOKUP($B51,INDIRECT("'GRD-"&amp;FI$11&amp;"'!B:R"),15,FALSE),"")</f>
        <v/>
      </c>
      <c r="FJ51" s="96">
        <f>IFERROR(VLOOKUP($B51,INDIRECT("'GRD-"&amp;FJ$11&amp;"'!B:R"),15,FALSE),"")</f>
        <v/>
      </c>
      <c r="FK51" s="96">
        <f>IFERROR(VLOOKUP($B51,INDIRECT("'GRD-"&amp;FK$11&amp;"'!B:R"),15,FALSE),"")</f>
        <v/>
      </c>
      <c r="FL51" s="96">
        <f>IFERROR(VLOOKUP($B51,INDIRECT("'GRD-"&amp;FL$11&amp;"'!B:R"),15,FALSE),"")</f>
        <v/>
      </c>
      <c r="FM51" s="96">
        <f>IFERROR(VLOOKUP($B51,INDIRECT("'GRD-"&amp;FM$11&amp;"'!B:R"),15,FALSE),"")</f>
        <v/>
      </c>
      <c r="FN51" s="96">
        <f>IFERROR(VLOOKUP($B51,INDIRECT("'GRD-"&amp;FN$11&amp;"'!B:R"),15,FALSE),"")</f>
        <v/>
      </c>
      <c r="FO51" s="96">
        <f>IFERROR(VLOOKUP($B51,INDIRECT("'GRD-"&amp;FO$11&amp;"'!B:R"),15,FALSE),"")</f>
        <v/>
      </c>
      <c r="FP51" s="96">
        <f>IFERROR(VLOOKUP($B51,INDIRECT("'GRD-"&amp;FP$11&amp;"'!B:R"),15,FALSE),"")</f>
        <v/>
      </c>
      <c r="FQ51" s="96">
        <f>IFERROR(VLOOKUP($B51,INDIRECT("'GRD-"&amp;FQ$11&amp;"'!B:R"),15,FALSE),"")</f>
        <v/>
      </c>
      <c r="FR51" s="96">
        <f>IFERROR(VLOOKUP($B51,INDIRECT("'GRD-"&amp;FR$11&amp;"'!B:R"),15,FALSE),"")</f>
        <v/>
      </c>
      <c r="FS51" s="96">
        <f>IFERROR(VLOOKUP($B51,INDIRECT("'GRD-"&amp;FS$11&amp;"'!B:R"),15,FALSE),"")</f>
        <v/>
      </c>
      <c r="FT51" s="96">
        <f>IFERROR(VLOOKUP($B51,INDIRECT("'GRD-"&amp;FT$11&amp;"'!B:R"),15,FALSE),"")</f>
        <v/>
      </c>
      <c r="FU51" s="96">
        <f>IFERROR(VLOOKUP($B51,INDIRECT("'GRD-"&amp;FU$11&amp;"'!B:R"),15,FALSE),"")</f>
        <v/>
      </c>
      <c r="FV51" s="96">
        <f>IFERROR(VLOOKUP($B51,INDIRECT("'GRD-"&amp;FV$11&amp;"'!B:R"),15,FALSE),"")</f>
        <v/>
      </c>
    </row>
    <row r="52">
      <c r="B52" s="68" t="n"/>
      <c r="C52" s="72" t="n"/>
      <c r="D52" s="73">
        <f>IF(K52="","",MAX($CA52:$FV52))</f>
        <v/>
      </c>
      <c r="E52" s="74">
        <f t="array" ref="E52">IF($K52="","",OFFSET($A$1,ROW($B52)-1,11+$D52*4,))</f>
        <v/>
      </c>
      <c r="F52" s="74">
        <f t="array" ref="F52">IF($K52="","",OFFSET($A$1,ROW($B52)-1,12+$D52*4,))</f>
        <v/>
      </c>
      <c r="G52" s="118">
        <f t="array" ref="G52">IF($K52="","",OFFSET($A$1,ROW($B52)-1,13+$D52*4,))</f>
        <v/>
      </c>
      <c r="H52" s="81" t="n"/>
      <c r="I52" s="82" t="n"/>
      <c r="J52" s="75">
        <f>IF(I52="A4",H52/8,IF(I52="A3",H52/4,IF(I52="A2",H52/2,IF(I52="A1",H52/1,IF(I52="A0",H52*2,"")))))</f>
        <v/>
      </c>
      <c r="K52" s="68">
        <f t="array" ref="K52">IFERROR(OFFSET($BZ$11,ROW($B52)-11,MATCH(K$10,$CA52:$FV52,0),),"")</f>
        <v/>
      </c>
      <c r="L52" s="85">
        <f>IF(K52="","",IF(VLOOKUP($B52,INDIRECT("'GRD-"&amp;M52&amp;"'!$B:$R"),16,FALSE)="","",VLOOKUP($B52,INDIRECT("'GRD-"&amp;M52&amp;"'!$B:$R"),16,FALSE)))</f>
        <v/>
      </c>
      <c r="M52" s="130">
        <f t="array" ref="M52">IF(K52="","",IFERROR(OFFSET($BZ$11,0,MATCH($K52,$CA52:$FV52,0),),""))</f>
        <v/>
      </c>
      <c r="N52" s="119">
        <f t="array" ref="N52">IF(K52="","",INDIRECT("'GRD-"&amp;M52&amp;"'!$L$7"))</f>
        <v/>
      </c>
      <c r="O52" s="76">
        <f t="array" ref="O52">IFERROR(OFFSET($BZ$11,ROW($B52)-11,MATCH(O$10,$CA52:$FV52,0),),"")</f>
        <v/>
      </c>
      <c r="P52" s="76">
        <f>IF(O52="","",IF(VLOOKUP($B52,INDIRECT("'GRD-"&amp;Q52&amp;"'!$B:$R"),16,FALSE)="","",VLOOKUP($B52,INDIRECT("'GRD-"&amp;Q52&amp;"'!$B:$R"),16,FALSE)))</f>
        <v/>
      </c>
      <c r="Q52" s="132">
        <f t="array" ref="Q52">IF(O52="","",IFERROR(OFFSET($BZ$11,0,MATCH($O52,$CA52:$FV52,0),),""))</f>
        <v/>
      </c>
      <c r="R52" s="121">
        <f t="array" ref="R52">IF(O52="","",INDIRECT("'GRD-"&amp;Q52&amp;"'!$L$7"))</f>
        <v/>
      </c>
      <c r="S52" s="83">
        <f t="array" ref="S52">IFERROR(OFFSET($BZ$11,ROW($B52)-11,MATCH(S$10,$CA52:$FV52,0),),"")</f>
        <v/>
      </c>
      <c r="T52" s="83">
        <f>IF(S52="","",IF(VLOOKUP($B52,INDIRECT("'GRD-"&amp;U52&amp;"'!$B:$R"),16,FALSE)="","",VLOOKUP($B52,INDIRECT("'GRD-"&amp;U52&amp;"'!$B:$R"),16,FALSE)))</f>
        <v/>
      </c>
      <c r="U52" s="128">
        <f t="array" ref="U52">IF(S52="","",IFERROR(OFFSET($BZ$11,0,MATCH($S52,$CA52:$FV52,0),),""))</f>
        <v/>
      </c>
      <c r="V52" s="133">
        <f t="array" ref="V52">IF(S52="","",INDIRECT("'GRD-"&amp;U52&amp;"'!$L$7"))</f>
        <v/>
      </c>
      <c r="W52" s="84">
        <f t="array" ref="W52">IFERROR(OFFSET($BZ$11,ROW($B52)-11,MATCH(W$10,$CA52:$FV52,0),),"")</f>
        <v/>
      </c>
      <c r="X52" s="84">
        <f>IF(W52="","",IF(VLOOKUP($B52,INDIRECT("'GRD-"&amp;Y52&amp;"'!$B:$R"),16,FALSE)="","",VLOOKUP($B52,INDIRECT("'GRD-"&amp;Y52&amp;"'!$B:$R"),16,FALSE)))</f>
        <v/>
      </c>
      <c r="Y52" s="129">
        <f t="array" ref="Y52">IF(W52="","",IFERROR(OFFSET($BZ$11,0,MATCH($W52,$CA52:$FV52,0),),""))</f>
        <v/>
      </c>
      <c r="Z52" s="134">
        <f t="array" ref="Z52">IF(W52="","",INDIRECT("'GRD-"&amp;Y52&amp;"'!$L$7"))</f>
        <v/>
      </c>
      <c r="AA52" s="85">
        <f t="array" ref="AA52">IFERROR(OFFSET($BZ$11,ROW($B52)-11,MATCH(AA$10,$CA52:$FV52,0),),"")</f>
        <v/>
      </c>
      <c r="AB52" s="85">
        <f>IF(AA52="","",IF(VLOOKUP($B52,INDIRECT("'GRD-"&amp;AC52&amp;"'!$B:$R"),16,FALSE)="","",VLOOKUP($B52,INDIRECT("'GRD-"&amp;AC52&amp;"'!$B:$R"),16,FALSE)))</f>
        <v/>
      </c>
      <c r="AC52" s="130">
        <f t="array" ref="AC52">IF(AA52="","",IFERROR(OFFSET($BZ$11,0,MATCH($AA52,$CA52:$FV52,0),),""))</f>
        <v/>
      </c>
      <c r="AD52" s="131">
        <f t="array" ref="AD52">IF(AA52="","",INDIRECT("'GRD-"&amp;AC52&amp;"'!$L$7"))</f>
        <v/>
      </c>
      <c r="AE52" s="76">
        <f t="array" ref="AE52">IFERROR(OFFSET($BZ$11,ROW($B52)-11,MATCH(AE$10,$CA52:$FV52,0),),"")</f>
        <v/>
      </c>
      <c r="AF52" s="76">
        <f>IF(AE52="","",IF(VLOOKUP($B52,INDIRECT("'GRD-"&amp;AG52&amp;"'!$B:$R"),16,FALSE)="","",VLOOKUP($B52,INDIRECT("'GRD-"&amp;AG52&amp;"'!$B:$R"),16,FALSE)))</f>
        <v/>
      </c>
      <c r="AG52" s="132">
        <f t="array" ref="AG52">IF(AE52="","",IFERROR(OFFSET($BZ$11,0,MATCH($AE52,$CA52:$FV52,0),),""))</f>
        <v/>
      </c>
      <c r="AH52" s="121">
        <f t="array" ref="AH52">IF(AE52="","",INDIRECT("'GRD-"&amp;AG52&amp;"'!$L$7"))</f>
        <v/>
      </c>
      <c r="AI52" s="83">
        <f t="array" ref="AI52">IFERROR(OFFSET($BZ$11,ROW($B52)-11,MATCH(AI$10,$CA52:$FV52,0),),"")</f>
        <v/>
      </c>
      <c r="AJ52" s="83">
        <f>IF(AI52="","",IF(VLOOKUP($B52,INDIRECT("'GRD-"&amp;AK52&amp;"'!$B:$R"),16,FALSE)="","",VLOOKUP($B52,INDIRECT("'GRD-"&amp;AK52&amp;"'!$B:$R"),16,FALSE)))</f>
        <v/>
      </c>
      <c r="AK52" s="128">
        <f t="array" ref="AK52">IF(AI52="","",IFERROR(OFFSET($BZ$11,0,MATCH($AI52,$CA52:$FV52,0),),""))</f>
        <v/>
      </c>
      <c r="AL52" s="133">
        <f t="array" ref="AL52">IF(AI52="","",INDIRECT("'GRD-"&amp;AK52&amp;"'!$L$7"))</f>
        <v/>
      </c>
      <c r="AM52" s="84">
        <f t="array" ref="AM52">IFERROR(OFFSET($BZ$11,ROW($B52)-11,MATCH(AM$10,$CA52:$FV52,0),),"")</f>
        <v/>
      </c>
      <c r="AN52" s="84">
        <f>IF(AM52="","",IF(VLOOKUP($B52,INDIRECT("'GRD-"&amp;AO52&amp;"'!$B:$R"),16,FALSE)="","",VLOOKUP($B52,INDIRECT("'GRD-"&amp;AO52&amp;"'!$B:$R"),16,FALSE)))</f>
        <v/>
      </c>
      <c r="AO52" s="129">
        <f t="array" ref="AO52">IF(AM52="","",IFERROR(OFFSET($BZ$11,0,MATCH($AM52,$CA52:$FV52,0),),""))</f>
        <v/>
      </c>
      <c r="AP52" s="134">
        <f t="array" ref="AP52">IF(AM52="","",INDIRECT("'GRD-"&amp;AO52&amp;"'!$L$7"))</f>
        <v/>
      </c>
      <c r="AQ52" s="85">
        <f t="array" ref="AQ52">IFERROR(OFFSET($BZ$11,ROW($B52)-11,MATCH(AQ$10,$CA52:$FV52,0),),"")</f>
        <v/>
      </c>
      <c r="AR52" s="85">
        <f>IF(AQ52="","",IF(VLOOKUP($B52,INDIRECT("'GRD-"&amp;AS52&amp;"'!$B:$R"),16,FALSE)="","",VLOOKUP($B52,INDIRECT("'GRD-"&amp;AS52&amp;"'!$B:$R"),16,FALSE)))</f>
        <v/>
      </c>
      <c r="AS52" s="130">
        <f t="array" ref="AS52">IF(AQ52="","",IFERROR(OFFSET($BZ$11,0,MATCH($AQ52,$CA52:$FV52,0),),""))</f>
        <v/>
      </c>
      <c r="AT52" s="131">
        <f t="array" ref="AT52">IF(AQ52="","",INDIRECT("'GRD-"&amp;AS52&amp;"'!$L$7"))</f>
        <v/>
      </c>
      <c r="AU52" s="76">
        <f t="array" ref="AU52">IFERROR(OFFSET($BZ$11,ROW($B52)-11,MATCH(AU$10,$CA52:$FV52,0),),"")</f>
        <v/>
      </c>
      <c r="AV52" s="76">
        <f>IF(AU52="","",IF(VLOOKUP($B52,INDIRECT("'GRD-"&amp;AW52&amp;"'!$B:$R"),16,FALSE)="","",VLOOKUP($B52,INDIRECT("'GRD-"&amp;AW52&amp;"'!$B:$R"),16,FALSE)))</f>
        <v/>
      </c>
      <c r="AW52" s="132">
        <f t="array" ref="AW52">IF(AU52="","",IFERROR(OFFSET($BZ$11,0,MATCH($AU52,$CA52:$FV52,0),),""))</f>
        <v/>
      </c>
      <c r="AX52" s="121">
        <f t="array" ref="AX52">IF(AU52="","",INDIRECT("'GRD-"&amp;AW52&amp;"'!$L$7"))</f>
        <v/>
      </c>
      <c r="AY52" s="83">
        <f t="array" ref="AY52">IFERROR(OFFSET($BZ$11,ROW($B52)-11,MATCH(AY$10,$CA52:$FV52,0),),"")</f>
        <v/>
      </c>
      <c r="AZ52" s="83">
        <f>IF(AY52="","",IF(VLOOKUP($B52,INDIRECT("'GRD-"&amp;BA52&amp;"'!$B:$R"),16,FALSE)="","",VLOOKUP($B52,INDIRECT("'GRD-"&amp;BA52&amp;"'!$B:$R"),16,FALSE)))</f>
        <v/>
      </c>
      <c r="BA52" s="128">
        <f t="array" ref="BA52">IF(AY52="","",IFERROR(OFFSET($BZ$11,0,MATCH($AY52,$CA52:$FV52,0),),""))</f>
        <v/>
      </c>
      <c r="BB52" s="133">
        <f t="array" ref="BB52">IF(AY52="","",INDIRECT("'GRD-"&amp;BA52&amp;"'!$L$7"))</f>
        <v/>
      </c>
      <c r="BC52" s="84">
        <f t="array" ref="BC52">IFERROR(OFFSET($BZ$11,ROW($B52)-11,MATCH(BC$10,$CA52:$FV52,0),),"")</f>
        <v/>
      </c>
      <c r="BD52" s="84">
        <f>IF(BC52="","",IF(VLOOKUP($B52,INDIRECT("'GRD-"&amp;BE52&amp;"'!$B:$R"),16,FALSE)="","",VLOOKUP($B52,INDIRECT("'GRD-"&amp;BE52&amp;"'!$B:$R"),16,FALSE)))</f>
        <v/>
      </c>
      <c r="BE52" s="129">
        <f t="array" ref="BE52">IF(BC52="","",IFERROR(OFFSET($BZ$11,0,MATCH($BC52,$CA52:$FV52,0),),""))</f>
        <v/>
      </c>
      <c r="BF52" s="134">
        <f t="array" ref="BF52">IF(BC52="","",INDIRECT("'GRD-"&amp;BE52&amp;"'!$L$7"))</f>
        <v/>
      </c>
      <c r="CA52" s="96">
        <f>IFERROR(VLOOKUP($B52,INDIRECT("'GRD-"&amp;CA$11&amp;"'!B:R"),15,FALSE),"")</f>
        <v/>
      </c>
      <c r="CB52" s="96">
        <f>IFERROR(VLOOKUP($B52,INDIRECT("'GRD-"&amp;CB$11&amp;"'!B:R"),15,FALSE),"")</f>
        <v/>
      </c>
      <c r="CC52" s="96">
        <f>IFERROR(VLOOKUP($B52,INDIRECT("'GRD-"&amp;CC$11&amp;"'!B:R"),15,FALSE),"")</f>
        <v/>
      </c>
      <c r="CD52" s="96">
        <f>IFERROR(VLOOKUP($B52,INDIRECT("'GRD-"&amp;CD$11&amp;"'!B:R"),15,FALSE),"")</f>
        <v/>
      </c>
      <c r="CE52" s="96">
        <f>IFERROR(VLOOKUP($B52,INDIRECT("'GRD-"&amp;CE$11&amp;"'!B:R"),15,FALSE),"")</f>
        <v/>
      </c>
      <c r="CF52" s="96">
        <f>IFERROR(VLOOKUP($B52,INDIRECT("'GRD-"&amp;CF$11&amp;"'!B:R"),15,FALSE),"")</f>
        <v/>
      </c>
      <c r="CG52" s="96">
        <f>IFERROR(VLOOKUP($B52,INDIRECT("'GRD-"&amp;CG$11&amp;"'!B:R"),15,FALSE),"")</f>
        <v/>
      </c>
      <c r="CH52" s="96">
        <f>IFERROR(VLOOKUP($B52,INDIRECT("'GRD-"&amp;CH$11&amp;"'!B:R"),15,FALSE),"")</f>
        <v/>
      </c>
      <c r="CI52" s="96">
        <f>IFERROR(VLOOKUP($B52,INDIRECT("'GRD-"&amp;CI$11&amp;"'!B:R"),15,FALSE),"")</f>
        <v/>
      </c>
      <c r="CJ52" s="96">
        <f>IFERROR(VLOOKUP($B52,INDIRECT("'GRD-"&amp;CJ$11&amp;"'!B:R"),15,FALSE),"")</f>
        <v/>
      </c>
      <c r="CK52" s="96">
        <f>IFERROR(VLOOKUP($B52,INDIRECT("'GRD-"&amp;CK$11&amp;"'!B:R"),15,FALSE),"")</f>
        <v/>
      </c>
      <c r="CL52" s="96">
        <f>IFERROR(VLOOKUP($B52,INDIRECT("'GRD-"&amp;CL$11&amp;"'!B:R"),15,FALSE),"")</f>
        <v/>
      </c>
      <c r="CM52" s="96">
        <f>IFERROR(VLOOKUP($B52,INDIRECT("'GRD-"&amp;CM$11&amp;"'!B:R"),15,FALSE),"")</f>
        <v/>
      </c>
      <c r="CN52" s="96">
        <f>IFERROR(VLOOKUP($B52,INDIRECT("'GRD-"&amp;CN$11&amp;"'!B:R"),15,FALSE),"")</f>
        <v/>
      </c>
      <c r="CO52" s="96">
        <f>IFERROR(VLOOKUP($B52,INDIRECT("'GRD-"&amp;CO$11&amp;"'!B:R"),15,FALSE),"")</f>
        <v/>
      </c>
      <c r="CP52" s="96">
        <f>IFERROR(VLOOKUP($B52,INDIRECT("'GRD-"&amp;CP$11&amp;"'!B:R"),15,FALSE),"")</f>
        <v/>
      </c>
      <c r="CQ52" s="96">
        <f>IFERROR(VLOOKUP($B52,INDIRECT("'GRD-"&amp;CQ$11&amp;"'!B:R"),15,FALSE),"")</f>
        <v/>
      </c>
      <c r="CR52" s="96">
        <f>IFERROR(VLOOKUP($B52,INDIRECT("'GRD-"&amp;CR$11&amp;"'!B:R"),15,FALSE),"")</f>
        <v/>
      </c>
      <c r="CS52" s="96">
        <f>IFERROR(VLOOKUP($B52,INDIRECT("'GRD-"&amp;CS$11&amp;"'!B:R"),15,FALSE),"")</f>
        <v/>
      </c>
      <c r="CT52" s="96">
        <f>IFERROR(VLOOKUP($B52,INDIRECT("'GRD-"&amp;CT$11&amp;"'!B:R"),15,FALSE),"")</f>
        <v/>
      </c>
      <c r="CU52" s="96">
        <f>IFERROR(VLOOKUP($B52,INDIRECT("'GRD-"&amp;CU$11&amp;"'!B:R"),15,FALSE),"")</f>
        <v/>
      </c>
      <c r="CV52" s="96">
        <f>IFERROR(VLOOKUP($B52,INDIRECT("'GRD-"&amp;CV$11&amp;"'!B:R"),15,FALSE),"")</f>
        <v/>
      </c>
      <c r="CW52" s="96">
        <f>IFERROR(VLOOKUP($B52,INDIRECT("'GRD-"&amp;CW$11&amp;"'!B:R"),15,FALSE),"")</f>
        <v/>
      </c>
      <c r="CX52" s="96">
        <f>IFERROR(VLOOKUP($B52,INDIRECT("'GRD-"&amp;CX$11&amp;"'!B:R"),15,FALSE),"")</f>
        <v/>
      </c>
      <c r="CY52" s="96">
        <f>IFERROR(VLOOKUP($B52,INDIRECT("'GRD-"&amp;CY$11&amp;"'!B:R"),15,FALSE),"")</f>
        <v/>
      </c>
      <c r="CZ52" s="96">
        <f>IFERROR(VLOOKUP($B52,INDIRECT("'GRD-"&amp;CZ$11&amp;"'!B:R"),15,FALSE),"")</f>
        <v/>
      </c>
      <c r="DA52" s="96">
        <f>IFERROR(VLOOKUP($B52,INDIRECT("'GRD-"&amp;DA$11&amp;"'!B:R"),15,FALSE),"")</f>
        <v/>
      </c>
      <c r="DB52" s="96">
        <f>IFERROR(VLOOKUP($B52,INDIRECT("'GRD-"&amp;DB$11&amp;"'!B:R"),15,FALSE),"")</f>
        <v/>
      </c>
      <c r="DC52" s="96">
        <f>IFERROR(VLOOKUP($B52,INDIRECT("'GRD-"&amp;DC$11&amp;"'!B:R"),15,FALSE),"")</f>
        <v/>
      </c>
      <c r="DD52" s="96">
        <f>IFERROR(VLOOKUP($B52,INDIRECT("'GRD-"&amp;DD$11&amp;"'!B:R"),15,FALSE),"")</f>
        <v/>
      </c>
      <c r="DE52" s="96">
        <f>IFERROR(VLOOKUP($B52,INDIRECT("'GRD-"&amp;DE$11&amp;"'!B:R"),15,FALSE),"")</f>
        <v/>
      </c>
      <c r="DF52" s="96">
        <f>IFERROR(VLOOKUP($B52,INDIRECT("'GRD-"&amp;DF$11&amp;"'!B:R"),15,FALSE),"")</f>
        <v/>
      </c>
      <c r="DG52" s="96">
        <f>IFERROR(VLOOKUP($B52,INDIRECT("'GRD-"&amp;DG$11&amp;"'!B:R"),15,FALSE),"")</f>
        <v/>
      </c>
      <c r="DH52" s="96">
        <f>IFERROR(VLOOKUP($B52,INDIRECT("'GRD-"&amp;DH$11&amp;"'!B:R"),15,FALSE),"")</f>
        <v/>
      </c>
      <c r="DI52" s="96">
        <f>IFERROR(VLOOKUP($B52,INDIRECT("'GRD-"&amp;DI$11&amp;"'!B:R"),15,FALSE),"")</f>
        <v/>
      </c>
      <c r="DJ52" s="96">
        <f>IFERROR(VLOOKUP($B52,INDIRECT("'GRD-"&amp;DJ$11&amp;"'!B:R"),15,FALSE),"")</f>
        <v/>
      </c>
      <c r="DK52" s="96">
        <f>IFERROR(VLOOKUP($B52,INDIRECT("'GRD-"&amp;DK$11&amp;"'!B:R"),15,FALSE),"")</f>
        <v/>
      </c>
      <c r="DL52" s="96">
        <f>IFERROR(VLOOKUP($B52,INDIRECT("'GRD-"&amp;DL$11&amp;"'!B:R"),15,FALSE),"")</f>
        <v/>
      </c>
      <c r="DM52" s="96">
        <f>IFERROR(VLOOKUP($B52,INDIRECT("'GRD-"&amp;DM$11&amp;"'!B:R"),15,FALSE),"")</f>
        <v/>
      </c>
      <c r="DN52" s="96">
        <f>IFERROR(VLOOKUP($B52,INDIRECT("'GRD-"&amp;DN$11&amp;"'!B:R"),15,FALSE),"")</f>
        <v/>
      </c>
      <c r="DO52" s="96">
        <f>IFERROR(VLOOKUP($B52,INDIRECT("'GRD-"&amp;DO$11&amp;"'!B:R"),15,FALSE),"")</f>
        <v/>
      </c>
      <c r="DP52" s="96">
        <f>IFERROR(VLOOKUP($B52,INDIRECT("'GRD-"&amp;DP$11&amp;"'!B:R"),15,FALSE),"")</f>
        <v/>
      </c>
      <c r="DQ52" s="96">
        <f>IFERROR(VLOOKUP($B52,INDIRECT("'GRD-"&amp;DQ$11&amp;"'!B:R"),15,FALSE),"")</f>
        <v/>
      </c>
      <c r="DR52" s="96">
        <f>IFERROR(VLOOKUP($B52,INDIRECT("'GRD-"&amp;DR$11&amp;"'!B:R"),15,FALSE),"")</f>
        <v/>
      </c>
      <c r="DS52" s="96">
        <f>IFERROR(VLOOKUP($B52,INDIRECT("'GRD-"&amp;DS$11&amp;"'!B:R"),15,FALSE),"")</f>
        <v/>
      </c>
      <c r="DT52" s="96">
        <f>IFERROR(VLOOKUP($B52,INDIRECT("'GRD-"&amp;DT$11&amp;"'!B:R"),15,FALSE),"")</f>
        <v/>
      </c>
      <c r="DU52" s="96">
        <f>IFERROR(VLOOKUP($B52,INDIRECT("'GRD-"&amp;DU$11&amp;"'!B:R"),15,FALSE),"")</f>
        <v/>
      </c>
      <c r="DV52" s="96">
        <f>IFERROR(VLOOKUP($B52,INDIRECT("'GRD-"&amp;DV$11&amp;"'!B:R"),15,FALSE),"")</f>
        <v/>
      </c>
      <c r="DW52" s="96">
        <f>IFERROR(VLOOKUP($B52,INDIRECT("'GRD-"&amp;DW$11&amp;"'!B:R"),15,FALSE),"")</f>
        <v/>
      </c>
      <c r="DX52" s="96">
        <f>IFERROR(VLOOKUP($B52,INDIRECT("'GRD-"&amp;DX$11&amp;"'!B:R"),15,FALSE),"")</f>
        <v/>
      </c>
      <c r="DY52" s="96">
        <f>IFERROR(VLOOKUP($B52,INDIRECT("'GRD-"&amp;DY$11&amp;"'!B:R"),15,FALSE),"")</f>
        <v/>
      </c>
      <c r="DZ52" s="96">
        <f>IFERROR(VLOOKUP($B52,INDIRECT("'GRD-"&amp;DZ$11&amp;"'!B:R"),15,FALSE),"")</f>
        <v/>
      </c>
      <c r="EA52" s="96">
        <f>IFERROR(VLOOKUP($B52,INDIRECT("'GRD-"&amp;EA$11&amp;"'!B:R"),15,FALSE),"")</f>
        <v/>
      </c>
      <c r="EB52" s="96">
        <f>IFERROR(VLOOKUP($B52,INDIRECT("'GRD-"&amp;EB$11&amp;"'!B:R"),15,FALSE),"")</f>
        <v/>
      </c>
      <c r="EC52" s="96">
        <f>IFERROR(VLOOKUP($B52,INDIRECT("'GRD-"&amp;EC$11&amp;"'!B:R"),15,FALSE),"")</f>
        <v/>
      </c>
      <c r="ED52" s="96">
        <f>IFERROR(VLOOKUP($B52,INDIRECT("'GRD-"&amp;ED$11&amp;"'!B:R"),15,FALSE),"")</f>
        <v/>
      </c>
      <c r="EE52" s="96">
        <f>IFERROR(VLOOKUP($B52,INDIRECT("'GRD-"&amp;EE$11&amp;"'!B:R"),15,FALSE),"")</f>
        <v/>
      </c>
      <c r="EF52" s="96">
        <f>IFERROR(VLOOKUP($B52,INDIRECT("'GRD-"&amp;EF$11&amp;"'!B:R"),15,FALSE),"")</f>
        <v/>
      </c>
      <c r="EG52" s="96">
        <f>IFERROR(VLOOKUP($B52,INDIRECT("'GRD-"&amp;EG$11&amp;"'!B:R"),15,FALSE),"")</f>
        <v/>
      </c>
      <c r="EH52" s="96">
        <f>IFERROR(VLOOKUP($B52,INDIRECT("'GRD-"&amp;EH$11&amp;"'!B:R"),15,FALSE),"")</f>
        <v/>
      </c>
      <c r="EI52" s="96">
        <f>IFERROR(VLOOKUP($B52,INDIRECT("'GRD-"&amp;EI$11&amp;"'!B:R"),15,FALSE),"")</f>
        <v/>
      </c>
      <c r="EJ52" s="96">
        <f>IFERROR(VLOOKUP($B52,INDIRECT("'GRD-"&amp;EJ$11&amp;"'!B:R"),15,FALSE),"")</f>
        <v/>
      </c>
      <c r="EK52" s="96">
        <f>IFERROR(VLOOKUP($B52,INDIRECT("'GRD-"&amp;EK$11&amp;"'!B:R"),15,FALSE),"")</f>
        <v/>
      </c>
      <c r="EL52" s="96">
        <f>IFERROR(VLOOKUP($B52,INDIRECT("'GRD-"&amp;EL$11&amp;"'!B:R"),15,FALSE),"")</f>
        <v/>
      </c>
      <c r="EM52" s="96">
        <f>IFERROR(VLOOKUP($B52,INDIRECT("'GRD-"&amp;EM$11&amp;"'!B:R"),15,FALSE),"")</f>
        <v/>
      </c>
      <c r="EN52" s="96">
        <f>IFERROR(VLOOKUP($B52,INDIRECT("'GRD-"&amp;EN$11&amp;"'!B:R"),15,FALSE),"")</f>
        <v/>
      </c>
      <c r="EO52" s="96">
        <f>IFERROR(VLOOKUP($B52,INDIRECT("'GRD-"&amp;EO$11&amp;"'!B:R"),15,FALSE),"")</f>
        <v/>
      </c>
      <c r="EP52" s="96">
        <f>IFERROR(VLOOKUP($B52,INDIRECT("'GRD-"&amp;EP$11&amp;"'!B:R"),15,FALSE),"")</f>
        <v/>
      </c>
      <c r="EQ52" s="96">
        <f>IFERROR(VLOOKUP($B52,INDIRECT("'GRD-"&amp;EQ$11&amp;"'!B:R"),15,FALSE),"")</f>
        <v/>
      </c>
      <c r="ER52" s="96">
        <f>IFERROR(VLOOKUP($B52,INDIRECT("'GRD-"&amp;ER$11&amp;"'!B:R"),15,FALSE),"")</f>
        <v/>
      </c>
      <c r="ES52" s="96">
        <f>IFERROR(VLOOKUP($B52,INDIRECT("'GRD-"&amp;ES$11&amp;"'!B:R"),15,FALSE),"")</f>
        <v/>
      </c>
      <c r="ET52" s="96">
        <f>IFERROR(VLOOKUP($B52,INDIRECT("'GRD-"&amp;ET$11&amp;"'!B:R"),15,FALSE),"")</f>
        <v/>
      </c>
      <c r="EU52" s="96">
        <f>IFERROR(VLOOKUP($B52,INDIRECT("'GRD-"&amp;EU$11&amp;"'!B:R"),15,FALSE),"")</f>
        <v/>
      </c>
      <c r="EV52" s="96">
        <f>IFERROR(VLOOKUP($B52,INDIRECT("'GRD-"&amp;EV$11&amp;"'!B:R"),15,FALSE),"")</f>
        <v/>
      </c>
      <c r="EW52" s="96">
        <f>IFERROR(VLOOKUP($B52,INDIRECT("'GRD-"&amp;EW$11&amp;"'!B:R"),15,FALSE),"")</f>
        <v/>
      </c>
      <c r="EX52" s="96">
        <f>IFERROR(VLOOKUP($B52,INDIRECT("'GRD-"&amp;EX$11&amp;"'!B:R"),15,FALSE),"")</f>
        <v/>
      </c>
      <c r="EY52" s="96">
        <f>IFERROR(VLOOKUP($B52,INDIRECT("'GRD-"&amp;EY$11&amp;"'!B:R"),15,FALSE),"")</f>
        <v/>
      </c>
      <c r="EZ52" s="96">
        <f>IFERROR(VLOOKUP($B52,INDIRECT("'GRD-"&amp;EZ$11&amp;"'!B:R"),15,FALSE),"")</f>
        <v/>
      </c>
      <c r="FA52" s="96">
        <f>IFERROR(VLOOKUP($B52,INDIRECT("'GRD-"&amp;FA$11&amp;"'!B:R"),15,FALSE),"")</f>
        <v/>
      </c>
      <c r="FB52" s="96">
        <f>IFERROR(VLOOKUP($B52,INDIRECT("'GRD-"&amp;FB$11&amp;"'!B:R"),15,FALSE),"")</f>
        <v/>
      </c>
      <c r="FC52" s="96">
        <f>IFERROR(VLOOKUP($B52,INDIRECT("'GRD-"&amp;FC$11&amp;"'!B:R"),15,FALSE),"")</f>
        <v/>
      </c>
      <c r="FD52" s="96">
        <f>IFERROR(VLOOKUP($B52,INDIRECT("'GRD-"&amp;FD$11&amp;"'!B:R"),15,FALSE),"")</f>
        <v/>
      </c>
      <c r="FE52" s="96">
        <f>IFERROR(VLOOKUP($B52,INDIRECT("'GRD-"&amp;FE$11&amp;"'!B:R"),15,FALSE),"")</f>
        <v/>
      </c>
      <c r="FF52" s="96">
        <f>IFERROR(VLOOKUP($B52,INDIRECT("'GRD-"&amp;FF$11&amp;"'!B:R"),15,FALSE),"")</f>
        <v/>
      </c>
      <c r="FG52" s="96">
        <f>IFERROR(VLOOKUP($B52,INDIRECT("'GRD-"&amp;FG$11&amp;"'!B:R"),15,FALSE),"")</f>
        <v/>
      </c>
      <c r="FH52" s="96">
        <f>IFERROR(VLOOKUP($B52,INDIRECT("'GRD-"&amp;FH$11&amp;"'!B:R"),15,FALSE),"")</f>
        <v/>
      </c>
      <c r="FI52" s="96">
        <f>IFERROR(VLOOKUP($B52,INDIRECT("'GRD-"&amp;FI$11&amp;"'!B:R"),15,FALSE),"")</f>
        <v/>
      </c>
      <c r="FJ52" s="96">
        <f>IFERROR(VLOOKUP($B52,INDIRECT("'GRD-"&amp;FJ$11&amp;"'!B:R"),15,FALSE),"")</f>
        <v/>
      </c>
      <c r="FK52" s="96">
        <f>IFERROR(VLOOKUP($B52,INDIRECT("'GRD-"&amp;FK$11&amp;"'!B:R"),15,FALSE),"")</f>
        <v/>
      </c>
      <c r="FL52" s="96">
        <f>IFERROR(VLOOKUP($B52,INDIRECT("'GRD-"&amp;FL$11&amp;"'!B:R"),15,FALSE),"")</f>
        <v/>
      </c>
      <c r="FM52" s="96">
        <f>IFERROR(VLOOKUP($B52,INDIRECT("'GRD-"&amp;FM$11&amp;"'!B:R"),15,FALSE),"")</f>
        <v/>
      </c>
      <c r="FN52" s="96">
        <f>IFERROR(VLOOKUP($B52,INDIRECT("'GRD-"&amp;FN$11&amp;"'!B:R"),15,FALSE),"")</f>
        <v/>
      </c>
      <c r="FO52" s="96">
        <f>IFERROR(VLOOKUP($B52,INDIRECT("'GRD-"&amp;FO$11&amp;"'!B:R"),15,FALSE),"")</f>
        <v/>
      </c>
      <c r="FP52" s="96">
        <f>IFERROR(VLOOKUP($B52,INDIRECT("'GRD-"&amp;FP$11&amp;"'!B:R"),15,FALSE),"")</f>
        <v/>
      </c>
      <c r="FQ52" s="96">
        <f>IFERROR(VLOOKUP($B52,INDIRECT("'GRD-"&amp;FQ$11&amp;"'!B:R"),15,FALSE),"")</f>
        <v/>
      </c>
      <c r="FR52" s="96">
        <f>IFERROR(VLOOKUP($B52,INDIRECT("'GRD-"&amp;FR$11&amp;"'!B:R"),15,FALSE),"")</f>
        <v/>
      </c>
      <c r="FS52" s="96">
        <f>IFERROR(VLOOKUP($B52,INDIRECT("'GRD-"&amp;FS$11&amp;"'!B:R"),15,FALSE),"")</f>
        <v/>
      </c>
      <c r="FT52" s="96">
        <f>IFERROR(VLOOKUP($B52,INDIRECT("'GRD-"&amp;FT$11&amp;"'!B:R"),15,FALSE),"")</f>
        <v/>
      </c>
      <c r="FU52" s="96">
        <f>IFERROR(VLOOKUP($B52,INDIRECT("'GRD-"&amp;FU$11&amp;"'!B:R"),15,FALSE),"")</f>
        <v/>
      </c>
      <c r="FV52" s="96">
        <f>IFERROR(VLOOKUP($B52,INDIRECT("'GRD-"&amp;FV$11&amp;"'!B:R"),15,FALSE),"")</f>
        <v/>
      </c>
    </row>
    <row r="53">
      <c r="B53" s="68" t="n"/>
      <c r="C53" s="72" t="n"/>
      <c r="D53" s="73">
        <f>IF(K53="","",MAX($CA53:$FV53))</f>
        <v/>
      </c>
      <c r="E53" s="74">
        <f t="array" ref="E53">IF($K53="","",OFFSET($A$1,ROW($B53)-1,11+$D53*4,))</f>
        <v/>
      </c>
      <c r="F53" s="74">
        <f t="array" ref="F53">IF($K53="","",OFFSET($A$1,ROW($B53)-1,12+$D53*4,))</f>
        <v/>
      </c>
      <c r="G53" s="118">
        <f t="array" ref="G53">IF($K53="","",OFFSET($A$1,ROW($B53)-1,13+$D53*4,))</f>
        <v/>
      </c>
      <c r="H53" s="81" t="n"/>
      <c r="I53" s="82" t="n"/>
      <c r="J53" s="75">
        <f>IF(I53="A4",H53/8,IF(I53="A3",H53/4,IF(I53="A2",H53/2,IF(I53="A1",H53/1,IF(I53="A0",H53*2,"")))))</f>
        <v/>
      </c>
      <c r="K53" s="68">
        <f t="array" ref="K53">IFERROR(OFFSET($BZ$11,ROW($B53)-11,MATCH(K$10,$CA53:$FV53,0),),"")</f>
        <v/>
      </c>
      <c r="L53" s="85">
        <f>IF(K53="","",IF(VLOOKUP($B53,INDIRECT("'GRD-"&amp;M53&amp;"'!$B:$R"),16,FALSE)="","",VLOOKUP($B53,INDIRECT("'GRD-"&amp;M53&amp;"'!$B:$R"),16,FALSE)))</f>
        <v/>
      </c>
      <c r="M53" s="130">
        <f t="array" ref="M53">IF(K53="","",IFERROR(OFFSET($BZ$11,0,MATCH($K53,$CA53:$FV53,0),),""))</f>
        <v/>
      </c>
      <c r="N53" s="119">
        <f t="array" ref="N53">IF(K53="","",INDIRECT("'GRD-"&amp;M53&amp;"'!$L$7"))</f>
        <v/>
      </c>
      <c r="O53" s="76">
        <f t="array" ref="O53">IFERROR(OFFSET($BZ$11,ROW($B53)-11,MATCH(O$10,$CA53:$FV53,0),),"")</f>
        <v/>
      </c>
      <c r="P53" s="76">
        <f>IF(O53="","",IF(VLOOKUP($B53,INDIRECT("'GRD-"&amp;Q53&amp;"'!$B:$R"),16,FALSE)="","",VLOOKUP($B53,INDIRECT("'GRD-"&amp;Q53&amp;"'!$B:$R"),16,FALSE)))</f>
        <v/>
      </c>
      <c r="Q53" s="132">
        <f t="array" ref="Q53">IF(O53="","",IFERROR(OFFSET($BZ$11,0,MATCH($O53,$CA53:$FV53,0),),""))</f>
        <v/>
      </c>
      <c r="R53" s="121">
        <f t="array" ref="R53">IF(O53="","",INDIRECT("'GRD-"&amp;Q53&amp;"'!$L$7"))</f>
        <v/>
      </c>
      <c r="S53" s="83">
        <f t="array" ref="S53">IFERROR(OFFSET($BZ$11,ROW($B53)-11,MATCH(S$10,$CA53:$FV53,0),),"")</f>
        <v/>
      </c>
      <c r="T53" s="83">
        <f>IF(S53="","",IF(VLOOKUP($B53,INDIRECT("'GRD-"&amp;U53&amp;"'!$B:$R"),16,FALSE)="","",VLOOKUP($B53,INDIRECT("'GRD-"&amp;U53&amp;"'!$B:$R"),16,FALSE)))</f>
        <v/>
      </c>
      <c r="U53" s="128">
        <f t="array" ref="U53">IF(S53="","",IFERROR(OFFSET($BZ$11,0,MATCH($S53,$CA53:$FV53,0),),""))</f>
        <v/>
      </c>
      <c r="V53" s="133">
        <f t="array" ref="V53">IF(S53="","",INDIRECT("'GRD-"&amp;U53&amp;"'!$L$7"))</f>
        <v/>
      </c>
      <c r="W53" s="84">
        <f t="array" ref="W53">IFERROR(OFFSET($BZ$11,ROW($B53)-11,MATCH(W$10,$CA53:$FV53,0),),"")</f>
        <v/>
      </c>
      <c r="X53" s="84">
        <f>IF(W53="","",IF(VLOOKUP($B53,INDIRECT("'GRD-"&amp;Y53&amp;"'!$B:$R"),16,FALSE)="","",VLOOKUP($B53,INDIRECT("'GRD-"&amp;Y53&amp;"'!$B:$R"),16,FALSE)))</f>
        <v/>
      </c>
      <c r="Y53" s="129">
        <f t="array" ref="Y53">IF(W53="","",IFERROR(OFFSET($BZ$11,0,MATCH($W53,$CA53:$FV53,0),),""))</f>
        <v/>
      </c>
      <c r="Z53" s="134">
        <f t="array" ref="Z53">IF(W53="","",INDIRECT("'GRD-"&amp;Y53&amp;"'!$L$7"))</f>
        <v/>
      </c>
      <c r="AA53" s="85">
        <f t="array" ref="AA53">IFERROR(OFFSET($BZ$11,ROW($B53)-11,MATCH(AA$10,$CA53:$FV53,0),),"")</f>
        <v/>
      </c>
      <c r="AB53" s="85">
        <f>IF(AA53="","",IF(VLOOKUP($B53,INDIRECT("'GRD-"&amp;AC53&amp;"'!$B:$R"),16,FALSE)="","",VLOOKUP($B53,INDIRECT("'GRD-"&amp;AC53&amp;"'!$B:$R"),16,FALSE)))</f>
        <v/>
      </c>
      <c r="AC53" s="130">
        <f t="array" ref="AC53">IF(AA53="","",IFERROR(OFFSET($BZ$11,0,MATCH($AA53,$CA53:$FV53,0),),""))</f>
        <v/>
      </c>
      <c r="AD53" s="131">
        <f t="array" ref="AD53">IF(AA53="","",INDIRECT("'GRD-"&amp;AC53&amp;"'!$L$7"))</f>
        <v/>
      </c>
      <c r="AE53" s="76">
        <f t="array" ref="AE53">IFERROR(OFFSET($BZ$11,ROW($B53)-11,MATCH(AE$10,$CA53:$FV53,0),),"")</f>
        <v/>
      </c>
      <c r="AF53" s="76">
        <f>IF(AE53="","",IF(VLOOKUP($B53,INDIRECT("'GRD-"&amp;AG53&amp;"'!$B:$R"),16,FALSE)="","",VLOOKUP($B53,INDIRECT("'GRD-"&amp;AG53&amp;"'!$B:$R"),16,FALSE)))</f>
        <v/>
      </c>
      <c r="AG53" s="132">
        <f t="array" ref="AG53">IF(AE53="","",IFERROR(OFFSET($BZ$11,0,MATCH($AE53,$CA53:$FV53,0),),""))</f>
        <v/>
      </c>
      <c r="AH53" s="121">
        <f t="array" ref="AH53">IF(AE53="","",INDIRECT("'GRD-"&amp;AG53&amp;"'!$L$7"))</f>
        <v/>
      </c>
      <c r="AI53" s="83">
        <f t="array" ref="AI53">IFERROR(OFFSET($BZ$11,ROW($B53)-11,MATCH(AI$10,$CA53:$FV53,0),),"")</f>
        <v/>
      </c>
      <c r="AJ53" s="83">
        <f>IF(AI53="","",IF(VLOOKUP($B53,INDIRECT("'GRD-"&amp;AK53&amp;"'!$B:$R"),16,FALSE)="","",VLOOKUP($B53,INDIRECT("'GRD-"&amp;AK53&amp;"'!$B:$R"),16,FALSE)))</f>
        <v/>
      </c>
      <c r="AK53" s="128">
        <f t="array" ref="AK53">IF(AI53="","",IFERROR(OFFSET($BZ$11,0,MATCH($AI53,$CA53:$FV53,0),),""))</f>
        <v/>
      </c>
      <c r="AL53" s="133">
        <f t="array" ref="AL53">IF(AI53="","",INDIRECT("'GRD-"&amp;AK53&amp;"'!$L$7"))</f>
        <v/>
      </c>
      <c r="AM53" s="84">
        <f t="array" ref="AM53">IFERROR(OFFSET($BZ$11,ROW($B53)-11,MATCH(AM$10,$CA53:$FV53,0),),"")</f>
        <v/>
      </c>
      <c r="AN53" s="84">
        <f>IF(AM53="","",IF(VLOOKUP($B53,INDIRECT("'GRD-"&amp;AO53&amp;"'!$B:$R"),16,FALSE)="","",VLOOKUP($B53,INDIRECT("'GRD-"&amp;AO53&amp;"'!$B:$R"),16,FALSE)))</f>
        <v/>
      </c>
      <c r="AO53" s="129">
        <f t="array" ref="AO53">IF(AM53="","",IFERROR(OFFSET($BZ$11,0,MATCH($AM53,$CA53:$FV53,0),),""))</f>
        <v/>
      </c>
      <c r="AP53" s="134">
        <f t="array" ref="AP53">IF(AM53="","",INDIRECT("'GRD-"&amp;AO53&amp;"'!$L$7"))</f>
        <v/>
      </c>
      <c r="AQ53" s="85">
        <f t="array" ref="AQ53">IFERROR(OFFSET($BZ$11,ROW($B53)-11,MATCH(AQ$10,$CA53:$FV53,0),),"")</f>
        <v/>
      </c>
      <c r="AR53" s="85">
        <f>IF(AQ53="","",IF(VLOOKUP($B53,INDIRECT("'GRD-"&amp;AS53&amp;"'!$B:$R"),16,FALSE)="","",VLOOKUP($B53,INDIRECT("'GRD-"&amp;AS53&amp;"'!$B:$R"),16,FALSE)))</f>
        <v/>
      </c>
      <c r="AS53" s="130">
        <f t="array" ref="AS53">IF(AQ53="","",IFERROR(OFFSET($BZ$11,0,MATCH($AQ53,$CA53:$FV53,0),),""))</f>
        <v/>
      </c>
      <c r="AT53" s="131">
        <f t="array" ref="AT53">IF(AQ53="","",INDIRECT("'GRD-"&amp;AS53&amp;"'!$L$7"))</f>
        <v/>
      </c>
      <c r="AU53" s="76">
        <f t="array" ref="AU53">IFERROR(OFFSET($BZ$11,ROW($B53)-11,MATCH(AU$10,$CA53:$FV53,0),),"")</f>
        <v/>
      </c>
      <c r="AV53" s="76">
        <f>IF(AU53="","",IF(VLOOKUP($B53,INDIRECT("'GRD-"&amp;AW53&amp;"'!$B:$R"),16,FALSE)="","",VLOOKUP($B53,INDIRECT("'GRD-"&amp;AW53&amp;"'!$B:$R"),16,FALSE)))</f>
        <v/>
      </c>
      <c r="AW53" s="132">
        <f t="array" ref="AW53">IF(AU53="","",IFERROR(OFFSET($BZ$11,0,MATCH($AU53,$CA53:$FV53,0),),""))</f>
        <v/>
      </c>
      <c r="AX53" s="121">
        <f t="array" ref="AX53">IF(AU53="","",INDIRECT("'GRD-"&amp;AW53&amp;"'!$L$7"))</f>
        <v/>
      </c>
      <c r="AY53" s="83">
        <f t="array" ref="AY53">IFERROR(OFFSET($BZ$11,ROW($B53)-11,MATCH(AY$10,$CA53:$FV53,0),),"")</f>
        <v/>
      </c>
      <c r="AZ53" s="83">
        <f>IF(AY53="","",IF(VLOOKUP($B53,INDIRECT("'GRD-"&amp;BA53&amp;"'!$B:$R"),16,FALSE)="","",VLOOKUP($B53,INDIRECT("'GRD-"&amp;BA53&amp;"'!$B:$R"),16,FALSE)))</f>
        <v/>
      </c>
      <c r="BA53" s="128">
        <f t="array" ref="BA53">IF(AY53="","",IFERROR(OFFSET($BZ$11,0,MATCH($AY53,$CA53:$FV53,0),),""))</f>
        <v/>
      </c>
      <c r="BB53" s="133">
        <f t="array" ref="BB53">IF(AY53="","",INDIRECT("'GRD-"&amp;BA53&amp;"'!$L$7"))</f>
        <v/>
      </c>
      <c r="BC53" s="84">
        <f t="array" ref="BC53">IFERROR(OFFSET($BZ$11,ROW($B53)-11,MATCH(BC$10,$CA53:$FV53,0),),"")</f>
        <v/>
      </c>
      <c r="BD53" s="84">
        <f>IF(BC53="","",IF(VLOOKUP($B53,INDIRECT("'GRD-"&amp;BE53&amp;"'!$B:$R"),16,FALSE)="","",VLOOKUP($B53,INDIRECT("'GRD-"&amp;BE53&amp;"'!$B:$R"),16,FALSE)))</f>
        <v/>
      </c>
      <c r="BE53" s="129">
        <f t="array" ref="BE53">IF(BC53="","",IFERROR(OFFSET($BZ$11,0,MATCH($BC53,$CA53:$FV53,0),),""))</f>
        <v/>
      </c>
      <c r="BF53" s="134">
        <f t="array" ref="BF53">IF(BC53="","",INDIRECT("'GRD-"&amp;BE53&amp;"'!$L$7"))</f>
        <v/>
      </c>
      <c r="CA53" s="96">
        <f>IFERROR(VLOOKUP($B53,INDIRECT("'GRD-"&amp;CA$11&amp;"'!B:R"),15,FALSE),"")</f>
        <v/>
      </c>
      <c r="CB53" s="96">
        <f>IFERROR(VLOOKUP($B53,INDIRECT("'GRD-"&amp;CB$11&amp;"'!B:R"),15,FALSE),"")</f>
        <v/>
      </c>
      <c r="CC53" s="96">
        <f>IFERROR(VLOOKUP($B53,INDIRECT("'GRD-"&amp;CC$11&amp;"'!B:R"),15,FALSE),"")</f>
        <v/>
      </c>
      <c r="CD53" s="96">
        <f>IFERROR(VLOOKUP($B53,INDIRECT("'GRD-"&amp;CD$11&amp;"'!B:R"),15,FALSE),"")</f>
        <v/>
      </c>
      <c r="CE53" s="96">
        <f>IFERROR(VLOOKUP($B53,INDIRECT("'GRD-"&amp;CE$11&amp;"'!B:R"),15,FALSE),"")</f>
        <v/>
      </c>
      <c r="CF53" s="96">
        <f>IFERROR(VLOOKUP($B53,INDIRECT("'GRD-"&amp;CF$11&amp;"'!B:R"),15,FALSE),"")</f>
        <v/>
      </c>
      <c r="CG53" s="96">
        <f>IFERROR(VLOOKUP($B53,INDIRECT("'GRD-"&amp;CG$11&amp;"'!B:R"),15,FALSE),"")</f>
        <v/>
      </c>
      <c r="CH53" s="96">
        <f>IFERROR(VLOOKUP($B53,INDIRECT("'GRD-"&amp;CH$11&amp;"'!B:R"),15,FALSE),"")</f>
        <v/>
      </c>
      <c r="CI53" s="96">
        <f>IFERROR(VLOOKUP($B53,INDIRECT("'GRD-"&amp;CI$11&amp;"'!B:R"),15,FALSE),"")</f>
        <v/>
      </c>
      <c r="CJ53" s="96">
        <f>IFERROR(VLOOKUP($B53,INDIRECT("'GRD-"&amp;CJ$11&amp;"'!B:R"),15,FALSE),"")</f>
        <v/>
      </c>
      <c r="CK53" s="96">
        <f>IFERROR(VLOOKUP($B53,INDIRECT("'GRD-"&amp;CK$11&amp;"'!B:R"),15,FALSE),"")</f>
        <v/>
      </c>
      <c r="CL53" s="96">
        <f>IFERROR(VLOOKUP($B53,INDIRECT("'GRD-"&amp;CL$11&amp;"'!B:R"),15,FALSE),"")</f>
        <v/>
      </c>
      <c r="CM53" s="96">
        <f>IFERROR(VLOOKUP($B53,INDIRECT("'GRD-"&amp;CM$11&amp;"'!B:R"),15,FALSE),"")</f>
        <v/>
      </c>
      <c r="CN53" s="96">
        <f>IFERROR(VLOOKUP($B53,INDIRECT("'GRD-"&amp;CN$11&amp;"'!B:R"),15,FALSE),"")</f>
        <v/>
      </c>
      <c r="CO53" s="96">
        <f>IFERROR(VLOOKUP($B53,INDIRECT("'GRD-"&amp;CO$11&amp;"'!B:R"),15,FALSE),"")</f>
        <v/>
      </c>
      <c r="CP53" s="96">
        <f>IFERROR(VLOOKUP($B53,INDIRECT("'GRD-"&amp;CP$11&amp;"'!B:R"),15,FALSE),"")</f>
        <v/>
      </c>
      <c r="CQ53" s="96">
        <f>IFERROR(VLOOKUP($B53,INDIRECT("'GRD-"&amp;CQ$11&amp;"'!B:R"),15,FALSE),"")</f>
        <v/>
      </c>
      <c r="CR53" s="96">
        <f>IFERROR(VLOOKUP($B53,INDIRECT("'GRD-"&amp;CR$11&amp;"'!B:R"),15,FALSE),"")</f>
        <v/>
      </c>
      <c r="CS53" s="96">
        <f>IFERROR(VLOOKUP($B53,INDIRECT("'GRD-"&amp;CS$11&amp;"'!B:R"),15,FALSE),"")</f>
        <v/>
      </c>
      <c r="CT53" s="96">
        <f>IFERROR(VLOOKUP($B53,INDIRECT("'GRD-"&amp;CT$11&amp;"'!B:R"),15,FALSE),"")</f>
        <v/>
      </c>
      <c r="CU53" s="96">
        <f>IFERROR(VLOOKUP($B53,INDIRECT("'GRD-"&amp;CU$11&amp;"'!B:R"),15,FALSE),"")</f>
        <v/>
      </c>
      <c r="CV53" s="96">
        <f>IFERROR(VLOOKUP($B53,INDIRECT("'GRD-"&amp;CV$11&amp;"'!B:R"),15,FALSE),"")</f>
        <v/>
      </c>
      <c r="CW53" s="96">
        <f>IFERROR(VLOOKUP($B53,INDIRECT("'GRD-"&amp;CW$11&amp;"'!B:R"),15,FALSE),"")</f>
        <v/>
      </c>
      <c r="CX53" s="96">
        <f>IFERROR(VLOOKUP($B53,INDIRECT("'GRD-"&amp;CX$11&amp;"'!B:R"),15,FALSE),"")</f>
        <v/>
      </c>
      <c r="CY53" s="96">
        <f>IFERROR(VLOOKUP($B53,INDIRECT("'GRD-"&amp;CY$11&amp;"'!B:R"),15,FALSE),"")</f>
        <v/>
      </c>
      <c r="CZ53" s="96">
        <f>IFERROR(VLOOKUP($B53,INDIRECT("'GRD-"&amp;CZ$11&amp;"'!B:R"),15,FALSE),"")</f>
        <v/>
      </c>
      <c r="DA53" s="96">
        <f>IFERROR(VLOOKUP($B53,INDIRECT("'GRD-"&amp;DA$11&amp;"'!B:R"),15,FALSE),"")</f>
        <v/>
      </c>
      <c r="DB53" s="96">
        <f>IFERROR(VLOOKUP($B53,INDIRECT("'GRD-"&amp;DB$11&amp;"'!B:R"),15,FALSE),"")</f>
        <v/>
      </c>
      <c r="DC53" s="96">
        <f>IFERROR(VLOOKUP($B53,INDIRECT("'GRD-"&amp;DC$11&amp;"'!B:R"),15,FALSE),"")</f>
        <v/>
      </c>
      <c r="DD53" s="96">
        <f>IFERROR(VLOOKUP($B53,INDIRECT("'GRD-"&amp;DD$11&amp;"'!B:R"),15,FALSE),"")</f>
        <v/>
      </c>
      <c r="DE53" s="96">
        <f>IFERROR(VLOOKUP($B53,INDIRECT("'GRD-"&amp;DE$11&amp;"'!B:R"),15,FALSE),"")</f>
        <v/>
      </c>
      <c r="DF53" s="96">
        <f>IFERROR(VLOOKUP($B53,INDIRECT("'GRD-"&amp;DF$11&amp;"'!B:R"),15,FALSE),"")</f>
        <v/>
      </c>
      <c r="DG53" s="96">
        <f>IFERROR(VLOOKUP($B53,INDIRECT("'GRD-"&amp;DG$11&amp;"'!B:R"),15,FALSE),"")</f>
        <v/>
      </c>
      <c r="DH53" s="96">
        <f>IFERROR(VLOOKUP($B53,INDIRECT("'GRD-"&amp;DH$11&amp;"'!B:R"),15,FALSE),"")</f>
        <v/>
      </c>
      <c r="DI53" s="96">
        <f>IFERROR(VLOOKUP($B53,INDIRECT("'GRD-"&amp;DI$11&amp;"'!B:R"),15,FALSE),"")</f>
        <v/>
      </c>
      <c r="DJ53" s="96">
        <f>IFERROR(VLOOKUP($B53,INDIRECT("'GRD-"&amp;DJ$11&amp;"'!B:R"),15,FALSE),"")</f>
        <v/>
      </c>
      <c r="DK53" s="96">
        <f>IFERROR(VLOOKUP($B53,INDIRECT("'GRD-"&amp;DK$11&amp;"'!B:R"),15,FALSE),"")</f>
        <v/>
      </c>
      <c r="DL53" s="96">
        <f>IFERROR(VLOOKUP($B53,INDIRECT("'GRD-"&amp;DL$11&amp;"'!B:R"),15,FALSE),"")</f>
        <v/>
      </c>
      <c r="DM53" s="96">
        <f>IFERROR(VLOOKUP($B53,INDIRECT("'GRD-"&amp;DM$11&amp;"'!B:R"),15,FALSE),"")</f>
        <v/>
      </c>
      <c r="DN53" s="96">
        <f>IFERROR(VLOOKUP($B53,INDIRECT("'GRD-"&amp;DN$11&amp;"'!B:R"),15,FALSE),"")</f>
        <v/>
      </c>
      <c r="DO53" s="96">
        <f>IFERROR(VLOOKUP($B53,INDIRECT("'GRD-"&amp;DO$11&amp;"'!B:R"),15,FALSE),"")</f>
        <v/>
      </c>
      <c r="DP53" s="96">
        <f>IFERROR(VLOOKUP($B53,INDIRECT("'GRD-"&amp;DP$11&amp;"'!B:R"),15,FALSE),"")</f>
        <v/>
      </c>
      <c r="DQ53" s="96">
        <f>IFERROR(VLOOKUP($B53,INDIRECT("'GRD-"&amp;DQ$11&amp;"'!B:R"),15,FALSE),"")</f>
        <v/>
      </c>
      <c r="DR53" s="96">
        <f>IFERROR(VLOOKUP($B53,INDIRECT("'GRD-"&amp;DR$11&amp;"'!B:R"),15,FALSE),"")</f>
        <v/>
      </c>
      <c r="DS53" s="96">
        <f>IFERROR(VLOOKUP($B53,INDIRECT("'GRD-"&amp;DS$11&amp;"'!B:R"),15,FALSE),"")</f>
        <v/>
      </c>
      <c r="DT53" s="96">
        <f>IFERROR(VLOOKUP($B53,INDIRECT("'GRD-"&amp;DT$11&amp;"'!B:R"),15,FALSE),"")</f>
        <v/>
      </c>
      <c r="DU53" s="96">
        <f>IFERROR(VLOOKUP($B53,INDIRECT("'GRD-"&amp;DU$11&amp;"'!B:R"),15,FALSE),"")</f>
        <v/>
      </c>
      <c r="DV53" s="96">
        <f>IFERROR(VLOOKUP($B53,INDIRECT("'GRD-"&amp;DV$11&amp;"'!B:R"),15,FALSE),"")</f>
        <v/>
      </c>
      <c r="DW53" s="96">
        <f>IFERROR(VLOOKUP($B53,INDIRECT("'GRD-"&amp;DW$11&amp;"'!B:R"),15,FALSE),"")</f>
        <v/>
      </c>
      <c r="DX53" s="96">
        <f>IFERROR(VLOOKUP($B53,INDIRECT("'GRD-"&amp;DX$11&amp;"'!B:R"),15,FALSE),"")</f>
        <v/>
      </c>
      <c r="DY53" s="96">
        <f>IFERROR(VLOOKUP($B53,INDIRECT("'GRD-"&amp;DY$11&amp;"'!B:R"),15,FALSE),"")</f>
        <v/>
      </c>
      <c r="DZ53" s="96">
        <f>IFERROR(VLOOKUP($B53,INDIRECT("'GRD-"&amp;DZ$11&amp;"'!B:R"),15,FALSE),"")</f>
        <v/>
      </c>
      <c r="EA53" s="96">
        <f>IFERROR(VLOOKUP($B53,INDIRECT("'GRD-"&amp;EA$11&amp;"'!B:R"),15,FALSE),"")</f>
        <v/>
      </c>
      <c r="EB53" s="96">
        <f>IFERROR(VLOOKUP($B53,INDIRECT("'GRD-"&amp;EB$11&amp;"'!B:R"),15,FALSE),"")</f>
        <v/>
      </c>
      <c r="EC53" s="96">
        <f>IFERROR(VLOOKUP($B53,INDIRECT("'GRD-"&amp;EC$11&amp;"'!B:R"),15,FALSE),"")</f>
        <v/>
      </c>
      <c r="ED53" s="96">
        <f>IFERROR(VLOOKUP($B53,INDIRECT("'GRD-"&amp;ED$11&amp;"'!B:R"),15,FALSE),"")</f>
        <v/>
      </c>
      <c r="EE53" s="96">
        <f>IFERROR(VLOOKUP($B53,INDIRECT("'GRD-"&amp;EE$11&amp;"'!B:R"),15,FALSE),"")</f>
        <v/>
      </c>
      <c r="EF53" s="96">
        <f>IFERROR(VLOOKUP($B53,INDIRECT("'GRD-"&amp;EF$11&amp;"'!B:R"),15,FALSE),"")</f>
        <v/>
      </c>
      <c r="EG53" s="96">
        <f>IFERROR(VLOOKUP($B53,INDIRECT("'GRD-"&amp;EG$11&amp;"'!B:R"),15,FALSE),"")</f>
        <v/>
      </c>
      <c r="EH53" s="96">
        <f>IFERROR(VLOOKUP($B53,INDIRECT("'GRD-"&amp;EH$11&amp;"'!B:R"),15,FALSE),"")</f>
        <v/>
      </c>
      <c r="EI53" s="96">
        <f>IFERROR(VLOOKUP($B53,INDIRECT("'GRD-"&amp;EI$11&amp;"'!B:R"),15,FALSE),"")</f>
        <v/>
      </c>
      <c r="EJ53" s="96">
        <f>IFERROR(VLOOKUP($B53,INDIRECT("'GRD-"&amp;EJ$11&amp;"'!B:R"),15,FALSE),"")</f>
        <v/>
      </c>
      <c r="EK53" s="96">
        <f>IFERROR(VLOOKUP($B53,INDIRECT("'GRD-"&amp;EK$11&amp;"'!B:R"),15,FALSE),"")</f>
        <v/>
      </c>
      <c r="EL53" s="96">
        <f>IFERROR(VLOOKUP($B53,INDIRECT("'GRD-"&amp;EL$11&amp;"'!B:R"),15,FALSE),"")</f>
        <v/>
      </c>
      <c r="EM53" s="96">
        <f>IFERROR(VLOOKUP($B53,INDIRECT("'GRD-"&amp;EM$11&amp;"'!B:R"),15,FALSE),"")</f>
        <v/>
      </c>
      <c r="EN53" s="96">
        <f>IFERROR(VLOOKUP($B53,INDIRECT("'GRD-"&amp;EN$11&amp;"'!B:R"),15,FALSE),"")</f>
        <v/>
      </c>
      <c r="EO53" s="96">
        <f>IFERROR(VLOOKUP($B53,INDIRECT("'GRD-"&amp;EO$11&amp;"'!B:R"),15,FALSE),"")</f>
        <v/>
      </c>
      <c r="EP53" s="96">
        <f>IFERROR(VLOOKUP($B53,INDIRECT("'GRD-"&amp;EP$11&amp;"'!B:R"),15,FALSE),"")</f>
        <v/>
      </c>
      <c r="EQ53" s="96">
        <f>IFERROR(VLOOKUP($B53,INDIRECT("'GRD-"&amp;EQ$11&amp;"'!B:R"),15,FALSE),"")</f>
        <v/>
      </c>
      <c r="ER53" s="96">
        <f>IFERROR(VLOOKUP($B53,INDIRECT("'GRD-"&amp;ER$11&amp;"'!B:R"),15,FALSE),"")</f>
        <v/>
      </c>
      <c r="ES53" s="96">
        <f>IFERROR(VLOOKUP($B53,INDIRECT("'GRD-"&amp;ES$11&amp;"'!B:R"),15,FALSE),"")</f>
        <v/>
      </c>
      <c r="ET53" s="96">
        <f>IFERROR(VLOOKUP($B53,INDIRECT("'GRD-"&amp;ET$11&amp;"'!B:R"),15,FALSE),"")</f>
        <v/>
      </c>
      <c r="EU53" s="96">
        <f>IFERROR(VLOOKUP($B53,INDIRECT("'GRD-"&amp;EU$11&amp;"'!B:R"),15,FALSE),"")</f>
        <v/>
      </c>
      <c r="EV53" s="96">
        <f>IFERROR(VLOOKUP($B53,INDIRECT("'GRD-"&amp;EV$11&amp;"'!B:R"),15,FALSE),"")</f>
        <v/>
      </c>
      <c r="EW53" s="96">
        <f>IFERROR(VLOOKUP($B53,INDIRECT("'GRD-"&amp;EW$11&amp;"'!B:R"),15,FALSE),"")</f>
        <v/>
      </c>
      <c r="EX53" s="96">
        <f>IFERROR(VLOOKUP($B53,INDIRECT("'GRD-"&amp;EX$11&amp;"'!B:R"),15,FALSE),"")</f>
        <v/>
      </c>
      <c r="EY53" s="96">
        <f>IFERROR(VLOOKUP($B53,INDIRECT("'GRD-"&amp;EY$11&amp;"'!B:R"),15,FALSE),"")</f>
        <v/>
      </c>
      <c r="EZ53" s="96">
        <f>IFERROR(VLOOKUP($B53,INDIRECT("'GRD-"&amp;EZ$11&amp;"'!B:R"),15,FALSE),"")</f>
        <v/>
      </c>
      <c r="FA53" s="96">
        <f>IFERROR(VLOOKUP($B53,INDIRECT("'GRD-"&amp;FA$11&amp;"'!B:R"),15,FALSE),"")</f>
        <v/>
      </c>
      <c r="FB53" s="96">
        <f>IFERROR(VLOOKUP($B53,INDIRECT("'GRD-"&amp;FB$11&amp;"'!B:R"),15,FALSE),"")</f>
        <v/>
      </c>
      <c r="FC53" s="96">
        <f>IFERROR(VLOOKUP($B53,INDIRECT("'GRD-"&amp;FC$11&amp;"'!B:R"),15,FALSE),"")</f>
        <v/>
      </c>
      <c r="FD53" s="96">
        <f>IFERROR(VLOOKUP($B53,INDIRECT("'GRD-"&amp;FD$11&amp;"'!B:R"),15,FALSE),"")</f>
        <v/>
      </c>
      <c r="FE53" s="96">
        <f>IFERROR(VLOOKUP($B53,INDIRECT("'GRD-"&amp;FE$11&amp;"'!B:R"),15,FALSE),"")</f>
        <v/>
      </c>
      <c r="FF53" s="96">
        <f>IFERROR(VLOOKUP($B53,INDIRECT("'GRD-"&amp;FF$11&amp;"'!B:R"),15,FALSE),"")</f>
        <v/>
      </c>
      <c r="FG53" s="96">
        <f>IFERROR(VLOOKUP($B53,INDIRECT("'GRD-"&amp;FG$11&amp;"'!B:R"),15,FALSE),"")</f>
        <v/>
      </c>
      <c r="FH53" s="96">
        <f>IFERROR(VLOOKUP($B53,INDIRECT("'GRD-"&amp;FH$11&amp;"'!B:R"),15,FALSE),"")</f>
        <v/>
      </c>
      <c r="FI53" s="96">
        <f>IFERROR(VLOOKUP($B53,INDIRECT("'GRD-"&amp;FI$11&amp;"'!B:R"),15,FALSE),"")</f>
        <v/>
      </c>
      <c r="FJ53" s="96">
        <f>IFERROR(VLOOKUP($B53,INDIRECT("'GRD-"&amp;FJ$11&amp;"'!B:R"),15,FALSE),"")</f>
        <v/>
      </c>
      <c r="FK53" s="96">
        <f>IFERROR(VLOOKUP($B53,INDIRECT("'GRD-"&amp;FK$11&amp;"'!B:R"),15,FALSE),"")</f>
        <v/>
      </c>
      <c r="FL53" s="96">
        <f>IFERROR(VLOOKUP($B53,INDIRECT("'GRD-"&amp;FL$11&amp;"'!B:R"),15,FALSE),"")</f>
        <v/>
      </c>
      <c r="FM53" s="96">
        <f>IFERROR(VLOOKUP($B53,INDIRECT("'GRD-"&amp;FM$11&amp;"'!B:R"),15,FALSE),"")</f>
        <v/>
      </c>
      <c r="FN53" s="96">
        <f>IFERROR(VLOOKUP($B53,INDIRECT("'GRD-"&amp;FN$11&amp;"'!B:R"),15,FALSE),"")</f>
        <v/>
      </c>
      <c r="FO53" s="96">
        <f>IFERROR(VLOOKUP($B53,INDIRECT("'GRD-"&amp;FO$11&amp;"'!B:R"),15,FALSE),"")</f>
        <v/>
      </c>
      <c r="FP53" s="96">
        <f>IFERROR(VLOOKUP($B53,INDIRECT("'GRD-"&amp;FP$11&amp;"'!B:R"),15,FALSE),"")</f>
        <v/>
      </c>
      <c r="FQ53" s="96">
        <f>IFERROR(VLOOKUP($B53,INDIRECT("'GRD-"&amp;FQ$11&amp;"'!B:R"),15,FALSE),"")</f>
        <v/>
      </c>
      <c r="FR53" s="96">
        <f>IFERROR(VLOOKUP($B53,INDIRECT("'GRD-"&amp;FR$11&amp;"'!B:R"),15,FALSE),"")</f>
        <v/>
      </c>
      <c r="FS53" s="96">
        <f>IFERROR(VLOOKUP($B53,INDIRECT("'GRD-"&amp;FS$11&amp;"'!B:R"),15,FALSE),"")</f>
        <v/>
      </c>
      <c r="FT53" s="96">
        <f>IFERROR(VLOOKUP($B53,INDIRECT("'GRD-"&amp;FT$11&amp;"'!B:R"),15,FALSE),"")</f>
        <v/>
      </c>
      <c r="FU53" s="96">
        <f>IFERROR(VLOOKUP($B53,INDIRECT("'GRD-"&amp;FU$11&amp;"'!B:R"),15,FALSE),"")</f>
        <v/>
      </c>
      <c r="FV53" s="96">
        <f>IFERROR(VLOOKUP($B53,INDIRECT("'GRD-"&amp;FV$11&amp;"'!B:R"),15,FALSE),"")</f>
        <v/>
      </c>
    </row>
    <row r="54">
      <c r="B54" s="68" t="n"/>
      <c r="C54" s="72" t="n"/>
      <c r="D54" s="73">
        <f>IF(K54="","",MAX($CA54:$FV54))</f>
        <v/>
      </c>
      <c r="E54" s="74">
        <f t="array" ref="E54">IF($K54="","",OFFSET($A$1,ROW($B54)-1,11+$D54*4,))</f>
        <v/>
      </c>
      <c r="F54" s="74">
        <f t="array" ref="F54">IF($K54="","",OFFSET($A$1,ROW($B54)-1,12+$D54*4,))</f>
        <v/>
      </c>
      <c r="G54" s="118">
        <f t="array" ref="G54">IF($K54="","",OFFSET($A$1,ROW($B54)-1,13+$D54*4,))</f>
        <v/>
      </c>
      <c r="H54" s="81" t="n"/>
      <c r="I54" s="82" t="n"/>
      <c r="J54" s="75">
        <f>IF(I54="A4",H54/8,IF(I54="A3",H54/4,IF(I54="A2",H54/2,IF(I54="A1",H54/1,IF(I54="A0",H54*2,"")))))</f>
        <v/>
      </c>
      <c r="K54" s="68">
        <f t="array" ref="K54">IFERROR(OFFSET($BZ$11,ROW($B54)-11,MATCH(K$10,$CA54:$FV54,0),),"")</f>
        <v/>
      </c>
      <c r="L54" s="85">
        <f>IF(K54="","",IF(VLOOKUP($B54,INDIRECT("'GRD-"&amp;M54&amp;"'!$B:$R"),16,FALSE)="","",VLOOKUP($B54,INDIRECT("'GRD-"&amp;M54&amp;"'!$B:$R"),16,FALSE)))</f>
        <v/>
      </c>
      <c r="M54" s="130">
        <f t="array" ref="M54">IF(K54="","",IFERROR(OFFSET($BZ$11,0,MATCH($K54,$CA54:$FV54,0),),""))</f>
        <v/>
      </c>
      <c r="N54" s="119">
        <f t="array" ref="N54">IF(K54="","",INDIRECT("'GRD-"&amp;M54&amp;"'!$L$7"))</f>
        <v/>
      </c>
      <c r="O54" s="76">
        <f t="array" ref="O54">IFERROR(OFFSET($BZ$11,ROW($B54)-11,MATCH(O$10,$CA54:$FV54,0),),"")</f>
        <v/>
      </c>
      <c r="P54" s="76">
        <f>IF(O54="","",IF(VLOOKUP($B54,INDIRECT("'GRD-"&amp;Q54&amp;"'!$B:$R"),16,FALSE)="","",VLOOKUP($B54,INDIRECT("'GRD-"&amp;Q54&amp;"'!$B:$R"),16,FALSE)))</f>
        <v/>
      </c>
      <c r="Q54" s="132">
        <f t="array" ref="Q54">IF(O54="","",IFERROR(OFFSET($BZ$11,0,MATCH($O54,$CA54:$FV54,0),),""))</f>
        <v/>
      </c>
      <c r="R54" s="121">
        <f t="array" ref="R54">IF(O54="","",INDIRECT("'GRD-"&amp;Q54&amp;"'!$L$7"))</f>
        <v/>
      </c>
      <c r="S54" s="83">
        <f t="array" ref="S54">IFERROR(OFFSET($BZ$11,ROW($B54)-11,MATCH(S$10,$CA54:$FV54,0),),"")</f>
        <v/>
      </c>
      <c r="T54" s="83">
        <f>IF(S54="","",IF(VLOOKUP($B54,INDIRECT("'GRD-"&amp;U54&amp;"'!$B:$R"),16,FALSE)="","",VLOOKUP($B54,INDIRECT("'GRD-"&amp;U54&amp;"'!$B:$R"),16,FALSE)))</f>
        <v/>
      </c>
      <c r="U54" s="128">
        <f t="array" ref="U54">IF(S54="","",IFERROR(OFFSET($BZ$11,0,MATCH($S54,$CA54:$FV54,0),),""))</f>
        <v/>
      </c>
      <c r="V54" s="133">
        <f t="array" ref="V54">IF(S54="","",INDIRECT("'GRD-"&amp;U54&amp;"'!$L$7"))</f>
        <v/>
      </c>
      <c r="W54" s="84">
        <f t="array" ref="W54">IFERROR(OFFSET($BZ$11,ROW($B54)-11,MATCH(W$10,$CA54:$FV54,0),),"")</f>
        <v/>
      </c>
      <c r="X54" s="84">
        <f>IF(W54="","",IF(VLOOKUP($B54,INDIRECT("'GRD-"&amp;Y54&amp;"'!$B:$R"),16,FALSE)="","",VLOOKUP($B54,INDIRECT("'GRD-"&amp;Y54&amp;"'!$B:$R"),16,FALSE)))</f>
        <v/>
      </c>
      <c r="Y54" s="129">
        <f t="array" ref="Y54">IF(W54="","",IFERROR(OFFSET($BZ$11,0,MATCH($W54,$CA54:$FV54,0),),""))</f>
        <v/>
      </c>
      <c r="Z54" s="134">
        <f t="array" ref="Z54">IF(W54="","",INDIRECT("'GRD-"&amp;Y54&amp;"'!$L$7"))</f>
        <v/>
      </c>
      <c r="AA54" s="85">
        <f t="array" ref="AA54">IFERROR(OFFSET($BZ$11,ROW($B54)-11,MATCH(AA$10,$CA54:$FV54,0),),"")</f>
        <v/>
      </c>
      <c r="AB54" s="85">
        <f>IF(AA54="","",IF(VLOOKUP($B54,INDIRECT("'GRD-"&amp;AC54&amp;"'!$B:$R"),16,FALSE)="","",VLOOKUP($B54,INDIRECT("'GRD-"&amp;AC54&amp;"'!$B:$R"),16,FALSE)))</f>
        <v/>
      </c>
      <c r="AC54" s="130">
        <f t="array" ref="AC54">IF(AA54="","",IFERROR(OFFSET($BZ$11,0,MATCH($AA54,$CA54:$FV54,0),),""))</f>
        <v/>
      </c>
      <c r="AD54" s="131">
        <f t="array" ref="AD54">IF(AA54="","",INDIRECT("'GRD-"&amp;AC54&amp;"'!$L$7"))</f>
        <v/>
      </c>
      <c r="AE54" s="76">
        <f t="array" ref="AE54">IFERROR(OFFSET($BZ$11,ROW($B54)-11,MATCH(AE$10,$CA54:$FV54,0),),"")</f>
        <v/>
      </c>
      <c r="AF54" s="76">
        <f>IF(AE54="","",IF(VLOOKUP($B54,INDIRECT("'GRD-"&amp;AG54&amp;"'!$B:$R"),16,FALSE)="","",VLOOKUP($B54,INDIRECT("'GRD-"&amp;AG54&amp;"'!$B:$R"),16,FALSE)))</f>
        <v/>
      </c>
      <c r="AG54" s="132">
        <f t="array" ref="AG54">IF(AE54="","",IFERROR(OFFSET($BZ$11,0,MATCH($AE54,$CA54:$FV54,0),),""))</f>
        <v/>
      </c>
      <c r="AH54" s="121">
        <f t="array" ref="AH54">IF(AE54="","",INDIRECT("'GRD-"&amp;AG54&amp;"'!$L$7"))</f>
        <v/>
      </c>
      <c r="AI54" s="83">
        <f t="array" ref="AI54">IFERROR(OFFSET($BZ$11,ROW($B54)-11,MATCH(AI$10,$CA54:$FV54,0),),"")</f>
        <v/>
      </c>
      <c r="AJ54" s="83">
        <f>IF(AI54="","",IF(VLOOKUP($B54,INDIRECT("'GRD-"&amp;AK54&amp;"'!$B:$R"),16,FALSE)="","",VLOOKUP($B54,INDIRECT("'GRD-"&amp;AK54&amp;"'!$B:$R"),16,FALSE)))</f>
        <v/>
      </c>
      <c r="AK54" s="128">
        <f t="array" ref="AK54">IF(AI54="","",IFERROR(OFFSET($BZ$11,0,MATCH($AI54,$CA54:$FV54,0),),""))</f>
        <v/>
      </c>
      <c r="AL54" s="133">
        <f t="array" ref="AL54">IF(AI54="","",INDIRECT("'GRD-"&amp;AK54&amp;"'!$L$7"))</f>
        <v/>
      </c>
      <c r="AM54" s="84">
        <f t="array" ref="AM54">IFERROR(OFFSET($BZ$11,ROW($B54)-11,MATCH(AM$10,$CA54:$FV54,0),),"")</f>
        <v/>
      </c>
      <c r="AN54" s="84">
        <f>IF(AM54="","",IF(VLOOKUP($B54,INDIRECT("'GRD-"&amp;AO54&amp;"'!$B:$R"),16,FALSE)="","",VLOOKUP($B54,INDIRECT("'GRD-"&amp;AO54&amp;"'!$B:$R"),16,FALSE)))</f>
        <v/>
      </c>
      <c r="AO54" s="129">
        <f t="array" ref="AO54">IF(AM54="","",IFERROR(OFFSET($BZ$11,0,MATCH($AM54,$CA54:$FV54,0),),""))</f>
        <v/>
      </c>
      <c r="AP54" s="134">
        <f t="array" ref="AP54">IF(AM54="","",INDIRECT("'GRD-"&amp;AO54&amp;"'!$L$7"))</f>
        <v/>
      </c>
      <c r="AQ54" s="85">
        <f t="array" ref="AQ54">IFERROR(OFFSET($BZ$11,ROW($B54)-11,MATCH(AQ$10,$CA54:$FV54,0),),"")</f>
        <v/>
      </c>
      <c r="AR54" s="85">
        <f>IF(AQ54="","",IF(VLOOKUP($B54,INDIRECT("'GRD-"&amp;AS54&amp;"'!$B:$R"),16,FALSE)="","",VLOOKUP($B54,INDIRECT("'GRD-"&amp;AS54&amp;"'!$B:$R"),16,FALSE)))</f>
        <v/>
      </c>
      <c r="AS54" s="130">
        <f t="array" ref="AS54">IF(AQ54="","",IFERROR(OFFSET($BZ$11,0,MATCH($AQ54,$CA54:$FV54,0),),""))</f>
        <v/>
      </c>
      <c r="AT54" s="131">
        <f t="array" ref="AT54">IF(AQ54="","",INDIRECT("'GRD-"&amp;AS54&amp;"'!$L$7"))</f>
        <v/>
      </c>
      <c r="AU54" s="76">
        <f t="array" ref="AU54">IFERROR(OFFSET($BZ$11,ROW($B54)-11,MATCH(AU$10,$CA54:$FV54,0),),"")</f>
        <v/>
      </c>
      <c r="AV54" s="76">
        <f>IF(AU54="","",IF(VLOOKUP($B54,INDIRECT("'GRD-"&amp;AW54&amp;"'!$B:$R"),16,FALSE)="","",VLOOKUP($B54,INDIRECT("'GRD-"&amp;AW54&amp;"'!$B:$R"),16,FALSE)))</f>
        <v/>
      </c>
      <c r="AW54" s="132">
        <f t="array" ref="AW54">IF(AU54="","",IFERROR(OFFSET($BZ$11,0,MATCH($AU54,$CA54:$FV54,0),),""))</f>
        <v/>
      </c>
      <c r="AX54" s="121">
        <f t="array" ref="AX54">IF(AU54="","",INDIRECT("'GRD-"&amp;AW54&amp;"'!$L$7"))</f>
        <v/>
      </c>
      <c r="AY54" s="83">
        <f t="array" ref="AY54">IFERROR(OFFSET($BZ$11,ROW($B54)-11,MATCH(AY$10,$CA54:$FV54,0),),"")</f>
        <v/>
      </c>
      <c r="AZ54" s="83">
        <f>IF(AY54="","",IF(VLOOKUP($B54,INDIRECT("'GRD-"&amp;BA54&amp;"'!$B:$R"),16,FALSE)="","",VLOOKUP($B54,INDIRECT("'GRD-"&amp;BA54&amp;"'!$B:$R"),16,FALSE)))</f>
        <v/>
      </c>
      <c r="BA54" s="128">
        <f t="array" ref="BA54">IF(AY54="","",IFERROR(OFFSET($BZ$11,0,MATCH($AY54,$CA54:$FV54,0),),""))</f>
        <v/>
      </c>
      <c r="BB54" s="133">
        <f t="array" ref="BB54">IF(AY54="","",INDIRECT("'GRD-"&amp;BA54&amp;"'!$L$7"))</f>
        <v/>
      </c>
      <c r="BC54" s="84">
        <f t="array" ref="BC54">IFERROR(OFFSET($BZ$11,ROW($B54)-11,MATCH(BC$10,$CA54:$FV54,0),),"")</f>
        <v/>
      </c>
      <c r="BD54" s="84">
        <f>IF(BC54="","",IF(VLOOKUP($B54,INDIRECT("'GRD-"&amp;BE54&amp;"'!$B:$R"),16,FALSE)="","",VLOOKUP($B54,INDIRECT("'GRD-"&amp;BE54&amp;"'!$B:$R"),16,FALSE)))</f>
        <v/>
      </c>
      <c r="BE54" s="129">
        <f t="array" ref="BE54">IF(BC54="","",IFERROR(OFFSET($BZ$11,0,MATCH($BC54,$CA54:$FV54,0),),""))</f>
        <v/>
      </c>
      <c r="BF54" s="134">
        <f t="array" ref="BF54">IF(BC54="","",INDIRECT("'GRD-"&amp;BE54&amp;"'!$L$7"))</f>
        <v/>
      </c>
      <c r="CA54" s="96">
        <f>IFERROR(VLOOKUP($B54,INDIRECT("'GRD-"&amp;CA$11&amp;"'!B:R"),15,FALSE),"")</f>
        <v/>
      </c>
      <c r="CB54" s="96">
        <f>IFERROR(VLOOKUP($B54,INDIRECT("'GRD-"&amp;CB$11&amp;"'!B:R"),15,FALSE),"")</f>
        <v/>
      </c>
      <c r="CC54" s="96">
        <f>IFERROR(VLOOKUP($B54,INDIRECT("'GRD-"&amp;CC$11&amp;"'!B:R"),15,FALSE),"")</f>
        <v/>
      </c>
      <c r="CD54" s="96">
        <f>IFERROR(VLOOKUP($B54,INDIRECT("'GRD-"&amp;CD$11&amp;"'!B:R"),15,FALSE),"")</f>
        <v/>
      </c>
      <c r="CE54" s="96">
        <f>IFERROR(VLOOKUP($B54,INDIRECT("'GRD-"&amp;CE$11&amp;"'!B:R"),15,FALSE),"")</f>
        <v/>
      </c>
      <c r="CF54" s="96">
        <f>IFERROR(VLOOKUP($B54,INDIRECT("'GRD-"&amp;CF$11&amp;"'!B:R"),15,FALSE),"")</f>
        <v/>
      </c>
      <c r="CG54" s="96">
        <f>IFERROR(VLOOKUP($B54,INDIRECT("'GRD-"&amp;CG$11&amp;"'!B:R"),15,FALSE),"")</f>
        <v/>
      </c>
      <c r="CH54" s="96">
        <f>IFERROR(VLOOKUP($B54,INDIRECT("'GRD-"&amp;CH$11&amp;"'!B:R"),15,FALSE),"")</f>
        <v/>
      </c>
      <c r="CI54" s="96">
        <f>IFERROR(VLOOKUP($B54,INDIRECT("'GRD-"&amp;CI$11&amp;"'!B:R"),15,FALSE),"")</f>
        <v/>
      </c>
      <c r="CJ54" s="96">
        <f>IFERROR(VLOOKUP($B54,INDIRECT("'GRD-"&amp;CJ$11&amp;"'!B:R"),15,FALSE),"")</f>
        <v/>
      </c>
      <c r="CK54" s="96">
        <f>IFERROR(VLOOKUP($B54,INDIRECT("'GRD-"&amp;CK$11&amp;"'!B:R"),15,FALSE),"")</f>
        <v/>
      </c>
      <c r="CL54" s="96">
        <f>IFERROR(VLOOKUP($B54,INDIRECT("'GRD-"&amp;CL$11&amp;"'!B:R"),15,FALSE),"")</f>
        <v/>
      </c>
      <c r="CM54" s="96">
        <f>IFERROR(VLOOKUP($B54,INDIRECT("'GRD-"&amp;CM$11&amp;"'!B:R"),15,FALSE),"")</f>
        <v/>
      </c>
      <c r="CN54" s="96">
        <f>IFERROR(VLOOKUP($B54,INDIRECT("'GRD-"&amp;CN$11&amp;"'!B:R"),15,FALSE),"")</f>
        <v/>
      </c>
      <c r="CO54" s="96">
        <f>IFERROR(VLOOKUP($B54,INDIRECT("'GRD-"&amp;CO$11&amp;"'!B:R"),15,FALSE),"")</f>
        <v/>
      </c>
      <c r="CP54" s="96">
        <f>IFERROR(VLOOKUP($B54,INDIRECT("'GRD-"&amp;CP$11&amp;"'!B:R"),15,FALSE),"")</f>
        <v/>
      </c>
      <c r="CQ54" s="96">
        <f>IFERROR(VLOOKUP($B54,INDIRECT("'GRD-"&amp;CQ$11&amp;"'!B:R"),15,FALSE),"")</f>
        <v/>
      </c>
      <c r="CR54" s="96">
        <f>IFERROR(VLOOKUP($B54,INDIRECT("'GRD-"&amp;CR$11&amp;"'!B:R"),15,FALSE),"")</f>
        <v/>
      </c>
      <c r="CS54" s="96">
        <f>IFERROR(VLOOKUP($B54,INDIRECT("'GRD-"&amp;CS$11&amp;"'!B:R"),15,FALSE),"")</f>
        <v/>
      </c>
      <c r="CT54" s="96">
        <f>IFERROR(VLOOKUP($B54,INDIRECT("'GRD-"&amp;CT$11&amp;"'!B:R"),15,FALSE),"")</f>
        <v/>
      </c>
      <c r="CU54" s="96">
        <f>IFERROR(VLOOKUP($B54,INDIRECT("'GRD-"&amp;CU$11&amp;"'!B:R"),15,FALSE),"")</f>
        <v/>
      </c>
      <c r="CV54" s="96">
        <f>IFERROR(VLOOKUP($B54,INDIRECT("'GRD-"&amp;CV$11&amp;"'!B:R"),15,FALSE),"")</f>
        <v/>
      </c>
      <c r="CW54" s="96">
        <f>IFERROR(VLOOKUP($B54,INDIRECT("'GRD-"&amp;CW$11&amp;"'!B:R"),15,FALSE),"")</f>
        <v/>
      </c>
      <c r="CX54" s="96">
        <f>IFERROR(VLOOKUP($B54,INDIRECT("'GRD-"&amp;CX$11&amp;"'!B:R"),15,FALSE),"")</f>
        <v/>
      </c>
      <c r="CY54" s="96">
        <f>IFERROR(VLOOKUP($B54,INDIRECT("'GRD-"&amp;CY$11&amp;"'!B:R"),15,FALSE),"")</f>
        <v/>
      </c>
      <c r="CZ54" s="96">
        <f>IFERROR(VLOOKUP($B54,INDIRECT("'GRD-"&amp;CZ$11&amp;"'!B:R"),15,FALSE),"")</f>
        <v/>
      </c>
      <c r="DA54" s="96">
        <f>IFERROR(VLOOKUP($B54,INDIRECT("'GRD-"&amp;DA$11&amp;"'!B:R"),15,FALSE),"")</f>
        <v/>
      </c>
      <c r="DB54" s="96">
        <f>IFERROR(VLOOKUP($B54,INDIRECT("'GRD-"&amp;DB$11&amp;"'!B:R"),15,FALSE),"")</f>
        <v/>
      </c>
      <c r="DC54" s="96">
        <f>IFERROR(VLOOKUP($B54,INDIRECT("'GRD-"&amp;DC$11&amp;"'!B:R"),15,FALSE),"")</f>
        <v/>
      </c>
      <c r="DD54" s="96">
        <f>IFERROR(VLOOKUP($B54,INDIRECT("'GRD-"&amp;DD$11&amp;"'!B:R"),15,FALSE),"")</f>
        <v/>
      </c>
      <c r="DE54" s="96">
        <f>IFERROR(VLOOKUP($B54,INDIRECT("'GRD-"&amp;DE$11&amp;"'!B:R"),15,FALSE),"")</f>
        <v/>
      </c>
      <c r="DF54" s="96">
        <f>IFERROR(VLOOKUP($B54,INDIRECT("'GRD-"&amp;DF$11&amp;"'!B:R"),15,FALSE),"")</f>
        <v/>
      </c>
      <c r="DG54" s="96">
        <f>IFERROR(VLOOKUP($B54,INDIRECT("'GRD-"&amp;DG$11&amp;"'!B:R"),15,FALSE),"")</f>
        <v/>
      </c>
      <c r="DH54" s="96">
        <f>IFERROR(VLOOKUP($B54,INDIRECT("'GRD-"&amp;DH$11&amp;"'!B:R"),15,FALSE),"")</f>
        <v/>
      </c>
      <c r="DI54" s="96">
        <f>IFERROR(VLOOKUP($B54,INDIRECT("'GRD-"&amp;DI$11&amp;"'!B:R"),15,FALSE),"")</f>
        <v/>
      </c>
      <c r="DJ54" s="96">
        <f>IFERROR(VLOOKUP($B54,INDIRECT("'GRD-"&amp;DJ$11&amp;"'!B:R"),15,FALSE),"")</f>
        <v/>
      </c>
      <c r="DK54" s="96">
        <f>IFERROR(VLOOKUP($B54,INDIRECT("'GRD-"&amp;DK$11&amp;"'!B:R"),15,FALSE),"")</f>
        <v/>
      </c>
      <c r="DL54" s="96">
        <f>IFERROR(VLOOKUP($B54,INDIRECT("'GRD-"&amp;DL$11&amp;"'!B:R"),15,FALSE),"")</f>
        <v/>
      </c>
      <c r="DM54" s="96">
        <f>IFERROR(VLOOKUP($B54,INDIRECT("'GRD-"&amp;DM$11&amp;"'!B:R"),15,FALSE),"")</f>
        <v/>
      </c>
      <c r="DN54" s="96">
        <f>IFERROR(VLOOKUP($B54,INDIRECT("'GRD-"&amp;DN$11&amp;"'!B:R"),15,FALSE),"")</f>
        <v/>
      </c>
      <c r="DO54" s="96">
        <f>IFERROR(VLOOKUP($B54,INDIRECT("'GRD-"&amp;DO$11&amp;"'!B:R"),15,FALSE),"")</f>
        <v/>
      </c>
      <c r="DP54" s="96">
        <f>IFERROR(VLOOKUP($B54,INDIRECT("'GRD-"&amp;DP$11&amp;"'!B:R"),15,FALSE),"")</f>
        <v/>
      </c>
      <c r="DQ54" s="96">
        <f>IFERROR(VLOOKUP($B54,INDIRECT("'GRD-"&amp;DQ$11&amp;"'!B:R"),15,FALSE),"")</f>
        <v/>
      </c>
      <c r="DR54" s="96">
        <f>IFERROR(VLOOKUP($B54,INDIRECT("'GRD-"&amp;DR$11&amp;"'!B:R"),15,FALSE),"")</f>
        <v/>
      </c>
      <c r="DS54" s="96">
        <f>IFERROR(VLOOKUP($B54,INDIRECT("'GRD-"&amp;DS$11&amp;"'!B:R"),15,FALSE),"")</f>
        <v/>
      </c>
      <c r="DT54" s="96">
        <f>IFERROR(VLOOKUP($B54,INDIRECT("'GRD-"&amp;DT$11&amp;"'!B:R"),15,FALSE),"")</f>
        <v/>
      </c>
      <c r="DU54" s="96">
        <f>IFERROR(VLOOKUP($B54,INDIRECT("'GRD-"&amp;DU$11&amp;"'!B:R"),15,FALSE),"")</f>
        <v/>
      </c>
      <c r="DV54" s="96">
        <f>IFERROR(VLOOKUP($B54,INDIRECT("'GRD-"&amp;DV$11&amp;"'!B:R"),15,FALSE),"")</f>
        <v/>
      </c>
      <c r="DW54" s="96">
        <f>IFERROR(VLOOKUP($B54,INDIRECT("'GRD-"&amp;DW$11&amp;"'!B:R"),15,FALSE),"")</f>
        <v/>
      </c>
      <c r="DX54" s="96">
        <f>IFERROR(VLOOKUP($B54,INDIRECT("'GRD-"&amp;DX$11&amp;"'!B:R"),15,FALSE),"")</f>
        <v/>
      </c>
      <c r="DY54" s="96">
        <f>IFERROR(VLOOKUP($B54,INDIRECT("'GRD-"&amp;DY$11&amp;"'!B:R"),15,FALSE),"")</f>
        <v/>
      </c>
      <c r="DZ54" s="96">
        <f>IFERROR(VLOOKUP($B54,INDIRECT("'GRD-"&amp;DZ$11&amp;"'!B:R"),15,FALSE),"")</f>
        <v/>
      </c>
      <c r="EA54" s="96">
        <f>IFERROR(VLOOKUP($B54,INDIRECT("'GRD-"&amp;EA$11&amp;"'!B:R"),15,FALSE),"")</f>
        <v/>
      </c>
      <c r="EB54" s="96">
        <f>IFERROR(VLOOKUP($B54,INDIRECT("'GRD-"&amp;EB$11&amp;"'!B:R"),15,FALSE),"")</f>
        <v/>
      </c>
      <c r="EC54" s="96">
        <f>IFERROR(VLOOKUP($B54,INDIRECT("'GRD-"&amp;EC$11&amp;"'!B:R"),15,FALSE),"")</f>
        <v/>
      </c>
      <c r="ED54" s="96">
        <f>IFERROR(VLOOKUP($B54,INDIRECT("'GRD-"&amp;ED$11&amp;"'!B:R"),15,FALSE),"")</f>
        <v/>
      </c>
      <c r="EE54" s="96">
        <f>IFERROR(VLOOKUP($B54,INDIRECT("'GRD-"&amp;EE$11&amp;"'!B:R"),15,FALSE),"")</f>
        <v/>
      </c>
      <c r="EF54" s="96">
        <f>IFERROR(VLOOKUP($B54,INDIRECT("'GRD-"&amp;EF$11&amp;"'!B:R"),15,FALSE),"")</f>
        <v/>
      </c>
      <c r="EG54" s="96">
        <f>IFERROR(VLOOKUP($B54,INDIRECT("'GRD-"&amp;EG$11&amp;"'!B:R"),15,FALSE),"")</f>
        <v/>
      </c>
      <c r="EH54" s="96">
        <f>IFERROR(VLOOKUP($B54,INDIRECT("'GRD-"&amp;EH$11&amp;"'!B:R"),15,FALSE),"")</f>
        <v/>
      </c>
      <c r="EI54" s="96">
        <f>IFERROR(VLOOKUP($B54,INDIRECT("'GRD-"&amp;EI$11&amp;"'!B:R"),15,FALSE),"")</f>
        <v/>
      </c>
      <c r="EJ54" s="96">
        <f>IFERROR(VLOOKUP($B54,INDIRECT("'GRD-"&amp;EJ$11&amp;"'!B:R"),15,FALSE),"")</f>
        <v/>
      </c>
      <c r="EK54" s="96">
        <f>IFERROR(VLOOKUP($B54,INDIRECT("'GRD-"&amp;EK$11&amp;"'!B:R"),15,FALSE),"")</f>
        <v/>
      </c>
      <c r="EL54" s="96">
        <f>IFERROR(VLOOKUP($B54,INDIRECT("'GRD-"&amp;EL$11&amp;"'!B:R"),15,FALSE),"")</f>
        <v/>
      </c>
      <c r="EM54" s="96">
        <f>IFERROR(VLOOKUP($B54,INDIRECT("'GRD-"&amp;EM$11&amp;"'!B:R"),15,FALSE),"")</f>
        <v/>
      </c>
      <c r="EN54" s="96">
        <f>IFERROR(VLOOKUP($B54,INDIRECT("'GRD-"&amp;EN$11&amp;"'!B:R"),15,FALSE),"")</f>
        <v/>
      </c>
      <c r="EO54" s="96">
        <f>IFERROR(VLOOKUP($B54,INDIRECT("'GRD-"&amp;EO$11&amp;"'!B:R"),15,FALSE),"")</f>
        <v/>
      </c>
      <c r="EP54" s="96">
        <f>IFERROR(VLOOKUP($B54,INDIRECT("'GRD-"&amp;EP$11&amp;"'!B:R"),15,FALSE),"")</f>
        <v/>
      </c>
      <c r="EQ54" s="96">
        <f>IFERROR(VLOOKUP($B54,INDIRECT("'GRD-"&amp;EQ$11&amp;"'!B:R"),15,FALSE),"")</f>
        <v/>
      </c>
      <c r="ER54" s="96">
        <f>IFERROR(VLOOKUP($B54,INDIRECT("'GRD-"&amp;ER$11&amp;"'!B:R"),15,FALSE),"")</f>
        <v/>
      </c>
      <c r="ES54" s="96">
        <f>IFERROR(VLOOKUP($B54,INDIRECT("'GRD-"&amp;ES$11&amp;"'!B:R"),15,FALSE),"")</f>
        <v/>
      </c>
      <c r="ET54" s="96">
        <f>IFERROR(VLOOKUP($B54,INDIRECT("'GRD-"&amp;ET$11&amp;"'!B:R"),15,FALSE),"")</f>
        <v/>
      </c>
      <c r="EU54" s="96">
        <f>IFERROR(VLOOKUP($B54,INDIRECT("'GRD-"&amp;EU$11&amp;"'!B:R"),15,FALSE),"")</f>
        <v/>
      </c>
      <c r="EV54" s="96">
        <f>IFERROR(VLOOKUP($B54,INDIRECT("'GRD-"&amp;EV$11&amp;"'!B:R"),15,FALSE),"")</f>
        <v/>
      </c>
      <c r="EW54" s="96">
        <f>IFERROR(VLOOKUP($B54,INDIRECT("'GRD-"&amp;EW$11&amp;"'!B:R"),15,FALSE),"")</f>
        <v/>
      </c>
      <c r="EX54" s="96">
        <f>IFERROR(VLOOKUP($B54,INDIRECT("'GRD-"&amp;EX$11&amp;"'!B:R"),15,FALSE),"")</f>
        <v/>
      </c>
      <c r="EY54" s="96">
        <f>IFERROR(VLOOKUP($B54,INDIRECT("'GRD-"&amp;EY$11&amp;"'!B:R"),15,FALSE),"")</f>
        <v/>
      </c>
      <c r="EZ54" s="96">
        <f>IFERROR(VLOOKUP($B54,INDIRECT("'GRD-"&amp;EZ$11&amp;"'!B:R"),15,FALSE),"")</f>
        <v/>
      </c>
      <c r="FA54" s="96">
        <f>IFERROR(VLOOKUP($B54,INDIRECT("'GRD-"&amp;FA$11&amp;"'!B:R"),15,FALSE),"")</f>
        <v/>
      </c>
      <c r="FB54" s="96">
        <f>IFERROR(VLOOKUP($B54,INDIRECT("'GRD-"&amp;FB$11&amp;"'!B:R"),15,FALSE),"")</f>
        <v/>
      </c>
      <c r="FC54" s="96">
        <f>IFERROR(VLOOKUP($B54,INDIRECT("'GRD-"&amp;FC$11&amp;"'!B:R"),15,FALSE),"")</f>
        <v/>
      </c>
      <c r="FD54" s="96">
        <f>IFERROR(VLOOKUP($B54,INDIRECT("'GRD-"&amp;FD$11&amp;"'!B:R"),15,FALSE),"")</f>
        <v/>
      </c>
      <c r="FE54" s="96">
        <f>IFERROR(VLOOKUP($B54,INDIRECT("'GRD-"&amp;FE$11&amp;"'!B:R"),15,FALSE),"")</f>
        <v/>
      </c>
      <c r="FF54" s="96">
        <f>IFERROR(VLOOKUP($B54,INDIRECT("'GRD-"&amp;FF$11&amp;"'!B:R"),15,FALSE),"")</f>
        <v/>
      </c>
      <c r="FG54" s="96">
        <f>IFERROR(VLOOKUP($B54,INDIRECT("'GRD-"&amp;FG$11&amp;"'!B:R"),15,FALSE),"")</f>
        <v/>
      </c>
      <c r="FH54" s="96">
        <f>IFERROR(VLOOKUP($B54,INDIRECT("'GRD-"&amp;FH$11&amp;"'!B:R"),15,FALSE),"")</f>
        <v/>
      </c>
      <c r="FI54" s="96">
        <f>IFERROR(VLOOKUP($B54,INDIRECT("'GRD-"&amp;FI$11&amp;"'!B:R"),15,FALSE),"")</f>
        <v/>
      </c>
      <c r="FJ54" s="96">
        <f>IFERROR(VLOOKUP($B54,INDIRECT("'GRD-"&amp;FJ$11&amp;"'!B:R"),15,FALSE),"")</f>
        <v/>
      </c>
      <c r="FK54" s="96">
        <f>IFERROR(VLOOKUP($B54,INDIRECT("'GRD-"&amp;FK$11&amp;"'!B:R"),15,FALSE),"")</f>
        <v/>
      </c>
      <c r="FL54" s="96">
        <f>IFERROR(VLOOKUP($B54,INDIRECT("'GRD-"&amp;FL$11&amp;"'!B:R"),15,FALSE),"")</f>
        <v/>
      </c>
      <c r="FM54" s="96">
        <f>IFERROR(VLOOKUP($B54,INDIRECT("'GRD-"&amp;FM$11&amp;"'!B:R"),15,FALSE),"")</f>
        <v/>
      </c>
      <c r="FN54" s="96">
        <f>IFERROR(VLOOKUP($B54,INDIRECT("'GRD-"&amp;FN$11&amp;"'!B:R"),15,FALSE),"")</f>
        <v/>
      </c>
      <c r="FO54" s="96">
        <f>IFERROR(VLOOKUP($B54,INDIRECT("'GRD-"&amp;FO$11&amp;"'!B:R"),15,FALSE),"")</f>
        <v/>
      </c>
      <c r="FP54" s="96">
        <f>IFERROR(VLOOKUP($B54,INDIRECT("'GRD-"&amp;FP$11&amp;"'!B:R"),15,FALSE),"")</f>
        <v/>
      </c>
      <c r="FQ54" s="96">
        <f>IFERROR(VLOOKUP($B54,INDIRECT("'GRD-"&amp;FQ$11&amp;"'!B:R"),15,FALSE),"")</f>
        <v/>
      </c>
      <c r="FR54" s="96">
        <f>IFERROR(VLOOKUP($B54,INDIRECT("'GRD-"&amp;FR$11&amp;"'!B:R"),15,FALSE),"")</f>
        <v/>
      </c>
      <c r="FS54" s="96">
        <f>IFERROR(VLOOKUP($B54,INDIRECT("'GRD-"&amp;FS$11&amp;"'!B:R"),15,FALSE),"")</f>
        <v/>
      </c>
      <c r="FT54" s="96">
        <f>IFERROR(VLOOKUP($B54,INDIRECT("'GRD-"&amp;FT$11&amp;"'!B:R"),15,FALSE),"")</f>
        <v/>
      </c>
      <c r="FU54" s="96">
        <f>IFERROR(VLOOKUP($B54,INDIRECT("'GRD-"&amp;FU$11&amp;"'!B:R"),15,FALSE),"")</f>
        <v/>
      </c>
      <c r="FV54" s="96">
        <f>IFERROR(VLOOKUP($B54,INDIRECT("'GRD-"&amp;FV$11&amp;"'!B:R"),15,FALSE),"")</f>
        <v/>
      </c>
    </row>
    <row r="55">
      <c r="B55" s="68" t="n"/>
      <c r="C55" s="72" t="n"/>
      <c r="D55" s="73">
        <f>IF(K55="","",MAX($CA55:$FV55))</f>
        <v/>
      </c>
      <c r="E55" s="74">
        <f t="array" ref="E55">IF($K55="","",OFFSET($A$1,ROW($B55)-1,11+$D55*4,))</f>
        <v/>
      </c>
      <c r="F55" s="74">
        <f t="array" ref="F55">IF($K55="","",OFFSET($A$1,ROW($B55)-1,12+$D55*4,))</f>
        <v/>
      </c>
      <c r="G55" s="118">
        <f t="array" ref="G55">IF($K55="","",OFFSET($A$1,ROW($B55)-1,13+$D55*4,))</f>
        <v/>
      </c>
      <c r="H55" s="81" t="n"/>
      <c r="I55" s="82" t="n"/>
      <c r="J55" s="75">
        <f>IF(I55="A4",H55/8,IF(I55="A3",H55/4,IF(I55="A2",H55/2,IF(I55="A1",H55/1,IF(I55="A0",H55*2,"")))))</f>
        <v/>
      </c>
      <c r="K55" s="68">
        <f t="array" ref="K55">IFERROR(OFFSET($BZ$11,ROW($B55)-11,MATCH(K$10,$CA55:$FV55,0),),"")</f>
        <v/>
      </c>
      <c r="L55" s="85">
        <f>IF(K55="","",IF(VLOOKUP($B55,INDIRECT("'GRD-"&amp;M55&amp;"'!$B:$R"),16,FALSE)="","",VLOOKUP($B55,INDIRECT("'GRD-"&amp;M55&amp;"'!$B:$R"),16,FALSE)))</f>
        <v/>
      </c>
      <c r="M55" s="130">
        <f t="array" ref="M55">IF(K55="","",IFERROR(OFFSET($BZ$11,0,MATCH($K55,$CA55:$FV55,0),),""))</f>
        <v/>
      </c>
      <c r="N55" s="119">
        <f t="array" ref="N55">IF(K55="","",INDIRECT("'GRD-"&amp;M55&amp;"'!$L$7"))</f>
        <v/>
      </c>
      <c r="O55" s="76">
        <f t="array" ref="O55">IFERROR(OFFSET($BZ$11,ROW($B55)-11,MATCH(O$10,$CA55:$FV55,0),),"")</f>
        <v/>
      </c>
      <c r="P55" s="76">
        <f>IF(O55="","",IF(VLOOKUP($B55,INDIRECT("'GRD-"&amp;Q55&amp;"'!$B:$R"),16,FALSE)="","",VLOOKUP($B55,INDIRECT("'GRD-"&amp;Q55&amp;"'!$B:$R"),16,FALSE)))</f>
        <v/>
      </c>
      <c r="Q55" s="132">
        <f t="array" ref="Q55">IF(O55="","",IFERROR(OFFSET($BZ$11,0,MATCH($O55,$CA55:$FV55,0),),""))</f>
        <v/>
      </c>
      <c r="R55" s="121">
        <f t="array" ref="R55">IF(O55="","",INDIRECT("'GRD-"&amp;Q55&amp;"'!$L$7"))</f>
        <v/>
      </c>
      <c r="S55" s="83">
        <f t="array" ref="S55">IFERROR(OFFSET($BZ$11,ROW($B55)-11,MATCH(S$10,$CA55:$FV55,0),),"")</f>
        <v/>
      </c>
      <c r="T55" s="83">
        <f>IF(S55="","",IF(VLOOKUP($B55,INDIRECT("'GRD-"&amp;U55&amp;"'!$B:$R"),16,FALSE)="","",VLOOKUP($B55,INDIRECT("'GRD-"&amp;U55&amp;"'!$B:$R"),16,FALSE)))</f>
        <v/>
      </c>
      <c r="U55" s="128">
        <f t="array" ref="U55">IF(S55="","",IFERROR(OFFSET($BZ$11,0,MATCH($S55,$CA55:$FV55,0),),""))</f>
        <v/>
      </c>
      <c r="V55" s="133">
        <f t="array" ref="V55">IF(S55="","",INDIRECT("'GRD-"&amp;U55&amp;"'!$L$7"))</f>
        <v/>
      </c>
      <c r="W55" s="84">
        <f t="array" ref="W55">IFERROR(OFFSET($BZ$11,ROW($B55)-11,MATCH(W$10,$CA55:$FV55,0),),"")</f>
        <v/>
      </c>
      <c r="X55" s="84">
        <f>IF(W55="","",IF(VLOOKUP($B55,INDIRECT("'GRD-"&amp;Y55&amp;"'!$B:$R"),16,FALSE)="","",VLOOKUP($B55,INDIRECT("'GRD-"&amp;Y55&amp;"'!$B:$R"),16,FALSE)))</f>
        <v/>
      </c>
      <c r="Y55" s="129">
        <f t="array" ref="Y55">IF(W55="","",IFERROR(OFFSET($BZ$11,0,MATCH($W55,$CA55:$FV55,0),),""))</f>
        <v/>
      </c>
      <c r="Z55" s="134">
        <f t="array" ref="Z55">IF(W55="","",INDIRECT("'GRD-"&amp;Y55&amp;"'!$L$7"))</f>
        <v/>
      </c>
      <c r="AA55" s="85">
        <f t="array" ref="AA55">IFERROR(OFFSET($BZ$11,ROW($B55)-11,MATCH(AA$10,$CA55:$FV55,0),),"")</f>
        <v/>
      </c>
      <c r="AB55" s="85">
        <f>IF(AA55="","",IF(VLOOKUP($B55,INDIRECT("'GRD-"&amp;AC55&amp;"'!$B:$R"),16,FALSE)="","",VLOOKUP($B55,INDIRECT("'GRD-"&amp;AC55&amp;"'!$B:$R"),16,FALSE)))</f>
        <v/>
      </c>
      <c r="AC55" s="130">
        <f t="array" ref="AC55">IF(AA55="","",IFERROR(OFFSET($BZ$11,0,MATCH($AA55,$CA55:$FV55,0),),""))</f>
        <v/>
      </c>
      <c r="AD55" s="131">
        <f t="array" ref="AD55">IF(AA55="","",INDIRECT("'GRD-"&amp;AC55&amp;"'!$L$7"))</f>
        <v/>
      </c>
      <c r="AE55" s="76">
        <f t="array" ref="AE55">IFERROR(OFFSET($BZ$11,ROW($B55)-11,MATCH(AE$10,$CA55:$FV55,0),),"")</f>
        <v/>
      </c>
      <c r="AF55" s="76">
        <f>IF(AE55="","",IF(VLOOKUP($B55,INDIRECT("'GRD-"&amp;AG55&amp;"'!$B:$R"),16,FALSE)="","",VLOOKUP($B55,INDIRECT("'GRD-"&amp;AG55&amp;"'!$B:$R"),16,FALSE)))</f>
        <v/>
      </c>
      <c r="AG55" s="132">
        <f t="array" ref="AG55">IF(AE55="","",IFERROR(OFFSET($BZ$11,0,MATCH($AE55,$CA55:$FV55,0),),""))</f>
        <v/>
      </c>
      <c r="AH55" s="121">
        <f t="array" ref="AH55">IF(AE55="","",INDIRECT("'GRD-"&amp;AG55&amp;"'!$L$7"))</f>
        <v/>
      </c>
      <c r="AI55" s="83">
        <f t="array" ref="AI55">IFERROR(OFFSET($BZ$11,ROW($B55)-11,MATCH(AI$10,$CA55:$FV55,0),),"")</f>
        <v/>
      </c>
      <c r="AJ55" s="83">
        <f>IF(AI55="","",IF(VLOOKUP($B55,INDIRECT("'GRD-"&amp;AK55&amp;"'!$B:$R"),16,FALSE)="","",VLOOKUP($B55,INDIRECT("'GRD-"&amp;AK55&amp;"'!$B:$R"),16,FALSE)))</f>
        <v/>
      </c>
      <c r="AK55" s="128">
        <f t="array" ref="AK55">IF(AI55="","",IFERROR(OFFSET($BZ$11,0,MATCH($AI55,$CA55:$FV55,0),),""))</f>
        <v/>
      </c>
      <c r="AL55" s="133">
        <f t="array" ref="AL55">IF(AI55="","",INDIRECT("'GRD-"&amp;AK55&amp;"'!$L$7"))</f>
        <v/>
      </c>
      <c r="AM55" s="84">
        <f t="array" ref="AM55">IFERROR(OFFSET($BZ$11,ROW($B55)-11,MATCH(AM$10,$CA55:$FV55,0),),"")</f>
        <v/>
      </c>
      <c r="AN55" s="84">
        <f>IF(AM55="","",IF(VLOOKUP($B55,INDIRECT("'GRD-"&amp;AO55&amp;"'!$B:$R"),16,FALSE)="","",VLOOKUP($B55,INDIRECT("'GRD-"&amp;AO55&amp;"'!$B:$R"),16,FALSE)))</f>
        <v/>
      </c>
      <c r="AO55" s="129">
        <f t="array" ref="AO55">IF(AM55="","",IFERROR(OFFSET($BZ$11,0,MATCH($AM55,$CA55:$FV55,0),),""))</f>
        <v/>
      </c>
      <c r="AP55" s="134">
        <f t="array" ref="AP55">IF(AM55="","",INDIRECT("'GRD-"&amp;AO55&amp;"'!$L$7"))</f>
        <v/>
      </c>
      <c r="AQ55" s="85">
        <f t="array" ref="AQ55">IFERROR(OFFSET($BZ$11,ROW($B55)-11,MATCH(AQ$10,$CA55:$FV55,0),),"")</f>
        <v/>
      </c>
      <c r="AR55" s="85">
        <f>IF(AQ55="","",IF(VLOOKUP($B55,INDIRECT("'GRD-"&amp;AS55&amp;"'!$B:$R"),16,FALSE)="","",VLOOKUP($B55,INDIRECT("'GRD-"&amp;AS55&amp;"'!$B:$R"),16,FALSE)))</f>
        <v/>
      </c>
      <c r="AS55" s="130">
        <f t="array" ref="AS55">IF(AQ55="","",IFERROR(OFFSET($BZ$11,0,MATCH($AQ55,$CA55:$FV55,0),),""))</f>
        <v/>
      </c>
      <c r="AT55" s="131">
        <f t="array" ref="AT55">IF(AQ55="","",INDIRECT("'GRD-"&amp;AS55&amp;"'!$L$7"))</f>
        <v/>
      </c>
      <c r="AU55" s="76">
        <f t="array" ref="AU55">IFERROR(OFFSET($BZ$11,ROW($B55)-11,MATCH(AU$10,$CA55:$FV55,0),),"")</f>
        <v/>
      </c>
      <c r="AV55" s="76">
        <f>IF(AU55="","",IF(VLOOKUP($B55,INDIRECT("'GRD-"&amp;AW55&amp;"'!$B:$R"),16,FALSE)="","",VLOOKUP($B55,INDIRECT("'GRD-"&amp;AW55&amp;"'!$B:$R"),16,FALSE)))</f>
        <v/>
      </c>
      <c r="AW55" s="132">
        <f t="array" ref="AW55">IF(AU55="","",IFERROR(OFFSET($BZ$11,0,MATCH($AU55,$CA55:$FV55,0),),""))</f>
        <v/>
      </c>
      <c r="AX55" s="121">
        <f t="array" ref="AX55">IF(AU55="","",INDIRECT("'GRD-"&amp;AW55&amp;"'!$L$7"))</f>
        <v/>
      </c>
      <c r="AY55" s="83">
        <f t="array" ref="AY55">IFERROR(OFFSET($BZ$11,ROW($B55)-11,MATCH(AY$10,$CA55:$FV55,0),),"")</f>
        <v/>
      </c>
      <c r="AZ55" s="83">
        <f>IF(AY55="","",IF(VLOOKUP($B55,INDIRECT("'GRD-"&amp;BA55&amp;"'!$B:$R"),16,FALSE)="","",VLOOKUP($B55,INDIRECT("'GRD-"&amp;BA55&amp;"'!$B:$R"),16,FALSE)))</f>
        <v/>
      </c>
      <c r="BA55" s="128">
        <f t="array" ref="BA55">IF(AY55="","",IFERROR(OFFSET($BZ$11,0,MATCH($AY55,$CA55:$FV55,0),),""))</f>
        <v/>
      </c>
      <c r="BB55" s="133">
        <f t="array" ref="BB55">IF(AY55="","",INDIRECT("'GRD-"&amp;BA55&amp;"'!$L$7"))</f>
        <v/>
      </c>
      <c r="BC55" s="84">
        <f t="array" ref="BC55">IFERROR(OFFSET($BZ$11,ROW($B55)-11,MATCH(BC$10,$CA55:$FV55,0),),"")</f>
        <v/>
      </c>
      <c r="BD55" s="84">
        <f>IF(BC55="","",IF(VLOOKUP($B55,INDIRECT("'GRD-"&amp;BE55&amp;"'!$B:$R"),16,FALSE)="","",VLOOKUP($B55,INDIRECT("'GRD-"&amp;BE55&amp;"'!$B:$R"),16,FALSE)))</f>
        <v/>
      </c>
      <c r="BE55" s="129">
        <f t="array" ref="BE55">IF(BC55="","",IFERROR(OFFSET($BZ$11,0,MATCH($BC55,$CA55:$FV55,0),),""))</f>
        <v/>
      </c>
      <c r="BF55" s="134">
        <f t="array" ref="BF55">IF(BC55="","",INDIRECT("'GRD-"&amp;BE55&amp;"'!$L$7"))</f>
        <v/>
      </c>
      <c r="CA55" s="96">
        <f>IFERROR(VLOOKUP($B55,INDIRECT("'GRD-"&amp;CA$11&amp;"'!B:R"),15,FALSE),"")</f>
        <v/>
      </c>
      <c r="CB55" s="96">
        <f>IFERROR(VLOOKUP($B55,INDIRECT("'GRD-"&amp;CB$11&amp;"'!B:R"),15,FALSE),"")</f>
        <v/>
      </c>
      <c r="CC55" s="96">
        <f>IFERROR(VLOOKUP($B55,INDIRECT("'GRD-"&amp;CC$11&amp;"'!B:R"),15,FALSE),"")</f>
        <v/>
      </c>
      <c r="CD55" s="96">
        <f>IFERROR(VLOOKUP($B55,INDIRECT("'GRD-"&amp;CD$11&amp;"'!B:R"),15,FALSE),"")</f>
        <v/>
      </c>
      <c r="CE55" s="96">
        <f>IFERROR(VLOOKUP($B55,INDIRECT("'GRD-"&amp;CE$11&amp;"'!B:R"),15,FALSE),"")</f>
        <v/>
      </c>
      <c r="CF55" s="96">
        <f>IFERROR(VLOOKUP($B55,INDIRECT("'GRD-"&amp;CF$11&amp;"'!B:R"),15,FALSE),"")</f>
        <v/>
      </c>
      <c r="CG55" s="96">
        <f>IFERROR(VLOOKUP($B55,INDIRECT("'GRD-"&amp;CG$11&amp;"'!B:R"),15,FALSE),"")</f>
        <v/>
      </c>
      <c r="CH55" s="96">
        <f>IFERROR(VLOOKUP($B55,INDIRECT("'GRD-"&amp;CH$11&amp;"'!B:R"),15,FALSE),"")</f>
        <v/>
      </c>
      <c r="CI55" s="96">
        <f>IFERROR(VLOOKUP($B55,INDIRECT("'GRD-"&amp;CI$11&amp;"'!B:R"),15,FALSE),"")</f>
        <v/>
      </c>
      <c r="CJ55" s="96">
        <f>IFERROR(VLOOKUP($B55,INDIRECT("'GRD-"&amp;CJ$11&amp;"'!B:R"),15,FALSE),"")</f>
        <v/>
      </c>
      <c r="CK55" s="96">
        <f>IFERROR(VLOOKUP($B55,INDIRECT("'GRD-"&amp;CK$11&amp;"'!B:R"),15,FALSE),"")</f>
        <v/>
      </c>
      <c r="CL55" s="96">
        <f>IFERROR(VLOOKUP($B55,INDIRECT("'GRD-"&amp;CL$11&amp;"'!B:R"),15,FALSE),"")</f>
        <v/>
      </c>
      <c r="CM55" s="96">
        <f>IFERROR(VLOOKUP($B55,INDIRECT("'GRD-"&amp;CM$11&amp;"'!B:R"),15,FALSE),"")</f>
        <v/>
      </c>
      <c r="CN55" s="96">
        <f>IFERROR(VLOOKUP($B55,INDIRECT("'GRD-"&amp;CN$11&amp;"'!B:R"),15,FALSE),"")</f>
        <v/>
      </c>
      <c r="CO55" s="96">
        <f>IFERROR(VLOOKUP($B55,INDIRECT("'GRD-"&amp;CO$11&amp;"'!B:R"),15,FALSE),"")</f>
        <v/>
      </c>
      <c r="CP55" s="96">
        <f>IFERROR(VLOOKUP($B55,INDIRECT("'GRD-"&amp;CP$11&amp;"'!B:R"),15,FALSE),"")</f>
        <v/>
      </c>
      <c r="CQ55" s="96">
        <f>IFERROR(VLOOKUP($B55,INDIRECT("'GRD-"&amp;CQ$11&amp;"'!B:R"),15,FALSE),"")</f>
        <v/>
      </c>
      <c r="CR55" s="96">
        <f>IFERROR(VLOOKUP($B55,INDIRECT("'GRD-"&amp;CR$11&amp;"'!B:R"),15,FALSE),"")</f>
        <v/>
      </c>
      <c r="CS55" s="96">
        <f>IFERROR(VLOOKUP($B55,INDIRECT("'GRD-"&amp;CS$11&amp;"'!B:R"),15,FALSE),"")</f>
        <v/>
      </c>
      <c r="CT55" s="96">
        <f>IFERROR(VLOOKUP($B55,INDIRECT("'GRD-"&amp;CT$11&amp;"'!B:R"),15,FALSE),"")</f>
        <v/>
      </c>
      <c r="CU55" s="96">
        <f>IFERROR(VLOOKUP($B55,INDIRECT("'GRD-"&amp;CU$11&amp;"'!B:R"),15,FALSE),"")</f>
        <v/>
      </c>
      <c r="CV55" s="96">
        <f>IFERROR(VLOOKUP($B55,INDIRECT("'GRD-"&amp;CV$11&amp;"'!B:R"),15,FALSE),"")</f>
        <v/>
      </c>
      <c r="CW55" s="96">
        <f>IFERROR(VLOOKUP($B55,INDIRECT("'GRD-"&amp;CW$11&amp;"'!B:R"),15,FALSE),"")</f>
        <v/>
      </c>
      <c r="CX55" s="96">
        <f>IFERROR(VLOOKUP($B55,INDIRECT("'GRD-"&amp;CX$11&amp;"'!B:R"),15,FALSE),"")</f>
        <v/>
      </c>
      <c r="CY55" s="96">
        <f>IFERROR(VLOOKUP($B55,INDIRECT("'GRD-"&amp;CY$11&amp;"'!B:R"),15,FALSE),"")</f>
        <v/>
      </c>
      <c r="CZ55" s="96">
        <f>IFERROR(VLOOKUP($B55,INDIRECT("'GRD-"&amp;CZ$11&amp;"'!B:R"),15,FALSE),"")</f>
        <v/>
      </c>
      <c r="DA55" s="96">
        <f>IFERROR(VLOOKUP($B55,INDIRECT("'GRD-"&amp;DA$11&amp;"'!B:R"),15,FALSE),"")</f>
        <v/>
      </c>
      <c r="DB55" s="96">
        <f>IFERROR(VLOOKUP($B55,INDIRECT("'GRD-"&amp;DB$11&amp;"'!B:R"),15,FALSE),"")</f>
        <v/>
      </c>
      <c r="DC55" s="96">
        <f>IFERROR(VLOOKUP($B55,INDIRECT("'GRD-"&amp;DC$11&amp;"'!B:R"),15,FALSE),"")</f>
        <v/>
      </c>
      <c r="DD55" s="96">
        <f>IFERROR(VLOOKUP($B55,INDIRECT("'GRD-"&amp;DD$11&amp;"'!B:R"),15,FALSE),"")</f>
        <v/>
      </c>
      <c r="DE55" s="96">
        <f>IFERROR(VLOOKUP($B55,INDIRECT("'GRD-"&amp;DE$11&amp;"'!B:R"),15,FALSE),"")</f>
        <v/>
      </c>
      <c r="DF55" s="96">
        <f>IFERROR(VLOOKUP($B55,INDIRECT("'GRD-"&amp;DF$11&amp;"'!B:R"),15,FALSE),"")</f>
        <v/>
      </c>
      <c r="DG55" s="96">
        <f>IFERROR(VLOOKUP($B55,INDIRECT("'GRD-"&amp;DG$11&amp;"'!B:R"),15,FALSE),"")</f>
        <v/>
      </c>
      <c r="DH55" s="96">
        <f>IFERROR(VLOOKUP($B55,INDIRECT("'GRD-"&amp;DH$11&amp;"'!B:R"),15,FALSE),"")</f>
        <v/>
      </c>
      <c r="DI55" s="96">
        <f>IFERROR(VLOOKUP($B55,INDIRECT("'GRD-"&amp;DI$11&amp;"'!B:R"),15,FALSE),"")</f>
        <v/>
      </c>
      <c r="DJ55" s="96">
        <f>IFERROR(VLOOKUP($B55,INDIRECT("'GRD-"&amp;DJ$11&amp;"'!B:R"),15,FALSE),"")</f>
        <v/>
      </c>
      <c r="DK55" s="96">
        <f>IFERROR(VLOOKUP($B55,INDIRECT("'GRD-"&amp;DK$11&amp;"'!B:R"),15,FALSE),"")</f>
        <v/>
      </c>
      <c r="DL55" s="96">
        <f>IFERROR(VLOOKUP($B55,INDIRECT("'GRD-"&amp;DL$11&amp;"'!B:R"),15,FALSE),"")</f>
        <v/>
      </c>
      <c r="DM55" s="96">
        <f>IFERROR(VLOOKUP($B55,INDIRECT("'GRD-"&amp;DM$11&amp;"'!B:R"),15,FALSE),"")</f>
        <v/>
      </c>
      <c r="DN55" s="96">
        <f>IFERROR(VLOOKUP($B55,INDIRECT("'GRD-"&amp;DN$11&amp;"'!B:R"),15,FALSE),"")</f>
        <v/>
      </c>
      <c r="DO55" s="96">
        <f>IFERROR(VLOOKUP($B55,INDIRECT("'GRD-"&amp;DO$11&amp;"'!B:R"),15,FALSE),"")</f>
        <v/>
      </c>
      <c r="DP55" s="96">
        <f>IFERROR(VLOOKUP($B55,INDIRECT("'GRD-"&amp;DP$11&amp;"'!B:R"),15,FALSE),"")</f>
        <v/>
      </c>
      <c r="DQ55" s="96">
        <f>IFERROR(VLOOKUP($B55,INDIRECT("'GRD-"&amp;DQ$11&amp;"'!B:R"),15,FALSE),"")</f>
        <v/>
      </c>
      <c r="DR55" s="96">
        <f>IFERROR(VLOOKUP($B55,INDIRECT("'GRD-"&amp;DR$11&amp;"'!B:R"),15,FALSE),"")</f>
        <v/>
      </c>
      <c r="DS55" s="96">
        <f>IFERROR(VLOOKUP($B55,INDIRECT("'GRD-"&amp;DS$11&amp;"'!B:R"),15,FALSE),"")</f>
        <v/>
      </c>
      <c r="DT55" s="96">
        <f>IFERROR(VLOOKUP($B55,INDIRECT("'GRD-"&amp;DT$11&amp;"'!B:R"),15,FALSE),"")</f>
        <v/>
      </c>
      <c r="DU55" s="96">
        <f>IFERROR(VLOOKUP($B55,INDIRECT("'GRD-"&amp;DU$11&amp;"'!B:R"),15,FALSE),"")</f>
        <v/>
      </c>
      <c r="DV55" s="96">
        <f>IFERROR(VLOOKUP($B55,INDIRECT("'GRD-"&amp;DV$11&amp;"'!B:R"),15,FALSE),"")</f>
        <v/>
      </c>
      <c r="DW55" s="96">
        <f>IFERROR(VLOOKUP($B55,INDIRECT("'GRD-"&amp;DW$11&amp;"'!B:R"),15,FALSE),"")</f>
        <v/>
      </c>
      <c r="DX55" s="96">
        <f>IFERROR(VLOOKUP($B55,INDIRECT("'GRD-"&amp;DX$11&amp;"'!B:R"),15,FALSE),"")</f>
        <v/>
      </c>
      <c r="DY55" s="96">
        <f>IFERROR(VLOOKUP($B55,INDIRECT("'GRD-"&amp;DY$11&amp;"'!B:R"),15,FALSE),"")</f>
        <v/>
      </c>
      <c r="DZ55" s="96">
        <f>IFERROR(VLOOKUP($B55,INDIRECT("'GRD-"&amp;DZ$11&amp;"'!B:R"),15,FALSE),"")</f>
        <v/>
      </c>
      <c r="EA55" s="96">
        <f>IFERROR(VLOOKUP($B55,INDIRECT("'GRD-"&amp;EA$11&amp;"'!B:R"),15,FALSE),"")</f>
        <v/>
      </c>
      <c r="EB55" s="96">
        <f>IFERROR(VLOOKUP($B55,INDIRECT("'GRD-"&amp;EB$11&amp;"'!B:R"),15,FALSE),"")</f>
        <v/>
      </c>
      <c r="EC55" s="96">
        <f>IFERROR(VLOOKUP($B55,INDIRECT("'GRD-"&amp;EC$11&amp;"'!B:R"),15,FALSE),"")</f>
        <v/>
      </c>
      <c r="ED55" s="96">
        <f>IFERROR(VLOOKUP($B55,INDIRECT("'GRD-"&amp;ED$11&amp;"'!B:R"),15,FALSE),"")</f>
        <v/>
      </c>
      <c r="EE55" s="96">
        <f>IFERROR(VLOOKUP($B55,INDIRECT("'GRD-"&amp;EE$11&amp;"'!B:R"),15,FALSE),"")</f>
        <v/>
      </c>
      <c r="EF55" s="96">
        <f>IFERROR(VLOOKUP($B55,INDIRECT("'GRD-"&amp;EF$11&amp;"'!B:R"),15,FALSE),"")</f>
        <v/>
      </c>
      <c r="EG55" s="96">
        <f>IFERROR(VLOOKUP($B55,INDIRECT("'GRD-"&amp;EG$11&amp;"'!B:R"),15,FALSE),"")</f>
        <v/>
      </c>
      <c r="EH55" s="96">
        <f>IFERROR(VLOOKUP($B55,INDIRECT("'GRD-"&amp;EH$11&amp;"'!B:R"),15,FALSE),"")</f>
        <v/>
      </c>
      <c r="EI55" s="96">
        <f>IFERROR(VLOOKUP($B55,INDIRECT("'GRD-"&amp;EI$11&amp;"'!B:R"),15,FALSE),"")</f>
        <v/>
      </c>
      <c r="EJ55" s="96">
        <f>IFERROR(VLOOKUP($B55,INDIRECT("'GRD-"&amp;EJ$11&amp;"'!B:R"),15,FALSE),"")</f>
        <v/>
      </c>
      <c r="EK55" s="96">
        <f>IFERROR(VLOOKUP($B55,INDIRECT("'GRD-"&amp;EK$11&amp;"'!B:R"),15,FALSE),"")</f>
        <v/>
      </c>
      <c r="EL55" s="96">
        <f>IFERROR(VLOOKUP($B55,INDIRECT("'GRD-"&amp;EL$11&amp;"'!B:R"),15,FALSE),"")</f>
        <v/>
      </c>
      <c r="EM55" s="96">
        <f>IFERROR(VLOOKUP($B55,INDIRECT("'GRD-"&amp;EM$11&amp;"'!B:R"),15,FALSE),"")</f>
        <v/>
      </c>
      <c r="EN55" s="96">
        <f>IFERROR(VLOOKUP($B55,INDIRECT("'GRD-"&amp;EN$11&amp;"'!B:R"),15,FALSE),"")</f>
        <v/>
      </c>
      <c r="EO55" s="96">
        <f>IFERROR(VLOOKUP($B55,INDIRECT("'GRD-"&amp;EO$11&amp;"'!B:R"),15,FALSE),"")</f>
        <v/>
      </c>
      <c r="EP55" s="96">
        <f>IFERROR(VLOOKUP($B55,INDIRECT("'GRD-"&amp;EP$11&amp;"'!B:R"),15,FALSE),"")</f>
        <v/>
      </c>
      <c r="EQ55" s="96">
        <f>IFERROR(VLOOKUP($B55,INDIRECT("'GRD-"&amp;EQ$11&amp;"'!B:R"),15,FALSE),"")</f>
        <v/>
      </c>
      <c r="ER55" s="96">
        <f>IFERROR(VLOOKUP($B55,INDIRECT("'GRD-"&amp;ER$11&amp;"'!B:R"),15,FALSE),"")</f>
        <v/>
      </c>
      <c r="ES55" s="96">
        <f>IFERROR(VLOOKUP($B55,INDIRECT("'GRD-"&amp;ES$11&amp;"'!B:R"),15,FALSE),"")</f>
        <v/>
      </c>
      <c r="ET55" s="96">
        <f>IFERROR(VLOOKUP($B55,INDIRECT("'GRD-"&amp;ET$11&amp;"'!B:R"),15,FALSE),"")</f>
        <v/>
      </c>
      <c r="EU55" s="96">
        <f>IFERROR(VLOOKUP($B55,INDIRECT("'GRD-"&amp;EU$11&amp;"'!B:R"),15,FALSE),"")</f>
        <v/>
      </c>
      <c r="EV55" s="96">
        <f>IFERROR(VLOOKUP($B55,INDIRECT("'GRD-"&amp;EV$11&amp;"'!B:R"),15,FALSE),"")</f>
        <v/>
      </c>
      <c r="EW55" s="96">
        <f>IFERROR(VLOOKUP($B55,INDIRECT("'GRD-"&amp;EW$11&amp;"'!B:R"),15,FALSE),"")</f>
        <v/>
      </c>
      <c r="EX55" s="96">
        <f>IFERROR(VLOOKUP($B55,INDIRECT("'GRD-"&amp;EX$11&amp;"'!B:R"),15,FALSE),"")</f>
        <v/>
      </c>
      <c r="EY55" s="96">
        <f>IFERROR(VLOOKUP($B55,INDIRECT("'GRD-"&amp;EY$11&amp;"'!B:R"),15,FALSE),"")</f>
        <v/>
      </c>
      <c r="EZ55" s="96">
        <f>IFERROR(VLOOKUP($B55,INDIRECT("'GRD-"&amp;EZ$11&amp;"'!B:R"),15,FALSE),"")</f>
        <v/>
      </c>
      <c r="FA55" s="96">
        <f>IFERROR(VLOOKUP($B55,INDIRECT("'GRD-"&amp;FA$11&amp;"'!B:R"),15,FALSE),"")</f>
        <v/>
      </c>
      <c r="FB55" s="96">
        <f>IFERROR(VLOOKUP($B55,INDIRECT("'GRD-"&amp;FB$11&amp;"'!B:R"),15,FALSE),"")</f>
        <v/>
      </c>
      <c r="FC55" s="96">
        <f>IFERROR(VLOOKUP($B55,INDIRECT("'GRD-"&amp;FC$11&amp;"'!B:R"),15,FALSE),"")</f>
        <v/>
      </c>
      <c r="FD55" s="96">
        <f>IFERROR(VLOOKUP($B55,INDIRECT("'GRD-"&amp;FD$11&amp;"'!B:R"),15,FALSE),"")</f>
        <v/>
      </c>
      <c r="FE55" s="96">
        <f>IFERROR(VLOOKUP($B55,INDIRECT("'GRD-"&amp;FE$11&amp;"'!B:R"),15,FALSE),"")</f>
        <v/>
      </c>
      <c r="FF55" s="96">
        <f>IFERROR(VLOOKUP($B55,INDIRECT("'GRD-"&amp;FF$11&amp;"'!B:R"),15,FALSE),"")</f>
        <v/>
      </c>
      <c r="FG55" s="96">
        <f>IFERROR(VLOOKUP($B55,INDIRECT("'GRD-"&amp;FG$11&amp;"'!B:R"),15,FALSE),"")</f>
        <v/>
      </c>
      <c r="FH55" s="96">
        <f>IFERROR(VLOOKUP($B55,INDIRECT("'GRD-"&amp;FH$11&amp;"'!B:R"),15,FALSE),"")</f>
        <v/>
      </c>
      <c r="FI55" s="96">
        <f>IFERROR(VLOOKUP($B55,INDIRECT("'GRD-"&amp;FI$11&amp;"'!B:R"),15,FALSE),"")</f>
        <v/>
      </c>
      <c r="FJ55" s="96">
        <f>IFERROR(VLOOKUP($B55,INDIRECT("'GRD-"&amp;FJ$11&amp;"'!B:R"),15,FALSE),"")</f>
        <v/>
      </c>
      <c r="FK55" s="96">
        <f>IFERROR(VLOOKUP($B55,INDIRECT("'GRD-"&amp;FK$11&amp;"'!B:R"),15,FALSE),"")</f>
        <v/>
      </c>
      <c r="FL55" s="96">
        <f>IFERROR(VLOOKUP($B55,INDIRECT("'GRD-"&amp;FL$11&amp;"'!B:R"),15,FALSE),"")</f>
        <v/>
      </c>
      <c r="FM55" s="96">
        <f>IFERROR(VLOOKUP($B55,INDIRECT("'GRD-"&amp;FM$11&amp;"'!B:R"),15,FALSE),"")</f>
        <v/>
      </c>
      <c r="FN55" s="96">
        <f>IFERROR(VLOOKUP($B55,INDIRECT("'GRD-"&amp;FN$11&amp;"'!B:R"),15,FALSE),"")</f>
        <v/>
      </c>
      <c r="FO55" s="96">
        <f>IFERROR(VLOOKUP($B55,INDIRECT("'GRD-"&amp;FO$11&amp;"'!B:R"),15,FALSE),"")</f>
        <v/>
      </c>
      <c r="FP55" s="96">
        <f>IFERROR(VLOOKUP($B55,INDIRECT("'GRD-"&amp;FP$11&amp;"'!B:R"),15,FALSE),"")</f>
        <v/>
      </c>
      <c r="FQ55" s="96">
        <f>IFERROR(VLOOKUP($B55,INDIRECT("'GRD-"&amp;FQ$11&amp;"'!B:R"),15,FALSE),"")</f>
        <v/>
      </c>
      <c r="FR55" s="96">
        <f>IFERROR(VLOOKUP($B55,INDIRECT("'GRD-"&amp;FR$11&amp;"'!B:R"),15,FALSE),"")</f>
        <v/>
      </c>
      <c r="FS55" s="96">
        <f>IFERROR(VLOOKUP($B55,INDIRECT("'GRD-"&amp;FS$11&amp;"'!B:R"),15,FALSE),"")</f>
        <v/>
      </c>
      <c r="FT55" s="96">
        <f>IFERROR(VLOOKUP($B55,INDIRECT("'GRD-"&amp;FT$11&amp;"'!B:R"),15,FALSE),"")</f>
        <v/>
      </c>
      <c r="FU55" s="96">
        <f>IFERROR(VLOOKUP($B55,INDIRECT("'GRD-"&amp;FU$11&amp;"'!B:R"),15,FALSE),"")</f>
        <v/>
      </c>
      <c r="FV55" s="96">
        <f>IFERROR(VLOOKUP($B55,INDIRECT("'GRD-"&amp;FV$11&amp;"'!B:R"),15,FALSE),"")</f>
        <v/>
      </c>
    </row>
    <row r="56">
      <c r="B56" s="68" t="n"/>
      <c r="C56" s="72" t="n"/>
      <c r="D56" s="73">
        <f>IF(K56="","",MAX($CA56:$FV56))</f>
        <v/>
      </c>
      <c r="E56" s="74">
        <f t="array" ref="E56">IF($K56="","",OFFSET($A$1,ROW($B56)-1,11+$D56*4,))</f>
        <v/>
      </c>
      <c r="F56" s="74">
        <f t="array" ref="F56">IF($K56="","",OFFSET($A$1,ROW($B56)-1,12+$D56*4,))</f>
        <v/>
      </c>
      <c r="G56" s="118">
        <f t="array" ref="G56">IF($K56="","",OFFSET($A$1,ROW($B56)-1,13+$D56*4,))</f>
        <v/>
      </c>
      <c r="H56" s="81" t="n"/>
      <c r="I56" s="82" t="n"/>
      <c r="J56" s="75">
        <f>IF(I56="A4",H56/8,IF(I56="A3",H56/4,IF(I56="A2",H56/2,IF(I56="A1",H56/1,IF(I56="A0",H56*2,"")))))</f>
        <v/>
      </c>
      <c r="K56" s="68">
        <f t="array" ref="K56">IFERROR(OFFSET($BZ$11,ROW($B56)-11,MATCH(K$10,$CA56:$FV56,0),),"")</f>
        <v/>
      </c>
      <c r="L56" s="85">
        <f>IF(K56="","",IF(VLOOKUP($B56,INDIRECT("'GRD-"&amp;M56&amp;"'!$B:$R"),16,FALSE)="","",VLOOKUP($B56,INDIRECT("'GRD-"&amp;M56&amp;"'!$B:$R"),16,FALSE)))</f>
        <v/>
      </c>
      <c r="M56" s="130">
        <f t="array" ref="M56">IF(K56="","",IFERROR(OFFSET($BZ$11,0,MATCH($K56,$CA56:$FV56,0),),""))</f>
        <v/>
      </c>
      <c r="N56" s="119">
        <f t="array" ref="N56">IF(K56="","",INDIRECT("'GRD-"&amp;M56&amp;"'!$L$7"))</f>
        <v/>
      </c>
      <c r="O56" s="76">
        <f t="array" ref="O56">IFERROR(OFFSET($BZ$11,ROW($B56)-11,MATCH(O$10,$CA56:$FV56,0),),"")</f>
        <v/>
      </c>
      <c r="P56" s="76">
        <f>IF(O56="","",IF(VLOOKUP($B56,INDIRECT("'GRD-"&amp;Q56&amp;"'!$B:$R"),16,FALSE)="","",VLOOKUP($B56,INDIRECT("'GRD-"&amp;Q56&amp;"'!$B:$R"),16,FALSE)))</f>
        <v/>
      </c>
      <c r="Q56" s="132">
        <f t="array" ref="Q56">IF(O56="","",IFERROR(OFFSET($BZ$11,0,MATCH($O56,$CA56:$FV56,0),),""))</f>
        <v/>
      </c>
      <c r="R56" s="121">
        <f t="array" ref="R56">IF(O56="","",INDIRECT("'GRD-"&amp;Q56&amp;"'!$L$7"))</f>
        <v/>
      </c>
      <c r="S56" s="83">
        <f t="array" ref="S56">IFERROR(OFFSET($BZ$11,ROW($B56)-11,MATCH(S$10,$CA56:$FV56,0),),"")</f>
        <v/>
      </c>
      <c r="T56" s="83">
        <f>IF(S56="","",IF(VLOOKUP($B56,INDIRECT("'GRD-"&amp;U56&amp;"'!$B:$R"),16,FALSE)="","",VLOOKUP($B56,INDIRECT("'GRD-"&amp;U56&amp;"'!$B:$R"),16,FALSE)))</f>
        <v/>
      </c>
      <c r="U56" s="128">
        <f t="array" ref="U56">IF(S56="","",IFERROR(OFFSET($BZ$11,0,MATCH($S56,$CA56:$FV56,0),),""))</f>
        <v/>
      </c>
      <c r="V56" s="133">
        <f t="array" ref="V56">IF(S56="","",INDIRECT("'GRD-"&amp;U56&amp;"'!$L$7"))</f>
        <v/>
      </c>
      <c r="W56" s="84">
        <f t="array" ref="W56">IFERROR(OFFSET($BZ$11,ROW($B56)-11,MATCH(W$10,$CA56:$FV56,0),),"")</f>
        <v/>
      </c>
      <c r="X56" s="84">
        <f>IF(W56="","",IF(VLOOKUP($B56,INDIRECT("'GRD-"&amp;Y56&amp;"'!$B:$R"),16,FALSE)="","",VLOOKUP($B56,INDIRECT("'GRD-"&amp;Y56&amp;"'!$B:$R"),16,FALSE)))</f>
        <v/>
      </c>
      <c r="Y56" s="129">
        <f t="array" ref="Y56">IF(W56="","",IFERROR(OFFSET($BZ$11,0,MATCH($W56,$CA56:$FV56,0),),""))</f>
        <v/>
      </c>
      <c r="Z56" s="134">
        <f t="array" ref="Z56">IF(W56="","",INDIRECT("'GRD-"&amp;Y56&amp;"'!$L$7"))</f>
        <v/>
      </c>
      <c r="AA56" s="85">
        <f t="array" ref="AA56">IFERROR(OFFSET($BZ$11,ROW($B56)-11,MATCH(AA$10,$CA56:$FV56,0),),"")</f>
        <v/>
      </c>
      <c r="AB56" s="85">
        <f>IF(AA56="","",IF(VLOOKUP($B56,INDIRECT("'GRD-"&amp;AC56&amp;"'!$B:$R"),16,FALSE)="","",VLOOKUP($B56,INDIRECT("'GRD-"&amp;AC56&amp;"'!$B:$R"),16,FALSE)))</f>
        <v/>
      </c>
      <c r="AC56" s="130">
        <f t="array" ref="AC56">IF(AA56="","",IFERROR(OFFSET($BZ$11,0,MATCH($AA56,$CA56:$FV56,0),),""))</f>
        <v/>
      </c>
      <c r="AD56" s="131">
        <f t="array" ref="AD56">IF(AA56="","",INDIRECT("'GRD-"&amp;AC56&amp;"'!$L$7"))</f>
        <v/>
      </c>
      <c r="AE56" s="76">
        <f t="array" ref="AE56">IFERROR(OFFSET($BZ$11,ROW($B56)-11,MATCH(AE$10,$CA56:$FV56,0),),"")</f>
        <v/>
      </c>
      <c r="AF56" s="76">
        <f>IF(AE56="","",IF(VLOOKUP($B56,INDIRECT("'GRD-"&amp;AG56&amp;"'!$B:$R"),16,FALSE)="","",VLOOKUP($B56,INDIRECT("'GRD-"&amp;AG56&amp;"'!$B:$R"),16,FALSE)))</f>
        <v/>
      </c>
      <c r="AG56" s="132">
        <f t="array" ref="AG56">IF(AE56="","",IFERROR(OFFSET($BZ$11,0,MATCH($AE56,$CA56:$FV56,0),),""))</f>
        <v/>
      </c>
      <c r="AH56" s="121">
        <f t="array" ref="AH56">IF(AE56="","",INDIRECT("'GRD-"&amp;AG56&amp;"'!$L$7"))</f>
        <v/>
      </c>
      <c r="AI56" s="83">
        <f t="array" ref="AI56">IFERROR(OFFSET($BZ$11,ROW($B56)-11,MATCH(AI$10,$CA56:$FV56,0),),"")</f>
        <v/>
      </c>
      <c r="AJ56" s="83">
        <f>IF(AI56="","",IF(VLOOKUP($B56,INDIRECT("'GRD-"&amp;AK56&amp;"'!$B:$R"),16,FALSE)="","",VLOOKUP($B56,INDIRECT("'GRD-"&amp;AK56&amp;"'!$B:$R"),16,FALSE)))</f>
        <v/>
      </c>
      <c r="AK56" s="128">
        <f t="array" ref="AK56">IF(AI56="","",IFERROR(OFFSET($BZ$11,0,MATCH($AI56,$CA56:$FV56,0),),""))</f>
        <v/>
      </c>
      <c r="AL56" s="133">
        <f t="array" ref="AL56">IF(AI56="","",INDIRECT("'GRD-"&amp;AK56&amp;"'!$L$7"))</f>
        <v/>
      </c>
      <c r="AM56" s="84">
        <f t="array" ref="AM56">IFERROR(OFFSET($BZ$11,ROW($B56)-11,MATCH(AM$10,$CA56:$FV56,0),),"")</f>
        <v/>
      </c>
      <c r="AN56" s="84">
        <f>IF(AM56="","",IF(VLOOKUP($B56,INDIRECT("'GRD-"&amp;AO56&amp;"'!$B:$R"),16,FALSE)="","",VLOOKUP($B56,INDIRECT("'GRD-"&amp;AO56&amp;"'!$B:$R"),16,FALSE)))</f>
        <v/>
      </c>
      <c r="AO56" s="129">
        <f t="array" ref="AO56">IF(AM56="","",IFERROR(OFFSET($BZ$11,0,MATCH($AM56,$CA56:$FV56,0),),""))</f>
        <v/>
      </c>
      <c r="AP56" s="134">
        <f t="array" ref="AP56">IF(AM56="","",INDIRECT("'GRD-"&amp;AO56&amp;"'!$L$7"))</f>
        <v/>
      </c>
      <c r="AQ56" s="85">
        <f t="array" ref="AQ56">IFERROR(OFFSET($BZ$11,ROW($B56)-11,MATCH(AQ$10,$CA56:$FV56,0),),"")</f>
        <v/>
      </c>
      <c r="AR56" s="85">
        <f>IF(AQ56="","",IF(VLOOKUP($B56,INDIRECT("'GRD-"&amp;AS56&amp;"'!$B:$R"),16,FALSE)="","",VLOOKUP($B56,INDIRECT("'GRD-"&amp;AS56&amp;"'!$B:$R"),16,FALSE)))</f>
        <v/>
      </c>
      <c r="AS56" s="130">
        <f t="array" ref="AS56">IF(AQ56="","",IFERROR(OFFSET($BZ$11,0,MATCH($AQ56,$CA56:$FV56,0),),""))</f>
        <v/>
      </c>
      <c r="AT56" s="131">
        <f t="array" ref="AT56">IF(AQ56="","",INDIRECT("'GRD-"&amp;AS56&amp;"'!$L$7"))</f>
        <v/>
      </c>
      <c r="AU56" s="76">
        <f t="array" ref="AU56">IFERROR(OFFSET($BZ$11,ROW($B56)-11,MATCH(AU$10,$CA56:$FV56,0),),"")</f>
        <v/>
      </c>
      <c r="AV56" s="76">
        <f>IF(AU56="","",IF(VLOOKUP($B56,INDIRECT("'GRD-"&amp;AW56&amp;"'!$B:$R"),16,FALSE)="","",VLOOKUP($B56,INDIRECT("'GRD-"&amp;AW56&amp;"'!$B:$R"),16,FALSE)))</f>
        <v/>
      </c>
      <c r="AW56" s="132">
        <f t="array" ref="AW56">IF(AU56="","",IFERROR(OFFSET($BZ$11,0,MATCH($AU56,$CA56:$FV56,0),),""))</f>
        <v/>
      </c>
      <c r="AX56" s="121">
        <f t="array" ref="AX56">IF(AU56="","",INDIRECT("'GRD-"&amp;AW56&amp;"'!$L$7"))</f>
        <v/>
      </c>
      <c r="AY56" s="83">
        <f t="array" ref="AY56">IFERROR(OFFSET($BZ$11,ROW($B56)-11,MATCH(AY$10,$CA56:$FV56,0),),"")</f>
        <v/>
      </c>
      <c r="AZ56" s="83">
        <f>IF(AY56="","",IF(VLOOKUP($B56,INDIRECT("'GRD-"&amp;BA56&amp;"'!$B:$R"),16,FALSE)="","",VLOOKUP($B56,INDIRECT("'GRD-"&amp;BA56&amp;"'!$B:$R"),16,FALSE)))</f>
        <v/>
      </c>
      <c r="BA56" s="128">
        <f t="array" ref="BA56">IF(AY56="","",IFERROR(OFFSET($BZ$11,0,MATCH($AY56,$CA56:$FV56,0),),""))</f>
        <v/>
      </c>
      <c r="BB56" s="133">
        <f t="array" ref="BB56">IF(AY56="","",INDIRECT("'GRD-"&amp;BA56&amp;"'!$L$7"))</f>
        <v/>
      </c>
      <c r="BC56" s="84">
        <f t="array" ref="BC56">IFERROR(OFFSET($BZ$11,ROW($B56)-11,MATCH(BC$10,$CA56:$FV56,0),),"")</f>
        <v/>
      </c>
      <c r="BD56" s="84">
        <f>IF(BC56="","",IF(VLOOKUP($B56,INDIRECT("'GRD-"&amp;BE56&amp;"'!$B:$R"),16,FALSE)="","",VLOOKUP($B56,INDIRECT("'GRD-"&amp;BE56&amp;"'!$B:$R"),16,FALSE)))</f>
        <v/>
      </c>
      <c r="BE56" s="129">
        <f t="array" ref="BE56">IF(BC56="","",IFERROR(OFFSET($BZ$11,0,MATCH($BC56,$CA56:$FV56,0),),""))</f>
        <v/>
      </c>
      <c r="BF56" s="134">
        <f t="array" ref="BF56">IF(BC56="","",INDIRECT("'GRD-"&amp;BE56&amp;"'!$L$7"))</f>
        <v/>
      </c>
      <c r="CA56" s="96">
        <f>IFERROR(VLOOKUP($B56,INDIRECT("'GRD-"&amp;CA$11&amp;"'!B:R"),15,FALSE),"")</f>
        <v/>
      </c>
      <c r="CB56" s="96">
        <f>IFERROR(VLOOKUP($B56,INDIRECT("'GRD-"&amp;CB$11&amp;"'!B:R"),15,FALSE),"")</f>
        <v/>
      </c>
      <c r="CC56" s="96">
        <f>IFERROR(VLOOKUP($B56,INDIRECT("'GRD-"&amp;CC$11&amp;"'!B:R"),15,FALSE),"")</f>
        <v/>
      </c>
      <c r="CD56" s="96">
        <f>IFERROR(VLOOKUP($B56,INDIRECT("'GRD-"&amp;CD$11&amp;"'!B:R"),15,FALSE),"")</f>
        <v/>
      </c>
      <c r="CE56" s="96">
        <f>IFERROR(VLOOKUP($B56,INDIRECT("'GRD-"&amp;CE$11&amp;"'!B:R"),15,FALSE),"")</f>
        <v/>
      </c>
      <c r="CF56" s="96">
        <f>IFERROR(VLOOKUP($B56,INDIRECT("'GRD-"&amp;CF$11&amp;"'!B:R"),15,FALSE),"")</f>
        <v/>
      </c>
      <c r="CG56" s="96">
        <f>IFERROR(VLOOKUP($B56,INDIRECT("'GRD-"&amp;CG$11&amp;"'!B:R"),15,FALSE),"")</f>
        <v/>
      </c>
      <c r="CH56" s="96">
        <f>IFERROR(VLOOKUP($B56,INDIRECT("'GRD-"&amp;CH$11&amp;"'!B:R"),15,FALSE),"")</f>
        <v/>
      </c>
      <c r="CI56" s="96">
        <f>IFERROR(VLOOKUP($B56,INDIRECT("'GRD-"&amp;CI$11&amp;"'!B:R"),15,FALSE),"")</f>
        <v/>
      </c>
      <c r="CJ56" s="96">
        <f>IFERROR(VLOOKUP($B56,INDIRECT("'GRD-"&amp;CJ$11&amp;"'!B:R"),15,FALSE),"")</f>
        <v/>
      </c>
      <c r="CK56" s="96">
        <f>IFERROR(VLOOKUP($B56,INDIRECT("'GRD-"&amp;CK$11&amp;"'!B:R"),15,FALSE),"")</f>
        <v/>
      </c>
      <c r="CL56" s="96">
        <f>IFERROR(VLOOKUP($B56,INDIRECT("'GRD-"&amp;CL$11&amp;"'!B:R"),15,FALSE),"")</f>
        <v/>
      </c>
      <c r="CM56" s="96">
        <f>IFERROR(VLOOKUP($B56,INDIRECT("'GRD-"&amp;CM$11&amp;"'!B:R"),15,FALSE),"")</f>
        <v/>
      </c>
      <c r="CN56" s="96">
        <f>IFERROR(VLOOKUP($B56,INDIRECT("'GRD-"&amp;CN$11&amp;"'!B:R"),15,FALSE),"")</f>
        <v/>
      </c>
      <c r="CO56" s="96">
        <f>IFERROR(VLOOKUP($B56,INDIRECT("'GRD-"&amp;CO$11&amp;"'!B:R"),15,FALSE),"")</f>
        <v/>
      </c>
      <c r="CP56" s="96">
        <f>IFERROR(VLOOKUP($B56,INDIRECT("'GRD-"&amp;CP$11&amp;"'!B:R"),15,FALSE),"")</f>
        <v/>
      </c>
      <c r="CQ56" s="96">
        <f>IFERROR(VLOOKUP($B56,INDIRECT("'GRD-"&amp;CQ$11&amp;"'!B:R"),15,FALSE),"")</f>
        <v/>
      </c>
      <c r="CR56" s="96">
        <f>IFERROR(VLOOKUP($B56,INDIRECT("'GRD-"&amp;CR$11&amp;"'!B:R"),15,FALSE),"")</f>
        <v/>
      </c>
      <c r="CS56" s="96">
        <f>IFERROR(VLOOKUP($B56,INDIRECT("'GRD-"&amp;CS$11&amp;"'!B:R"),15,FALSE),"")</f>
        <v/>
      </c>
      <c r="CT56" s="96">
        <f>IFERROR(VLOOKUP($B56,INDIRECT("'GRD-"&amp;CT$11&amp;"'!B:R"),15,FALSE),"")</f>
        <v/>
      </c>
      <c r="CU56" s="96">
        <f>IFERROR(VLOOKUP($B56,INDIRECT("'GRD-"&amp;CU$11&amp;"'!B:R"),15,FALSE),"")</f>
        <v/>
      </c>
      <c r="CV56" s="96">
        <f>IFERROR(VLOOKUP($B56,INDIRECT("'GRD-"&amp;CV$11&amp;"'!B:R"),15,FALSE),"")</f>
        <v/>
      </c>
      <c r="CW56" s="96">
        <f>IFERROR(VLOOKUP($B56,INDIRECT("'GRD-"&amp;CW$11&amp;"'!B:R"),15,FALSE),"")</f>
        <v/>
      </c>
      <c r="CX56" s="96">
        <f>IFERROR(VLOOKUP($B56,INDIRECT("'GRD-"&amp;CX$11&amp;"'!B:R"),15,FALSE),"")</f>
        <v/>
      </c>
      <c r="CY56" s="96">
        <f>IFERROR(VLOOKUP($B56,INDIRECT("'GRD-"&amp;CY$11&amp;"'!B:R"),15,FALSE),"")</f>
        <v/>
      </c>
      <c r="CZ56" s="96">
        <f>IFERROR(VLOOKUP($B56,INDIRECT("'GRD-"&amp;CZ$11&amp;"'!B:R"),15,FALSE),"")</f>
        <v/>
      </c>
      <c r="DA56" s="96">
        <f>IFERROR(VLOOKUP($B56,INDIRECT("'GRD-"&amp;DA$11&amp;"'!B:R"),15,FALSE),"")</f>
        <v/>
      </c>
      <c r="DB56" s="96">
        <f>IFERROR(VLOOKUP($B56,INDIRECT("'GRD-"&amp;DB$11&amp;"'!B:R"),15,FALSE),"")</f>
        <v/>
      </c>
      <c r="DC56" s="96">
        <f>IFERROR(VLOOKUP($B56,INDIRECT("'GRD-"&amp;DC$11&amp;"'!B:R"),15,FALSE),"")</f>
        <v/>
      </c>
      <c r="DD56" s="96">
        <f>IFERROR(VLOOKUP($B56,INDIRECT("'GRD-"&amp;DD$11&amp;"'!B:R"),15,FALSE),"")</f>
        <v/>
      </c>
      <c r="DE56" s="96">
        <f>IFERROR(VLOOKUP($B56,INDIRECT("'GRD-"&amp;DE$11&amp;"'!B:R"),15,FALSE),"")</f>
        <v/>
      </c>
      <c r="DF56" s="96">
        <f>IFERROR(VLOOKUP($B56,INDIRECT("'GRD-"&amp;DF$11&amp;"'!B:R"),15,FALSE),"")</f>
        <v/>
      </c>
      <c r="DG56" s="96">
        <f>IFERROR(VLOOKUP($B56,INDIRECT("'GRD-"&amp;DG$11&amp;"'!B:R"),15,FALSE),"")</f>
        <v/>
      </c>
      <c r="DH56" s="96">
        <f>IFERROR(VLOOKUP($B56,INDIRECT("'GRD-"&amp;DH$11&amp;"'!B:R"),15,FALSE),"")</f>
        <v/>
      </c>
      <c r="DI56" s="96">
        <f>IFERROR(VLOOKUP($B56,INDIRECT("'GRD-"&amp;DI$11&amp;"'!B:R"),15,FALSE),"")</f>
        <v/>
      </c>
      <c r="DJ56" s="96">
        <f>IFERROR(VLOOKUP($B56,INDIRECT("'GRD-"&amp;DJ$11&amp;"'!B:R"),15,FALSE),"")</f>
        <v/>
      </c>
      <c r="DK56" s="96">
        <f>IFERROR(VLOOKUP($B56,INDIRECT("'GRD-"&amp;DK$11&amp;"'!B:R"),15,FALSE),"")</f>
        <v/>
      </c>
      <c r="DL56" s="96">
        <f>IFERROR(VLOOKUP($B56,INDIRECT("'GRD-"&amp;DL$11&amp;"'!B:R"),15,FALSE),"")</f>
        <v/>
      </c>
      <c r="DM56" s="96">
        <f>IFERROR(VLOOKUP($B56,INDIRECT("'GRD-"&amp;DM$11&amp;"'!B:R"),15,FALSE),"")</f>
        <v/>
      </c>
      <c r="DN56" s="96">
        <f>IFERROR(VLOOKUP($B56,INDIRECT("'GRD-"&amp;DN$11&amp;"'!B:R"),15,FALSE),"")</f>
        <v/>
      </c>
      <c r="DO56" s="96">
        <f>IFERROR(VLOOKUP($B56,INDIRECT("'GRD-"&amp;DO$11&amp;"'!B:R"),15,FALSE),"")</f>
        <v/>
      </c>
      <c r="DP56" s="96">
        <f>IFERROR(VLOOKUP($B56,INDIRECT("'GRD-"&amp;DP$11&amp;"'!B:R"),15,FALSE),"")</f>
        <v/>
      </c>
      <c r="DQ56" s="96">
        <f>IFERROR(VLOOKUP($B56,INDIRECT("'GRD-"&amp;DQ$11&amp;"'!B:R"),15,FALSE),"")</f>
        <v/>
      </c>
      <c r="DR56" s="96">
        <f>IFERROR(VLOOKUP($B56,INDIRECT("'GRD-"&amp;DR$11&amp;"'!B:R"),15,FALSE),"")</f>
        <v/>
      </c>
      <c r="DS56" s="96">
        <f>IFERROR(VLOOKUP($B56,INDIRECT("'GRD-"&amp;DS$11&amp;"'!B:R"),15,FALSE),"")</f>
        <v/>
      </c>
      <c r="DT56" s="96">
        <f>IFERROR(VLOOKUP($B56,INDIRECT("'GRD-"&amp;DT$11&amp;"'!B:R"),15,FALSE),"")</f>
        <v/>
      </c>
      <c r="DU56" s="96">
        <f>IFERROR(VLOOKUP($B56,INDIRECT("'GRD-"&amp;DU$11&amp;"'!B:R"),15,FALSE),"")</f>
        <v/>
      </c>
      <c r="DV56" s="96">
        <f>IFERROR(VLOOKUP($B56,INDIRECT("'GRD-"&amp;DV$11&amp;"'!B:R"),15,FALSE),"")</f>
        <v/>
      </c>
      <c r="DW56" s="96">
        <f>IFERROR(VLOOKUP($B56,INDIRECT("'GRD-"&amp;DW$11&amp;"'!B:R"),15,FALSE),"")</f>
        <v/>
      </c>
      <c r="DX56" s="96">
        <f>IFERROR(VLOOKUP($B56,INDIRECT("'GRD-"&amp;DX$11&amp;"'!B:R"),15,FALSE),"")</f>
        <v/>
      </c>
      <c r="DY56" s="96">
        <f>IFERROR(VLOOKUP($B56,INDIRECT("'GRD-"&amp;DY$11&amp;"'!B:R"),15,FALSE),"")</f>
        <v/>
      </c>
      <c r="DZ56" s="96">
        <f>IFERROR(VLOOKUP($B56,INDIRECT("'GRD-"&amp;DZ$11&amp;"'!B:R"),15,FALSE),"")</f>
        <v/>
      </c>
      <c r="EA56" s="96">
        <f>IFERROR(VLOOKUP($B56,INDIRECT("'GRD-"&amp;EA$11&amp;"'!B:R"),15,FALSE),"")</f>
        <v/>
      </c>
      <c r="EB56" s="96">
        <f>IFERROR(VLOOKUP($B56,INDIRECT("'GRD-"&amp;EB$11&amp;"'!B:R"),15,FALSE),"")</f>
        <v/>
      </c>
      <c r="EC56" s="96">
        <f>IFERROR(VLOOKUP($B56,INDIRECT("'GRD-"&amp;EC$11&amp;"'!B:R"),15,FALSE),"")</f>
        <v/>
      </c>
      <c r="ED56" s="96">
        <f>IFERROR(VLOOKUP($B56,INDIRECT("'GRD-"&amp;ED$11&amp;"'!B:R"),15,FALSE),"")</f>
        <v/>
      </c>
      <c r="EE56" s="96">
        <f>IFERROR(VLOOKUP($B56,INDIRECT("'GRD-"&amp;EE$11&amp;"'!B:R"),15,FALSE),"")</f>
        <v/>
      </c>
      <c r="EF56" s="96">
        <f>IFERROR(VLOOKUP($B56,INDIRECT("'GRD-"&amp;EF$11&amp;"'!B:R"),15,FALSE),"")</f>
        <v/>
      </c>
      <c r="EG56" s="96">
        <f>IFERROR(VLOOKUP($B56,INDIRECT("'GRD-"&amp;EG$11&amp;"'!B:R"),15,FALSE),"")</f>
        <v/>
      </c>
      <c r="EH56" s="96">
        <f>IFERROR(VLOOKUP($B56,INDIRECT("'GRD-"&amp;EH$11&amp;"'!B:R"),15,FALSE),"")</f>
        <v/>
      </c>
      <c r="EI56" s="96">
        <f>IFERROR(VLOOKUP($B56,INDIRECT("'GRD-"&amp;EI$11&amp;"'!B:R"),15,FALSE),"")</f>
        <v/>
      </c>
      <c r="EJ56" s="96">
        <f>IFERROR(VLOOKUP($B56,INDIRECT("'GRD-"&amp;EJ$11&amp;"'!B:R"),15,FALSE),"")</f>
        <v/>
      </c>
      <c r="EK56" s="96">
        <f>IFERROR(VLOOKUP($B56,INDIRECT("'GRD-"&amp;EK$11&amp;"'!B:R"),15,FALSE),"")</f>
        <v/>
      </c>
      <c r="EL56" s="96">
        <f>IFERROR(VLOOKUP($B56,INDIRECT("'GRD-"&amp;EL$11&amp;"'!B:R"),15,FALSE),"")</f>
        <v/>
      </c>
      <c r="EM56" s="96">
        <f>IFERROR(VLOOKUP($B56,INDIRECT("'GRD-"&amp;EM$11&amp;"'!B:R"),15,FALSE),"")</f>
        <v/>
      </c>
      <c r="EN56" s="96">
        <f>IFERROR(VLOOKUP($B56,INDIRECT("'GRD-"&amp;EN$11&amp;"'!B:R"),15,FALSE),"")</f>
        <v/>
      </c>
      <c r="EO56" s="96">
        <f>IFERROR(VLOOKUP($B56,INDIRECT("'GRD-"&amp;EO$11&amp;"'!B:R"),15,FALSE),"")</f>
        <v/>
      </c>
      <c r="EP56" s="96">
        <f>IFERROR(VLOOKUP($B56,INDIRECT("'GRD-"&amp;EP$11&amp;"'!B:R"),15,FALSE),"")</f>
        <v/>
      </c>
      <c r="EQ56" s="96">
        <f>IFERROR(VLOOKUP($B56,INDIRECT("'GRD-"&amp;EQ$11&amp;"'!B:R"),15,FALSE),"")</f>
        <v/>
      </c>
      <c r="ER56" s="96">
        <f>IFERROR(VLOOKUP($B56,INDIRECT("'GRD-"&amp;ER$11&amp;"'!B:R"),15,FALSE),"")</f>
        <v/>
      </c>
      <c r="ES56" s="96">
        <f>IFERROR(VLOOKUP($B56,INDIRECT("'GRD-"&amp;ES$11&amp;"'!B:R"),15,FALSE),"")</f>
        <v/>
      </c>
      <c r="ET56" s="96">
        <f>IFERROR(VLOOKUP($B56,INDIRECT("'GRD-"&amp;ET$11&amp;"'!B:R"),15,FALSE),"")</f>
        <v/>
      </c>
      <c r="EU56" s="96">
        <f>IFERROR(VLOOKUP($B56,INDIRECT("'GRD-"&amp;EU$11&amp;"'!B:R"),15,FALSE),"")</f>
        <v/>
      </c>
      <c r="EV56" s="96">
        <f>IFERROR(VLOOKUP($B56,INDIRECT("'GRD-"&amp;EV$11&amp;"'!B:R"),15,FALSE),"")</f>
        <v/>
      </c>
      <c r="EW56" s="96">
        <f>IFERROR(VLOOKUP($B56,INDIRECT("'GRD-"&amp;EW$11&amp;"'!B:R"),15,FALSE),"")</f>
        <v/>
      </c>
      <c r="EX56" s="96">
        <f>IFERROR(VLOOKUP($B56,INDIRECT("'GRD-"&amp;EX$11&amp;"'!B:R"),15,FALSE),"")</f>
        <v/>
      </c>
      <c r="EY56" s="96">
        <f>IFERROR(VLOOKUP($B56,INDIRECT("'GRD-"&amp;EY$11&amp;"'!B:R"),15,FALSE),"")</f>
        <v/>
      </c>
      <c r="EZ56" s="96">
        <f>IFERROR(VLOOKUP($B56,INDIRECT("'GRD-"&amp;EZ$11&amp;"'!B:R"),15,FALSE),"")</f>
        <v/>
      </c>
      <c r="FA56" s="96">
        <f>IFERROR(VLOOKUP($B56,INDIRECT("'GRD-"&amp;FA$11&amp;"'!B:R"),15,FALSE),"")</f>
        <v/>
      </c>
      <c r="FB56" s="96">
        <f>IFERROR(VLOOKUP($B56,INDIRECT("'GRD-"&amp;FB$11&amp;"'!B:R"),15,FALSE),"")</f>
        <v/>
      </c>
      <c r="FC56" s="96">
        <f>IFERROR(VLOOKUP($B56,INDIRECT("'GRD-"&amp;FC$11&amp;"'!B:R"),15,FALSE),"")</f>
        <v/>
      </c>
      <c r="FD56" s="96">
        <f>IFERROR(VLOOKUP($B56,INDIRECT("'GRD-"&amp;FD$11&amp;"'!B:R"),15,FALSE),"")</f>
        <v/>
      </c>
      <c r="FE56" s="96">
        <f>IFERROR(VLOOKUP($B56,INDIRECT("'GRD-"&amp;FE$11&amp;"'!B:R"),15,FALSE),"")</f>
        <v/>
      </c>
      <c r="FF56" s="96">
        <f>IFERROR(VLOOKUP($B56,INDIRECT("'GRD-"&amp;FF$11&amp;"'!B:R"),15,FALSE),"")</f>
        <v/>
      </c>
      <c r="FG56" s="96">
        <f>IFERROR(VLOOKUP($B56,INDIRECT("'GRD-"&amp;FG$11&amp;"'!B:R"),15,FALSE),"")</f>
        <v/>
      </c>
      <c r="FH56" s="96">
        <f>IFERROR(VLOOKUP($B56,INDIRECT("'GRD-"&amp;FH$11&amp;"'!B:R"),15,FALSE),"")</f>
        <v/>
      </c>
      <c r="FI56" s="96">
        <f>IFERROR(VLOOKUP($B56,INDIRECT("'GRD-"&amp;FI$11&amp;"'!B:R"),15,FALSE),"")</f>
        <v/>
      </c>
      <c r="FJ56" s="96">
        <f>IFERROR(VLOOKUP($B56,INDIRECT("'GRD-"&amp;FJ$11&amp;"'!B:R"),15,FALSE),"")</f>
        <v/>
      </c>
      <c r="FK56" s="96">
        <f>IFERROR(VLOOKUP($B56,INDIRECT("'GRD-"&amp;FK$11&amp;"'!B:R"),15,FALSE),"")</f>
        <v/>
      </c>
      <c r="FL56" s="96">
        <f>IFERROR(VLOOKUP($B56,INDIRECT("'GRD-"&amp;FL$11&amp;"'!B:R"),15,FALSE),"")</f>
        <v/>
      </c>
      <c r="FM56" s="96">
        <f>IFERROR(VLOOKUP($B56,INDIRECT("'GRD-"&amp;FM$11&amp;"'!B:R"),15,FALSE),"")</f>
        <v/>
      </c>
      <c r="FN56" s="96">
        <f>IFERROR(VLOOKUP($B56,INDIRECT("'GRD-"&amp;FN$11&amp;"'!B:R"),15,FALSE),"")</f>
        <v/>
      </c>
      <c r="FO56" s="96">
        <f>IFERROR(VLOOKUP($B56,INDIRECT("'GRD-"&amp;FO$11&amp;"'!B:R"),15,FALSE),"")</f>
        <v/>
      </c>
      <c r="FP56" s="96">
        <f>IFERROR(VLOOKUP($B56,INDIRECT("'GRD-"&amp;FP$11&amp;"'!B:R"),15,FALSE),"")</f>
        <v/>
      </c>
      <c r="FQ56" s="96">
        <f>IFERROR(VLOOKUP($B56,INDIRECT("'GRD-"&amp;FQ$11&amp;"'!B:R"),15,FALSE),"")</f>
        <v/>
      </c>
      <c r="FR56" s="96">
        <f>IFERROR(VLOOKUP($B56,INDIRECT("'GRD-"&amp;FR$11&amp;"'!B:R"),15,FALSE),"")</f>
        <v/>
      </c>
      <c r="FS56" s="96">
        <f>IFERROR(VLOOKUP($B56,INDIRECT("'GRD-"&amp;FS$11&amp;"'!B:R"),15,FALSE),"")</f>
        <v/>
      </c>
      <c r="FT56" s="96">
        <f>IFERROR(VLOOKUP($B56,INDIRECT("'GRD-"&amp;FT$11&amp;"'!B:R"),15,FALSE),"")</f>
        <v/>
      </c>
      <c r="FU56" s="96">
        <f>IFERROR(VLOOKUP($B56,INDIRECT("'GRD-"&amp;FU$11&amp;"'!B:R"),15,FALSE),"")</f>
        <v/>
      </c>
      <c r="FV56" s="96">
        <f>IFERROR(VLOOKUP($B56,INDIRECT("'GRD-"&amp;FV$11&amp;"'!B:R"),15,FALSE),"")</f>
        <v/>
      </c>
    </row>
    <row r="57">
      <c r="B57" s="68" t="n"/>
      <c r="C57" s="72" t="n"/>
      <c r="D57" s="73">
        <f>IF(K57="","",MAX($CA57:$FV57))</f>
        <v/>
      </c>
      <c r="E57" s="74">
        <f t="array" ref="E57">IF($K57="","",OFFSET($A$1,ROW($B57)-1,11+$D57*4,))</f>
        <v/>
      </c>
      <c r="F57" s="74">
        <f t="array" ref="F57">IF($K57="","",OFFSET($A$1,ROW($B57)-1,12+$D57*4,))</f>
        <v/>
      </c>
      <c r="G57" s="118">
        <f t="array" ref="G57">IF($K57="","",OFFSET($A$1,ROW($B57)-1,13+$D57*4,))</f>
        <v/>
      </c>
      <c r="H57" s="81" t="n"/>
      <c r="I57" s="82" t="n"/>
      <c r="J57" s="75">
        <f>IF(I57="A4",H57/8,IF(I57="A3",H57/4,IF(I57="A2",H57/2,IF(I57="A1",H57/1,IF(I57="A0",H57*2,"")))))</f>
        <v/>
      </c>
      <c r="K57" s="68">
        <f t="array" ref="K57">IFERROR(OFFSET($BZ$11,ROW($B57)-11,MATCH(K$10,$CA57:$FV57,0),),"")</f>
        <v/>
      </c>
      <c r="L57" s="85">
        <f>IF(K57="","",IF(VLOOKUP($B57,INDIRECT("'GRD-"&amp;M57&amp;"'!$B:$R"),16,FALSE)="","",VLOOKUP($B57,INDIRECT("'GRD-"&amp;M57&amp;"'!$B:$R"),16,FALSE)))</f>
        <v/>
      </c>
      <c r="M57" s="130">
        <f t="array" ref="M57">IF(K57="","",IFERROR(OFFSET($BZ$11,0,MATCH($K57,$CA57:$FV57,0),),""))</f>
        <v/>
      </c>
      <c r="N57" s="119">
        <f t="array" ref="N57">IF(K57="","",INDIRECT("'GRD-"&amp;M57&amp;"'!$L$7"))</f>
        <v/>
      </c>
      <c r="O57" s="76">
        <f t="array" ref="O57">IFERROR(OFFSET($BZ$11,ROW($B57)-11,MATCH(O$10,$CA57:$FV57,0),),"")</f>
        <v/>
      </c>
      <c r="P57" s="76">
        <f>IF(O57="","",IF(VLOOKUP($B57,INDIRECT("'GRD-"&amp;Q57&amp;"'!$B:$R"),16,FALSE)="","",VLOOKUP($B57,INDIRECT("'GRD-"&amp;Q57&amp;"'!$B:$R"),16,FALSE)))</f>
        <v/>
      </c>
      <c r="Q57" s="132">
        <f t="array" ref="Q57">IF(O57="","",IFERROR(OFFSET($BZ$11,0,MATCH($O57,$CA57:$FV57,0),),""))</f>
        <v/>
      </c>
      <c r="R57" s="121">
        <f t="array" ref="R57">IF(O57="","",INDIRECT("'GRD-"&amp;Q57&amp;"'!$L$7"))</f>
        <v/>
      </c>
      <c r="S57" s="83">
        <f t="array" ref="S57">IFERROR(OFFSET($BZ$11,ROW($B57)-11,MATCH(S$10,$CA57:$FV57,0),),"")</f>
        <v/>
      </c>
      <c r="T57" s="83">
        <f>IF(S57="","",IF(VLOOKUP($B57,INDIRECT("'GRD-"&amp;U57&amp;"'!$B:$R"),16,FALSE)="","",VLOOKUP($B57,INDIRECT("'GRD-"&amp;U57&amp;"'!$B:$R"),16,FALSE)))</f>
        <v/>
      </c>
      <c r="U57" s="128">
        <f t="array" ref="U57">IF(S57="","",IFERROR(OFFSET($BZ$11,0,MATCH($S57,$CA57:$FV57,0),),""))</f>
        <v/>
      </c>
      <c r="V57" s="133">
        <f t="array" ref="V57">IF(S57="","",INDIRECT("'GRD-"&amp;U57&amp;"'!$L$7"))</f>
        <v/>
      </c>
      <c r="W57" s="84">
        <f t="array" ref="W57">IFERROR(OFFSET($BZ$11,ROW($B57)-11,MATCH(W$10,$CA57:$FV57,0),),"")</f>
        <v/>
      </c>
      <c r="X57" s="84">
        <f>IF(W57="","",IF(VLOOKUP($B57,INDIRECT("'GRD-"&amp;Y57&amp;"'!$B:$R"),16,FALSE)="","",VLOOKUP($B57,INDIRECT("'GRD-"&amp;Y57&amp;"'!$B:$R"),16,FALSE)))</f>
        <v/>
      </c>
      <c r="Y57" s="129">
        <f t="array" ref="Y57">IF(W57="","",IFERROR(OFFSET($BZ$11,0,MATCH($W57,$CA57:$FV57,0),),""))</f>
        <v/>
      </c>
      <c r="Z57" s="134">
        <f t="array" ref="Z57">IF(W57="","",INDIRECT("'GRD-"&amp;Y57&amp;"'!$L$7"))</f>
        <v/>
      </c>
      <c r="AA57" s="85">
        <f t="array" ref="AA57">IFERROR(OFFSET($BZ$11,ROW($B57)-11,MATCH(AA$10,$CA57:$FV57,0),),"")</f>
        <v/>
      </c>
      <c r="AB57" s="85">
        <f>IF(AA57="","",IF(VLOOKUP($B57,INDIRECT("'GRD-"&amp;AC57&amp;"'!$B:$R"),16,FALSE)="","",VLOOKUP($B57,INDIRECT("'GRD-"&amp;AC57&amp;"'!$B:$R"),16,FALSE)))</f>
        <v/>
      </c>
      <c r="AC57" s="130">
        <f t="array" ref="AC57">IF(AA57="","",IFERROR(OFFSET($BZ$11,0,MATCH($AA57,$CA57:$FV57,0),),""))</f>
        <v/>
      </c>
      <c r="AD57" s="131">
        <f t="array" ref="AD57">IF(AA57="","",INDIRECT("'GRD-"&amp;AC57&amp;"'!$L$7"))</f>
        <v/>
      </c>
      <c r="AE57" s="76">
        <f t="array" ref="AE57">IFERROR(OFFSET($BZ$11,ROW($B57)-11,MATCH(AE$10,$CA57:$FV57,0),),"")</f>
        <v/>
      </c>
      <c r="AF57" s="76">
        <f>IF(AE57="","",IF(VLOOKUP($B57,INDIRECT("'GRD-"&amp;AG57&amp;"'!$B:$R"),16,FALSE)="","",VLOOKUP($B57,INDIRECT("'GRD-"&amp;AG57&amp;"'!$B:$R"),16,FALSE)))</f>
        <v/>
      </c>
      <c r="AG57" s="132">
        <f t="array" ref="AG57">IF(AE57="","",IFERROR(OFFSET($BZ$11,0,MATCH($AE57,$CA57:$FV57,0),),""))</f>
        <v/>
      </c>
      <c r="AH57" s="121">
        <f t="array" ref="AH57">IF(AE57="","",INDIRECT("'GRD-"&amp;AG57&amp;"'!$L$7"))</f>
        <v/>
      </c>
      <c r="AI57" s="83">
        <f t="array" ref="AI57">IFERROR(OFFSET($BZ$11,ROW($B57)-11,MATCH(AI$10,$CA57:$FV57,0),),"")</f>
        <v/>
      </c>
      <c r="AJ57" s="83">
        <f>IF(AI57="","",IF(VLOOKUP($B57,INDIRECT("'GRD-"&amp;AK57&amp;"'!$B:$R"),16,FALSE)="","",VLOOKUP($B57,INDIRECT("'GRD-"&amp;AK57&amp;"'!$B:$R"),16,FALSE)))</f>
        <v/>
      </c>
      <c r="AK57" s="128">
        <f t="array" ref="AK57">IF(AI57="","",IFERROR(OFFSET($BZ$11,0,MATCH($AI57,$CA57:$FV57,0),),""))</f>
        <v/>
      </c>
      <c r="AL57" s="133">
        <f t="array" ref="AL57">IF(AI57="","",INDIRECT("'GRD-"&amp;AK57&amp;"'!$L$7"))</f>
        <v/>
      </c>
      <c r="AM57" s="84">
        <f t="array" ref="AM57">IFERROR(OFFSET($BZ$11,ROW($B57)-11,MATCH(AM$10,$CA57:$FV57,0),),"")</f>
        <v/>
      </c>
      <c r="AN57" s="84">
        <f>IF(AM57="","",IF(VLOOKUP($B57,INDIRECT("'GRD-"&amp;AO57&amp;"'!$B:$R"),16,FALSE)="","",VLOOKUP($B57,INDIRECT("'GRD-"&amp;AO57&amp;"'!$B:$R"),16,FALSE)))</f>
        <v/>
      </c>
      <c r="AO57" s="129">
        <f t="array" ref="AO57">IF(AM57="","",IFERROR(OFFSET($BZ$11,0,MATCH($AM57,$CA57:$FV57,0),),""))</f>
        <v/>
      </c>
      <c r="AP57" s="134">
        <f t="array" ref="AP57">IF(AM57="","",INDIRECT("'GRD-"&amp;AO57&amp;"'!$L$7"))</f>
        <v/>
      </c>
      <c r="AQ57" s="85">
        <f t="array" ref="AQ57">IFERROR(OFFSET($BZ$11,ROW($B57)-11,MATCH(AQ$10,$CA57:$FV57,0),),"")</f>
        <v/>
      </c>
      <c r="AR57" s="85">
        <f>IF(AQ57="","",IF(VLOOKUP($B57,INDIRECT("'GRD-"&amp;AS57&amp;"'!$B:$R"),16,FALSE)="","",VLOOKUP($B57,INDIRECT("'GRD-"&amp;AS57&amp;"'!$B:$R"),16,FALSE)))</f>
        <v/>
      </c>
      <c r="AS57" s="130">
        <f t="array" ref="AS57">IF(AQ57="","",IFERROR(OFFSET($BZ$11,0,MATCH($AQ57,$CA57:$FV57,0),),""))</f>
        <v/>
      </c>
      <c r="AT57" s="131">
        <f t="array" ref="AT57">IF(AQ57="","",INDIRECT("'GRD-"&amp;AS57&amp;"'!$L$7"))</f>
        <v/>
      </c>
      <c r="AU57" s="76">
        <f t="array" ref="AU57">IFERROR(OFFSET($BZ$11,ROW($B57)-11,MATCH(AU$10,$CA57:$FV57,0),),"")</f>
        <v/>
      </c>
      <c r="AV57" s="76">
        <f>IF(AU57="","",IF(VLOOKUP($B57,INDIRECT("'GRD-"&amp;AW57&amp;"'!$B:$R"),16,FALSE)="","",VLOOKUP($B57,INDIRECT("'GRD-"&amp;AW57&amp;"'!$B:$R"),16,FALSE)))</f>
        <v/>
      </c>
      <c r="AW57" s="132">
        <f t="array" ref="AW57">IF(AU57="","",IFERROR(OFFSET($BZ$11,0,MATCH($AU57,$CA57:$FV57,0),),""))</f>
        <v/>
      </c>
      <c r="AX57" s="121">
        <f t="array" ref="AX57">IF(AU57="","",INDIRECT("'GRD-"&amp;AW57&amp;"'!$L$7"))</f>
        <v/>
      </c>
      <c r="AY57" s="83">
        <f t="array" ref="AY57">IFERROR(OFFSET($BZ$11,ROW($B57)-11,MATCH(AY$10,$CA57:$FV57,0),),"")</f>
        <v/>
      </c>
      <c r="AZ57" s="83">
        <f>IF(AY57="","",IF(VLOOKUP($B57,INDIRECT("'GRD-"&amp;BA57&amp;"'!$B:$R"),16,FALSE)="","",VLOOKUP($B57,INDIRECT("'GRD-"&amp;BA57&amp;"'!$B:$R"),16,FALSE)))</f>
        <v/>
      </c>
      <c r="BA57" s="128">
        <f t="array" ref="BA57">IF(AY57="","",IFERROR(OFFSET($BZ$11,0,MATCH($AY57,$CA57:$FV57,0),),""))</f>
        <v/>
      </c>
      <c r="BB57" s="133">
        <f t="array" ref="BB57">IF(AY57="","",INDIRECT("'GRD-"&amp;BA57&amp;"'!$L$7"))</f>
        <v/>
      </c>
      <c r="BC57" s="84">
        <f t="array" ref="BC57">IFERROR(OFFSET($BZ$11,ROW($B57)-11,MATCH(BC$10,$CA57:$FV57,0),),"")</f>
        <v/>
      </c>
      <c r="BD57" s="84">
        <f>IF(BC57="","",IF(VLOOKUP($B57,INDIRECT("'GRD-"&amp;BE57&amp;"'!$B:$R"),16,FALSE)="","",VLOOKUP($B57,INDIRECT("'GRD-"&amp;BE57&amp;"'!$B:$R"),16,FALSE)))</f>
        <v/>
      </c>
      <c r="BE57" s="129">
        <f t="array" ref="BE57">IF(BC57="","",IFERROR(OFFSET($BZ$11,0,MATCH($BC57,$CA57:$FV57,0),),""))</f>
        <v/>
      </c>
      <c r="BF57" s="134">
        <f t="array" ref="BF57">IF(BC57="","",INDIRECT("'GRD-"&amp;BE57&amp;"'!$L$7"))</f>
        <v/>
      </c>
      <c r="CA57" s="96">
        <f>IFERROR(VLOOKUP($B57,INDIRECT("'GRD-"&amp;CA$11&amp;"'!B:R"),15,FALSE),"")</f>
        <v/>
      </c>
      <c r="CB57" s="96">
        <f>IFERROR(VLOOKUP($B57,INDIRECT("'GRD-"&amp;CB$11&amp;"'!B:R"),15,FALSE),"")</f>
        <v/>
      </c>
      <c r="CC57" s="96">
        <f>IFERROR(VLOOKUP($B57,INDIRECT("'GRD-"&amp;CC$11&amp;"'!B:R"),15,FALSE),"")</f>
        <v/>
      </c>
      <c r="CD57" s="96">
        <f>IFERROR(VLOOKUP($B57,INDIRECT("'GRD-"&amp;CD$11&amp;"'!B:R"),15,FALSE),"")</f>
        <v/>
      </c>
      <c r="CE57" s="96">
        <f>IFERROR(VLOOKUP($B57,INDIRECT("'GRD-"&amp;CE$11&amp;"'!B:R"),15,FALSE),"")</f>
        <v/>
      </c>
      <c r="CF57" s="96">
        <f>IFERROR(VLOOKUP($B57,INDIRECT("'GRD-"&amp;CF$11&amp;"'!B:R"),15,FALSE),"")</f>
        <v/>
      </c>
      <c r="CG57" s="96">
        <f>IFERROR(VLOOKUP($B57,INDIRECT("'GRD-"&amp;CG$11&amp;"'!B:R"),15,FALSE),"")</f>
        <v/>
      </c>
      <c r="CH57" s="96">
        <f>IFERROR(VLOOKUP($B57,INDIRECT("'GRD-"&amp;CH$11&amp;"'!B:R"),15,FALSE),"")</f>
        <v/>
      </c>
      <c r="CI57" s="96">
        <f>IFERROR(VLOOKUP($B57,INDIRECT("'GRD-"&amp;CI$11&amp;"'!B:R"),15,FALSE),"")</f>
        <v/>
      </c>
      <c r="CJ57" s="96">
        <f>IFERROR(VLOOKUP($B57,INDIRECT("'GRD-"&amp;CJ$11&amp;"'!B:R"),15,FALSE),"")</f>
        <v/>
      </c>
      <c r="CK57" s="96">
        <f>IFERROR(VLOOKUP($B57,INDIRECT("'GRD-"&amp;CK$11&amp;"'!B:R"),15,FALSE),"")</f>
        <v/>
      </c>
      <c r="CL57" s="96">
        <f>IFERROR(VLOOKUP($B57,INDIRECT("'GRD-"&amp;CL$11&amp;"'!B:R"),15,FALSE),"")</f>
        <v/>
      </c>
      <c r="CM57" s="96">
        <f>IFERROR(VLOOKUP($B57,INDIRECT("'GRD-"&amp;CM$11&amp;"'!B:R"),15,FALSE),"")</f>
        <v/>
      </c>
      <c r="CN57" s="96">
        <f>IFERROR(VLOOKUP($B57,INDIRECT("'GRD-"&amp;CN$11&amp;"'!B:R"),15,FALSE),"")</f>
        <v/>
      </c>
      <c r="CO57" s="96">
        <f>IFERROR(VLOOKUP($B57,INDIRECT("'GRD-"&amp;CO$11&amp;"'!B:R"),15,FALSE),"")</f>
        <v/>
      </c>
      <c r="CP57" s="96">
        <f>IFERROR(VLOOKUP($B57,INDIRECT("'GRD-"&amp;CP$11&amp;"'!B:R"),15,FALSE),"")</f>
        <v/>
      </c>
      <c r="CQ57" s="96">
        <f>IFERROR(VLOOKUP($B57,INDIRECT("'GRD-"&amp;CQ$11&amp;"'!B:R"),15,FALSE),"")</f>
        <v/>
      </c>
      <c r="CR57" s="96">
        <f>IFERROR(VLOOKUP($B57,INDIRECT("'GRD-"&amp;CR$11&amp;"'!B:R"),15,FALSE),"")</f>
        <v/>
      </c>
      <c r="CS57" s="96">
        <f>IFERROR(VLOOKUP($B57,INDIRECT("'GRD-"&amp;CS$11&amp;"'!B:R"),15,FALSE),"")</f>
        <v/>
      </c>
      <c r="CT57" s="96">
        <f>IFERROR(VLOOKUP($B57,INDIRECT("'GRD-"&amp;CT$11&amp;"'!B:R"),15,FALSE),"")</f>
        <v/>
      </c>
      <c r="CU57" s="96">
        <f>IFERROR(VLOOKUP($B57,INDIRECT("'GRD-"&amp;CU$11&amp;"'!B:R"),15,FALSE),"")</f>
        <v/>
      </c>
      <c r="CV57" s="96">
        <f>IFERROR(VLOOKUP($B57,INDIRECT("'GRD-"&amp;CV$11&amp;"'!B:R"),15,FALSE),"")</f>
        <v/>
      </c>
      <c r="CW57" s="96">
        <f>IFERROR(VLOOKUP($B57,INDIRECT("'GRD-"&amp;CW$11&amp;"'!B:R"),15,FALSE),"")</f>
        <v/>
      </c>
      <c r="CX57" s="96">
        <f>IFERROR(VLOOKUP($B57,INDIRECT("'GRD-"&amp;CX$11&amp;"'!B:R"),15,FALSE),"")</f>
        <v/>
      </c>
      <c r="CY57" s="96">
        <f>IFERROR(VLOOKUP($B57,INDIRECT("'GRD-"&amp;CY$11&amp;"'!B:R"),15,FALSE),"")</f>
        <v/>
      </c>
      <c r="CZ57" s="96">
        <f>IFERROR(VLOOKUP($B57,INDIRECT("'GRD-"&amp;CZ$11&amp;"'!B:R"),15,FALSE),"")</f>
        <v/>
      </c>
      <c r="DA57" s="96">
        <f>IFERROR(VLOOKUP($B57,INDIRECT("'GRD-"&amp;DA$11&amp;"'!B:R"),15,FALSE),"")</f>
        <v/>
      </c>
      <c r="DB57" s="96">
        <f>IFERROR(VLOOKUP($B57,INDIRECT("'GRD-"&amp;DB$11&amp;"'!B:R"),15,FALSE),"")</f>
        <v/>
      </c>
      <c r="DC57" s="96">
        <f>IFERROR(VLOOKUP($B57,INDIRECT("'GRD-"&amp;DC$11&amp;"'!B:R"),15,FALSE),"")</f>
        <v/>
      </c>
      <c r="DD57" s="96">
        <f>IFERROR(VLOOKUP($B57,INDIRECT("'GRD-"&amp;DD$11&amp;"'!B:R"),15,FALSE),"")</f>
        <v/>
      </c>
      <c r="DE57" s="96">
        <f>IFERROR(VLOOKUP($B57,INDIRECT("'GRD-"&amp;DE$11&amp;"'!B:R"),15,FALSE),"")</f>
        <v/>
      </c>
      <c r="DF57" s="96">
        <f>IFERROR(VLOOKUP($B57,INDIRECT("'GRD-"&amp;DF$11&amp;"'!B:R"),15,FALSE),"")</f>
        <v/>
      </c>
      <c r="DG57" s="96">
        <f>IFERROR(VLOOKUP($B57,INDIRECT("'GRD-"&amp;DG$11&amp;"'!B:R"),15,FALSE),"")</f>
        <v/>
      </c>
      <c r="DH57" s="96">
        <f>IFERROR(VLOOKUP($B57,INDIRECT("'GRD-"&amp;DH$11&amp;"'!B:R"),15,FALSE),"")</f>
        <v/>
      </c>
      <c r="DI57" s="96">
        <f>IFERROR(VLOOKUP($B57,INDIRECT("'GRD-"&amp;DI$11&amp;"'!B:R"),15,FALSE),"")</f>
        <v/>
      </c>
      <c r="DJ57" s="96">
        <f>IFERROR(VLOOKUP($B57,INDIRECT("'GRD-"&amp;DJ$11&amp;"'!B:R"),15,FALSE),"")</f>
        <v/>
      </c>
      <c r="DK57" s="96">
        <f>IFERROR(VLOOKUP($B57,INDIRECT("'GRD-"&amp;DK$11&amp;"'!B:R"),15,FALSE),"")</f>
        <v/>
      </c>
      <c r="DL57" s="96">
        <f>IFERROR(VLOOKUP($B57,INDIRECT("'GRD-"&amp;DL$11&amp;"'!B:R"),15,FALSE),"")</f>
        <v/>
      </c>
      <c r="DM57" s="96">
        <f>IFERROR(VLOOKUP($B57,INDIRECT("'GRD-"&amp;DM$11&amp;"'!B:R"),15,FALSE),"")</f>
        <v/>
      </c>
      <c r="DN57" s="96">
        <f>IFERROR(VLOOKUP($B57,INDIRECT("'GRD-"&amp;DN$11&amp;"'!B:R"),15,FALSE),"")</f>
        <v/>
      </c>
      <c r="DO57" s="96">
        <f>IFERROR(VLOOKUP($B57,INDIRECT("'GRD-"&amp;DO$11&amp;"'!B:R"),15,FALSE),"")</f>
        <v/>
      </c>
      <c r="DP57" s="96">
        <f>IFERROR(VLOOKUP($B57,INDIRECT("'GRD-"&amp;DP$11&amp;"'!B:R"),15,FALSE),"")</f>
        <v/>
      </c>
      <c r="DQ57" s="96">
        <f>IFERROR(VLOOKUP($B57,INDIRECT("'GRD-"&amp;DQ$11&amp;"'!B:R"),15,FALSE),"")</f>
        <v/>
      </c>
      <c r="DR57" s="96">
        <f>IFERROR(VLOOKUP($B57,INDIRECT("'GRD-"&amp;DR$11&amp;"'!B:R"),15,FALSE),"")</f>
        <v/>
      </c>
      <c r="DS57" s="96">
        <f>IFERROR(VLOOKUP($B57,INDIRECT("'GRD-"&amp;DS$11&amp;"'!B:R"),15,FALSE),"")</f>
        <v/>
      </c>
      <c r="DT57" s="96">
        <f>IFERROR(VLOOKUP($B57,INDIRECT("'GRD-"&amp;DT$11&amp;"'!B:R"),15,FALSE),"")</f>
        <v/>
      </c>
      <c r="DU57" s="96">
        <f>IFERROR(VLOOKUP($B57,INDIRECT("'GRD-"&amp;DU$11&amp;"'!B:R"),15,FALSE),"")</f>
        <v/>
      </c>
      <c r="DV57" s="96">
        <f>IFERROR(VLOOKUP($B57,INDIRECT("'GRD-"&amp;DV$11&amp;"'!B:R"),15,FALSE),"")</f>
        <v/>
      </c>
      <c r="DW57" s="96">
        <f>IFERROR(VLOOKUP($B57,INDIRECT("'GRD-"&amp;DW$11&amp;"'!B:R"),15,FALSE),"")</f>
        <v/>
      </c>
      <c r="DX57" s="96">
        <f>IFERROR(VLOOKUP($B57,INDIRECT("'GRD-"&amp;DX$11&amp;"'!B:R"),15,FALSE),"")</f>
        <v/>
      </c>
      <c r="DY57" s="96">
        <f>IFERROR(VLOOKUP($B57,INDIRECT("'GRD-"&amp;DY$11&amp;"'!B:R"),15,FALSE),"")</f>
        <v/>
      </c>
      <c r="DZ57" s="96">
        <f>IFERROR(VLOOKUP($B57,INDIRECT("'GRD-"&amp;DZ$11&amp;"'!B:R"),15,FALSE),"")</f>
        <v/>
      </c>
      <c r="EA57" s="96">
        <f>IFERROR(VLOOKUP($B57,INDIRECT("'GRD-"&amp;EA$11&amp;"'!B:R"),15,FALSE),"")</f>
        <v/>
      </c>
      <c r="EB57" s="96">
        <f>IFERROR(VLOOKUP($B57,INDIRECT("'GRD-"&amp;EB$11&amp;"'!B:R"),15,FALSE),"")</f>
        <v/>
      </c>
      <c r="EC57" s="96">
        <f>IFERROR(VLOOKUP($B57,INDIRECT("'GRD-"&amp;EC$11&amp;"'!B:R"),15,FALSE),"")</f>
        <v/>
      </c>
      <c r="ED57" s="96">
        <f>IFERROR(VLOOKUP($B57,INDIRECT("'GRD-"&amp;ED$11&amp;"'!B:R"),15,FALSE),"")</f>
        <v/>
      </c>
      <c r="EE57" s="96">
        <f>IFERROR(VLOOKUP($B57,INDIRECT("'GRD-"&amp;EE$11&amp;"'!B:R"),15,FALSE),"")</f>
        <v/>
      </c>
      <c r="EF57" s="96">
        <f>IFERROR(VLOOKUP($B57,INDIRECT("'GRD-"&amp;EF$11&amp;"'!B:R"),15,FALSE),"")</f>
        <v/>
      </c>
      <c r="EG57" s="96">
        <f>IFERROR(VLOOKUP($B57,INDIRECT("'GRD-"&amp;EG$11&amp;"'!B:R"),15,FALSE),"")</f>
        <v/>
      </c>
      <c r="EH57" s="96">
        <f>IFERROR(VLOOKUP($B57,INDIRECT("'GRD-"&amp;EH$11&amp;"'!B:R"),15,FALSE),"")</f>
        <v/>
      </c>
      <c r="EI57" s="96">
        <f>IFERROR(VLOOKUP($B57,INDIRECT("'GRD-"&amp;EI$11&amp;"'!B:R"),15,FALSE),"")</f>
        <v/>
      </c>
      <c r="EJ57" s="96">
        <f>IFERROR(VLOOKUP($B57,INDIRECT("'GRD-"&amp;EJ$11&amp;"'!B:R"),15,FALSE),"")</f>
        <v/>
      </c>
      <c r="EK57" s="96">
        <f>IFERROR(VLOOKUP($B57,INDIRECT("'GRD-"&amp;EK$11&amp;"'!B:R"),15,FALSE),"")</f>
        <v/>
      </c>
      <c r="EL57" s="96">
        <f>IFERROR(VLOOKUP($B57,INDIRECT("'GRD-"&amp;EL$11&amp;"'!B:R"),15,FALSE),"")</f>
        <v/>
      </c>
      <c r="EM57" s="96">
        <f>IFERROR(VLOOKUP($B57,INDIRECT("'GRD-"&amp;EM$11&amp;"'!B:R"),15,FALSE),"")</f>
        <v/>
      </c>
      <c r="EN57" s="96">
        <f>IFERROR(VLOOKUP($B57,INDIRECT("'GRD-"&amp;EN$11&amp;"'!B:R"),15,FALSE),"")</f>
        <v/>
      </c>
      <c r="EO57" s="96">
        <f>IFERROR(VLOOKUP($B57,INDIRECT("'GRD-"&amp;EO$11&amp;"'!B:R"),15,FALSE),"")</f>
        <v/>
      </c>
      <c r="EP57" s="96">
        <f>IFERROR(VLOOKUP($B57,INDIRECT("'GRD-"&amp;EP$11&amp;"'!B:R"),15,FALSE),"")</f>
        <v/>
      </c>
      <c r="EQ57" s="96">
        <f>IFERROR(VLOOKUP($B57,INDIRECT("'GRD-"&amp;EQ$11&amp;"'!B:R"),15,FALSE),"")</f>
        <v/>
      </c>
      <c r="ER57" s="96">
        <f>IFERROR(VLOOKUP($B57,INDIRECT("'GRD-"&amp;ER$11&amp;"'!B:R"),15,FALSE),"")</f>
        <v/>
      </c>
      <c r="ES57" s="96">
        <f>IFERROR(VLOOKUP($B57,INDIRECT("'GRD-"&amp;ES$11&amp;"'!B:R"),15,FALSE),"")</f>
        <v/>
      </c>
      <c r="ET57" s="96">
        <f>IFERROR(VLOOKUP($B57,INDIRECT("'GRD-"&amp;ET$11&amp;"'!B:R"),15,FALSE),"")</f>
        <v/>
      </c>
      <c r="EU57" s="96">
        <f>IFERROR(VLOOKUP($B57,INDIRECT("'GRD-"&amp;EU$11&amp;"'!B:R"),15,FALSE),"")</f>
        <v/>
      </c>
      <c r="EV57" s="96">
        <f>IFERROR(VLOOKUP($B57,INDIRECT("'GRD-"&amp;EV$11&amp;"'!B:R"),15,FALSE),"")</f>
        <v/>
      </c>
      <c r="EW57" s="96">
        <f>IFERROR(VLOOKUP($B57,INDIRECT("'GRD-"&amp;EW$11&amp;"'!B:R"),15,FALSE),"")</f>
        <v/>
      </c>
      <c r="EX57" s="96">
        <f>IFERROR(VLOOKUP($B57,INDIRECT("'GRD-"&amp;EX$11&amp;"'!B:R"),15,FALSE),"")</f>
        <v/>
      </c>
      <c r="EY57" s="96">
        <f>IFERROR(VLOOKUP($B57,INDIRECT("'GRD-"&amp;EY$11&amp;"'!B:R"),15,FALSE),"")</f>
        <v/>
      </c>
      <c r="EZ57" s="96">
        <f>IFERROR(VLOOKUP($B57,INDIRECT("'GRD-"&amp;EZ$11&amp;"'!B:R"),15,FALSE),"")</f>
        <v/>
      </c>
      <c r="FA57" s="96">
        <f>IFERROR(VLOOKUP($B57,INDIRECT("'GRD-"&amp;FA$11&amp;"'!B:R"),15,FALSE),"")</f>
        <v/>
      </c>
      <c r="FB57" s="96">
        <f>IFERROR(VLOOKUP($B57,INDIRECT("'GRD-"&amp;FB$11&amp;"'!B:R"),15,FALSE),"")</f>
        <v/>
      </c>
      <c r="FC57" s="96">
        <f>IFERROR(VLOOKUP($B57,INDIRECT("'GRD-"&amp;FC$11&amp;"'!B:R"),15,FALSE),"")</f>
        <v/>
      </c>
      <c r="FD57" s="96">
        <f>IFERROR(VLOOKUP($B57,INDIRECT("'GRD-"&amp;FD$11&amp;"'!B:R"),15,FALSE),"")</f>
        <v/>
      </c>
      <c r="FE57" s="96">
        <f>IFERROR(VLOOKUP($B57,INDIRECT("'GRD-"&amp;FE$11&amp;"'!B:R"),15,FALSE),"")</f>
        <v/>
      </c>
      <c r="FF57" s="96">
        <f>IFERROR(VLOOKUP($B57,INDIRECT("'GRD-"&amp;FF$11&amp;"'!B:R"),15,FALSE),"")</f>
        <v/>
      </c>
      <c r="FG57" s="96">
        <f>IFERROR(VLOOKUP($B57,INDIRECT("'GRD-"&amp;FG$11&amp;"'!B:R"),15,FALSE),"")</f>
        <v/>
      </c>
      <c r="FH57" s="96">
        <f>IFERROR(VLOOKUP($B57,INDIRECT("'GRD-"&amp;FH$11&amp;"'!B:R"),15,FALSE),"")</f>
        <v/>
      </c>
      <c r="FI57" s="96">
        <f>IFERROR(VLOOKUP($B57,INDIRECT("'GRD-"&amp;FI$11&amp;"'!B:R"),15,FALSE),"")</f>
        <v/>
      </c>
      <c r="FJ57" s="96">
        <f>IFERROR(VLOOKUP($B57,INDIRECT("'GRD-"&amp;FJ$11&amp;"'!B:R"),15,FALSE),"")</f>
        <v/>
      </c>
      <c r="FK57" s="96">
        <f>IFERROR(VLOOKUP($B57,INDIRECT("'GRD-"&amp;FK$11&amp;"'!B:R"),15,FALSE),"")</f>
        <v/>
      </c>
      <c r="FL57" s="96">
        <f>IFERROR(VLOOKUP($B57,INDIRECT("'GRD-"&amp;FL$11&amp;"'!B:R"),15,FALSE),"")</f>
        <v/>
      </c>
      <c r="FM57" s="96">
        <f>IFERROR(VLOOKUP($B57,INDIRECT("'GRD-"&amp;FM$11&amp;"'!B:R"),15,FALSE),"")</f>
        <v/>
      </c>
      <c r="FN57" s="96">
        <f>IFERROR(VLOOKUP($B57,INDIRECT("'GRD-"&amp;FN$11&amp;"'!B:R"),15,FALSE),"")</f>
        <v/>
      </c>
      <c r="FO57" s="96">
        <f>IFERROR(VLOOKUP($B57,INDIRECT("'GRD-"&amp;FO$11&amp;"'!B:R"),15,FALSE),"")</f>
        <v/>
      </c>
      <c r="FP57" s="96">
        <f>IFERROR(VLOOKUP($B57,INDIRECT("'GRD-"&amp;FP$11&amp;"'!B:R"),15,FALSE),"")</f>
        <v/>
      </c>
      <c r="FQ57" s="96">
        <f>IFERROR(VLOOKUP($B57,INDIRECT("'GRD-"&amp;FQ$11&amp;"'!B:R"),15,FALSE),"")</f>
        <v/>
      </c>
      <c r="FR57" s="96">
        <f>IFERROR(VLOOKUP($B57,INDIRECT("'GRD-"&amp;FR$11&amp;"'!B:R"),15,FALSE),"")</f>
        <v/>
      </c>
      <c r="FS57" s="96">
        <f>IFERROR(VLOOKUP($B57,INDIRECT("'GRD-"&amp;FS$11&amp;"'!B:R"),15,FALSE),"")</f>
        <v/>
      </c>
      <c r="FT57" s="96">
        <f>IFERROR(VLOOKUP($B57,INDIRECT("'GRD-"&amp;FT$11&amp;"'!B:R"),15,FALSE),"")</f>
        <v/>
      </c>
      <c r="FU57" s="96">
        <f>IFERROR(VLOOKUP($B57,INDIRECT("'GRD-"&amp;FU$11&amp;"'!B:R"),15,FALSE),"")</f>
        <v/>
      </c>
      <c r="FV57" s="96">
        <f>IFERROR(VLOOKUP($B57,INDIRECT("'GRD-"&amp;FV$11&amp;"'!B:R"),15,FALSE),"")</f>
        <v/>
      </c>
    </row>
    <row r="58">
      <c r="B58" s="85" t="n"/>
      <c r="C58" s="93" t="n"/>
      <c r="D58" s="73">
        <f>IF(K58="","",MAX($CA58:$FV58))</f>
        <v/>
      </c>
      <c r="E58" s="74">
        <f t="array" ref="E58">IF($K58="","",OFFSET($A$1,ROW($B58)-1,11+$D58*4,))</f>
        <v/>
      </c>
      <c r="F58" s="74">
        <f t="array" ref="F58">IF($K58="","",OFFSET($A$1,ROW($B58)-1,12+$D58*4,))</f>
        <v/>
      </c>
      <c r="G58" s="118">
        <f t="array" ref="G58">IF($K58="","",OFFSET($A$1,ROW($B58)-1,13+$D58*4,))</f>
        <v/>
      </c>
      <c r="H58" s="81" t="n"/>
      <c r="I58" s="82" t="n"/>
      <c r="J58" s="75">
        <f>IF(I58="A4",H58/8,IF(I58="A3",H58/4,IF(I58="A2",H58/2,IF(I58="A1",H58/1,IF(I58="A0",H58*2,"")))))</f>
        <v/>
      </c>
      <c r="K58" s="68">
        <f t="array" ref="K58">IFERROR(OFFSET($BZ$11,ROW($B58)-11,MATCH(K$10,$CA58:$FV58,0),),"")</f>
        <v/>
      </c>
      <c r="L58" s="85">
        <f>IF(K58="","",IF(VLOOKUP($B58,INDIRECT("'GRD-"&amp;M58&amp;"'!$B:$R"),16,FALSE)="","",VLOOKUP($B58,INDIRECT("'GRD-"&amp;M58&amp;"'!$B:$R"),16,FALSE)))</f>
        <v/>
      </c>
      <c r="M58" s="130">
        <f t="array" ref="M58">IF(K58="","",IFERROR(OFFSET($BZ$11,0,MATCH($K58,$CA58:$FV58,0),),""))</f>
        <v/>
      </c>
      <c r="N58" s="119">
        <f t="array" ref="N58">IF(K58="","",INDIRECT("'GRD-"&amp;M58&amp;"'!$L$7"))</f>
        <v/>
      </c>
      <c r="O58" s="76">
        <f t="array" ref="O58">IFERROR(OFFSET($BZ$11,ROW($B58)-11,MATCH(O$10,$CA58:$FV58,0),),"")</f>
        <v/>
      </c>
      <c r="P58" s="76">
        <f>IF(O58="","",IF(VLOOKUP($B58,INDIRECT("'GRD-"&amp;Q58&amp;"'!$B:$R"),16,FALSE)="","",VLOOKUP($B58,INDIRECT("'GRD-"&amp;Q58&amp;"'!$B:$R"),16,FALSE)))</f>
        <v/>
      </c>
      <c r="Q58" s="132">
        <f t="array" ref="Q58">IF(O58="","",IFERROR(OFFSET($BZ$11,0,MATCH($O58,$CA58:$FV58,0),),""))</f>
        <v/>
      </c>
      <c r="R58" s="121">
        <f t="array" ref="R58">IF(O58="","",INDIRECT("'GRD-"&amp;Q58&amp;"'!$L$7"))</f>
        <v/>
      </c>
      <c r="S58" s="83">
        <f t="array" ref="S58">IFERROR(OFFSET($BZ$11,ROW($B58)-11,MATCH(S$10,$CA58:$FV58,0),),"")</f>
        <v/>
      </c>
      <c r="T58" s="83">
        <f>IF(S58="","",IF(VLOOKUP($B58,INDIRECT("'GRD-"&amp;U58&amp;"'!$B:$R"),16,FALSE)="","",VLOOKUP($B58,INDIRECT("'GRD-"&amp;U58&amp;"'!$B:$R"),16,FALSE)))</f>
        <v/>
      </c>
      <c r="U58" s="128">
        <f t="array" ref="U58">IF(S58="","",IFERROR(OFFSET($BZ$11,0,MATCH($S58,$CA58:$FV58,0),),""))</f>
        <v/>
      </c>
      <c r="V58" s="133">
        <f t="array" ref="V58">IF(S58="","",INDIRECT("'GRD-"&amp;U58&amp;"'!$L$7"))</f>
        <v/>
      </c>
      <c r="W58" s="84">
        <f t="array" ref="W58">IFERROR(OFFSET($BZ$11,ROW($B58)-11,MATCH(W$10,$CA58:$FV58,0),),"")</f>
        <v/>
      </c>
      <c r="X58" s="84">
        <f>IF(W58="","",IF(VLOOKUP($B58,INDIRECT("'GRD-"&amp;Y58&amp;"'!$B:$R"),16,FALSE)="","",VLOOKUP($B58,INDIRECT("'GRD-"&amp;Y58&amp;"'!$B:$R"),16,FALSE)))</f>
        <v/>
      </c>
      <c r="Y58" s="129">
        <f t="array" ref="Y58">IF(W58="","",IFERROR(OFFSET($BZ$11,0,MATCH($W58,$CA58:$FV58,0),),""))</f>
        <v/>
      </c>
      <c r="Z58" s="134">
        <f t="array" ref="Z58">IF(W58="","",INDIRECT("'GRD-"&amp;Y58&amp;"'!$L$7"))</f>
        <v/>
      </c>
      <c r="AA58" s="85">
        <f t="array" ref="AA58">IFERROR(OFFSET($BZ$11,ROW($B58)-11,MATCH(AA$10,$CA58:$FV58,0),),"")</f>
        <v/>
      </c>
      <c r="AB58" s="85">
        <f>IF(AA58="","",IF(VLOOKUP($B58,INDIRECT("'GRD-"&amp;AC58&amp;"'!$B:$R"),16,FALSE)="","",VLOOKUP($B58,INDIRECT("'GRD-"&amp;AC58&amp;"'!$B:$R"),16,FALSE)))</f>
        <v/>
      </c>
      <c r="AC58" s="130">
        <f t="array" ref="AC58">IF(AA58="","",IFERROR(OFFSET($BZ$11,0,MATCH($AA58,$CA58:$FV58,0),),""))</f>
        <v/>
      </c>
      <c r="AD58" s="131">
        <f t="array" ref="AD58">IF(AA58="","",INDIRECT("'GRD-"&amp;AC58&amp;"'!$L$7"))</f>
        <v/>
      </c>
      <c r="AE58" s="76">
        <f t="array" ref="AE58">IFERROR(OFFSET($BZ$11,ROW($B58)-11,MATCH(AE$10,$CA58:$FV58,0),),"")</f>
        <v/>
      </c>
      <c r="AF58" s="76">
        <f>IF(AE58="","",IF(VLOOKUP($B58,INDIRECT("'GRD-"&amp;AG58&amp;"'!$B:$R"),16,FALSE)="","",VLOOKUP($B58,INDIRECT("'GRD-"&amp;AG58&amp;"'!$B:$R"),16,FALSE)))</f>
        <v/>
      </c>
      <c r="AG58" s="132">
        <f t="array" ref="AG58">IF(AE58="","",IFERROR(OFFSET($BZ$11,0,MATCH($AE58,$CA58:$FV58,0),),""))</f>
        <v/>
      </c>
      <c r="AH58" s="121">
        <f t="array" ref="AH58">IF(AE58="","",INDIRECT("'GRD-"&amp;AG58&amp;"'!$L$7"))</f>
        <v/>
      </c>
      <c r="AI58" s="83">
        <f t="array" ref="AI58">IFERROR(OFFSET($BZ$11,ROW($B58)-11,MATCH(AI$10,$CA58:$FV58,0),),"")</f>
        <v/>
      </c>
      <c r="AJ58" s="83">
        <f>IF(AI58="","",IF(VLOOKUP($B58,INDIRECT("'GRD-"&amp;AK58&amp;"'!$B:$R"),16,FALSE)="","",VLOOKUP($B58,INDIRECT("'GRD-"&amp;AK58&amp;"'!$B:$R"),16,FALSE)))</f>
        <v/>
      </c>
      <c r="AK58" s="128">
        <f t="array" ref="AK58">IF(AI58="","",IFERROR(OFFSET($BZ$11,0,MATCH($AI58,$CA58:$FV58,0),),""))</f>
        <v/>
      </c>
      <c r="AL58" s="133">
        <f t="array" ref="AL58">IF(AI58="","",INDIRECT("'GRD-"&amp;AK58&amp;"'!$L$7"))</f>
        <v/>
      </c>
      <c r="AM58" s="84">
        <f t="array" ref="AM58">IFERROR(OFFSET($BZ$11,ROW($B58)-11,MATCH(AM$10,$CA58:$FV58,0),),"")</f>
        <v/>
      </c>
      <c r="AN58" s="84">
        <f>IF(AM58="","",IF(VLOOKUP($B58,INDIRECT("'GRD-"&amp;AO58&amp;"'!$B:$R"),16,FALSE)="","",VLOOKUP($B58,INDIRECT("'GRD-"&amp;AO58&amp;"'!$B:$R"),16,FALSE)))</f>
        <v/>
      </c>
      <c r="AO58" s="129">
        <f t="array" ref="AO58">IF(AM58="","",IFERROR(OFFSET($BZ$11,0,MATCH($AM58,$CA58:$FV58,0),),""))</f>
        <v/>
      </c>
      <c r="AP58" s="134">
        <f t="array" ref="AP58">IF(AM58="","",INDIRECT("'GRD-"&amp;AO58&amp;"'!$L$7"))</f>
        <v/>
      </c>
      <c r="AQ58" s="85">
        <f t="array" ref="AQ58">IFERROR(OFFSET($BZ$11,ROW($B58)-11,MATCH(AQ$10,$CA58:$FV58,0),),"")</f>
        <v/>
      </c>
      <c r="AR58" s="85">
        <f>IF(AQ58="","",IF(VLOOKUP($B58,INDIRECT("'GRD-"&amp;AS58&amp;"'!$B:$R"),16,FALSE)="","",VLOOKUP($B58,INDIRECT("'GRD-"&amp;AS58&amp;"'!$B:$R"),16,FALSE)))</f>
        <v/>
      </c>
      <c r="AS58" s="130">
        <f t="array" ref="AS58">IF(AQ58="","",IFERROR(OFFSET($BZ$11,0,MATCH($AQ58,$CA58:$FV58,0),),""))</f>
        <v/>
      </c>
      <c r="AT58" s="131">
        <f t="array" ref="AT58">IF(AQ58="","",INDIRECT("'GRD-"&amp;AS58&amp;"'!$L$7"))</f>
        <v/>
      </c>
      <c r="AU58" s="76">
        <f t="array" ref="AU58">IFERROR(OFFSET($BZ$11,ROW($B58)-11,MATCH(AU$10,$CA58:$FV58,0),),"")</f>
        <v/>
      </c>
      <c r="AV58" s="76">
        <f>IF(AU58="","",IF(VLOOKUP($B58,INDIRECT("'GRD-"&amp;AW58&amp;"'!$B:$R"),16,FALSE)="","",VLOOKUP($B58,INDIRECT("'GRD-"&amp;AW58&amp;"'!$B:$R"),16,FALSE)))</f>
        <v/>
      </c>
      <c r="AW58" s="132">
        <f t="array" ref="AW58">IF(AU58="","",IFERROR(OFFSET($BZ$11,0,MATCH($AU58,$CA58:$FV58,0),),""))</f>
        <v/>
      </c>
      <c r="AX58" s="121">
        <f t="array" ref="AX58">IF(AU58="","",INDIRECT("'GRD-"&amp;AW58&amp;"'!$L$7"))</f>
        <v/>
      </c>
      <c r="AY58" s="83">
        <f t="array" ref="AY58">IFERROR(OFFSET($BZ$11,ROW($B58)-11,MATCH(AY$10,$CA58:$FV58,0),),"")</f>
        <v/>
      </c>
      <c r="AZ58" s="83">
        <f>IF(AY58="","",IF(VLOOKUP($B58,INDIRECT("'GRD-"&amp;BA58&amp;"'!$B:$R"),16,FALSE)="","",VLOOKUP($B58,INDIRECT("'GRD-"&amp;BA58&amp;"'!$B:$R"),16,FALSE)))</f>
        <v/>
      </c>
      <c r="BA58" s="128">
        <f t="array" ref="BA58">IF(AY58="","",IFERROR(OFFSET($BZ$11,0,MATCH($AY58,$CA58:$FV58,0),),""))</f>
        <v/>
      </c>
      <c r="BB58" s="133">
        <f t="array" ref="BB58">IF(AY58="","",INDIRECT("'GRD-"&amp;BA58&amp;"'!$L$7"))</f>
        <v/>
      </c>
      <c r="BC58" s="84">
        <f t="array" ref="BC58">IFERROR(OFFSET($BZ$11,ROW($B58)-11,MATCH(BC$10,$CA58:$FV58,0),),"")</f>
        <v/>
      </c>
      <c r="BD58" s="84">
        <f>IF(BC58="","",IF(VLOOKUP($B58,INDIRECT("'GRD-"&amp;BE58&amp;"'!$B:$R"),16,FALSE)="","",VLOOKUP($B58,INDIRECT("'GRD-"&amp;BE58&amp;"'!$B:$R"),16,FALSE)))</f>
        <v/>
      </c>
      <c r="BE58" s="129">
        <f t="array" ref="BE58">IF(BC58="","",IFERROR(OFFSET($BZ$11,0,MATCH($BC58,$CA58:$FV58,0),),""))</f>
        <v/>
      </c>
      <c r="BF58" s="134">
        <f t="array" ref="BF58">IF(BC58="","",INDIRECT("'GRD-"&amp;BE58&amp;"'!$L$7"))</f>
        <v/>
      </c>
      <c r="CA58" s="96">
        <f>IFERROR(VLOOKUP($B58,INDIRECT("'GRD-"&amp;CA$11&amp;"'!B:R"),15,FALSE),"")</f>
        <v/>
      </c>
      <c r="CB58" s="96">
        <f>IFERROR(VLOOKUP($B58,INDIRECT("'GRD-"&amp;CB$11&amp;"'!B:R"),15,FALSE),"")</f>
        <v/>
      </c>
      <c r="CC58" s="96">
        <f>IFERROR(VLOOKUP($B58,INDIRECT("'GRD-"&amp;CC$11&amp;"'!B:R"),15,FALSE),"")</f>
        <v/>
      </c>
      <c r="CD58" s="96">
        <f>IFERROR(VLOOKUP($B58,INDIRECT("'GRD-"&amp;CD$11&amp;"'!B:R"),15,FALSE),"")</f>
        <v/>
      </c>
      <c r="CE58" s="96">
        <f>IFERROR(VLOOKUP($B58,INDIRECT("'GRD-"&amp;CE$11&amp;"'!B:R"),15,FALSE),"")</f>
        <v/>
      </c>
      <c r="CF58" s="96">
        <f>IFERROR(VLOOKUP($B58,INDIRECT("'GRD-"&amp;CF$11&amp;"'!B:R"),15,FALSE),"")</f>
        <v/>
      </c>
      <c r="CG58" s="96">
        <f>IFERROR(VLOOKUP($B58,INDIRECT("'GRD-"&amp;CG$11&amp;"'!B:R"),15,FALSE),"")</f>
        <v/>
      </c>
      <c r="CH58" s="96">
        <f>IFERROR(VLOOKUP($B58,INDIRECT("'GRD-"&amp;CH$11&amp;"'!B:R"),15,FALSE),"")</f>
        <v/>
      </c>
      <c r="CI58" s="96">
        <f>IFERROR(VLOOKUP($B58,INDIRECT("'GRD-"&amp;CI$11&amp;"'!B:R"),15,FALSE),"")</f>
        <v/>
      </c>
      <c r="CJ58" s="96">
        <f>IFERROR(VLOOKUP($B58,INDIRECT("'GRD-"&amp;CJ$11&amp;"'!B:R"),15,FALSE),"")</f>
        <v/>
      </c>
      <c r="CK58" s="96">
        <f>IFERROR(VLOOKUP($B58,INDIRECT("'GRD-"&amp;CK$11&amp;"'!B:R"),15,FALSE),"")</f>
        <v/>
      </c>
      <c r="CL58" s="96">
        <f>IFERROR(VLOOKUP($B58,INDIRECT("'GRD-"&amp;CL$11&amp;"'!B:R"),15,FALSE),"")</f>
        <v/>
      </c>
      <c r="CM58" s="96">
        <f>IFERROR(VLOOKUP($B58,INDIRECT("'GRD-"&amp;CM$11&amp;"'!B:R"),15,FALSE),"")</f>
        <v/>
      </c>
      <c r="CN58" s="96">
        <f>IFERROR(VLOOKUP($B58,INDIRECT("'GRD-"&amp;CN$11&amp;"'!B:R"),15,FALSE),"")</f>
        <v/>
      </c>
      <c r="CO58" s="96">
        <f>IFERROR(VLOOKUP($B58,INDIRECT("'GRD-"&amp;CO$11&amp;"'!B:R"),15,FALSE),"")</f>
        <v/>
      </c>
      <c r="CP58" s="96">
        <f>IFERROR(VLOOKUP($B58,INDIRECT("'GRD-"&amp;CP$11&amp;"'!B:R"),15,FALSE),"")</f>
        <v/>
      </c>
      <c r="CQ58" s="96">
        <f>IFERROR(VLOOKUP($B58,INDIRECT("'GRD-"&amp;CQ$11&amp;"'!B:R"),15,FALSE),"")</f>
        <v/>
      </c>
      <c r="CR58" s="96">
        <f>IFERROR(VLOOKUP($B58,INDIRECT("'GRD-"&amp;CR$11&amp;"'!B:R"),15,FALSE),"")</f>
        <v/>
      </c>
      <c r="CS58" s="96">
        <f>IFERROR(VLOOKUP($B58,INDIRECT("'GRD-"&amp;CS$11&amp;"'!B:R"),15,FALSE),"")</f>
        <v/>
      </c>
      <c r="CT58" s="96">
        <f>IFERROR(VLOOKUP($B58,INDIRECT("'GRD-"&amp;CT$11&amp;"'!B:R"),15,FALSE),"")</f>
        <v/>
      </c>
      <c r="CU58" s="96">
        <f>IFERROR(VLOOKUP($B58,INDIRECT("'GRD-"&amp;CU$11&amp;"'!B:R"),15,FALSE),"")</f>
        <v/>
      </c>
      <c r="CV58" s="96">
        <f>IFERROR(VLOOKUP($B58,INDIRECT("'GRD-"&amp;CV$11&amp;"'!B:R"),15,FALSE),"")</f>
        <v/>
      </c>
      <c r="CW58" s="96">
        <f>IFERROR(VLOOKUP($B58,INDIRECT("'GRD-"&amp;CW$11&amp;"'!B:R"),15,FALSE),"")</f>
        <v/>
      </c>
      <c r="CX58" s="96">
        <f>IFERROR(VLOOKUP($B58,INDIRECT("'GRD-"&amp;CX$11&amp;"'!B:R"),15,FALSE),"")</f>
        <v/>
      </c>
      <c r="CY58" s="96">
        <f>IFERROR(VLOOKUP($B58,INDIRECT("'GRD-"&amp;CY$11&amp;"'!B:R"),15,FALSE),"")</f>
        <v/>
      </c>
      <c r="CZ58" s="96">
        <f>IFERROR(VLOOKUP($B58,INDIRECT("'GRD-"&amp;CZ$11&amp;"'!B:R"),15,FALSE),"")</f>
        <v/>
      </c>
      <c r="DA58" s="96">
        <f>IFERROR(VLOOKUP($B58,INDIRECT("'GRD-"&amp;DA$11&amp;"'!B:R"),15,FALSE),"")</f>
        <v/>
      </c>
      <c r="DB58" s="96">
        <f>IFERROR(VLOOKUP($B58,INDIRECT("'GRD-"&amp;DB$11&amp;"'!B:R"),15,FALSE),"")</f>
        <v/>
      </c>
      <c r="DC58" s="96">
        <f>IFERROR(VLOOKUP($B58,INDIRECT("'GRD-"&amp;DC$11&amp;"'!B:R"),15,FALSE),"")</f>
        <v/>
      </c>
      <c r="DD58" s="96">
        <f>IFERROR(VLOOKUP($B58,INDIRECT("'GRD-"&amp;DD$11&amp;"'!B:R"),15,FALSE),"")</f>
        <v/>
      </c>
      <c r="DE58" s="96">
        <f>IFERROR(VLOOKUP($B58,INDIRECT("'GRD-"&amp;DE$11&amp;"'!B:R"),15,FALSE),"")</f>
        <v/>
      </c>
      <c r="DF58" s="96">
        <f>IFERROR(VLOOKUP($B58,INDIRECT("'GRD-"&amp;DF$11&amp;"'!B:R"),15,FALSE),"")</f>
        <v/>
      </c>
      <c r="DG58" s="96">
        <f>IFERROR(VLOOKUP($B58,INDIRECT("'GRD-"&amp;DG$11&amp;"'!B:R"),15,FALSE),"")</f>
        <v/>
      </c>
      <c r="DH58" s="96">
        <f>IFERROR(VLOOKUP($B58,INDIRECT("'GRD-"&amp;DH$11&amp;"'!B:R"),15,FALSE),"")</f>
        <v/>
      </c>
      <c r="DI58" s="96">
        <f>IFERROR(VLOOKUP($B58,INDIRECT("'GRD-"&amp;DI$11&amp;"'!B:R"),15,FALSE),"")</f>
        <v/>
      </c>
      <c r="DJ58" s="96">
        <f>IFERROR(VLOOKUP($B58,INDIRECT("'GRD-"&amp;DJ$11&amp;"'!B:R"),15,FALSE),"")</f>
        <v/>
      </c>
      <c r="DK58" s="96">
        <f>IFERROR(VLOOKUP($B58,INDIRECT("'GRD-"&amp;DK$11&amp;"'!B:R"),15,FALSE),"")</f>
        <v/>
      </c>
      <c r="DL58" s="96">
        <f>IFERROR(VLOOKUP($B58,INDIRECT("'GRD-"&amp;DL$11&amp;"'!B:R"),15,FALSE),"")</f>
        <v/>
      </c>
      <c r="DM58" s="96">
        <f>IFERROR(VLOOKUP($B58,INDIRECT("'GRD-"&amp;DM$11&amp;"'!B:R"),15,FALSE),"")</f>
        <v/>
      </c>
      <c r="DN58" s="96">
        <f>IFERROR(VLOOKUP($B58,INDIRECT("'GRD-"&amp;DN$11&amp;"'!B:R"),15,FALSE),"")</f>
        <v/>
      </c>
      <c r="DO58" s="96">
        <f>IFERROR(VLOOKUP($B58,INDIRECT("'GRD-"&amp;DO$11&amp;"'!B:R"),15,FALSE),"")</f>
        <v/>
      </c>
      <c r="DP58" s="96">
        <f>IFERROR(VLOOKUP($B58,INDIRECT("'GRD-"&amp;DP$11&amp;"'!B:R"),15,FALSE),"")</f>
        <v/>
      </c>
      <c r="DQ58" s="96">
        <f>IFERROR(VLOOKUP($B58,INDIRECT("'GRD-"&amp;DQ$11&amp;"'!B:R"),15,FALSE),"")</f>
        <v/>
      </c>
      <c r="DR58" s="96">
        <f>IFERROR(VLOOKUP($B58,INDIRECT("'GRD-"&amp;DR$11&amp;"'!B:R"),15,FALSE),"")</f>
        <v/>
      </c>
      <c r="DS58" s="96">
        <f>IFERROR(VLOOKUP($B58,INDIRECT("'GRD-"&amp;DS$11&amp;"'!B:R"),15,FALSE),"")</f>
        <v/>
      </c>
      <c r="DT58" s="96">
        <f>IFERROR(VLOOKUP($B58,INDIRECT("'GRD-"&amp;DT$11&amp;"'!B:R"),15,FALSE),"")</f>
        <v/>
      </c>
      <c r="DU58" s="96">
        <f>IFERROR(VLOOKUP($B58,INDIRECT("'GRD-"&amp;DU$11&amp;"'!B:R"),15,FALSE),"")</f>
        <v/>
      </c>
      <c r="DV58" s="96">
        <f>IFERROR(VLOOKUP($B58,INDIRECT("'GRD-"&amp;DV$11&amp;"'!B:R"),15,FALSE),"")</f>
        <v/>
      </c>
      <c r="DW58" s="96">
        <f>IFERROR(VLOOKUP($B58,INDIRECT("'GRD-"&amp;DW$11&amp;"'!B:R"),15,FALSE),"")</f>
        <v/>
      </c>
      <c r="DX58" s="96">
        <f>IFERROR(VLOOKUP($B58,INDIRECT("'GRD-"&amp;DX$11&amp;"'!B:R"),15,FALSE),"")</f>
        <v/>
      </c>
      <c r="DY58" s="96">
        <f>IFERROR(VLOOKUP($B58,INDIRECT("'GRD-"&amp;DY$11&amp;"'!B:R"),15,FALSE),"")</f>
        <v/>
      </c>
      <c r="DZ58" s="96">
        <f>IFERROR(VLOOKUP($B58,INDIRECT("'GRD-"&amp;DZ$11&amp;"'!B:R"),15,FALSE),"")</f>
        <v/>
      </c>
      <c r="EA58" s="96">
        <f>IFERROR(VLOOKUP($B58,INDIRECT("'GRD-"&amp;EA$11&amp;"'!B:R"),15,FALSE),"")</f>
        <v/>
      </c>
      <c r="EB58" s="96">
        <f>IFERROR(VLOOKUP($B58,INDIRECT("'GRD-"&amp;EB$11&amp;"'!B:R"),15,FALSE),"")</f>
        <v/>
      </c>
      <c r="EC58" s="96">
        <f>IFERROR(VLOOKUP($B58,INDIRECT("'GRD-"&amp;EC$11&amp;"'!B:R"),15,FALSE),"")</f>
        <v/>
      </c>
      <c r="ED58" s="96">
        <f>IFERROR(VLOOKUP($B58,INDIRECT("'GRD-"&amp;ED$11&amp;"'!B:R"),15,FALSE),"")</f>
        <v/>
      </c>
      <c r="EE58" s="96">
        <f>IFERROR(VLOOKUP($B58,INDIRECT("'GRD-"&amp;EE$11&amp;"'!B:R"),15,FALSE),"")</f>
        <v/>
      </c>
      <c r="EF58" s="96">
        <f>IFERROR(VLOOKUP($B58,INDIRECT("'GRD-"&amp;EF$11&amp;"'!B:R"),15,FALSE),"")</f>
        <v/>
      </c>
      <c r="EG58" s="96">
        <f>IFERROR(VLOOKUP($B58,INDIRECT("'GRD-"&amp;EG$11&amp;"'!B:R"),15,FALSE),"")</f>
        <v/>
      </c>
      <c r="EH58" s="96">
        <f>IFERROR(VLOOKUP($B58,INDIRECT("'GRD-"&amp;EH$11&amp;"'!B:R"),15,FALSE),"")</f>
        <v/>
      </c>
      <c r="EI58" s="96">
        <f>IFERROR(VLOOKUP($B58,INDIRECT("'GRD-"&amp;EI$11&amp;"'!B:R"),15,FALSE),"")</f>
        <v/>
      </c>
      <c r="EJ58" s="96">
        <f>IFERROR(VLOOKUP($B58,INDIRECT("'GRD-"&amp;EJ$11&amp;"'!B:R"),15,FALSE),"")</f>
        <v/>
      </c>
      <c r="EK58" s="96">
        <f>IFERROR(VLOOKUP($B58,INDIRECT("'GRD-"&amp;EK$11&amp;"'!B:R"),15,FALSE),"")</f>
        <v/>
      </c>
      <c r="EL58" s="96">
        <f>IFERROR(VLOOKUP($B58,INDIRECT("'GRD-"&amp;EL$11&amp;"'!B:R"),15,FALSE),"")</f>
        <v/>
      </c>
      <c r="EM58" s="96">
        <f>IFERROR(VLOOKUP($B58,INDIRECT("'GRD-"&amp;EM$11&amp;"'!B:R"),15,FALSE),"")</f>
        <v/>
      </c>
      <c r="EN58" s="96">
        <f>IFERROR(VLOOKUP($B58,INDIRECT("'GRD-"&amp;EN$11&amp;"'!B:R"),15,FALSE),"")</f>
        <v/>
      </c>
      <c r="EO58" s="96">
        <f>IFERROR(VLOOKUP($B58,INDIRECT("'GRD-"&amp;EO$11&amp;"'!B:R"),15,FALSE),"")</f>
        <v/>
      </c>
      <c r="EP58" s="96">
        <f>IFERROR(VLOOKUP($B58,INDIRECT("'GRD-"&amp;EP$11&amp;"'!B:R"),15,FALSE),"")</f>
        <v/>
      </c>
      <c r="EQ58" s="96">
        <f>IFERROR(VLOOKUP($B58,INDIRECT("'GRD-"&amp;EQ$11&amp;"'!B:R"),15,FALSE),"")</f>
        <v/>
      </c>
      <c r="ER58" s="96">
        <f>IFERROR(VLOOKUP($B58,INDIRECT("'GRD-"&amp;ER$11&amp;"'!B:R"),15,FALSE),"")</f>
        <v/>
      </c>
      <c r="ES58" s="96">
        <f>IFERROR(VLOOKUP($B58,INDIRECT("'GRD-"&amp;ES$11&amp;"'!B:R"),15,FALSE),"")</f>
        <v/>
      </c>
      <c r="ET58" s="96">
        <f>IFERROR(VLOOKUP($B58,INDIRECT("'GRD-"&amp;ET$11&amp;"'!B:R"),15,FALSE),"")</f>
        <v/>
      </c>
      <c r="EU58" s="96">
        <f>IFERROR(VLOOKUP($B58,INDIRECT("'GRD-"&amp;EU$11&amp;"'!B:R"),15,FALSE),"")</f>
        <v/>
      </c>
      <c r="EV58" s="96">
        <f>IFERROR(VLOOKUP($B58,INDIRECT("'GRD-"&amp;EV$11&amp;"'!B:R"),15,FALSE),"")</f>
        <v/>
      </c>
      <c r="EW58" s="96">
        <f>IFERROR(VLOOKUP($B58,INDIRECT("'GRD-"&amp;EW$11&amp;"'!B:R"),15,FALSE),"")</f>
        <v/>
      </c>
      <c r="EX58" s="96">
        <f>IFERROR(VLOOKUP($B58,INDIRECT("'GRD-"&amp;EX$11&amp;"'!B:R"),15,FALSE),"")</f>
        <v/>
      </c>
      <c r="EY58" s="96">
        <f>IFERROR(VLOOKUP($B58,INDIRECT("'GRD-"&amp;EY$11&amp;"'!B:R"),15,FALSE),"")</f>
        <v/>
      </c>
      <c r="EZ58" s="96">
        <f>IFERROR(VLOOKUP($B58,INDIRECT("'GRD-"&amp;EZ$11&amp;"'!B:R"),15,FALSE),"")</f>
        <v/>
      </c>
      <c r="FA58" s="96">
        <f>IFERROR(VLOOKUP($B58,INDIRECT("'GRD-"&amp;FA$11&amp;"'!B:R"),15,FALSE),"")</f>
        <v/>
      </c>
      <c r="FB58" s="96">
        <f>IFERROR(VLOOKUP($B58,INDIRECT("'GRD-"&amp;FB$11&amp;"'!B:R"),15,FALSE),"")</f>
        <v/>
      </c>
      <c r="FC58" s="96">
        <f>IFERROR(VLOOKUP($B58,INDIRECT("'GRD-"&amp;FC$11&amp;"'!B:R"),15,FALSE),"")</f>
        <v/>
      </c>
      <c r="FD58" s="96">
        <f>IFERROR(VLOOKUP($B58,INDIRECT("'GRD-"&amp;FD$11&amp;"'!B:R"),15,FALSE),"")</f>
        <v/>
      </c>
      <c r="FE58" s="96">
        <f>IFERROR(VLOOKUP($B58,INDIRECT("'GRD-"&amp;FE$11&amp;"'!B:R"),15,FALSE),"")</f>
        <v/>
      </c>
      <c r="FF58" s="96">
        <f>IFERROR(VLOOKUP($B58,INDIRECT("'GRD-"&amp;FF$11&amp;"'!B:R"),15,FALSE),"")</f>
        <v/>
      </c>
      <c r="FG58" s="96">
        <f>IFERROR(VLOOKUP($B58,INDIRECT("'GRD-"&amp;FG$11&amp;"'!B:R"),15,FALSE),"")</f>
        <v/>
      </c>
      <c r="FH58" s="96">
        <f>IFERROR(VLOOKUP($B58,INDIRECT("'GRD-"&amp;FH$11&amp;"'!B:R"),15,FALSE),"")</f>
        <v/>
      </c>
      <c r="FI58" s="96">
        <f>IFERROR(VLOOKUP($B58,INDIRECT("'GRD-"&amp;FI$11&amp;"'!B:R"),15,FALSE),"")</f>
        <v/>
      </c>
      <c r="FJ58" s="96">
        <f>IFERROR(VLOOKUP($B58,INDIRECT("'GRD-"&amp;FJ$11&amp;"'!B:R"),15,FALSE),"")</f>
        <v/>
      </c>
      <c r="FK58" s="96">
        <f>IFERROR(VLOOKUP($B58,INDIRECT("'GRD-"&amp;FK$11&amp;"'!B:R"),15,FALSE),"")</f>
        <v/>
      </c>
      <c r="FL58" s="96">
        <f>IFERROR(VLOOKUP($B58,INDIRECT("'GRD-"&amp;FL$11&amp;"'!B:R"),15,FALSE),"")</f>
        <v/>
      </c>
      <c r="FM58" s="96">
        <f>IFERROR(VLOOKUP($B58,INDIRECT("'GRD-"&amp;FM$11&amp;"'!B:R"),15,FALSE),"")</f>
        <v/>
      </c>
      <c r="FN58" s="96">
        <f>IFERROR(VLOOKUP($B58,INDIRECT("'GRD-"&amp;FN$11&amp;"'!B:R"),15,FALSE),"")</f>
        <v/>
      </c>
      <c r="FO58" s="96">
        <f>IFERROR(VLOOKUP($B58,INDIRECT("'GRD-"&amp;FO$11&amp;"'!B:R"),15,FALSE),"")</f>
        <v/>
      </c>
      <c r="FP58" s="96">
        <f>IFERROR(VLOOKUP($B58,INDIRECT("'GRD-"&amp;FP$11&amp;"'!B:R"),15,FALSE),"")</f>
        <v/>
      </c>
      <c r="FQ58" s="96">
        <f>IFERROR(VLOOKUP($B58,INDIRECT("'GRD-"&amp;FQ$11&amp;"'!B:R"),15,FALSE),"")</f>
        <v/>
      </c>
      <c r="FR58" s="96">
        <f>IFERROR(VLOOKUP($B58,INDIRECT("'GRD-"&amp;FR$11&amp;"'!B:R"),15,FALSE),"")</f>
        <v/>
      </c>
      <c r="FS58" s="96">
        <f>IFERROR(VLOOKUP($B58,INDIRECT("'GRD-"&amp;FS$11&amp;"'!B:R"),15,FALSE),"")</f>
        <v/>
      </c>
      <c r="FT58" s="96">
        <f>IFERROR(VLOOKUP($B58,INDIRECT("'GRD-"&amp;FT$11&amp;"'!B:R"),15,FALSE),"")</f>
        <v/>
      </c>
      <c r="FU58" s="96">
        <f>IFERROR(VLOOKUP($B58,INDIRECT("'GRD-"&amp;FU$11&amp;"'!B:R"),15,FALSE),"")</f>
        <v/>
      </c>
      <c r="FV58" s="96">
        <f>IFERROR(VLOOKUP($B58,INDIRECT("'GRD-"&amp;FV$11&amp;"'!B:R"),15,FALSE),"")</f>
        <v/>
      </c>
    </row>
    <row r="59">
      <c r="B59" s="85" t="n"/>
      <c r="C59" s="93" t="n"/>
      <c r="D59" s="73">
        <f>IF(K59="","",MAX($CA59:$FV59))</f>
        <v/>
      </c>
      <c r="E59" s="74">
        <f t="array" ref="E59">IF($K59="","",OFFSET($A$1,ROW($B59)-1,11+$D59*4,))</f>
        <v/>
      </c>
      <c r="F59" s="74">
        <f t="array" ref="F59">IF($K59="","",OFFSET($A$1,ROW($B59)-1,12+$D59*4,))</f>
        <v/>
      </c>
      <c r="G59" s="118">
        <f t="array" ref="G59">IF($K59="","",OFFSET($A$1,ROW($B59)-1,13+$D59*4,))</f>
        <v/>
      </c>
      <c r="H59" s="81" t="n"/>
      <c r="I59" s="82" t="n"/>
      <c r="J59" s="75">
        <f>IF(I59="A4",H59/8,IF(I59="A3",H59/4,IF(I59="A2",H59/2,IF(I59="A1",H59/1,IF(I59="A0",H59*2,"")))))</f>
        <v/>
      </c>
      <c r="K59" s="68">
        <f t="array" ref="K59">IFERROR(OFFSET($BZ$11,ROW($B59)-11,MATCH(K$10,$CA59:$FV59,0),),"")</f>
        <v/>
      </c>
      <c r="L59" s="85">
        <f>IF(K59="","",IF(VLOOKUP($B59,INDIRECT("'GRD-"&amp;M59&amp;"'!$B:$R"),16,FALSE)="","",VLOOKUP($B59,INDIRECT("'GRD-"&amp;M59&amp;"'!$B:$R"),16,FALSE)))</f>
        <v/>
      </c>
      <c r="M59" s="130">
        <f t="array" ref="M59">IF(K59="","",IFERROR(OFFSET($BZ$11,0,MATCH($K59,$CA59:$FV59,0),),""))</f>
        <v/>
      </c>
      <c r="N59" s="119">
        <f t="array" ref="N59">IF(K59="","",INDIRECT("'GRD-"&amp;M59&amp;"'!$L$7"))</f>
        <v/>
      </c>
      <c r="O59" s="76">
        <f t="array" ref="O59">IFERROR(OFFSET($BZ$11,ROW($B59)-11,MATCH(O$10,$CA59:$FV59,0),),"")</f>
        <v/>
      </c>
      <c r="P59" s="76">
        <f>IF(O59="","",IF(VLOOKUP($B59,INDIRECT("'GRD-"&amp;Q59&amp;"'!$B:$R"),16,FALSE)="","",VLOOKUP($B59,INDIRECT("'GRD-"&amp;Q59&amp;"'!$B:$R"),16,FALSE)))</f>
        <v/>
      </c>
      <c r="Q59" s="132">
        <f t="array" ref="Q59">IF(O59="","",IFERROR(OFFSET($BZ$11,0,MATCH($O59,$CA59:$FV59,0),),""))</f>
        <v/>
      </c>
      <c r="R59" s="121">
        <f t="array" ref="R59">IF(O59="","",INDIRECT("'GRD-"&amp;Q59&amp;"'!$L$7"))</f>
        <v/>
      </c>
      <c r="S59" s="83">
        <f t="array" ref="S59">IFERROR(OFFSET($BZ$11,ROW($B59)-11,MATCH(S$10,$CA59:$FV59,0),),"")</f>
        <v/>
      </c>
      <c r="T59" s="83">
        <f>IF(S59="","",IF(VLOOKUP($B59,INDIRECT("'GRD-"&amp;U59&amp;"'!$B:$R"),16,FALSE)="","",VLOOKUP($B59,INDIRECT("'GRD-"&amp;U59&amp;"'!$B:$R"),16,FALSE)))</f>
        <v/>
      </c>
      <c r="U59" s="128">
        <f t="array" ref="U59">IF(S59="","",IFERROR(OFFSET($BZ$11,0,MATCH($S59,$CA59:$FV59,0),),""))</f>
        <v/>
      </c>
      <c r="V59" s="133">
        <f t="array" ref="V59">IF(S59="","",INDIRECT("'GRD-"&amp;U59&amp;"'!$L$7"))</f>
        <v/>
      </c>
      <c r="W59" s="84">
        <f t="array" ref="W59">IFERROR(OFFSET($BZ$11,ROW($B59)-11,MATCH(W$10,$CA59:$FV59,0),),"")</f>
        <v/>
      </c>
      <c r="X59" s="84">
        <f>IF(W59="","",IF(VLOOKUP($B59,INDIRECT("'GRD-"&amp;Y59&amp;"'!$B:$R"),16,FALSE)="","",VLOOKUP($B59,INDIRECT("'GRD-"&amp;Y59&amp;"'!$B:$R"),16,FALSE)))</f>
        <v/>
      </c>
      <c r="Y59" s="129">
        <f t="array" ref="Y59">IF(W59="","",IFERROR(OFFSET($BZ$11,0,MATCH($W59,$CA59:$FV59,0),),""))</f>
        <v/>
      </c>
      <c r="Z59" s="134">
        <f t="array" ref="Z59">IF(W59="","",INDIRECT("'GRD-"&amp;Y59&amp;"'!$L$7"))</f>
        <v/>
      </c>
      <c r="AA59" s="85">
        <f t="array" ref="AA59">IFERROR(OFFSET($BZ$11,ROW($B59)-11,MATCH(AA$10,$CA59:$FV59,0),),"")</f>
        <v/>
      </c>
      <c r="AB59" s="85">
        <f>IF(AA59="","",IF(VLOOKUP($B59,INDIRECT("'GRD-"&amp;AC59&amp;"'!$B:$R"),16,FALSE)="","",VLOOKUP($B59,INDIRECT("'GRD-"&amp;AC59&amp;"'!$B:$R"),16,FALSE)))</f>
        <v/>
      </c>
      <c r="AC59" s="130">
        <f t="array" ref="AC59">IF(AA59="","",IFERROR(OFFSET($BZ$11,0,MATCH($AA59,$CA59:$FV59,0),),""))</f>
        <v/>
      </c>
      <c r="AD59" s="131">
        <f t="array" ref="AD59">IF(AA59="","",INDIRECT("'GRD-"&amp;AC59&amp;"'!$L$7"))</f>
        <v/>
      </c>
      <c r="AE59" s="76">
        <f t="array" ref="AE59">IFERROR(OFFSET($BZ$11,ROW($B59)-11,MATCH(AE$10,$CA59:$FV59,0),),"")</f>
        <v/>
      </c>
      <c r="AF59" s="76">
        <f>IF(AE59="","",IF(VLOOKUP($B59,INDIRECT("'GRD-"&amp;AG59&amp;"'!$B:$R"),16,FALSE)="","",VLOOKUP($B59,INDIRECT("'GRD-"&amp;AG59&amp;"'!$B:$R"),16,FALSE)))</f>
        <v/>
      </c>
      <c r="AG59" s="132">
        <f t="array" ref="AG59">IF(AE59="","",IFERROR(OFFSET($BZ$11,0,MATCH($AE59,$CA59:$FV59,0),),""))</f>
        <v/>
      </c>
      <c r="AH59" s="121">
        <f t="array" ref="AH59">IF(AE59="","",INDIRECT("'GRD-"&amp;AG59&amp;"'!$L$7"))</f>
        <v/>
      </c>
      <c r="AI59" s="83">
        <f t="array" ref="AI59">IFERROR(OFFSET($BZ$11,ROW($B59)-11,MATCH(AI$10,$CA59:$FV59,0),),"")</f>
        <v/>
      </c>
      <c r="AJ59" s="83">
        <f>IF(AI59="","",IF(VLOOKUP($B59,INDIRECT("'GRD-"&amp;AK59&amp;"'!$B:$R"),16,FALSE)="","",VLOOKUP($B59,INDIRECT("'GRD-"&amp;AK59&amp;"'!$B:$R"),16,FALSE)))</f>
        <v/>
      </c>
      <c r="AK59" s="128">
        <f t="array" ref="AK59">IF(AI59="","",IFERROR(OFFSET($BZ$11,0,MATCH($AI59,$CA59:$FV59,0),),""))</f>
        <v/>
      </c>
      <c r="AL59" s="133">
        <f t="array" ref="AL59">IF(AI59="","",INDIRECT("'GRD-"&amp;AK59&amp;"'!$L$7"))</f>
        <v/>
      </c>
      <c r="AM59" s="84">
        <f t="array" ref="AM59">IFERROR(OFFSET($BZ$11,ROW($B59)-11,MATCH(AM$10,$CA59:$FV59,0),),"")</f>
        <v/>
      </c>
      <c r="AN59" s="84">
        <f>IF(AM59="","",IF(VLOOKUP($B59,INDIRECT("'GRD-"&amp;AO59&amp;"'!$B:$R"),16,FALSE)="","",VLOOKUP($B59,INDIRECT("'GRD-"&amp;AO59&amp;"'!$B:$R"),16,FALSE)))</f>
        <v/>
      </c>
      <c r="AO59" s="129">
        <f t="array" ref="AO59">IF(AM59="","",IFERROR(OFFSET($BZ$11,0,MATCH($AM59,$CA59:$FV59,0),),""))</f>
        <v/>
      </c>
      <c r="AP59" s="134">
        <f t="array" ref="AP59">IF(AM59="","",INDIRECT("'GRD-"&amp;AO59&amp;"'!$L$7"))</f>
        <v/>
      </c>
      <c r="AQ59" s="85">
        <f t="array" ref="AQ59">IFERROR(OFFSET($BZ$11,ROW($B59)-11,MATCH(AQ$10,$CA59:$FV59,0),),"")</f>
        <v/>
      </c>
      <c r="AR59" s="85">
        <f>IF(AQ59="","",IF(VLOOKUP($B59,INDIRECT("'GRD-"&amp;AS59&amp;"'!$B:$R"),16,FALSE)="","",VLOOKUP($B59,INDIRECT("'GRD-"&amp;AS59&amp;"'!$B:$R"),16,FALSE)))</f>
        <v/>
      </c>
      <c r="AS59" s="130">
        <f t="array" ref="AS59">IF(AQ59="","",IFERROR(OFFSET($BZ$11,0,MATCH($AQ59,$CA59:$FV59,0),),""))</f>
        <v/>
      </c>
      <c r="AT59" s="131">
        <f t="array" ref="AT59">IF(AQ59="","",INDIRECT("'GRD-"&amp;AS59&amp;"'!$L$7"))</f>
        <v/>
      </c>
      <c r="AU59" s="76">
        <f t="array" ref="AU59">IFERROR(OFFSET($BZ$11,ROW($B59)-11,MATCH(AU$10,$CA59:$FV59,0),),"")</f>
        <v/>
      </c>
      <c r="AV59" s="76">
        <f>IF(AU59="","",IF(VLOOKUP($B59,INDIRECT("'GRD-"&amp;AW59&amp;"'!$B:$R"),16,FALSE)="","",VLOOKUP($B59,INDIRECT("'GRD-"&amp;AW59&amp;"'!$B:$R"),16,FALSE)))</f>
        <v/>
      </c>
      <c r="AW59" s="132">
        <f t="array" ref="AW59">IF(AU59="","",IFERROR(OFFSET($BZ$11,0,MATCH($AU59,$CA59:$FV59,0),),""))</f>
        <v/>
      </c>
      <c r="AX59" s="121">
        <f t="array" ref="AX59">IF(AU59="","",INDIRECT("'GRD-"&amp;AW59&amp;"'!$L$7"))</f>
        <v/>
      </c>
      <c r="AY59" s="83">
        <f t="array" ref="AY59">IFERROR(OFFSET($BZ$11,ROW($B59)-11,MATCH(AY$10,$CA59:$FV59,0),),"")</f>
        <v/>
      </c>
      <c r="AZ59" s="83">
        <f>IF(AY59="","",IF(VLOOKUP($B59,INDIRECT("'GRD-"&amp;BA59&amp;"'!$B:$R"),16,FALSE)="","",VLOOKUP($B59,INDIRECT("'GRD-"&amp;BA59&amp;"'!$B:$R"),16,FALSE)))</f>
        <v/>
      </c>
      <c r="BA59" s="128">
        <f t="array" ref="BA59">IF(AY59="","",IFERROR(OFFSET($BZ$11,0,MATCH($AY59,$CA59:$FV59,0),),""))</f>
        <v/>
      </c>
      <c r="BB59" s="133">
        <f t="array" ref="BB59">IF(AY59="","",INDIRECT("'GRD-"&amp;BA59&amp;"'!$L$7"))</f>
        <v/>
      </c>
      <c r="BC59" s="84">
        <f t="array" ref="BC59">IFERROR(OFFSET($BZ$11,ROW($B59)-11,MATCH(BC$10,$CA59:$FV59,0),),"")</f>
        <v/>
      </c>
      <c r="BD59" s="84">
        <f>IF(BC59="","",IF(VLOOKUP($B59,INDIRECT("'GRD-"&amp;BE59&amp;"'!$B:$R"),16,FALSE)="","",VLOOKUP($B59,INDIRECT("'GRD-"&amp;BE59&amp;"'!$B:$R"),16,FALSE)))</f>
        <v/>
      </c>
      <c r="BE59" s="129">
        <f t="array" ref="BE59">IF(BC59="","",IFERROR(OFFSET($BZ$11,0,MATCH($BC59,$CA59:$FV59,0),),""))</f>
        <v/>
      </c>
      <c r="BF59" s="134">
        <f t="array" ref="BF59">IF(BC59="","",INDIRECT("'GRD-"&amp;BE59&amp;"'!$L$7"))</f>
        <v/>
      </c>
      <c r="CA59" s="96">
        <f>IFERROR(VLOOKUP($B59,INDIRECT("'GRD-"&amp;CA$11&amp;"'!B:R"),15,FALSE),"")</f>
        <v/>
      </c>
      <c r="CB59" s="96">
        <f>IFERROR(VLOOKUP($B59,INDIRECT("'GRD-"&amp;CB$11&amp;"'!B:R"),15,FALSE),"")</f>
        <v/>
      </c>
      <c r="CC59" s="96">
        <f>IFERROR(VLOOKUP($B59,INDIRECT("'GRD-"&amp;CC$11&amp;"'!B:R"),15,FALSE),"")</f>
        <v/>
      </c>
      <c r="CD59" s="96">
        <f>IFERROR(VLOOKUP($B59,INDIRECT("'GRD-"&amp;CD$11&amp;"'!B:R"),15,FALSE),"")</f>
        <v/>
      </c>
      <c r="CE59" s="96">
        <f>IFERROR(VLOOKUP($B59,INDIRECT("'GRD-"&amp;CE$11&amp;"'!B:R"),15,FALSE),"")</f>
        <v/>
      </c>
      <c r="CF59" s="96">
        <f>IFERROR(VLOOKUP($B59,INDIRECT("'GRD-"&amp;CF$11&amp;"'!B:R"),15,FALSE),"")</f>
        <v/>
      </c>
      <c r="CG59" s="96">
        <f>IFERROR(VLOOKUP($B59,INDIRECT("'GRD-"&amp;CG$11&amp;"'!B:R"),15,FALSE),"")</f>
        <v/>
      </c>
      <c r="CH59" s="96">
        <f>IFERROR(VLOOKUP($B59,INDIRECT("'GRD-"&amp;CH$11&amp;"'!B:R"),15,FALSE),"")</f>
        <v/>
      </c>
      <c r="CI59" s="96">
        <f>IFERROR(VLOOKUP($B59,INDIRECT("'GRD-"&amp;CI$11&amp;"'!B:R"),15,FALSE),"")</f>
        <v/>
      </c>
      <c r="CJ59" s="96">
        <f>IFERROR(VLOOKUP($B59,INDIRECT("'GRD-"&amp;CJ$11&amp;"'!B:R"),15,FALSE),"")</f>
        <v/>
      </c>
      <c r="CK59" s="96">
        <f>IFERROR(VLOOKUP($B59,INDIRECT("'GRD-"&amp;CK$11&amp;"'!B:R"),15,FALSE),"")</f>
        <v/>
      </c>
      <c r="CL59" s="96">
        <f>IFERROR(VLOOKUP($B59,INDIRECT("'GRD-"&amp;CL$11&amp;"'!B:R"),15,FALSE),"")</f>
        <v/>
      </c>
      <c r="CM59" s="96">
        <f>IFERROR(VLOOKUP($B59,INDIRECT("'GRD-"&amp;CM$11&amp;"'!B:R"),15,FALSE),"")</f>
        <v/>
      </c>
      <c r="CN59" s="96">
        <f>IFERROR(VLOOKUP($B59,INDIRECT("'GRD-"&amp;CN$11&amp;"'!B:R"),15,FALSE),"")</f>
        <v/>
      </c>
      <c r="CO59" s="96">
        <f>IFERROR(VLOOKUP($B59,INDIRECT("'GRD-"&amp;CO$11&amp;"'!B:R"),15,FALSE),"")</f>
        <v/>
      </c>
      <c r="CP59" s="96">
        <f>IFERROR(VLOOKUP($B59,INDIRECT("'GRD-"&amp;CP$11&amp;"'!B:R"),15,FALSE),"")</f>
        <v/>
      </c>
      <c r="CQ59" s="96">
        <f>IFERROR(VLOOKUP($B59,INDIRECT("'GRD-"&amp;CQ$11&amp;"'!B:R"),15,FALSE),"")</f>
        <v/>
      </c>
      <c r="CR59" s="96">
        <f>IFERROR(VLOOKUP($B59,INDIRECT("'GRD-"&amp;CR$11&amp;"'!B:R"),15,FALSE),"")</f>
        <v/>
      </c>
      <c r="CS59" s="96">
        <f>IFERROR(VLOOKUP($B59,INDIRECT("'GRD-"&amp;CS$11&amp;"'!B:R"),15,FALSE),"")</f>
        <v/>
      </c>
      <c r="CT59" s="96">
        <f>IFERROR(VLOOKUP($B59,INDIRECT("'GRD-"&amp;CT$11&amp;"'!B:R"),15,FALSE),"")</f>
        <v/>
      </c>
      <c r="CU59" s="96">
        <f>IFERROR(VLOOKUP($B59,INDIRECT("'GRD-"&amp;CU$11&amp;"'!B:R"),15,FALSE),"")</f>
        <v/>
      </c>
      <c r="CV59" s="96">
        <f>IFERROR(VLOOKUP($B59,INDIRECT("'GRD-"&amp;CV$11&amp;"'!B:R"),15,FALSE),"")</f>
        <v/>
      </c>
      <c r="CW59" s="96">
        <f>IFERROR(VLOOKUP($B59,INDIRECT("'GRD-"&amp;CW$11&amp;"'!B:R"),15,FALSE),"")</f>
        <v/>
      </c>
      <c r="CX59" s="96">
        <f>IFERROR(VLOOKUP($B59,INDIRECT("'GRD-"&amp;CX$11&amp;"'!B:R"),15,FALSE),"")</f>
        <v/>
      </c>
      <c r="CY59" s="96">
        <f>IFERROR(VLOOKUP($B59,INDIRECT("'GRD-"&amp;CY$11&amp;"'!B:R"),15,FALSE),"")</f>
        <v/>
      </c>
      <c r="CZ59" s="96">
        <f>IFERROR(VLOOKUP($B59,INDIRECT("'GRD-"&amp;CZ$11&amp;"'!B:R"),15,FALSE),"")</f>
        <v/>
      </c>
      <c r="DA59" s="96">
        <f>IFERROR(VLOOKUP($B59,INDIRECT("'GRD-"&amp;DA$11&amp;"'!B:R"),15,FALSE),"")</f>
        <v/>
      </c>
      <c r="DB59" s="96">
        <f>IFERROR(VLOOKUP($B59,INDIRECT("'GRD-"&amp;DB$11&amp;"'!B:R"),15,FALSE),"")</f>
        <v/>
      </c>
      <c r="DC59" s="96">
        <f>IFERROR(VLOOKUP($B59,INDIRECT("'GRD-"&amp;DC$11&amp;"'!B:R"),15,FALSE),"")</f>
        <v/>
      </c>
      <c r="DD59" s="96">
        <f>IFERROR(VLOOKUP($B59,INDIRECT("'GRD-"&amp;DD$11&amp;"'!B:R"),15,FALSE),"")</f>
        <v/>
      </c>
      <c r="DE59" s="96">
        <f>IFERROR(VLOOKUP($B59,INDIRECT("'GRD-"&amp;DE$11&amp;"'!B:R"),15,FALSE),"")</f>
        <v/>
      </c>
      <c r="DF59" s="96">
        <f>IFERROR(VLOOKUP($B59,INDIRECT("'GRD-"&amp;DF$11&amp;"'!B:R"),15,FALSE),"")</f>
        <v/>
      </c>
      <c r="DG59" s="96">
        <f>IFERROR(VLOOKUP($B59,INDIRECT("'GRD-"&amp;DG$11&amp;"'!B:R"),15,FALSE),"")</f>
        <v/>
      </c>
      <c r="DH59" s="96">
        <f>IFERROR(VLOOKUP($B59,INDIRECT("'GRD-"&amp;DH$11&amp;"'!B:R"),15,FALSE),"")</f>
        <v/>
      </c>
      <c r="DI59" s="96">
        <f>IFERROR(VLOOKUP($B59,INDIRECT("'GRD-"&amp;DI$11&amp;"'!B:R"),15,FALSE),"")</f>
        <v/>
      </c>
      <c r="DJ59" s="96">
        <f>IFERROR(VLOOKUP($B59,INDIRECT("'GRD-"&amp;DJ$11&amp;"'!B:R"),15,FALSE),"")</f>
        <v/>
      </c>
      <c r="DK59" s="96">
        <f>IFERROR(VLOOKUP($B59,INDIRECT("'GRD-"&amp;DK$11&amp;"'!B:R"),15,FALSE),"")</f>
        <v/>
      </c>
      <c r="DL59" s="96">
        <f>IFERROR(VLOOKUP($B59,INDIRECT("'GRD-"&amp;DL$11&amp;"'!B:R"),15,FALSE),"")</f>
        <v/>
      </c>
      <c r="DM59" s="96">
        <f>IFERROR(VLOOKUP($B59,INDIRECT("'GRD-"&amp;DM$11&amp;"'!B:R"),15,FALSE),"")</f>
        <v/>
      </c>
      <c r="DN59" s="96">
        <f>IFERROR(VLOOKUP($B59,INDIRECT("'GRD-"&amp;DN$11&amp;"'!B:R"),15,FALSE),"")</f>
        <v/>
      </c>
      <c r="DO59" s="96">
        <f>IFERROR(VLOOKUP($B59,INDIRECT("'GRD-"&amp;DO$11&amp;"'!B:R"),15,FALSE),"")</f>
        <v/>
      </c>
      <c r="DP59" s="96">
        <f>IFERROR(VLOOKUP($B59,INDIRECT("'GRD-"&amp;DP$11&amp;"'!B:R"),15,FALSE),"")</f>
        <v/>
      </c>
      <c r="DQ59" s="96">
        <f>IFERROR(VLOOKUP($B59,INDIRECT("'GRD-"&amp;DQ$11&amp;"'!B:R"),15,FALSE),"")</f>
        <v/>
      </c>
      <c r="DR59" s="96">
        <f>IFERROR(VLOOKUP($B59,INDIRECT("'GRD-"&amp;DR$11&amp;"'!B:R"),15,FALSE),"")</f>
        <v/>
      </c>
      <c r="DS59" s="96">
        <f>IFERROR(VLOOKUP($B59,INDIRECT("'GRD-"&amp;DS$11&amp;"'!B:R"),15,FALSE),"")</f>
        <v/>
      </c>
      <c r="DT59" s="96">
        <f>IFERROR(VLOOKUP($B59,INDIRECT("'GRD-"&amp;DT$11&amp;"'!B:R"),15,FALSE),"")</f>
        <v/>
      </c>
      <c r="DU59" s="96">
        <f>IFERROR(VLOOKUP($B59,INDIRECT("'GRD-"&amp;DU$11&amp;"'!B:R"),15,FALSE),"")</f>
        <v/>
      </c>
      <c r="DV59" s="96">
        <f>IFERROR(VLOOKUP($B59,INDIRECT("'GRD-"&amp;DV$11&amp;"'!B:R"),15,FALSE),"")</f>
        <v/>
      </c>
      <c r="DW59" s="96">
        <f>IFERROR(VLOOKUP($B59,INDIRECT("'GRD-"&amp;DW$11&amp;"'!B:R"),15,FALSE),"")</f>
        <v/>
      </c>
      <c r="DX59" s="96">
        <f>IFERROR(VLOOKUP($B59,INDIRECT("'GRD-"&amp;DX$11&amp;"'!B:R"),15,FALSE),"")</f>
        <v/>
      </c>
      <c r="DY59" s="96">
        <f>IFERROR(VLOOKUP($B59,INDIRECT("'GRD-"&amp;DY$11&amp;"'!B:R"),15,FALSE),"")</f>
        <v/>
      </c>
      <c r="DZ59" s="96">
        <f>IFERROR(VLOOKUP($B59,INDIRECT("'GRD-"&amp;DZ$11&amp;"'!B:R"),15,FALSE),"")</f>
        <v/>
      </c>
      <c r="EA59" s="96">
        <f>IFERROR(VLOOKUP($B59,INDIRECT("'GRD-"&amp;EA$11&amp;"'!B:R"),15,FALSE),"")</f>
        <v/>
      </c>
      <c r="EB59" s="96">
        <f>IFERROR(VLOOKUP($B59,INDIRECT("'GRD-"&amp;EB$11&amp;"'!B:R"),15,FALSE),"")</f>
        <v/>
      </c>
      <c r="EC59" s="96">
        <f>IFERROR(VLOOKUP($B59,INDIRECT("'GRD-"&amp;EC$11&amp;"'!B:R"),15,FALSE),"")</f>
        <v/>
      </c>
      <c r="ED59" s="96">
        <f>IFERROR(VLOOKUP($B59,INDIRECT("'GRD-"&amp;ED$11&amp;"'!B:R"),15,FALSE),"")</f>
        <v/>
      </c>
      <c r="EE59" s="96">
        <f>IFERROR(VLOOKUP($B59,INDIRECT("'GRD-"&amp;EE$11&amp;"'!B:R"),15,FALSE),"")</f>
        <v/>
      </c>
      <c r="EF59" s="96">
        <f>IFERROR(VLOOKUP($B59,INDIRECT("'GRD-"&amp;EF$11&amp;"'!B:R"),15,FALSE),"")</f>
        <v/>
      </c>
      <c r="EG59" s="96">
        <f>IFERROR(VLOOKUP($B59,INDIRECT("'GRD-"&amp;EG$11&amp;"'!B:R"),15,FALSE),"")</f>
        <v/>
      </c>
      <c r="EH59" s="96">
        <f>IFERROR(VLOOKUP($B59,INDIRECT("'GRD-"&amp;EH$11&amp;"'!B:R"),15,FALSE),"")</f>
        <v/>
      </c>
      <c r="EI59" s="96">
        <f>IFERROR(VLOOKUP($B59,INDIRECT("'GRD-"&amp;EI$11&amp;"'!B:R"),15,FALSE),"")</f>
        <v/>
      </c>
      <c r="EJ59" s="96">
        <f>IFERROR(VLOOKUP($B59,INDIRECT("'GRD-"&amp;EJ$11&amp;"'!B:R"),15,FALSE),"")</f>
        <v/>
      </c>
      <c r="EK59" s="96">
        <f>IFERROR(VLOOKUP($B59,INDIRECT("'GRD-"&amp;EK$11&amp;"'!B:R"),15,FALSE),"")</f>
        <v/>
      </c>
      <c r="EL59" s="96">
        <f>IFERROR(VLOOKUP($B59,INDIRECT("'GRD-"&amp;EL$11&amp;"'!B:R"),15,FALSE),"")</f>
        <v/>
      </c>
      <c r="EM59" s="96">
        <f>IFERROR(VLOOKUP($B59,INDIRECT("'GRD-"&amp;EM$11&amp;"'!B:R"),15,FALSE),"")</f>
        <v/>
      </c>
      <c r="EN59" s="96">
        <f>IFERROR(VLOOKUP($B59,INDIRECT("'GRD-"&amp;EN$11&amp;"'!B:R"),15,FALSE),"")</f>
        <v/>
      </c>
      <c r="EO59" s="96">
        <f>IFERROR(VLOOKUP($B59,INDIRECT("'GRD-"&amp;EO$11&amp;"'!B:R"),15,FALSE),"")</f>
        <v/>
      </c>
      <c r="EP59" s="96">
        <f>IFERROR(VLOOKUP($B59,INDIRECT("'GRD-"&amp;EP$11&amp;"'!B:R"),15,FALSE),"")</f>
        <v/>
      </c>
      <c r="EQ59" s="96">
        <f>IFERROR(VLOOKUP($B59,INDIRECT("'GRD-"&amp;EQ$11&amp;"'!B:R"),15,FALSE),"")</f>
        <v/>
      </c>
      <c r="ER59" s="96">
        <f>IFERROR(VLOOKUP($B59,INDIRECT("'GRD-"&amp;ER$11&amp;"'!B:R"),15,FALSE),"")</f>
        <v/>
      </c>
      <c r="ES59" s="96">
        <f>IFERROR(VLOOKUP($B59,INDIRECT("'GRD-"&amp;ES$11&amp;"'!B:R"),15,FALSE),"")</f>
        <v/>
      </c>
      <c r="ET59" s="96">
        <f>IFERROR(VLOOKUP($B59,INDIRECT("'GRD-"&amp;ET$11&amp;"'!B:R"),15,FALSE),"")</f>
        <v/>
      </c>
      <c r="EU59" s="96">
        <f>IFERROR(VLOOKUP($B59,INDIRECT("'GRD-"&amp;EU$11&amp;"'!B:R"),15,FALSE),"")</f>
        <v/>
      </c>
      <c r="EV59" s="96">
        <f>IFERROR(VLOOKUP($B59,INDIRECT("'GRD-"&amp;EV$11&amp;"'!B:R"),15,FALSE),"")</f>
        <v/>
      </c>
      <c r="EW59" s="96">
        <f>IFERROR(VLOOKUP($B59,INDIRECT("'GRD-"&amp;EW$11&amp;"'!B:R"),15,FALSE),"")</f>
        <v/>
      </c>
      <c r="EX59" s="96">
        <f>IFERROR(VLOOKUP($B59,INDIRECT("'GRD-"&amp;EX$11&amp;"'!B:R"),15,FALSE),"")</f>
        <v/>
      </c>
      <c r="EY59" s="96">
        <f>IFERROR(VLOOKUP($B59,INDIRECT("'GRD-"&amp;EY$11&amp;"'!B:R"),15,FALSE),"")</f>
        <v/>
      </c>
      <c r="EZ59" s="96">
        <f>IFERROR(VLOOKUP($B59,INDIRECT("'GRD-"&amp;EZ$11&amp;"'!B:R"),15,FALSE),"")</f>
        <v/>
      </c>
      <c r="FA59" s="96">
        <f>IFERROR(VLOOKUP($B59,INDIRECT("'GRD-"&amp;FA$11&amp;"'!B:R"),15,FALSE),"")</f>
        <v/>
      </c>
      <c r="FB59" s="96">
        <f>IFERROR(VLOOKUP($B59,INDIRECT("'GRD-"&amp;FB$11&amp;"'!B:R"),15,FALSE),"")</f>
        <v/>
      </c>
      <c r="FC59" s="96">
        <f>IFERROR(VLOOKUP($B59,INDIRECT("'GRD-"&amp;FC$11&amp;"'!B:R"),15,FALSE),"")</f>
        <v/>
      </c>
      <c r="FD59" s="96">
        <f>IFERROR(VLOOKUP($B59,INDIRECT("'GRD-"&amp;FD$11&amp;"'!B:R"),15,FALSE),"")</f>
        <v/>
      </c>
      <c r="FE59" s="96">
        <f>IFERROR(VLOOKUP($B59,INDIRECT("'GRD-"&amp;FE$11&amp;"'!B:R"),15,FALSE),"")</f>
        <v/>
      </c>
      <c r="FF59" s="96">
        <f>IFERROR(VLOOKUP($B59,INDIRECT("'GRD-"&amp;FF$11&amp;"'!B:R"),15,FALSE),"")</f>
        <v/>
      </c>
      <c r="FG59" s="96">
        <f>IFERROR(VLOOKUP($B59,INDIRECT("'GRD-"&amp;FG$11&amp;"'!B:R"),15,FALSE),"")</f>
        <v/>
      </c>
      <c r="FH59" s="96">
        <f>IFERROR(VLOOKUP($B59,INDIRECT("'GRD-"&amp;FH$11&amp;"'!B:R"),15,FALSE),"")</f>
        <v/>
      </c>
      <c r="FI59" s="96">
        <f>IFERROR(VLOOKUP($B59,INDIRECT("'GRD-"&amp;FI$11&amp;"'!B:R"),15,FALSE),"")</f>
        <v/>
      </c>
      <c r="FJ59" s="96">
        <f>IFERROR(VLOOKUP($B59,INDIRECT("'GRD-"&amp;FJ$11&amp;"'!B:R"),15,FALSE),"")</f>
        <v/>
      </c>
      <c r="FK59" s="96">
        <f>IFERROR(VLOOKUP($B59,INDIRECT("'GRD-"&amp;FK$11&amp;"'!B:R"),15,FALSE),"")</f>
        <v/>
      </c>
      <c r="FL59" s="96">
        <f>IFERROR(VLOOKUP($B59,INDIRECT("'GRD-"&amp;FL$11&amp;"'!B:R"),15,FALSE),"")</f>
        <v/>
      </c>
      <c r="FM59" s="96">
        <f>IFERROR(VLOOKUP($B59,INDIRECT("'GRD-"&amp;FM$11&amp;"'!B:R"),15,FALSE),"")</f>
        <v/>
      </c>
      <c r="FN59" s="96">
        <f>IFERROR(VLOOKUP($B59,INDIRECT("'GRD-"&amp;FN$11&amp;"'!B:R"),15,FALSE),"")</f>
        <v/>
      </c>
      <c r="FO59" s="96">
        <f>IFERROR(VLOOKUP($B59,INDIRECT("'GRD-"&amp;FO$11&amp;"'!B:R"),15,FALSE),"")</f>
        <v/>
      </c>
      <c r="FP59" s="96">
        <f>IFERROR(VLOOKUP($B59,INDIRECT("'GRD-"&amp;FP$11&amp;"'!B:R"),15,FALSE),"")</f>
        <v/>
      </c>
      <c r="FQ59" s="96">
        <f>IFERROR(VLOOKUP($B59,INDIRECT("'GRD-"&amp;FQ$11&amp;"'!B:R"),15,FALSE),"")</f>
        <v/>
      </c>
      <c r="FR59" s="96">
        <f>IFERROR(VLOOKUP($B59,INDIRECT("'GRD-"&amp;FR$11&amp;"'!B:R"),15,FALSE),"")</f>
        <v/>
      </c>
      <c r="FS59" s="96">
        <f>IFERROR(VLOOKUP($B59,INDIRECT("'GRD-"&amp;FS$11&amp;"'!B:R"),15,FALSE),"")</f>
        <v/>
      </c>
      <c r="FT59" s="96">
        <f>IFERROR(VLOOKUP($B59,INDIRECT("'GRD-"&amp;FT$11&amp;"'!B:R"),15,FALSE),"")</f>
        <v/>
      </c>
      <c r="FU59" s="96">
        <f>IFERROR(VLOOKUP($B59,INDIRECT("'GRD-"&amp;FU$11&amp;"'!B:R"),15,FALSE),"")</f>
        <v/>
      </c>
      <c r="FV59" s="96">
        <f>IFERROR(VLOOKUP($B59,INDIRECT("'GRD-"&amp;FV$11&amp;"'!B:R"),15,FALSE),"")</f>
        <v/>
      </c>
    </row>
    <row r="60">
      <c r="B60" s="85" t="n"/>
      <c r="C60" s="93" t="n"/>
      <c r="D60" s="73">
        <f>IF(K60="","",MAX($CA60:$FV60))</f>
        <v/>
      </c>
      <c r="E60" s="74">
        <f t="array" ref="E60">IF($K60="","",OFFSET($A$1,ROW($B60)-1,11+$D60*4,))</f>
        <v/>
      </c>
      <c r="F60" s="74">
        <f t="array" ref="F60">IF($K60="","",OFFSET($A$1,ROW($B60)-1,12+$D60*4,))</f>
        <v/>
      </c>
      <c r="G60" s="118">
        <f t="array" ref="G60">IF($K60="","",OFFSET($A$1,ROW($B60)-1,13+$D60*4,))</f>
        <v/>
      </c>
      <c r="H60" s="81" t="n"/>
      <c r="I60" s="82" t="n"/>
      <c r="J60" s="75">
        <f>IF(I60="A4",H60/8,IF(I60="A3",H60/4,IF(I60="A2",H60/2,IF(I60="A1",H60/1,IF(I60="A0",H60*2,"")))))</f>
        <v/>
      </c>
      <c r="K60" s="68">
        <f t="array" ref="K60">IFERROR(OFFSET($BZ$11,ROW($B60)-11,MATCH(K$10,$CA60:$FV60,0),),"")</f>
        <v/>
      </c>
      <c r="L60" s="85">
        <f>IF(K60="","",IF(VLOOKUP($B60,INDIRECT("'GRD-"&amp;M60&amp;"'!$B:$R"),16,FALSE)="","",VLOOKUP($B60,INDIRECT("'GRD-"&amp;M60&amp;"'!$B:$R"),16,FALSE)))</f>
        <v/>
      </c>
      <c r="M60" s="130">
        <f t="array" ref="M60">IF(K60="","",IFERROR(OFFSET($BZ$11,0,MATCH($K60,$CA60:$FV60,0),),""))</f>
        <v/>
      </c>
      <c r="N60" s="119">
        <f t="array" ref="N60">IF(K60="","",INDIRECT("'GRD-"&amp;M60&amp;"'!$L$7"))</f>
        <v/>
      </c>
      <c r="O60" s="76">
        <f t="array" ref="O60">IFERROR(OFFSET($BZ$11,ROW($B60)-11,MATCH(O$10,$CA60:$FV60,0),),"")</f>
        <v/>
      </c>
      <c r="P60" s="76">
        <f>IF(O60="","",IF(VLOOKUP($B60,INDIRECT("'GRD-"&amp;Q60&amp;"'!$B:$R"),16,FALSE)="","",VLOOKUP($B60,INDIRECT("'GRD-"&amp;Q60&amp;"'!$B:$R"),16,FALSE)))</f>
        <v/>
      </c>
      <c r="Q60" s="132">
        <f t="array" ref="Q60">IF(O60="","",IFERROR(OFFSET($BZ$11,0,MATCH($O60,$CA60:$FV60,0),),""))</f>
        <v/>
      </c>
      <c r="R60" s="121">
        <f t="array" ref="R60">IF(O60="","",INDIRECT("'GRD-"&amp;Q60&amp;"'!$L$7"))</f>
        <v/>
      </c>
      <c r="S60" s="83">
        <f t="array" ref="S60">IFERROR(OFFSET($BZ$11,ROW($B60)-11,MATCH(S$10,$CA60:$FV60,0),),"")</f>
        <v/>
      </c>
      <c r="T60" s="83">
        <f>IF(S60="","",IF(VLOOKUP($B60,INDIRECT("'GRD-"&amp;U60&amp;"'!$B:$R"),16,FALSE)="","",VLOOKUP($B60,INDIRECT("'GRD-"&amp;U60&amp;"'!$B:$R"),16,FALSE)))</f>
        <v/>
      </c>
      <c r="U60" s="128">
        <f t="array" ref="U60">IF(S60="","",IFERROR(OFFSET($BZ$11,0,MATCH($S60,$CA60:$FV60,0),),""))</f>
        <v/>
      </c>
      <c r="V60" s="133">
        <f t="array" ref="V60">IF(S60="","",INDIRECT("'GRD-"&amp;U60&amp;"'!$L$7"))</f>
        <v/>
      </c>
      <c r="W60" s="84">
        <f t="array" ref="W60">IFERROR(OFFSET($BZ$11,ROW($B60)-11,MATCH(W$10,$CA60:$FV60,0),),"")</f>
        <v/>
      </c>
      <c r="X60" s="84">
        <f>IF(W60="","",IF(VLOOKUP($B60,INDIRECT("'GRD-"&amp;Y60&amp;"'!$B:$R"),16,FALSE)="","",VLOOKUP($B60,INDIRECT("'GRD-"&amp;Y60&amp;"'!$B:$R"),16,FALSE)))</f>
        <v/>
      </c>
      <c r="Y60" s="129">
        <f t="array" ref="Y60">IF(W60="","",IFERROR(OFFSET($BZ$11,0,MATCH($W60,$CA60:$FV60,0),),""))</f>
        <v/>
      </c>
      <c r="Z60" s="134">
        <f t="array" ref="Z60">IF(W60="","",INDIRECT("'GRD-"&amp;Y60&amp;"'!$L$7"))</f>
        <v/>
      </c>
      <c r="AA60" s="85">
        <f t="array" ref="AA60">IFERROR(OFFSET($BZ$11,ROW($B60)-11,MATCH(AA$10,$CA60:$FV60,0),),"")</f>
        <v/>
      </c>
      <c r="AB60" s="85">
        <f>IF(AA60="","",IF(VLOOKUP($B60,INDIRECT("'GRD-"&amp;AC60&amp;"'!$B:$R"),16,FALSE)="","",VLOOKUP($B60,INDIRECT("'GRD-"&amp;AC60&amp;"'!$B:$R"),16,FALSE)))</f>
        <v/>
      </c>
      <c r="AC60" s="130">
        <f t="array" ref="AC60">IF(AA60="","",IFERROR(OFFSET($BZ$11,0,MATCH($AA60,$CA60:$FV60,0),),""))</f>
        <v/>
      </c>
      <c r="AD60" s="131">
        <f t="array" ref="AD60">IF(AA60="","",INDIRECT("'GRD-"&amp;AC60&amp;"'!$L$7"))</f>
        <v/>
      </c>
      <c r="AE60" s="76">
        <f t="array" ref="AE60">IFERROR(OFFSET($BZ$11,ROW($B60)-11,MATCH(AE$10,$CA60:$FV60,0),),"")</f>
        <v/>
      </c>
      <c r="AF60" s="76">
        <f>IF(AE60="","",IF(VLOOKUP($B60,INDIRECT("'GRD-"&amp;AG60&amp;"'!$B:$R"),16,FALSE)="","",VLOOKUP($B60,INDIRECT("'GRD-"&amp;AG60&amp;"'!$B:$R"),16,FALSE)))</f>
        <v/>
      </c>
      <c r="AG60" s="132">
        <f t="array" ref="AG60">IF(AE60="","",IFERROR(OFFSET($BZ$11,0,MATCH($AE60,$CA60:$FV60,0),),""))</f>
        <v/>
      </c>
      <c r="AH60" s="121">
        <f t="array" ref="AH60">IF(AE60="","",INDIRECT("'GRD-"&amp;AG60&amp;"'!$L$7"))</f>
        <v/>
      </c>
      <c r="AI60" s="83">
        <f t="array" ref="AI60">IFERROR(OFFSET($BZ$11,ROW($B60)-11,MATCH(AI$10,$CA60:$FV60,0),),"")</f>
        <v/>
      </c>
      <c r="AJ60" s="83">
        <f>IF(AI60="","",IF(VLOOKUP($B60,INDIRECT("'GRD-"&amp;AK60&amp;"'!$B:$R"),16,FALSE)="","",VLOOKUP($B60,INDIRECT("'GRD-"&amp;AK60&amp;"'!$B:$R"),16,FALSE)))</f>
        <v/>
      </c>
      <c r="AK60" s="128">
        <f t="array" ref="AK60">IF(AI60="","",IFERROR(OFFSET($BZ$11,0,MATCH($AI60,$CA60:$FV60,0),),""))</f>
        <v/>
      </c>
      <c r="AL60" s="133">
        <f t="array" ref="AL60">IF(AI60="","",INDIRECT("'GRD-"&amp;AK60&amp;"'!$L$7"))</f>
        <v/>
      </c>
      <c r="AM60" s="84">
        <f t="array" ref="AM60">IFERROR(OFFSET($BZ$11,ROW($B60)-11,MATCH(AM$10,$CA60:$FV60,0),),"")</f>
        <v/>
      </c>
      <c r="AN60" s="84">
        <f>IF(AM60="","",IF(VLOOKUP($B60,INDIRECT("'GRD-"&amp;AO60&amp;"'!$B:$R"),16,FALSE)="","",VLOOKUP($B60,INDIRECT("'GRD-"&amp;AO60&amp;"'!$B:$R"),16,FALSE)))</f>
        <v/>
      </c>
      <c r="AO60" s="129">
        <f t="array" ref="AO60">IF(AM60="","",IFERROR(OFFSET($BZ$11,0,MATCH($AM60,$CA60:$FV60,0),),""))</f>
        <v/>
      </c>
      <c r="AP60" s="134">
        <f t="array" ref="AP60">IF(AM60="","",INDIRECT("'GRD-"&amp;AO60&amp;"'!$L$7"))</f>
        <v/>
      </c>
      <c r="AQ60" s="85">
        <f t="array" ref="AQ60">IFERROR(OFFSET($BZ$11,ROW($B60)-11,MATCH(AQ$10,$CA60:$FV60,0),),"")</f>
        <v/>
      </c>
      <c r="AR60" s="85">
        <f>IF(AQ60="","",IF(VLOOKUP($B60,INDIRECT("'GRD-"&amp;AS60&amp;"'!$B:$R"),16,FALSE)="","",VLOOKUP($B60,INDIRECT("'GRD-"&amp;AS60&amp;"'!$B:$R"),16,FALSE)))</f>
        <v/>
      </c>
      <c r="AS60" s="130">
        <f t="array" ref="AS60">IF(AQ60="","",IFERROR(OFFSET($BZ$11,0,MATCH($AQ60,$CA60:$FV60,0),),""))</f>
        <v/>
      </c>
      <c r="AT60" s="131">
        <f t="array" ref="AT60">IF(AQ60="","",INDIRECT("'GRD-"&amp;AS60&amp;"'!$L$7"))</f>
        <v/>
      </c>
      <c r="AU60" s="76">
        <f t="array" ref="AU60">IFERROR(OFFSET($BZ$11,ROW($B60)-11,MATCH(AU$10,$CA60:$FV60,0),),"")</f>
        <v/>
      </c>
      <c r="AV60" s="76">
        <f>IF(AU60="","",IF(VLOOKUP($B60,INDIRECT("'GRD-"&amp;AW60&amp;"'!$B:$R"),16,FALSE)="","",VLOOKUP($B60,INDIRECT("'GRD-"&amp;AW60&amp;"'!$B:$R"),16,FALSE)))</f>
        <v/>
      </c>
      <c r="AW60" s="132">
        <f t="array" ref="AW60">IF(AU60="","",IFERROR(OFFSET($BZ$11,0,MATCH($AU60,$CA60:$FV60,0),),""))</f>
        <v/>
      </c>
      <c r="AX60" s="121">
        <f t="array" ref="AX60">IF(AU60="","",INDIRECT("'GRD-"&amp;AW60&amp;"'!$L$7"))</f>
        <v/>
      </c>
      <c r="AY60" s="83">
        <f t="array" ref="AY60">IFERROR(OFFSET($BZ$11,ROW($B60)-11,MATCH(AY$10,$CA60:$FV60,0),),"")</f>
        <v/>
      </c>
      <c r="AZ60" s="83">
        <f>IF(AY60="","",IF(VLOOKUP($B60,INDIRECT("'GRD-"&amp;BA60&amp;"'!$B:$R"),16,FALSE)="","",VLOOKUP($B60,INDIRECT("'GRD-"&amp;BA60&amp;"'!$B:$R"),16,FALSE)))</f>
        <v/>
      </c>
      <c r="BA60" s="128">
        <f t="array" ref="BA60">IF(AY60="","",IFERROR(OFFSET($BZ$11,0,MATCH($AY60,$CA60:$FV60,0),),""))</f>
        <v/>
      </c>
      <c r="BB60" s="133">
        <f t="array" ref="BB60">IF(AY60="","",INDIRECT("'GRD-"&amp;BA60&amp;"'!$L$7"))</f>
        <v/>
      </c>
      <c r="BC60" s="84">
        <f t="array" ref="BC60">IFERROR(OFFSET($BZ$11,ROW($B60)-11,MATCH(BC$10,$CA60:$FV60,0),),"")</f>
        <v/>
      </c>
      <c r="BD60" s="84">
        <f>IF(BC60="","",IF(VLOOKUP($B60,INDIRECT("'GRD-"&amp;BE60&amp;"'!$B:$R"),16,FALSE)="","",VLOOKUP($B60,INDIRECT("'GRD-"&amp;BE60&amp;"'!$B:$R"),16,FALSE)))</f>
        <v/>
      </c>
      <c r="BE60" s="129">
        <f t="array" ref="BE60">IF(BC60="","",IFERROR(OFFSET($BZ$11,0,MATCH($BC60,$CA60:$FV60,0),),""))</f>
        <v/>
      </c>
      <c r="BF60" s="134">
        <f t="array" ref="BF60">IF(BC60="","",INDIRECT("'GRD-"&amp;BE60&amp;"'!$L$7"))</f>
        <v/>
      </c>
      <c r="CA60" s="96">
        <f>IFERROR(VLOOKUP($B60,INDIRECT("'GRD-"&amp;CA$11&amp;"'!B:R"),15,FALSE),"")</f>
        <v/>
      </c>
      <c r="CB60" s="96">
        <f>IFERROR(VLOOKUP($B60,INDIRECT("'GRD-"&amp;CB$11&amp;"'!B:R"),15,FALSE),"")</f>
        <v/>
      </c>
      <c r="CC60" s="96">
        <f>IFERROR(VLOOKUP($B60,INDIRECT("'GRD-"&amp;CC$11&amp;"'!B:R"),15,FALSE),"")</f>
        <v/>
      </c>
      <c r="CD60" s="96">
        <f>IFERROR(VLOOKUP($B60,INDIRECT("'GRD-"&amp;CD$11&amp;"'!B:R"),15,FALSE),"")</f>
        <v/>
      </c>
      <c r="CE60" s="96">
        <f>IFERROR(VLOOKUP($B60,INDIRECT("'GRD-"&amp;CE$11&amp;"'!B:R"),15,FALSE),"")</f>
        <v/>
      </c>
      <c r="CF60" s="96">
        <f>IFERROR(VLOOKUP($B60,INDIRECT("'GRD-"&amp;CF$11&amp;"'!B:R"),15,FALSE),"")</f>
        <v/>
      </c>
      <c r="CG60" s="96">
        <f>IFERROR(VLOOKUP($B60,INDIRECT("'GRD-"&amp;CG$11&amp;"'!B:R"),15,FALSE),"")</f>
        <v/>
      </c>
      <c r="CH60" s="96">
        <f>IFERROR(VLOOKUP($B60,INDIRECT("'GRD-"&amp;CH$11&amp;"'!B:R"),15,FALSE),"")</f>
        <v/>
      </c>
      <c r="CI60" s="96">
        <f>IFERROR(VLOOKUP($B60,INDIRECT("'GRD-"&amp;CI$11&amp;"'!B:R"),15,FALSE),"")</f>
        <v/>
      </c>
      <c r="CJ60" s="96">
        <f>IFERROR(VLOOKUP($B60,INDIRECT("'GRD-"&amp;CJ$11&amp;"'!B:R"),15,FALSE),"")</f>
        <v/>
      </c>
      <c r="CK60" s="96">
        <f>IFERROR(VLOOKUP($B60,INDIRECT("'GRD-"&amp;CK$11&amp;"'!B:R"),15,FALSE),"")</f>
        <v/>
      </c>
      <c r="CL60" s="96">
        <f>IFERROR(VLOOKUP($B60,INDIRECT("'GRD-"&amp;CL$11&amp;"'!B:R"),15,FALSE),"")</f>
        <v/>
      </c>
      <c r="CM60" s="96">
        <f>IFERROR(VLOOKUP($B60,INDIRECT("'GRD-"&amp;CM$11&amp;"'!B:R"),15,FALSE),"")</f>
        <v/>
      </c>
      <c r="CN60" s="96">
        <f>IFERROR(VLOOKUP($B60,INDIRECT("'GRD-"&amp;CN$11&amp;"'!B:R"),15,FALSE),"")</f>
        <v/>
      </c>
      <c r="CO60" s="96">
        <f>IFERROR(VLOOKUP($B60,INDIRECT("'GRD-"&amp;CO$11&amp;"'!B:R"),15,FALSE),"")</f>
        <v/>
      </c>
      <c r="CP60" s="96">
        <f>IFERROR(VLOOKUP($B60,INDIRECT("'GRD-"&amp;CP$11&amp;"'!B:R"),15,FALSE),"")</f>
        <v/>
      </c>
      <c r="CQ60" s="96">
        <f>IFERROR(VLOOKUP($B60,INDIRECT("'GRD-"&amp;CQ$11&amp;"'!B:R"),15,FALSE),"")</f>
        <v/>
      </c>
      <c r="CR60" s="96">
        <f>IFERROR(VLOOKUP($B60,INDIRECT("'GRD-"&amp;CR$11&amp;"'!B:R"),15,FALSE),"")</f>
        <v/>
      </c>
      <c r="CS60" s="96">
        <f>IFERROR(VLOOKUP($B60,INDIRECT("'GRD-"&amp;CS$11&amp;"'!B:R"),15,FALSE),"")</f>
        <v/>
      </c>
      <c r="CT60" s="96">
        <f>IFERROR(VLOOKUP($B60,INDIRECT("'GRD-"&amp;CT$11&amp;"'!B:R"),15,FALSE),"")</f>
        <v/>
      </c>
      <c r="CU60" s="96">
        <f>IFERROR(VLOOKUP($B60,INDIRECT("'GRD-"&amp;CU$11&amp;"'!B:R"),15,FALSE),"")</f>
        <v/>
      </c>
      <c r="CV60" s="96">
        <f>IFERROR(VLOOKUP($B60,INDIRECT("'GRD-"&amp;CV$11&amp;"'!B:R"),15,FALSE),"")</f>
        <v/>
      </c>
      <c r="CW60" s="96">
        <f>IFERROR(VLOOKUP($B60,INDIRECT("'GRD-"&amp;CW$11&amp;"'!B:R"),15,FALSE),"")</f>
        <v/>
      </c>
      <c r="CX60" s="96">
        <f>IFERROR(VLOOKUP($B60,INDIRECT("'GRD-"&amp;CX$11&amp;"'!B:R"),15,FALSE),"")</f>
        <v/>
      </c>
      <c r="CY60" s="96">
        <f>IFERROR(VLOOKUP($B60,INDIRECT("'GRD-"&amp;CY$11&amp;"'!B:R"),15,FALSE),"")</f>
        <v/>
      </c>
      <c r="CZ60" s="96">
        <f>IFERROR(VLOOKUP($B60,INDIRECT("'GRD-"&amp;CZ$11&amp;"'!B:R"),15,FALSE),"")</f>
        <v/>
      </c>
      <c r="DA60" s="96">
        <f>IFERROR(VLOOKUP($B60,INDIRECT("'GRD-"&amp;DA$11&amp;"'!B:R"),15,FALSE),"")</f>
        <v/>
      </c>
      <c r="DB60" s="96">
        <f>IFERROR(VLOOKUP($B60,INDIRECT("'GRD-"&amp;DB$11&amp;"'!B:R"),15,FALSE),"")</f>
        <v/>
      </c>
      <c r="DC60" s="96">
        <f>IFERROR(VLOOKUP($B60,INDIRECT("'GRD-"&amp;DC$11&amp;"'!B:R"),15,FALSE),"")</f>
        <v/>
      </c>
      <c r="DD60" s="96">
        <f>IFERROR(VLOOKUP($B60,INDIRECT("'GRD-"&amp;DD$11&amp;"'!B:R"),15,FALSE),"")</f>
        <v/>
      </c>
      <c r="DE60" s="96">
        <f>IFERROR(VLOOKUP($B60,INDIRECT("'GRD-"&amp;DE$11&amp;"'!B:R"),15,FALSE),"")</f>
        <v/>
      </c>
      <c r="DF60" s="96">
        <f>IFERROR(VLOOKUP($B60,INDIRECT("'GRD-"&amp;DF$11&amp;"'!B:R"),15,FALSE),"")</f>
        <v/>
      </c>
      <c r="DG60" s="96">
        <f>IFERROR(VLOOKUP($B60,INDIRECT("'GRD-"&amp;DG$11&amp;"'!B:R"),15,FALSE),"")</f>
        <v/>
      </c>
      <c r="DH60" s="96">
        <f>IFERROR(VLOOKUP($B60,INDIRECT("'GRD-"&amp;DH$11&amp;"'!B:R"),15,FALSE),"")</f>
        <v/>
      </c>
      <c r="DI60" s="96">
        <f>IFERROR(VLOOKUP($B60,INDIRECT("'GRD-"&amp;DI$11&amp;"'!B:R"),15,FALSE),"")</f>
        <v/>
      </c>
      <c r="DJ60" s="96">
        <f>IFERROR(VLOOKUP($B60,INDIRECT("'GRD-"&amp;DJ$11&amp;"'!B:R"),15,FALSE),"")</f>
        <v/>
      </c>
      <c r="DK60" s="96">
        <f>IFERROR(VLOOKUP($B60,INDIRECT("'GRD-"&amp;DK$11&amp;"'!B:R"),15,FALSE),"")</f>
        <v/>
      </c>
      <c r="DL60" s="96">
        <f>IFERROR(VLOOKUP($B60,INDIRECT("'GRD-"&amp;DL$11&amp;"'!B:R"),15,FALSE),"")</f>
        <v/>
      </c>
      <c r="DM60" s="96">
        <f>IFERROR(VLOOKUP($B60,INDIRECT("'GRD-"&amp;DM$11&amp;"'!B:R"),15,FALSE),"")</f>
        <v/>
      </c>
      <c r="DN60" s="96">
        <f>IFERROR(VLOOKUP($B60,INDIRECT("'GRD-"&amp;DN$11&amp;"'!B:R"),15,FALSE),"")</f>
        <v/>
      </c>
      <c r="DO60" s="96">
        <f>IFERROR(VLOOKUP($B60,INDIRECT("'GRD-"&amp;DO$11&amp;"'!B:R"),15,FALSE),"")</f>
        <v/>
      </c>
      <c r="DP60" s="96">
        <f>IFERROR(VLOOKUP($B60,INDIRECT("'GRD-"&amp;DP$11&amp;"'!B:R"),15,FALSE),"")</f>
        <v/>
      </c>
      <c r="DQ60" s="96">
        <f>IFERROR(VLOOKUP($B60,INDIRECT("'GRD-"&amp;DQ$11&amp;"'!B:R"),15,FALSE),"")</f>
        <v/>
      </c>
      <c r="DR60" s="96">
        <f>IFERROR(VLOOKUP($B60,INDIRECT("'GRD-"&amp;DR$11&amp;"'!B:R"),15,FALSE),"")</f>
        <v/>
      </c>
      <c r="DS60" s="96">
        <f>IFERROR(VLOOKUP($B60,INDIRECT("'GRD-"&amp;DS$11&amp;"'!B:R"),15,FALSE),"")</f>
        <v/>
      </c>
      <c r="DT60" s="96">
        <f>IFERROR(VLOOKUP($B60,INDIRECT("'GRD-"&amp;DT$11&amp;"'!B:R"),15,FALSE),"")</f>
        <v/>
      </c>
      <c r="DU60" s="96">
        <f>IFERROR(VLOOKUP($B60,INDIRECT("'GRD-"&amp;DU$11&amp;"'!B:R"),15,FALSE),"")</f>
        <v/>
      </c>
      <c r="DV60" s="96">
        <f>IFERROR(VLOOKUP($B60,INDIRECT("'GRD-"&amp;DV$11&amp;"'!B:R"),15,FALSE),"")</f>
        <v/>
      </c>
      <c r="DW60" s="96">
        <f>IFERROR(VLOOKUP($B60,INDIRECT("'GRD-"&amp;DW$11&amp;"'!B:R"),15,FALSE),"")</f>
        <v/>
      </c>
      <c r="DX60" s="96">
        <f>IFERROR(VLOOKUP($B60,INDIRECT("'GRD-"&amp;DX$11&amp;"'!B:R"),15,FALSE),"")</f>
        <v/>
      </c>
      <c r="DY60" s="96">
        <f>IFERROR(VLOOKUP($B60,INDIRECT("'GRD-"&amp;DY$11&amp;"'!B:R"),15,FALSE),"")</f>
        <v/>
      </c>
      <c r="DZ60" s="96">
        <f>IFERROR(VLOOKUP($B60,INDIRECT("'GRD-"&amp;DZ$11&amp;"'!B:R"),15,FALSE),"")</f>
        <v/>
      </c>
      <c r="EA60" s="96">
        <f>IFERROR(VLOOKUP($B60,INDIRECT("'GRD-"&amp;EA$11&amp;"'!B:R"),15,FALSE),"")</f>
        <v/>
      </c>
      <c r="EB60" s="96">
        <f>IFERROR(VLOOKUP($B60,INDIRECT("'GRD-"&amp;EB$11&amp;"'!B:R"),15,FALSE),"")</f>
        <v/>
      </c>
      <c r="EC60" s="96">
        <f>IFERROR(VLOOKUP($B60,INDIRECT("'GRD-"&amp;EC$11&amp;"'!B:R"),15,FALSE),"")</f>
        <v/>
      </c>
      <c r="ED60" s="96">
        <f>IFERROR(VLOOKUP($B60,INDIRECT("'GRD-"&amp;ED$11&amp;"'!B:R"),15,FALSE),"")</f>
        <v/>
      </c>
      <c r="EE60" s="96">
        <f>IFERROR(VLOOKUP($B60,INDIRECT("'GRD-"&amp;EE$11&amp;"'!B:R"),15,FALSE),"")</f>
        <v/>
      </c>
      <c r="EF60" s="96">
        <f>IFERROR(VLOOKUP($B60,INDIRECT("'GRD-"&amp;EF$11&amp;"'!B:R"),15,FALSE),"")</f>
        <v/>
      </c>
      <c r="EG60" s="96">
        <f>IFERROR(VLOOKUP($B60,INDIRECT("'GRD-"&amp;EG$11&amp;"'!B:R"),15,FALSE),"")</f>
        <v/>
      </c>
      <c r="EH60" s="96">
        <f>IFERROR(VLOOKUP($B60,INDIRECT("'GRD-"&amp;EH$11&amp;"'!B:R"),15,FALSE),"")</f>
        <v/>
      </c>
      <c r="EI60" s="96">
        <f>IFERROR(VLOOKUP($B60,INDIRECT("'GRD-"&amp;EI$11&amp;"'!B:R"),15,FALSE),"")</f>
        <v/>
      </c>
      <c r="EJ60" s="96">
        <f>IFERROR(VLOOKUP($B60,INDIRECT("'GRD-"&amp;EJ$11&amp;"'!B:R"),15,FALSE),"")</f>
        <v/>
      </c>
      <c r="EK60" s="96">
        <f>IFERROR(VLOOKUP($B60,INDIRECT("'GRD-"&amp;EK$11&amp;"'!B:R"),15,FALSE),"")</f>
        <v/>
      </c>
      <c r="EL60" s="96">
        <f>IFERROR(VLOOKUP($B60,INDIRECT("'GRD-"&amp;EL$11&amp;"'!B:R"),15,FALSE),"")</f>
        <v/>
      </c>
      <c r="EM60" s="96">
        <f>IFERROR(VLOOKUP($B60,INDIRECT("'GRD-"&amp;EM$11&amp;"'!B:R"),15,FALSE),"")</f>
        <v/>
      </c>
      <c r="EN60" s="96">
        <f>IFERROR(VLOOKUP($B60,INDIRECT("'GRD-"&amp;EN$11&amp;"'!B:R"),15,FALSE),"")</f>
        <v/>
      </c>
      <c r="EO60" s="96">
        <f>IFERROR(VLOOKUP($B60,INDIRECT("'GRD-"&amp;EO$11&amp;"'!B:R"),15,FALSE),"")</f>
        <v/>
      </c>
      <c r="EP60" s="96">
        <f>IFERROR(VLOOKUP($B60,INDIRECT("'GRD-"&amp;EP$11&amp;"'!B:R"),15,FALSE),"")</f>
        <v/>
      </c>
      <c r="EQ60" s="96">
        <f>IFERROR(VLOOKUP($B60,INDIRECT("'GRD-"&amp;EQ$11&amp;"'!B:R"),15,FALSE),"")</f>
        <v/>
      </c>
      <c r="ER60" s="96">
        <f>IFERROR(VLOOKUP($B60,INDIRECT("'GRD-"&amp;ER$11&amp;"'!B:R"),15,FALSE),"")</f>
        <v/>
      </c>
      <c r="ES60" s="96">
        <f>IFERROR(VLOOKUP($B60,INDIRECT("'GRD-"&amp;ES$11&amp;"'!B:R"),15,FALSE),"")</f>
        <v/>
      </c>
      <c r="ET60" s="96">
        <f>IFERROR(VLOOKUP($B60,INDIRECT("'GRD-"&amp;ET$11&amp;"'!B:R"),15,FALSE),"")</f>
        <v/>
      </c>
      <c r="EU60" s="96">
        <f>IFERROR(VLOOKUP($B60,INDIRECT("'GRD-"&amp;EU$11&amp;"'!B:R"),15,FALSE),"")</f>
        <v/>
      </c>
      <c r="EV60" s="96">
        <f>IFERROR(VLOOKUP($B60,INDIRECT("'GRD-"&amp;EV$11&amp;"'!B:R"),15,FALSE),"")</f>
        <v/>
      </c>
      <c r="EW60" s="96">
        <f>IFERROR(VLOOKUP($B60,INDIRECT("'GRD-"&amp;EW$11&amp;"'!B:R"),15,FALSE),"")</f>
        <v/>
      </c>
      <c r="EX60" s="96">
        <f>IFERROR(VLOOKUP($B60,INDIRECT("'GRD-"&amp;EX$11&amp;"'!B:R"),15,FALSE),"")</f>
        <v/>
      </c>
      <c r="EY60" s="96">
        <f>IFERROR(VLOOKUP($B60,INDIRECT("'GRD-"&amp;EY$11&amp;"'!B:R"),15,FALSE),"")</f>
        <v/>
      </c>
      <c r="EZ60" s="96">
        <f>IFERROR(VLOOKUP($B60,INDIRECT("'GRD-"&amp;EZ$11&amp;"'!B:R"),15,FALSE),"")</f>
        <v/>
      </c>
      <c r="FA60" s="96">
        <f>IFERROR(VLOOKUP($B60,INDIRECT("'GRD-"&amp;FA$11&amp;"'!B:R"),15,FALSE),"")</f>
        <v/>
      </c>
      <c r="FB60" s="96">
        <f>IFERROR(VLOOKUP($B60,INDIRECT("'GRD-"&amp;FB$11&amp;"'!B:R"),15,FALSE),"")</f>
        <v/>
      </c>
      <c r="FC60" s="96">
        <f>IFERROR(VLOOKUP($B60,INDIRECT("'GRD-"&amp;FC$11&amp;"'!B:R"),15,FALSE),"")</f>
        <v/>
      </c>
      <c r="FD60" s="96">
        <f>IFERROR(VLOOKUP($B60,INDIRECT("'GRD-"&amp;FD$11&amp;"'!B:R"),15,FALSE),"")</f>
        <v/>
      </c>
      <c r="FE60" s="96">
        <f>IFERROR(VLOOKUP($B60,INDIRECT("'GRD-"&amp;FE$11&amp;"'!B:R"),15,FALSE),"")</f>
        <v/>
      </c>
      <c r="FF60" s="96">
        <f>IFERROR(VLOOKUP($B60,INDIRECT("'GRD-"&amp;FF$11&amp;"'!B:R"),15,FALSE),"")</f>
        <v/>
      </c>
      <c r="FG60" s="96">
        <f>IFERROR(VLOOKUP($B60,INDIRECT("'GRD-"&amp;FG$11&amp;"'!B:R"),15,FALSE),"")</f>
        <v/>
      </c>
      <c r="FH60" s="96">
        <f>IFERROR(VLOOKUP($B60,INDIRECT("'GRD-"&amp;FH$11&amp;"'!B:R"),15,FALSE),"")</f>
        <v/>
      </c>
      <c r="FI60" s="96">
        <f>IFERROR(VLOOKUP($B60,INDIRECT("'GRD-"&amp;FI$11&amp;"'!B:R"),15,FALSE),"")</f>
        <v/>
      </c>
      <c r="FJ60" s="96">
        <f>IFERROR(VLOOKUP($B60,INDIRECT("'GRD-"&amp;FJ$11&amp;"'!B:R"),15,FALSE),"")</f>
        <v/>
      </c>
      <c r="FK60" s="96">
        <f>IFERROR(VLOOKUP($B60,INDIRECT("'GRD-"&amp;FK$11&amp;"'!B:R"),15,FALSE),"")</f>
        <v/>
      </c>
      <c r="FL60" s="96">
        <f>IFERROR(VLOOKUP($B60,INDIRECT("'GRD-"&amp;FL$11&amp;"'!B:R"),15,FALSE),"")</f>
        <v/>
      </c>
      <c r="FM60" s="96">
        <f>IFERROR(VLOOKUP($B60,INDIRECT("'GRD-"&amp;FM$11&amp;"'!B:R"),15,FALSE),"")</f>
        <v/>
      </c>
      <c r="FN60" s="96">
        <f>IFERROR(VLOOKUP($B60,INDIRECT("'GRD-"&amp;FN$11&amp;"'!B:R"),15,FALSE),"")</f>
        <v/>
      </c>
      <c r="FO60" s="96">
        <f>IFERROR(VLOOKUP($B60,INDIRECT("'GRD-"&amp;FO$11&amp;"'!B:R"),15,FALSE),"")</f>
        <v/>
      </c>
      <c r="FP60" s="96">
        <f>IFERROR(VLOOKUP($B60,INDIRECT("'GRD-"&amp;FP$11&amp;"'!B:R"),15,FALSE),"")</f>
        <v/>
      </c>
      <c r="FQ60" s="96">
        <f>IFERROR(VLOOKUP($B60,INDIRECT("'GRD-"&amp;FQ$11&amp;"'!B:R"),15,FALSE),"")</f>
        <v/>
      </c>
      <c r="FR60" s="96">
        <f>IFERROR(VLOOKUP($B60,INDIRECT("'GRD-"&amp;FR$11&amp;"'!B:R"),15,FALSE),"")</f>
        <v/>
      </c>
      <c r="FS60" s="96">
        <f>IFERROR(VLOOKUP($B60,INDIRECT("'GRD-"&amp;FS$11&amp;"'!B:R"),15,FALSE),"")</f>
        <v/>
      </c>
      <c r="FT60" s="96">
        <f>IFERROR(VLOOKUP($B60,INDIRECT("'GRD-"&amp;FT$11&amp;"'!B:R"),15,FALSE),"")</f>
        <v/>
      </c>
      <c r="FU60" s="96">
        <f>IFERROR(VLOOKUP($B60,INDIRECT("'GRD-"&amp;FU$11&amp;"'!B:R"),15,FALSE),"")</f>
        <v/>
      </c>
      <c r="FV60" s="96">
        <f>IFERROR(VLOOKUP($B60,INDIRECT("'GRD-"&amp;FV$11&amp;"'!B:R"),15,FALSE),"")</f>
        <v/>
      </c>
    </row>
    <row r="61">
      <c r="B61" s="85" t="n"/>
      <c r="C61" s="93" t="n"/>
      <c r="D61" s="73">
        <f>IF(K61="","",MAX($CA61:$FV61))</f>
        <v/>
      </c>
      <c r="E61" s="74">
        <f t="array" ref="E61">IF($K61="","",OFFSET($A$1,ROW($B61)-1,11+$D61*4,))</f>
        <v/>
      </c>
      <c r="F61" s="74">
        <f t="array" ref="F61">IF($K61="","",OFFSET($A$1,ROW($B61)-1,12+$D61*4,))</f>
        <v/>
      </c>
      <c r="G61" s="118">
        <f t="array" ref="G61">IF($K61="","",OFFSET($A$1,ROW($B61)-1,13+$D61*4,))</f>
        <v/>
      </c>
      <c r="H61" s="81" t="n"/>
      <c r="I61" s="82" t="n"/>
      <c r="J61" s="75">
        <f>IF(I61="A4",H61/8,IF(I61="A3",H61/4,IF(I61="A2",H61/2,IF(I61="A1",H61/1,IF(I61="A0",H61*2,"")))))</f>
        <v/>
      </c>
      <c r="K61" s="68">
        <f t="array" ref="K61">IFERROR(OFFSET($BZ$11,ROW($B61)-11,MATCH(K$10,$CA61:$FV61,0),),"")</f>
        <v/>
      </c>
      <c r="L61" s="85">
        <f>IF(K61="","",IF(VLOOKUP($B61,INDIRECT("'GRD-"&amp;M61&amp;"'!$B:$R"),16,FALSE)="","",VLOOKUP($B61,INDIRECT("'GRD-"&amp;M61&amp;"'!$B:$R"),16,FALSE)))</f>
        <v/>
      </c>
      <c r="M61" s="130">
        <f t="array" ref="M61">IF(K61="","",IFERROR(OFFSET($BZ$11,0,MATCH($K61,$CA61:$FV61,0),),""))</f>
        <v/>
      </c>
      <c r="N61" s="119">
        <f t="array" ref="N61">IF(K61="","",INDIRECT("'GRD-"&amp;M61&amp;"'!$L$7"))</f>
        <v/>
      </c>
      <c r="O61" s="76">
        <f t="array" ref="O61">IFERROR(OFFSET($BZ$11,ROW($B61)-11,MATCH(O$10,$CA61:$FV61,0),),"")</f>
        <v/>
      </c>
      <c r="P61" s="76">
        <f>IF(O61="","",IF(VLOOKUP($B61,INDIRECT("'GRD-"&amp;Q61&amp;"'!$B:$R"),16,FALSE)="","",VLOOKUP($B61,INDIRECT("'GRD-"&amp;Q61&amp;"'!$B:$R"),16,FALSE)))</f>
        <v/>
      </c>
      <c r="Q61" s="132">
        <f t="array" ref="Q61">IF(O61="","",IFERROR(OFFSET($BZ$11,0,MATCH($O61,$CA61:$FV61,0),),""))</f>
        <v/>
      </c>
      <c r="R61" s="121">
        <f t="array" ref="R61">IF(O61="","",INDIRECT("'GRD-"&amp;Q61&amp;"'!$L$7"))</f>
        <v/>
      </c>
      <c r="S61" s="83">
        <f t="array" ref="S61">IFERROR(OFFSET($BZ$11,ROW($B61)-11,MATCH(S$10,$CA61:$FV61,0),),"")</f>
        <v/>
      </c>
      <c r="T61" s="83">
        <f>IF(S61="","",IF(VLOOKUP($B61,INDIRECT("'GRD-"&amp;U61&amp;"'!$B:$R"),16,FALSE)="","",VLOOKUP($B61,INDIRECT("'GRD-"&amp;U61&amp;"'!$B:$R"),16,FALSE)))</f>
        <v/>
      </c>
      <c r="U61" s="128">
        <f t="array" ref="U61">IF(S61="","",IFERROR(OFFSET($BZ$11,0,MATCH($S61,$CA61:$FV61,0),),""))</f>
        <v/>
      </c>
      <c r="V61" s="133">
        <f t="array" ref="V61">IF(S61="","",INDIRECT("'GRD-"&amp;U61&amp;"'!$L$7"))</f>
        <v/>
      </c>
      <c r="W61" s="84">
        <f t="array" ref="W61">IFERROR(OFFSET($BZ$11,ROW($B61)-11,MATCH(W$10,$CA61:$FV61,0),),"")</f>
        <v/>
      </c>
      <c r="X61" s="84">
        <f>IF(W61="","",IF(VLOOKUP($B61,INDIRECT("'GRD-"&amp;Y61&amp;"'!$B:$R"),16,FALSE)="","",VLOOKUP($B61,INDIRECT("'GRD-"&amp;Y61&amp;"'!$B:$R"),16,FALSE)))</f>
        <v/>
      </c>
      <c r="Y61" s="129">
        <f t="array" ref="Y61">IF(W61="","",IFERROR(OFFSET($BZ$11,0,MATCH($W61,$CA61:$FV61,0),),""))</f>
        <v/>
      </c>
      <c r="Z61" s="134">
        <f t="array" ref="Z61">IF(W61="","",INDIRECT("'GRD-"&amp;Y61&amp;"'!$L$7"))</f>
        <v/>
      </c>
      <c r="AA61" s="85">
        <f t="array" ref="AA61">IFERROR(OFFSET($BZ$11,ROW($B61)-11,MATCH(AA$10,$CA61:$FV61,0),),"")</f>
        <v/>
      </c>
      <c r="AB61" s="85">
        <f>IF(AA61="","",IF(VLOOKUP($B61,INDIRECT("'GRD-"&amp;AC61&amp;"'!$B:$R"),16,FALSE)="","",VLOOKUP($B61,INDIRECT("'GRD-"&amp;AC61&amp;"'!$B:$R"),16,FALSE)))</f>
        <v/>
      </c>
      <c r="AC61" s="130">
        <f t="array" ref="AC61">IF(AA61="","",IFERROR(OFFSET($BZ$11,0,MATCH($AA61,$CA61:$FV61,0),),""))</f>
        <v/>
      </c>
      <c r="AD61" s="131">
        <f t="array" ref="AD61">IF(AA61="","",INDIRECT("'GRD-"&amp;AC61&amp;"'!$L$7"))</f>
        <v/>
      </c>
      <c r="AE61" s="76">
        <f t="array" ref="AE61">IFERROR(OFFSET($BZ$11,ROW($B61)-11,MATCH(AE$10,$CA61:$FV61,0),),"")</f>
        <v/>
      </c>
      <c r="AF61" s="76">
        <f>IF(AE61="","",IF(VLOOKUP($B61,INDIRECT("'GRD-"&amp;AG61&amp;"'!$B:$R"),16,FALSE)="","",VLOOKUP($B61,INDIRECT("'GRD-"&amp;AG61&amp;"'!$B:$R"),16,FALSE)))</f>
        <v/>
      </c>
      <c r="AG61" s="132">
        <f t="array" ref="AG61">IF(AE61="","",IFERROR(OFFSET($BZ$11,0,MATCH($AE61,$CA61:$FV61,0),),""))</f>
        <v/>
      </c>
      <c r="AH61" s="121">
        <f t="array" ref="AH61">IF(AE61="","",INDIRECT("'GRD-"&amp;AG61&amp;"'!$L$7"))</f>
        <v/>
      </c>
      <c r="AI61" s="83">
        <f t="array" ref="AI61">IFERROR(OFFSET($BZ$11,ROW($B61)-11,MATCH(AI$10,$CA61:$FV61,0),),"")</f>
        <v/>
      </c>
      <c r="AJ61" s="83">
        <f>IF(AI61="","",IF(VLOOKUP($B61,INDIRECT("'GRD-"&amp;AK61&amp;"'!$B:$R"),16,FALSE)="","",VLOOKUP($B61,INDIRECT("'GRD-"&amp;AK61&amp;"'!$B:$R"),16,FALSE)))</f>
        <v/>
      </c>
      <c r="AK61" s="128">
        <f t="array" ref="AK61">IF(AI61="","",IFERROR(OFFSET($BZ$11,0,MATCH($AI61,$CA61:$FV61,0),),""))</f>
        <v/>
      </c>
      <c r="AL61" s="133">
        <f t="array" ref="AL61">IF(AI61="","",INDIRECT("'GRD-"&amp;AK61&amp;"'!$L$7"))</f>
        <v/>
      </c>
      <c r="AM61" s="84">
        <f t="array" ref="AM61">IFERROR(OFFSET($BZ$11,ROW($B61)-11,MATCH(AM$10,$CA61:$FV61,0),),"")</f>
        <v/>
      </c>
      <c r="AN61" s="84">
        <f>IF(AM61="","",IF(VLOOKUP($B61,INDIRECT("'GRD-"&amp;AO61&amp;"'!$B:$R"),16,FALSE)="","",VLOOKUP($B61,INDIRECT("'GRD-"&amp;AO61&amp;"'!$B:$R"),16,FALSE)))</f>
        <v/>
      </c>
      <c r="AO61" s="129">
        <f t="array" ref="AO61">IF(AM61="","",IFERROR(OFFSET($BZ$11,0,MATCH($AM61,$CA61:$FV61,0),),""))</f>
        <v/>
      </c>
      <c r="AP61" s="134">
        <f t="array" ref="AP61">IF(AM61="","",INDIRECT("'GRD-"&amp;AO61&amp;"'!$L$7"))</f>
        <v/>
      </c>
      <c r="AQ61" s="85">
        <f t="array" ref="AQ61">IFERROR(OFFSET($BZ$11,ROW($B61)-11,MATCH(AQ$10,$CA61:$FV61,0),),"")</f>
        <v/>
      </c>
      <c r="AR61" s="85">
        <f>IF(AQ61="","",IF(VLOOKUP($B61,INDIRECT("'GRD-"&amp;AS61&amp;"'!$B:$R"),16,FALSE)="","",VLOOKUP($B61,INDIRECT("'GRD-"&amp;AS61&amp;"'!$B:$R"),16,FALSE)))</f>
        <v/>
      </c>
      <c r="AS61" s="130">
        <f t="array" ref="AS61">IF(AQ61="","",IFERROR(OFFSET($BZ$11,0,MATCH($AQ61,$CA61:$FV61,0),),""))</f>
        <v/>
      </c>
      <c r="AT61" s="131">
        <f t="array" ref="AT61">IF(AQ61="","",INDIRECT("'GRD-"&amp;AS61&amp;"'!$L$7"))</f>
        <v/>
      </c>
      <c r="AU61" s="76">
        <f t="array" ref="AU61">IFERROR(OFFSET($BZ$11,ROW($B61)-11,MATCH(AU$10,$CA61:$FV61,0),),"")</f>
        <v/>
      </c>
      <c r="AV61" s="76">
        <f>IF(AU61="","",IF(VLOOKUP($B61,INDIRECT("'GRD-"&amp;AW61&amp;"'!$B:$R"),16,FALSE)="","",VLOOKUP($B61,INDIRECT("'GRD-"&amp;AW61&amp;"'!$B:$R"),16,FALSE)))</f>
        <v/>
      </c>
      <c r="AW61" s="132">
        <f t="array" ref="AW61">IF(AU61="","",IFERROR(OFFSET($BZ$11,0,MATCH($AU61,$CA61:$FV61,0),),""))</f>
        <v/>
      </c>
      <c r="AX61" s="121">
        <f t="array" ref="AX61">IF(AU61="","",INDIRECT("'GRD-"&amp;AW61&amp;"'!$L$7"))</f>
        <v/>
      </c>
      <c r="AY61" s="83">
        <f t="array" ref="AY61">IFERROR(OFFSET($BZ$11,ROW($B61)-11,MATCH(AY$10,$CA61:$FV61,0),),"")</f>
        <v/>
      </c>
      <c r="AZ61" s="83">
        <f>IF(AY61="","",IF(VLOOKUP($B61,INDIRECT("'GRD-"&amp;BA61&amp;"'!$B:$R"),16,FALSE)="","",VLOOKUP($B61,INDIRECT("'GRD-"&amp;BA61&amp;"'!$B:$R"),16,FALSE)))</f>
        <v/>
      </c>
      <c r="BA61" s="128">
        <f t="array" ref="BA61">IF(AY61="","",IFERROR(OFFSET($BZ$11,0,MATCH($AY61,$CA61:$FV61,0),),""))</f>
        <v/>
      </c>
      <c r="BB61" s="133">
        <f t="array" ref="BB61">IF(AY61="","",INDIRECT("'GRD-"&amp;BA61&amp;"'!$L$7"))</f>
        <v/>
      </c>
      <c r="BC61" s="84">
        <f t="array" ref="BC61">IFERROR(OFFSET($BZ$11,ROW($B61)-11,MATCH(BC$10,$CA61:$FV61,0),),"")</f>
        <v/>
      </c>
      <c r="BD61" s="84">
        <f>IF(BC61="","",IF(VLOOKUP($B61,INDIRECT("'GRD-"&amp;BE61&amp;"'!$B:$R"),16,FALSE)="","",VLOOKUP($B61,INDIRECT("'GRD-"&amp;BE61&amp;"'!$B:$R"),16,FALSE)))</f>
        <v/>
      </c>
      <c r="BE61" s="129">
        <f t="array" ref="BE61">IF(BC61="","",IFERROR(OFFSET($BZ$11,0,MATCH($BC61,$CA61:$FV61,0),),""))</f>
        <v/>
      </c>
      <c r="BF61" s="134">
        <f t="array" ref="BF61">IF(BC61="","",INDIRECT("'GRD-"&amp;BE61&amp;"'!$L$7"))</f>
        <v/>
      </c>
      <c r="CA61" s="96">
        <f>IFERROR(VLOOKUP($B61,INDIRECT("'GRD-"&amp;CA$11&amp;"'!B:R"),15,FALSE),"")</f>
        <v/>
      </c>
      <c r="CB61" s="96">
        <f>IFERROR(VLOOKUP($B61,INDIRECT("'GRD-"&amp;CB$11&amp;"'!B:R"),15,FALSE),"")</f>
        <v/>
      </c>
      <c r="CC61" s="96">
        <f>IFERROR(VLOOKUP($B61,INDIRECT("'GRD-"&amp;CC$11&amp;"'!B:R"),15,FALSE),"")</f>
        <v/>
      </c>
      <c r="CD61" s="96">
        <f>IFERROR(VLOOKUP($B61,INDIRECT("'GRD-"&amp;CD$11&amp;"'!B:R"),15,FALSE),"")</f>
        <v/>
      </c>
      <c r="CE61" s="96">
        <f>IFERROR(VLOOKUP($B61,INDIRECT("'GRD-"&amp;CE$11&amp;"'!B:R"),15,FALSE),"")</f>
        <v/>
      </c>
      <c r="CF61" s="96">
        <f>IFERROR(VLOOKUP($B61,INDIRECT("'GRD-"&amp;CF$11&amp;"'!B:R"),15,FALSE),"")</f>
        <v/>
      </c>
      <c r="CG61" s="96">
        <f>IFERROR(VLOOKUP($B61,INDIRECT("'GRD-"&amp;CG$11&amp;"'!B:R"),15,FALSE),"")</f>
        <v/>
      </c>
      <c r="CH61" s="96">
        <f>IFERROR(VLOOKUP($B61,INDIRECT("'GRD-"&amp;CH$11&amp;"'!B:R"),15,FALSE),"")</f>
        <v/>
      </c>
      <c r="CI61" s="96">
        <f>IFERROR(VLOOKUP($B61,INDIRECT("'GRD-"&amp;CI$11&amp;"'!B:R"),15,FALSE),"")</f>
        <v/>
      </c>
      <c r="CJ61" s="96">
        <f>IFERROR(VLOOKUP($B61,INDIRECT("'GRD-"&amp;CJ$11&amp;"'!B:R"),15,FALSE),"")</f>
        <v/>
      </c>
      <c r="CK61" s="96">
        <f>IFERROR(VLOOKUP($B61,INDIRECT("'GRD-"&amp;CK$11&amp;"'!B:R"),15,FALSE),"")</f>
        <v/>
      </c>
      <c r="CL61" s="96">
        <f>IFERROR(VLOOKUP($B61,INDIRECT("'GRD-"&amp;CL$11&amp;"'!B:R"),15,FALSE),"")</f>
        <v/>
      </c>
      <c r="CM61" s="96">
        <f>IFERROR(VLOOKUP($B61,INDIRECT("'GRD-"&amp;CM$11&amp;"'!B:R"),15,FALSE),"")</f>
        <v/>
      </c>
      <c r="CN61" s="96">
        <f>IFERROR(VLOOKUP($B61,INDIRECT("'GRD-"&amp;CN$11&amp;"'!B:R"),15,FALSE),"")</f>
        <v/>
      </c>
      <c r="CO61" s="96">
        <f>IFERROR(VLOOKUP($B61,INDIRECT("'GRD-"&amp;CO$11&amp;"'!B:R"),15,FALSE),"")</f>
        <v/>
      </c>
      <c r="CP61" s="96">
        <f>IFERROR(VLOOKUP($B61,INDIRECT("'GRD-"&amp;CP$11&amp;"'!B:R"),15,FALSE),"")</f>
        <v/>
      </c>
      <c r="CQ61" s="96">
        <f>IFERROR(VLOOKUP($B61,INDIRECT("'GRD-"&amp;CQ$11&amp;"'!B:R"),15,FALSE),"")</f>
        <v/>
      </c>
      <c r="CR61" s="96">
        <f>IFERROR(VLOOKUP($B61,INDIRECT("'GRD-"&amp;CR$11&amp;"'!B:R"),15,FALSE),"")</f>
        <v/>
      </c>
      <c r="CS61" s="96">
        <f>IFERROR(VLOOKUP($B61,INDIRECT("'GRD-"&amp;CS$11&amp;"'!B:R"),15,FALSE),"")</f>
        <v/>
      </c>
      <c r="CT61" s="96">
        <f>IFERROR(VLOOKUP($B61,INDIRECT("'GRD-"&amp;CT$11&amp;"'!B:R"),15,FALSE),"")</f>
        <v/>
      </c>
      <c r="CU61" s="96">
        <f>IFERROR(VLOOKUP($B61,INDIRECT("'GRD-"&amp;CU$11&amp;"'!B:R"),15,FALSE),"")</f>
        <v/>
      </c>
      <c r="CV61" s="96">
        <f>IFERROR(VLOOKUP($B61,INDIRECT("'GRD-"&amp;CV$11&amp;"'!B:R"),15,FALSE),"")</f>
        <v/>
      </c>
      <c r="CW61" s="96">
        <f>IFERROR(VLOOKUP($B61,INDIRECT("'GRD-"&amp;CW$11&amp;"'!B:R"),15,FALSE),"")</f>
        <v/>
      </c>
      <c r="CX61" s="96">
        <f>IFERROR(VLOOKUP($B61,INDIRECT("'GRD-"&amp;CX$11&amp;"'!B:R"),15,FALSE),"")</f>
        <v/>
      </c>
      <c r="CY61" s="96">
        <f>IFERROR(VLOOKUP($B61,INDIRECT("'GRD-"&amp;CY$11&amp;"'!B:R"),15,FALSE),"")</f>
        <v/>
      </c>
      <c r="CZ61" s="96">
        <f>IFERROR(VLOOKUP($B61,INDIRECT("'GRD-"&amp;CZ$11&amp;"'!B:R"),15,FALSE),"")</f>
        <v/>
      </c>
      <c r="DA61" s="96">
        <f>IFERROR(VLOOKUP($B61,INDIRECT("'GRD-"&amp;DA$11&amp;"'!B:R"),15,FALSE),"")</f>
        <v/>
      </c>
      <c r="DB61" s="96">
        <f>IFERROR(VLOOKUP($B61,INDIRECT("'GRD-"&amp;DB$11&amp;"'!B:R"),15,FALSE),"")</f>
        <v/>
      </c>
      <c r="DC61" s="96">
        <f>IFERROR(VLOOKUP($B61,INDIRECT("'GRD-"&amp;DC$11&amp;"'!B:R"),15,FALSE),"")</f>
        <v/>
      </c>
      <c r="DD61" s="96">
        <f>IFERROR(VLOOKUP($B61,INDIRECT("'GRD-"&amp;DD$11&amp;"'!B:R"),15,FALSE),"")</f>
        <v/>
      </c>
      <c r="DE61" s="96">
        <f>IFERROR(VLOOKUP($B61,INDIRECT("'GRD-"&amp;DE$11&amp;"'!B:R"),15,FALSE),"")</f>
        <v/>
      </c>
      <c r="DF61" s="96">
        <f>IFERROR(VLOOKUP($B61,INDIRECT("'GRD-"&amp;DF$11&amp;"'!B:R"),15,FALSE),"")</f>
        <v/>
      </c>
      <c r="DG61" s="96">
        <f>IFERROR(VLOOKUP($B61,INDIRECT("'GRD-"&amp;DG$11&amp;"'!B:R"),15,FALSE),"")</f>
        <v/>
      </c>
      <c r="DH61" s="96">
        <f>IFERROR(VLOOKUP($B61,INDIRECT("'GRD-"&amp;DH$11&amp;"'!B:R"),15,FALSE),"")</f>
        <v/>
      </c>
      <c r="DI61" s="96">
        <f>IFERROR(VLOOKUP($B61,INDIRECT("'GRD-"&amp;DI$11&amp;"'!B:R"),15,FALSE),"")</f>
        <v/>
      </c>
      <c r="DJ61" s="96">
        <f>IFERROR(VLOOKUP($B61,INDIRECT("'GRD-"&amp;DJ$11&amp;"'!B:R"),15,FALSE),"")</f>
        <v/>
      </c>
      <c r="DK61" s="96">
        <f>IFERROR(VLOOKUP($B61,INDIRECT("'GRD-"&amp;DK$11&amp;"'!B:R"),15,FALSE),"")</f>
        <v/>
      </c>
      <c r="DL61" s="96">
        <f>IFERROR(VLOOKUP($B61,INDIRECT("'GRD-"&amp;DL$11&amp;"'!B:R"),15,FALSE),"")</f>
        <v/>
      </c>
      <c r="DM61" s="96">
        <f>IFERROR(VLOOKUP($B61,INDIRECT("'GRD-"&amp;DM$11&amp;"'!B:R"),15,FALSE),"")</f>
        <v/>
      </c>
      <c r="DN61" s="96">
        <f>IFERROR(VLOOKUP($B61,INDIRECT("'GRD-"&amp;DN$11&amp;"'!B:R"),15,FALSE),"")</f>
        <v/>
      </c>
      <c r="DO61" s="96">
        <f>IFERROR(VLOOKUP($B61,INDIRECT("'GRD-"&amp;DO$11&amp;"'!B:R"),15,FALSE),"")</f>
        <v/>
      </c>
      <c r="DP61" s="96">
        <f>IFERROR(VLOOKUP($B61,INDIRECT("'GRD-"&amp;DP$11&amp;"'!B:R"),15,FALSE),"")</f>
        <v/>
      </c>
      <c r="DQ61" s="96">
        <f>IFERROR(VLOOKUP($B61,INDIRECT("'GRD-"&amp;DQ$11&amp;"'!B:R"),15,FALSE),"")</f>
        <v/>
      </c>
      <c r="DR61" s="96">
        <f>IFERROR(VLOOKUP($B61,INDIRECT("'GRD-"&amp;DR$11&amp;"'!B:R"),15,FALSE),"")</f>
        <v/>
      </c>
      <c r="DS61" s="96">
        <f>IFERROR(VLOOKUP($B61,INDIRECT("'GRD-"&amp;DS$11&amp;"'!B:R"),15,FALSE),"")</f>
        <v/>
      </c>
      <c r="DT61" s="96">
        <f>IFERROR(VLOOKUP($B61,INDIRECT("'GRD-"&amp;DT$11&amp;"'!B:R"),15,FALSE),"")</f>
        <v/>
      </c>
      <c r="DU61" s="96">
        <f>IFERROR(VLOOKUP($B61,INDIRECT("'GRD-"&amp;DU$11&amp;"'!B:R"),15,FALSE),"")</f>
        <v/>
      </c>
      <c r="DV61" s="96">
        <f>IFERROR(VLOOKUP($B61,INDIRECT("'GRD-"&amp;DV$11&amp;"'!B:R"),15,FALSE),"")</f>
        <v/>
      </c>
      <c r="DW61" s="96">
        <f>IFERROR(VLOOKUP($B61,INDIRECT("'GRD-"&amp;DW$11&amp;"'!B:R"),15,FALSE),"")</f>
        <v/>
      </c>
      <c r="DX61" s="96">
        <f>IFERROR(VLOOKUP($B61,INDIRECT("'GRD-"&amp;DX$11&amp;"'!B:R"),15,FALSE),"")</f>
        <v/>
      </c>
      <c r="DY61" s="96">
        <f>IFERROR(VLOOKUP($B61,INDIRECT("'GRD-"&amp;DY$11&amp;"'!B:R"),15,FALSE),"")</f>
        <v/>
      </c>
      <c r="DZ61" s="96">
        <f>IFERROR(VLOOKUP($B61,INDIRECT("'GRD-"&amp;DZ$11&amp;"'!B:R"),15,FALSE),"")</f>
        <v/>
      </c>
      <c r="EA61" s="96">
        <f>IFERROR(VLOOKUP($B61,INDIRECT("'GRD-"&amp;EA$11&amp;"'!B:R"),15,FALSE),"")</f>
        <v/>
      </c>
      <c r="EB61" s="96">
        <f>IFERROR(VLOOKUP($B61,INDIRECT("'GRD-"&amp;EB$11&amp;"'!B:R"),15,FALSE),"")</f>
        <v/>
      </c>
      <c r="EC61" s="96">
        <f>IFERROR(VLOOKUP($B61,INDIRECT("'GRD-"&amp;EC$11&amp;"'!B:R"),15,FALSE),"")</f>
        <v/>
      </c>
      <c r="ED61" s="96">
        <f>IFERROR(VLOOKUP($B61,INDIRECT("'GRD-"&amp;ED$11&amp;"'!B:R"),15,FALSE),"")</f>
        <v/>
      </c>
      <c r="EE61" s="96">
        <f>IFERROR(VLOOKUP($B61,INDIRECT("'GRD-"&amp;EE$11&amp;"'!B:R"),15,FALSE),"")</f>
        <v/>
      </c>
      <c r="EF61" s="96">
        <f>IFERROR(VLOOKUP($B61,INDIRECT("'GRD-"&amp;EF$11&amp;"'!B:R"),15,FALSE),"")</f>
        <v/>
      </c>
      <c r="EG61" s="96">
        <f>IFERROR(VLOOKUP($B61,INDIRECT("'GRD-"&amp;EG$11&amp;"'!B:R"),15,FALSE),"")</f>
        <v/>
      </c>
      <c r="EH61" s="96">
        <f>IFERROR(VLOOKUP($B61,INDIRECT("'GRD-"&amp;EH$11&amp;"'!B:R"),15,FALSE),"")</f>
        <v/>
      </c>
      <c r="EI61" s="96">
        <f>IFERROR(VLOOKUP($B61,INDIRECT("'GRD-"&amp;EI$11&amp;"'!B:R"),15,FALSE),"")</f>
        <v/>
      </c>
      <c r="EJ61" s="96">
        <f>IFERROR(VLOOKUP($B61,INDIRECT("'GRD-"&amp;EJ$11&amp;"'!B:R"),15,FALSE),"")</f>
        <v/>
      </c>
      <c r="EK61" s="96">
        <f>IFERROR(VLOOKUP($B61,INDIRECT("'GRD-"&amp;EK$11&amp;"'!B:R"),15,FALSE),"")</f>
        <v/>
      </c>
      <c r="EL61" s="96">
        <f>IFERROR(VLOOKUP($B61,INDIRECT("'GRD-"&amp;EL$11&amp;"'!B:R"),15,FALSE),"")</f>
        <v/>
      </c>
      <c r="EM61" s="96">
        <f>IFERROR(VLOOKUP($B61,INDIRECT("'GRD-"&amp;EM$11&amp;"'!B:R"),15,FALSE),"")</f>
        <v/>
      </c>
      <c r="EN61" s="96">
        <f>IFERROR(VLOOKUP($B61,INDIRECT("'GRD-"&amp;EN$11&amp;"'!B:R"),15,FALSE),"")</f>
        <v/>
      </c>
      <c r="EO61" s="96">
        <f>IFERROR(VLOOKUP($B61,INDIRECT("'GRD-"&amp;EO$11&amp;"'!B:R"),15,FALSE),"")</f>
        <v/>
      </c>
      <c r="EP61" s="96">
        <f>IFERROR(VLOOKUP($B61,INDIRECT("'GRD-"&amp;EP$11&amp;"'!B:R"),15,FALSE),"")</f>
        <v/>
      </c>
      <c r="EQ61" s="96">
        <f>IFERROR(VLOOKUP($B61,INDIRECT("'GRD-"&amp;EQ$11&amp;"'!B:R"),15,FALSE),"")</f>
        <v/>
      </c>
      <c r="ER61" s="96">
        <f>IFERROR(VLOOKUP($B61,INDIRECT("'GRD-"&amp;ER$11&amp;"'!B:R"),15,FALSE),"")</f>
        <v/>
      </c>
      <c r="ES61" s="96">
        <f>IFERROR(VLOOKUP($B61,INDIRECT("'GRD-"&amp;ES$11&amp;"'!B:R"),15,FALSE),"")</f>
        <v/>
      </c>
      <c r="ET61" s="96">
        <f>IFERROR(VLOOKUP($B61,INDIRECT("'GRD-"&amp;ET$11&amp;"'!B:R"),15,FALSE),"")</f>
        <v/>
      </c>
      <c r="EU61" s="96">
        <f>IFERROR(VLOOKUP($B61,INDIRECT("'GRD-"&amp;EU$11&amp;"'!B:R"),15,FALSE),"")</f>
        <v/>
      </c>
      <c r="EV61" s="96">
        <f>IFERROR(VLOOKUP($B61,INDIRECT("'GRD-"&amp;EV$11&amp;"'!B:R"),15,FALSE),"")</f>
        <v/>
      </c>
      <c r="EW61" s="96">
        <f>IFERROR(VLOOKUP($B61,INDIRECT("'GRD-"&amp;EW$11&amp;"'!B:R"),15,FALSE),"")</f>
        <v/>
      </c>
      <c r="EX61" s="96">
        <f>IFERROR(VLOOKUP($B61,INDIRECT("'GRD-"&amp;EX$11&amp;"'!B:R"),15,FALSE),"")</f>
        <v/>
      </c>
      <c r="EY61" s="96">
        <f>IFERROR(VLOOKUP($B61,INDIRECT("'GRD-"&amp;EY$11&amp;"'!B:R"),15,FALSE),"")</f>
        <v/>
      </c>
      <c r="EZ61" s="96">
        <f>IFERROR(VLOOKUP($B61,INDIRECT("'GRD-"&amp;EZ$11&amp;"'!B:R"),15,FALSE),"")</f>
        <v/>
      </c>
      <c r="FA61" s="96">
        <f>IFERROR(VLOOKUP($B61,INDIRECT("'GRD-"&amp;FA$11&amp;"'!B:R"),15,FALSE),"")</f>
        <v/>
      </c>
      <c r="FB61" s="96">
        <f>IFERROR(VLOOKUP($B61,INDIRECT("'GRD-"&amp;FB$11&amp;"'!B:R"),15,FALSE),"")</f>
        <v/>
      </c>
      <c r="FC61" s="96">
        <f>IFERROR(VLOOKUP($B61,INDIRECT("'GRD-"&amp;FC$11&amp;"'!B:R"),15,FALSE),"")</f>
        <v/>
      </c>
      <c r="FD61" s="96">
        <f>IFERROR(VLOOKUP($B61,INDIRECT("'GRD-"&amp;FD$11&amp;"'!B:R"),15,FALSE),"")</f>
        <v/>
      </c>
      <c r="FE61" s="96">
        <f>IFERROR(VLOOKUP($B61,INDIRECT("'GRD-"&amp;FE$11&amp;"'!B:R"),15,FALSE),"")</f>
        <v/>
      </c>
      <c r="FF61" s="96">
        <f>IFERROR(VLOOKUP($B61,INDIRECT("'GRD-"&amp;FF$11&amp;"'!B:R"),15,FALSE),"")</f>
        <v/>
      </c>
      <c r="FG61" s="96">
        <f>IFERROR(VLOOKUP($B61,INDIRECT("'GRD-"&amp;FG$11&amp;"'!B:R"),15,FALSE),"")</f>
        <v/>
      </c>
      <c r="FH61" s="96">
        <f>IFERROR(VLOOKUP($B61,INDIRECT("'GRD-"&amp;FH$11&amp;"'!B:R"),15,FALSE),"")</f>
        <v/>
      </c>
      <c r="FI61" s="96">
        <f>IFERROR(VLOOKUP($B61,INDIRECT("'GRD-"&amp;FI$11&amp;"'!B:R"),15,FALSE),"")</f>
        <v/>
      </c>
      <c r="FJ61" s="96">
        <f>IFERROR(VLOOKUP($B61,INDIRECT("'GRD-"&amp;FJ$11&amp;"'!B:R"),15,FALSE),"")</f>
        <v/>
      </c>
      <c r="FK61" s="96">
        <f>IFERROR(VLOOKUP($B61,INDIRECT("'GRD-"&amp;FK$11&amp;"'!B:R"),15,FALSE),"")</f>
        <v/>
      </c>
      <c r="FL61" s="96">
        <f>IFERROR(VLOOKUP($B61,INDIRECT("'GRD-"&amp;FL$11&amp;"'!B:R"),15,FALSE),"")</f>
        <v/>
      </c>
      <c r="FM61" s="96">
        <f>IFERROR(VLOOKUP($B61,INDIRECT("'GRD-"&amp;FM$11&amp;"'!B:R"),15,FALSE),"")</f>
        <v/>
      </c>
      <c r="FN61" s="96">
        <f>IFERROR(VLOOKUP($B61,INDIRECT("'GRD-"&amp;FN$11&amp;"'!B:R"),15,FALSE),"")</f>
        <v/>
      </c>
      <c r="FO61" s="96">
        <f>IFERROR(VLOOKUP($B61,INDIRECT("'GRD-"&amp;FO$11&amp;"'!B:R"),15,FALSE),"")</f>
        <v/>
      </c>
      <c r="FP61" s="96">
        <f>IFERROR(VLOOKUP($B61,INDIRECT("'GRD-"&amp;FP$11&amp;"'!B:R"),15,FALSE),"")</f>
        <v/>
      </c>
      <c r="FQ61" s="96">
        <f>IFERROR(VLOOKUP($B61,INDIRECT("'GRD-"&amp;FQ$11&amp;"'!B:R"),15,FALSE),"")</f>
        <v/>
      </c>
      <c r="FR61" s="96">
        <f>IFERROR(VLOOKUP($B61,INDIRECT("'GRD-"&amp;FR$11&amp;"'!B:R"),15,FALSE),"")</f>
        <v/>
      </c>
      <c r="FS61" s="96">
        <f>IFERROR(VLOOKUP($B61,INDIRECT("'GRD-"&amp;FS$11&amp;"'!B:R"),15,FALSE),"")</f>
        <v/>
      </c>
      <c r="FT61" s="96">
        <f>IFERROR(VLOOKUP($B61,INDIRECT("'GRD-"&amp;FT$11&amp;"'!B:R"),15,FALSE),"")</f>
        <v/>
      </c>
      <c r="FU61" s="96">
        <f>IFERROR(VLOOKUP($B61,INDIRECT("'GRD-"&amp;FU$11&amp;"'!B:R"),15,FALSE),"")</f>
        <v/>
      </c>
      <c r="FV61" s="96">
        <f>IFERROR(VLOOKUP($B61,INDIRECT("'GRD-"&amp;FV$11&amp;"'!B:R"),15,FALSE),"")</f>
        <v/>
      </c>
    </row>
    <row r="62">
      <c r="B62" s="85" t="n"/>
      <c r="C62" s="93" t="n"/>
      <c r="D62" s="73">
        <f>IF(K62="","",MAX($CA62:$FV62))</f>
        <v/>
      </c>
      <c r="E62" s="74">
        <f t="array" ref="E62">IF($K62="","",OFFSET($A$1,ROW($B62)-1,11+$D62*4,))</f>
        <v/>
      </c>
      <c r="F62" s="74">
        <f t="array" ref="F62">IF($K62="","",OFFSET($A$1,ROW($B62)-1,12+$D62*4,))</f>
        <v/>
      </c>
      <c r="G62" s="118">
        <f t="array" ref="G62">IF($K62="","",OFFSET($A$1,ROW($B62)-1,13+$D62*4,))</f>
        <v/>
      </c>
      <c r="H62" s="81" t="n"/>
      <c r="I62" s="82" t="n"/>
      <c r="J62" s="75">
        <f>IF(I62="A4",H62/8,IF(I62="A3",H62/4,IF(I62="A2",H62/2,IF(I62="A1",H62/1,IF(I62="A0",H62*2,"")))))</f>
        <v/>
      </c>
      <c r="K62" s="68">
        <f t="array" ref="K62">IFERROR(OFFSET($BZ$11,ROW($B62)-11,MATCH(K$10,$CA62:$FV62,0),),"")</f>
        <v/>
      </c>
      <c r="L62" s="85">
        <f>IF(K62="","",IF(VLOOKUP($B62,INDIRECT("'GRD-"&amp;M62&amp;"'!$B:$R"),16,FALSE)="","",VLOOKUP($B62,INDIRECT("'GRD-"&amp;M62&amp;"'!$B:$R"),16,FALSE)))</f>
        <v/>
      </c>
      <c r="M62" s="130">
        <f t="array" ref="M62">IF(K62="","",IFERROR(OFFSET($BZ$11,0,MATCH($K62,$CA62:$FV62,0),),""))</f>
        <v/>
      </c>
      <c r="N62" s="119">
        <f t="array" ref="N62">IF(K62="","",INDIRECT("'GRD-"&amp;M62&amp;"'!$L$7"))</f>
        <v/>
      </c>
      <c r="O62" s="76">
        <f t="array" ref="O62">IFERROR(OFFSET($BZ$11,ROW($B62)-11,MATCH(O$10,$CA62:$FV62,0),),"")</f>
        <v/>
      </c>
      <c r="P62" s="76">
        <f>IF(O62="","",IF(VLOOKUP($B62,INDIRECT("'GRD-"&amp;Q62&amp;"'!$B:$R"),16,FALSE)="","",VLOOKUP($B62,INDIRECT("'GRD-"&amp;Q62&amp;"'!$B:$R"),16,FALSE)))</f>
        <v/>
      </c>
      <c r="Q62" s="132">
        <f t="array" ref="Q62">IF(O62="","",IFERROR(OFFSET($BZ$11,0,MATCH($O62,$CA62:$FV62,0),),""))</f>
        <v/>
      </c>
      <c r="R62" s="121">
        <f t="array" ref="R62">IF(O62="","",INDIRECT("'GRD-"&amp;Q62&amp;"'!$L$7"))</f>
        <v/>
      </c>
      <c r="S62" s="83">
        <f t="array" ref="S62">IFERROR(OFFSET($BZ$11,ROW($B62)-11,MATCH(S$10,$CA62:$FV62,0),),"")</f>
        <v/>
      </c>
      <c r="T62" s="83">
        <f>IF(S62="","",IF(VLOOKUP($B62,INDIRECT("'GRD-"&amp;U62&amp;"'!$B:$R"),16,FALSE)="","",VLOOKUP($B62,INDIRECT("'GRD-"&amp;U62&amp;"'!$B:$R"),16,FALSE)))</f>
        <v/>
      </c>
      <c r="U62" s="128">
        <f t="array" ref="U62">IF(S62="","",IFERROR(OFFSET($BZ$11,0,MATCH($S62,$CA62:$FV62,0),),""))</f>
        <v/>
      </c>
      <c r="V62" s="133">
        <f t="array" ref="V62">IF(S62="","",INDIRECT("'GRD-"&amp;U62&amp;"'!$L$7"))</f>
        <v/>
      </c>
      <c r="W62" s="84">
        <f t="array" ref="W62">IFERROR(OFFSET($BZ$11,ROW($B62)-11,MATCH(W$10,$CA62:$FV62,0),),"")</f>
        <v/>
      </c>
      <c r="X62" s="84">
        <f>IF(W62="","",IF(VLOOKUP($B62,INDIRECT("'GRD-"&amp;Y62&amp;"'!$B:$R"),16,FALSE)="","",VLOOKUP($B62,INDIRECT("'GRD-"&amp;Y62&amp;"'!$B:$R"),16,FALSE)))</f>
        <v/>
      </c>
      <c r="Y62" s="129">
        <f t="array" ref="Y62">IF(W62="","",IFERROR(OFFSET($BZ$11,0,MATCH($W62,$CA62:$FV62,0),),""))</f>
        <v/>
      </c>
      <c r="Z62" s="134">
        <f t="array" ref="Z62">IF(W62="","",INDIRECT("'GRD-"&amp;Y62&amp;"'!$L$7"))</f>
        <v/>
      </c>
      <c r="AA62" s="85">
        <f t="array" ref="AA62">IFERROR(OFFSET($BZ$11,ROW($B62)-11,MATCH(AA$10,$CA62:$FV62,0),),"")</f>
        <v/>
      </c>
      <c r="AB62" s="85">
        <f>IF(AA62="","",IF(VLOOKUP($B62,INDIRECT("'GRD-"&amp;AC62&amp;"'!$B:$R"),16,FALSE)="","",VLOOKUP($B62,INDIRECT("'GRD-"&amp;AC62&amp;"'!$B:$R"),16,FALSE)))</f>
        <v/>
      </c>
      <c r="AC62" s="130">
        <f t="array" ref="AC62">IF(AA62="","",IFERROR(OFFSET($BZ$11,0,MATCH($AA62,$CA62:$FV62,0),),""))</f>
        <v/>
      </c>
      <c r="AD62" s="131">
        <f t="array" ref="AD62">IF(AA62="","",INDIRECT("'GRD-"&amp;AC62&amp;"'!$L$7"))</f>
        <v/>
      </c>
      <c r="AE62" s="76">
        <f t="array" ref="AE62">IFERROR(OFFSET($BZ$11,ROW($B62)-11,MATCH(AE$10,$CA62:$FV62,0),),"")</f>
        <v/>
      </c>
      <c r="AF62" s="76">
        <f>IF(AE62="","",IF(VLOOKUP($B62,INDIRECT("'GRD-"&amp;AG62&amp;"'!$B:$R"),16,FALSE)="","",VLOOKUP($B62,INDIRECT("'GRD-"&amp;AG62&amp;"'!$B:$R"),16,FALSE)))</f>
        <v/>
      </c>
      <c r="AG62" s="132">
        <f t="array" ref="AG62">IF(AE62="","",IFERROR(OFFSET($BZ$11,0,MATCH($AE62,$CA62:$FV62,0),),""))</f>
        <v/>
      </c>
      <c r="AH62" s="121">
        <f t="array" ref="AH62">IF(AE62="","",INDIRECT("'GRD-"&amp;AG62&amp;"'!$L$7"))</f>
        <v/>
      </c>
      <c r="AI62" s="83">
        <f t="array" ref="AI62">IFERROR(OFFSET($BZ$11,ROW($B62)-11,MATCH(AI$10,$CA62:$FV62,0),),"")</f>
        <v/>
      </c>
      <c r="AJ62" s="83">
        <f>IF(AI62="","",IF(VLOOKUP($B62,INDIRECT("'GRD-"&amp;AK62&amp;"'!$B:$R"),16,FALSE)="","",VLOOKUP($B62,INDIRECT("'GRD-"&amp;AK62&amp;"'!$B:$R"),16,FALSE)))</f>
        <v/>
      </c>
      <c r="AK62" s="128">
        <f t="array" ref="AK62">IF(AI62="","",IFERROR(OFFSET($BZ$11,0,MATCH($AI62,$CA62:$FV62,0),),""))</f>
        <v/>
      </c>
      <c r="AL62" s="133">
        <f t="array" ref="AL62">IF(AI62="","",INDIRECT("'GRD-"&amp;AK62&amp;"'!$L$7"))</f>
        <v/>
      </c>
      <c r="AM62" s="84">
        <f t="array" ref="AM62">IFERROR(OFFSET($BZ$11,ROW($B62)-11,MATCH(AM$10,$CA62:$FV62,0),),"")</f>
        <v/>
      </c>
      <c r="AN62" s="84">
        <f>IF(AM62="","",IF(VLOOKUP($B62,INDIRECT("'GRD-"&amp;AO62&amp;"'!$B:$R"),16,FALSE)="","",VLOOKUP($B62,INDIRECT("'GRD-"&amp;AO62&amp;"'!$B:$R"),16,FALSE)))</f>
        <v/>
      </c>
      <c r="AO62" s="129">
        <f t="array" ref="AO62">IF(AM62="","",IFERROR(OFFSET($BZ$11,0,MATCH($AM62,$CA62:$FV62,0),),""))</f>
        <v/>
      </c>
      <c r="AP62" s="134">
        <f t="array" ref="AP62">IF(AM62="","",INDIRECT("'GRD-"&amp;AO62&amp;"'!$L$7"))</f>
        <v/>
      </c>
      <c r="AQ62" s="85">
        <f t="array" ref="AQ62">IFERROR(OFFSET($BZ$11,ROW($B62)-11,MATCH(AQ$10,$CA62:$FV62,0),),"")</f>
        <v/>
      </c>
      <c r="AR62" s="85">
        <f>IF(AQ62="","",IF(VLOOKUP($B62,INDIRECT("'GRD-"&amp;AS62&amp;"'!$B:$R"),16,FALSE)="","",VLOOKUP($B62,INDIRECT("'GRD-"&amp;AS62&amp;"'!$B:$R"),16,FALSE)))</f>
        <v/>
      </c>
      <c r="AS62" s="130">
        <f t="array" ref="AS62">IF(AQ62="","",IFERROR(OFFSET($BZ$11,0,MATCH($AQ62,$CA62:$FV62,0),),""))</f>
        <v/>
      </c>
      <c r="AT62" s="131">
        <f t="array" ref="AT62">IF(AQ62="","",INDIRECT("'GRD-"&amp;AS62&amp;"'!$L$7"))</f>
        <v/>
      </c>
      <c r="AU62" s="76">
        <f t="array" ref="AU62">IFERROR(OFFSET($BZ$11,ROW($B62)-11,MATCH(AU$10,$CA62:$FV62,0),),"")</f>
        <v/>
      </c>
      <c r="AV62" s="76">
        <f>IF(AU62="","",IF(VLOOKUP($B62,INDIRECT("'GRD-"&amp;AW62&amp;"'!$B:$R"),16,FALSE)="","",VLOOKUP($B62,INDIRECT("'GRD-"&amp;AW62&amp;"'!$B:$R"),16,FALSE)))</f>
        <v/>
      </c>
      <c r="AW62" s="132">
        <f t="array" ref="AW62">IF(AU62="","",IFERROR(OFFSET($BZ$11,0,MATCH($AU62,$CA62:$FV62,0),),""))</f>
        <v/>
      </c>
      <c r="AX62" s="121">
        <f t="array" ref="AX62">IF(AU62="","",INDIRECT("'GRD-"&amp;AW62&amp;"'!$L$7"))</f>
        <v/>
      </c>
      <c r="AY62" s="83">
        <f t="array" ref="AY62">IFERROR(OFFSET($BZ$11,ROW($B62)-11,MATCH(AY$10,$CA62:$FV62,0),),"")</f>
        <v/>
      </c>
      <c r="AZ62" s="83">
        <f>IF(AY62="","",IF(VLOOKUP($B62,INDIRECT("'GRD-"&amp;BA62&amp;"'!$B:$R"),16,FALSE)="","",VLOOKUP($B62,INDIRECT("'GRD-"&amp;BA62&amp;"'!$B:$R"),16,FALSE)))</f>
        <v/>
      </c>
      <c r="BA62" s="128">
        <f t="array" ref="BA62">IF(AY62="","",IFERROR(OFFSET($BZ$11,0,MATCH($AY62,$CA62:$FV62,0),),""))</f>
        <v/>
      </c>
      <c r="BB62" s="133">
        <f t="array" ref="BB62">IF(AY62="","",INDIRECT("'GRD-"&amp;BA62&amp;"'!$L$7"))</f>
        <v/>
      </c>
      <c r="BC62" s="84">
        <f t="array" ref="BC62">IFERROR(OFFSET($BZ$11,ROW($B62)-11,MATCH(BC$10,$CA62:$FV62,0),),"")</f>
        <v/>
      </c>
      <c r="BD62" s="84">
        <f>IF(BC62="","",IF(VLOOKUP($B62,INDIRECT("'GRD-"&amp;BE62&amp;"'!$B:$R"),16,FALSE)="","",VLOOKUP($B62,INDIRECT("'GRD-"&amp;BE62&amp;"'!$B:$R"),16,FALSE)))</f>
        <v/>
      </c>
      <c r="BE62" s="129">
        <f t="array" ref="BE62">IF(BC62="","",IFERROR(OFFSET($BZ$11,0,MATCH($BC62,$CA62:$FV62,0),),""))</f>
        <v/>
      </c>
      <c r="BF62" s="134">
        <f t="array" ref="BF62">IF(BC62="","",INDIRECT("'GRD-"&amp;BE62&amp;"'!$L$7"))</f>
        <v/>
      </c>
      <c r="CA62" s="96">
        <f>IFERROR(VLOOKUP($B62,INDIRECT("'GRD-"&amp;CA$11&amp;"'!B:R"),15,FALSE),"")</f>
        <v/>
      </c>
      <c r="CB62" s="96">
        <f>IFERROR(VLOOKUP($B62,INDIRECT("'GRD-"&amp;CB$11&amp;"'!B:R"),15,FALSE),"")</f>
        <v/>
      </c>
      <c r="CC62" s="96">
        <f>IFERROR(VLOOKUP($B62,INDIRECT("'GRD-"&amp;CC$11&amp;"'!B:R"),15,FALSE),"")</f>
        <v/>
      </c>
      <c r="CD62" s="96">
        <f>IFERROR(VLOOKUP($B62,INDIRECT("'GRD-"&amp;CD$11&amp;"'!B:R"),15,FALSE),"")</f>
        <v/>
      </c>
      <c r="CE62" s="96">
        <f>IFERROR(VLOOKUP($B62,INDIRECT("'GRD-"&amp;CE$11&amp;"'!B:R"),15,FALSE),"")</f>
        <v/>
      </c>
      <c r="CF62" s="96">
        <f>IFERROR(VLOOKUP($B62,INDIRECT("'GRD-"&amp;CF$11&amp;"'!B:R"),15,FALSE),"")</f>
        <v/>
      </c>
      <c r="CG62" s="96">
        <f>IFERROR(VLOOKUP($B62,INDIRECT("'GRD-"&amp;CG$11&amp;"'!B:R"),15,FALSE),"")</f>
        <v/>
      </c>
      <c r="CH62" s="96">
        <f>IFERROR(VLOOKUP($B62,INDIRECT("'GRD-"&amp;CH$11&amp;"'!B:R"),15,FALSE),"")</f>
        <v/>
      </c>
      <c r="CI62" s="96">
        <f>IFERROR(VLOOKUP($B62,INDIRECT("'GRD-"&amp;CI$11&amp;"'!B:R"),15,FALSE),"")</f>
        <v/>
      </c>
      <c r="CJ62" s="96">
        <f>IFERROR(VLOOKUP($B62,INDIRECT("'GRD-"&amp;CJ$11&amp;"'!B:R"),15,FALSE),"")</f>
        <v/>
      </c>
      <c r="CK62" s="96">
        <f>IFERROR(VLOOKUP($B62,INDIRECT("'GRD-"&amp;CK$11&amp;"'!B:R"),15,FALSE),"")</f>
        <v/>
      </c>
      <c r="CL62" s="96">
        <f>IFERROR(VLOOKUP($B62,INDIRECT("'GRD-"&amp;CL$11&amp;"'!B:R"),15,FALSE),"")</f>
        <v/>
      </c>
      <c r="CM62" s="96">
        <f>IFERROR(VLOOKUP($B62,INDIRECT("'GRD-"&amp;CM$11&amp;"'!B:R"),15,FALSE),"")</f>
        <v/>
      </c>
      <c r="CN62" s="96">
        <f>IFERROR(VLOOKUP($B62,INDIRECT("'GRD-"&amp;CN$11&amp;"'!B:R"),15,FALSE),"")</f>
        <v/>
      </c>
      <c r="CO62" s="96">
        <f>IFERROR(VLOOKUP($B62,INDIRECT("'GRD-"&amp;CO$11&amp;"'!B:R"),15,FALSE),"")</f>
        <v/>
      </c>
      <c r="CP62" s="96">
        <f>IFERROR(VLOOKUP($B62,INDIRECT("'GRD-"&amp;CP$11&amp;"'!B:R"),15,FALSE),"")</f>
        <v/>
      </c>
      <c r="CQ62" s="96">
        <f>IFERROR(VLOOKUP($B62,INDIRECT("'GRD-"&amp;CQ$11&amp;"'!B:R"),15,FALSE),"")</f>
        <v/>
      </c>
      <c r="CR62" s="96">
        <f>IFERROR(VLOOKUP($B62,INDIRECT("'GRD-"&amp;CR$11&amp;"'!B:R"),15,FALSE),"")</f>
        <v/>
      </c>
      <c r="CS62" s="96">
        <f>IFERROR(VLOOKUP($B62,INDIRECT("'GRD-"&amp;CS$11&amp;"'!B:R"),15,FALSE),"")</f>
        <v/>
      </c>
      <c r="CT62" s="96">
        <f>IFERROR(VLOOKUP($B62,INDIRECT("'GRD-"&amp;CT$11&amp;"'!B:R"),15,FALSE),"")</f>
        <v/>
      </c>
      <c r="CU62" s="96">
        <f>IFERROR(VLOOKUP($B62,INDIRECT("'GRD-"&amp;CU$11&amp;"'!B:R"),15,FALSE),"")</f>
        <v/>
      </c>
      <c r="CV62" s="96">
        <f>IFERROR(VLOOKUP($B62,INDIRECT("'GRD-"&amp;CV$11&amp;"'!B:R"),15,FALSE),"")</f>
        <v/>
      </c>
      <c r="CW62" s="96">
        <f>IFERROR(VLOOKUP($B62,INDIRECT("'GRD-"&amp;CW$11&amp;"'!B:R"),15,FALSE),"")</f>
        <v/>
      </c>
      <c r="CX62" s="96">
        <f>IFERROR(VLOOKUP($B62,INDIRECT("'GRD-"&amp;CX$11&amp;"'!B:R"),15,FALSE),"")</f>
        <v/>
      </c>
      <c r="CY62" s="96">
        <f>IFERROR(VLOOKUP($B62,INDIRECT("'GRD-"&amp;CY$11&amp;"'!B:R"),15,FALSE),"")</f>
        <v/>
      </c>
      <c r="CZ62" s="96">
        <f>IFERROR(VLOOKUP($B62,INDIRECT("'GRD-"&amp;CZ$11&amp;"'!B:R"),15,FALSE),"")</f>
        <v/>
      </c>
      <c r="DA62" s="96">
        <f>IFERROR(VLOOKUP($B62,INDIRECT("'GRD-"&amp;DA$11&amp;"'!B:R"),15,FALSE),"")</f>
        <v/>
      </c>
      <c r="DB62" s="96">
        <f>IFERROR(VLOOKUP($B62,INDIRECT("'GRD-"&amp;DB$11&amp;"'!B:R"),15,FALSE),"")</f>
        <v/>
      </c>
      <c r="DC62" s="96">
        <f>IFERROR(VLOOKUP($B62,INDIRECT("'GRD-"&amp;DC$11&amp;"'!B:R"),15,FALSE),"")</f>
        <v/>
      </c>
      <c r="DD62" s="96">
        <f>IFERROR(VLOOKUP($B62,INDIRECT("'GRD-"&amp;DD$11&amp;"'!B:R"),15,FALSE),"")</f>
        <v/>
      </c>
      <c r="DE62" s="96">
        <f>IFERROR(VLOOKUP($B62,INDIRECT("'GRD-"&amp;DE$11&amp;"'!B:R"),15,FALSE),"")</f>
        <v/>
      </c>
      <c r="DF62" s="96">
        <f>IFERROR(VLOOKUP($B62,INDIRECT("'GRD-"&amp;DF$11&amp;"'!B:R"),15,FALSE),"")</f>
        <v/>
      </c>
      <c r="DG62" s="96">
        <f>IFERROR(VLOOKUP($B62,INDIRECT("'GRD-"&amp;DG$11&amp;"'!B:R"),15,FALSE),"")</f>
        <v/>
      </c>
      <c r="DH62" s="96">
        <f>IFERROR(VLOOKUP($B62,INDIRECT("'GRD-"&amp;DH$11&amp;"'!B:R"),15,FALSE),"")</f>
        <v/>
      </c>
      <c r="DI62" s="96">
        <f>IFERROR(VLOOKUP($B62,INDIRECT("'GRD-"&amp;DI$11&amp;"'!B:R"),15,FALSE),"")</f>
        <v/>
      </c>
      <c r="DJ62" s="96">
        <f>IFERROR(VLOOKUP($B62,INDIRECT("'GRD-"&amp;DJ$11&amp;"'!B:R"),15,FALSE),"")</f>
        <v/>
      </c>
      <c r="DK62" s="96">
        <f>IFERROR(VLOOKUP($B62,INDIRECT("'GRD-"&amp;DK$11&amp;"'!B:R"),15,FALSE),"")</f>
        <v/>
      </c>
      <c r="DL62" s="96">
        <f>IFERROR(VLOOKUP($B62,INDIRECT("'GRD-"&amp;DL$11&amp;"'!B:R"),15,FALSE),"")</f>
        <v/>
      </c>
      <c r="DM62" s="96">
        <f>IFERROR(VLOOKUP($B62,INDIRECT("'GRD-"&amp;DM$11&amp;"'!B:R"),15,FALSE),"")</f>
        <v/>
      </c>
      <c r="DN62" s="96">
        <f>IFERROR(VLOOKUP($B62,INDIRECT("'GRD-"&amp;DN$11&amp;"'!B:R"),15,FALSE),"")</f>
        <v/>
      </c>
      <c r="DO62" s="96">
        <f>IFERROR(VLOOKUP($B62,INDIRECT("'GRD-"&amp;DO$11&amp;"'!B:R"),15,FALSE),"")</f>
        <v/>
      </c>
      <c r="DP62" s="96">
        <f>IFERROR(VLOOKUP($B62,INDIRECT("'GRD-"&amp;DP$11&amp;"'!B:R"),15,FALSE),"")</f>
        <v/>
      </c>
      <c r="DQ62" s="96">
        <f>IFERROR(VLOOKUP($B62,INDIRECT("'GRD-"&amp;DQ$11&amp;"'!B:R"),15,FALSE),"")</f>
        <v/>
      </c>
      <c r="DR62" s="96">
        <f>IFERROR(VLOOKUP($B62,INDIRECT("'GRD-"&amp;DR$11&amp;"'!B:R"),15,FALSE),"")</f>
        <v/>
      </c>
      <c r="DS62" s="96">
        <f>IFERROR(VLOOKUP($B62,INDIRECT("'GRD-"&amp;DS$11&amp;"'!B:R"),15,FALSE),"")</f>
        <v/>
      </c>
      <c r="DT62" s="96">
        <f>IFERROR(VLOOKUP($B62,INDIRECT("'GRD-"&amp;DT$11&amp;"'!B:R"),15,FALSE),"")</f>
        <v/>
      </c>
      <c r="DU62" s="96">
        <f>IFERROR(VLOOKUP($B62,INDIRECT("'GRD-"&amp;DU$11&amp;"'!B:R"),15,FALSE),"")</f>
        <v/>
      </c>
      <c r="DV62" s="96">
        <f>IFERROR(VLOOKUP($B62,INDIRECT("'GRD-"&amp;DV$11&amp;"'!B:R"),15,FALSE),"")</f>
        <v/>
      </c>
      <c r="DW62" s="96">
        <f>IFERROR(VLOOKUP($B62,INDIRECT("'GRD-"&amp;DW$11&amp;"'!B:R"),15,FALSE),"")</f>
        <v/>
      </c>
      <c r="DX62" s="96">
        <f>IFERROR(VLOOKUP($B62,INDIRECT("'GRD-"&amp;DX$11&amp;"'!B:R"),15,FALSE),"")</f>
        <v/>
      </c>
      <c r="DY62" s="96">
        <f>IFERROR(VLOOKUP($B62,INDIRECT("'GRD-"&amp;DY$11&amp;"'!B:R"),15,FALSE),"")</f>
        <v/>
      </c>
      <c r="DZ62" s="96">
        <f>IFERROR(VLOOKUP($B62,INDIRECT("'GRD-"&amp;DZ$11&amp;"'!B:R"),15,FALSE),"")</f>
        <v/>
      </c>
      <c r="EA62" s="96">
        <f>IFERROR(VLOOKUP($B62,INDIRECT("'GRD-"&amp;EA$11&amp;"'!B:R"),15,FALSE),"")</f>
        <v/>
      </c>
      <c r="EB62" s="96">
        <f>IFERROR(VLOOKUP($B62,INDIRECT("'GRD-"&amp;EB$11&amp;"'!B:R"),15,FALSE),"")</f>
        <v/>
      </c>
      <c r="EC62" s="96">
        <f>IFERROR(VLOOKUP($B62,INDIRECT("'GRD-"&amp;EC$11&amp;"'!B:R"),15,FALSE),"")</f>
        <v/>
      </c>
      <c r="ED62" s="96">
        <f>IFERROR(VLOOKUP($B62,INDIRECT("'GRD-"&amp;ED$11&amp;"'!B:R"),15,FALSE),"")</f>
        <v/>
      </c>
      <c r="EE62" s="96">
        <f>IFERROR(VLOOKUP($B62,INDIRECT("'GRD-"&amp;EE$11&amp;"'!B:R"),15,FALSE),"")</f>
        <v/>
      </c>
      <c r="EF62" s="96">
        <f>IFERROR(VLOOKUP($B62,INDIRECT("'GRD-"&amp;EF$11&amp;"'!B:R"),15,FALSE),"")</f>
        <v/>
      </c>
      <c r="EG62" s="96">
        <f>IFERROR(VLOOKUP($B62,INDIRECT("'GRD-"&amp;EG$11&amp;"'!B:R"),15,FALSE),"")</f>
        <v/>
      </c>
      <c r="EH62" s="96">
        <f>IFERROR(VLOOKUP($B62,INDIRECT("'GRD-"&amp;EH$11&amp;"'!B:R"),15,FALSE),"")</f>
        <v/>
      </c>
      <c r="EI62" s="96">
        <f>IFERROR(VLOOKUP($B62,INDIRECT("'GRD-"&amp;EI$11&amp;"'!B:R"),15,FALSE),"")</f>
        <v/>
      </c>
      <c r="EJ62" s="96">
        <f>IFERROR(VLOOKUP($B62,INDIRECT("'GRD-"&amp;EJ$11&amp;"'!B:R"),15,FALSE),"")</f>
        <v/>
      </c>
      <c r="EK62" s="96">
        <f>IFERROR(VLOOKUP($B62,INDIRECT("'GRD-"&amp;EK$11&amp;"'!B:R"),15,FALSE),"")</f>
        <v/>
      </c>
      <c r="EL62" s="96">
        <f>IFERROR(VLOOKUP($B62,INDIRECT("'GRD-"&amp;EL$11&amp;"'!B:R"),15,FALSE),"")</f>
        <v/>
      </c>
      <c r="EM62" s="96">
        <f>IFERROR(VLOOKUP($B62,INDIRECT("'GRD-"&amp;EM$11&amp;"'!B:R"),15,FALSE),"")</f>
        <v/>
      </c>
      <c r="EN62" s="96">
        <f>IFERROR(VLOOKUP($B62,INDIRECT("'GRD-"&amp;EN$11&amp;"'!B:R"),15,FALSE),"")</f>
        <v/>
      </c>
      <c r="EO62" s="96">
        <f>IFERROR(VLOOKUP($B62,INDIRECT("'GRD-"&amp;EO$11&amp;"'!B:R"),15,FALSE),"")</f>
        <v/>
      </c>
      <c r="EP62" s="96">
        <f>IFERROR(VLOOKUP($B62,INDIRECT("'GRD-"&amp;EP$11&amp;"'!B:R"),15,FALSE),"")</f>
        <v/>
      </c>
      <c r="EQ62" s="96">
        <f>IFERROR(VLOOKUP($B62,INDIRECT("'GRD-"&amp;EQ$11&amp;"'!B:R"),15,FALSE),"")</f>
        <v/>
      </c>
      <c r="ER62" s="96">
        <f>IFERROR(VLOOKUP($B62,INDIRECT("'GRD-"&amp;ER$11&amp;"'!B:R"),15,FALSE),"")</f>
        <v/>
      </c>
      <c r="ES62" s="96">
        <f>IFERROR(VLOOKUP($B62,INDIRECT("'GRD-"&amp;ES$11&amp;"'!B:R"),15,FALSE),"")</f>
        <v/>
      </c>
      <c r="ET62" s="96">
        <f>IFERROR(VLOOKUP($B62,INDIRECT("'GRD-"&amp;ET$11&amp;"'!B:R"),15,FALSE),"")</f>
        <v/>
      </c>
      <c r="EU62" s="96">
        <f>IFERROR(VLOOKUP($B62,INDIRECT("'GRD-"&amp;EU$11&amp;"'!B:R"),15,FALSE),"")</f>
        <v/>
      </c>
      <c r="EV62" s="96">
        <f>IFERROR(VLOOKUP($B62,INDIRECT("'GRD-"&amp;EV$11&amp;"'!B:R"),15,FALSE),"")</f>
        <v/>
      </c>
      <c r="EW62" s="96">
        <f>IFERROR(VLOOKUP($B62,INDIRECT("'GRD-"&amp;EW$11&amp;"'!B:R"),15,FALSE),"")</f>
        <v/>
      </c>
      <c r="EX62" s="96">
        <f>IFERROR(VLOOKUP($B62,INDIRECT("'GRD-"&amp;EX$11&amp;"'!B:R"),15,FALSE),"")</f>
        <v/>
      </c>
      <c r="EY62" s="96">
        <f>IFERROR(VLOOKUP($B62,INDIRECT("'GRD-"&amp;EY$11&amp;"'!B:R"),15,FALSE),"")</f>
        <v/>
      </c>
      <c r="EZ62" s="96">
        <f>IFERROR(VLOOKUP($B62,INDIRECT("'GRD-"&amp;EZ$11&amp;"'!B:R"),15,FALSE),"")</f>
        <v/>
      </c>
      <c r="FA62" s="96">
        <f>IFERROR(VLOOKUP($B62,INDIRECT("'GRD-"&amp;FA$11&amp;"'!B:R"),15,FALSE),"")</f>
        <v/>
      </c>
      <c r="FB62" s="96">
        <f>IFERROR(VLOOKUP($B62,INDIRECT("'GRD-"&amp;FB$11&amp;"'!B:R"),15,FALSE),"")</f>
        <v/>
      </c>
      <c r="FC62" s="96">
        <f>IFERROR(VLOOKUP($B62,INDIRECT("'GRD-"&amp;FC$11&amp;"'!B:R"),15,FALSE),"")</f>
        <v/>
      </c>
      <c r="FD62" s="96">
        <f>IFERROR(VLOOKUP($B62,INDIRECT("'GRD-"&amp;FD$11&amp;"'!B:R"),15,FALSE),"")</f>
        <v/>
      </c>
      <c r="FE62" s="96">
        <f>IFERROR(VLOOKUP($B62,INDIRECT("'GRD-"&amp;FE$11&amp;"'!B:R"),15,FALSE),"")</f>
        <v/>
      </c>
      <c r="FF62" s="96">
        <f>IFERROR(VLOOKUP($B62,INDIRECT("'GRD-"&amp;FF$11&amp;"'!B:R"),15,FALSE),"")</f>
        <v/>
      </c>
      <c r="FG62" s="96">
        <f>IFERROR(VLOOKUP($B62,INDIRECT("'GRD-"&amp;FG$11&amp;"'!B:R"),15,FALSE),"")</f>
        <v/>
      </c>
      <c r="FH62" s="96">
        <f>IFERROR(VLOOKUP($B62,INDIRECT("'GRD-"&amp;FH$11&amp;"'!B:R"),15,FALSE),"")</f>
        <v/>
      </c>
      <c r="FI62" s="96">
        <f>IFERROR(VLOOKUP($B62,INDIRECT("'GRD-"&amp;FI$11&amp;"'!B:R"),15,FALSE),"")</f>
        <v/>
      </c>
      <c r="FJ62" s="96">
        <f>IFERROR(VLOOKUP($B62,INDIRECT("'GRD-"&amp;FJ$11&amp;"'!B:R"),15,FALSE),"")</f>
        <v/>
      </c>
      <c r="FK62" s="96">
        <f>IFERROR(VLOOKUP($B62,INDIRECT("'GRD-"&amp;FK$11&amp;"'!B:R"),15,FALSE),"")</f>
        <v/>
      </c>
      <c r="FL62" s="96">
        <f>IFERROR(VLOOKUP($B62,INDIRECT("'GRD-"&amp;FL$11&amp;"'!B:R"),15,FALSE),"")</f>
        <v/>
      </c>
      <c r="FM62" s="96">
        <f>IFERROR(VLOOKUP($B62,INDIRECT("'GRD-"&amp;FM$11&amp;"'!B:R"),15,FALSE),"")</f>
        <v/>
      </c>
      <c r="FN62" s="96">
        <f>IFERROR(VLOOKUP($B62,INDIRECT("'GRD-"&amp;FN$11&amp;"'!B:R"),15,FALSE),"")</f>
        <v/>
      </c>
      <c r="FO62" s="96">
        <f>IFERROR(VLOOKUP($B62,INDIRECT("'GRD-"&amp;FO$11&amp;"'!B:R"),15,FALSE),"")</f>
        <v/>
      </c>
      <c r="FP62" s="96">
        <f>IFERROR(VLOOKUP($B62,INDIRECT("'GRD-"&amp;FP$11&amp;"'!B:R"),15,FALSE),"")</f>
        <v/>
      </c>
      <c r="FQ62" s="96">
        <f>IFERROR(VLOOKUP($B62,INDIRECT("'GRD-"&amp;FQ$11&amp;"'!B:R"),15,FALSE),"")</f>
        <v/>
      </c>
      <c r="FR62" s="96">
        <f>IFERROR(VLOOKUP($B62,INDIRECT("'GRD-"&amp;FR$11&amp;"'!B:R"),15,FALSE),"")</f>
        <v/>
      </c>
      <c r="FS62" s="96">
        <f>IFERROR(VLOOKUP($B62,INDIRECT("'GRD-"&amp;FS$11&amp;"'!B:R"),15,FALSE),"")</f>
        <v/>
      </c>
      <c r="FT62" s="96">
        <f>IFERROR(VLOOKUP($B62,INDIRECT("'GRD-"&amp;FT$11&amp;"'!B:R"),15,FALSE),"")</f>
        <v/>
      </c>
      <c r="FU62" s="96">
        <f>IFERROR(VLOOKUP($B62,INDIRECT("'GRD-"&amp;FU$11&amp;"'!B:R"),15,FALSE),"")</f>
        <v/>
      </c>
      <c r="FV62" s="96">
        <f>IFERROR(VLOOKUP($B62,INDIRECT("'GRD-"&amp;FV$11&amp;"'!B:R"),15,FALSE),"")</f>
        <v/>
      </c>
    </row>
    <row r="63">
      <c r="B63" s="85" t="n"/>
      <c r="C63" s="93" t="n"/>
      <c r="D63" s="73">
        <f>IF(K63="","",MAX($CA63:$FV63))</f>
        <v/>
      </c>
      <c r="E63" s="74">
        <f t="array" ref="E63">IF($K63="","",OFFSET($A$1,ROW($B63)-1,11+$D63*4,))</f>
        <v/>
      </c>
      <c r="F63" s="74">
        <f t="array" ref="F63">IF($K63="","",OFFSET($A$1,ROW($B63)-1,12+$D63*4,))</f>
        <v/>
      </c>
      <c r="G63" s="118">
        <f t="array" ref="G63">IF($K63="","",OFFSET($A$1,ROW($B63)-1,13+$D63*4,))</f>
        <v/>
      </c>
      <c r="H63" s="81" t="n"/>
      <c r="I63" s="82" t="n"/>
      <c r="J63" s="75">
        <f>IF(I63="A4",H63/8,IF(I63="A3",H63/4,IF(I63="A2",H63/2,IF(I63="A1",H63/1,IF(I63="A0",H63*2,"")))))</f>
        <v/>
      </c>
      <c r="K63" s="68">
        <f t="array" ref="K63">IFERROR(OFFSET($BZ$11,ROW($B63)-11,MATCH(K$10,$CA63:$FV63,0),),"")</f>
        <v/>
      </c>
      <c r="L63" s="85">
        <f>IF(K63="","",IF(VLOOKUP($B63,INDIRECT("'GRD-"&amp;M63&amp;"'!$B:$R"),16,FALSE)="","",VLOOKUP($B63,INDIRECT("'GRD-"&amp;M63&amp;"'!$B:$R"),16,FALSE)))</f>
        <v/>
      </c>
      <c r="M63" s="130">
        <f t="array" ref="M63">IF(K63="","",IFERROR(OFFSET($BZ$11,0,MATCH($K63,$CA63:$FV63,0),),""))</f>
        <v/>
      </c>
      <c r="N63" s="119">
        <f t="array" ref="N63">IF(K63="","",INDIRECT("'GRD-"&amp;M63&amp;"'!$L$7"))</f>
        <v/>
      </c>
      <c r="O63" s="76">
        <f t="array" ref="O63">IFERROR(OFFSET($BZ$11,ROW($B63)-11,MATCH(O$10,$CA63:$FV63,0),),"")</f>
        <v/>
      </c>
      <c r="P63" s="76">
        <f>IF(O63="","",IF(VLOOKUP($B63,INDIRECT("'GRD-"&amp;Q63&amp;"'!$B:$R"),16,FALSE)="","",VLOOKUP($B63,INDIRECT("'GRD-"&amp;Q63&amp;"'!$B:$R"),16,FALSE)))</f>
        <v/>
      </c>
      <c r="Q63" s="132">
        <f t="array" ref="Q63">IF(O63="","",IFERROR(OFFSET($BZ$11,0,MATCH($O63,$CA63:$FV63,0),),""))</f>
        <v/>
      </c>
      <c r="R63" s="121">
        <f t="array" ref="R63">IF(O63="","",INDIRECT("'GRD-"&amp;Q63&amp;"'!$L$7"))</f>
        <v/>
      </c>
      <c r="S63" s="83">
        <f t="array" ref="S63">IFERROR(OFFSET($BZ$11,ROW($B63)-11,MATCH(S$10,$CA63:$FV63,0),),"")</f>
        <v/>
      </c>
      <c r="T63" s="83">
        <f>IF(S63="","",IF(VLOOKUP($B63,INDIRECT("'GRD-"&amp;U63&amp;"'!$B:$R"),16,FALSE)="","",VLOOKUP($B63,INDIRECT("'GRD-"&amp;U63&amp;"'!$B:$R"),16,FALSE)))</f>
        <v/>
      </c>
      <c r="U63" s="128">
        <f t="array" ref="U63">IF(S63="","",IFERROR(OFFSET($BZ$11,0,MATCH($S63,$CA63:$FV63,0),),""))</f>
        <v/>
      </c>
      <c r="V63" s="133">
        <f t="array" ref="V63">IF(S63="","",INDIRECT("'GRD-"&amp;U63&amp;"'!$L$7"))</f>
        <v/>
      </c>
      <c r="W63" s="84">
        <f t="array" ref="W63">IFERROR(OFFSET($BZ$11,ROW($B63)-11,MATCH(W$10,$CA63:$FV63,0),),"")</f>
        <v/>
      </c>
      <c r="X63" s="84">
        <f>IF(W63="","",IF(VLOOKUP($B63,INDIRECT("'GRD-"&amp;Y63&amp;"'!$B:$R"),16,FALSE)="","",VLOOKUP($B63,INDIRECT("'GRD-"&amp;Y63&amp;"'!$B:$R"),16,FALSE)))</f>
        <v/>
      </c>
      <c r="Y63" s="129">
        <f t="array" ref="Y63">IF(W63="","",IFERROR(OFFSET($BZ$11,0,MATCH($W63,$CA63:$FV63,0),),""))</f>
        <v/>
      </c>
      <c r="Z63" s="134">
        <f t="array" ref="Z63">IF(W63="","",INDIRECT("'GRD-"&amp;Y63&amp;"'!$L$7"))</f>
        <v/>
      </c>
      <c r="AA63" s="85">
        <f t="array" ref="AA63">IFERROR(OFFSET($BZ$11,ROW($B63)-11,MATCH(AA$10,$CA63:$FV63,0),),"")</f>
        <v/>
      </c>
      <c r="AB63" s="85">
        <f>IF(AA63="","",IF(VLOOKUP($B63,INDIRECT("'GRD-"&amp;AC63&amp;"'!$B:$R"),16,FALSE)="","",VLOOKUP($B63,INDIRECT("'GRD-"&amp;AC63&amp;"'!$B:$R"),16,FALSE)))</f>
        <v/>
      </c>
      <c r="AC63" s="130">
        <f t="array" ref="AC63">IF(AA63="","",IFERROR(OFFSET($BZ$11,0,MATCH($AA63,$CA63:$FV63,0),),""))</f>
        <v/>
      </c>
      <c r="AD63" s="131">
        <f t="array" ref="AD63">IF(AA63="","",INDIRECT("'GRD-"&amp;AC63&amp;"'!$L$7"))</f>
        <v/>
      </c>
      <c r="AE63" s="76">
        <f t="array" ref="AE63">IFERROR(OFFSET($BZ$11,ROW($B63)-11,MATCH(AE$10,$CA63:$FV63,0),),"")</f>
        <v/>
      </c>
      <c r="AF63" s="76">
        <f>IF(AE63="","",IF(VLOOKUP($B63,INDIRECT("'GRD-"&amp;AG63&amp;"'!$B:$R"),16,FALSE)="","",VLOOKUP($B63,INDIRECT("'GRD-"&amp;AG63&amp;"'!$B:$R"),16,FALSE)))</f>
        <v/>
      </c>
      <c r="AG63" s="132">
        <f t="array" ref="AG63">IF(AE63="","",IFERROR(OFFSET($BZ$11,0,MATCH($AE63,$CA63:$FV63,0),),""))</f>
        <v/>
      </c>
      <c r="AH63" s="121">
        <f t="array" ref="AH63">IF(AE63="","",INDIRECT("'GRD-"&amp;AG63&amp;"'!$L$7"))</f>
        <v/>
      </c>
      <c r="AI63" s="83">
        <f t="array" ref="AI63">IFERROR(OFFSET($BZ$11,ROW($B63)-11,MATCH(AI$10,$CA63:$FV63,0),),"")</f>
        <v/>
      </c>
      <c r="AJ63" s="83">
        <f>IF(AI63="","",IF(VLOOKUP($B63,INDIRECT("'GRD-"&amp;AK63&amp;"'!$B:$R"),16,FALSE)="","",VLOOKUP($B63,INDIRECT("'GRD-"&amp;AK63&amp;"'!$B:$R"),16,FALSE)))</f>
        <v/>
      </c>
      <c r="AK63" s="128">
        <f t="array" ref="AK63">IF(AI63="","",IFERROR(OFFSET($BZ$11,0,MATCH($AI63,$CA63:$FV63,0),),""))</f>
        <v/>
      </c>
      <c r="AL63" s="133">
        <f t="array" ref="AL63">IF(AI63="","",INDIRECT("'GRD-"&amp;AK63&amp;"'!$L$7"))</f>
        <v/>
      </c>
      <c r="AM63" s="84">
        <f t="array" ref="AM63">IFERROR(OFFSET($BZ$11,ROW($B63)-11,MATCH(AM$10,$CA63:$FV63,0),),"")</f>
        <v/>
      </c>
      <c r="AN63" s="84">
        <f>IF(AM63="","",IF(VLOOKUP($B63,INDIRECT("'GRD-"&amp;AO63&amp;"'!$B:$R"),16,FALSE)="","",VLOOKUP($B63,INDIRECT("'GRD-"&amp;AO63&amp;"'!$B:$R"),16,FALSE)))</f>
        <v/>
      </c>
      <c r="AO63" s="129">
        <f t="array" ref="AO63">IF(AM63="","",IFERROR(OFFSET($BZ$11,0,MATCH($AM63,$CA63:$FV63,0),),""))</f>
        <v/>
      </c>
      <c r="AP63" s="134">
        <f t="array" ref="AP63">IF(AM63="","",INDIRECT("'GRD-"&amp;AO63&amp;"'!$L$7"))</f>
        <v/>
      </c>
      <c r="AQ63" s="85">
        <f t="array" ref="AQ63">IFERROR(OFFSET($BZ$11,ROW($B63)-11,MATCH(AQ$10,$CA63:$FV63,0),),"")</f>
        <v/>
      </c>
      <c r="AR63" s="85">
        <f>IF(AQ63="","",IF(VLOOKUP($B63,INDIRECT("'GRD-"&amp;AS63&amp;"'!$B:$R"),16,FALSE)="","",VLOOKUP($B63,INDIRECT("'GRD-"&amp;AS63&amp;"'!$B:$R"),16,FALSE)))</f>
        <v/>
      </c>
      <c r="AS63" s="130">
        <f t="array" ref="AS63">IF(AQ63="","",IFERROR(OFFSET($BZ$11,0,MATCH($AQ63,$CA63:$FV63,0),),""))</f>
        <v/>
      </c>
      <c r="AT63" s="131">
        <f t="array" ref="AT63">IF(AQ63="","",INDIRECT("'GRD-"&amp;AS63&amp;"'!$L$7"))</f>
        <v/>
      </c>
      <c r="AU63" s="76">
        <f t="array" ref="AU63">IFERROR(OFFSET($BZ$11,ROW($B63)-11,MATCH(AU$10,$CA63:$FV63,0),),"")</f>
        <v/>
      </c>
      <c r="AV63" s="76">
        <f>IF(AU63="","",IF(VLOOKUP($B63,INDIRECT("'GRD-"&amp;AW63&amp;"'!$B:$R"),16,FALSE)="","",VLOOKUP($B63,INDIRECT("'GRD-"&amp;AW63&amp;"'!$B:$R"),16,FALSE)))</f>
        <v/>
      </c>
      <c r="AW63" s="132">
        <f t="array" ref="AW63">IF(AU63="","",IFERROR(OFFSET($BZ$11,0,MATCH($AU63,$CA63:$FV63,0),),""))</f>
        <v/>
      </c>
      <c r="AX63" s="121">
        <f t="array" ref="AX63">IF(AU63="","",INDIRECT("'GRD-"&amp;AW63&amp;"'!$L$7"))</f>
        <v/>
      </c>
      <c r="AY63" s="83">
        <f t="array" ref="AY63">IFERROR(OFFSET($BZ$11,ROW($B63)-11,MATCH(AY$10,$CA63:$FV63,0),),"")</f>
        <v/>
      </c>
      <c r="AZ63" s="83">
        <f>IF(AY63="","",IF(VLOOKUP($B63,INDIRECT("'GRD-"&amp;BA63&amp;"'!$B:$R"),16,FALSE)="","",VLOOKUP($B63,INDIRECT("'GRD-"&amp;BA63&amp;"'!$B:$R"),16,FALSE)))</f>
        <v/>
      </c>
      <c r="BA63" s="128">
        <f t="array" ref="BA63">IF(AY63="","",IFERROR(OFFSET($BZ$11,0,MATCH($AY63,$CA63:$FV63,0),),""))</f>
        <v/>
      </c>
      <c r="BB63" s="133">
        <f t="array" ref="BB63">IF(AY63="","",INDIRECT("'GRD-"&amp;BA63&amp;"'!$L$7"))</f>
        <v/>
      </c>
      <c r="BC63" s="84">
        <f t="array" ref="BC63">IFERROR(OFFSET($BZ$11,ROW($B63)-11,MATCH(BC$10,$CA63:$FV63,0),),"")</f>
        <v/>
      </c>
      <c r="BD63" s="84">
        <f>IF(BC63="","",IF(VLOOKUP($B63,INDIRECT("'GRD-"&amp;BE63&amp;"'!$B:$R"),16,FALSE)="","",VLOOKUP($B63,INDIRECT("'GRD-"&amp;BE63&amp;"'!$B:$R"),16,FALSE)))</f>
        <v/>
      </c>
      <c r="BE63" s="129">
        <f t="array" ref="BE63">IF(BC63="","",IFERROR(OFFSET($BZ$11,0,MATCH($BC63,$CA63:$FV63,0),),""))</f>
        <v/>
      </c>
      <c r="BF63" s="134">
        <f t="array" ref="BF63">IF(BC63="","",INDIRECT("'GRD-"&amp;BE63&amp;"'!$L$7"))</f>
        <v/>
      </c>
      <c r="CA63" s="96">
        <f>IFERROR(VLOOKUP($B63,INDIRECT("'GRD-"&amp;CA$11&amp;"'!B:R"),15,FALSE),"")</f>
        <v/>
      </c>
      <c r="CB63" s="96">
        <f>IFERROR(VLOOKUP($B63,INDIRECT("'GRD-"&amp;CB$11&amp;"'!B:R"),15,FALSE),"")</f>
        <v/>
      </c>
      <c r="CC63" s="96">
        <f>IFERROR(VLOOKUP($B63,INDIRECT("'GRD-"&amp;CC$11&amp;"'!B:R"),15,FALSE),"")</f>
        <v/>
      </c>
      <c r="CD63" s="96">
        <f>IFERROR(VLOOKUP($B63,INDIRECT("'GRD-"&amp;CD$11&amp;"'!B:R"),15,FALSE),"")</f>
        <v/>
      </c>
      <c r="CE63" s="96">
        <f>IFERROR(VLOOKUP($B63,INDIRECT("'GRD-"&amp;CE$11&amp;"'!B:R"),15,FALSE),"")</f>
        <v/>
      </c>
      <c r="CF63" s="96">
        <f>IFERROR(VLOOKUP($B63,INDIRECT("'GRD-"&amp;CF$11&amp;"'!B:R"),15,FALSE),"")</f>
        <v/>
      </c>
      <c r="CG63" s="96">
        <f>IFERROR(VLOOKUP($B63,INDIRECT("'GRD-"&amp;CG$11&amp;"'!B:R"),15,FALSE),"")</f>
        <v/>
      </c>
      <c r="CH63" s="96">
        <f>IFERROR(VLOOKUP($B63,INDIRECT("'GRD-"&amp;CH$11&amp;"'!B:R"),15,FALSE),"")</f>
        <v/>
      </c>
      <c r="CI63" s="96">
        <f>IFERROR(VLOOKUP($B63,INDIRECT("'GRD-"&amp;CI$11&amp;"'!B:R"),15,FALSE),"")</f>
        <v/>
      </c>
      <c r="CJ63" s="96">
        <f>IFERROR(VLOOKUP($B63,INDIRECT("'GRD-"&amp;CJ$11&amp;"'!B:R"),15,FALSE),"")</f>
        <v/>
      </c>
      <c r="CK63" s="96">
        <f>IFERROR(VLOOKUP($B63,INDIRECT("'GRD-"&amp;CK$11&amp;"'!B:R"),15,FALSE),"")</f>
        <v/>
      </c>
      <c r="CL63" s="96">
        <f>IFERROR(VLOOKUP($B63,INDIRECT("'GRD-"&amp;CL$11&amp;"'!B:R"),15,FALSE),"")</f>
        <v/>
      </c>
      <c r="CM63" s="96">
        <f>IFERROR(VLOOKUP($B63,INDIRECT("'GRD-"&amp;CM$11&amp;"'!B:R"),15,FALSE),"")</f>
        <v/>
      </c>
      <c r="CN63" s="96">
        <f>IFERROR(VLOOKUP($B63,INDIRECT("'GRD-"&amp;CN$11&amp;"'!B:R"),15,FALSE),"")</f>
        <v/>
      </c>
      <c r="CO63" s="96">
        <f>IFERROR(VLOOKUP($B63,INDIRECT("'GRD-"&amp;CO$11&amp;"'!B:R"),15,FALSE),"")</f>
        <v/>
      </c>
      <c r="CP63" s="96">
        <f>IFERROR(VLOOKUP($B63,INDIRECT("'GRD-"&amp;CP$11&amp;"'!B:R"),15,FALSE),"")</f>
        <v/>
      </c>
      <c r="CQ63" s="96">
        <f>IFERROR(VLOOKUP($B63,INDIRECT("'GRD-"&amp;CQ$11&amp;"'!B:R"),15,FALSE),"")</f>
        <v/>
      </c>
      <c r="CR63" s="96">
        <f>IFERROR(VLOOKUP($B63,INDIRECT("'GRD-"&amp;CR$11&amp;"'!B:R"),15,FALSE),"")</f>
        <v/>
      </c>
      <c r="CS63" s="96">
        <f>IFERROR(VLOOKUP($B63,INDIRECT("'GRD-"&amp;CS$11&amp;"'!B:R"),15,FALSE),"")</f>
        <v/>
      </c>
      <c r="CT63" s="96">
        <f>IFERROR(VLOOKUP($B63,INDIRECT("'GRD-"&amp;CT$11&amp;"'!B:R"),15,FALSE),"")</f>
        <v/>
      </c>
      <c r="CU63" s="96">
        <f>IFERROR(VLOOKUP($B63,INDIRECT("'GRD-"&amp;CU$11&amp;"'!B:R"),15,FALSE),"")</f>
        <v/>
      </c>
      <c r="CV63" s="96">
        <f>IFERROR(VLOOKUP($B63,INDIRECT("'GRD-"&amp;CV$11&amp;"'!B:R"),15,FALSE),"")</f>
        <v/>
      </c>
      <c r="CW63" s="96">
        <f>IFERROR(VLOOKUP($B63,INDIRECT("'GRD-"&amp;CW$11&amp;"'!B:R"),15,FALSE),"")</f>
        <v/>
      </c>
      <c r="CX63" s="96">
        <f>IFERROR(VLOOKUP($B63,INDIRECT("'GRD-"&amp;CX$11&amp;"'!B:R"),15,FALSE),"")</f>
        <v/>
      </c>
      <c r="CY63" s="96">
        <f>IFERROR(VLOOKUP($B63,INDIRECT("'GRD-"&amp;CY$11&amp;"'!B:R"),15,FALSE),"")</f>
        <v/>
      </c>
      <c r="CZ63" s="96">
        <f>IFERROR(VLOOKUP($B63,INDIRECT("'GRD-"&amp;CZ$11&amp;"'!B:R"),15,FALSE),"")</f>
        <v/>
      </c>
      <c r="DA63" s="96">
        <f>IFERROR(VLOOKUP($B63,INDIRECT("'GRD-"&amp;DA$11&amp;"'!B:R"),15,FALSE),"")</f>
        <v/>
      </c>
      <c r="DB63" s="96">
        <f>IFERROR(VLOOKUP($B63,INDIRECT("'GRD-"&amp;DB$11&amp;"'!B:R"),15,FALSE),"")</f>
        <v/>
      </c>
      <c r="DC63" s="96">
        <f>IFERROR(VLOOKUP($B63,INDIRECT("'GRD-"&amp;DC$11&amp;"'!B:R"),15,FALSE),"")</f>
        <v/>
      </c>
      <c r="DD63" s="96">
        <f>IFERROR(VLOOKUP($B63,INDIRECT("'GRD-"&amp;DD$11&amp;"'!B:R"),15,FALSE),"")</f>
        <v/>
      </c>
      <c r="DE63" s="96">
        <f>IFERROR(VLOOKUP($B63,INDIRECT("'GRD-"&amp;DE$11&amp;"'!B:R"),15,FALSE),"")</f>
        <v/>
      </c>
      <c r="DF63" s="96">
        <f>IFERROR(VLOOKUP($B63,INDIRECT("'GRD-"&amp;DF$11&amp;"'!B:R"),15,FALSE),"")</f>
        <v/>
      </c>
      <c r="DG63" s="96">
        <f>IFERROR(VLOOKUP($B63,INDIRECT("'GRD-"&amp;DG$11&amp;"'!B:R"),15,FALSE),"")</f>
        <v/>
      </c>
      <c r="DH63" s="96">
        <f>IFERROR(VLOOKUP($B63,INDIRECT("'GRD-"&amp;DH$11&amp;"'!B:R"),15,FALSE),"")</f>
        <v/>
      </c>
      <c r="DI63" s="96">
        <f>IFERROR(VLOOKUP($B63,INDIRECT("'GRD-"&amp;DI$11&amp;"'!B:R"),15,FALSE),"")</f>
        <v/>
      </c>
      <c r="DJ63" s="96">
        <f>IFERROR(VLOOKUP($B63,INDIRECT("'GRD-"&amp;DJ$11&amp;"'!B:R"),15,FALSE),"")</f>
        <v/>
      </c>
      <c r="DK63" s="96">
        <f>IFERROR(VLOOKUP($B63,INDIRECT("'GRD-"&amp;DK$11&amp;"'!B:R"),15,FALSE),"")</f>
        <v/>
      </c>
      <c r="DL63" s="96">
        <f>IFERROR(VLOOKUP($B63,INDIRECT("'GRD-"&amp;DL$11&amp;"'!B:R"),15,FALSE),"")</f>
        <v/>
      </c>
      <c r="DM63" s="96">
        <f>IFERROR(VLOOKUP($B63,INDIRECT("'GRD-"&amp;DM$11&amp;"'!B:R"),15,FALSE),"")</f>
        <v/>
      </c>
      <c r="DN63" s="96">
        <f>IFERROR(VLOOKUP($B63,INDIRECT("'GRD-"&amp;DN$11&amp;"'!B:R"),15,FALSE),"")</f>
        <v/>
      </c>
      <c r="DO63" s="96">
        <f>IFERROR(VLOOKUP($B63,INDIRECT("'GRD-"&amp;DO$11&amp;"'!B:R"),15,FALSE),"")</f>
        <v/>
      </c>
      <c r="DP63" s="96">
        <f>IFERROR(VLOOKUP($B63,INDIRECT("'GRD-"&amp;DP$11&amp;"'!B:R"),15,FALSE),"")</f>
        <v/>
      </c>
      <c r="DQ63" s="96">
        <f>IFERROR(VLOOKUP($B63,INDIRECT("'GRD-"&amp;DQ$11&amp;"'!B:R"),15,FALSE),"")</f>
        <v/>
      </c>
      <c r="DR63" s="96">
        <f>IFERROR(VLOOKUP($B63,INDIRECT("'GRD-"&amp;DR$11&amp;"'!B:R"),15,FALSE),"")</f>
        <v/>
      </c>
      <c r="DS63" s="96">
        <f>IFERROR(VLOOKUP($B63,INDIRECT("'GRD-"&amp;DS$11&amp;"'!B:R"),15,FALSE),"")</f>
        <v/>
      </c>
      <c r="DT63" s="96">
        <f>IFERROR(VLOOKUP($B63,INDIRECT("'GRD-"&amp;DT$11&amp;"'!B:R"),15,FALSE),"")</f>
        <v/>
      </c>
      <c r="DU63" s="96">
        <f>IFERROR(VLOOKUP($B63,INDIRECT("'GRD-"&amp;DU$11&amp;"'!B:R"),15,FALSE),"")</f>
        <v/>
      </c>
      <c r="DV63" s="96">
        <f>IFERROR(VLOOKUP($B63,INDIRECT("'GRD-"&amp;DV$11&amp;"'!B:R"),15,FALSE),"")</f>
        <v/>
      </c>
      <c r="DW63" s="96">
        <f>IFERROR(VLOOKUP($B63,INDIRECT("'GRD-"&amp;DW$11&amp;"'!B:R"),15,FALSE),"")</f>
        <v/>
      </c>
      <c r="DX63" s="96">
        <f>IFERROR(VLOOKUP($B63,INDIRECT("'GRD-"&amp;DX$11&amp;"'!B:R"),15,FALSE),"")</f>
        <v/>
      </c>
      <c r="DY63" s="96">
        <f>IFERROR(VLOOKUP($B63,INDIRECT("'GRD-"&amp;DY$11&amp;"'!B:R"),15,FALSE),"")</f>
        <v/>
      </c>
      <c r="DZ63" s="96">
        <f>IFERROR(VLOOKUP($B63,INDIRECT("'GRD-"&amp;DZ$11&amp;"'!B:R"),15,FALSE),"")</f>
        <v/>
      </c>
      <c r="EA63" s="96">
        <f>IFERROR(VLOOKUP($B63,INDIRECT("'GRD-"&amp;EA$11&amp;"'!B:R"),15,FALSE),"")</f>
        <v/>
      </c>
      <c r="EB63" s="96">
        <f>IFERROR(VLOOKUP($B63,INDIRECT("'GRD-"&amp;EB$11&amp;"'!B:R"),15,FALSE),"")</f>
        <v/>
      </c>
      <c r="EC63" s="96">
        <f>IFERROR(VLOOKUP($B63,INDIRECT("'GRD-"&amp;EC$11&amp;"'!B:R"),15,FALSE),"")</f>
        <v/>
      </c>
      <c r="ED63" s="96">
        <f>IFERROR(VLOOKUP($B63,INDIRECT("'GRD-"&amp;ED$11&amp;"'!B:R"),15,FALSE),"")</f>
        <v/>
      </c>
      <c r="EE63" s="96">
        <f>IFERROR(VLOOKUP($B63,INDIRECT("'GRD-"&amp;EE$11&amp;"'!B:R"),15,FALSE),"")</f>
        <v/>
      </c>
      <c r="EF63" s="96">
        <f>IFERROR(VLOOKUP($B63,INDIRECT("'GRD-"&amp;EF$11&amp;"'!B:R"),15,FALSE),"")</f>
        <v/>
      </c>
      <c r="EG63" s="96">
        <f>IFERROR(VLOOKUP($B63,INDIRECT("'GRD-"&amp;EG$11&amp;"'!B:R"),15,FALSE),"")</f>
        <v/>
      </c>
      <c r="EH63" s="96">
        <f>IFERROR(VLOOKUP($B63,INDIRECT("'GRD-"&amp;EH$11&amp;"'!B:R"),15,FALSE),"")</f>
        <v/>
      </c>
      <c r="EI63" s="96">
        <f>IFERROR(VLOOKUP($B63,INDIRECT("'GRD-"&amp;EI$11&amp;"'!B:R"),15,FALSE),"")</f>
        <v/>
      </c>
      <c r="EJ63" s="96">
        <f>IFERROR(VLOOKUP($B63,INDIRECT("'GRD-"&amp;EJ$11&amp;"'!B:R"),15,FALSE),"")</f>
        <v/>
      </c>
      <c r="EK63" s="96">
        <f>IFERROR(VLOOKUP($B63,INDIRECT("'GRD-"&amp;EK$11&amp;"'!B:R"),15,FALSE),"")</f>
        <v/>
      </c>
      <c r="EL63" s="96">
        <f>IFERROR(VLOOKUP($B63,INDIRECT("'GRD-"&amp;EL$11&amp;"'!B:R"),15,FALSE),"")</f>
        <v/>
      </c>
      <c r="EM63" s="96">
        <f>IFERROR(VLOOKUP($B63,INDIRECT("'GRD-"&amp;EM$11&amp;"'!B:R"),15,FALSE),"")</f>
        <v/>
      </c>
      <c r="EN63" s="96">
        <f>IFERROR(VLOOKUP($B63,INDIRECT("'GRD-"&amp;EN$11&amp;"'!B:R"),15,FALSE),"")</f>
        <v/>
      </c>
      <c r="EO63" s="96">
        <f>IFERROR(VLOOKUP($B63,INDIRECT("'GRD-"&amp;EO$11&amp;"'!B:R"),15,FALSE),"")</f>
        <v/>
      </c>
      <c r="EP63" s="96">
        <f>IFERROR(VLOOKUP($B63,INDIRECT("'GRD-"&amp;EP$11&amp;"'!B:R"),15,FALSE),"")</f>
        <v/>
      </c>
      <c r="EQ63" s="96">
        <f>IFERROR(VLOOKUP($B63,INDIRECT("'GRD-"&amp;EQ$11&amp;"'!B:R"),15,FALSE),"")</f>
        <v/>
      </c>
      <c r="ER63" s="96">
        <f>IFERROR(VLOOKUP($B63,INDIRECT("'GRD-"&amp;ER$11&amp;"'!B:R"),15,FALSE),"")</f>
        <v/>
      </c>
      <c r="ES63" s="96">
        <f>IFERROR(VLOOKUP($B63,INDIRECT("'GRD-"&amp;ES$11&amp;"'!B:R"),15,FALSE),"")</f>
        <v/>
      </c>
      <c r="ET63" s="96">
        <f>IFERROR(VLOOKUP($B63,INDIRECT("'GRD-"&amp;ET$11&amp;"'!B:R"),15,FALSE),"")</f>
        <v/>
      </c>
      <c r="EU63" s="96">
        <f>IFERROR(VLOOKUP($B63,INDIRECT("'GRD-"&amp;EU$11&amp;"'!B:R"),15,FALSE),"")</f>
        <v/>
      </c>
      <c r="EV63" s="96">
        <f>IFERROR(VLOOKUP($B63,INDIRECT("'GRD-"&amp;EV$11&amp;"'!B:R"),15,FALSE),"")</f>
        <v/>
      </c>
      <c r="EW63" s="96">
        <f>IFERROR(VLOOKUP($B63,INDIRECT("'GRD-"&amp;EW$11&amp;"'!B:R"),15,FALSE),"")</f>
        <v/>
      </c>
      <c r="EX63" s="96">
        <f>IFERROR(VLOOKUP($B63,INDIRECT("'GRD-"&amp;EX$11&amp;"'!B:R"),15,FALSE),"")</f>
        <v/>
      </c>
      <c r="EY63" s="96">
        <f>IFERROR(VLOOKUP($B63,INDIRECT("'GRD-"&amp;EY$11&amp;"'!B:R"),15,FALSE),"")</f>
        <v/>
      </c>
      <c r="EZ63" s="96">
        <f>IFERROR(VLOOKUP($B63,INDIRECT("'GRD-"&amp;EZ$11&amp;"'!B:R"),15,FALSE),"")</f>
        <v/>
      </c>
      <c r="FA63" s="96">
        <f>IFERROR(VLOOKUP($B63,INDIRECT("'GRD-"&amp;FA$11&amp;"'!B:R"),15,FALSE),"")</f>
        <v/>
      </c>
      <c r="FB63" s="96">
        <f>IFERROR(VLOOKUP($B63,INDIRECT("'GRD-"&amp;FB$11&amp;"'!B:R"),15,FALSE),"")</f>
        <v/>
      </c>
      <c r="FC63" s="96">
        <f>IFERROR(VLOOKUP($B63,INDIRECT("'GRD-"&amp;FC$11&amp;"'!B:R"),15,FALSE),"")</f>
        <v/>
      </c>
      <c r="FD63" s="96">
        <f>IFERROR(VLOOKUP($B63,INDIRECT("'GRD-"&amp;FD$11&amp;"'!B:R"),15,FALSE),"")</f>
        <v/>
      </c>
      <c r="FE63" s="96">
        <f>IFERROR(VLOOKUP($B63,INDIRECT("'GRD-"&amp;FE$11&amp;"'!B:R"),15,FALSE),"")</f>
        <v/>
      </c>
      <c r="FF63" s="96">
        <f>IFERROR(VLOOKUP($B63,INDIRECT("'GRD-"&amp;FF$11&amp;"'!B:R"),15,FALSE),"")</f>
        <v/>
      </c>
      <c r="FG63" s="96">
        <f>IFERROR(VLOOKUP($B63,INDIRECT("'GRD-"&amp;FG$11&amp;"'!B:R"),15,FALSE),"")</f>
        <v/>
      </c>
      <c r="FH63" s="96">
        <f>IFERROR(VLOOKUP($B63,INDIRECT("'GRD-"&amp;FH$11&amp;"'!B:R"),15,FALSE),"")</f>
        <v/>
      </c>
      <c r="FI63" s="96">
        <f>IFERROR(VLOOKUP($B63,INDIRECT("'GRD-"&amp;FI$11&amp;"'!B:R"),15,FALSE),"")</f>
        <v/>
      </c>
      <c r="FJ63" s="96">
        <f>IFERROR(VLOOKUP($B63,INDIRECT("'GRD-"&amp;FJ$11&amp;"'!B:R"),15,FALSE),"")</f>
        <v/>
      </c>
      <c r="FK63" s="96">
        <f>IFERROR(VLOOKUP($B63,INDIRECT("'GRD-"&amp;FK$11&amp;"'!B:R"),15,FALSE),"")</f>
        <v/>
      </c>
      <c r="FL63" s="96">
        <f>IFERROR(VLOOKUP($B63,INDIRECT("'GRD-"&amp;FL$11&amp;"'!B:R"),15,FALSE),"")</f>
        <v/>
      </c>
      <c r="FM63" s="96">
        <f>IFERROR(VLOOKUP($B63,INDIRECT("'GRD-"&amp;FM$11&amp;"'!B:R"),15,FALSE),"")</f>
        <v/>
      </c>
      <c r="FN63" s="96">
        <f>IFERROR(VLOOKUP($B63,INDIRECT("'GRD-"&amp;FN$11&amp;"'!B:R"),15,FALSE),"")</f>
        <v/>
      </c>
      <c r="FO63" s="96">
        <f>IFERROR(VLOOKUP($B63,INDIRECT("'GRD-"&amp;FO$11&amp;"'!B:R"),15,FALSE),"")</f>
        <v/>
      </c>
      <c r="FP63" s="96">
        <f>IFERROR(VLOOKUP($B63,INDIRECT("'GRD-"&amp;FP$11&amp;"'!B:R"),15,FALSE),"")</f>
        <v/>
      </c>
      <c r="FQ63" s="96">
        <f>IFERROR(VLOOKUP($B63,INDIRECT("'GRD-"&amp;FQ$11&amp;"'!B:R"),15,FALSE),"")</f>
        <v/>
      </c>
      <c r="FR63" s="96">
        <f>IFERROR(VLOOKUP($B63,INDIRECT("'GRD-"&amp;FR$11&amp;"'!B:R"),15,FALSE),"")</f>
        <v/>
      </c>
      <c r="FS63" s="96">
        <f>IFERROR(VLOOKUP($B63,INDIRECT("'GRD-"&amp;FS$11&amp;"'!B:R"),15,FALSE),"")</f>
        <v/>
      </c>
      <c r="FT63" s="96">
        <f>IFERROR(VLOOKUP($B63,INDIRECT("'GRD-"&amp;FT$11&amp;"'!B:R"),15,FALSE),"")</f>
        <v/>
      </c>
      <c r="FU63" s="96">
        <f>IFERROR(VLOOKUP($B63,INDIRECT("'GRD-"&amp;FU$11&amp;"'!B:R"),15,FALSE),"")</f>
        <v/>
      </c>
      <c r="FV63" s="96">
        <f>IFERROR(VLOOKUP($B63,INDIRECT("'GRD-"&amp;FV$11&amp;"'!B:R"),15,FALSE),"")</f>
        <v/>
      </c>
    </row>
    <row r="64">
      <c r="B64" s="85" t="n"/>
      <c r="C64" s="93" t="n"/>
      <c r="D64" s="73">
        <f>IF(K64="","",MAX($CA64:$FV64))</f>
        <v/>
      </c>
      <c r="E64" s="74">
        <f t="array" ref="E64">IF($K64="","",OFFSET($A$1,ROW($B64)-1,11+$D64*4,))</f>
        <v/>
      </c>
      <c r="F64" s="74">
        <f t="array" ref="F64">IF($K64="","",OFFSET($A$1,ROW($B64)-1,12+$D64*4,))</f>
        <v/>
      </c>
      <c r="G64" s="118">
        <f t="array" ref="G64">IF($K64="","",OFFSET($A$1,ROW($B64)-1,13+$D64*4,))</f>
        <v/>
      </c>
      <c r="H64" s="81" t="n"/>
      <c r="I64" s="82" t="n"/>
      <c r="J64" s="75">
        <f>IF(I64="A4",H64/8,IF(I64="A3",H64/4,IF(I64="A2",H64/2,IF(I64="A1",H64/1,IF(I64="A0",H64*2,"")))))</f>
        <v/>
      </c>
      <c r="K64" s="68">
        <f t="array" ref="K64">IFERROR(OFFSET($BZ$11,ROW($B64)-11,MATCH(K$10,$CA64:$FV64,0),),"")</f>
        <v/>
      </c>
      <c r="L64" s="85">
        <f>IF(K64="","",IF(VLOOKUP($B64,INDIRECT("'GRD-"&amp;M64&amp;"'!$B:$R"),16,FALSE)="","",VLOOKUP($B64,INDIRECT("'GRD-"&amp;M64&amp;"'!$B:$R"),16,FALSE)))</f>
        <v/>
      </c>
      <c r="M64" s="130">
        <f t="array" ref="M64">IF(K64="","",IFERROR(OFFSET($BZ$11,0,MATCH($K64,$CA64:$FV64,0),),""))</f>
        <v/>
      </c>
      <c r="N64" s="119">
        <f t="array" ref="N64">IF(K64="","",INDIRECT("'GRD-"&amp;M64&amp;"'!$L$7"))</f>
        <v/>
      </c>
      <c r="O64" s="76">
        <f t="array" ref="O64">IFERROR(OFFSET($BZ$11,ROW($B64)-11,MATCH(O$10,$CA64:$FV64,0),),"")</f>
        <v/>
      </c>
      <c r="P64" s="76">
        <f>IF(O64="","",IF(VLOOKUP($B64,INDIRECT("'GRD-"&amp;Q64&amp;"'!$B:$R"),16,FALSE)="","",VLOOKUP($B64,INDIRECT("'GRD-"&amp;Q64&amp;"'!$B:$R"),16,FALSE)))</f>
        <v/>
      </c>
      <c r="Q64" s="132">
        <f t="array" ref="Q64">IF(O64="","",IFERROR(OFFSET($BZ$11,0,MATCH($O64,$CA64:$FV64,0),),""))</f>
        <v/>
      </c>
      <c r="R64" s="121">
        <f t="array" ref="R64">IF(O64="","",INDIRECT("'GRD-"&amp;Q64&amp;"'!$L$7"))</f>
        <v/>
      </c>
      <c r="S64" s="83">
        <f t="array" ref="S64">IFERROR(OFFSET($BZ$11,ROW($B64)-11,MATCH(S$10,$CA64:$FV64,0),),"")</f>
        <v/>
      </c>
      <c r="T64" s="83">
        <f>IF(S64="","",IF(VLOOKUP($B64,INDIRECT("'GRD-"&amp;U64&amp;"'!$B:$R"),16,FALSE)="","",VLOOKUP($B64,INDIRECT("'GRD-"&amp;U64&amp;"'!$B:$R"),16,FALSE)))</f>
        <v/>
      </c>
      <c r="U64" s="128">
        <f t="array" ref="U64">IF(S64="","",IFERROR(OFFSET($BZ$11,0,MATCH($S64,$CA64:$FV64,0),),""))</f>
        <v/>
      </c>
      <c r="V64" s="133">
        <f t="array" ref="V64">IF(S64="","",INDIRECT("'GRD-"&amp;U64&amp;"'!$L$7"))</f>
        <v/>
      </c>
      <c r="W64" s="84">
        <f t="array" ref="W64">IFERROR(OFFSET($BZ$11,ROW($B64)-11,MATCH(W$10,$CA64:$FV64,0),),"")</f>
        <v/>
      </c>
      <c r="X64" s="84">
        <f>IF(W64="","",IF(VLOOKUP($B64,INDIRECT("'GRD-"&amp;Y64&amp;"'!$B:$R"),16,FALSE)="","",VLOOKUP($B64,INDIRECT("'GRD-"&amp;Y64&amp;"'!$B:$R"),16,FALSE)))</f>
        <v/>
      </c>
      <c r="Y64" s="129">
        <f t="array" ref="Y64">IF(W64="","",IFERROR(OFFSET($BZ$11,0,MATCH($W64,$CA64:$FV64,0),),""))</f>
        <v/>
      </c>
      <c r="Z64" s="134">
        <f t="array" ref="Z64">IF(W64="","",INDIRECT("'GRD-"&amp;Y64&amp;"'!$L$7"))</f>
        <v/>
      </c>
      <c r="AA64" s="85">
        <f t="array" ref="AA64">IFERROR(OFFSET($BZ$11,ROW($B64)-11,MATCH(AA$10,$CA64:$FV64,0),),"")</f>
        <v/>
      </c>
      <c r="AB64" s="85">
        <f>IF(AA64="","",IF(VLOOKUP($B64,INDIRECT("'GRD-"&amp;AC64&amp;"'!$B:$R"),16,FALSE)="","",VLOOKUP($B64,INDIRECT("'GRD-"&amp;AC64&amp;"'!$B:$R"),16,FALSE)))</f>
        <v/>
      </c>
      <c r="AC64" s="130">
        <f t="array" ref="AC64">IF(AA64="","",IFERROR(OFFSET($BZ$11,0,MATCH($AA64,$CA64:$FV64,0),),""))</f>
        <v/>
      </c>
      <c r="AD64" s="131">
        <f t="array" ref="AD64">IF(AA64="","",INDIRECT("'GRD-"&amp;AC64&amp;"'!$L$7"))</f>
        <v/>
      </c>
      <c r="AE64" s="76">
        <f t="array" ref="AE64">IFERROR(OFFSET($BZ$11,ROW($B64)-11,MATCH(AE$10,$CA64:$FV64,0),),"")</f>
        <v/>
      </c>
      <c r="AF64" s="76">
        <f>IF(AE64="","",IF(VLOOKUP($B64,INDIRECT("'GRD-"&amp;AG64&amp;"'!$B:$R"),16,FALSE)="","",VLOOKUP($B64,INDIRECT("'GRD-"&amp;AG64&amp;"'!$B:$R"),16,FALSE)))</f>
        <v/>
      </c>
      <c r="AG64" s="132">
        <f t="array" ref="AG64">IF(AE64="","",IFERROR(OFFSET($BZ$11,0,MATCH($AE64,$CA64:$FV64,0),),""))</f>
        <v/>
      </c>
      <c r="AH64" s="121">
        <f t="array" ref="AH64">IF(AE64="","",INDIRECT("'GRD-"&amp;AG64&amp;"'!$L$7"))</f>
        <v/>
      </c>
      <c r="AI64" s="83">
        <f t="array" ref="AI64">IFERROR(OFFSET($BZ$11,ROW($B64)-11,MATCH(AI$10,$CA64:$FV64,0),),"")</f>
        <v/>
      </c>
      <c r="AJ64" s="83">
        <f>IF(AI64="","",IF(VLOOKUP($B64,INDIRECT("'GRD-"&amp;AK64&amp;"'!$B:$R"),16,FALSE)="","",VLOOKUP($B64,INDIRECT("'GRD-"&amp;AK64&amp;"'!$B:$R"),16,FALSE)))</f>
        <v/>
      </c>
      <c r="AK64" s="128">
        <f t="array" ref="AK64">IF(AI64="","",IFERROR(OFFSET($BZ$11,0,MATCH($AI64,$CA64:$FV64,0),),""))</f>
        <v/>
      </c>
      <c r="AL64" s="133">
        <f t="array" ref="AL64">IF(AI64="","",INDIRECT("'GRD-"&amp;AK64&amp;"'!$L$7"))</f>
        <v/>
      </c>
      <c r="AM64" s="84">
        <f t="array" ref="AM64">IFERROR(OFFSET($BZ$11,ROW($B64)-11,MATCH(AM$10,$CA64:$FV64,0),),"")</f>
        <v/>
      </c>
      <c r="AN64" s="84">
        <f>IF(AM64="","",IF(VLOOKUP($B64,INDIRECT("'GRD-"&amp;AO64&amp;"'!$B:$R"),16,FALSE)="","",VLOOKUP($B64,INDIRECT("'GRD-"&amp;AO64&amp;"'!$B:$R"),16,FALSE)))</f>
        <v/>
      </c>
      <c r="AO64" s="129">
        <f t="array" ref="AO64">IF(AM64="","",IFERROR(OFFSET($BZ$11,0,MATCH($AM64,$CA64:$FV64,0),),""))</f>
        <v/>
      </c>
      <c r="AP64" s="134">
        <f t="array" ref="AP64">IF(AM64="","",INDIRECT("'GRD-"&amp;AO64&amp;"'!$L$7"))</f>
        <v/>
      </c>
      <c r="AQ64" s="85">
        <f t="array" ref="AQ64">IFERROR(OFFSET($BZ$11,ROW($B64)-11,MATCH(AQ$10,$CA64:$FV64,0),),"")</f>
        <v/>
      </c>
      <c r="AR64" s="85">
        <f>IF(AQ64="","",IF(VLOOKUP($B64,INDIRECT("'GRD-"&amp;AS64&amp;"'!$B:$R"),16,FALSE)="","",VLOOKUP($B64,INDIRECT("'GRD-"&amp;AS64&amp;"'!$B:$R"),16,FALSE)))</f>
        <v/>
      </c>
      <c r="AS64" s="130">
        <f t="array" ref="AS64">IF(AQ64="","",IFERROR(OFFSET($BZ$11,0,MATCH($AQ64,$CA64:$FV64,0),),""))</f>
        <v/>
      </c>
      <c r="AT64" s="131">
        <f t="array" ref="AT64">IF(AQ64="","",INDIRECT("'GRD-"&amp;AS64&amp;"'!$L$7"))</f>
        <v/>
      </c>
      <c r="AU64" s="76">
        <f t="array" ref="AU64">IFERROR(OFFSET($BZ$11,ROW($B64)-11,MATCH(AU$10,$CA64:$FV64,0),),"")</f>
        <v/>
      </c>
      <c r="AV64" s="76">
        <f>IF(AU64="","",IF(VLOOKUP($B64,INDIRECT("'GRD-"&amp;AW64&amp;"'!$B:$R"),16,FALSE)="","",VLOOKUP($B64,INDIRECT("'GRD-"&amp;AW64&amp;"'!$B:$R"),16,FALSE)))</f>
        <v/>
      </c>
      <c r="AW64" s="132">
        <f t="array" ref="AW64">IF(AU64="","",IFERROR(OFFSET($BZ$11,0,MATCH($AU64,$CA64:$FV64,0),),""))</f>
        <v/>
      </c>
      <c r="AX64" s="121">
        <f t="array" ref="AX64">IF(AU64="","",INDIRECT("'GRD-"&amp;AW64&amp;"'!$L$7"))</f>
        <v/>
      </c>
      <c r="AY64" s="83">
        <f t="array" ref="AY64">IFERROR(OFFSET($BZ$11,ROW($B64)-11,MATCH(AY$10,$CA64:$FV64,0),),"")</f>
        <v/>
      </c>
      <c r="AZ64" s="83">
        <f>IF(AY64="","",IF(VLOOKUP($B64,INDIRECT("'GRD-"&amp;BA64&amp;"'!$B:$R"),16,FALSE)="","",VLOOKUP($B64,INDIRECT("'GRD-"&amp;BA64&amp;"'!$B:$R"),16,FALSE)))</f>
        <v/>
      </c>
      <c r="BA64" s="128">
        <f t="array" ref="BA64">IF(AY64="","",IFERROR(OFFSET($BZ$11,0,MATCH($AY64,$CA64:$FV64,0),),""))</f>
        <v/>
      </c>
      <c r="BB64" s="133">
        <f t="array" ref="BB64">IF(AY64="","",INDIRECT("'GRD-"&amp;BA64&amp;"'!$L$7"))</f>
        <v/>
      </c>
      <c r="BC64" s="84">
        <f t="array" ref="BC64">IFERROR(OFFSET($BZ$11,ROW($B64)-11,MATCH(BC$10,$CA64:$FV64,0),),"")</f>
        <v/>
      </c>
      <c r="BD64" s="84">
        <f>IF(BC64="","",IF(VLOOKUP($B64,INDIRECT("'GRD-"&amp;BE64&amp;"'!$B:$R"),16,FALSE)="","",VLOOKUP($B64,INDIRECT("'GRD-"&amp;BE64&amp;"'!$B:$R"),16,FALSE)))</f>
        <v/>
      </c>
      <c r="BE64" s="129">
        <f t="array" ref="BE64">IF(BC64="","",IFERROR(OFFSET($BZ$11,0,MATCH($BC64,$CA64:$FV64,0),),""))</f>
        <v/>
      </c>
      <c r="BF64" s="134">
        <f t="array" ref="BF64">IF(BC64="","",INDIRECT("'GRD-"&amp;BE64&amp;"'!$L$7"))</f>
        <v/>
      </c>
      <c r="CA64" s="96">
        <f>IFERROR(VLOOKUP($B64,INDIRECT("'GRD-"&amp;CA$11&amp;"'!B:R"),15,FALSE),"")</f>
        <v/>
      </c>
      <c r="CB64" s="96">
        <f>IFERROR(VLOOKUP($B64,INDIRECT("'GRD-"&amp;CB$11&amp;"'!B:R"),15,FALSE),"")</f>
        <v/>
      </c>
      <c r="CC64" s="96">
        <f>IFERROR(VLOOKUP($B64,INDIRECT("'GRD-"&amp;CC$11&amp;"'!B:R"),15,FALSE),"")</f>
        <v/>
      </c>
      <c r="CD64" s="96">
        <f>IFERROR(VLOOKUP($B64,INDIRECT("'GRD-"&amp;CD$11&amp;"'!B:R"),15,FALSE),"")</f>
        <v/>
      </c>
      <c r="CE64" s="96">
        <f>IFERROR(VLOOKUP($B64,INDIRECT("'GRD-"&amp;CE$11&amp;"'!B:R"),15,FALSE),"")</f>
        <v/>
      </c>
      <c r="CF64" s="96">
        <f>IFERROR(VLOOKUP($B64,INDIRECT("'GRD-"&amp;CF$11&amp;"'!B:R"),15,FALSE),"")</f>
        <v/>
      </c>
      <c r="CG64" s="96">
        <f>IFERROR(VLOOKUP($B64,INDIRECT("'GRD-"&amp;CG$11&amp;"'!B:R"),15,FALSE),"")</f>
        <v/>
      </c>
      <c r="CH64" s="96">
        <f>IFERROR(VLOOKUP($B64,INDIRECT("'GRD-"&amp;CH$11&amp;"'!B:R"),15,FALSE),"")</f>
        <v/>
      </c>
      <c r="CI64" s="96">
        <f>IFERROR(VLOOKUP($B64,INDIRECT("'GRD-"&amp;CI$11&amp;"'!B:R"),15,FALSE),"")</f>
        <v/>
      </c>
      <c r="CJ64" s="96">
        <f>IFERROR(VLOOKUP($B64,INDIRECT("'GRD-"&amp;CJ$11&amp;"'!B:R"),15,FALSE),"")</f>
        <v/>
      </c>
      <c r="CK64" s="96">
        <f>IFERROR(VLOOKUP($B64,INDIRECT("'GRD-"&amp;CK$11&amp;"'!B:R"),15,FALSE),"")</f>
        <v/>
      </c>
      <c r="CL64" s="96">
        <f>IFERROR(VLOOKUP($B64,INDIRECT("'GRD-"&amp;CL$11&amp;"'!B:R"),15,FALSE),"")</f>
        <v/>
      </c>
      <c r="CM64" s="96">
        <f>IFERROR(VLOOKUP($B64,INDIRECT("'GRD-"&amp;CM$11&amp;"'!B:R"),15,FALSE),"")</f>
        <v/>
      </c>
      <c r="CN64" s="96">
        <f>IFERROR(VLOOKUP($B64,INDIRECT("'GRD-"&amp;CN$11&amp;"'!B:R"),15,FALSE),"")</f>
        <v/>
      </c>
      <c r="CO64" s="96">
        <f>IFERROR(VLOOKUP($B64,INDIRECT("'GRD-"&amp;CO$11&amp;"'!B:R"),15,FALSE),"")</f>
        <v/>
      </c>
      <c r="CP64" s="96">
        <f>IFERROR(VLOOKUP($B64,INDIRECT("'GRD-"&amp;CP$11&amp;"'!B:R"),15,FALSE),"")</f>
        <v/>
      </c>
      <c r="CQ64" s="96">
        <f>IFERROR(VLOOKUP($B64,INDIRECT("'GRD-"&amp;CQ$11&amp;"'!B:R"),15,FALSE),"")</f>
        <v/>
      </c>
      <c r="CR64" s="96">
        <f>IFERROR(VLOOKUP($B64,INDIRECT("'GRD-"&amp;CR$11&amp;"'!B:R"),15,FALSE),"")</f>
        <v/>
      </c>
      <c r="CS64" s="96">
        <f>IFERROR(VLOOKUP($B64,INDIRECT("'GRD-"&amp;CS$11&amp;"'!B:R"),15,FALSE),"")</f>
        <v/>
      </c>
      <c r="CT64" s="96">
        <f>IFERROR(VLOOKUP($B64,INDIRECT("'GRD-"&amp;CT$11&amp;"'!B:R"),15,FALSE),"")</f>
        <v/>
      </c>
      <c r="CU64" s="96">
        <f>IFERROR(VLOOKUP($B64,INDIRECT("'GRD-"&amp;CU$11&amp;"'!B:R"),15,FALSE),"")</f>
        <v/>
      </c>
      <c r="CV64" s="96">
        <f>IFERROR(VLOOKUP($B64,INDIRECT("'GRD-"&amp;CV$11&amp;"'!B:R"),15,FALSE),"")</f>
        <v/>
      </c>
      <c r="CW64" s="96">
        <f>IFERROR(VLOOKUP($B64,INDIRECT("'GRD-"&amp;CW$11&amp;"'!B:R"),15,FALSE),"")</f>
        <v/>
      </c>
      <c r="CX64" s="96">
        <f>IFERROR(VLOOKUP($B64,INDIRECT("'GRD-"&amp;CX$11&amp;"'!B:R"),15,FALSE),"")</f>
        <v/>
      </c>
      <c r="CY64" s="96">
        <f>IFERROR(VLOOKUP($B64,INDIRECT("'GRD-"&amp;CY$11&amp;"'!B:R"),15,FALSE),"")</f>
        <v/>
      </c>
      <c r="CZ64" s="96">
        <f>IFERROR(VLOOKUP($B64,INDIRECT("'GRD-"&amp;CZ$11&amp;"'!B:R"),15,FALSE),"")</f>
        <v/>
      </c>
      <c r="DA64" s="96">
        <f>IFERROR(VLOOKUP($B64,INDIRECT("'GRD-"&amp;DA$11&amp;"'!B:R"),15,FALSE),"")</f>
        <v/>
      </c>
      <c r="DB64" s="96">
        <f>IFERROR(VLOOKUP($B64,INDIRECT("'GRD-"&amp;DB$11&amp;"'!B:R"),15,FALSE),"")</f>
        <v/>
      </c>
      <c r="DC64" s="96">
        <f>IFERROR(VLOOKUP($B64,INDIRECT("'GRD-"&amp;DC$11&amp;"'!B:R"),15,FALSE),"")</f>
        <v/>
      </c>
      <c r="DD64" s="96">
        <f>IFERROR(VLOOKUP($B64,INDIRECT("'GRD-"&amp;DD$11&amp;"'!B:R"),15,FALSE),"")</f>
        <v/>
      </c>
      <c r="DE64" s="96">
        <f>IFERROR(VLOOKUP($B64,INDIRECT("'GRD-"&amp;DE$11&amp;"'!B:R"),15,FALSE),"")</f>
        <v/>
      </c>
      <c r="DF64" s="96">
        <f>IFERROR(VLOOKUP($B64,INDIRECT("'GRD-"&amp;DF$11&amp;"'!B:R"),15,FALSE),"")</f>
        <v/>
      </c>
      <c r="DG64" s="96">
        <f>IFERROR(VLOOKUP($B64,INDIRECT("'GRD-"&amp;DG$11&amp;"'!B:R"),15,FALSE),"")</f>
        <v/>
      </c>
      <c r="DH64" s="96">
        <f>IFERROR(VLOOKUP($B64,INDIRECT("'GRD-"&amp;DH$11&amp;"'!B:R"),15,FALSE),"")</f>
        <v/>
      </c>
      <c r="DI64" s="96">
        <f>IFERROR(VLOOKUP($B64,INDIRECT("'GRD-"&amp;DI$11&amp;"'!B:R"),15,FALSE),"")</f>
        <v/>
      </c>
      <c r="DJ64" s="96">
        <f>IFERROR(VLOOKUP($B64,INDIRECT("'GRD-"&amp;DJ$11&amp;"'!B:R"),15,FALSE),"")</f>
        <v/>
      </c>
      <c r="DK64" s="96">
        <f>IFERROR(VLOOKUP($B64,INDIRECT("'GRD-"&amp;DK$11&amp;"'!B:R"),15,FALSE),"")</f>
        <v/>
      </c>
      <c r="DL64" s="96">
        <f>IFERROR(VLOOKUP($B64,INDIRECT("'GRD-"&amp;DL$11&amp;"'!B:R"),15,FALSE),"")</f>
        <v/>
      </c>
      <c r="DM64" s="96">
        <f>IFERROR(VLOOKUP($B64,INDIRECT("'GRD-"&amp;DM$11&amp;"'!B:R"),15,FALSE),"")</f>
        <v/>
      </c>
      <c r="DN64" s="96">
        <f>IFERROR(VLOOKUP($B64,INDIRECT("'GRD-"&amp;DN$11&amp;"'!B:R"),15,FALSE),"")</f>
        <v/>
      </c>
      <c r="DO64" s="96">
        <f>IFERROR(VLOOKUP($B64,INDIRECT("'GRD-"&amp;DO$11&amp;"'!B:R"),15,FALSE),"")</f>
        <v/>
      </c>
      <c r="DP64" s="96">
        <f>IFERROR(VLOOKUP($B64,INDIRECT("'GRD-"&amp;DP$11&amp;"'!B:R"),15,FALSE),"")</f>
        <v/>
      </c>
      <c r="DQ64" s="96">
        <f>IFERROR(VLOOKUP($B64,INDIRECT("'GRD-"&amp;DQ$11&amp;"'!B:R"),15,FALSE),"")</f>
        <v/>
      </c>
      <c r="DR64" s="96">
        <f>IFERROR(VLOOKUP($B64,INDIRECT("'GRD-"&amp;DR$11&amp;"'!B:R"),15,FALSE),"")</f>
        <v/>
      </c>
      <c r="DS64" s="96">
        <f>IFERROR(VLOOKUP($B64,INDIRECT("'GRD-"&amp;DS$11&amp;"'!B:R"),15,FALSE),"")</f>
        <v/>
      </c>
      <c r="DT64" s="96">
        <f>IFERROR(VLOOKUP($B64,INDIRECT("'GRD-"&amp;DT$11&amp;"'!B:R"),15,FALSE),"")</f>
        <v/>
      </c>
      <c r="DU64" s="96">
        <f>IFERROR(VLOOKUP($B64,INDIRECT("'GRD-"&amp;DU$11&amp;"'!B:R"),15,FALSE),"")</f>
        <v/>
      </c>
      <c r="DV64" s="96">
        <f>IFERROR(VLOOKUP($B64,INDIRECT("'GRD-"&amp;DV$11&amp;"'!B:R"),15,FALSE),"")</f>
        <v/>
      </c>
      <c r="DW64" s="96">
        <f>IFERROR(VLOOKUP($B64,INDIRECT("'GRD-"&amp;DW$11&amp;"'!B:R"),15,FALSE),"")</f>
        <v/>
      </c>
      <c r="DX64" s="96">
        <f>IFERROR(VLOOKUP($B64,INDIRECT("'GRD-"&amp;DX$11&amp;"'!B:R"),15,FALSE),"")</f>
        <v/>
      </c>
      <c r="DY64" s="96">
        <f>IFERROR(VLOOKUP($B64,INDIRECT("'GRD-"&amp;DY$11&amp;"'!B:R"),15,FALSE),"")</f>
        <v/>
      </c>
      <c r="DZ64" s="96">
        <f>IFERROR(VLOOKUP($B64,INDIRECT("'GRD-"&amp;DZ$11&amp;"'!B:R"),15,FALSE),"")</f>
        <v/>
      </c>
      <c r="EA64" s="96">
        <f>IFERROR(VLOOKUP($B64,INDIRECT("'GRD-"&amp;EA$11&amp;"'!B:R"),15,FALSE),"")</f>
        <v/>
      </c>
      <c r="EB64" s="96">
        <f>IFERROR(VLOOKUP($B64,INDIRECT("'GRD-"&amp;EB$11&amp;"'!B:R"),15,FALSE),"")</f>
        <v/>
      </c>
      <c r="EC64" s="96">
        <f>IFERROR(VLOOKUP($B64,INDIRECT("'GRD-"&amp;EC$11&amp;"'!B:R"),15,FALSE),"")</f>
        <v/>
      </c>
      <c r="ED64" s="96">
        <f>IFERROR(VLOOKUP($B64,INDIRECT("'GRD-"&amp;ED$11&amp;"'!B:R"),15,FALSE),"")</f>
        <v/>
      </c>
      <c r="EE64" s="96">
        <f>IFERROR(VLOOKUP($B64,INDIRECT("'GRD-"&amp;EE$11&amp;"'!B:R"),15,FALSE),"")</f>
        <v/>
      </c>
      <c r="EF64" s="96">
        <f>IFERROR(VLOOKUP($B64,INDIRECT("'GRD-"&amp;EF$11&amp;"'!B:R"),15,FALSE),"")</f>
        <v/>
      </c>
      <c r="EG64" s="96">
        <f>IFERROR(VLOOKUP($B64,INDIRECT("'GRD-"&amp;EG$11&amp;"'!B:R"),15,FALSE),"")</f>
        <v/>
      </c>
      <c r="EH64" s="96">
        <f>IFERROR(VLOOKUP($B64,INDIRECT("'GRD-"&amp;EH$11&amp;"'!B:R"),15,FALSE),"")</f>
        <v/>
      </c>
      <c r="EI64" s="96">
        <f>IFERROR(VLOOKUP($B64,INDIRECT("'GRD-"&amp;EI$11&amp;"'!B:R"),15,FALSE),"")</f>
        <v/>
      </c>
      <c r="EJ64" s="96">
        <f>IFERROR(VLOOKUP($B64,INDIRECT("'GRD-"&amp;EJ$11&amp;"'!B:R"),15,FALSE),"")</f>
        <v/>
      </c>
      <c r="EK64" s="96">
        <f>IFERROR(VLOOKUP($B64,INDIRECT("'GRD-"&amp;EK$11&amp;"'!B:R"),15,FALSE),"")</f>
        <v/>
      </c>
      <c r="EL64" s="96">
        <f>IFERROR(VLOOKUP($B64,INDIRECT("'GRD-"&amp;EL$11&amp;"'!B:R"),15,FALSE),"")</f>
        <v/>
      </c>
      <c r="EM64" s="96">
        <f>IFERROR(VLOOKUP($B64,INDIRECT("'GRD-"&amp;EM$11&amp;"'!B:R"),15,FALSE),"")</f>
        <v/>
      </c>
      <c r="EN64" s="96">
        <f>IFERROR(VLOOKUP($B64,INDIRECT("'GRD-"&amp;EN$11&amp;"'!B:R"),15,FALSE),"")</f>
        <v/>
      </c>
      <c r="EO64" s="96">
        <f>IFERROR(VLOOKUP($B64,INDIRECT("'GRD-"&amp;EO$11&amp;"'!B:R"),15,FALSE),"")</f>
        <v/>
      </c>
      <c r="EP64" s="96">
        <f>IFERROR(VLOOKUP($B64,INDIRECT("'GRD-"&amp;EP$11&amp;"'!B:R"),15,FALSE),"")</f>
        <v/>
      </c>
      <c r="EQ64" s="96">
        <f>IFERROR(VLOOKUP($B64,INDIRECT("'GRD-"&amp;EQ$11&amp;"'!B:R"),15,FALSE),"")</f>
        <v/>
      </c>
      <c r="ER64" s="96">
        <f>IFERROR(VLOOKUP($B64,INDIRECT("'GRD-"&amp;ER$11&amp;"'!B:R"),15,FALSE),"")</f>
        <v/>
      </c>
      <c r="ES64" s="96">
        <f>IFERROR(VLOOKUP($B64,INDIRECT("'GRD-"&amp;ES$11&amp;"'!B:R"),15,FALSE),"")</f>
        <v/>
      </c>
      <c r="ET64" s="96">
        <f>IFERROR(VLOOKUP($B64,INDIRECT("'GRD-"&amp;ET$11&amp;"'!B:R"),15,FALSE),"")</f>
        <v/>
      </c>
      <c r="EU64" s="96">
        <f>IFERROR(VLOOKUP($B64,INDIRECT("'GRD-"&amp;EU$11&amp;"'!B:R"),15,FALSE),"")</f>
        <v/>
      </c>
      <c r="EV64" s="96">
        <f>IFERROR(VLOOKUP($B64,INDIRECT("'GRD-"&amp;EV$11&amp;"'!B:R"),15,FALSE),"")</f>
        <v/>
      </c>
      <c r="EW64" s="96">
        <f>IFERROR(VLOOKUP($B64,INDIRECT("'GRD-"&amp;EW$11&amp;"'!B:R"),15,FALSE),"")</f>
        <v/>
      </c>
      <c r="EX64" s="96">
        <f>IFERROR(VLOOKUP($B64,INDIRECT("'GRD-"&amp;EX$11&amp;"'!B:R"),15,FALSE),"")</f>
        <v/>
      </c>
      <c r="EY64" s="96">
        <f>IFERROR(VLOOKUP($B64,INDIRECT("'GRD-"&amp;EY$11&amp;"'!B:R"),15,FALSE),"")</f>
        <v/>
      </c>
      <c r="EZ64" s="96">
        <f>IFERROR(VLOOKUP($B64,INDIRECT("'GRD-"&amp;EZ$11&amp;"'!B:R"),15,FALSE),"")</f>
        <v/>
      </c>
      <c r="FA64" s="96">
        <f>IFERROR(VLOOKUP($B64,INDIRECT("'GRD-"&amp;FA$11&amp;"'!B:R"),15,FALSE),"")</f>
        <v/>
      </c>
      <c r="FB64" s="96">
        <f>IFERROR(VLOOKUP($B64,INDIRECT("'GRD-"&amp;FB$11&amp;"'!B:R"),15,FALSE),"")</f>
        <v/>
      </c>
      <c r="FC64" s="96">
        <f>IFERROR(VLOOKUP($B64,INDIRECT("'GRD-"&amp;FC$11&amp;"'!B:R"),15,FALSE),"")</f>
        <v/>
      </c>
      <c r="FD64" s="96">
        <f>IFERROR(VLOOKUP($B64,INDIRECT("'GRD-"&amp;FD$11&amp;"'!B:R"),15,FALSE),"")</f>
        <v/>
      </c>
      <c r="FE64" s="96">
        <f>IFERROR(VLOOKUP($B64,INDIRECT("'GRD-"&amp;FE$11&amp;"'!B:R"),15,FALSE),"")</f>
        <v/>
      </c>
      <c r="FF64" s="96">
        <f>IFERROR(VLOOKUP($B64,INDIRECT("'GRD-"&amp;FF$11&amp;"'!B:R"),15,FALSE),"")</f>
        <v/>
      </c>
      <c r="FG64" s="96">
        <f>IFERROR(VLOOKUP($B64,INDIRECT("'GRD-"&amp;FG$11&amp;"'!B:R"),15,FALSE),"")</f>
        <v/>
      </c>
      <c r="FH64" s="96">
        <f>IFERROR(VLOOKUP($B64,INDIRECT("'GRD-"&amp;FH$11&amp;"'!B:R"),15,FALSE),"")</f>
        <v/>
      </c>
      <c r="FI64" s="96">
        <f>IFERROR(VLOOKUP($B64,INDIRECT("'GRD-"&amp;FI$11&amp;"'!B:R"),15,FALSE),"")</f>
        <v/>
      </c>
      <c r="FJ64" s="96">
        <f>IFERROR(VLOOKUP($B64,INDIRECT("'GRD-"&amp;FJ$11&amp;"'!B:R"),15,FALSE),"")</f>
        <v/>
      </c>
      <c r="FK64" s="96">
        <f>IFERROR(VLOOKUP($B64,INDIRECT("'GRD-"&amp;FK$11&amp;"'!B:R"),15,FALSE),"")</f>
        <v/>
      </c>
      <c r="FL64" s="96">
        <f>IFERROR(VLOOKUP($B64,INDIRECT("'GRD-"&amp;FL$11&amp;"'!B:R"),15,FALSE),"")</f>
        <v/>
      </c>
      <c r="FM64" s="96">
        <f>IFERROR(VLOOKUP($B64,INDIRECT("'GRD-"&amp;FM$11&amp;"'!B:R"),15,FALSE),"")</f>
        <v/>
      </c>
      <c r="FN64" s="96">
        <f>IFERROR(VLOOKUP($B64,INDIRECT("'GRD-"&amp;FN$11&amp;"'!B:R"),15,FALSE),"")</f>
        <v/>
      </c>
      <c r="FO64" s="96">
        <f>IFERROR(VLOOKUP($B64,INDIRECT("'GRD-"&amp;FO$11&amp;"'!B:R"),15,FALSE),"")</f>
        <v/>
      </c>
      <c r="FP64" s="96">
        <f>IFERROR(VLOOKUP($B64,INDIRECT("'GRD-"&amp;FP$11&amp;"'!B:R"),15,FALSE),"")</f>
        <v/>
      </c>
      <c r="FQ64" s="96">
        <f>IFERROR(VLOOKUP($B64,INDIRECT("'GRD-"&amp;FQ$11&amp;"'!B:R"),15,FALSE),"")</f>
        <v/>
      </c>
      <c r="FR64" s="96">
        <f>IFERROR(VLOOKUP($B64,INDIRECT("'GRD-"&amp;FR$11&amp;"'!B:R"),15,FALSE),"")</f>
        <v/>
      </c>
      <c r="FS64" s="96">
        <f>IFERROR(VLOOKUP($B64,INDIRECT("'GRD-"&amp;FS$11&amp;"'!B:R"),15,FALSE),"")</f>
        <v/>
      </c>
      <c r="FT64" s="96">
        <f>IFERROR(VLOOKUP($B64,INDIRECT("'GRD-"&amp;FT$11&amp;"'!B:R"),15,FALSE),"")</f>
        <v/>
      </c>
      <c r="FU64" s="96">
        <f>IFERROR(VLOOKUP($B64,INDIRECT("'GRD-"&amp;FU$11&amp;"'!B:R"),15,FALSE),"")</f>
        <v/>
      </c>
      <c r="FV64" s="96">
        <f>IFERROR(VLOOKUP($B64,INDIRECT("'GRD-"&amp;FV$11&amp;"'!B:R"),15,FALSE),"")</f>
        <v/>
      </c>
    </row>
    <row r="65">
      <c r="B65" s="85" t="n"/>
      <c r="C65" s="93" t="n"/>
      <c r="D65" s="73">
        <f>IF(K65="","",MAX($CA65:$FV65))</f>
        <v/>
      </c>
      <c r="E65" s="74">
        <f t="array" ref="E65">IF($K65="","",OFFSET($A$1,ROW($B65)-1,11+$D65*4,))</f>
        <v/>
      </c>
      <c r="F65" s="74">
        <f t="array" ref="F65">IF($K65="","",OFFSET($A$1,ROW($B65)-1,12+$D65*4,))</f>
        <v/>
      </c>
      <c r="G65" s="118">
        <f t="array" ref="G65">IF($K65="","",OFFSET($A$1,ROW($B65)-1,13+$D65*4,))</f>
        <v/>
      </c>
      <c r="H65" s="81" t="n"/>
      <c r="I65" s="82" t="n"/>
      <c r="J65" s="75">
        <f>IF(I65="A4",H65/8,IF(I65="A3",H65/4,IF(I65="A2",H65/2,IF(I65="A1",H65/1,IF(I65="A0",H65*2,"")))))</f>
        <v/>
      </c>
      <c r="K65" s="68">
        <f t="array" ref="K65">IFERROR(OFFSET($BZ$11,ROW($B65)-11,MATCH(K$10,$CA65:$FV65,0),),"")</f>
        <v/>
      </c>
      <c r="L65" s="85">
        <f>IF(K65="","",IF(VLOOKUP($B65,INDIRECT("'GRD-"&amp;M65&amp;"'!$B:$R"),16,FALSE)="","",VLOOKUP($B65,INDIRECT("'GRD-"&amp;M65&amp;"'!$B:$R"),16,FALSE)))</f>
        <v/>
      </c>
      <c r="M65" s="130">
        <f t="array" ref="M65">IF(K65="","",IFERROR(OFFSET($BZ$11,0,MATCH($K65,$CA65:$FV65,0),),""))</f>
        <v/>
      </c>
      <c r="N65" s="119">
        <f t="array" ref="N65">IF(K65="","",INDIRECT("'GRD-"&amp;M65&amp;"'!$L$7"))</f>
        <v/>
      </c>
      <c r="O65" s="76">
        <f t="array" ref="O65">IFERROR(OFFSET($BZ$11,ROW($B65)-11,MATCH(O$10,$CA65:$FV65,0),),"")</f>
        <v/>
      </c>
      <c r="P65" s="76">
        <f>IF(O65="","",IF(VLOOKUP($B65,INDIRECT("'GRD-"&amp;Q65&amp;"'!$B:$R"),16,FALSE)="","",VLOOKUP($B65,INDIRECT("'GRD-"&amp;Q65&amp;"'!$B:$R"),16,FALSE)))</f>
        <v/>
      </c>
      <c r="Q65" s="132">
        <f t="array" ref="Q65">IF(O65="","",IFERROR(OFFSET($BZ$11,0,MATCH($O65,$CA65:$FV65,0),),""))</f>
        <v/>
      </c>
      <c r="R65" s="121">
        <f t="array" ref="R65">IF(O65="","",INDIRECT("'GRD-"&amp;Q65&amp;"'!$L$7"))</f>
        <v/>
      </c>
      <c r="S65" s="83">
        <f t="array" ref="S65">IFERROR(OFFSET($BZ$11,ROW($B65)-11,MATCH(S$10,$CA65:$FV65,0),),"")</f>
        <v/>
      </c>
      <c r="T65" s="83">
        <f>IF(S65="","",IF(VLOOKUP($B65,INDIRECT("'GRD-"&amp;U65&amp;"'!$B:$R"),16,FALSE)="","",VLOOKUP($B65,INDIRECT("'GRD-"&amp;U65&amp;"'!$B:$R"),16,FALSE)))</f>
        <v/>
      </c>
      <c r="U65" s="128">
        <f t="array" ref="U65">IF(S65="","",IFERROR(OFFSET($BZ$11,0,MATCH($S65,$CA65:$FV65,0),),""))</f>
        <v/>
      </c>
      <c r="V65" s="133">
        <f t="array" ref="V65">IF(S65="","",INDIRECT("'GRD-"&amp;U65&amp;"'!$L$7"))</f>
        <v/>
      </c>
      <c r="W65" s="84">
        <f t="array" ref="W65">IFERROR(OFFSET($BZ$11,ROW($B65)-11,MATCH(W$10,$CA65:$FV65,0),),"")</f>
        <v/>
      </c>
      <c r="X65" s="84">
        <f>IF(W65="","",IF(VLOOKUP($B65,INDIRECT("'GRD-"&amp;Y65&amp;"'!$B:$R"),16,FALSE)="","",VLOOKUP($B65,INDIRECT("'GRD-"&amp;Y65&amp;"'!$B:$R"),16,FALSE)))</f>
        <v/>
      </c>
      <c r="Y65" s="129">
        <f t="array" ref="Y65">IF(W65="","",IFERROR(OFFSET($BZ$11,0,MATCH($W65,$CA65:$FV65,0),),""))</f>
        <v/>
      </c>
      <c r="Z65" s="134">
        <f t="array" ref="Z65">IF(W65="","",INDIRECT("'GRD-"&amp;Y65&amp;"'!$L$7"))</f>
        <v/>
      </c>
      <c r="AA65" s="85">
        <f t="array" ref="AA65">IFERROR(OFFSET($BZ$11,ROW($B65)-11,MATCH(AA$10,$CA65:$FV65,0),),"")</f>
        <v/>
      </c>
      <c r="AB65" s="85">
        <f>IF(AA65="","",IF(VLOOKUP($B65,INDIRECT("'GRD-"&amp;AC65&amp;"'!$B:$R"),16,FALSE)="","",VLOOKUP($B65,INDIRECT("'GRD-"&amp;AC65&amp;"'!$B:$R"),16,FALSE)))</f>
        <v/>
      </c>
      <c r="AC65" s="130">
        <f t="array" ref="AC65">IF(AA65="","",IFERROR(OFFSET($BZ$11,0,MATCH($AA65,$CA65:$FV65,0),),""))</f>
        <v/>
      </c>
      <c r="AD65" s="131">
        <f t="array" ref="AD65">IF(AA65="","",INDIRECT("'GRD-"&amp;AC65&amp;"'!$L$7"))</f>
        <v/>
      </c>
      <c r="AE65" s="76">
        <f t="array" ref="AE65">IFERROR(OFFSET($BZ$11,ROW($B65)-11,MATCH(AE$10,$CA65:$FV65,0),),"")</f>
        <v/>
      </c>
      <c r="AF65" s="76">
        <f>IF(AE65="","",IF(VLOOKUP($B65,INDIRECT("'GRD-"&amp;AG65&amp;"'!$B:$R"),16,FALSE)="","",VLOOKUP($B65,INDIRECT("'GRD-"&amp;AG65&amp;"'!$B:$R"),16,FALSE)))</f>
        <v/>
      </c>
      <c r="AG65" s="132">
        <f t="array" ref="AG65">IF(AE65="","",IFERROR(OFFSET($BZ$11,0,MATCH($AE65,$CA65:$FV65,0),),""))</f>
        <v/>
      </c>
      <c r="AH65" s="121">
        <f t="array" ref="AH65">IF(AE65="","",INDIRECT("'GRD-"&amp;AG65&amp;"'!$L$7"))</f>
        <v/>
      </c>
      <c r="AI65" s="83">
        <f t="array" ref="AI65">IFERROR(OFFSET($BZ$11,ROW($B65)-11,MATCH(AI$10,$CA65:$FV65,0),),"")</f>
        <v/>
      </c>
      <c r="AJ65" s="83">
        <f>IF(AI65="","",IF(VLOOKUP($B65,INDIRECT("'GRD-"&amp;AK65&amp;"'!$B:$R"),16,FALSE)="","",VLOOKUP($B65,INDIRECT("'GRD-"&amp;AK65&amp;"'!$B:$R"),16,FALSE)))</f>
        <v/>
      </c>
      <c r="AK65" s="128">
        <f t="array" ref="AK65">IF(AI65="","",IFERROR(OFFSET($BZ$11,0,MATCH($AI65,$CA65:$FV65,0),),""))</f>
        <v/>
      </c>
      <c r="AL65" s="133">
        <f t="array" ref="AL65">IF(AI65="","",INDIRECT("'GRD-"&amp;AK65&amp;"'!$L$7"))</f>
        <v/>
      </c>
      <c r="AM65" s="84">
        <f t="array" ref="AM65">IFERROR(OFFSET($BZ$11,ROW($B65)-11,MATCH(AM$10,$CA65:$FV65,0),),"")</f>
        <v/>
      </c>
      <c r="AN65" s="84">
        <f>IF(AM65="","",IF(VLOOKUP($B65,INDIRECT("'GRD-"&amp;AO65&amp;"'!$B:$R"),16,FALSE)="","",VLOOKUP($B65,INDIRECT("'GRD-"&amp;AO65&amp;"'!$B:$R"),16,FALSE)))</f>
        <v/>
      </c>
      <c r="AO65" s="129">
        <f t="array" ref="AO65">IF(AM65="","",IFERROR(OFFSET($BZ$11,0,MATCH($AM65,$CA65:$FV65,0),),""))</f>
        <v/>
      </c>
      <c r="AP65" s="134">
        <f t="array" ref="AP65">IF(AM65="","",INDIRECT("'GRD-"&amp;AO65&amp;"'!$L$7"))</f>
        <v/>
      </c>
      <c r="AQ65" s="85">
        <f t="array" ref="AQ65">IFERROR(OFFSET($BZ$11,ROW($B65)-11,MATCH(AQ$10,$CA65:$FV65,0),),"")</f>
        <v/>
      </c>
      <c r="AR65" s="85">
        <f>IF(AQ65="","",IF(VLOOKUP($B65,INDIRECT("'GRD-"&amp;AS65&amp;"'!$B:$R"),16,FALSE)="","",VLOOKUP($B65,INDIRECT("'GRD-"&amp;AS65&amp;"'!$B:$R"),16,FALSE)))</f>
        <v/>
      </c>
      <c r="AS65" s="130">
        <f t="array" ref="AS65">IF(AQ65="","",IFERROR(OFFSET($BZ$11,0,MATCH($AQ65,$CA65:$FV65,0),),""))</f>
        <v/>
      </c>
      <c r="AT65" s="131">
        <f t="array" ref="AT65">IF(AQ65="","",INDIRECT("'GRD-"&amp;AS65&amp;"'!$L$7"))</f>
        <v/>
      </c>
      <c r="AU65" s="76">
        <f t="array" ref="AU65">IFERROR(OFFSET($BZ$11,ROW($B65)-11,MATCH(AU$10,$CA65:$FV65,0),),"")</f>
        <v/>
      </c>
      <c r="AV65" s="76">
        <f>IF(AU65="","",IF(VLOOKUP($B65,INDIRECT("'GRD-"&amp;AW65&amp;"'!$B:$R"),16,FALSE)="","",VLOOKUP($B65,INDIRECT("'GRD-"&amp;AW65&amp;"'!$B:$R"),16,FALSE)))</f>
        <v/>
      </c>
      <c r="AW65" s="132">
        <f t="array" ref="AW65">IF(AU65="","",IFERROR(OFFSET($BZ$11,0,MATCH($AU65,$CA65:$FV65,0),),""))</f>
        <v/>
      </c>
      <c r="AX65" s="121">
        <f t="array" ref="AX65">IF(AU65="","",INDIRECT("'GRD-"&amp;AW65&amp;"'!$L$7"))</f>
        <v/>
      </c>
      <c r="AY65" s="83">
        <f t="array" ref="AY65">IFERROR(OFFSET($BZ$11,ROW($B65)-11,MATCH(AY$10,$CA65:$FV65,0),),"")</f>
        <v/>
      </c>
      <c r="AZ65" s="83">
        <f>IF(AY65="","",IF(VLOOKUP($B65,INDIRECT("'GRD-"&amp;BA65&amp;"'!$B:$R"),16,FALSE)="","",VLOOKUP($B65,INDIRECT("'GRD-"&amp;BA65&amp;"'!$B:$R"),16,FALSE)))</f>
        <v/>
      </c>
      <c r="BA65" s="128">
        <f t="array" ref="BA65">IF(AY65="","",IFERROR(OFFSET($BZ$11,0,MATCH($AY65,$CA65:$FV65,0),),""))</f>
        <v/>
      </c>
      <c r="BB65" s="133">
        <f t="array" ref="BB65">IF(AY65="","",INDIRECT("'GRD-"&amp;BA65&amp;"'!$L$7"))</f>
        <v/>
      </c>
      <c r="BC65" s="84">
        <f t="array" ref="BC65">IFERROR(OFFSET($BZ$11,ROW($B65)-11,MATCH(BC$10,$CA65:$FV65,0),),"")</f>
        <v/>
      </c>
      <c r="BD65" s="84">
        <f>IF(BC65="","",IF(VLOOKUP($B65,INDIRECT("'GRD-"&amp;BE65&amp;"'!$B:$R"),16,FALSE)="","",VLOOKUP($B65,INDIRECT("'GRD-"&amp;BE65&amp;"'!$B:$R"),16,FALSE)))</f>
        <v/>
      </c>
      <c r="BE65" s="129">
        <f t="array" ref="BE65">IF(BC65="","",IFERROR(OFFSET($BZ$11,0,MATCH($BC65,$CA65:$FV65,0),),""))</f>
        <v/>
      </c>
      <c r="BF65" s="134">
        <f t="array" ref="BF65">IF(BC65="","",INDIRECT("'GRD-"&amp;BE65&amp;"'!$L$7"))</f>
        <v/>
      </c>
      <c r="CA65" s="96">
        <f>IFERROR(VLOOKUP($B65,INDIRECT("'GRD-"&amp;CA$11&amp;"'!B:R"),15,FALSE),"")</f>
        <v/>
      </c>
      <c r="CB65" s="96">
        <f>IFERROR(VLOOKUP($B65,INDIRECT("'GRD-"&amp;CB$11&amp;"'!B:R"),15,FALSE),"")</f>
        <v/>
      </c>
      <c r="CC65" s="96">
        <f>IFERROR(VLOOKUP($B65,INDIRECT("'GRD-"&amp;CC$11&amp;"'!B:R"),15,FALSE),"")</f>
        <v/>
      </c>
      <c r="CD65" s="96">
        <f>IFERROR(VLOOKUP($B65,INDIRECT("'GRD-"&amp;CD$11&amp;"'!B:R"),15,FALSE),"")</f>
        <v/>
      </c>
      <c r="CE65" s="96">
        <f>IFERROR(VLOOKUP($B65,INDIRECT("'GRD-"&amp;CE$11&amp;"'!B:R"),15,FALSE),"")</f>
        <v/>
      </c>
      <c r="CF65" s="96">
        <f>IFERROR(VLOOKUP($B65,INDIRECT("'GRD-"&amp;CF$11&amp;"'!B:R"),15,FALSE),"")</f>
        <v/>
      </c>
      <c r="CG65" s="96">
        <f>IFERROR(VLOOKUP($B65,INDIRECT("'GRD-"&amp;CG$11&amp;"'!B:R"),15,FALSE),"")</f>
        <v/>
      </c>
      <c r="CH65" s="96">
        <f>IFERROR(VLOOKUP($B65,INDIRECT("'GRD-"&amp;CH$11&amp;"'!B:R"),15,FALSE),"")</f>
        <v/>
      </c>
      <c r="CI65" s="96">
        <f>IFERROR(VLOOKUP($B65,INDIRECT("'GRD-"&amp;CI$11&amp;"'!B:R"),15,FALSE),"")</f>
        <v/>
      </c>
      <c r="CJ65" s="96">
        <f>IFERROR(VLOOKUP($B65,INDIRECT("'GRD-"&amp;CJ$11&amp;"'!B:R"),15,FALSE),"")</f>
        <v/>
      </c>
      <c r="CK65" s="96">
        <f>IFERROR(VLOOKUP($B65,INDIRECT("'GRD-"&amp;CK$11&amp;"'!B:R"),15,FALSE),"")</f>
        <v/>
      </c>
      <c r="CL65" s="96">
        <f>IFERROR(VLOOKUP($B65,INDIRECT("'GRD-"&amp;CL$11&amp;"'!B:R"),15,FALSE),"")</f>
        <v/>
      </c>
      <c r="CM65" s="96">
        <f>IFERROR(VLOOKUP($B65,INDIRECT("'GRD-"&amp;CM$11&amp;"'!B:R"),15,FALSE),"")</f>
        <v/>
      </c>
      <c r="CN65" s="96">
        <f>IFERROR(VLOOKUP($B65,INDIRECT("'GRD-"&amp;CN$11&amp;"'!B:R"),15,FALSE),"")</f>
        <v/>
      </c>
      <c r="CO65" s="96">
        <f>IFERROR(VLOOKUP($B65,INDIRECT("'GRD-"&amp;CO$11&amp;"'!B:R"),15,FALSE),"")</f>
        <v/>
      </c>
      <c r="CP65" s="96">
        <f>IFERROR(VLOOKUP($B65,INDIRECT("'GRD-"&amp;CP$11&amp;"'!B:R"),15,FALSE),"")</f>
        <v/>
      </c>
      <c r="CQ65" s="96">
        <f>IFERROR(VLOOKUP($B65,INDIRECT("'GRD-"&amp;CQ$11&amp;"'!B:R"),15,FALSE),"")</f>
        <v/>
      </c>
      <c r="CR65" s="96">
        <f>IFERROR(VLOOKUP($B65,INDIRECT("'GRD-"&amp;CR$11&amp;"'!B:R"),15,FALSE),"")</f>
        <v/>
      </c>
      <c r="CS65" s="96">
        <f>IFERROR(VLOOKUP($B65,INDIRECT("'GRD-"&amp;CS$11&amp;"'!B:R"),15,FALSE),"")</f>
        <v/>
      </c>
      <c r="CT65" s="96">
        <f>IFERROR(VLOOKUP($B65,INDIRECT("'GRD-"&amp;CT$11&amp;"'!B:R"),15,FALSE),"")</f>
        <v/>
      </c>
      <c r="CU65" s="96">
        <f>IFERROR(VLOOKUP($B65,INDIRECT("'GRD-"&amp;CU$11&amp;"'!B:R"),15,FALSE),"")</f>
        <v/>
      </c>
      <c r="CV65" s="96">
        <f>IFERROR(VLOOKUP($B65,INDIRECT("'GRD-"&amp;CV$11&amp;"'!B:R"),15,FALSE),"")</f>
        <v/>
      </c>
      <c r="CW65" s="96">
        <f>IFERROR(VLOOKUP($B65,INDIRECT("'GRD-"&amp;CW$11&amp;"'!B:R"),15,FALSE),"")</f>
        <v/>
      </c>
      <c r="CX65" s="96">
        <f>IFERROR(VLOOKUP($B65,INDIRECT("'GRD-"&amp;CX$11&amp;"'!B:R"),15,FALSE),"")</f>
        <v/>
      </c>
      <c r="CY65" s="96">
        <f>IFERROR(VLOOKUP($B65,INDIRECT("'GRD-"&amp;CY$11&amp;"'!B:R"),15,FALSE),"")</f>
        <v/>
      </c>
      <c r="CZ65" s="96">
        <f>IFERROR(VLOOKUP($B65,INDIRECT("'GRD-"&amp;CZ$11&amp;"'!B:R"),15,FALSE),"")</f>
        <v/>
      </c>
      <c r="DA65" s="96">
        <f>IFERROR(VLOOKUP($B65,INDIRECT("'GRD-"&amp;DA$11&amp;"'!B:R"),15,FALSE),"")</f>
        <v/>
      </c>
      <c r="DB65" s="96">
        <f>IFERROR(VLOOKUP($B65,INDIRECT("'GRD-"&amp;DB$11&amp;"'!B:R"),15,FALSE),"")</f>
        <v/>
      </c>
      <c r="DC65" s="96">
        <f>IFERROR(VLOOKUP($B65,INDIRECT("'GRD-"&amp;DC$11&amp;"'!B:R"),15,FALSE),"")</f>
        <v/>
      </c>
      <c r="DD65" s="96">
        <f>IFERROR(VLOOKUP($B65,INDIRECT("'GRD-"&amp;DD$11&amp;"'!B:R"),15,FALSE),"")</f>
        <v/>
      </c>
      <c r="DE65" s="96">
        <f>IFERROR(VLOOKUP($B65,INDIRECT("'GRD-"&amp;DE$11&amp;"'!B:R"),15,FALSE),"")</f>
        <v/>
      </c>
      <c r="DF65" s="96">
        <f>IFERROR(VLOOKUP($B65,INDIRECT("'GRD-"&amp;DF$11&amp;"'!B:R"),15,FALSE),"")</f>
        <v/>
      </c>
      <c r="DG65" s="96">
        <f>IFERROR(VLOOKUP($B65,INDIRECT("'GRD-"&amp;DG$11&amp;"'!B:R"),15,FALSE),"")</f>
        <v/>
      </c>
      <c r="DH65" s="96">
        <f>IFERROR(VLOOKUP($B65,INDIRECT("'GRD-"&amp;DH$11&amp;"'!B:R"),15,FALSE),"")</f>
        <v/>
      </c>
      <c r="DI65" s="96">
        <f>IFERROR(VLOOKUP($B65,INDIRECT("'GRD-"&amp;DI$11&amp;"'!B:R"),15,FALSE),"")</f>
        <v/>
      </c>
      <c r="DJ65" s="96">
        <f>IFERROR(VLOOKUP($B65,INDIRECT("'GRD-"&amp;DJ$11&amp;"'!B:R"),15,FALSE),"")</f>
        <v/>
      </c>
      <c r="DK65" s="96">
        <f>IFERROR(VLOOKUP($B65,INDIRECT("'GRD-"&amp;DK$11&amp;"'!B:R"),15,FALSE),"")</f>
        <v/>
      </c>
      <c r="DL65" s="96">
        <f>IFERROR(VLOOKUP($B65,INDIRECT("'GRD-"&amp;DL$11&amp;"'!B:R"),15,FALSE),"")</f>
        <v/>
      </c>
      <c r="DM65" s="96">
        <f>IFERROR(VLOOKUP($B65,INDIRECT("'GRD-"&amp;DM$11&amp;"'!B:R"),15,FALSE),"")</f>
        <v/>
      </c>
      <c r="DN65" s="96">
        <f>IFERROR(VLOOKUP($B65,INDIRECT("'GRD-"&amp;DN$11&amp;"'!B:R"),15,FALSE),"")</f>
        <v/>
      </c>
      <c r="DO65" s="96">
        <f>IFERROR(VLOOKUP($B65,INDIRECT("'GRD-"&amp;DO$11&amp;"'!B:R"),15,FALSE),"")</f>
        <v/>
      </c>
      <c r="DP65" s="96">
        <f>IFERROR(VLOOKUP($B65,INDIRECT("'GRD-"&amp;DP$11&amp;"'!B:R"),15,FALSE),"")</f>
        <v/>
      </c>
      <c r="DQ65" s="96">
        <f>IFERROR(VLOOKUP($B65,INDIRECT("'GRD-"&amp;DQ$11&amp;"'!B:R"),15,FALSE),"")</f>
        <v/>
      </c>
      <c r="DR65" s="96">
        <f>IFERROR(VLOOKUP($B65,INDIRECT("'GRD-"&amp;DR$11&amp;"'!B:R"),15,FALSE),"")</f>
        <v/>
      </c>
      <c r="DS65" s="96">
        <f>IFERROR(VLOOKUP($B65,INDIRECT("'GRD-"&amp;DS$11&amp;"'!B:R"),15,FALSE),"")</f>
        <v/>
      </c>
      <c r="DT65" s="96">
        <f>IFERROR(VLOOKUP($B65,INDIRECT("'GRD-"&amp;DT$11&amp;"'!B:R"),15,FALSE),"")</f>
        <v/>
      </c>
      <c r="DU65" s="96">
        <f>IFERROR(VLOOKUP($B65,INDIRECT("'GRD-"&amp;DU$11&amp;"'!B:R"),15,FALSE),"")</f>
        <v/>
      </c>
      <c r="DV65" s="96">
        <f>IFERROR(VLOOKUP($B65,INDIRECT("'GRD-"&amp;DV$11&amp;"'!B:R"),15,FALSE),"")</f>
        <v/>
      </c>
      <c r="DW65" s="96">
        <f>IFERROR(VLOOKUP($B65,INDIRECT("'GRD-"&amp;DW$11&amp;"'!B:R"),15,FALSE),"")</f>
        <v/>
      </c>
      <c r="DX65" s="96">
        <f>IFERROR(VLOOKUP($B65,INDIRECT("'GRD-"&amp;DX$11&amp;"'!B:R"),15,FALSE),"")</f>
        <v/>
      </c>
      <c r="DY65" s="96">
        <f>IFERROR(VLOOKUP($B65,INDIRECT("'GRD-"&amp;DY$11&amp;"'!B:R"),15,FALSE),"")</f>
        <v/>
      </c>
      <c r="DZ65" s="96">
        <f>IFERROR(VLOOKUP($B65,INDIRECT("'GRD-"&amp;DZ$11&amp;"'!B:R"),15,FALSE),"")</f>
        <v/>
      </c>
      <c r="EA65" s="96">
        <f>IFERROR(VLOOKUP($B65,INDIRECT("'GRD-"&amp;EA$11&amp;"'!B:R"),15,FALSE),"")</f>
        <v/>
      </c>
      <c r="EB65" s="96">
        <f>IFERROR(VLOOKUP($B65,INDIRECT("'GRD-"&amp;EB$11&amp;"'!B:R"),15,FALSE),"")</f>
        <v/>
      </c>
      <c r="EC65" s="96">
        <f>IFERROR(VLOOKUP($B65,INDIRECT("'GRD-"&amp;EC$11&amp;"'!B:R"),15,FALSE),"")</f>
        <v/>
      </c>
      <c r="ED65" s="96">
        <f>IFERROR(VLOOKUP($B65,INDIRECT("'GRD-"&amp;ED$11&amp;"'!B:R"),15,FALSE),"")</f>
        <v/>
      </c>
      <c r="EE65" s="96">
        <f>IFERROR(VLOOKUP($B65,INDIRECT("'GRD-"&amp;EE$11&amp;"'!B:R"),15,FALSE),"")</f>
        <v/>
      </c>
      <c r="EF65" s="96">
        <f>IFERROR(VLOOKUP($B65,INDIRECT("'GRD-"&amp;EF$11&amp;"'!B:R"),15,FALSE),"")</f>
        <v/>
      </c>
      <c r="EG65" s="96">
        <f>IFERROR(VLOOKUP($B65,INDIRECT("'GRD-"&amp;EG$11&amp;"'!B:R"),15,FALSE),"")</f>
        <v/>
      </c>
      <c r="EH65" s="96">
        <f>IFERROR(VLOOKUP($B65,INDIRECT("'GRD-"&amp;EH$11&amp;"'!B:R"),15,FALSE),"")</f>
        <v/>
      </c>
      <c r="EI65" s="96">
        <f>IFERROR(VLOOKUP($B65,INDIRECT("'GRD-"&amp;EI$11&amp;"'!B:R"),15,FALSE),"")</f>
        <v/>
      </c>
      <c r="EJ65" s="96">
        <f>IFERROR(VLOOKUP($B65,INDIRECT("'GRD-"&amp;EJ$11&amp;"'!B:R"),15,FALSE),"")</f>
        <v/>
      </c>
      <c r="EK65" s="96">
        <f>IFERROR(VLOOKUP($B65,INDIRECT("'GRD-"&amp;EK$11&amp;"'!B:R"),15,FALSE),"")</f>
        <v/>
      </c>
      <c r="EL65" s="96">
        <f>IFERROR(VLOOKUP($B65,INDIRECT("'GRD-"&amp;EL$11&amp;"'!B:R"),15,FALSE),"")</f>
        <v/>
      </c>
      <c r="EM65" s="96">
        <f>IFERROR(VLOOKUP($B65,INDIRECT("'GRD-"&amp;EM$11&amp;"'!B:R"),15,FALSE),"")</f>
        <v/>
      </c>
      <c r="EN65" s="96">
        <f>IFERROR(VLOOKUP($B65,INDIRECT("'GRD-"&amp;EN$11&amp;"'!B:R"),15,FALSE),"")</f>
        <v/>
      </c>
      <c r="EO65" s="96">
        <f>IFERROR(VLOOKUP($B65,INDIRECT("'GRD-"&amp;EO$11&amp;"'!B:R"),15,FALSE),"")</f>
        <v/>
      </c>
      <c r="EP65" s="96">
        <f>IFERROR(VLOOKUP($B65,INDIRECT("'GRD-"&amp;EP$11&amp;"'!B:R"),15,FALSE),"")</f>
        <v/>
      </c>
      <c r="EQ65" s="96">
        <f>IFERROR(VLOOKUP($B65,INDIRECT("'GRD-"&amp;EQ$11&amp;"'!B:R"),15,FALSE),"")</f>
        <v/>
      </c>
      <c r="ER65" s="96">
        <f>IFERROR(VLOOKUP($B65,INDIRECT("'GRD-"&amp;ER$11&amp;"'!B:R"),15,FALSE),"")</f>
        <v/>
      </c>
      <c r="ES65" s="96">
        <f>IFERROR(VLOOKUP($B65,INDIRECT("'GRD-"&amp;ES$11&amp;"'!B:R"),15,FALSE),"")</f>
        <v/>
      </c>
      <c r="ET65" s="96">
        <f>IFERROR(VLOOKUP($B65,INDIRECT("'GRD-"&amp;ET$11&amp;"'!B:R"),15,FALSE),"")</f>
        <v/>
      </c>
      <c r="EU65" s="96">
        <f>IFERROR(VLOOKUP($B65,INDIRECT("'GRD-"&amp;EU$11&amp;"'!B:R"),15,FALSE),"")</f>
        <v/>
      </c>
      <c r="EV65" s="96">
        <f>IFERROR(VLOOKUP($B65,INDIRECT("'GRD-"&amp;EV$11&amp;"'!B:R"),15,FALSE),"")</f>
        <v/>
      </c>
      <c r="EW65" s="96">
        <f>IFERROR(VLOOKUP($B65,INDIRECT("'GRD-"&amp;EW$11&amp;"'!B:R"),15,FALSE),"")</f>
        <v/>
      </c>
      <c r="EX65" s="96">
        <f>IFERROR(VLOOKUP($B65,INDIRECT("'GRD-"&amp;EX$11&amp;"'!B:R"),15,FALSE),"")</f>
        <v/>
      </c>
      <c r="EY65" s="96">
        <f>IFERROR(VLOOKUP($B65,INDIRECT("'GRD-"&amp;EY$11&amp;"'!B:R"),15,FALSE),"")</f>
        <v/>
      </c>
      <c r="EZ65" s="96">
        <f>IFERROR(VLOOKUP($B65,INDIRECT("'GRD-"&amp;EZ$11&amp;"'!B:R"),15,FALSE),"")</f>
        <v/>
      </c>
      <c r="FA65" s="96">
        <f>IFERROR(VLOOKUP($B65,INDIRECT("'GRD-"&amp;FA$11&amp;"'!B:R"),15,FALSE),"")</f>
        <v/>
      </c>
      <c r="FB65" s="96">
        <f>IFERROR(VLOOKUP($B65,INDIRECT("'GRD-"&amp;FB$11&amp;"'!B:R"),15,FALSE),"")</f>
        <v/>
      </c>
      <c r="FC65" s="96">
        <f>IFERROR(VLOOKUP($B65,INDIRECT("'GRD-"&amp;FC$11&amp;"'!B:R"),15,FALSE),"")</f>
        <v/>
      </c>
      <c r="FD65" s="96">
        <f>IFERROR(VLOOKUP($B65,INDIRECT("'GRD-"&amp;FD$11&amp;"'!B:R"),15,FALSE),"")</f>
        <v/>
      </c>
      <c r="FE65" s="96">
        <f>IFERROR(VLOOKUP($B65,INDIRECT("'GRD-"&amp;FE$11&amp;"'!B:R"),15,FALSE),"")</f>
        <v/>
      </c>
      <c r="FF65" s="96">
        <f>IFERROR(VLOOKUP($B65,INDIRECT("'GRD-"&amp;FF$11&amp;"'!B:R"),15,FALSE),"")</f>
        <v/>
      </c>
      <c r="FG65" s="96">
        <f>IFERROR(VLOOKUP($B65,INDIRECT("'GRD-"&amp;FG$11&amp;"'!B:R"),15,FALSE),"")</f>
        <v/>
      </c>
      <c r="FH65" s="96">
        <f>IFERROR(VLOOKUP($B65,INDIRECT("'GRD-"&amp;FH$11&amp;"'!B:R"),15,FALSE),"")</f>
        <v/>
      </c>
      <c r="FI65" s="96">
        <f>IFERROR(VLOOKUP($B65,INDIRECT("'GRD-"&amp;FI$11&amp;"'!B:R"),15,FALSE),"")</f>
        <v/>
      </c>
      <c r="FJ65" s="96">
        <f>IFERROR(VLOOKUP($B65,INDIRECT("'GRD-"&amp;FJ$11&amp;"'!B:R"),15,FALSE),"")</f>
        <v/>
      </c>
      <c r="FK65" s="96">
        <f>IFERROR(VLOOKUP($B65,INDIRECT("'GRD-"&amp;FK$11&amp;"'!B:R"),15,FALSE),"")</f>
        <v/>
      </c>
      <c r="FL65" s="96">
        <f>IFERROR(VLOOKUP($B65,INDIRECT("'GRD-"&amp;FL$11&amp;"'!B:R"),15,FALSE),"")</f>
        <v/>
      </c>
      <c r="FM65" s="96">
        <f>IFERROR(VLOOKUP($B65,INDIRECT("'GRD-"&amp;FM$11&amp;"'!B:R"),15,FALSE),"")</f>
        <v/>
      </c>
      <c r="FN65" s="96">
        <f>IFERROR(VLOOKUP($B65,INDIRECT("'GRD-"&amp;FN$11&amp;"'!B:R"),15,FALSE),"")</f>
        <v/>
      </c>
      <c r="FO65" s="96">
        <f>IFERROR(VLOOKUP($B65,INDIRECT("'GRD-"&amp;FO$11&amp;"'!B:R"),15,FALSE),"")</f>
        <v/>
      </c>
      <c r="FP65" s="96">
        <f>IFERROR(VLOOKUP($B65,INDIRECT("'GRD-"&amp;FP$11&amp;"'!B:R"),15,FALSE),"")</f>
        <v/>
      </c>
      <c r="FQ65" s="96">
        <f>IFERROR(VLOOKUP($B65,INDIRECT("'GRD-"&amp;FQ$11&amp;"'!B:R"),15,FALSE),"")</f>
        <v/>
      </c>
      <c r="FR65" s="96">
        <f>IFERROR(VLOOKUP($B65,INDIRECT("'GRD-"&amp;FR$11&amp;"'!B:R"),15,FALSE),"")</f>
        <v/>
      </c>
      <c r="FS65" s="96">
        <f>IFERROR(VLOOKUP($B65,INDIRECT("'GRD-"&amp;FS$11&amp;"'!B:R"),15,FALSE),"")</f>
        <v/>
      </c>
      <c r="FT65" s="96">
        <f>IFERROR(VLOOKUP($B65,INDIRECT("'GRD-"&amp;FT$11&amp;"'!B:R"),15,FALSE),"")</f>
        <v/>
      </c>
      <c r="FU65" s="96">
        <f>IFERROR(VLOOKUP($B65,INDIRECT("'GRD-"&amp;FU$11&amp;"'!B:R"),15,FALSE),"")</f>
        <v/>
      </c>
      <c r="FV65" s="96">
        <f>IFERROR(VLOOKUP($B65,INDIRECT("'GRD-"&amp;FV$11&amp;"'!B:R"),15,FALSE),"")</f>
        <v/>
      </c>
    </row>
    <row r="66">
      <c r="B66" s="85" t="n"/>
      <c r="C66" s="93" t="n"/>
      <c r="D66" s="73">
        <f>IF(K66="","",MAX($CA66:$FV66))</f>
        <v/>
      </c>
      <c r="E66" s="74">
        <f t="array" ref="E66">IF($K66="","",OFFSET($A$1,ROW($B66)-1,11+$D66*4,))</f>
        <v/>
      </c>
      <c r="F66" s="74">
        <f t="array" ref="F66">IF($K66="","",OFFSET($A$1,ROW($B66)-1,12+$D66*4,))</f>
        <v/>
      </c>
      <c r="G66" s="118">
        <f t="array" ref="G66">IF($K66="","",OFFSET($A$1,ROW($B66)-1,13+$D66*4,))</f>
        <v/>
      </c>
      <c r="H66" s="81" t="n"/>
      <c r="I66" s="82" t="n"/>
      <c r="J66" s="75">
        <f>IF(I66="A4",H66/8,IF(I66="A3",H66/4,IF(I66="A2",H66/2,IF(I66="A1",H66/1,IF(I66="A0",H66*2,"")))))</f>
        <v/>
      </c>
      <c r="K66" s="68">
        <f t="array" ref="K66">IFERROR(OFFSET($BZ$11,ROW($B66)-11,MATCH(K$10,$CA66:$FV66,0),),"")</f>
        <v/>
      </c>
      <c r="L66" s="85">
        <f>IF(K66="","",IF(VLOOKUP($B66,INDIRECT("'GRD-"&amp;M66&amp;"'!$B:$R"),16,FALSE)="","",VLOOKUP($B66,INDIRECT("'GRD-"&amp;M66&amp;"'!$B:$R"),16,FALSE)))</f>
        <v/>
      </c>
      <c r="M66" s="130">
        <f t="array" ref="M66">IF(K66="","",IFERROR(OFFSET($BZ$11,0,MATCH($K66,$CA66:$FV66,0),),""))</f>
        <v/>
      </c>
      <c r="N66" s="119">
        <f t="array" ref="N66">IF(K66="","",INDIRECT("'GRD-"&amp;M66&amp;"'!$L$7"))</f>
        <v/>
      </c>
      <c r="O66" s="76">
        <f t="array" ref="O66">IFERROR(OFFSET($BZ$11,ROW($B66)-11,MATCH(O$10,$CA66:$FV66,0),),"")</f>
        <v/>
      </c>
      <c r="P66" s="76">
        <f>IF(O66="","",IF(VLOOKUP($B66,INDIRECT("'GRD-"&amp;Q66&amp;"'!$B:$R"),16,FALSE)="","",VLOOKUP($B66,INDIRECT("'GRD-"&amp;Q66&amp;"'!$B:$R"),16,FALSE)))</f>
        <v/>
      </c>
      <c r="Q66" s="132">
        <f t="array" ref="Q66">IF(O66="","",IFERROR(OFFSET($BZ$11,0,MATCH($O66,$CA66:$FV66,0),),""))</f>
        <v/>
      </c>
      <c r="R66" s="121">
        <f t="array" ref="R66">IF(O66="","",INDIRECT("'GRD-"&amp;Q66&amp;"'!$L$7"))</f>
        <v/>
      </c>
      <c r="S66" s="83">
        <f t="array" ref="S66">IFERROR(OFFSET($BZ$11,ROW($B66)-11,MATCH(S$10,$CA66:$FV66,0),),"")</f>
        <v/>
      </c>
      <c r="T66" s="83">
        <f>IF(S66="","",IF(VLOOKUP($B66,INDIRECT("'GRD-"&amp;U66&amp;"'!$B:$R"),16,FALSE)="","",VLOOKUP($B66,INDIRECT("'GRD-"&amp;U66&amp;"'!$B:$R"),16,FALSE)))</f>
        <v/>
      </c>
      <c r="U66" s="128">
        <f t="array" ref="U66">IF(S66="","",IFERROR(OFFSET($BZ$11,0,MATCH($S66,$CA66:$FV66,0),),""))</f>
        <v/>
      </c>
      <c r="V66" s="133">
        <f t="array" ref="V66">IF(S66="","",INDIRECT("'GRD-"&amp;U66&amp;"'!$L$7"))</f>
        <v/>
      </c>
      <c r="W66" s="84">
        <f t="array" ref="W66">IFERROR(OFFSET($BZ$11,ROW($B66)-11,MATCH(W$10,$CA66:$FV66,0),),"")</f>
        <v/>
      </c>
      <c r="X66" s="84">
        <f>IF(W66="","",IF(VLOOKUP($B66,INDIRECT("'GRD-"&amp;Y66&amp;"'!$B:$R"),16,FALSE)="","",VLOOKUP($B66,INDIRECT("'GRD-"&amp;Y66&amp;"'!$B:$R"),16,FALSE)))</f>
        <v/>
      </c>
      <c r="Y66" s="129">
        <f t="array" ref="Y66">IF(W66="","",IFERROR(OFFSET($BZ$11,0,MATCH($W66,$CA66:$FV66,0),),""))</f>
        <v/>
      </c>
      <c r="Z66" s="134">
        <f t="array" ref="Z66">IF(W66="","",INDIRECT("'GRD-"&amp;Y66&amp;"'!$L$7"))</f>
        <v/>
      </c>
      <c r="AA66" s="85">
        <f t="array" ref="AA66">IFERROR(OFFSET($BZ$11,ROW($B66)-11,MATCH(AA$10,$CA66:$FV66,0),),"")</f>
        <v/>
      </c>
      <c r="AB66" s="85">
        <f>IF(AA66="","",IF(VLOOKUP($B66,INDIRECT("'GRD-"&amp;AC66&amp;"'!$B:$R"),16,FALSE)="","",VLOOKUP($B66,INDIRECT("'GRD-"&amp;AC66&amp;"'!$B:$R"),16,FALSE)))</f>
        <v/>
      </c>
      <c r="AC66" s="130">
        <f t="array" ref="AC66">IF(AA66="","",IFERROR(OFFSET($BZ$11,0,MATCH($AA66,$CA66:$FV66,0),),""))</f>
        <v/>
      </c>
      <c r="AD66" s="131">
        <f t="array" ref="AD66">IF(AA66="","",INDIRECT("'GRD-"&amp;AC66&amp;"'!$L$7"))</f>
        <v/>
      </c>
      <c r="AE66" s="76">
        <f t="array" ref="AE66">IFERROR(OFFSET($BZ$11,ROW($B66)-11,MATCH(AE$10,$CA66:$FV66,0),),"")</f>
        <v/>
      </c>
      <c r="AF66" s="76">
        <f>IF(AE66="","",IF(VLOOKUP($B66,INDIRECT("'GRD-"&amp;AG66&amp;"'!$B:$R"),16,FALSE)="","",VLOOKUP($B66,INDIRECT("'GRD-"&amp;AG66&amp;"'!$B:$R"),16,FALSE)))</f>
        <v/>
      </c>
      <c r="AG66" s="132">
        <f t="array" ref="AG66">IF(AE66="","",IFERROR(OFFSET($BZ$11,0,MATCH($AE66,$CA66:$FV66,0),),""))</f>
        <v/>
      </c>
      <c r="AH66" s="121">
        <f t="array" ref="AH66">IF(AE66="","",INDIRECT("'GRD-"&amp;AG66&amp;"'!$L$7"))</f>
        <v/>
      </c>
      <c r="AI66" s="83">
        <f t="array" ref="AI66">IFERROR(OFFSET($BZ$11,ROW($B66)-11,MATCH(AI$10,$CA66:$FV66,0),),"")</f>
        <v/>
      </c>
      <c r="AJ66" s="83">
        <f>IF(AI66="","",IF(VLOOKUP($B66,INDIRECT("'GRD-"&amp;AK66&amp;"'!$B:$R"),16,FALSE)="","",VLOOKUP($B66,INDIRECT("'GRD-"&amp;AK66&amp;"'!$B:$R"),16,FALSE)))</f>
        <v/>
      </c>
      <c r="AK66" s="128">
        <f t="array" ref="AK66">IF(AI66="","",IFERROR(OFFSET($BZ$11,0,MATCH($AI66,$CA66:$FV66,0),),""))</f>
        <v/>
      </c>
      <c r="AL66" s="133">
        <f t="array" ref="AL66">IF(AI66="","",INDIRECT("'GRD-"&amp;AK66&amp;"'!$L$7"))</f>
        <v/>
      </c>
      <c r="AM66" s="84">
        <f t="array" ref="AM66">IFERROR(OFFSET($BZ$11,ROW($B66)-11,MATCH(AM$10,$CA66:$FV66,0),),"")</f>
        <v/>
      </c>
      <c r="AN66" s="84">
        <f>IF(AM66="","",IF(VLOOKUP($B66,INDIRECT("'GRD-"&amp;AO66&amp;"'!$B:$R"),16,FALSE)="","",VLOOKUP($B66,INDIRECT("'GRD-"&amp;AO66&amp;"'!$B:$R"),16,FALSE)))</f>
        <v/>
      </c>
      <c r="AO66" s="129">
        <f t="array" ref="AO66">IF(AM66="","",IFERROR(OFFSET($BZ$11,0,MATCH($AM66,$CA66:$FV66,0),),""))</f>
        <v/>
      </c>
      <c r="AP66" s="134">
        <f t="array" ref="AP66">IF(AM66="","",INDIRECT("'GRD-"&amp;AO66&amp;"'!$L$7"))</f>
        <v/>
      </c>
      <c r="AQ66" s="85">
        <f t="array" ref="AQ66">IFERROR(OFFSET($BZ$11,ROW($B66)-11,MATCH(AQ$10,$CA66:$FV66,0),),"")</f>
        <v/>
      </c>
      <c r="AR66" s="85">
        <f>IF(AQ66="","",IF(VLOOKUP($B66,INDIRECT("'GRD-"&amp;AS66&amp;"'!$B:$R"),16,FALSE)="","",VLOOKUP($B66,INDIRECT("'GRD-"&amp;AS66&amp;"'!$B:$R"),16,FALSE)))</f>
        <v/>
      </c>
      <c r="AS66" s="130">
        <f t="array" ref="AS66">IF(AQ66="","",IFERROR(OFFSET($BZ$11,0,MATCH($AQ66,$CA66:$FV66,0),),""))</f>
        <v/>
      </c>
      <c r="AT66" s="131">
        <f t="array" ref="AT66">IF(AQ66="","",INDIRECT("'GRD-"&amp;AS66&amp;"'!$L$7"))</f>
        <v/>
      </c>
      <c r="AU66" s="76">
        <f t="array" ref="AU66">IFERROR(OFFSET($BZ$11,ROW($B66)-11,MATCH(AU$10,$CA66:$FV66,0),),"")</f>
        <v/>
      </c>
      <c r="AV66" s="76">
        <f>IF(AU66="","",IF(VLOOKUP($B66,INDIRECT("'GRD-"&amp;AW66&amp;"'!$B:$R"),16,FALSE)="","",VLOOKUP($B66,INDIRECT("'GRD-"&amp;AW66&amp;"'!$B:$R"),16,FALSE)))</f>
        <v/>
      </c>
      <c r="AW66" s="132">
        <f t="array" ref="AW66">IF(AU66="","",IFERROR(OFFSET($BZ$11,0,MATCH($AU66,$CA66:$FV66,0),),""))</f>
        <v/>
      </c>
      <c r="AX66" s="121">
        <f t="array" ref="AX66">IF(AU66="","",INDIRECT("'GRD-"&amp;AW66&amp;"'!$L$7"))</f>
        <v/>
      </c>
      <c r="AY66" s="83">
        <f t="array" ref="AY66">IFERROR(OFFSET($BZ$11,ROW($B66)-11,MATCH(AY$10,$CA66:$FV66,0),),"")</f>
        <v/>
      </c>
      <c r="AZ66" s="83">
        <f>IF(AY66="","",IF(VLOOKUP($B66,INDIRECT("'GRD-"&amp;BA66&amp;"'!$B:$R"),16,FALSE)="","",VLOOKUP($B66,INDIRECT("'GRD-"&amp;BA66&amp;"'!$B:$R"),16,FALSE)))</f>
        <v/>
      </c>
      <c r="BA66" s="128">
        <f t="array" ref="BA66">IF(AY66="","",IFERROR(OFFSET($BZ$11,0,MATCH($AY66,$CA66:$FV66,0),),""))</f>
        <v/>
      </c>
      <c r="BB66" s="133">
        <f t="array" ref="BB66">IF(AY66="","",INDIRECT("'GRD-"&amp;BA66&amp;"'!$L$7"))</f>
        <v/>
      </c>
      <c r="BC66" s="84">
        <f t="array" ref="BC66">IFERROR(OFFSET($BZ$11,ROW($B66)-11,MATCH(BC$10,$CA66:$FV66,0),),"")</f>
        <v/>
      </c>
      <c r="BD66" s="84">
        <f>IF(BC66="","",IF(VLOOKUP($B66,INDIRECT("'GRD-"&amp;BE66&amp;"'!$B:$R"),16,FALSE)="","",VLOOKUP($B66,INDIRECT("'GRD-"&amp;BE66&amp;"'!$B:$R"),16,FALSE)))</f>
        <v/>
      </c>
      <c r="BE66" s="129">
        <f t="array" ref="BE66">IF(BC66="","",IFERROR(OFFSET($BZ$11,0,MATCH($BC66,$CA66:$FV66,0),),""))</f>
        <v/>
      </c>
      <c r="BF66" s="134">
        <f t="array" ref="BF66">IF(BC66="","",INDIRECT("'GRD-"&amp;BE66&amp;"'!$L$7"))</f>
        <v/>
      </c>
      <c r="CA66" s="96">
        <f>IFERROR(VLOOKUP($B66,INDIRECT("'GRD-"&amp;CA$11&amp;"'!B:R"),15,FALSE),"")</f>
        <v/>
      </c>
      <c r="CB66" s="96">
        <f>IFERROR(VLOOKUP($B66,INDIRECT("'GRD-"&amp;CB$11&amp;"'!B:R"),15,FALSE),"")</f>
        <v/>
      </c>
      <c r="CC66" s="96">
        <f>IFERROR(VLOOKUP($B66,INDIRECT("'GRD-"&amp;CC$11&amp;"'!B:R"),15,FALSE),"")</f>
        <v/>
      </c>
      <c r="CD66" s="96">
        <f>IFERROR(VLOOKUP($B66,INDIRECT("'GRD-"&amp;CD$11&amp;"'!B:R"),15,FALSE),"")</f>
        <v/>
      </c>
      <c r="CE66" s="96">
        <f>IFERROR(VLOOKUP($B66,INDIRECT("'GRD-"&amp;CE$11&amp;"'!B:R"),15,FALSE),"")</f>
        <v/>
      </c>
      <c r="CF66" s="96">
        <f>IFERROR(VLOOKUP($B66,INDIRECT("'GRD-"&amp;CF$11&amp;"'!B:R"),15,FALSE),"")</f>
        <v/>
      </c>
      <c r="CG66" s="96">
        <f>IFERROR(VLOOKUP($B66,INDIRECT("'GRD-"&amp;CG$11&amp;"'!B:R"),15,FALSE),"")</f>
        <v/>
      </c>
      <c r="CH66" s="96">
        <f>IFERROR(VLOOKUP($B66,INDIRECT("'GRD-"&amp;CH$11&amp;"'!B:R"),15,FALSE),"")</f>
        <v/>
      </c>
      <c r="CI66" s="96">
        <f>IFERROR(VLOOKUP($B66,INDIRECT("'GRD-"&amp;CI$11&amp;"'!B:R"),15,FALSE),"")</f>
        <v/>
      </c>
      <c r="CJ66" s="96">
        <f>IFERROR(VLOOKUP($B66,INDIRECT("'GRD-"&amp;CJ$11&amp;"'!B:R"),15,FALSE),"")</f>
        <v/>
      </c>
      <c r="CK66" s="96">
        <f>IFERROR(VLOOKUP($B66,INDIRECT("'GRD-"&amp;CK$11&amp;"'!B:R"),15,FALSE),"")</f>
        <v/>
      </c>
      <c r="CL66" s="96">
        <f>IFERROR(VLOOKUP($B66,INDIRECT("'GRD-"&amp;CL$11&amp;"'!B:R"),15,FALSE),"")</f>
        <v/>
      </c>
      <c r="CM66" s="96">
        <f>IFERROR(VLOOKUP($B66,INDIRECT("'GRD-"&amp;CM$11&amp;"'!B:R"),15,FALSE),"")</f>
        <v/>
      </c>
      <c r="CN66" s="96">
        <f>IFERROR(VLOOKUP($B66,INDIRECT("'GRD-"&amp;CN$11&amp;"'!B:R"),15,FALSE),"")</f>
        <v/>
      </c>
      <c r="CO66" s="96">
        <f>IFERROR(VLOOKUP($B66,INDIRECT("'GRD-"&amp;CO$11&amp;"'!B:R"),15,FALSE),"")</f>
        <v/>
      </c>
      <c r="CP66" s="96">
        <f>IFERROR(VLOOKUP($B66,INDIRECT("'GRD-"&amp;CP$11&amp;"'!B:R"),15,FALSE),"")</f>
        <v/>
      </c>
      <c r="CQ66" s="96">
        <f>IFERROR(VLOOKUP($B66,INDIRECT("'GRD-"&amp;CQ$11&amp;"'!B:R"),15,FALSE),"")</f>
        <v/>
      </c>
      <c r="CR66" s="96">
        <f>IFERROR(VLOOKUP($B66,INDIRECT("'GRD-"&amp;CR$11&amp;"'!B:R"),15,FALSE),"")</f>
        <v/>
      </c>
      <c r="CS66" s="96">
        <f>IFERROR(VLOOKUP($B66,INDIRECT("'GRD-"&amp;CS$11&amp;"'!B:R"),15,FALSE),"")</f>
        <v/>
      </c>
      <c r="CT66" s="96">
        <f>IFERROR(VLOOKUP($B66,INDIRECT("'GRD-"&amp;CT$11&amp;"'!B:R"),15,FALSE),"")</f>
        <v/>
      </c>
      <c r="CU66" s="96">
        <f>IFERROR(VLOOKUP($B66,INDIRECT("'GRD-"&amp;CU$11&amp;"'!B:R"),15,FALSE),"")</f>
        <v/>
      </c>
      <c r="CV66" s="96">
        <f>IFERROR(VLOOKUP($B66,INDIRECT("'GRD-"&amp;CV$11&amp;"'!B:R"),15,FALSE),"")</f>
        <v/>
      </c>
      <c r="CW66" s="96">
        <f>IFERROR(VLOOKUP($B66,INDIRECT("'GRD-"&amp;CW$11&amp;"'!B:R"),15,FALSE),"")</f>
        <v/>
      </c>
      <c r="CX66" s="96">
        <f>IFERROR(VLOOKUP($B66,INDIRECT("'GRD-"&amp;CX$11&amp;"'!B:R"),15,FALSE),"")</f>
        <v/>
      </c>
      <c r="CY66" s="96">
        <f>IFERROR(VLOOKUP($B66,INDIRECT("'GRD-"&amp;CY$11&amp;"'!B:R"),15,FALSE),"")</f>
        <v/>
      </c>
      <c r="CZ66" s="96">
        <f>IFERROR(VLOOKUP($B66,INDIRECT("'GRD-"&amp;CZ$11&amp;"'!B:R"),15,FALSE),"")</f>
        <v/>
      </c>
      <c r="DA66" s="96">
        <f>IFERROR(VLOOKUP($B66,INDIRECT("'GRD-"&amp;DA$11&amp;"'!B:R"),15,FALSE),"")</f>
        <v/>
      </c>
      <c r="DB66" s="96">
        <f>IFERROR(VLOOKUP($B66,INDIRECT("'GRD-"&amp;DB$11&amp;"'!B:R"),15,FALSE),"")</f>
        <v/>
      </c>
      <c r="DC66" s="96">
        <f>IFERROR(VLOOKUP($B66,INDIRECT("'GRD-"&amp;DC$11&amp;"'!B:R"),15,FALSE),"")</f>
        <v/>
      </c>
      <c r="DD66" s="96">
        <f>IFERROR(VLOOKUP($B66,INDIRECT("'GRD-"&amp;DD$11&amp;"'!B:R"),15,FALSE),"")</f>
        <v/>
      </c>
      <c r="DE66" s="96">
        <f>IFERROR(VLOOKUP($B66,INDIRECT("'GRD-"&amp;DE$11&amp;"'!B:R"),15,FALSE),"")</f>
        <v/>
      </c>
      <c r="DF66" s="96">
        <f>IFERROR(VLOOKUP($B66,INDIRECT("'GRD-"&amp;DF$11&amp;"'!B:R"),15,FALSE),"")</f>
        <v/>
      </c>
      <c r="DG66" s="96">
        <f>IFERROR(VLOOKUP($B66,INDIRECT("'GRD-"&amp;DG$11&amp;"'!B:R"),15,FALSE),"")</f>
        <v/>
      </c>
      <c r="DH66" s="96">
        <f>IFERROR(VLOOKUP($B66,INDIRECT("'GRD-"&amp;DH$11&amp;"'!B:R"),15,FALSE),"")</f>
        <v/>
      </c>
      <c r="DI66" s="96">
        <f>IFERROR(VLOOKUP($B66,INDIRECT("'GRD-"&amp;DI$11&amp;"'!B:R"),15,FALSE),"")</f>
        <v/>
      </c>
      <c r="DJ66" s="96">
        <f>IFERROR(VLOOKUP($B66,INDIRECT("'GRD-"&amp;DJ$11&amp;"'!B:R"),15,FALSE),"")</f>
        <v/>
      </c>
      <c r="DK66" s="96">
        <f>IFERROR(VLOOKUP($B66,INDIRECT("'GRD-"&amp;DK$11&amp;"'!B:R"),15,FALSE),"")</f>
        <v/>
      </c>
      <c r="DL66" s="96">
        <f>IFERROR(VLOOKUP($B66,INDIRECT("'GRD-"&amp;DL$11&amp;"'!B:R"),15,FALSE),"")</f>
        <v/>
      </c>
      <c r="DM66" s="96">
        <f>IFERROR(VLOOKUP($B66,INDIRECT("'GRD-"&amp;DM$11&amp;"'!B:R"),15,FALSE),"")</f>
        <v/>
      </c>
      <c r="DN66" s="96">
        <f>IFERROR(VLOOKUP($B66,INDIRECT("'GRD-"&amp;DN$11&amp;"'!B:R"),15,FALSE),"")</f>
        <v/>
      </c>
      <c r="DO66" s="96">
        <f>IFERROR(VLOOKUP($B66,INDIRECT("'GRD-"&amp;DO$11&amp;"'!B:R"),15,FALSE),"")</f>
        <v/>
      </c>
      <c r="DP66" s="96">
        <f>IFERROR(VLOOKUP($B66,INDIRECT("'GRD-"&amp;DP$11&amp;"'!B:R"),15,FALSE),"")</f>
        <v/>
      </c>
      <c r="DQ66" s="96">
        <f>IFERROR(VLOOKUP($B66,INDIRECT("'GRD-"&amp;DQ$11&amp;"'!B:R"),15,FALSE),"")</f>
        <v/>
      </c>
      <c r="DR66" s="96">
        <f>IFERROR(VLOOKUP($B66,INDIRECT("'GRD-"&amp;DR$11&amp;"'!B:R"),15,FALSE),"")</f>
        <v/>
      </c>
      <c r="DS66" s="96">
        <f>IFERROR(VLOOKUP($B66,INDIRECT("'GRD-"&amp;DS$11&amp;"'!B:R"),15,FALSE),"")</f>
        <v/>
      </c>
      <c r="DT66" s="96">
        <f>IFERROR(VLOOKUP($B66,INDIRECT("'GRD-"&amp;DT$11&amp;"'!B:R"),15,FALSE),"")</f>
        <v/>
      </c>
      <c r="DU66" s="96">
        <f>IFERROR(VLOOKUP($B66,INDIRECT("'GRD-"&amp;DU$11&amp;"'!B:R"),15,FALSE),"")</f>
        <v/>
      </c>
      <c r="DV66" s="96">
        <f>IFERROR(VLOOKUP($B66,INDIRECT("'GRD-"&amp;DV$11&amp;"'!B:R"),15,FALSE),"")</f>
        <v/>
      </c>
      <c r="DW66" s="96">
        <f>IFERROR(VLOOKUP($B66,INDIRECT("'GRD-"&amp;DW$11&amp;"'!B:R"),15,FALSE),"")</f>
        <v/>
      </c>
      <c r="DX66" s="96">
        <f>IFERROR(VLOOKUP($B66,INDIRECT("'GRD-"&amp;DX$11&amp;"'!B:R"),15,FALSE),"")</f>
        <v/>
      </c>
      <c r="DY66" s="96">
        <f>IFERROR(VLOOKUP($B66,INDIRECT("'GRD-"&amp;DY$11&amp;"'!B:R"),15,FALSE),"")</f>
        <v/>
      </c>
      <c r="DZ66" s="96">
        <f>IFERROR(VLOOKUP($B66,INDIRECT("'GRD-"&amp;DZ$11&amp;"'!B:R"),15,FALSE),"")</f>
        <v/>
      </c>
      <c r="EA66" s="96">
        <f>IFERROR(VLOOKUP($B66,INDIRECT("'GRD-"&amp;EA$11&amp;"'!B:R"),15,FALSE),"")</f>
        <v/>
      </c>
      <c r="EB66" s="96">
        <f>IFERROR(VLOOKUP($B66,INDIRECT("'GRD-"&amp;EB$11&amp;"'!B:R"),15,FALSE),"")</f>
        <v/>
      </c>
      <c r="EC66" s="96">
        <f>IFERROR(VLOOKUP($B66,INDIRECT("'GRD-"&amp;EC$11&amp;"'!B:R"),15,FALSE),"")</f>
        <v/>
      </c>
      <c r="ED66" s="96">
        <f>IFERROR(VLOOKUP($B66,INDIRECT("'GRD-"&amp;ED$11&amp;"'!B:R"),15,FALSE),"")</f>
        <v/>
      </c>
      <c r="EE66" s="96">
        <f>IFERROR(VLOOKUP($B66,INDIRECT("'GRD-"&amp;EE$11&amp;"'!B:R"),15,FALSE),"")</f>
        <v/>
      </c>
      <c r="EF66" s="96">
        <f>IFERROR(VLOOKUP($B66,INDIRECT("'GRD-"&amp;EF$11&amp;"'!B:R"),15,FALSE),"")</f>
        <v/>
      </c>
      <c r="EG66" s="96">
        <f>IFERROR(VLOOKUP($B66,INDIRECT("'GRD-"&amp;EG$11&amp;"'!B:R"),15,FALSE),"")</f>
        <v/>
      </c>
      <c r="EH66" s="96">
        <f>IFERROR(VLOOKUP($B66,INDIRECT("'GRD-"&amp;EH$11&amp;"'!B:R"),15,FALSE),"")</f>
        <v/>
      </c>
      <c r="EI66" s="96">
        <f>IFERROR(VLOOKUP($B66,INDIRECT("'GRD-"&amp;EI$11&amp;"'!B:R"),15,FALSE),"")</f>
        <v/>
      </c>
      <c r="EJ66" s="96">
        <f>IFERROR(VLOOKUP($B66,INDIRECT("'GRD-"&amp;EJ$11&amp;"'!B:R"),15,FALSE),"")</f>
        <v/>
      </c>
      <c r="EK66" s="96">
        <f>IFERROR(VLOOKUP($B66,INDIRECT("'GRD-"&amp;EK$11&amp;"'!B:R"),15,FALSE),"")</f>
        <v/>
      </c>
      <c r="EL66" s="96">
        <f>IFERROR(VLOOKUP($B66,INDIRECT("'GRD-"&amp;EL$11&amp;"'!B:R"),15,FALSE),"")</f>
        <v/>
      </c>
      <c r="EM66" s="96">
        <f>IFERROR(VLOOKUP($B66,INDIRECT("'GRD-"&amp;EM$11&amp;"'!B:R"),15,FALSE),"")</f>
        <v/>
      </c>
      <c r="EN66" s="96">
        <f>IFERROR(VLOOKUP($B66,INDIRECT("'GRD-"&amp;EN$11&amp;"'!B:R"),15,FALSE),"")</f>
        <v/>
      </c>
      <c r="EO66" s="96">
        <f>IFERROR(VLOOKUP($B66,INDIRECT("'GRD-"&amp;EO$11&amp;"'!B:R"),15,FALSE),"")</f>
        <v/>
      </c>
      <c r="EP66" s="96">
        <f>IFERROR(VLOOKUP($B66,INDIRECT("'GRD-"&amp;EP$11&amp;"'!B:R"),15,FALSE),"")</f>
        <v/>
      </c>
      <c r="EQ66" s="96">
        <f>IFERROR(VLOOKUP($B66,INDIRECT("'GRD-"&amp;EQ$11&amp;"'!B:R"),15,FALSE),"")</f>
        <v/>
      </c>
      <c r="ER66" s="96">
        <f>IFERROR(VLOOKUP($B66,INDIRECT("'GRD-"&amp;ER$11&amp;"'!B:R"),15,FALSE),"")</f>
        <v/>
      </c>
      <c r="ES66" s="96">
        <f>IFERROR(VLOOKUP($B66,INDIRECT("'GRD-"&amp;ES$11&amp;"'!B:R"),15,FALSE),"")</f>
        <v/>
      </c>
      <c r="ET66" s="96">
        <f>IFERROR(VLOOKUP($B66,INDIRECT("'GRD-"&amp;ET$11&amp;"'!B:R"),15,FALSE),"")</f>
        <v/>
      </c>
      <c r="EU66" s="96">
        <f>IFERROR(VLOOKUP($B66,INDIRECT("'GRD-"&amp;EU$11&amp;"'!B:R"),15,FALSE),"")</f>
        <v/>
      </c>
      <c r="EV66" s="96">
        <f>IFERROR(VLOOKUP($B66,INDIRECT("'GRD-"&amp;EV$11&amp;"'!B:R"),15,FALSE),"")</f>
        <v/>
      </c>
      <c r="EW66" s="96">
        <f>IFERROR(VLOOKUP($B66,INDIRECT("'GRD-"&amp;EW$11&amp;"'!B:R"),15,FALSE),"")</f>
        <v/>
      </c>
      <c r="EX66" s="96">
        <f>IFERROR(VLOOKUP($B66,INDIRECT("'GRD-"&amp;EX$11&amp;"'!B:R"),15,FALSE),"")</f>
        <v/>
      </c>
      <c r="EY66" s="96">
        <f>IFERROR(VLOOKUP($B66,INDIRECT("'GRD-"&amp;EY$11&amp;"'!B:R"),15,FALSE),"")</f>
        <v/>
      </c>
      <c r="EZ66" s="96">
        <f>IFERROR(VLOOKUP($B66,INDIRECT("'GRD-"&amp;EZ$11&amp;"'!B:R"),15,FALSE),"")</f>
        <v/>
      </c>
      <c r="FA66" s="96">
        <f>IFERROR(VLOOKUP($B66,INDIRECT("'GRD-"&amp;FA$11&amp;"'!B:R"),15,FALSE),"")</f>
        <v/>
      </c>
      <c r="FB66" s="96">
        <f>IFERROR(VLOOKUP($B66,INDIRECT("'GRD-"&amp;FB$11&amp;"'!B:R"),15,FALSE),"")</f>
        <v/>
      </c>
      <c r="FC66" s="96">
        <f>IFERROR(VLOOKUP($B66,INDIRECT("'GRD-"&amp;FC$11&amp;"'!B:R"),15,FALSE),"")</f>
        <v/>
      </c>
      <c r="FD66" s="96">
        <f>IFERROR(VLOOKUP($B66,INDIRECT("'GRD-"&amp;FD$11&amp;"'!B:R"),15,FALSE),"")</f>
        <v/>
      </c>
      <c r="FE66" s="96">
        <f>IFERROR(VLOOKUP($B66,INDIRECT("'GRD-"&amp;FE$11&amp;"'!B:R"),15,FALSE),"")</f>
        <v/>
      </c>
      <c r="FF66" s="96">
        <f>IFERROR(VLOOKUP($B66,INDIRECT("'GRD-"&amp;FF$11&amp;"'!B:R"),15,FALSE),"")</f>
        <v/>
      </c>
      <c r="FG66" s="96">
        <f>IFERROR(VLOOKUP($B66,INDIRECT("'GRD-"&amp;FG$11&amp;"'!B:R"),15,FALSE),"")</f>
        <v/>
      </c>
      <c r="FH66" s="96">
        <f>IFERROR(VLOOKUP($B66,INDIRECT("'GRD-"&amp;FH$11&amp;"'!B:R"),15,FALSE),"")</f>
        <v/>
      </c>
      <c r="FI66" s="96">
        <f>IFERROR(VLOOKUP($B66,INDIRECT("'GRD-"&amp;FI$11&amp;"'!B:R"),15,FALSE),"")</f>
        <v/>
      </c>
      <c r="FJ66" s="96">
        <f>IFERROR(VLOOKUP($B66,INDIRECT("'GRD-"&amp;FJ$11&amp;"'!B:R"),15,FALSE),"")</f>
        <v/>
      </c>
      <c r="FK66" s="96">
        <f>IFERROR(VLOOKUP($B66,INDIRECT("'GRD-"&amp;FK$11&amp;"'!B:R"),15,FALSE),"")</f>
        <v/>
      </c>
      <c r="FL66" s="96">
        <f>IFERROR(VLOOKUP($B66,INDIRECT("'GRD-"&amp;FL$11&amp;"'!B:R"),15,FALSE),"")</f>
        <v/>
      </c>
      <c r="FM66" s="96">
        <f>IFERROR(VLOOKUP($B66,INDIRECT("'GRD-"&amp;FM$11&amp;"'!B:R"),15,FALSE),"")</f>
        <v/>
      </c>
      <c r="FN66" s="96">
        <f>IFERROR(VLOOKUP($B66,INDIRECT("'GRD-"&amp;FN$11&amp;"'!B:R"),15,FALSE),"")</f>
        <v/>
      </c>
      <c r="FO66" s="96">
        <f>IFERROR(VLOOKUP($B66,INDIRECT("'GRD-"&amp;FO$11&amp;"'!B:R"),15,FALSE),"")</f>
        <v/>
      </c>
      <c r="FP66" s="96">
        <f>IFERROR(VLOOKUP($B66,INDIRECT("'GRD-"&amp;FP$11&amp;"'!B:R"),15,FALSE),"")</f>
        <v/>
      </c>
      <c r="FQ66" s="96">
        <f>IFERROR(VLOOKUP($B66,INDIRECT("'GRD-"&amp;FQ$11&amp;"'!B:R"),15,FALSE),"")</f>
        <v/>
      </c>
      <c r="FR66" s="96">
        <f>IFERROR(VLOOKUP($B66,INDIRECT("'GRD-"&amp;FR$11&amp;"'!B:R"),15,FALSE),"")</f>
        <v/>
      </c>
      <c r="FS66" s="96">
        <f>IFERROR(VLOOKUP($B66,INDIRECT("'GRD-"&amp;FS$11&amp;"'!B:R"),15,FALSE),"")</f>
        <v/>
      </c>
      <c r="FT66" s="96">
        <f>IFERROR(VLOOKUP($B66,INDIRECT("'GRD-"&amp;FT$11&amp;"'!B:R"),15,FALSE),"")</f>
        <v/>
      </c>
      <c r="FU66" s="96">
        <f>IFERROR(VLOOKUP($B66,INDIRECT("'GRD-"&amp;FU$11&amp;"'!B:R"),15,FALSE),"")</f>
        <v/>
      </c>
      <c r="FV66" s="96">
        <f>IFERROR(VLOOKUP($B66,INDIRECT("'GRD-"&amp;FV$11&amp;"'!B:R"),15,FALSE),"")</f>
        <v/>
      </c>
    </row>
    <row r="67">
      <c r="B67" s="85" t="n"/>
      <c r="C67" s="93" t="n"/>
      <c r="D67" s="73">
        <f>IF(K67="","",MAX($CA67:$FV67))</f>
        <v/>
      </c>
      <c r="E67" s="74">
        <f t="array" ref="E67">IF($K67="","",OFFSET($A$1,ROW($B67)-1,11+$D67*4,))</f>
        <v/>
      </c>
      <c r="F67" s="74">
        <f t="array" ref="F67">IF($K67="","",OFFSET($A$1,ROW($B67)-1,12+$D67*4,))</f>
        <v/>
      </c>
      <c r="G67" s="118">
        <f t="array" ref="G67">IF($K67="","",OFFSET($A$1,ROW($B67)-1,13+$D67*4,))</f>
        <v/>
      </c>
      <c r="H67" s="81" t="n"/>
      <c r="I67" s="82" t="n"/>
      <c r="J67" s="75">
        <f>IF(I67="A4",H67/8,IF(I67="A3",H67/4,IF(I67="A2",H67/2,IF(I67="A1",H67/1,IF(I67="A0",H67*2,"")))))</f>
        <v/>
      </c>
      <c r="K67" s="68">
        <f t="array" ref="K67">IFERROR(OFFSET($BZ$11,ROW($B67)-11,MATCH(K$10,$CA67:$FV67,0),),"")</f>
        <v/>
      </c>
      <c r="L67" s="85">
        <f>IF(K67="","",IF(VLOOKUP($B67,INDIRECT("'GRD-"&amp;M67&amp;"'!$B:$R"),16,FALSE)="","",VLOOKUP($B67,INDIRECT("'GRD-"&amp;M67&amp;"'!$B:$R"),16,FALSE)))</f>
        <v/>
      </c>
      <c r="M67" s="130">
        <f t="array" ref="M67">IF(K67="","",IFERROR(OFFSET($BZ$11,0,MATCH($K67,$CA67:$FV67,0),),""))</f>
        <v/>
      </c>
      <c r="N67" s="119">
        <f t="array" ref="N67">IF(K67="","",INDIRECT("'GRD-"&amp;M67&amp;"'!$L$7"))</f>
        <v/>
      </c>
      <c r="O67" s="76">
        <f t="array" ref="O67">IFERROR(OFFSET($BZ$11,ROW($B67)-11,MATCH(O$10,$CA67:$FV67,0),),"")</f>
        <v/>
      </c>
      <c r="P67" s="76">
        <f>IF(O67="","",IF(VLOOKUP($B67,INDIRECT("'GRD-"&amp;Q67&amp;"'!$B:$R"),16,FALSE)="","",VLOOKUP($B67,INDIRECT("'GRD-"&amp;Q67&amp;"'!$B:$R"),16,FALSE)))</f>
        <v/>
      </c>
      <c r="Q67" s="132">
        <f t="array" ref="Q67">IF(O67="","",IFERROR(OFFSET($BZ$11,0,MATCH($O67,$CA67:$FV67,0),),""))</f>
        <v/>
      </c>
      <c r="R67" s="121">
        <f t="array" ref="R67">IF(O67="","",INDIRECT("'GRD-"&amp;Q67&amp;"'!$L$7"))</f>
        <v/>
      </c>
      <c r="S67" s="83">
        <f t="array" ref="S67">IFERROR(OFFSET($BZ$11,ROW($B67)-11,MATCH(S$10,$CA67:$FV67,0),),"")</f>
        <v/>
      </c>
      <c r="T67" s="83">
        <f>IF(S67="","",IF(VLOOKUP($B67,INDIRECT("'GRD-"&amp;U67&amp;"'!$B:$R"),16,FALSE)="","",VLOOKUP($B67,INDIRECT("'GRD-"&amp;U67&amp;"'!$B:$R"),16,FALSE)))</f>
        <v/>
      </c>
      <c r="U67" s="128">
        <f t="array" ref="U67">IF(S67="","",IFERROR(OFFSET($BZ$11,0,MATCH($S67,$CA67:$FV67,0),),""))</f>
        <v/>
      </c>
      <c r="V67" s="133">
        <f t="array" ref="V67">IF(S67="","",INDIRECT("'GRD-"&amp;U67&amp;"'!$L$7"))</f>
        <v/>
      </c>
      <c r="W67" s="84">
        <f t="array" ref="W67">IFERROR(OFFSET($BZ$11,ROW($B67)-11,MATCH(W$10,$CA67:$FV67,0),),"")</f>
        <v/>
      </c>
      <c r="X67" s="84">
        <f>IF(W67="","",IF(VLOOKUP($B67,INDIRECT("'GRD-"&amp;Y67&amp;"'!$B:$R"),16,FALSE)="","",VLOOKUP($B67,INDIRECT("'GRD-"&amp;Y67&amp;"'!$B:$R"),16,FALSE)))</f>
        <v/>
      </c>
      <c r="Y67" s="129">
        <f t="array" ref="Y67">IF(W67="","",IFERROR(OFFSET($BZ$11,0,MATCH($W67,$CA67:$FV67,0),),""))</f>
        <v/>
      </c>
      <c r="Z67" s="134">
        <f t="array" ref="Z67">IF(W67="","",INDIRECT("'GRD-"&amp;Y67&amp;"'!$L$7"))</f>
        <v/>
      </c>
      <c r="AA67" s="85">
        <f t="array" ref="AA67">IFERROR(OFFSET($BZ$11,ROW($B67)-11,MATCH(AA$10,$CA67:$FV67,0),),"")</f>
        <v/>
      </c>
      <c r="AB67" s="85">
        <f>IF(AA67="","",IF(VLOOKUP($B67,INDIRECT("'GRD-"&amp;AC67&amp;"'!$B:$R"),16,FALSE)="","",VLOOKUP($B67,INDIRECT("'GRD-"&amp;AC67&amp;"'!$B:$R"),16,FALSE)))</f>
        <v/>
      </c>
      <c r="AC67" s="130">
        <f t="array" ref="AC67">IF(AA67="","",IFERROR(OFFSET($BZ$11,0,MATCH($AA67,$CA67:$FV67,0),),""))</f>
        <v/>
      </c>
      <c r="AD67" s="131">
        <f t="array" ref="AD67">IF(AA67="","",INDIRECT("'GRD-"&amp;AC67&amp;"'!$L$7"))</f>
        <v/>
      </c>
      <c r="AE67" s="76">
        <f t="array" ref="AE67">IFERROR(OFFSET($BZ$11,ROW($B67)-11,MATCH(AE$10,$CA67:$FV67,0),),"")</f>
        <v/>
      </c>
      <c r="AF67" s="76">
        <f>IF(AE67="","",IF(VLOOKUP($B67,INDIRECT("'GRD-"&amp;AG67&amp;"'!$B:$R"),16,FALSE)="","",VLOOKUP($B67,INDIRECT("'GRD-"&amp;AG67&amp;"'!$B:$R"),16,FALSE)))</f>
        <v/>
      </c>
      <c r="AG67" s="132">
        <f t="array" ref="AG67">IF(AE67="","",IFERROR(OFFSET($BZ$11,0,MATCH($AE67,$CA67:$FV67,0),),""))</f>
        <v/>
      </c>
      <c r="AH67" s="121">
        <f t="array" ref="AH67">IF(AE67="","",INDIRECT("'GRD-"&amp;AG67&amp;"'!$L$7"))</f>
        <v/>
      </c>
      <c r="AI67" s="83">
        <f t="array" ref="AI67">IFERROR(OFFSET($BZ$11,ROW($B67)-11,MATCH(AI$10,$CA67:$FV67,0),),"")</f>
        <v/>
      </c>
      <c r="AJ67" s="83">
        <f>IF(AI67="","",IF(VLOOKUP($B67,INDIRECT("'GRD-"&amp;AK67&amp;"'!$B:$R"),16,FALSE)="","",VLOOKUP($B67,INDIRECT("'GRD-"&amp;AK67&amp;"'!$B:$R"),16,FALSE)))</f>
        <v/>
      </c>
      <c r="AK67" s="128">
        <f t="array" ref="AK67">IF(AI67="","",IFERROR(OFFSET($BZ$11,0,MATCH($AI67,$CA67:$FV67,0),),""))</f>
        <v/>
      </c>
      <c r="AL67" s="133">
        <f t="array" ref="AL67">IF(AI67="","",INDIRECT("'GRD-"&amp;AK67&amp;"'!$L$7"))</f>
        <v/>
      </c>
      <c r="AM67" s="84">
        <f t="array" ref="AM67">IFERROR(OFFSET($BZ$11,ROW($B67)-11,MATCH(AM$10,$CA67:$FV67,0),),"")</f>
        <v/>
      </c>
      <c r="AN67" s="84">
        <f>IF(AM67="","",IF(VLOOKUP($B67,INDIRECT("'GRD-"&amp;AO67&amp;"'!$B:$R"),16,FALSE)="","",VLOOKUP($B67,INDIRECT("'GRD-"&amp;AO67&amp;"'!$B:$R"),16,FALSE)))</f>
        <v/>
      </c>
      <c r="AO67" s="129">
        <f t="array" ref="AO67">IF(AM67="","",IFERROR(OFFSET($BZ$11,0,MATCH($AM67,$CA67:$FV67,0),),""))</f>
        <v/>
      </c>
      <c r="AP67" s="134">
        <f t="array" ref="AP67">IF(AM67="","",INDIRECT("'GRD-"&amp;AO67&amp;"'!$L$7"))</f>
        <v/>
      </c>
      <c r="AQ67" s="85">
        <f t="array" ref="AQ67">IFERROR(OFFSET($BZ$11,ROW($B67)-11,MATCH(AQ$10,$CA67:$FV67,0),),"")</f>
        <v/>
      </c>
      <c r="AR67" s="85">
        <f>IF(AQ67="","",IF(VLOOKUP($B67,INDIRECT("'GRD-"&amp;AS67&amp;"'!$B:$R"),16,FALSE)="","",VLOOKUP($B67,INDIRECT("'GRD-"&amp;AS67&amp;"'!$B:$R"),16,FALSE)))</f>
        <v/>
      </c>
      <c r="AS67" s="130">
        <f t="array" ref="AS67">IF(AQ67="","",IFERROR(OFFSET($BZ$11,0,MATCH($AQ67,$CA67:$FV67,0),),""))</f>
        <v/>
      </c>
      <c r="AT67" s="131">
        <f t="array" ref="AT67">IF(AQ67="","",INDIRECT("'GRD-"&amp;AS67&amp;"'!$L$7"))</f>
        <v/>
      </c>
      <c r="AU67" s="76">
        <f t="array" ref="AU67">IFERROR(OFFSET($BZ$11,ROW($B67)-11,MATCH(AU$10,$CA67:$FV67,0),),"")</f>
        <v/>
      </c>
      <c r="AV67" s="76">
        <f>IF(AU67="","",IF(VLOOKUP($B67,INDIRECT("'GRD-"&amp;AW67&amp;"'!$B:$R"),16,FALSE)="","",VLOOKUP($B67,INDIRECT("'GRD-"&amp;AW67&amp;"'!$B:$R"),16,FALSE)))</f>
        <v/>
      </c>
      <c r="AW67" s="132">
        <f t="array" ref="AW67">IF(AU67="","",IFERROR(OFFSET($BZ$11,0,MATCH($AU67,$CA67:$FV67,0),),""))</f>
        <v/>
      </c>
      <c r="AX67" s="121">
        <f t="array" ref="AX67">IF(AU67="","",INDIRECT("'GRD-"&amp;AW67&amp;"'!$L$7"))</f>
        <v/>
      </c>
      <c r="AY67" s="83">
        <f t="array" ref="AY67">IFERROR(OFFSET($BZ$11,ROW($B67)-11,MATCH(AY$10,$CA67:$FV67,0),),"")</f>
        <v/>
      </c>
      <c r="AZ67" s="83">
        <f>IF(AY67="","",IF(VLOOKUP($B67,INDIRECT("'GRD-"&amp;BA67&amp;"'!$B:$R"),16,FALSE)="","",VLOOKUP($B67,INDIRECT("'GRD-"&amp;BA67&amp;"'!$B:$R"),16,FALSE)))</f>
        <v/>
      </c>
      <c r="BA67" s="128">
        <f t="array" ref="BA67">IF(AY67="","",IFERROR(OFFSET($BZ$11,0,MATCH($AY67,$CA67:$FV67,0),),""))</f>
        <v/>
      </c>
      <c r="BB67" s="133">
        <f t="array" ref="BB67">IF(AY67="","",INDIRECT("'GRD-"&amp;BA67&amp;"'!$L$7"))</f>
        <v/>
      </c>
      <c r="BC67" s="84">
        <f t="array" ref="BC67">IFERROR(OFFSET($BZ$11,ROW($B67)-11,MATCH(BC$10,$CA67:$FV67,0),),"")</f>
        <v/>
      </c>
      <c r="BD67" s="84">
        <f>IF(BC67="","",IF(VLOOKUP($B67,INDIRECT("'GRD-"&amp;BE67&amp;"'!$B:$R"),16,FALSE)="","",VLOOKUP($B67,INDIRECT("'GRD-"&amp;BE67&amp;"'!$B:$R"),16,FALSE)))</f>
        <v/>
      </c>
      <c r="BE67" s="129">
        <f t="array" ref="BE67">IF(BC67="","",IFERROR(OFFSET($BZ$11,0,MATCH($BC67,$CA67:$FV67,0),),""))</f>
        <v/>
      </c>
      <c r="BF67" s="134">
        <f t="array" ref="BF67">IF(BC67="","",INDIRECT("'GRD-"&amp;BE67&amp;"'!$L$7"))</f>
        <v/>
      </c>
      <c r="CA67" s="96">
        <f>IFERROR(VLOOKUP($B67,INDIRECT("'GRD-"&amp;CA$11&amp;"'!B:R"),15,FALSE),"")</f>
        <v/>
      </c>
      <c r="CB67" s="96">
        <f>IFERROR(VLOOKUP($B67,INDIRECT("'GRD-"&amp;CB$11&amp;"'!B:R"),15,FALSE),"")</f>
        <v/>
      </c>
      <c r="CC67" s="96">
        <f>IFERROR(VLOOKUP($B67,INDIRECT("'GRD-"&amp;CC$11&amp;"'!B:R"),15,FALSE),"")</f>
        <v/>
      </c>
      <c r="CD67" s="96">
        <f>IFERROR(VLOOKUP($B67,INDIRECT("'GRD-"&amp;CD$11&amp;"'!B:R"),15,FALSE),"")</f>
        <v/>
      </c>
      <c r="CE67" s="96">
        <f>IFERROR(VLOOKUP($B67,INDIRECT("'GRD-"&amp;CE$11&amp;"'!B:R"),15,FALSE),"")</f>
        <v/>
      </c>
      <c r="CF67" s="96">
        <f>IFERROR(VLOOKUP($B67,INDIRECT("'GRD-"&amp;CF$11&amp;"'!B:R"),15,FALSE),"")</f>
        <v/>
      </c>
      <c r="CG67" s="96">
        <f>IFERROR(VLOOKUP($B67,INDIRECT("'GRD-"&amp;CG$11&amp;"'!B:R"),15,FALSE),"")</f>
        <v/>
      </c>
      <c r="CH67" s="96">
        <f>IFERROR(VLOOKUP($B67,INDIRECT("'GRD-"&amp;CH$11&amp;"'!B:R"),15,FALSE),"")</f>
        <v/>
      </c>
      <c r="CI67" s="96">
        <f>IFERROR(VLOOKUP($B67,INDIRECT("'GRD-"&amp;CI$11&amp;"'!B:R"),15,FALSE),"")</f>
        <v/>
      </c>
      <c r="CJ67" s="96">
        <f>IFERROR(VLOOKUP($B67,INDIRECT("'GRD-"&amp;CJ$11&amp;"'!B:R"),15,FALSE),"")</f>
        <v/>
      </c>
      <c r="CK67" s="96">
        <f>IFERROR(VLOOKUP($B67,INDIRECT("'GRD-"&amp;CK$11&amp;"'!B:R"),15,FALSE),"")</f>
        <v/>
      </c>
      <c r="CL67" s="96">
        <f>IFERROR(VLOOKUP($B67,INDIRECT("'GRD-"&amp;CL$11&amp;"'!B:R"),15,FALSE),"")</f>
        <v/>
      </c>
      <c r="CM67" s="96">
        <f>IFERROR(VLOOKUP($B67,INDIRECT("'GRD-"&amp;CM$11&amp;"'!B:R"),15,FALSE),"")</f>
        <v/>
      </c>
      <c r="CN67" s="96">
        <f>IFERROR(VLOOKUP($B67,INDIRECT("'GRD-"&amp;CN$11&amp;"'!B:R"),15,FALSE),"")</f>
        <v/>
      </c>
      <c r="CO67" s="96">
        <f>IFERROR(VLOOKUP($B67,INDIRECT("'GRD-"&amp;CO$11&amp;"'!B:R"),15,FALSE),"")</f>
        <v/>
      </c>
      <c r="CP67" s="96">
        <f>IFERROR(VLOOKUP($B67,INDIRECT("'GRD-"&amp;CP$11&amp;"'!B:R"),15,FALSE),"")</f>
        <v/>
      </c>
      <c r="CQ67" s="96">
        <f>IFERROR(VLOOKUP($B67,INDIRECT("'GRD-"&amp;CQ$11&amp;"'!B:R"),15,FALSE),"")</f>
        <v/>
      </c>
      <c r="CR67" s="96">
        <f>IFERROR(VLOOKUP($B67,INDIRECT("'GRD-"&amp;CR$11&amp;"'!B:R"),15,FALSE),"")</f>
        <v/>
      </c>
      <c r="CS67" s="96">
        <f>IFERROR(VLOOKUP($B67,INDIRECT("'GRD-"&amp;CS$11&amp;"'!B:R"),15,FALSE),"")</f>
        <v/>
      </c>
      <c r="CT67" s="96">
        <f>IFERROR(VLOOKUP($B67,INDIRECT("'GRD-"&amp;CT$11&amp;"'!B:R"),15,FALSE),"")</f>
        <v/>
      </c>
      <c r="CU67" s="96">
        <f>IFERROR(VLOOKUP($B67,INDIRECT("'GRD-"&amp;CU$11&amp;"'!B:R"),15,FALSE),"")</f>
        <v/>
      </c>
      <c r="CV67" s="96">
        <f>IFERROR(VLOOKUP($B67,INDIRECT("'GRD-"&amp;CV$11&amp;"'!B:R"),15,FALSE),"")</f>
        <v/>
      </c>
      <c r="CW67" s="96">
        <f>IFERROR(VLOOKUP($B67,INDIRECT("'GRD-"&amp;CW$11&amp;"'!B:R"),15,FALSE),"")</f>
        <v/>
      </c>
      <c r="CX67" s="96">
        <f>IFERROR(VLOOKUP($B67,INDIRECT("'GRD-"&amp;CX$11&amp;"'!B:R"),15,FALSE),"")</f>
        <v/>
      </c>
      <c r="CY67" s="96">
        <f>IFERROR(VLOOKUP($B67,INDIRECT("'GRD-"&amp;CY$11&amp;"'!B:R"),15,FALSE),"")</f>
        <v/>
      </c>
      <c r="CZ67" s="96">
        <f>IFERROR(VLOOKUP($B67,INDIRECT("'GRD-"&amp;CZ$11&amp;"'!B:R"),15,FALSE),"")</f>
        <v/>
      </c>
      <c r="DA67" s="96">
        <f>IFERROR(VLOOKUP($B67,INDIRECT("'GRD-"&amp;DA$11&amp;"'!B:R"),15,FALSE),"")</f>
        <v/>
      </c>
      <c r="DB67" s="96">
        <f>IFERROR(VLOOKUP($B67,INDIRECT("'GRD-"&amp;DB$11&amp;"'!B:R"),15,FALSE),"")</f>
        <v/>
      </c>
      <c r="DC67" s="96">
        <f>IFERROR(VLOOKUP($B67,INDIRECT("'GRD-"&amp;DC$11&amp;"'!B:R"),15,FALSE),"")</f>
        <v/>
      </c>
      <c r="DD67" s="96">
        <f>IFERROR(VLOOKUP($B67,INDIRECT("'GRD-"&amp;DD$11&amp;"'!B:R"),15,FALSE),"")</f>
        <v/>
      </c>
      <c r="DE67" s="96">
        <f>IFERROR(VLOOKUP($B67,INDIRECT("'GRD-"&amp;DE$11&amp;"'!B:R"),15,FALSE),"")</f>
        <v/>
      </c>
      <c r="DF67" s="96">
        <f>IFERROR(VLOOKUP($B67,INDIRECT("'GRD-"&amp;DF$11&amp;"'!B:R"),15,FALSE),"")</f>
        <v/>
      </c>
      <c r="DG67" s="96">
        <f>IFERROR(VLOOKUP($B67,INDIRECT("'GRD-"&amp;DG$11&amp;"'!B:R"),15,FALSE),"")</f>
        <v/>
      </c>
      <c r="DH67" s="96">
        <f>IFERROR(VLOOKUP($B67,INDIRECT("'GRD-"&amp;DH$11&amp;"'!B:R"),15,FALSE),"")</f>
        <v/>
      </c>
      <c r="DI67" s="96">
        <f>IFERROR(VLOOKUP($B67,INDIRECT("'GRD-"&amp;DI$11&amp;"'!B:R"),15,FALSE),"")</f>
        <v/>
      </c>
      <c r="DJ67" s="96">
        <f>IFERROR(VLOOKUP($B67,INDIRECT("'GRD-"&amp;DJ$11&amp;"'!B:R"),15,FALSE),"")</f>
        <v/>
      </c>
      <c r="DK67" s="96">
        <f>IFERROR(VLOOKUP($B67,INDIRECT("'GRD-"&amp;DK$11&amp;"'!B:R"),15,FALSE),"")</f>
        <v/>
      </c>
      <c r="DL67" s="96">
        <f>IFERROR(VLOOKUP($B67,INDIRECT("'GRD-"&amp;DL$11&amp;"'!B:R"),15,FALSE),"")</f>
        <v/>
      </c>
      <c r="DM67" s="96">
        <f>IFERROR(VLOOKUP($B67,INDIRECT("'GRD-"&amp;DM$11&amp;"'!B:R"),15,FALSE),"")</f>
        <v/>
      </c>
      <c r="DN67" s="96">
        <f>IFERROR(VLOOKUP($B67,INDIRECT("'GRD-"&amp;DN$11&amp;"'!B:R"),15,FALSE),"")</f>
        <v/>
      </c>
      <c r="DO67" s="96">
        <f>IFERROR(VLOOKUP($B67,INDIRECT("'GRD-"&amp;DO$11&amp;"'!B:R"),15,FALSE),"")</f>
        <v/>
      </c>
      <c r="DP67" s="96">
        <f>IFERROR(VLOOKUP($B67,INDIRECT("'GRD-"&amp;DP$11&amp;"'!B:R"),15,FALSE),"")</f>
        <v/>
      </c>
      <c r="DQ67" s="96">
        <f>IFERROR(VLOOKUP($B67,INDIRECT("'GRD-"&amp;DQ$11&amp;"'!B:R"),15,FALSE),"")</f>
        <v/>
      </c>
      <c r="DR67" s="96">
        <f>IFERROR(VLOOKUP($B67,INDIRECT("'GRD-"&amp;DR$11&amp;"'!B:R"),15,FALSE),"")</f>
        <v/>
      </c>
      <c r="DS67" s="96">
        <f>IFERROR(VLOOKUP($B67,INDIRECT("'GRD-"&amp;DS$11&amp;"'!B:R"),15,FALSE),"")</f>
        <v/>
      </c>
      <c r="DT67" s="96">
        <f>IFERROR(VLOOKUP($B67,INDIRECT("'GRD-"&amp;DT$11&amp;"'!B:R"),15,FALSE),"")</f>
        <v/>
      </c>
      <c r="DU67" s="96">
        <f>IFERROR(VLOOKUP($B67,INDIRECT("'GRD-"&amp;DU$11&amp;"'!B:R"),15,FALSE),"")</f>
        <v/>
      </c>
      <c r="DV67" s="96">
        <f>IFERROR(VLOOKUP($B67,INDIRECT("'GRD-"&amp;DV$11&amp;"'!B:R"),15,FALSE),"")</f>
        <v/>
      </c>
      <c r="DW67" s="96">
        <f>IFERROR(VLOOKUP($B67,INDIRECT("'GRD-"&amp;DW$11&amp;"'!B:R"),15,FALSE),"")</f>
        <v/>
      </c>
      <c r="DX67" s="96">
        <f>IFERROR(VLOOKUP($B67,INDIRECT("'GRD-"&amp;DX$11&amp;"'!B:R"),15,FALSE),"")</f>
        <v/>
      </c>
      <c r="DY67" s="96">
        <f>IFERROR(VLOOKUP($B67,INDIRECT("'GRD-"&amp;DY$11&amp;"'!B:R"),15,FALSE),"")</f>
        <v/>
      </c>
      <c r="DZ67" s="96">
        <f>IFERROR(VLOOKUP($B67,INDIRECT("'GRD-"&amp;DZ$11&amp;"'!B:R"),15,FALSE),"")</f>
        <v/>
      </c>
      <c r="EA67" s="96">
        <f>IFERROR(VLOOKUP($B67,INDIRECT("'GRD-"&amp;EA$11&amp;"'!B:R"),15,FALSE),"")</f>
        <v/>
      </c>
      <c r="EB67" s="96">
        <f>IFERROR(VLOOKUP($B67,INDIRECT("'GRD-"&amp;EB$11&amp;"'!B:R"),15,FALSE),"")</f>
        <v/>
      </c>
      <c r="EC67" s="96">
        <f>IFERROR(VLOOKUP($B67,INDIRECT("'GRD-"&amp;EC$11&amp;"'!B:R"),15,FALSE),"")</f>
        <v/>
      </c>
      <c r="ED67" s="96">
        <f>IFERROR(VLOOKUP($B67,INDIRECT("'GRD-"&amp;ED$11&amp;"'!B:R"),15,FALSE),"")</f>
        <v/>
      </c>
      <c r="EE67" s="96">
        <f>IFERROR(VLOOKUP($B67,INDIRECT("'GRD-"&amp;EE$11&amp;"'!B:R"),15,FALSE),"")</f>
        <v/>
      </c>
      <c r="EF67" s="96">
        <f>IFERROR(VLOOKUP($B67,INDIRECT("'GRD-"&amp;EF$11&amp;"'!B:R"),15,FALSE),"")</f>
        <v/>
      </c>
      <c r="EG67" s="96">
        <f>IFERROR(VLOOKUP($B67,INDIRECT("'GRD-"&amp;EG$11&amp;"'!B:R"),15,FALSE),"")</f>
        <v/>
      </c>
      <c r="EH67" s="96">
        <f>IFERROR(VLOOKUP($B67,INDIRECT("'GRD-"&amp;EH$11&amp;"'!B:R"),15,FALSE),"")</f>
        <v/>
      </c>
      <c r="EI67" s="96">
        <f>IFERROR(VLOOKUP($B67,INDIRECT("'GRD-"&amp;EI$11&amp;"'!B:R"),15,FALSE),"")</f>
        <v/>
      </c>
      <c r="EJ67" s="96">
        <f>IFERROR(VLOOKUP($B67,INDIRECT("'GRD-"&amp;EJ$11&amp;"'!B:R"),15,FALSE),"")</f>
        <v/>
      </c>
      <c r="EK67" s="96">
        <f>IFERROR(VLOOKUP($B67,INDIRECT("'GRD-"&amp;EK$11&amp;"'!B:R"),15,FALSE),"")</f>
        <v/>
      </c>
      <c r="EL67" s="96">
        <f>IFERROR(VLOOKUP($B67,INDIRECT("'GRD-"&amp;EL$11&amp;"'!B:R"),15,FALSE),"")</f>
        <v/>
      </c>
      <c r="EM67" s="96">
        <f>IFERROR(VLOOKUP($B67,INDIRECT("'GRD-"&amp;EM$11&amp;"'!B:R"),15,FALSE),"")</f>
        <v/>
      </c>
      <c r="EN67" s="96">
        <f>IFERROR(VLOOKUP($B67,INDIRECT("'GRD-"&amp;EN$11&amp;"'!B:R"),15,FALSE),"")</f>
        <v/>
      </c>
      <c r="EO67" s="96">
        <f>IFERROR(VLOOKUP($B67,INDIRECT("'GRD-"&amp;EO$11&amp;"'!B:R"),15,FALSE),"")</f>
        <v/>
      </c>
      <c r="EP67" s="96">
        <f>IFERROR(VLOOKUP($B67,INDIRECT("'GRD-"&amp;EP$11&amp;"'!B:R"),15,FALSE),"")</f>
        <v/>
      </c>
      <c r="EQ67" s="96">
        <f>IFERROR(VLOOKUP($B67,INDIRECT("'GRD-"&amp;EQ$11&amp;"'!B:R"),15,FALSE),"")</f>
        <v/>
      </c>
      <c r="ER67" s="96">
        <f>IFERROR(VLOOKUP($B67,INDIRECT("'GRD-"&amp;ER$11&amp;"'!B:R"),15,FALSE),"")</f>
        <v/>
      </c>
      <c r="ES67" s="96">
        <f>IFERROR(VLOOKUP($B67,INDIRECT("'GRD-"&amp;ES$11&amp;"'!B:R"),15,FALSE),"")</f>
        <v/>
      </c>
      <c r="ET67" s="96">
        <f>IFERROR(VLOOKUP($B67,INDIRECT("'GRD-"&amp;ET$11&amp;"'!B:R"),15,FALSE),"")</f>
        <v/>
      </c>
      <c r="EU67" s="96">
        <f>IFERROR(VLOOKUP($B67,INDIRECT("'GRD-"&amp;EU$11&amp;"'!B:R"),15,FALSE),"")</f>
        <v/>
      </c>
      <c r="EV67" s="96">
        <f>IFERROR(VLOOKUP($B67,INDIRECT("'GRD-"&amp;EV$11&amp;"'!B:R"),15,FALSE),"")</f>
        <v/>
      </c>
      <c r="EW67" s="96">
        <f>IFERROR(VLOOKUP($B67,INDIRECT("'GRD-"&amp;EW$11&amp;"'!B:R"),15,FALSE),"")</f>
        <v/>
      </c>
      <c r="EX67" s="96">
        <f>IFERROR(VLOOKUP($B67,INDIRECT("'GRD-"&amp;EX$11&amp;"'!B:R"),15,FALSE),"")</f>
        <v/>
      </c>
      <c r="EY67" s="96">
        <f>IFERROR(VLOOKUP($B67,INDIRECT("'GRD-"&amp;EY$11&amp;"'!B:R"),15,FALSE),"")</f>
        <v/>
      </c>
      <c r="EZ67" s="96">
        <f>IFERROR(VLOOKUP($B67,INDIRECT("'GRD-"&amp;EZ$11&amp;"'!B:R"),15,FALSE),"")</f>
        <v/>
      </c>
      <c r="FA67" s="96">
        <f>IFERROR(VLOOKUP($B67,INDIRECT("'GRD-"&amp;FA$11&amp;"'!B:R"),15,FALSE),"")</f>
        <v/>
      </c>
      <c r="FB67" s="96">
        <f>IFERROR(VLOOKUP($B67,INDIRECT("'GRD-"&amp;FB$11&amp;"'!B:R"),15,FALSE),"")</f>
        <v/>
      </c>
      <c r="FC67" s="96">
        <f>IFERROR(VLOOKUP($B67,INDIRECT("'GRD-"&amp;FC$11&amp;"'!B:R"),15,FALSE),"")</f>
        <v/>
      </c>
      <c r="FD67" s="96">
        <f>IFERROR(VLOOKUP($B67,INDIRECT("'GRD-"&amp;FD$11&amp;"'!B:R"),15,FALSE),"")</f>
        <v/>
      </c>
      <c r="FE67" s="96">
        <f>IFERROR(VLOOKUP($B67,INDIRECT("'GRD-"&amp;FE$11&amp;"'!B:R"),15,FALSE),"")</f>
        <v/>
      </c>
      <c r="FF67" s="96">
        <f>IFERROR(VLOOKUP($B67,INDIRECT("'GRD-"&amp;FF$11&amp;"'!B:R"),15,FALSE),"")</f>
        <v/>
      </c>
      <c r="FG67" s="96">
        <f>IFERROR(VLOOKUP($B67,INDIRECT("'GRD-"&amp;FG$11&amp;"'!B:R"),15,FALSE),"")</f>
        <v/>
      </c>
      <c r="FH67" s="96">
        <f>IFERROR(VLOOKUP($B67,INDIRECT("'GRD-"&amp;FH$11&amp;"'!B:R"),15,FALSE),"")</f>
        <v/>
      </c>
      <c r="FI67" s="96">
        <f>IFERROR(VLOOKUP($B67,INDIRECT("'GRD-"&amp;FI$11&amp;"'!B:R"),15,FALSE),"")</f>
        <v/>
      </c>
      <c r="FJ67" s="96">
        <f>IFERROR(VLOOKUP($B67,INDIRECT("'GRD-"&amp;FJ$11&amp;"'!B:R"),15,FALSE),"")</f>
        <v/>
      </c>
      <c r="FK67" s="96">
        <f>IFERROR(VLOOKUP($B67,INDIRECT("'GRD-"&amp;FK$11&amp;"'!B:R"),15,FALSE),"")</f>
        <v/>
      </c>
      <c r="FL67" s="96">
        <f>IFERROR(VLOOKUP($B67,INDIRECT("'GRD-"&amp;FL$11&amp;"'!B:R"),15,FALSE),"")</f>
        <v/>
      </c>
      <c r="FM67" s="96">
        <f>IFERROR(VLOOKUP($B67,INDIRECT("'GRD-"&amp;FM$11&amp;"'!B:R"),15,FALSE),"")</f>
        <v/>
      </c>
      <c r="FN67" s="96">
        <f>IFERROR(VLOOKUP($B67,INDIRECT("'GRD-"&amp;FN$11&amp;"'!B:R"),15,FALSE),"")</f>
        <v/>
      </c>
      <c r="FO67" s="96">
        <f>IFERROR(VLOOKUP($B67,INDIRECT("'GRD-"&amp;FO$11&amp;"'!B:R"),15,FALSE),"")</f>
        <v/>
      </c>
      <c r="FP67" s="96">
        <f>IFERROR(VLOOKUP($B67,INDIRECT("'GRD-"&amp;FP$11&amp;"'!B:R"),15,FALSE),"")</f>
        <v/>
      </c>
      <c r="FQ67" s="96">
        <f>IFERROR(VLOOKUP($B67,INDIRECT("'GRD-"&amp;FQ$11&amp;"'!B:R"),15,FALSE),"")</f>
        <v/>
      </c>
      <c r="FR67" s="96">
        <f>IFERROR(VLOOKUP($B67,INDIRECT("'GRD-"&amp;FR$11&amp;"'!B:R"),15,FALSE),"")</f>
        <v/>
      </c>
      <c r="FS67" s="96">
        <f>IFERROR(VLOOKUP($B67,INDIRECT("'GRD-"&amp;FS$11&amp;"'!B:R"),15,FALSE),"")</f>
        <v/>
      </c>
      <c r="FT67" s="96">
        <f>IFERROR(VLOOKUP($B67,INDIRECT("'GRD-"&amp;FT$11&amp;"'!B:R"),15,FALSE),"")</f>
        <v/>
      </c>
      <c r="FU67" s="96">
        <f>IFERROR(VLOOKUP($B67,INDIRECT("'GRD-"&amp;FU$11&amp;"'!B:R"),15,FALSE),"")</f>
        <v/>
      </c>
      <c r="FV67" s="96">
        <f>IFERROR(VLOOKUP($B67,INDIRECT("'GRD-"&amp;FV$11&amp;"'!B:R"),15,FALSE),"")</f>
        <v/>
      </c>
    </row>
    <row r="68">
      <c r="B68" s="85" t="n"/>
      <c r="C68" s="93" t="n"/>
      <c r="D68" s="73">
        <f>IF(K68="","",MAX($CA68:$FV68))</f>
        <v/>
      </c>
      <c r="E68" s="74">
        <f t="array" ref="E68">IF($K68="","",OFFSET($A$1,ROW($B68)-1,11+$D68*4,))</f>
        <v/>
      </c>
      <c r="F68" s="74">
        <f t="array" ref="F68">IF($K68="","",OFFSET($A$1,ROW($B68)-1,12+$D68*4,))</f>
        <v/>
      </c>
      <c r="G68" s="118">
        <f t="array" ref="G68">IF($K68="","",OFFSET($A$1,ROW($B68)-1,13+$D68*4,))</f>
        <v/>
      </c>
      <c r="H68" s="81" t="n"/>
      <c r="I68" s="82" t="n"/>
      <c r="J68" s="75">
        <f>IF(I68="A4",H68/8,IF(I68="A3",H68/4,IF(I68="A2",H68/2,IF(I68="A1",H68/1,IF(I68="A0",H68*2,"")))))</f>
        <v/>
      </c>
      <c r="K68" s="68">
        <f t="array" ref="K68">IFERROR(OFFSET($BZ$11,ROW($B68)-11,MATCH(K$10,$CA68:$FV68,0),),"")</f>
        <v/>
      </c>
      <c r="L68" s="85">
        <f>IF(K68="","",IF(VLOOKUP($B68,INDIRECT("'GRD-"&amp;M68&amp;"'!$B:$R"),16,FALSE)="","",VLOOKUP($B68,INDIRECT("'GRD-"&amp;M68&amp;"'!$B:$R"),16,FALSE)))</f>
        <v/>
      </c>
      <c r="M68" s="130">
        <f t="array" ref="M68">IF(K68="","",IFERROR(OFFSET($BZ$11,0,MATCH($K68,$CA68:$FV68,0),),""))</f>
        <v/>
      </c>
      <c r="N68" s="119">
        <f t="array" ref="N68">IF(K68="","",INDIRECT("'GRD-"&amp;M68&amp;"'!$L$7"))</f>
        <v/>
      </c>
      <c r="O68" s="76">
        <f t="array" ref="O68">IFERROR(OFFSET($BZ$11,ROW($B68)-11,MATCH(O$10,$CA68:$FV68,0),),"")</f>
        <v/>
      </c>
      <c r="P68" s="76">
        <f>IF(O68="","",IF(VLOOKUP($B68,INDIRECT("'GRD-"&amp;Q68&amp;"'!$B:$R"),16,FALSE)="","",VLOOKUP($B68,INDIRECT("'GRD-"&amp;Q68&amp;"'!$B:$R"),16,FALSE)))</f>
        <v/>
      </c>
      <c r="Q68" s="132">
        <f t="array" ref="Q68">IF(O68="","",IFERROR(OFFSET($BZ$11,0,MATCH($O68,$CA68:$FV68,0),),""))</f>
        <v/>
      </c>
      <c r="R68" s="121">
        <f t="array" ref="R68">IF(O68="","",INDIRECT("'GRD-"&amp;Q68&amp;"'!$L$7"))</f>
        <v/>
      </c>
      <c r="S68" s="83">
        <f t="array" ref="S68">IFERROR(OFFSET($BZ$11,ROW($B68)-11,MATCH(S$10,$CA68:$FV68,0),),"")</f>
        <v/>
      </c>
      <c r="T68" s="83">
        <f>IF(S68="","",IF(VLOOKUP($B68,INDIRECT("'GRD-"&amp;U68&amp;"'!$B:$R"),16,FALSE)="","",VLOOKUP($B68,INDIRECT("'GRD-"&amp;U68&amp;"'!$B:$R"),16,FALSE)))</f>
        <v/>
      </c>
      <c r="U68" s="128">
        <f t="array" ref="U68">IF(S68="","",IFERROR(OFFSET($BZ$11,0,MATCH($S68,$CA68:$FV68,0),),""))</f>
        <v/>
      </c>
      <c r="V68" s="133">
        <f t="array" ref="V68">IF(S68="","",INDIRECT("'GRD-"&amp;U68&amp;"'!$L$7"))</f>
        <v/>
      </c>
      <c r="W68" s="84">
        <f t="array" ref="W68">IFERROR(OFFSET($BZ$11,ROW($B68)-11,MATCH(W$10,$CA68:$FV68,0),),"")</f>
        <v/>
      </c>
      <c r="X68" s="84">
        <f>IF(W68="","",IF(VLOOKUP($B68,INDIRECT("'GRD-"&amp;Y68&amp;"'!$B:$R"),16,FALSE)="","",VLOOKUP($B68,INDIRECT("'GRD-"&amp;Y68&amp;"'!$B:$R"),16,FALSE)))</f>
        <v/>
      </c>
      <c r="Y68" s="129">
        <f t="array" ref="Y68">IF(W68="","",IFERROR(OFFSET($BZ$11,0,MATCH($W68,$CA68:$FV68,0),),""))</f>
        <v/>
      </c>
      <c r="Z68" s="134">
        <f t="array" ref="Z68">IF(W68="","",INDIRECT("'GRD-"&amp;Y68&amp;"'!$L$7"))</f>
        <v/>
      </c>
      <c r="AA68" s="85">
        <f t="array" ref="AA68">IFERROR(OFFSET($BZ$11,ROW($B68)-11,MATCH(AA$10,$CA68:$FV68,0),),"")</f>
        <v/>
      </c>
      <c r="AB68" s="85">
        <f>IF(AA68="","",IF(VLOOKUP($B68,INDIRECT("'GRD-"&amp;AC68&amp;"'!$B:$R"),16,FALSE)="","",VLOOKUP($B68,INDIRECT("'GRD-"&amp;AC68&amp;"'!$B:$R"),16,FALSE)))</f>
        <v/>
      </c>
      <c r="AC68" s="130">
        <f t="array" ref="AC68">IF(AA68="","",IFERROR(OFFSET($BZ$11,0,MATCH($AA68,$CA68:$FV68,0),),""))</f>
        <v/>
      </c>
      <c r="AD68" s="131">
        <f t="array" ref="AD68">IF(AA68="","",INDIRECT("'GRD-"&amp;AC68&amp;"'!$L$7"))</f>
        <v/>
      </c>
      <c r="AE68" s="76">
        <f t="array" ref="AE68">IFERROR(OFFSET($BZ$11,ROW($B68)-11,MATCH(AE$10,$CA68:$FV68,0),),"")</f>
        <v/>
      </c>
      <c r="AF68" s="76">
        <f>IF(AE68="","",IF(VLOOKUP($B68,INDIRECT("'GRD-"&amp;AG68&amp;"'!$B:$R"),16,FALSE)="","",VLOOKUP($B68,INDIRECT("'GRD-"&amp;AG68&amp;"'!$B:$R"),16,FALSE)))</f>
        <v/>
      </c>
      <c r="AG68" s="132">
        <f t="array" ref="AG68">IF(AE68="","",IFERROR(OFFSET($BZ$11,0,MATCH($AE68,$CA68:$FV68,0),),""))</f>
        <v/>
      </c>
      <c r="AH68" s="121">
        <f t="array" ref="AH68">IF(AE68="","",INDIRECT("'GRD-"&amp;AG68&amp;"'!$L$7"))</f>
        <v/>
      </c>
      <c r="AI68" s="83">
        <f t="array" ref="AI68">IFERROR(OFFSET($BZ$11,ROW($B68)-11,MATCH(AI$10,$CA68:$FV68,0),),"")</f>
        <v/>
      </c>
      <c r="AJ68" s="83">
        <f>IF(AI68="","",IF(VLOOKUP($B68,INDIRECT("'GRD-"&amp;AK68&amp;"'!$B:$R"),16,FALSE)="","",VLOOKUP($B68,INDIRECT("'GRD-"&amp;AK68&amp;"'!$B:$R"),16,FALSE)))</f>
        <v/>
      </c>
      <c r="AK68" s="128">
        <f t="array" ref="AK68">IF(AI68="","",IFERROR(OFFSET($BZ$11,0,MATCH($AI68,$CA68:$FV68,0),),""))</f>
        <v/>
      </c>
      <c r="AL68" s="133">
        <f t="array" ref="AL68">IF(AI68="","",INDIRECT("'GRD-"&amp;AK68&amp;"'!$L$7"))</f>
        <v/>
      </c>
      <c r="AM68" s="84">
        <f t="array" ref="AM68">IFERROR(OFFSET($BZ$11,ROW($B68)-11,MATCH(AM$10,$CA68:$FV68,0),),"")</f>
        <v/>
      </c>
      <c r="AN68" s="84">
        <f>IF(AM68="","",IF(VLOOKUP($B68,INDIRECT("'GRD-"&amp;AO68&amp;"'!$B:$R"),16,FALSE)="","",VLOOKUP($B68,INDIRECT("'GRD-"&amp;AO68&amp;"'!$B:$R"),16,FALSE)))</f>
        <v/>
      </c>
      <c r="AO68" s="129">
        <f t="array" ref="AO68">IF(AM68="","",IFERROR(OFFSET($BZ$11,0,MATCH($AM68,$CA68:$FV68,0),),""))</f>
        <v/>
      </c>
      <c r="AP68" s="134">
        <f t="array" ref="AP68">IF(AM68="","",INDIRECT("'GRD-"&amp;AO68&amp;"'!$L$7"))</f>
        <v/>
      </c>
      <c r="AQ68" s="85">
        <f t="array" ref="AQ68">IFERROR(OFFSET($BZ$11,ROW($B68)-11,MATCH(AQ$10,$CA68:$FV68,0),),"")</f>
        <v/>
      </c>
      <c r="AR68" s="85">
        <f>IF(AQ68="","",IF(VLOOKUP($B68,INDIRECT("'GRD-"&amp;AS68&amp;"'!$B:$R"),16,FALSE)="","",VLOOKUP($B68,INDIRECT("'GRD-"&amp;AS68&amp;"'!$B:$R"),16,FALSE)))</f>
        <v/>
      </c>
      <c r="AS68" s="130">
        <f t="array" ref="AS68">IF(AQ68="","",IFERROR(OFFSET($BZ$11,0,MATCH($AQ68,$CA68:$FV68,0),),""))</f>
        <v/>
      </c>
      <c r="AT68" s="131">
        <f t="array" ref="AT68">IF(AQ68="","",INDIRECT("'GRD-"&amp;AS68&amp;"'!$L$7"))</f>
        <v/>
      </c>
      <c r="AU68" s="76">
        <f t="array" ref="AU68">IFERROR(OFFSET($BZ$11,ROW($B68)-11,MATCH(AU$10,$CA68:$FV68,0),),"")</f>
        <v/>
      </c>
      <c r="AV68" s="76">
        <f>IF(AU68="","",IF(VLOOKUP($B68,INDIRECT("'GRD-"&amp;AW68&amp;"'!$B:$R"),16,FALSE)="","",VLOOKUP($B68,INDIRECT("'GRD-"&amp;AW68&amp;"'!$B:$R"),16,FALSE)))</f>
        <v/>
      </c>
      <c r="AW68" s="132">
        <f t="array" ref="AW68">IF(AU68="","",IFERROR(OFFSET($BZ$11,0,MATCH($AU68,$CA68:$FV68,0),),""))</f>
        <v/>
      </c>
      <c r="AX68" s="121">
        <f t="array" ref="AX68">IF(AU68="","",INDIRECT("'GRD-"&amp;AW68&amp;"'!$L$7"))</f>
        <v/>
      </c>
      <c r="AY68" s="83">
        <f t="array" ref="AY68">IFERROR(OFFSET($BZ$11,ROW($B68)-11,MATCH(AY$10,$CA68:$FV68,0),),"")</f>
        <v/>
      </c>
      <c r="AZ68" s="83">
        <f>IF(AY68="","",IF(VLOOKUP($B68,INDIRECT("'GRD-"&amp;BA68&amp;"'!$B:$R"),16,FALSE)="","",VLOOKUP($B68,INDIRECT("'GRD-"&amp;BA68&amp;"'!$B:$R"),16,FALSE)))</f>
        <v/>
      </c>
      <c r="BA68" s="128">
        <f t="array" ref="BA68">IF(AY68="","",IFERROR(OFFSET($BZ$11,0,MATCH($AY68,$CA68:$FV68,0),),""))</f>
        <v/>
      </c>
      <c r="BB68" s="133">
        <f t="array" ref="BB68">IF(AY68="","",INDIRECT("'GRD-"&amp;BA68&amp;"'!$L$7"))</f>
        <v/>
      </c>
      <c r="BC68" s="84">
        <f t="array" ref="BC68">IFERROR(OFFSET($BZ$11,ROW($B68)-11,MATCH(BC$10,$CA68:$FV68,0),),"")</f>
        <v/>
      </c>
      <c r="BD68" s="84">
        <f>IF(BC68="","",IF(VLOOKUP($B68,INDIRECT("'GRD-"&amp;BE68&amp;"'!$B:$R"),16,FALSE)="","",VLOOKUP($B68,INDIRECT("'GRD-"&amp;BE68&amp;"'!$B:$R"),16,FALSE)))</f>
        <v/>
      </c>
      <c r="BE68" s="129">
        <f t="array" ref="BE68">IF(BC68="","",IFERROR(OFFSET($BZ$11,0,MATCH($BC68,$CA68:$FV68,0),),""))</f>
        <v/>
      </c>
      <c r="BF68" s="134">
        <f t="array" ref="BF68">IF(BC68="","",INDIRECT("'GRD-"&amp;BE68&amp;"'!$L$7"))</f>
        <v/>
      </c>
      <c r="CA68" s="96">
        <f>IFERROR(VLOOKUP($B68,INDIRECT("'GRD-"&amp;CA$11&amp;"'!B:R"),15,FALSE),"")</f>
        <v/>
      </c>
      <c r="CB68" s="96">
        <f>IFERROR(VLOOKUP($B68,INDIRECT("'GRD-"&amp;CB$11&amp;"'!B:R"),15,FALSE),"")</f>
        <v/>
      </c>
      <c r="CC68" s="96">
        <f>IFERROR(VLOOKUP($B68,INDIRECT("'GRD-"&amp;CC$11&amp;"'!B:R"),15,FALSE),"")</f>
        <v/>
      </c>
      <c r="CD68" s="96">
        <f>IFERROR(VLOOKUP($B68,INDIRECT("'GRD-"&amp;CD$11&amp;"'!B:R"),15,FALSE),"")</f>
        <v/>
      </c>
      <c r="CE68" s="96">
        <f>IFERROR(VLOOKUP($B68,INDIRECT("'GRD-"&amp;CE$11&amp;"'!B:R"),15,FALSE),"")</f>
        <v/>
      </c>
      <c r="CF68" s="96">
        <f>IFERROR(VLOOKUP($B68,INDIRECT("'GRD-"&amp;CF$11&amp;"'!B:R"),15,FALSE),"")</f>
        <v/>
      </c>
      <c r="CG68" s="96">
        <f>IFERROR(VLOOKUP($B68,INDIRECT("'GRD-"&amp;CG$11&amp;"'!B:R"),15,FALSE),"")</f>
        <v/>
      </c>
      <c r="CH68" s="96">
        <f>IFERROR(VLOOKUP($B68,INDIRECT("'GRD-"&amp;CH$11&amp;"'!B:R"),15,FALSE),"")</f>
        <v/>
      </c>
      <c r="CI68" s="96">
        <f>IFERROR(VLOOKUP($B68,INDIRECT("'GRD-"&amp;CI$11&amp;"'!B:R"),15,FALSE),"")</f>
        <v/>
      </c>
      <c r="CJ68" s="96">
        <f>IFERROR(VLOOKUP($B68,INDIRECT("'GRD-"&amp;CJ$11&amp;"'!B:R"),15,FALSE),"")</f>
        <v/>
      </c>
      <c r="CK68" s="96">
        <f>IFERROR(VLOOKUP($B68,INDIRECT("'GRD-"&amp;CK$11&amp;"'!B:R"),15,FALSE),"")</f>
        <v/>
      </c>
      <c r="CL68" s="96">
        <f>IFERROR(VLOOKUP($B68,INDIRECT("'GRD-"&amp;CL$11&amp;"'!B:R"),15,FALSE),"")</f>
        <v/>
      </c>
      <c r="CM68" s="96">
        <f>IFERROR(VLOOKUP($B68,INDIRECT("'GRD-"&amp;CM$11&amp;"'!B:R"),15,FALSE),"")</f>
        <v/>
      </c>
      <c r="CN68" s="96">
        <f>IFERROR(VLOOKUP($B68,INDIRECT("'GRD-"&amp;CN$11&amp;"'!B:R"),15,FALSE),"")</f>
        <v/>
      </c>
      <c r="CO68" s="96">
        <f>IFERROR(VLOOKUP($B68,INDIRECT("'GRD-"&amp;CO$11&amp;"'!B:R"),15,FALSE),"")</f>
        <v/>
      </c>
      <c r="CP68" s="96">
        <f>IFERROR(VLOOKUP($B68,INDIRECT("'GRD-"&amp;CP$11&amp;"'!B:R"),15,FALSE),"")</f>
        <v/>
      </c>
      <c r="CQ68" s="96">
        <f>IFERROR(VLOOKUP($B68,INDIRECT("'GRD-"&amp;CQ$11&amp;"'!B:R"),15,FALSE),"")</f>
        <v/>
      </c>
      <c r="CR68" s="96">
        <f>IFERROR(VLOOKUP($B68,INDIRECT("'GRD-"&amp;CR$11&amp;"'!B:R"),15,FALSE),"")</f>
        <v/>
      </c>
      <c r="CS68" s="96">
        <f>IFERROR(VLOOKUP($B68,INDIRECT("'GRD-"&amp;CS$11&amp;"'!B:R"),15,FALSE),"")</f>
        <v/>
      </c>
      <c r="CT68" s="96">
        <f>IFERROR(VLOOKUP($B68,INDIRECT("'GRD-"&amp;CT$11&amp;"'!B:R"),15,FALSE),"")</f>
        <v/>
      </c>
      <c r="CU68" s="96">
        <f>IFERROR(VLOOKUP($B68,INDIRECT("'GRD-"&amp;CU$11&amp;"'!B:R"),15,FALSE),"")</f>
        <v/>
      </c>
      <c r="CV68" s="96">
        <f>IFERROR(VLOOKUP($B68,INDIRECT("'GRD-"&amp;CV$11&amp;"'!B:R"),15,FALSE),"")</f>
        <v/>
      </c>
      <c r="CW68" s="96">
        <f>IFERROR(VLOOKUP($B68,INDIRECT("'GRD-"&amp;CW$11&amp;"'!B:R"),15,FALSE),"")</f>
        <v/>
      </c>
      <c r="CX68" s="96">
        <f>IFERROR(VLOOKUP($B68,INDIRECT("'GRD-"&amp;CX$11&amp;"'!B:R"),15,FALSE),"")</f>
        <v/>
      </c>
      <c r="CY68" s="96">
        <f>IFERROR(VLOOKUP($B68,INDIRECT("'GRD-"&amp;CY$11&amp;"'!B:R"),15,FALSE),"")</f>
        <v/>
      </c>
      <c r="CZ68" s="96">
        <f>IFERROR(VLOOKUP($B68,INDIRECT("'GRD-"&amp;CZ$11&amp;"'!B:R"),15,FALSE),"")</f>
        <v/>
      </c>
      <c r="DA68" s="96">
        <f>IFERROR(VLOOKUP($B68,INDIRECT("'GRD-"&amp;DA$11&amp;"'!B:R"),15,FALSE),"")</f>
        <v/>
      </c>
      <c r="DB68" s="96">
        <f>IFERROR(VLOOKUP($B68,INDIRECT("'GRD-"&amp;DB$11&amp;"'!B:R"),15,FALSE),"")</f>
        <v/>
      </c>
      <c r="DC68" s="96">
        <f>IFERROR(VLOOKUP($B68,INDIRECT("'GRD-"&amp;DC$11&amp;"'!B:R"),15,FALSE),"")</f>
        <v/>
      </c>
      <c r="DD68" s="96">
        <f>IFERROR(VLOOKUP($B68,INDIRECT("'GRD-"&amp;DD$11&amp;"'!B:R"),15,FALSE),"")</f>
        <v/>
      </c>
      <c r="DE68" s="96">
        <f>IFERROR(VLOOKUP($B68,INDIRECT("'GRD-"&amp;DE$11&amp;"'!B:R"),15,FALSE),"")</f>
        <v/>
      </c>
      <c r="DF68" s="96">
        <f>IFERROR(VLOOKUP($B68,INDIRECT("'GRD-"&amp;DF$11&amp;"'!B:R"),15,FALSE),"")</f>
        <v/>
      </c>
      <c r="DG68" s="96">
        <f>IFERROR(VLOOKUP($B68,INDIRECT("'GRD-"&amp;DG$11&amp;"'!B:R"),15,FALSE),"")</f>
        <v/>
      </c>
      <c r="DH68" s="96">
        <f>IFERROR(VLOOKUP($B68,INDIRECT("'GRD-"&amp;DH$11&amp;"'!B:R"),15,FALSE),"")</f>
        <v/>
      </c>
      <c r="DI68" s="96">
        <f>IFERROR(VLOOKUP($B68,INDIRECT("'GRD-"&amp;DI$11&amp;"'!B:R"),15,FALSE),"")</f>
        <v/>
      </c>
      <c r="DJ68" s="96">
        <f>IFERROR(VLOOKUP($B68,INDIRECT("'GRD-"&amp;DJ$11&amp;"'!B:R"),15,FALSE),"")</f>
        <v/>
      </c>
      <c r="DK68" s="96">
        <f>IFERROR(VLOOKUP($B68,INDIRECT("'GRD-"&amp;DK$11&amp;"'!B:R"),15,FALSE),"")</f>
        <v/>
      </c>
      <c r="DL68" s="96">
        <f>IFERROR(VLOOKUP($B68,INDIRECT("'GRD-"&amp;DL$11&amp;"'!B:R"),15,FALSE),"")</f>
        <v/>
      </c>
      <c r="DM68" s="96">
        <f>IFERROR(VLOOKUP($B68,INDIRECT("'GRD-"&amp;DM$11&amp;"'!B:R"),15,FALSE),"")</f>
        <v/>
      </c>
      <c r="DN68" s="96">
        <f>IFERROR(VLOOKUP($B68,INDIRECT("'GRD-"&amp;DN$11&amp;"'!B:R"),15,FALSE),"")</f>
        <v/>
      </c>
      <c r="DO68" s="96">
        <f>IFERROR(VLOOKUP($B68,INDIRECT("'GRD-"&amp;DO$11&amp;"'!B:R"),15,FALSE),"")</f>
        <v/>
      </c>
      <c r="DP68" s="96">
        <f>IFERROR(VLOOKUP($B68,INDIRECT("'GRD-"&amp;DP$11&amp;"'!B:R"),15,FALSE),"")</f>
        <v/>
      </c>
      <c r="DQ68" s="96">
        <f>IFERROR(VLOOKUP($B68,INDIRECT("'GRD-"&amp;DQ$11&amp;"'!B:R"),15,FALSE),"")</f>
        <v/>
      </c>
      <c r="DR68" s="96">
        <f>IFERROR(VLOOKUP($B68,INDIRECT("'GRD-"&amp;DR$11&amp;"'!B:R"),15,FALSE),"")</f>
        <v/>
      </c>
      <c r="DS68" s="96">
        <f>IFERROR(VLOOKUP($B68,INDIRECT("'GRD-"&amp;DS$11&amp;"'!B:R"),15,FALSE),"")</f>
        <v/>
      </c>
      <c r="DT68" s="96">
        <f>IFERROR(VLOOKUP($B68,INDIRECT("'GRD-"&amp;DT$11&amp;"'!B:R"),15,FALSE),"")</f>
        <v/>
      </c>
      <c r="DU68" s="96">
        <f>IFERROR(VLOOKUP($B68,INDIRECT("'GRD-"&amp;DU$11&amp;"'!B:R"),15,FALSE),"")</f>
        <v/>
      </c>
      <c r="DV68" s="96">
        <f>IFERROR(VLOOKUP($B68,INDIRECT("'GRD-"&amp;DV$11&amp;"'!B:R"),15,FALSE),"")</f>
        <v/>
      </c>
      <c r="DW68" s="96">
        <f>IFERROR(VLOOKUP($B68,INDIRECT("'GRD-"&amp;DW$11&amp;"'!B:R"),15,FALSE),"")</f>
        <v/>
      </c>
      <c r="DX68" s="96">
        <f>IFERROR(VLOOKUP($B68,INDIRECT("'GRD-"&amp;DX$11&amp;"'!B:R"),15,FALSE),"")</f>
        <v/>
      </c>
      <c r="DY68" s="96">
        <f>IFERROR(VLOOKUP($B68,INDIRECT("'GRD-"&amp;DY$11&amp;"'!B:R"),15,FALSE),"")</f>
        <v/>
      </c>
      <c r="DZ68" s="96">
        <f>IFERROR(VLOOKUP($B68,INDIRECT("'GRD-"&amp;DZ$11&amp;"'!B:R"),15,FALSE),"")</f>
        <v/>
      </c>
      <c r="EA68" s="96">
        <f>IFERROR(VLOOKUP($B68,INDIRECT("'GRD-"&amp;EA$11&amp;"'!B:R"),15,FALSE),"")</f>
        <v/>
      </c>
      <c r="EB68" s="96">
        <f>IFERROR(VLOOKUP($B68,INDIRECT("'GRD-"&amp;EB$11&amp;"'!B:R"),15,FALSE),"")</f>
        <v/>
      </c>
      <c r="EC68" s="96">
        <f>IFERROR(VLOOKUP($B68,INDIRECT("'GRD-"&amp;EC$11&amp;"'!B:R"),15,FALSE),"")</f>
        <v/>
      </c>
      <c r="ED68" s="96">
        <f>IFERROR(VLOOKUP($B68,INDIRECT("'GRD-"&amp;ED$11&amp;"'!B:R"),15,FALSE),"")</f>
        <v/>
      </c>
      <c r="EE68" s="96">
        <f>IFERROR(VLOOKUP($B68,INDIRECT("'GRD-"&amp;EE$11&amp;"'!B:R"),15,FALSE),"")</f>
        <v/>
      </c>
      <c r="EF68" s="96">
        <f>IFERROR(VLOOKUP($B68,INDIRECT("'GRD-"&amp;EF$11&amp;"'!B:R"),15,FALSE),"")</f>
        <v/>
      </c>
      <c r="EG68" s="96">
        <f>IFERROR(VLOOKUP($B68,INDIRECT("'GRD-"&amp;EG$11&amp;"'!B:R"),15,FALSE),"")</f>
        <v/>
      </c>
      <c r="EH68" s="96">
        <f>IFERROR(VLOOKUP($B68,INDIRECT("'GRD-"&amp;EH$11&amp;"'!B:R"),15,FALSE),"")</f>
        <v/>
      </c>
      <c r="EI68" s="96">
        <f>IFERROR(VLOOKUP($B68,INDIRECT("'GRD-"&amp;EI$11&amp;"'!B:R"),15,FALSE),"")</f>
        <v/>
      </c>
      <c r="EJ68" s="96">
        <f>IFERROR(VLOOKUP($B68,INDIRECT("'GRD-"&amp;EJ$11&amp;"'!B:R"),15,FALSE),"")</f>
        <v/>
      </c>
      <c r="EK68" s="96">
        <f>IFERROR(VLOOKUP($B68,INDIRECT("'GRD-"&amp;EK$11&amp;"'!B:R"),15,FALSE),"")</f>
        <v/>
      </c>
      <c r="EL68" s="96">
        <f>IFERROR(VLOOKUP($B68,INDIRECT("'GRD-"&amp;EL$11&amp;"'!B:R"),15,FALSE),"")</f>
        <v/>
      </c>
      <c r="EM68" s="96">
        <f>IFERROR(VLOOKUP($B68,INDIRECT("'GRD-"&amp;EM$11&amp;"'!B:R"),15,FALSE),"")</f>
        <v/>
      </c>
      <c r="EN68" s="96">
        <f>IFERROR(VLOOKUP($B68,INDIRECT("'GRD-"&amp;EN$11&amp;"'!B:R"),15,FALSE),"")</f>
        <v/>
      </c>
      <c r="EO68" s="96">
        <f>IFERROR(VLOOKUP($B68,INDIRECT("'GRD-"&amp;EO$11&amp;"'!B:R"),15,FALSE),"")</f>
        <v/>
      </c>
      <c r="EP68" s="96">
        <f>IFERROR(VLOOKUP($B68,INDIRECT("'GRD-"&amp;EP$11&amp;"'!B:R"),15,FALSE),"")</f>
        <v/>
      </c>
      <c r="EQ68" s="96">
        <f>IFERROR(VLOOKUP($B68,INDIRECT("'GRD-"&amp;EQ$11&amp;"'!B:R"),15,FALSE),"")</f>
        <v/>
      </c>
      <c r="ER68" s="96">
        <f>IFERROR(VLOOKUP($B68,INDIRECT("'GRD-"&amp;ER$11&amp;"'!B:R"),15,FALSE),"")</f>
        <v/>
      </c>
      <c r="ES68" s="96">
        <f>IFERROR(VLOOKUP($B68,INDIRECT("'GRD-"&amp;ES$11&amp;"'!B:R"),15,FALSE),"")</f>
        <v/>
      </c>
      <c r="ET68" s="96">
        <f>IFERROR(VLOOKUP($B68,INDIRECT("'GRD-"&amp;ET$11&amp;"'!B:R"),15,FALSE),"")</f>
        <v/>
      </c>
      <c r="EU68" s="96">
        <f>IFERROR(VLOOKUP($B68,INDIRECT("'GRD-"&amp;EU$11&amp;"'!B:R"),15,FALSE),"")</f>
        <v/>
      </c>
      <c r="EV68" s="96">
        <f>IFERROR(VLOOKUP($B68,INDIRECT("'GRD-"&amp;EV$11&amp;"'!B:R"),15,FALSE),"")</f>
        <v/>
      </c>
      <c r="EW68" s="96">
        <f>IFERROR(VLOOKUP($B68,INDIRECT("'GRD-"&amp;EW$11&amp;"'!B:R"),15,FALSE),"")</f>
        <v/>
      </c>
      <c r="EX68" s="96">
        <f>IFERROR(VLOOKUP($B68,INDIRECT("'GRD-"&amp;EX$11&amp;"'!B:R"),15,FALSE),"")</f>
        <v/>
      </c>
      <c r="EY68" s="96">
        <f>IFERROR(VLOOKUP($B68,INDIRECT("'GRD-"&amp;EY$11&amp;"'!B:R"),15,FALSE),"")</f>
        <v/>
      </c>
      <c r="EZ68" s="96">
        <f>IFERROR(VLOOKUP($B68,INDIRECT("'GRD-"&amp;EZ$11&amp;"'!B:R"),15,FALSE),"")</f>
        <v/>
      </c>
      <c r="FA68" s="96">
        <f>IFERROR(VLOOKUP($B68,INDIRECT("'GRD-"&amp;FA$11&amp;"'!B:R"),15,FALSE),"")</f>
        <v/>
      </c>
      <c r="FB68" s="96">
        <f>IFERROR(VLOOKUP($B68,INDIRECT("'GRD-"&amp;FB$11&amp;"'!B:R"),15,FALSE),"")</f>
        <v/>
      </c>
      <c r="FC68" s="96">
        <f>IFERROR(VLOOKUP($B68,INDIRECT("'GRD-"&amp;FC$11&amp;"'!B:R"),15,FALSE),"")</f>
        <v/>
      </c>
      <c r="FD68" s="96">
        <f>IFERROR(VLOOKUP($B68,INDIRECT("'GRD-"&amp;FD$11&amp;"'!B:R"),15,FALSE),"")</f>
        <v/>
      </c>
      <c r="FE68" s="96">
        <f>IFERROR(VLOOKUP($B68,INDIRECT("'GRD-"&amp;FE$11&amp;"'!B:R"),15,FALSE),"")</f>
        <v/>
      </c>
      <c r="FF68" s="96">
        <f>IFERROR(VLOOKUP($B68,INDIRECT("'GRD-"&amp;FF$11&amp;"'!B:R"),15,FALSE),"")</f>
        <v/>
      </c>
      <c r="FG68" s="96">
        <f>IFERROR(VLOOKUP($B68,INDIRECT("'GRD-"&amp;FG$11&amp;"'!B:R"),15,FALSE),"")</f>
        <v/>
      </c>
      <c r="FH68" s="96">
        <f>IFERROR(VLOOKUP($B68,INDIRECT("'GRD-"&amp;FH$11&amp;"'!B:R"),15,FALSE),"")</f>
        <v/>
      </c>
      <c r="FI68" s="96">
        <f>IFERROR(VLOOKUP($B68,INDIRECT("'GRD-"&amp;FI$11&amp;"'!B:R"),15,FALSE),"")</f>
        <v/>
      </c>
      <c r="FJ68" s="96">
        <f>IFERROR(VLOOKUP($B68,INDIRECT("'GRD-"&amp;FJ$11&amp;"'!B:R"),15,FALSE),"")</f>
        <v/>
      </c>
      <c r="FK68" s="96">
        <f>IFERROR(VLOOKUP($B68,INDIRECT("'GRD-"&amp;FK$11&amp;"'!B:R"),15,FALSE),"")</f>
        <v/>
      </c>
      <c r="FL68" s="96">
        <f>IFERROR(VLOOKUP($B68,INDIRECT("'GRD-"&amp;FL$11&amp;"'!B:R"),15,FALSE),"")</f>
        <v/>
      </c>
      <c r="FM68" s="96">
        <f>IFERROR(VLOOKUP($B68,INDIRECT("'GRD-"&amp;FM$11&amp;"'!B:R"),15,FALSE),"")</f>
        <v/>
      </c>
      <c r="FN68" s="96">
        <f>IFERROR(VLOOKUP($B68,INDIRECT("'GRD-"&amp;FN$11&amp;"'!B:R"),15,FALSE),"")</f>
        <v/>
      </c>
      <c r="FO68" s="96">
        <f>IFERROR(VLOOKUP($B68,INDIRECT("'GRD-"&amp;FO$11&amp;"'!B:R"),15,FALSE),"")</f>
        <v/>
      </c>
      <c r="FP68" s="96">
        <f>IFERROR(VLOOKUP($B68,INDIRECT("'GRD-"&amp;FP$11&amp;"'!B:R"),15,FALSE),"")</f>
        <v/>
      </c>
      <c r="FQ68" s="96">
        <f>IFERROR(VLOOKUP($B68,INDIRECT("'GRD-"&amp;FQ$11&amp;"'!B:R"),15,FALSE),"")</f>
        <v/>
      </c>
      <c r="FR68" s="96">
        <f>IFERROR(VLOOKUP($B68,INDIRECT("'GRD-"&amp;FR$11&amp;"'!B:R"),15,FALSE),"")</f>
        <v/>
      </c>
      <c r="FS68" s="96">
        <f>IFERROR(VLOOKUP($B68,INDIRECT("'GRD-"&amp;FS$11&amp;"'!B:R"),15,FALSE),"")</f>
        <v/>
      </c>
      <c r="FT68" s="96">
        <f>IFERROR(VLOOKUP($B68,INDIRECT("'GRD-"&amp;FT$11&amp;"'!B:R"),15,FALSE),"")</f>
        <v/>
      </c>
      <c r="FU68" s="96">
        <f>IFERROR(VLOOKUP($B68,INDIRECT("'GRD-"&amp;FU$11&amp;"'!B:R"),15,FALSE),"")</f>
        <v/>
      </c>
      <c r="FV68" s="96">
        <f>IFERROR(VLOOKUP($B68,INDIRECT("'GRD-"&amp;FV$11&amp;"'!B:R"),15,FALSE),"")</f>
        <v/>
      </c>
    </row>
    <row r="69">
      <c r="B69" s="85" t="n"/>
      <c r="C69" s="93" t="n"/>
      <c r="D69" s="73">
        <f>IF(K69="","",MAX($CA69:$FV69))</f>
        <v/>
      </c>
      <c r="E69" s="74">
        <f t="array" ref="E69">IF($K69="","",OFFSET($A$1,ROW($B69)-1,11+$D69*4,))</f>
        <v/>
      </c>
      <c r="F69" s="74">
        <f t="array" ref="F69">IF($K69="","",OFFSET($A$1,ROW($B69)-1,12+$D69*4,))</f>
        <v/>
      </c>
      <c r="G69" s="118">
        <f t="array" ref="G69">IF($K69="","",OFFSET($A$1,ROW($B69)-1,13+$D69*4,))</f>
        <v/>
      </c>
      <c r="H69" s="81" t="n"/>
      <c r="I69" s="82" t="n"/>
      <c r="J69" s="75">
        <f>IF(I69="A4",H69/8,IF(I69="A3",H69/4,IF(I69="A2",H69/2,IF(I69="A1",H69/1,IF(I69="A0",H69*2,"")))))</f>
        <v/>
      </c>
      <c r="K69" s="68">
        <f t="array" ref="K69">IFERROR(OFFSET($BZ$11,ROW($B69)-11,MATCH(K$10,$CA69:$FV69,0),),"")</f>
        <v/>
      </c>
      <c r="L69" s="85">
        <f>IF(K69="","",IF(VLOOKUP($B69,INDIRECT("'GRD-"&amp;M69&amp;"'!$B:$R"),16,FALSE)="","",VLOOKUP($B69,INDIRECT("'GRD-"&amp;M69&amp;"'!$B:$R"),16,FALSE)))</f>
        <v/>
      </c>
      <c r="M69" s="130">
        <f t="array" ref="M69">IF(K69="","",IFERROR(OFFSET($BZ$11,0,MATCH($K69,$CA69:$FV69,0),),""))</f>
        <v/>
      </c>
      <c r="N69" s="119">
        <f t="array" ref="N69">IF(K69="","",INDIRECT("'GRD-"&amp;M69&amp;"'!$L$7"))</f>
        <v/>
      </c>
      <c r="O69" s="76">
        <f t="array" ref="O69">IFERROR(OFFSET($BZ$11,ROW($B69)-11,MATCH(O$10,$CA69:$FV69,0),),"")</f>
        <v/>
      </c>
      <c r="P69" s="76">
        <f>IF(O69="","",IF(VLOOKUP($B69,INDIRECT("'GRD-"&amp;Q69&amp;"'!$B:$R"),16,FALSE)="","",VLOOKUP($B69,INDIRECT("'GRD-"&amp;Q69&amp;"'!$B:$R"),16,FALSE)))</f>
        <v/>
      </c>
      <c r="Q69" s="132">
        <f t="array" ref="Q69">IF(O69="","",IFERROR(OFFSET($BZ$11,0,MATCH($O69,$CA69:$FV69,0),),""))</f>
        <v/>
      </c>
      <c r="R69" s="121">
        <f t="array" ref="R69">IF(O69="","",INDIRECT("'GRD-"&amp;Q69&amp;"'!$L$7"))</f>
        <v/>
      </c>
      <c r="S69" s="83">
        <f t="array" ref="S69">IFERROR(OFFSET($BZ$11,ROW($B69)-11,MATCH(S$10,$CA69:$FV69,0),),"")</f>
        <v/>
      </c>
      <c r="T69" s="83">
        <f>IF(S69="","",IF(VLOOKUP($B69,INDIRECT("'GRD-"&amp;U69&amp;"'!$B:$R"),16,FALSE)="","",VLOOKUP($B69,INDIRECT("'GRD-"&amp;U69&amp;"'!$B:$R"),16,FALSE)))</f>
        <v/>
      </c>
      <c r="U69" s="128">
        <f t="array" ref="U69">IF(S69="","",IFERROR(OFFSET($BZ$11,0,MATCH($S69,$CA69:$FV69,0),),""))</f>
        <v/>
      </c>
      <c r="V69" s="133">
        <f t="array" ref="V69">IF(S69="","",INDIRECT("'GRD-"&amp;U69&amp;"'!$L$7"))</f>
        <v/>
      </c>
      <c r="W69" s="84">
        <f t="array" ref="W69">IFERROR(OFFSET($BZ$11,ROW($B69)-11,MATCH(W$10,$CA69:$FV69,0),),"")</f>
        <v/>
      </c>
      <c r="X69" s="84">
        <f>IF(W69="","",IF(VLOOKUP($B69,INDIRECT("'GRD-"&amp;Y69&amp;"'!$B:$R"),16,FALSE)="","",VLOOKUP($B69,INDIRECT("'GRD-"&amp;Y69&amp;"'!$B:$R"),16,FALSE)))</f>
        <v/>
      </c>
      <c r="Y69" s="129">
        <f t="array" ref="Y69">IF(W69="","",IFERROR(OFFSET($BZ$11,0,MATCH($W69,$CA69:$FV69,0),),""))</f>
        <v/>
      </c>
      <c r="Z69" s="134">
        <f t="array" ref="Z69">IF(W69="","",INDIRECT("'GRD-"&amp;Y69&amp;"'!$L$7"))</f>
        <v/>
      </c>
      <c r="AA69" s="85">
        <f t="array" ref="AA69">IFERROR(OFFSET($BZ$11,ROW($B69)-11,MATCH(AA$10,$CA69:$FV69,0),),"")</f>
        <v/>
      </c>
      <c r="AB69" s="85">
        <f>IF(AA69="","",IF(VLOOKUP($B69,INDIRECT("'GRD-"&amp;AC69&amp;"'!$B:$R"),16,FALSE)="","",VLOOKUP($B69,INDIRECT("'GRD-"&amp;AC69&amp;"'!$B:$R"),16,FALSE)))</f>
        <v/>
      </c>
      <c r="AC69" s="130">
        <f t="array" ref="AC69">IF(AA69="","",IFERROR(OFFSET($BZ$11,0,MATCH($AA69,$CA69:$FV69,0),),""))</f>
        <v/>
      </c>
      <c r="AD69" s="131">
        <f t="array" ref="AD69">IF(AA69="","",INDIRECT("'GRD-"&amp;AC69&amp;"'!$L$7"))</f>
        <v/>
      </c>
      <c r="AE69" s="76">
        <f t="array" ref="AE69">IFERROR(OFFSET($BZ$11,ROW($B69)-11,MATCH(AE$10,$CA69:$FV69,0),),"")</f>
        <v/>
      </c>
      <c r="AF69" s="76">
        <f>IF(AE69="","",IF(VLOOKUP($B69,INDIRECT("'GRD-"&amp;AG69&amp;"'!$B:$R"),16,FALSE)="","",VLOOKUP($B69,INDIRECT("'GRD-"&amp;AG69&amp;"'!$B:$R"),16,FALSE)))</f>
        <v/>
      </c>
      <c r="AG69" s="132">
        <f t="array" ref="AG69">IF(AE69="","",IFERROR(OFFSET($BZ$11,0,MATCH($AE69,$CA69:$FV69,0),),""))</f>
        <v/>
      </c>
      <c r="AH69" s="121">
        <f t="array" ref="AH69">IF(AE69="","",INDIRECT("'GRD-"&amp;AG69&amp;"'!$L$7"))</f>
        <v/>
      </c>
      <c r="AI69" s="83">
        <f t="array" ref="AI69">IFERROR(OFFSET($BZ$11,ROW($B69)-11,MATCH(AI$10,$CA69:$FV69,0),),"")</f>
        <v/>
      </c>
      <c r="AJ69" s="83">
        <f>IF(AI69="","",IF(VLOOKUP($B69,INDIRECT("'GRD-"&amp;AK69&amp;"'!$B:$R"),16,FALSE)="","",VLOOKUP($B69,INDIRECT("'GRD-"&amp;AK69&amp;"'!$B:$R"),16,FALSE)))</f>
        <v/>
      </c>
      <c r="AK69" s="128">
        <f t="array" ref="AK69">IF(AI69="","",IFERROR(OFFSET($BZ$11,0,MATCH($AI69,$CA69:$FV69,0),),""))</f>
        <v/>
      </c>
      <c r="AL69" s="133">
        <f t="array" ref="AL69">IF(AI69="","",INDIRECT("'GRD-"&amp;AK69&amp;"'!$L$7"))</f>
        <v/>
      </c>
      <c r="AM69" s="84">
        <f t="array" ref="AM69">IFERROR(OFFSET($BZ$11,ROW($B69)-11,MATCH(AM$10,$CA69:$FV69,0),),"")</f>
        <v/>
      </c>
      <c r="AN69" s="84">
        <f>IF(AM69="","",IF(VLOOKUP($B69,INDIRECT("'GRD-"&amp;AO69&amp;"'!$B:$R"),16,FALSE)="","",VLOOKUP($B69,INDIRECT("'GRD-"&amp;AO69&amp;"'!$B:$R"),16,FALSE)))</f>
        <v/>
      </c>
      <c r="AO69" s="129">
        <f t="array" ref="AO69">IF(AM69="","",IFERROR(OFFSET($BZ$11,0,MATCH($AM69,$CA69:$FV69,0),),""))</f>
        <v/>
      </c>
      <c r="AP69" s="134">
        <f t="array" ref="AP69">IF(AM69="","",INDIRECT("'GRD-"&amp;AO69&amp;"'!$L$7"))</f>
        <v/>
      </c>
      <c r="AQ69" s="85">
        <f t="array" ref="AQ69">IFERROR(OFFSET($BZ$11,ROW($B69)-11,MATCH(AQ$10,$CA69:$FV69,0),),"")</f>
        <v/>
      </c>
      <c r="AR69" s="85">
        <f>IF(AQ69="","",IF(VLOOKUP($B69,INDIRECT("'GRD-"&amp;AS69&amp;"'!$B:$R"),16,FALSE)="","",VLOOKUP($B69,INDIRECT("'GRD-"&amp;AS69&amp;"'!$B:$R"),16,FALSE)))</f>
        <v/>
      </c>
      <c r="AS69" s="130">
        <f t="array" ref="AS69">IF(AQ69="","",IFERROR(OFFSET($BZ$11,0,MATCH($AQ69,$CA69:$FV69,0),),""))</f>
        <v/>
      </c>
      <c r="AT69" s="131">
        <f t="array" ref="AT69">IF(AQ69="","",INDIRECT("'GRD-"&amp;AS69&amp;"'!$L$7"))</f>
        <v/>
      </c>
      <c r="AU69" s="76">
        <f t="array" ref="AU69">IFERROR(OFFSET($BZ$11,ROW($B69)-11,MATCH(AU$10,$CA69:$FV69,0),),"")</f>
        <v/>
      </c>
      <c r="AV69" s="76">
        <f>IF(AU69="","",IF(VLOOKUP($B69,INDIRECT("'GRD-"&amp;AW69&amp;"'!$B:$R"),16,FALSE)="","",VLOOKUP($B69,INDIRECT("'GRD-"&amp;AW69&amp;"'!$B:$R"),16,FALSE)))</f>
        <v/>
      </c>
      <c r="AW69" s="132">
        <f t="array" ref="AW69">IF(AU69="","",IFERROR(OFFSET($BZ$11,0,MATCH($AU69,$CA69:$FV69,0),),""))</f>
        <v/>
      </c>
      <c r="AX69" s="121">
        <f t="array" ref="AX69">IF(AU69="","",INDIRECT("'GRD-"&amp;AW69&amp;"'!$L$7"))</f>
        <v/>
      </c>
      <c r="AY69" s="83">
        <f t="array" ref="AY69">IFERROR(OFFSET($BZ$11,ROW($B69)-11,MATCH(AY$10,$CA69:$FV69,0),),"")</f>
        <v/>
      </c>
      <c r="AZ69" s="83">
        <f>IF(AY69="","",IF(VLOOKUP($B69,INDIRECT("'GRD-"&amp;BA69&amp;"'!$B:$R"),16,FALSE)="","",VLOOKUP($B69,INDIRECT("'GRD-"&amp;BA69&amp;"'!$B:$R"),16,FALSE)))</f>
        <v/>
      </c>
      <c r="BA69" s="128">
        <f t="array" ref="BA69">IF(AY69="","",IFERROR(OFFSET($BZ$11,0,MATCH($AY69,$CA69:$FV69,0),),""))</f>
        <v/>
      </c>
      <c r="BB69" s="133">
        <f t="array" ref="BB69">IF(AY69="","",INDIRECT("'GRD-"&amp;BA69&amp;"'!$L$7"))</f>
        <v/>
      </c>
      <c r="BC69" s="84">
        <f t="array" ref="BC69">IFERROR(OFFSET($BZ$11,ROW($B69)-11,MATCH(BC$10,$CA69:$FV69,0),),"")</f>
        <v/>
      </c>
      <c r="BD69" s="84">
        <f>IF(BC69="","",IF(VLOOKUP($B69,INDIRECT("'GRD-"&amp;BE69&amp;"'!$B:$R"),16,FALSE)="","",VLOOKUP($B69,INDIRECT("'GRD-"&amp;BE69&amp;"'!$B:$R"),16,FALSE)))</f>
        <v/>
      </c>
      <c r="BE69" s="129">
        <f t="array" ref="BE69">IF(BC69="","",IFERROR(OFFSET($BZ$11,0,MATCH($BC69,$CA69:$FV69,0),),""))</f>
        <v/>
      </c>
      <c r="BF69" s="134">
        <f t="array" ref="BF69">IF(BC69="","",INDIRECT("'GRD-"&amp;BE69&amp;"'!$L$7"))</f>
        <v/>
      </c>
      <c r="CA69" s="96">
        <f>IFERROR(VLOOKUP($B69,INDIRECT("'GRD-"&amp;CA$11&amp;"'!B:R"),15,FALSE),"")</f>
        <v/>
      </c>
      <c r="CB69" s="96">
        <f>IFERROR(VLOOKUP($B69,INDIRECT("'GRD-"&amp;CB$11&amp;"'!B:R"),15,FALSE),"")</f>
        <v/>
      </c>
      <c r="CC69" s="96">
        <f>IFERROR(VLOOKUP($B69,INDIRECT("'GRD-"&amp;CC$11&amp;"'!B:R"),15,FALSE),"")</f>
        <v/>
      </c>
      <c r="CD69" s="96">
        <f>IFERROR(VLOOKUP($B69,INDIRECT("'GRD-"&amp;CD$11&amp;"'!B:R"),15,FALSE),"")</f>
        <v/>
      </c>
      <c r="CE69" s="96">
        <f>IFERROR(VLOOKUP($B69,INDIRECT("'GRD-"&amp;CE$11&amp;"'!B:R"),15,FALSE),"")</f>
        <v/>
      </c>
      <c r="CF69" s="96">
        <f>IFERROR(VLOOKUP($B69,INDIRECT("'GRD-"&amp;CF$11&amp;"'!B:R"),15,FALSE),"")</f>
        <v/>
      </c>
      <c r="CG69" s="96">
        <f>IFERROR(VLOOKUP($B69,INDIRECT("'GRD-"&amp;CG$11&amp;"'!B:R"),15,FALSE),"")</f>
        <v/>
      </c>
      <c r="CH69" s="96">
        <f>IFERROR(VLOOKUP($B69,INDIRECT("'GRD-"&amp;CH$11&amp;"'!B:R"),15,FALSE),"")</f>
        <v/>
      </c>
      <c r="CI69" s="96">
        <f>IFERROR(VLOOKUP($B69,INDIRECT("'GRD-"&amp;CI$11&amp;"'!B:R"),15,FALSE),"")</f>
        <v/>
      </c>
      <c r="CJ69" s="96">
        <f>IFERROR(VLOOKUP($B69,INDIRECT("'GRD-"&amp;CJ$11&amp;"'!B:R"),15,FALSE),"")</f>
        <v/>
      </c>
      <c r="CK69" s="96">
        <f>IFERROR(VLOOKUP($B69,INDIRECT("'GRD-"&amp;CK$11&amp;"'!B:R"),15,FALSE),"")</f>
        <v/>
      </c>
      <c r="CL69" s="96">
        <f>IFERROR(VLOOKUP($B69,INDIRECT("'GRD-"&amp;CL$11&amp;"'!B:R"),15,FALSE),"")</f>
        <v/>
      </c>
      <c r="CM69" s="96">
        <f>IFERROR(VLOOKUP($B69,INDIRECT("'GRD-"&amp;CM$11&amp;"'!B:R"),15,FALSE),"")</f>
        <v/>
      </c>
      <c r="CN69" s="96">
        <f>IFERROR(VLOOKUP($B69,INDIRECT("'GRD-"&amp;CN$11&amp;"'!B:R"),15,FALSE),"")</f>
        <v/>
      </c>
      <c r="CO69" s="96">
        <f>IFERROR(VLOOKUP($B69,INDIRECT("'GRD-"&amp;CO$11&amp;"'!B:R"),15,FALSE),"")</f>
        <v/>
      </c>
      <c r="CP69" s="96">
        <f>IFERROR(VLOOKUP($B69,INDIRECT("'GRD-"&amp;CP$11&amp;"'!B:R"),15,FALSE),"")</f>
        <v/>
      </c>
      <c r="CQ69" s="96">
        <f>IFERROR(VLOOKUP($B69,INDIRECT("'GRD-"&amp;CQ$11&amp;"'!B:R"),15,FALSE),"")</f>
        <v/>
      </c>
      <c r="CR69" s="96">
        <f>IFERROR(VLOOKUP($B69,INDIRECT("'GRD-"&amp;CR$11&amp;"'!B:R"),15,FALSE),"")</f>
        <v/>
      </c>
      <c r="CS69" s="96">
        <f>IFERROR(VLOOKUP($B69,INDIRECT("'GRD-"&amp;CS$11&amp;"'!B:R"),15,FALSE),"")</f>
        <v/>
      </c>
      <c r="CT69" s="96">
        <f>IFERROR(VLOOKUP($B69,INDIRECT("'GRD-"&amp;CT$11&amp;"'!B:R"),15,FALSE),"")</f>
        <v/>
      </c>
      <c r="CU69" s="96">
        <f>IFERROR(VLOOKUP($B69,INDIRECT("'GRD-"&amp;CU$11&amp;"'!B:R"),15,FALSE),"")</f>
        <v/>
      </c>
      <c r="CV69" s="96">
        <f>IFERROR(VLOOKUP($B69,INDIRECT("'GRD-"&amp;CV$11&amp;"'!B:R"),15,FALSE),"")</f>
        <v/>
      </c>
      <c r="CW69" s="96">
        <f>IFERROR(VLOOKUP($B69,INDIRECT("'GRD-"&amp;CW$11&amp;"'!B:R"),15,FALSE),"")</f>
        <v/>
      </c>
      <c r="CX69" s="96">
        <f>IFERROR(VLOOKUP($B69,INDIRECT("'GRD-"&amp;CX$11&amp;"'!B:R"),15,FALSE),"")</f>
        <v/>
      </c>
      <c r="CY69" s="96">
        <f>IFERROR(VLOOKUP($B69,INDIRECT("'GRD-"&amp;CY$11&amp;"'!B:R"),15,FALSE),"")</f>
        <v/>
      </c>
      <c r="CZ69" s="96">
        <f>IFERROR(VLOOKUP($B69,INDIRECT("'GRD-"&amp;CZ$11&amp;"'!B:R"),15,FALSE),"")</f>
        <v/>
      </c>
      <c r="DA69" s="96">
        <f>IFERROR(VLOOKUP($B69,INDIRECT("'GRD-"&amp;DA$11&amp;"'!B:R"),15,FALSE),"")</f>
        <v/>
      </c>
      <c r="DB69" s="96">
        <f>IFERROR(VLOOKUP($B69,INDIRECT("'GRD-"&amp;DB$11&amp;"'!B:R"),15,FALSE),"")</f>
        <v/>
      </c>
      <c r="DC69" s="96">
        <f>IFERROR(VLOOKUP($B69,INDIRECT("'GRD-"&amp;DC$11&amp;"'!B:R"),15,FALSE),"")</f>
        <v/>
      </c>
      <c r="DD69" s="96">
        <f>IFERROR(VLOOKUP($B69,INDIRECT("'GRD-"&amp;DD$11&amp;"'!B:R"),15,FALSE),"")</f>
        <v/>
      </c>
      <c r="DE69" s="96">
        <f>IFERROR(VLOOKUP($B69,INDIRECT("'GRD-"&amp;DE$11&amp;"'!B:R"),15,FALSE),"")</f>
        <v/>
      </c>
      <c r="DF69" s="96">
        <f>IFERROR(VLOOKUP($B69,INDIRECT("'GRD-"&amp;DF$11&amp;"'!B:R"),15,FALSE),"")</f>
        <v/>
      </c>
      <c r="DG69" s="96">
        <f>IFERROR(VLOOKUP($B69,INDIRECT("'GRD-"&amp;DG$11&amp;"'!B:R"),15,FALSE),"")</f>
        <v/>
      </c>
      <c r="DH69" s="96">
        <f>IFERROR(VLOOKUP($B69,INDIRECT("'GRD-"&amp;DH$11&amp;"'!B:R"),15,FALSE),"")</f>
        <v/>
      </c>
      <c r="DI69" s="96">
        <f>IFERROR(VLOOKUP($B69,INDIRECT("'GRD-"&amp;DI$11&amp;"'!B:R"),15,FALSE),"")</f>
        <v/>
      </c>
      <c r="DJ69" s="96">
        <f>IFERROR(VLOOKUP($B69,INDIRECT("'GRD-"&amp;DJ$11&amp;"'!B:R"),15,FALSE),"")</f>
        <v/>
      </c>
      <c r="DK69" s="96">
        <f>IFERROR(VLOOKUP($B69,INDIRECT("'GRD-"&amp;DK$11&amp;"'!B:R"),15,FALSE),"")</f>
        <v/>
      </c>
      <c r="DL69" s="96">
        <f>IFERROR(VLOOKUP($B69,INDIRECT("'GRD-"&amp;DL$11&amp;"'!B:R"),15,FALSE),"")</f>
        <v/>
      </c>
      <c r="DM69" s="96">
        <f>IFERROR(VLOOKUP($B69,INDIRECT("'GRD-"&amp;DM$11&amp;"'!B:R"),15,FALSE),"")</f>
        <v/>
      </c>
      <c r="DN69" s="96">
        <f>IFERROR(VLOOKUP($B69,INDIRECT("'GRD-"&amp;DN$11&amp;"'!B:R"),15,FALSE),"")</f>
        <v/>
      </c>
      <c r="DO69" s="96">
        <f>IFERROR(VLOOKUP($B69,INDIRECT("'GRD-"&amp;DO$11&amp;"'!B:R"),15,FALSE),"")</f>
        <v/>
      </c>
      <c r="DP69" s="96">
        <f>IFERROR(VLOOKUP($B69,INDIRECT("'GRD-"&amp;DP$11&amp;"'!B:R"),15,FALSE),"")</f>
        <v/>
      </c>
      <c r="DQ69" s="96">
        <f>IFERROR(VLOOKUP($B69,INDIRECT("'GRD-"&amp;DQ$11&amp;"'!B:R"),15,FALSE),"")</f>
        <v/>
      </c>
      <c r="DR69" s="96">
        <f>IFERROR(VLOOKUP($B69,INDIRECT("'GRD-"&amp;DR$11&amp;"'!B:R"),15,FALSE),"")</f>
        <v/>
      </c>
      <c r="DS69" s="96">
        <f>IFERROR(VLOOKUP($B69,INDIRECT("'GRD-"&amp;DS$11&amp;"'!B:R"),15,FALSE),"")</f>
        <v/>
      </c>
      <c r="DT69" s="96">
        <f>IFERROR(VLOOKUP($B69,INDIRECT("'GRD-"&amp;DT$11&amp;"'!B:R"),15,FALSE),"")</f>
        <v/>
      </c>
      <c r="DU69" s="96">
        <f>IFERROR(VLOOKUP($B69,INDIRECT("'GRD-"&amp;DU$11&amp;"'!B:R"),15,FALSE),"")</f>
        <v/>
      </c>
      <c r="DV69" s="96">
        <f>IFERROR(VLOOKUP($B69,INDIRECT("'GRD-"&amp;DV$11&amp;"'!B:R"),15,FALSE),"")</f>
        <v/>
      </c>
      <c r="DW69" s="96">
        <f>IFERROR(VLOOKUP($B69,INDIRECT("'GRD-"&amp;DW$11&amp;"'!B:R"),15,FALSE),"")</f>
        <v/>
      </c>
      <c r="DX69" s="96">
        <f>IFERROR(VLOOKUP($B69,INDIRECT("'GRD-"&amp;DX$11&amp;"'!B:R"),15,FALSE),"")</f>
        <v/>
      </c>
      <c r="DY69" s="96">
        <f>IFERROR(VLOOKUP($B69,INDIRECT("'GRD-"&amp;DY$11&amp;"'!B:R"),15,FALSE),"")</f>
        <v/>
      </c>
      <c r="DZ69" s="96">
        <f>IFERROR(VLOOKUP($B69,INDIRECT("'GRD-"&amp;DZ$11&amp;"'!B:R"),15,FALSE),"")</f>
        <v/>
      </c>
      <c r="EA69" s="96">
        <f>IFERROR(VLOOKUP($B69,INDIRECT("'GRD-"&amp;EA$11&amp;"'!B:R"),15,FALSE),"")</f>
        <v/>
      </c>
      <c r="EB69" s="96">
        <f>IFERROR(VLOOKUP($B69,INDIRECT("'GRD-"&amp;EB$11&amp;"'!B:R"),15,FALSE),"")</f>
        <v/>
      </c>
      <c r="EC69" s="96">
        <f>IFERROR(VLOOKUP($B69,INDIRECT("'GRD-"&amp;EC$11&amp;"'!B:R"),15,FALSE),"")</f>
        <v/>
      </c>
      <c r="ED69" s="96">
        <f>IFERROR(VLOOKUP($B69,INDIRECT("'GRD-"&amp;ED$11&amp;"'!B:R"),15,FALSE),"")</f>
        <v/>
      </c>
      <c r="EE69" s="96">
        <f>IFERROR(VLOOKUP($B69,INDIRECT("'GRD-"&amp;EE$11&amp;"'!B:R"),15,FALSE),"")</f>
        <v/>
      </c>
      <c r="EF69" s="96">
        <f>IFERROR(VLOOKUP($B69,INDIRECT("'GRD-"&amp;EF$11&amp;"'!B:R"),15,FALSE),"")</f>
        <v/>
      </c>
      <c r="EG69" s="96">
        <f>IFERROR(VLOOKUP($B69,INDIRECT("'GRD-"&amp;EG$11&amp;"'!B:R"),15,FALSE),"")</f>
        <v/>
      </c>
      <c r="EH69" s="96">
        <f>IFERROR(VLOOKUP($B69,INDIRECT("'GRD-"&amp;EH$11&amp;"'!B:R"),15,FALSE),"")</f>
        <v/>
      </c>
      <c r="EI69" s="96">
        <f>IFERROR(VLOOKUP($B69,INDIRECT("'GRD-"&amp;EI$11&amp;"'!B:R"),15,FALSE),"")</f>
        <v/>
      </c>
      <c r="EJ69" s="96">
        <f>IFERROR(VLOOKUP($B69,INDIRECT("'GRD-"&amp;EJ$11&amp;"'!B:R"),15,FALSE),"")</f>
        <v/>
      </c>
      <c r="EK69" s="96">
        <f>IFERROR(VLOOKUP($B69,INDIRECT("'GRD-"&amp;EK$11&amp;"'!B:R"),15,FALSE),"")</f>
        <v/>
      </c>
      <c r="EL69" s="96">
        <f>IFERROR(VLOOKUP($B69,INDIRECT("'GRD-"&amp;EL$11&amp;"'!B:R"),15,FALSE),"")</f>
        <v/>
      </c>
      <c r="EM69" s="96">
        <f>IFERROR(VLOOKUP($B69,INDIRECT("'GRD-"&amp;EM$11&amp;"'!B:R"),15,FALSE),"")</f>
        <v/>
      </c>
      <c r="EN69" s="96">
        <f>IFERROR(VLOOKUP($B69,INDIRECT("'GRD-"&amp;EN$11&amp;"'!B:R"),15,FALSE),"")</f>
        <v/>
      </c>
      <c r="EO69" s="96">
        <f>IFERROR(VLOOKUP($B69,INDIRECT("'GRD-"&amp;EO$11&amp;"'!B:R"),15,FALSE),"")</f>
        <v/>
      </c>
      <c r="EP69" s="96">
        <f>IFERROR(VLOOKUP($B69,INDIRECT("'GRD-"&amp;EP$11&amp;"'!B:R"),15,FALSE),"")</f>
        <v/>
      </c>
      <c r="EQ69" s="96">
        <f>IFERROR(VLOOKUP($B69,INDIRECT("'GRD-"&amp;EQ$11&amp;"'!B:R"),15,FALSE),"")</f>
        <v/>
      </c>
      <c r="ER69" s="96">
        <f>IFERROR(VLOOKUP($B69,INDIRECT("'GRD-"&amp;ER$11&amp;"'!B:R"),15,FALSE),"")</f>
        <v/>
      </c>
      <c r="ES69" s="96">
        <f>IFERROR(VLOOKUP($B69,INDIRECT("'GRD-"&amp;ES$11&amp;"'!B:R"),15,FALSE),"")</f>
        <v/>
      </c>
      <c r="ET69" s="96">
        <f>IFERROR(VLOOKUP($B69,INDIRECT("'GRD-"&amp;ET$11&amp;"'!B:R"),15,FALSE),"")</f>
        <v/>
      </c>
      <c r="EU69" s="96">
        <f>IFERROR(VLOOKUP($B69,INDIRECT("'GRD-"&amp;EU$11&amp;"'!B:R"),15,FALSE),"")</f>
        <v/>
      </c>
      <c r="EV69" s="96">
        <f>IFERROR(VLOOKUP($B69,INDIRECT("'GRD-"&amp;EV$11&amp;"'!B:R"),15,FALSE),"")</f>
        <v/>
      </c>
      <c r="EW69" s="96">
        <f>IFERROR(VLOOKUP($B69,INDIRECT("'GRD-"&amp;EW$11&amp;"'!B:R"),15,FALSE),"")</f>
        <v/>
      </c>
      <c r="EX69" s="96">
        <f>IFERROR(VLOOKUP($B69,INDIRECT("'GRD-"&amp;EX$11&amp;"'!B:R"),15,FALSE),"")</f>
        <v/>
      </c>
      <c r="EY69" s="96">
        <f>IFERROR(VLOOKUP($B69,INDIRECT("'GRD-"&amp;EY$11&amp;"'!B:R"),15,FALSE),"")</f>
        <v/>
      </c>
      <c r="EZ69" s="96">
        <f>IFERROR(VLOOKUP($B69,INDIRECT("'GRD-"&amp;EZ$11&amp;"'!B:R"),15,FALSE),"")</f>
        <v/>
      </c>
      <c r="FA69" s="96">
        <f>IFERROR(VLOOKUP($B69,INDIRECT("'GRD-"&amp;FA$11&amp;"'!B:R"),15,FALSE),"")</f>
        <v/>
      </c>
      <c r="FB69" s="96">
        <f>IFERROR(VLOOKUP($B69,INDIRECT("'GRD-"&amp;FB$11&amp;"'!B:R"),15,FALSE),"")</f>
        <v/>
      </c>
      <c r="FC69" s="96">
        <f>IFERROR(VLOOKUP($B69,INDIRECT("'GRD-"&amp;FC$11&amp;"'!B:R"),15,FALSE),"")</f>
        <v/>
      </c>
      <c r="FD69" s="96">
        <f>IFERROR(VLOOKUP($B69,INDIRECT("'GRD-"&amp;FD$11&amp;"'!B:R"),15,FALSE),"")</f>
        <v/>
      </c>
      <c r="FE69" s="96">
        <f>IFERROR(VLOOKUP($B69,INDIRECT("'GRD-"&amp;FE$11&amp;"'!B:R"),15,FALSE),"")</f>
        <v/>
      </c>
      <c r="FF69" s="96">
        <f>IFERROR(VLOOKUP($B69,INDIRECT("'GRD-"&amp;FF$11&amp;"'!B:R"),15,FALSE),"")</f>
        <v/>
      </c>
      <c r="FG69" s="96">
        <f>IFERROR(VLOOKUP($B69,INDIRECT("'GRD-"&amp;FG$11&amp;"'!B:R"),15,FALSE),"")</f>
        <v/>
      </c>
      <c r="FH69" s="96">
        <f>IFERROR(VLOOKUP($B69,INDIRECT("'GRD-"&amp;FH$11&amp;"'!B:R"),15,FALSE),"")</f>
        <v/>
      </c>
      <c r="FI69" s="96">
        <f>IFERROR(VLOOKUP($B69,INDIRECT("'GRD-"&amp;FI$11&amp;"'!B:R"),15,FALSE),"")</f>
        <v/>
      </c>
      <c r="FJ69" s="96">
        <f>IFERROR(VLOOKUP($B69,INDIRECT("'GRD-"&amp;FJ$11&amp;"'!B:R"),15,FALSE),"")</f>
        <v/>
      </c>
      <c r="FK69" s="96">
        <f>IFERROR(VLOOKUP($B69,INDIRECT("'GRD-"&amp;FK$11&amp;"'!B:R"),15,FALSE),"")</f>
        <v/>
      </c>
      <c r="FL69" s="96">
        <f>IFERROR(VLOOKUP($B69,INDIRECT("'GRD-"&amp;FL$11&amp;"'!B:R"),15,FALSE),"")</f>
        <v/>
      </c>
      <c r="FM69" s="96">
        <f>IFERROR(VLOOKUP($B69,INDIRECT("'GRD-"&amp;FM$11&amp;"'!B:R"),15,FALSE),"")</f>
        <v/>
      </c>
      <c r="FN69" s="96">
        <f>IFERROR(VLOOKUP($B69,INDIRECT("'GRD-"&amp;FN$11&amp;"'!B:R"),15,FALSE),"")</f>
        <v/>
      </c>
      <c r="FO69" s="96">
        <f>IFERROR(VLOOKUP($B69,INDIRECT("'GRD-"&amp;FO$11&amp;"'!B:R"),15,FALSE),"")</f>
        <v/>
      </c>
      <c r="FP69" s="96">
        <f>IFERROR(VLOOKUP($B69,INDIRECT("'GRD-"&amp;FP$11&amp;"'!B:R"),15,FALSE),"")</f>
        <v/>
      </c>
      <c r="FQ69" s="96">
        <f>IFERROR(VLOOKUP($B69,INDIRECT("'GRD-"&amp;FQ$11&amp;"'!B:R"),15,FALSE),"")</f>
        <v/>
      </c>
      <c r="FR69" s="96">
        <f>IFERROR(VLOOKUP($B69,INDIRECT("'GRD-"&amp;FR$11&amp;"'!B:R"),15,FALSE),"")</f>
        <v/>
      </c>
      <c r="FS69" s="96">
        <f>IFERROR(VLOOKUP($B69,INDIRECT("'GRD-"&amp;FS$11&amp;"'!B:R"),15,FALSE),"")</f>
        <v/>
      </c>
      <c r="FT69" s="96">
        <f>IFERROR(VLOOKUP($B69,INDIRECT("'GRD-"&amp;FT$11&amp;"'!B:R"),15,FALSE),"")</f>
        <v/>
      </c>
      <c r="FU69" s="96">
        <f>IFERROR(VLOOKUP($B69,INDIRECT("'GRD-"&amp;FU$11&amp;"'!B:R"),15,FALSE),"")</f>
        <v/>
      </c>
      <c r="FV69" s="96">
        <f>IFERROR(VLOOKUP($B69,INDIRECT("'GRD-"&amp;FV$11&amp;"'!B:R"),15,FALSE),"")</f>
        <v/>
      </c>
    </row>
    <row r="70">
      <c r="B70" s="85" t="n"/>
      <c r="C70" s="93" t="n"/>
      <c r="D70" s="73">
        <f>IF(K70="","",MAX($CA70:$FV70))</f>
        <v/>
      </c>
      <c r="E70" s="74">
        <f t="array" ref="E70">IF($K70="","",OFFSET($A$1,ROW($B70)-1,11+$D70*4,))</f>
        <v/>
      </c>
      <c r="F70" s="74">
        <f t="array" ref="F70">IF($K70="","",OFFSET($A$1,ROW($B70)-1,12+$D70*4,))</f>
        <v/>
      </c>
      <c r="G70" s="118">
        <f t="array" ref="G70">IF($K70="","",OFFSET($A$1,ROW($B70)-1,13+$D70*4,))</f>
        <v/>
      </c>
      <c r="H70" s="81" t="n"/>
      <c r="I70" s="82" t="n"/>
      <c r="J70" s="75">
        <f>IF(I70="A4",H70/8,IF(I70="A3",H70/4,IF(I70="A2",H70/2,IF(I70="A1",H70/1,IF(I70="A0",H70*2,"")))))</f>
        <v/>
      </c>
      <c r="K70" s="68">
        <f t="array" ref="K70">IFERROR(OFFSET($BZ$11,ROW($B70)-11,MATCH(K$10,$CA70:$FV70,0),),"")</f>
        <v/>
      </c>
      <c r="L70" s="85">
        <f>IF(K70="","",IF(VLOOKUP($B70,INDIRECT("'GRD-"&amp;M70&amp;"'!$B:$R"),16,FALSE)="","",VLOOKUP($B70,INDIRECT("'GRD-"&amp;M70&amp;"'!$B:$R"),16,FALSE)))</f>
        <v/>
      </c>
      <c r="M70" s="130">
        <f t="array" ref="M70">IF(K70="","",IFERROR(OFFSET($BZ$11,0,MATCH($K70,$CA70:$FV70,0),),""))</f>
        <v/>
      </c>
      <c r="N70" s="119">
        <f t="array" ref="N70">IF(K70="","",INDIRECT("'GRD-"&amp;M70&amp;"'!$L$7"))</f>
        <v/>
      </c>
      <c r="O70" s="76">
        <f t="array" ref="O70">IFERROR(OFFSET($BZ$11,ROW($B70)-11,MATCH(O$10,$CA70:$FV70,0),),"")</f>
        <v/>
      </c>
      <c r="P70" s="76">
        <f>IF(O70="","",IF(VLOOKUP($B70,INDIRECT("'GRD-"&amp;Q70&amp;"'!$B:$R"),16,FALSE)="","",VLOOKUP($B70,INDIRECT("'GRD-"&amp;Q70&amp;"'!$B:$R"),16,FALSE)))</f>
        <v/>
      </c>
      <c r="Q70" s="132">
        <f t="array" ref="Q70">IF(O70="","",IFERROR(OFFSET($BZ$11,0,MATCH($O70,$CA70:$FV70,0),),""))</f>
        <v/>
      </c>
      <c r="R70" s="121">
        <f t="array" ref="R70">IF(O70="","",INDIRECT("'GRD-"&amp;Q70&amp;"'!$L$7"))</f>
        <v/>
      </c>
      <c r="S70" s="83">
        <f t="array" ref="S70">IFERROR(OFFSET($BZ$11,ROW($B70)-11,MATCH(S$10,$CA70:$FV70,0),),"")</f>
        <v/>
      </c>
      <c r="T70" s="83">
        <f>IF(S70="","",IF(VLOOKUP($B70,INDIRECT("'GRD-"&amp;U70&amp;"'!$B:$R"),16,FALSE)="","",VLOOKUP($B70,INDIRECT("'GRD-"&amp;U70&amp;"'!$B:$R"),16,FALSE)))</f>
        <v/>
      </c>
      <c r="U70" s="128">
        <f t="array" ref="U70">IF(S70="","",IFERROR(OFFSET($BZ$11,0,MATCH($S70,$CA70:$FV70,0),),""))</f>
        <v/>
      </c>
      <c r="V70" s="133">
        <f t="array" ref="V70">IF(S70="","",INDIRECT("'GRD-"&amp;U70&amp;"'!$L$7"))</f>
        <v/>
      </c>
      <c r="W70" s="84">
        <f t="array" ref="W70">IFERROR(OFFSET($BZ$11,ROW($B70)-11,MATCH(W$10,$CA70:$FV70,0),),"")</f>
        <v/>
      </c>
      <c r="X70" s="84">
        <f>IF(W70="","",IF(VLOOKUP($B70,INDIRECT("'GRD-"&amp;Y70&amp;"'!$B:$R"),16,FALSE)="","",VLOOKUP($B70,INDIRECT("'GRD-"&amp;Y70&amp;"'!$B:$R"),16,FALSE)))</f>
        <v/>
      </c>
      <c r="Y70" s="129">
        <f t="array" ref="Y70">IF(W70="","",IFERROR(OFFSET($BZ$11,0,MATCH($W70,$CA70:$FV70,0),),""))</f>
        <v/>
      </c>
      <c r="Z70" s="134">
        <f t="array" ref="Z70">IF(W70="","",INDIRECT("'GRD-"&amp;Y70&amp;"'!$L$7"))</f>
        <v/>
      </c>
      <c r="AA70" s="85">
        <f t="array" ref="AA70">IFERROR(OFFSET($BZ$11,ROW($B70)-11,MATCH(AA$10,$CA70:$FV70,0),),"")</f>
        <v/>
      </c>
      <c r="AB70" s="85">
        <f>IF(AA70="","",IF(VLOOKUP($B70,INDIRECT("'GRD-"&amp;AC70&amp;"'!$B:$R"),16,FALSE)="","",VLOOKUP($B70,INDIRECT("'GRD-"&amp;AC70&amp;"'!$B:$R"),16,FALSE)))</f>
        <v/>
      </c>
      <c r="AC70" s="130">
        <f t="array" ref="AC70">IF(AA70="","",IFERROR(OFFSET($BZ$11,0,MATCH($AA70,$CA70:$FV70,0),),""))</f>
        <v/>
      </c>
      <c r="AD70" s="131">
        <f t="array" ref="AD70">IF(AA70="","",INDIRECT("'GRD-"&amp;AC70&amp;"'!$L$7"))</f>
        <v/>
      </c>
      <c r="AE70" s="76">
        <f t="array" ref="AE70">IFERROR(OFFSET($BZ$11,ROW($B70)-11,MATCH(AE$10,$CA70:$FV70,0),),"")</f>
        <v/>
      </c>
      <c r="AF70" s="76">
        <f>IF(AE70="","",IF(VLOOKUP($B70,INDIRECT("'GRD-"&amp;AG70&amp;"'!$B:$R"),16,FALSE)="","",VLOOKUP($B70,INDIRECT("'GRD-"&amp;AG70&amp;"'!$B:$R"),16,FALSE)))</f>
        <v/>
      </c>
      <c r="AG70" s="132">
        <f t="array" ref="AG70">IF(AE70="","",IFERROR(OFFSET($BZ$11,0,MATCH($AE70,$CA70:$FV70,0),),""))</f>
        <v/>
      </c>
      <c r="AH70" s="121">
        <f t="array" ref="AH70">IF(AE70="","",INDIRECT("'GRD-"&amp;AG70&amp;"'!$L$7"))</f>
        <v/>
      </c>
      <c r="AI70" s="83">
        <f t="array" ref="AI70">IFERROR(OFFSET($BZ$11,ROW($B70)-11,MATCH(AI$10,$CA70:$FV70,0),),"")</f>
        <v/>
      </c>
      <c r="AJ70" s="83">
        <f>IF(AI70="","",IF(VLOOKUP($B70,INDIRECT("'GRD-"&amp;AK70&amp;"'!$B:$R"),16,FALSE)="","",VLOOKUP($B70,INDIRECT("'GRD-"&amp;AK70&amp;"'!$B:$R"),16,FALSE)))</f>
        <v/>
      </c>
      <c r="AK70" s="128">
        <f t="array" ref="AK70">IF(AI70="","",IFERROR(OFFSET($BZ$11,0,MATCH($AI70,$CA70:$FV70,0),),""))</f>
        <v/>
      </c>
      <c r="AL70" s="133">
        <f t="array" ref="AL70">IF(AI70="","",INDIRECT("'GRD-"&amp;AK70&amp;"'!$L$7"))</f>
        <v/>
      </c>
      <c r="AM70" s="84">
        <f t="array" ref="AM70">IFERROR(OFFSET($BZ$11,ROW($B70)-11,MATCH(AM$10,$CA70:$FV70,0),),"")</f>
        <v/>
      </c>
      <c r="AN70" s="84">
        <f>IF(AM70="","",IF(VLOOKUP($B70,INDIRECT("'GRD-"&amp;AO70&amp;"'!$B:$R"),16,FALSE)="","",VLOOKUP($B70,INDIRECT("'GRD-"&amp;AO70&amp;"'!$B:$R"),16,FALSE)))</f>
        <v/>
      </c>
      <c r="AO70" s="129">
        <f t="array" ref="AO70">IF(AM70="","",IFERROR(OFFSET($BZ$11,0,MATCH($AM70,$CA70:$FV70,0),),""))</f>
        <v/>
      </c>
      <c r="AP70" s="134">
        <f t="array" ref="AP70">IF(AM70="","",INDIRECT("'GRD-"&amp;AO70&amp;"'!$L$7"))</f>
        <v/>
      </c>
      <c r="AQ70" s="85">
        <f t="array" ref="AQ70">IFERROR(OFFSET($BZ$11,ROW($B70)-11,MATCH(AQ$10,$CA70:$FV70,0),),"")</f>
        <v/>
      </c>
      <c r="AR70" s="85">
        <f>IF(AQ70="","",IF(VLOOKUP($B70,INDIRECT("'GRD-"&amp;AS70&amp;"'!$B:$R"),16,FALSE)="","",VLOOKUP($B70,INDIRECT("'GRD-"&amp;AS70&amp;"'!$B:$R"),16,FALSE)))</f>
        <v/>
      </c>
      <c r="AS70" s="130">
        <f t="array" ref="AS70">IF(AQ70="","",IFERROR(OFFSET($BZ$11,0,MATCH($AQ70,$CA70:$FV70,0),),""))</f>
        <v/>
      </c>
      <c r="AT70" s="131">
        <f t="array" ref="AT70">IF(AQ70="","",INDIRECT("'GRD-"&amp;AS70&amp;"'!$L$7"))</f>
        <v/>
      </c>
      <c r="AU70" s="76">
        <f t="array" ref="AU70">IFERROR(OFFSET($BZ$11,ROW($B70)-11,MATCH(AU$10,$CA70:$FV70,0),),"")</f>
        <v/>
      </c>
      <c r="AV70" s="76">
        <f>IF(AU70="","",IF(VLOOKUP($B70,INDIRECT("'GRD-"&amp;AW70&amp;"'!$B:$R"),16,FALSE)="","",VLOOKUP($B70,INDIRECT("'GRD-"&amp;AW70&amp;"'!$B:$R"),16,FALSE)))</f>
        <v/>
      </c>
      <c r="AW70" s="132">
        <f t="array" ref="AW70">IF(AU70="","",IFERROR(OFFSET($BZ$11,0,MATCH($AU70,$CA70:$FV70,0),),""))</f>
        <v/>
      </c>
      <c r="AX70" s="121">
        <f t="array" ref="AX70">IF(AU70="","",INDIRECT("'GRD-"&amp;AW70&amp;"'!$L$7"))</f>
        <v/>
      </c>
      <c r="AY70" s="83">
        <f t="array" ref="AY70">IFERROR(OFFSET($BZ$11,ROW($B70)-11,MATCH(AY$10,$CA70:$FV70,0),),"")</f>
        <v/>
      </c>
      <c r="AZ70" s="83">
        <f>IF(AY70="","",IF(VLOOKUP($B70,INDIRECT("'GRD-"&amp;BA70&amp;"'!$B:$R"),16,FALSE)="","",VLOOKUP($B70,INDIRECT("'GRD-"&amp;BA70&amp;"'!$B:$R"),16,FALSE)))</f>
        <v/>
      </c>
      <c r="BA70" s="128">
        <f t="array" ref="BA70">IF(AY70="","",IFERROR(OFFSET($BZ$11,0,MATCH($AY70,$CA70:$FV70,0),),""))</f>
        <v/>
      </c>
      <c r="BB70" s="133">
        <f t="array" ref="BB70">IF(AY70="","",INDIRECT("'GRD-"&amp;BA70&amp;"'!$L$7"))</f>
        <v/>
      </c>
      <c r="BC70" s="84">
        <f t="array" ref="BC70">IFERROR(OFFSET($BZ$11,ROW($B70)-11,MATCH(BC$10,$CA70:$FV70,0),),"")</f>
        <v/>
      </c>
      <c r="BD70" s="84">
        <f>IF(BC70="","",IF(VLOOKUP($B70,INDIRECT("'GRD-"&amp;BE70&amp;"'!$B:$R"),16,FALSE)="","",VLOOKUP($B70,INDIRECT("'GRD-"&amp;BE70&amp;"'!$B:$R"),16,FALSE)))</f>
        <v/>
      </c>
      <c r="BE70" s="129">
        <f t="array" ref="BE70">IF(BC70="","",IFERROR(OFFSET($BZ$11,0,MATCH($BC70,$CA70:$FV70,0),),""))</f>
        <v/>
      </c>
      <c r="BF70" s="134">
        <f t="array" ref="BF70">IF(BC70="","",INDIRECT("'GRD-"&amp;BE70&amp;"'!$L$7"))</f>
        <v/>
      </c>
      <c r="CA70" s="96">
        <f>IFERROR(VLOOKUP($B70,INDIRECT("'GRD-"&amp;CA$11&amp;"'!B:R"),15,FALSE),"")</f>
        <v/>
      </c>
      <c r="CB70" s="96">
        <f>IFERROR(VLOOKUP($B70,INDIRECT("'GRD-"&amp;CB$11&amp;"'!B:R"),15,FALSE),"")</f>
        <v/>
      </c>
      <c r="CC70" s="96">
        <f>IFERROR(VLOOKUP($B70,INDIRECT("'GRD-"&amp;CC$11&amp;"'!B:R"),15,FALSE),"")</f>
        <v/>
      </c>
      <c r="CD70" s="96">
        <f>IFERROR(VLOOKUP($B70,INDIRECT("'GRD-"&amp;CD$11&amp;"'!B:R"),15,FALSE),"")</f>
        <v/>
      </c>
      <c r="CE70" s="96">
        <f>IFERROR(VLOOKUP($B70,INDIRECT("'GRD-"&amp;CE$11&amp;"'!B:R"),15,FALSE),"")</f>
        <v/>
      </c>
      <c r="CF70" s="96">
        <f>IFERROR(VLOOKUP($B70,INDIRECT("'GRD-"&amp;CF$11&amp;"'!B:R"),15,FALSE),"")</f>
        <v/>
      </c>
      <c r="CG70" s="96">
        <f>IFERROR(VLOOKUP($B70,INDIRECT("'GRD-"&amp;CG$11&amp;"'!B:R"),15,FALSE),"")</f>
        <v/>
      </c>
      <c r="CH70" s="96">
        <f>IFERROR(VLOOKUP($B70,INDIRECT("'GRD-"&amp;CH$11&amp;"'!B:R"),15,FALSE),"")</f>
        <v/>
      </c>
      <c r="CI70" s="96">
        <f>IFERROR(VLOOKUP($B70,INDIRECT("'GRD-"&amp;CI$11&amp;"'!B:R"),15,FALSE),"")</f>
        <v/>
      </c>
      <c r="CJ70" s="96">
        <f>IFERROR(VLOOKUP($B70,INDIRECT("'GRD-"&amp;CJ$11&amp;"'!B:R"),15,FALSE),"")</f>
        <v/>
      </c>
      <c r="CK70" s="96">
        <f>IFERROR(VLOOKUP($B70,INDIRECT("'GRD-"&amp;CK$11&amp;"'!B:R"),15,FALSE),"")</f>
        <v/>
      </c>
      <c r="CL70" s="96">
        <f>IFERROR(VLOOKUP($B70,INDIRECT("'GRD-"&amp;CL$11&amp;"'!B:R"),15,FALSE),"")</f>
        <v/>
      </c>
      <c r="CM70" s="96">
        <f>IFERROR(VLOOKUP($B70,INDIRECT("'GRD-"&amp;CM$11&amp;"'!B:R"),15,FALSE),"")</f>
        <v/>
      </c>
      <c r="CN70" s="96">
        <f>IFERROR(VLOOKUP($B70,INDIRECT("'GRD-"&amp;CN$11&amp;"'!B:R"),15,FALSE),"")</f>
        <v/>
      </c>
      <c r="CO70" s="96">
        <f>IFERROR(VLOOKUP($B70,INDIRECT("'GRD-"&amp;CO$11&amp;"'!B:R"),15,FALSE),"")</f>
        <v/>
      </c>
      <c r="CP70" s="96">
        <f>IFERROR(VLOOKUP($B70,INDIRECT("'GRD-"&amp;CP$11&amp;"'!B:R"),15,FALSE),"")</f>
        <v/>
      </c>
      <c r="CQ70" s="96">
        <f>IFERROR(VLOOKUP($B70,INDIRECT("'GRD-"&amp;CQ$11&amp;"'!B:R"),15,FALSE),"")</f>
        <v/>
      </c>
      <c r="CR70" s="96">
        <f>IFERROR(VLOOKUP($B70,INDIRECT("'GRD-"&amp;CR$11&amp;"'!B:R"),15,FALSE),"")</f>
        <v/>
      </c>
      <c r="CS70" s="96">
        <f>IFERROR(VLOOKUP($B70,INDIRECT("'GRD-"&amp;CS$11&amp;"'!B:R"),15,FALSE),"")</f>
        <v/>
      </c>
      <c r="CT70" s="96">
        <f>IFERROR(VLOOKUP($B70,INDIRECT("'GRD-"&amp;CT$11&amp;"'!B:R"),15,FALSE),"")</f>
        <v/>
      </c>
      <c r="CU70" s="96">
        <f>IFERROR(VLOOKUP($B70,INDIRECT("'GRD-"&amp;CU$11&amp;"'!B:R"),15,FALSE),"")</f>
        <v/>
      </c>
      <c r="CV70" s="96">
        <f>IFERROR(VLOOKUP($B70,INDIRECT("'GRD-"&amp;CV$11&amp;"'!B:R"),15,FALSE),"")</f>
        <v/>
      </c>
      <c r="CW70" s="96">
        <f>IFERROR(VLOOKUP($B70,INDIRECT("'GRD-"&amp;CW$11&amp;"'!B:R"),15,FALSE),"")</f>
        <v/>
      </c>
      <c r="CX70" s="96">
        <f>IFERROR(VLOOKUP($B70,INDIRECT("'GRD-"&amp;CX$11&amp;"'!B:R"),15,FALSE),"")</f>
        <v/>
      </c>
      <c r="CY70" s="96">
        <f>IFERROR(VLOOKUP($B70,INDIRECT("'GRD-"&amp;CY$11&amp;"'!B:R"),15,FALSE),"")</f>
        <v/>
      </c>
      <c r="CZ70" s="96">
        <f>IFERROR(VLOOKUP($B70,INDIRECT("'GRD-"&amp;CZ$11&amp;"'!B:R"),15,FALSE),"")</f>
        <v/>
      </c>
      <c r="DA70" s="96">
        <f>IFERROR(VLOOKUP($B70,INDIRECT("'GRD-"&amp;DA$11&amp;"'!B:R"),15,FALSE),"")</f>
        <v/>
      </c>
      <c r="DB70" s="96">
        <f>IFERROR(VLOOKUP($B70,INDIRECT("'GRD-"&amp;DB$11&amp;"'!B:R"),15,FALSE),"")</f>
        <v/>
      </c>
      <c r="DC70" s="96">
        <f>IFERROR(VLOOKUP($B70,INDIRECT("'GRD-"&amp;DC$11&amp;"'!B:R"),15,FALSE),"")</f>
        <v/>
      </c>
      <c r="DD70" s="96">
        <f>IFERROR(VLOOKUP($B70,INDIRECT("'GRD-"&amp;DD$11&amp;"'!B:R"),15,FALSE),"")</f>
        <v/>
      </c>
      <c r="DE70" s="96">
        <f>IFERROR(VLOOKUP($B70,INDIRECT("'GRD-"&amp;DE$11&amp;"'!B:R"),15,FALSE),"")</f>
        <v/>
      </c>
      <c r="DF70" s="96">
        <f>IFERROR(VLOOKUP($B70,INDIRECT("'GRD-"&amp;DF$11&amp;"'!B:R"),15,FALSE),"")</f>
        <v/>
      </c>
      <c r="DG70" s="96">
        <f>IFERROR(VLOOKUP($B70,INDIRECT("'GRD-"&amp;DG$11&amp;"'!B:R"),15,FALSE),"")</f>
        <v/>
      </c>
      <c r="DH70" s="96">
        <f>IFERROR(VLOOKUP($B70,INDIRECT("'GRD-"&amp;DH$11&amp;"'!B:R"),15,FALSE),"")</f>
        <v/>
      </c>
      <c r="DI70" s="96">
        <f>IFERROR(VLOOKUP($B70,INDIRECT("'GRD-"&amp;DI$11&amp;"'!B:R"),15,FALSE),"")</f>
        <v/>
      </c>
      <c r="DJ70" s="96">
        <f>IFERROR(VLOOKUP($B70,INDIRECT("'GRD-"&amp;DJ$11&amp;"'!B:R"),15,FALSE),"")</f>
        <v/>
      </c>
      <c r="DK70" s="96">
        <f>IFERROR(VLOOKUP($B70,INDIRECT("'GRD-"&amp;DK$11&amp;"'!B:R"),15,FALSE),"")</f>
        <v/>
      </c>
      <c r="DL70" s="96">
        <f>IFERROR(VLOOKUP($B70,INDIRECT("'GRD-"&amp;DL$11&amp;"'!B:R"),15,FALSE),"")</f>
        <v/>
      </c>
      <c r="DM70" s="96">
        <f>IFERROR(VLOOKUP($B70,INDIRECT("'GRD-"&amp;DM$11&amp;"'!B:R"),15,FALSE),"")</f>
        <v/>
      </c>
      <c r="DN70" s="96">
        <f>IFERROR(VLOOKUP($B70,INDIRECT("'GRD-"&amp;DN$11&amp;"'!B:R"),15,FALSE),"")</f>
        <v/>
      </c>
      <c r="DO70" s="96">
        <f>IFERROR(VLOOKUP($B70,INDIRECT("'GRD-"&amp;DO$11&amp;"'!B:R"),15,FALSE),"")</f>
        <v/>
      </c>
      <c r="DP70" s="96">
        <f>IFERROR(VLOOKUP($B70,INDIRECT("'GRD-"&amp;DP$11&amp;"'!B:R"),15,FALSE),"")</f>
        <v/>
      </c>
      <c r="DQ70" s="96">
        <f>IFERROR(VLOOKUP($B70,INDIRECT("'GRD-"&amp;DQ$11&amp;"'!B:R"),15,FALSE),"")</f>
        <v/>
      </c>
      <c r="DR70" s="96">
        <f>IFERROR(VLOOKUP($B70,INDIRECT("'GRD-"&amp;DR$11&amp;"'!B:R"),15,FALSE),"")</f>
        <v/>
      </c>
      <c r="DS70" s="96">
        <f>IFERROR(VLOOKUP($B70,INDIRECT("'GRD-"&amp;DS$11&amp;"'!B:R"),15,FALSE),"")</f>
        <v/>
      </c>
      <c r="DT70" s="96">
        <f>IFERROR(VLOOKUP($B70,INDIRECT("'GRD-"&amp;DT$11&amp;"'!B:R"),15,FALSE),"")</f>
        <v/>
      </c>
      <c r="DU70" s="96">
        <f>IFERROR(VLOOKUP($B70,INDIRECT("'GRD-"&amp;DU$11&amp;"'!B:R"),15,FALSE),"")</f>
        <v/>
      </c>
      <c r="DV70" s="96">
        <f>IFERROR(VLOOKUP($B70,INDIRECT("'GRD-"&amp;DV$11&amp;"'!B:R"),15,FALSE),"")</f>
        <v/>
      </c>
      <c r="DW70" s="96">
        <f>IFERROR(VLOOKUP($B70,INDIRECT("'GRD-"&amp;DW$11&amp;"'!B:R"),15,FALSE),"")</f>
        <v/>
      </c>
      <c r="DX70" s="96">
        <f>IFERROR(VLOOKUP($B70,INDIRECT("'GRD-"&amp;DX$11&amp;"'!B:R"),15,FALSE),"")</f>
        <v/>
      </c>
      <c r="DY70" s="96">
        <f>IFERROR(VLOOKUP($B70,INDIRECT("'GRD-"&amp;DY$11&amp;"'!B:R"),15,FALSE),"")</f>
        <v/>
      </c>
      <c r="DZ70" s="96">
        <f>IFERROR(VLOOKUP($B70,INDIRECT("'GRD-"&amp;DZ$11&amp;"'!B:R"),15,FALSE),"")</f>
        <v/>
      </c>
      <c r="EA70" s="96">
        <f>IFERROR(VLOOKUP($B70,INDIRECT("'GRD-"&amp;EA$11&amp;"'!B:R"),15,FALSE),"")</f>
        <v/>
      </c>
      <c r="EB70" s="96">
        <f>IFERROR(VLOOKUP($B70,INDIRECT("'GRD-"&amp;EB$11&amp;"'!B:R"),15,FALSE),"")</f>
        <v/>
      </c>
      <c r="EC70" s="96">
        <f>IFERROR(VLOOKUP($B70,INDIRECT("'GRD-"&amp;EC$11&amp;"'!B:R"),15,FALSE),"")</f>
        <v/>
      </c>
      <c r="ED70" s="96">
        <f>IFERROR(VLOOKUP($B70,INDIRECT("'GRD-"&amp;ED$11&amp;"'!B:R"),15,FALSE),"")</f>
        <v/>
      </c>
      <c r="EE70" s="96">
        <f>IFERROR(VLOOKUP($B70,INDIRECT("'GRD-"&amp;EE$11&amp;"'!B:R"),15,FALSE),"")</f>
        <v/>
      </c>
      <c r="EF70" s="96">
        <f>IFERROR(VLOOKUP($B70,INDIRECT("'GRD-"&amp;EF$11&amp;"'!B:R"),15,FALSE),"")</f>
        <v/>
      </c>
      <c r="EG70" s="96">
        <f>IFERROR(VLOOKUP($B70,INDIRECT("'GRD-"&amp;EG$11&amp;"'!B:R"),15,FALSE),"")</f>
        <v/>
      </c>
      <c r="EH70" s="96">
        <f>IFERROR(VLOOKUP($B70,INDIRECT("'GRD-"&amp;EH$11&amp;"'!B:R"),15,FALSE),"")</f>
        <v/>
      </c>
      <c r="EI70" s="96">
        <f>IFERROR(VLOOKUP($B70,INDIRECT("'GRD-"&amp;EI$11&amp;"'!B:R"),15,FALSE),"")</f>
        <v/>
      </c>
      <c r="EJ70" s="96">
        <f>IFERROR(VLOOKUP($B70,INDIRECT("'GRD-"&amp;EJ$11&amp;"'!B:R"),15,FALSE),"")</f>
        <v/>
      </c>
      <c r="EK70" s="96">
        <f>IFERROR(VLOOKUP($B70,INDIRECT("'GRD-"&amp;EK$11&amp;"'!B:R"),15,FALSE),"")</f>
        <v/>
      </c>
      <c r="EL70" s="96">
        <f>IFERROR(VLOOKUP($B70,INDIRECT("'GRD-"&amp;EL$11&amp;"'!B:R"),15,FALSE),"")</f>
        <v/>
      </c>
      <c r="EM70" s="96">
        <f>IFERROR(VLOOKUP($B70,INDIRECT("'GRD-"&amp;EM$11&amp;"'!B:R"),15,FALSE),"")</f>
        <v/>
      </c>
      <c r="EN70" s="96">
        <f>IFERROR(VLOOKUP($B70,INDIRECT("'GRD-"&amp;EN$11&amp;"'!B:R"),15,FALSE),"")</f>
        <v/>
      </c>
      <c r="EO70" s="96">
        <f>IFERROR(VLOOKUP($B70,INDIRECT("'GRD-"&amp;EO$11&amp;"'!B:R"),15,FALSE),"")</f>
        <v/>
      </c>
      <c r="EP70" s="96">
        <f>IFERROR(VLOOKUP($B70,INDIRECT("'GRD-"&amp;EP$11&amp;"'!B:R"),15,FALSE),"")</f>
        <v/>
      </c>
      <c r="EQ70" s="96">
        <f>IFERROR(VLOOKUP($B70,INDIRECT("'GRD-"&amp;EQ$11&amp;"'!B:R"),15,FALSE),"")</f>
        <v/>
      </c>
      <c r="ER70" s="96">
        <f>IFERROR(VLOOKUP($B70,INDIRECT("'GRD-"&amp;ER$11&amp;"'!B:R"),15,FALSE),"")</f>
        <v/>
      </c>
      <c r="ES70" s="96">
        <f>IFERROR(VLOOKUP($B70,INDIRECT("'GRD-"&amp;ES$11&amp;"'!B:R"),15,FALSE),"")</f>
        <v/>
      </c>
      <c r="ET70" s="96">
        <f>IFERROR(VLOOKUP($B70,INDIRECT("'GRD-"&amp;ET$11&amp;"'!B:R"),15,FALSE),"")</f>
        <v/>
      </c>
      <c r="EU70" s="96">
        <f>IFERROR(VLOOKUP($B70,INDIRECT("'GRD-"&amp;EU$11&amp;"'!B:R"),15,FALSE),"")</f>
        <v/>
      </c>
      <c r="EV70" s="96">
        <f>IFERROR(VLOOKUP($B70,INDIRECT("'GRD-"&amp;EV$11&amp;"'!B:R"),15,FALSE),"")</f>
        <v/>
      </c>
      <c r="EW70" s="96">
        <f>IFERROR(VLOOKUP($B70,INDIRECT("'GRD-"&amp;EW$11&amp;"'!B:R"),15,FALSE),"")</f>
        <v/>
      </c>
      <c r="EX70" s="96">
        <f>IFERROR(VLOOKUP($B70,INDIRECT("'GRD-"&amp;EX$11&amp;"'!B:R"),15,FALSE),"")</f>
        <v/>
      </c>
      <c r="EY70" s="96">
        <f>IFERROR(VLOOKUP($B70,INDIRECT("'GRD-"&amp;EY$11&amp;"'!B:R"),15,FALSE),"")</f>
        <v/>
      </c>
      <c r="EZ70" s="96">
        <f>IFERROR(VLOOKUP($B70,INDIRECT("'GRD-"&amp;EZ$11&amp;"'!B:R"),15,FALSE),"")</f>
        <v/>
      </c>
      <c r="FA70" s="96">
        <f>IFERROR(VLOOKUP($B70,INDIRECT("'GRD-"&amp;FA$11&amp;"'!B:R"),15,FALSE),"")</f>
        <v/>
      </c>
      <c r="FB70" s="96">
        <f>IFERROR(VLOOKUP($B70,INDIRECT("'GRD-"&amp;FB$11&amp;"'!B:R"),15,FALSE),"")</f>
        <v/>
      </c>
      <c r="FC70" s="96">
        <f>IFERROR(VLOOKUP($B70,INDIRECT("'GRD-"&amp;FC$11&amp;"'!B:R"),15,FALSE),"")</f>
        <v/>
      </c>
      <c r="FD70" s="96">
        <f>IFERROR(VLOOKUP($B70,INDIRECT("'GRD-"&amp;FD$11&amp;"'!B:R"),15,FALSE),"")</f>
        <v/>
      </c>
      <c r="FE70" s="96">
        <f>IFERROR(VLOOKUP($B70,INDIRECT("'GRD-"&amp;FE$11&amp;"'!B:R"),15,FALSE),"")</f>
        <v/>
      </c>
      <c r="FF70" s="96">
        <f>IFERROR(VLOOKUP($B70,INDIRECT("'GRD-"&amp;FF$11&amp;"'!B:R"),15,FALSE),"")</f>
        <v/>
      </c>
      <c r="FG70" s="96">
        <f>IFERROR(VLOOKUP($B70,INDIRECT("'GRD-"&amp;FG$11&amp;"'!B:R"),15,FALSE),"")</f>
        <v/>
      </c>
      <c r="FH70" s="96">
        <f>IFERROR(VLOOKUP($B70,INDIRECT("'GRD-"&amp;FH$11&amp;"'!B:R"),15,FALSE),"")</f>
        <v/>
      </c>
      <c r="FI70" s="96">
        <f>IFERROR(VLOOKUP($B70,INDIRECT("'GRD-"&amp;FI$11&amp;"'!B:R"),15,FALSE),"")</f>
        <v/>
      </c>
      <c r="FJ70" s="96">
        <f>IFERROR(VLOOKUP($B70,INDIRECT("'GRD-"&amp;FJ$11&amp;"'!B:R"),15,FALSE),"")</f>
        <v/>
      </c>
      <c r="FK70" s="96">
        <f>IFERROR(VLOOKUP($B70,INDIRECT("'GRD-"&amp;FK$11&amp;"'!B:R"),15,FALSE),"")</f>
        <v/>
      </c>
      <c r="FL70" s="96">
        <f>IFERROR(VLOOKUP($B70,INDIRECT("'GRD-"&amp;FL$11&amp;"'!B:R"),15,FALSE),"")</f>
        <v/>
      </c>
      <c r="FM70" s="96">
        <f>IFERROR(VLOOKUP($B70,INDIRECT("'GRD-"&amp;FM$11&amp;"'!B:R"),15,FALSE),"")</f>
        <v/>
      </c>
      <c r="FN70" s="96">
        <f>IFERROR(VLOOKUP($B70,INDIRECT("'GRD-"&amp;FN$11&amp;"'!B:R"),15,FALSE),"")</f>
        <v/>
      </c>
      <c r="FO70" s="96">
        <f>IFERROR(VLOOKUP($B70,INDIRECT("'GRD-"&amp;FO$11&amp;"'!B:R"),15,FALSE),"")</f>
        <v/>
      </c>
      <c r="FP70" s="96">
        <f>IFERROR(VLOOKUP($B70,INDIRECT("'GRD-"&amp;FP$11&amp;"'!B:R"),15,FALSE),"")</f>
        <v/>
      </c>
      <c r="FQ70" s="96">
        <f>IFERROR(VLOOKUP($B70,INDIRECT("'GRD-"&amp;FQ$11&amp;"'!B:R"),15,FALSE),"")</f>
        <v/>
      </c>
      <c r="FR70" s="96">
        <f>IFERROR(VLOOKUP($B70,INDIRECT("'GRD-"&amp;FR$11&amp;"'!B:R"),15,FALSE),"")</f>
        <v/>
      </c>
      <c r="FS70" s="96">
        <f>IFERROR(VLOOKUP($B70,INDIRECT("'GRD-"&amp;FS$11&amp;"'!B:R"),15,FALSE),"")</f>
        <v/>
      </c>
      <c r="FT70" s="96">
        <f>IFERROR(VLOOKUP($B70,INDIRECT("'GRD-"&amp;FT$11&amp;"'!B:R"),15,FALSE),"")</f>
        <v/>
      </c>
      <c r="FU70" s="96">
        <f>IFERROR(VLOOKUP($B70,INDIRECT("'GRD-"&amp;FU$11&amp;"'!B:R"),15,FALSE),"")</f>
        <v/>
      </c>
      <c r="FV70" s="96">
        <f>IFERROR(VLOOKUP($B70,INDIRECT("'GRD-"&amp;FV$11&amp;"'!B:R"),15,FALSE),"")</f>
        <v/>
      </c>
    </row>
    <row r="71">
      <c r="B71" s="85" t="n"/>
      <c r="C71" s="93" t="n"/>
      <c r="D71" s="73">
        <f>IF(K71="","",MAX($CA71:$FV71))</f>
        <v/>
      </c>
      <c r="E71" s="74">
        <f t="array" ref="E71">IF($K71="","",OFFSET($A$1,ROW($B71)-1,11+$D71*4,))</f>
        <v/>
      </c>
      <c r="F71" s="74">
        <f t="array" ref="F71">IF($K71="","",OFFSET($A$1,ROW($B71)-1,12+$D71*4,))</f>
        <v/>
      </c>
      <c r="G71" s="118">
        <f t="array" ref="G71">IF($K71="","",OFFSET($A$1,ROW($B71)-1,13+$D71*4,))</f>
        <v/>
      </c>
      <c r="H71" s="81" t="n"/>
      <c r="I71" s="82" t="n"/>
      <c r="J71" s="75">
        <f>IF(I71="A4",H71/8,IF(I71="A3",H71/4,IF(I71="A2",H71/2,IF(I71="A1",H71/1,IF(I71="A0",H71*2,"")))))</f>
        <v/>
      </c>
      <c r="K71" s="68">
        <f t="array" ref="K71">IFERROR(OFFSET($BZ$11,ROW($B71)-11,MATCH(K$10,$CA71:$FV71,0),),"")</f>
        <v/>
      </c>
      <c r="L71" s="85">
        <f>IF(K71="","",IF(VLOOKUP($B71,INDIRECT("'GRD-"&amp;M71&amp;"'!$B:$R"),16,FALSE)="","",VLOOKUP($B71,INDIRECT("'GRD-"&amp;M71&amp;"'!$B:$R"),16,FALSE)))</f>
        <v/>
      </c>
      <c r="M71" s="130">
        <f t="array" ref="M71">IF(K71="","",IFERROR(OFFSET($BZ$11,0,MATCH($K71,$CA71:$FV71,0),),""))</f>
        <v/>
      </c>
      <c r="N71" s="119">
        <f t="array" ref="N71">IF(K71="","",INDIRECT("'GRD-"&amp;M71&amp;"'!$L$7"))</f>
        <v/>
      </c>
      <c r="O71" s="76">
        <f t="array" ref="O71">IFERROR(OFFSET($BZ$11,ROW($B71)-11,MATCH(O$10,$CA71:$FV71,0),),"")</f>
        <v/>
      </c>
      <c r="P71" s="76">
        <f>IF(O71="","",IF(VLOOKUP($B71,INDIRECT("'GRD-"&amp;Q71&amp;"'!$B:$R"),16,FALSE)="","",VLOOKUP($B71,INDIRECT("'GRD-"&amp;Q71&amp;"'!$B:$R"),16,FALSE)))</f>
        <v/>
      </c>
      <c r="Q71" s="132">
        <f t="array" ref="Q71">IF(O71="","",IFERROR(OFFSET($BZ$11,0,MATCH($O71,$CA71:$FV71,0),),""))</f>
        <v/>
      </c>
      <c r="R71" s="121">
        <f t="array" ref="R71">IF(O71="","",INDIRECT("'GRD-"&amp;Q71&amp;"'!$L$7"))</f>
        <v/>
      </c>
      <c r="S71" s="83">
        <f t="array" ref="S71">IFERROR(OFFSET($BZ$11,ROW($B71)-11,MATCH(S$10,$CA71:$FV71,0),),"")</f>
        <v/>
      </c>
      <c r="T71" s="83">
        <f>IF(S71="","",IF(VLOOKUP($B71,INDIRECT("'GRD-"&amp;U71&amp;"'!$B:$R"),16,FALSE)="","",VLOOKUP($B71,INDIRECT("'GRD-"&amp;U71&amp;"'!$B:$R"),16,FALSE)))</f>
        <v/>
      </c>
      <c r="U71" s="128">
        <f t="array" ref="U71">IF(S71="","",IFERROR(OFFSET($BZ$11,0,MATCH($S71,$CA71:$FV71,0),),""))</f>
        <v/>
      </c>
      <c r="V71" s="133">
        <f t="array" ref="V71">IF(S71="","",INDIRECT("'GRD-"&amp;U71&amp;"'!$L$7"))</f>
        <v/>
      </c>
      <c r="W71" s="84">
        <f t="array" ref="W71">IFERROR(OFFSET($BZ$11,ROW($B71)-11,MATCH(W$10,$CA71:$FV71,0),),"")</f>
        <v/>
      </c>
      <c r="X71" s="84">
        <f>IF(W71="","",IF(VLOOKUP($B71,INDIRECT("'GRD-"&amp;Y71&amp;"'!$B:$R"),16,FALSE)="","",VLOOKUP($B71,INDIRECT("'GRD-"&amp;Y71&amp;"'!$B:$R"),16,FALSE)))</f>
        <v/>
      </c>
      <c r="Y71" s="129">
        <f t="array" ref="Y71">IF(W71="","",IFERROR(OFFSET($BZ$11,0,MATCH($W71,$CA71:$FV71,0),),""))</f>
        <v/>
      </c>
      <c r="Z71" s="134">
        <f t="array" ref="Z71">IF(W71="","",INDIRECT("'GRD-"&amp;Y71&amp;"'!$L$7"))</f>
        <v/>
      </c>
      <c r="AA71" s="85">
        <f t="array" ref="AA71">IFERROR(OFFSET($BZ$11,ROW($B71)-11,MATCH(AA$10,$CA71:$FV71,0),),"")</f>
        <v/>
      </c>
      <c r="AB71" s="85">
        <f>IF(AA71="","",IF(VLOOKUP($B71,INDIRECT("'GRD-"&amp;AC71&amp;"'!$B:$R"),16,FALSE)="","",VLOOKUP($B71,INDIRECT("'GRD-"&amp;AC71&amp;"'!$B:$R"),16,FALSE)))</f>
        <v/>
      </c>
      <c r="AC71" s="130">
        <f t="array" ref="AC71">IF(AA71="","",IFERROR(OFFSET($BZ$11,0,MATCH($AA71,$CA71:$FV71,0),),""))</f>
        <v/>
      </c>
      <c r="AD71" s="131">
        <f t="array" ref="AD71">IF(AA71="","",INDIRECT("'GRD-"&amp;AC71&amp;"'!$L$7"))</f>
        <v/>
      </c>
      <c r="AE71" s="76">
        <f t="array" ref="AE71">IFERROR(OFFSET($BZ$11,ROW($B71)-11,MATCH(AE$10,$CA71:$FV71,0),),"")</f>
        <v/>
      </c>
      <c r="AF71" s="76">
        <f>IF(AE71="","",IF(VLOOKUP($B71,INDIRECT("'GRD-"&amp;AG71&amp;"'!$B:$R"),16,FALSE)="","",VLOOKUP($B71,INDIRECT("'GRD-"&amp;AG71&amp;"'!$B:$R"),16,FALSE)))</f>
        <v/>
      </c>
      <c r="AG71" s="132">
        <f t="array" ref="AG71">IF(AE71="","",IFERROR(OFFSET($BZ$11,0,MATCH($AE71,$CA71:$FV71,0),),""))</f>
        <v/>
      </c>
      <c r="AH71" s="121">
        <f t="array" ref="AH71">IF(AE71="","",INDIRECT("'GRD-"&amp;AG71&amp;"'!$L$7"))</f>
        <v/>
      </c>
      <c r="AI71" s="83">
        <f t="array" ref="AI71">IFERROR(OFFSET($BZ$11,ROW($B71)-11,MATCH(AI$10,$CA71:$FV71,0),),"")</f>
        <v/>
      </c>
      <c r="AJ71" s="83">
        <f>IF(AI71="","",IF(VLOOKUP($B71,INDIRECT("'GRD-"&amp;AK71&amp;"'!$B:$R"),16,FALSE)="","",VLOOKUP($B71,INDIRECT("'GRD-"&amp;AK71&amp;"'!$B:$R"),16,FALSE)))</f>
        <v/>
      </c>
      <c r="AK71" s="128">
        <f t="array" ref="AK71">IF(AI71="","",IFERROR(OFFSET($BZ$11,0,MATCH($AI71,$CA71:$FV71,0),),""))</f>
        <v/>
      </c>
      <c r="AL71" s="133">
        <f t="array" ref="AL71">IF(AI71="","",INDIRECT("'GRD-"&amp;AK71&amp;"'!$L$7"))</f>
        <v/>
      </c>
      <c r="AM71" s="84">
        <f t="array" ref="AM71">IFERROR(OFFSET($BZ$11,ROW($B71)-11,MATCH(AM$10,$CA71:$FV71,0),),"")</f>
        <v/>
      </c>
      <c r="AN71" s="84">
        <f>IF(AM71="","",IF(VLOOKUP($B71,INDIRECT("'GRD-"&amp;AO71&amp;"'!$B:$R"),16,FALSE)="","",VLOOKUP($B71,INDIRECT("'GRD-"&amp;AO71&amp;"'!$B:$R"),16,FALSE)))</f>
        <v/>
      </c>
      <c r="AO71" s="129">
        <f t="array" ref="AO71">IF(AM71="","",IFERROR(OFFSET($BZ$11,0,MATCH($AM71,$CA71:$FV71,0),),""))</f>
        <v/>
      </c>
      <c r="AP71" s="134">
        <f t="array" ref="AP71">IF(AM71="","",INDIRECT("'GRD-"&amp;AO71&amp;"'!$L$7"))</f>
        <v/>
      </c>
      <c r="AQ71" s="85">
        <f t="array" ref="AQ71">IFERROR(OFFSET($BZ$11,ROW($B71)-11,MATCH(AQ$10,$CA71:$FV71,0),),"")</f>
        <v/>
      </c>
      <c r="AR71" s="85">
        <f>IF(AQ71="","",IF(VLOOKUP($B71,INDIRECT("'GRD-"&amp;AS71&amp;"'!$B:$R"),16,FALSE)="","",VLOOKUP($B71,INDIRECT("'GRD-"&amp;AS71&amp;"'!$B:$R"),16,FALSE)))</f>
        <v/>
      </c>
      <c r="AS71" s="130">
        <f t="array" ref="AS71">IF(AQ71="","",IFERROR(OFFSET($BZ$11,0,MATCH($AQ71,$CA71:$FV71,0),),""))</f>
        <v/>
      </c>
      <c r="AT71" s="131">
        <f t="array" ref="AT71">IF(AQ71="","",INDIRECT("'GRD-"&amp;AS71&amp;"'!$L$7"))</f>
        <v/>
      </c>
      <c r="AU71" s="76">
        <f t="array" ref="AU71">IFERROR(OFFSET($BZ$11,ROW($B71)-11,MATCH(AU$10,$CA71:$FV71,0),),"")</f>
        <v/>
      </c>
      <c r="AV71" s="76">
        <f>IF(AU71="","",IF(VLOOKUP($B71,INDIRECT("'GRD-"&amp;AW71&amp;"'!$B:$R"),16,FALSE)="","",VLOOKUP($B71,INDIRECT("'GRD-"&amp;AW71&amp;"'!$B:$R"),16,FALSE)))</f>
        <v/>
      </c>
      <c r="AW71" s="132">
        <f t="array" ref="AW71">IF(AU71="","",IFERROR(OFFSET($BZ$11,0,MATCH($AU71,$CA71:$FV71,0),),""))</f>
        <v/>
      </c>
      <c r="AX71" s="121">
        <f t="array" ref="AX71">IF(AU71="","",INDIRECT("'GRD-"&amp;AW71&amp;"'!$L$7"))</f>
        <v/>
      </c>
      <c r="AY71" s="83">
        <f t="array" ref="AY71">IFERROR(OFFSET($BZ$11,ROW($B71)-11,MATCH(AY$10,$CA71:$FV71,0),),"")</f>
        <v/>
      </c>
      <c r="AZ71" s="83">
        <f>IF(AY71="","",IF(VLOOKUP($B71,INDIRECT("'GRD-"&amp;BA71&amp;"'!$B:$R"),16,FALSE)="","",VLOOKUP($B71,INDIRECT("'GRD-"&amp;BA71&amp;"'!$B:$R"),16,FALSE)))</f>
        <v/>
      </c>
      <c r="BA71" s="128">
        <f t="array" ref="BA71">IF(AY71="","",IFERROR(OFFSET($BZ$11,0,MATCH($AY71,$CA71:$FV71,0),),""))</f>
        <v/>
      </c>
      <c r="BB71" s="133">
        <f t="array" ref="BB71">IF(AY71="","",INDIRECT("'GRD-"&amp;BA71&amp;"'!$L$7"))</f>
        <v/>
      </c>
      <c r="BC71" s="84">
        <f t="array" ref="BC71">IFERROR(OFFSET($BZ$11,ROW($B71)-11,MATCH(BC$10,$CA71:$FV71,0),),"")</f>
        <v/>
      </c>
      <c r="BD71" s="84">
        <f>IF(BC71="","",IF(VLOOKUP($B71,INDIRECT("'GRD-"&amp;BE71&amp;"'!$B:$R"),16,FALSE)="","",VLOOKUP($B71,INDIRECT("'GRD-"&amp;BE71&amp;"'!$B:$R"),16,FALSE)))</f>
        <v/>
      </c>
      <c r="BE71" s="129">
        <f t="array" ref="BE71">IF(BC71="","",IFERROR(OFFSET($BZ$11,0,MATCH($BC71,$CA71:$FV71,0),),""))</f>
        <v/>
      </c>
      <c r="BF71" s="134">
        <f t="array" ref="BF71">IF(BC71="","",INDIRECT("'GRD-"&amp;BE71&amp;"'!$L$7"))</f>
        <v/>
      </c>
      <c r="CA71" s="96">
        <f>IFERROR(VLOOKUP($B71,INDIRECT("'GRD-"&amp;CA$11&amp;"'!B:R"),15,FALSE),"")</f>
        <v/>
      </c>
      <c r="CB71" s="96">
        <f>IFERROR(VLOOKUP($B71,INDIRECT("'GRD-"&amp;CB$11&amp;"'!B:R"),15,FALSE),"")</f>
        <v/>
      </c>
      <c r="CC71" s="96">
        <f>IFERROR(VLOOKUP($B71,INDIRECT("'GRD-"&amp;CC$11&amp;"'!B:R"),15,FALSE),"")</f>
        <v/>
      </c>
      <c r="CD71" s="96">
        <f>IFERROR(VLOOKUP($B71,INDIRECT("'GRD-"&amp;CD$11&amp;"'!B:R"),15,FALSE),"")</f>
        <v/>
      </c>
      <c r="CE71" s="96">
        <f>IFERROR(VLOOKUP($B71,INDIRECT("'GRD-"&amp;CE$11&amp;"'!B:R"),15,FALSE),"")</f>
        <v/>
      </c>
      <c r="CF71" s="96">
        <f>IFERROR(VLOOKUP($B71,INDIRECT("'GRD-"&amp;CF$11&amp;"'!B:R"),15,FALSE),"")</f>
        <v/>
      </c>
      <c r="CG71" s="96">
        <f>IFERROR(VLOOKUP($B71,INDIRECT("'GRD-"&amp;CG$11&amp;"'!B:R"),15,FALSE),"")</f>
        <v/>
      </c>
      <c r="CH71" s="96">
        <f>IFERROR(VLOOKUP($B71,INDIRECT("'GRD-"&amp;CH$11&amp;"'!B:R"),15,FALSE),"")</f>
        <v/>
      </c>
      <c r="CI71" s="96">
        <f>IFERROR(VLOOKUP($B71,INDIRECT("'GRD-"&amp;CI$11&amp;"'!B:R"),15,FALSE),"")</f>
        <v/>
      </c>
      <c r="CJ71" s="96">
        <f>IFERROR(VLOOKUP($B71,INDIRECT("'GRD-"&amp;CJ$11&amp;"'!B:R"),15,FALSE),"")</f>
        <v/>
      </c>
      <c r="CK71" s="96">
        <f>IFERROR(VLOOKUP($B71,INDIRECT("'GRD-"&amp;CK$11&amp;"'!B:R"),15,FALSE),"")</f>
        <v/>
      </c>
      <c r="CL71" s="96">
        <f>IFERROR(VLOOKUP($B71,INDIRECT("'GRD-"&amp;CL$11&amp;"'!B:R"),15,FALSE),"")</f>
        <v/>
      </c>
      <c r="CM71" s="96">
        <f>IFERROR(VLOOKUP($B71,INDIRECT("'GRD-"&amp;CM$11&amp;"'!B:R"),15,FALSE),"")</f>
        <v/>
      </c>
      <c r="CN71" s="96">
        <f>IFERROR(VLOOKUP($B71,INDIRECT("'GRD-"&amp;CN$11&amp;"'!B:R"),15,FALSE),"")</f>
        <v/>
      </c>
      <c r="CO71" s="96">
        <f>IFERROR(VLOOKUP($B71,INDIRECT("'GRD-"&amp;CO$11&amp;"'!B:R"),15,FALSE),"")</f>
        <v/>
      </c>
      <c r="CP71" s="96">
        <f>IFERROR(VLOOKUP($B71,INDIRECT("'GRD-"&amp;CP$11&amp;"'!B:R"),15,FALSE),"")</f>
        <v/>
      </c>
      <c r="CQ71" s="96">
        <f>IFERROR(VLOOKUP($B71,INDIRECT("'GRD-"&amp;CQ$11&amp;"'!B:R"),15,FALSE),"")</f>
        <v/>
      </c>
      <c r="CR71" s="96">
        <f>IFERROR(VLOOKUP($B71,INDIRECT("'GRD-"&amp;CR$11&amp;"'!B:R"),15,FALSE),"")</f>
        <v/>
      </c>
      <c r="CS71" s="96">
        <f>IFERROR(VLOOKUP($B71,INDIRECT("'GRD-"&amp;CS$11&amp;"'!B:R"),15,FALSE),"")</f>
        <v/>
      </c>
      <c r="CT71" s="96">
        <f>IFERROR(VLOOKUP($B71,INDIRECT("'GRD-"&amp;CT$11&amp;"'!B:R"),15,FALSE),"")</f>
        <v/>
      </c>
      <c r="CU71" s="96">
        <f>IFERROR(VLOOKUP($B71,INDIRECT("'GRD-"&amp;CU$11&amp;"'!B:R"),15,FALSE),"")</f>
        <v/>
      </c>
      <c r="CV71" s="96">
        <f>IFERROR(VLOOKUP($B71,INDIRECT("'GRD-"&amp;CV$11&amp;"'!B:R"),15,FALSE),"")</f>
        <v/>
      </c>
      <c r="CW71" s="96">
        <f>IFERROR(VLOOKUP($B71,INDIRECT("'GRD-"&amp;CW$11&amp;"'!B:R"),15,FALSE),"")</f>
        <v/>
      </c>
      <c r="CX71" s="96">
        <f>IFERROR(VLOOKUP($B71,INDIRECT("'GRD-"&amp;CX$11&amp;"'!B:R"),15,FALSE),"")</f>
        <v/>
      </c>
      <c r="CY71" s="96">
        <f>IFERROR(VLOOKUP($B71,INDIRECT("'GRD-"&amp;CY$11&amp;"'!B:R"),15,FALSE),"")</f>
        <v/>
      </c>
      <c r="CZ71" s="96">
        <f>IFERROR(VLOOKUP($B71,INDIRECT("'GRD-"&amp;CZ$11&amp;"'!B:R"),15,FALSE),"")</f>
        <v/>
      </c>
      <c r="DA71" s="96">
        <f>IFERROR(VLOOKUP($B71,INDIRECT("'GRD-"&amp;DA$11&amp;"'!B:R"),15,FALSE),"")</f>
        <v/>
      </c>
      <c r="DB71" s="96">
        <f>IFERROR(VLOOKUP($B71,INDIRECT("'GRD-"&amp;DB$11&amp;"'!B:R"),15,FALSE),"")</f>
        <v/>
      </c>
      <c r="DC71" s="96">
        <f>IFERROR(VLOOKUP($B71,INDIRECT("'GRD-"&amp;DC$11&amp;"'!B:R"),15,FALSE),"")</f>
        <v/>
      </c>
      <c r="DD71" s="96">
        <f>IFERROR(VLOOKUP($B71,INDIRECT("'GRD-"&amp;DD$11&amp;"'!B:R"),15,FALSE),"")</f>
        <v/>
      </c>
      <c r="DE71" s="96">
        <f>IFERROR(VLOOKUP($B71,INDIRECT("'GRD-"&amp;DE$11&amp;"'!B:R"),15,FALSE),"")</f>
        <v/>
      </c>
      <c r="DF71" s="96">
        <f>IFERROR(VLOOKUP($B71,INDIRECT("'GRD-"&amp;DF$11&amp;"'!B:R"),15,FALSE),"")</f>
        <v/>
      </c>
      <c r="DG71" s="96">
        <f>IFERROR(VLOOKUP($B71,INDIRECT("'GRD-"&amp;DG$11&amp;"'!B:R"),15,FALSE),"")</f>
        <v/>
      </c>
      <c r="DH71" s="96">
        <f>IFERROR(VLOOKUP($B71,INDIRECT("'GRD-"&amp;DH$11&amp;"'!B:R"),15,FALSE),"")</f>
        <v/>
      </c>
      <c r="DI71" s="96">
        <f>IFERROR(VLOOKUP($B71,INDIRECT("'GRD-"&amp;DI$11&amp;"'!B:R"),15,FALSE),"")</f>
        <v/>
      </c>
      <c r="DJ71" s="96">
        <f>IFERROR(VLOOKUP($B71,INDIRECT("'GRD-"&amp;DJ$11&amp;"'!B:R"),15,FALSE),"")</f>
        <v/>
      </c>
      <c r="DK71" s="96">
        <f>IFERROR(VLOOKUP($B71,INDIRECT("'GRD-"&amp;DK$11&amp;"'!B:R"),15,FALSE),"")</f>
        <v/>
      </c>
      <c r="DL71" s="96">
        <f>IFERROR(VLOOKUP($B71,INDIRECT("'GRD-"&amp;DL$11&amp;"'!B:R"),15,FALSE),"")</f>
        <v/>
      </c>
      <c r="DM71" s="96">
        <f>IFERROR(VLOOKUP($B71,INDIRECT("'GRD-"&amp;DM$11&amp;"'!B:R"),15,FALSE),"")</f>
        <v/>
      </c>
      <c r="DN71" s="96">
        <f>IFERROR(VLOOKUP($B71,INDIRECT("'GRD-"&amp;DN$11&amp;"'!B:R"),15,FALSE),"")</f>
        <v/>
      </c>
      <c r="DO71" s="96">
        <f>IFERROR(VLOOKUP($B71,INDIRECT("'GRD-"&amp;DO$11&amp;"'!B:R"),15,FALSE),"")</f>
        <v/>
      </c>
      <c r="DP71" s="96">
        <f>IFERROR(VLOOKUP($B71,INDIRECT("'GRD-"&amp;DP$11&amp;"'!B:R"),15,FALSE),"")</f>
        <v/>
      </c>
      <c r="DQ71" s="96">
        <f>IFERROR(VLOOKUP($B71,INDIRECT("'GRD-"&amp;DQ$11&amp;"'!B:R"),15,FALSE),"")</f>
        <v/>
      </c>
      <c r="DR71" s="96">
        <f>IFERROR(VLOOKUP($B71,INDIRECT("'GRD-"&amp;DR$11&amp;"'!B:R"),15,FALSE),"")</f>
        <v/>
      </c>
      <c r="DS71" s="96">
        <f>IFERROR(VLOOKUP($B71,INDIRECT("'GRD-"&amp;DS$11&amp;"'!B:R"),15,FALSE),"")</f>
        <v/>
      </c>
      <c r="DT71" s="96">
        <f>IFERROR(VLOOKUP($B71,INDIRECT("'GRD-"&amp;DT$11&amp;"'!B:R"),15,FALSE),"")</f>
        <v/>
      </c>
      <c r="DU71" s="96">
        <f>IFERROR(VLOOKUP($B71,INDIRECT("'GRD-"&amp;DU$11&amp;"'!B:R"),15,FALSE),"")</f>
        <v/>
      </c>
      <c r="DV71" s="96">
        <f>IFERROR(VLOOKUP($B71,INDIRECT("'GRD-"&amp;DV$11&amp;"'!B:R"),15,FALSE),"")</f>
        <v/>
      </c>
      <c r="DW71" s="96">
        <f>IFERROR(VLOOKUP($B71,INDIRECT("'GRD-"&amp;DW$11&amp;"'!B:R"),15,FALSE),"")</f>
        <v/>
      </c>
      <c r="DX71" s="96">
        <f>IFERROR(VLOOKUP($B71,INDIRECT("'GRD-"&amp;DX$11&amp;"'!B:R"),15,FALSE),"")</f>
        <v/>
      </c>
      <c r="DY71" s="96">
        <f>IFERROR(VLOOKUP($B71,INDIRECT("'GRD-"&amp;DY$11&amp;"'!B:R"),15,FALSE),"")</f>
        <v/>
      </c>
      <c r="DZ71" s="96">
        <f>IFERROR(VLOOKUP($B71,INDIRECT("'GRD-"&amp;DZ$11&amp;"'!B:R"),15,FALSE),"")</f>
        <v/>
      </c>
      <c r="EA71" s="96">
        <f>IFERROR(VLOOKUP($B71,INDIRECT("'GRD-"&amp;EA$11&amp;"'!B:R"),15,FALSE),"")</f>
        <v/>
      </c>
      <c r="EB71" s="96">
        <f>IFERROR(VLOOKUP($B71,INDIRECT("'GRD-"&amp;EB$11&amp;"'!B:R"),15,FALSE),"")</f>
        <v/>
      </c>
      <c r="EC71" s="96">
        <f>IFERROR(VLOOKUP($B71,INDIRECT("'GRD-"&amp;EC$11&amp;"'!B:R"),15,FALSE),"")</f>
        <v/>
      </c>
      <c r="ED71" s="96">
        <f>IFERROR(VLOOKUP($B71,INDIRECT("'GRD-"&amp;ED$11&amp;"'!B:R"),15,FALSE),"")</f>
        <v/>
      </c>
      <c r="EE71" s="96">
        <f>IFERROR(VLOOKUP($B71,INDIRECT("'GRD-"&amp;EE$11&amp;"'!B:R"),15,FALSE),"")</f>
        <v/>
      </c>
      <c r="EF71" s="96">
        <f>IFERROR(VLOOKUP($B71,INDIRECT("'GRD-"&amp;EF$11&amp;"'!B:R"),15,FALSE),"")</f>
        <v/>
      </c>
      <c r="EG71" s="96">
        <f>IFERROR(VLOOKUP($B71,INDIRECT("'GRD-"&amp;EG$11&amp;"'!B:R"),15,FALSE),"")</f>
        <v/>
      </c>
      <c r="EH71" s="96">
        <f>IFERROR(VLOOKUP($B71,INDIRECT("'GRD-"&amp;EH$11&amp;"'!B:R"),15,FALSE),"")</f>
        <v/>
      </c>
      <c r="EI71" s="96">
        <f>IFERROR(VLOOKUP($B71,INDIRECT("'GRD-"&amp;EI$11&amp;"'!B:R"),15,FALSE),"")</f>
        <v/>
      </c>
      <c r="EJ71" s="96">
        <f>IFERROR(VLOOKUP($B71,INDIRECT("'GRD-"&amp;EJ$11&amp;"'!B:R"),15,FALSE),"")</f>
        <v/>
      </c>
      <c r="EK71" s="96">
        <f>IFERROR(VLOOKUP($B71,INDIRECT("'GRD-"&amp;EK$11&amp;"'!B:R"),15,FALSE),"")</f>
        <v/>
      </c>
      <c r="EL71" s="96">
        <f>IFERROR(VLOOKUP($B71,INDIRECT("'GRD-"&amp;EL$11&amp;"'!B:R"),15,FALSE),"")</f>
        <v/>
      </c>
      <c r="EM71" s="96">
        <f>IFERROR(VLOOKUP($B71,INDIRECT("'GRD-"&amp;EM$11&amp;"'!B:R"),15,FALSE),"")</f>
        <v/>
      </c>
      <c r="EN71" s="96">
        <f>IFERROR(VLOOKUP($B71,INDIRECT("'GRD-"&amp;EN$11&amp;"'!B:R"),15,FALSE),"")</f>
        <v/>
      </c>
      <c r="EO71" s="96">
        <f>IFERROR(VLOOKUP($B71,INDIRECT("'GRD-"&amp;EO$11&amp;"'!B:R"),15,FALSE),"")</f>
        <v/>
      </c>
      <c r="EP71" s="96">
        <f>IFERROR(VLOOKUP($B71,INDIRECT("'GRD-"&amp;EP$11&amp;"'!B:R"),15,FALSE),"")</f>
        <v/>
      </c>
      <c r="EQ71" s="96">
        <f>IFERROR(VLOOKUP($B71,INDIRECT("'GRD-"&amp;EQ$11&amp;"'!B:R"),15,FALSE),"")</f>
        <v/>
      </c>
      <c r="ER71" s="96">
        <f>IFERROR(VLOOKUP($B71,INDIRECT("'GRD-"&amp;ER$11&amp;"'!B:R"),15,FALSE),"")</f>
        <v/>
      </c>
      <c r="ES71" s="96">
        <f>IFERROR(VLOOKUP($B71,INDIRECT("'GRD-"&amp;ES$11&amp;"'!B:R"),15,FALSE),"")</f>
        <v/>
      </c>
      <c r="ET71" s="96">
        <f>IFERROR(VLOOKUP($B71,INDIRECT("'GRD-"&amp;ET$11&amp;"'!B:R"),15,FALSE),"")</f>
        <v/>
      </c>
      <c r="EU71" s="96">
        <f>IFERROR(VLOOKUP($B71,INDIRECT("'GRD-"&amp;EU$11&amp;"'!B:R"),15,FALSE),"")</f>
        <v/>
      </c>
      <c r="EV71" s="96">
        <f>IFERROR(VLOOKUP($B71,INDIRECT("'GRD-"&amp;EV$11&amp;"'!B:R"),15,FALSE),"")</f>
        <v/>
      </c>
      <c r="EW71" s="96">
        <f>IFERROR(VLOOKUP($B71,INDIRECT("'GRD-"&amp;EW$11&amp;"'!B:R"),15,FALSE),"")</f>
        <v/>
      </c>
      <c r="EX71" s="96">
        <f>IFERROR(VLOOKUP($B71,INDIRECT("'GRD-"&amp;EX$11&amp;"'!B:R"),15,FALSE),"")</f>
        <v/>
      </c>
      <c r="EY71" s="96">
        <f>IFERROR(VLOOKUP($B71,INDIRECT("'GRD-"&amp;EY$11&amp;"'!B:R"),15,FALSE),"")</f>
        <v/>
      </c>
      <c r="EZ71" s="96">
        <f>IFERROR(VLOOKUP($B71,INDIRECT("'GRD-"&amp;EZ$11&amp;"'!B:R"),15,FALSE),"")</f>
        <v/>
      </c>
      <c r="FA71" s="96">
        <f>IFERROR(VLOOKUP($B71,INDIRECT("'GRD-"&amp;FA$11&amp;"'!B:R"),15,FALSE),"")</f>
        <v/>
      </c>
      <c r="FB71" s="96">
        <f>IFERROR(VLOOKUP($B71,INDIRECT("'GRD-"&amp;FB$11&amp;"'!B:R"),15,FALSE),"")</f>
        <v/>
      </c>
      <c r="FC71" s="96">
        <f>IFERROR(VLOOKUP($B71,INDIRECT("'GRD-"&amp;FC$11&amp;"'!B:R"),15,FALSE),"")</f>
        <v/>
      </c>
      <c r="FD71" s="96">
        <f>IFERROR(VLOOKUP($B71,INDIRECT("'GRD-"&amp;FD$11&amp;"'!B:R"),15,FALSE),"")</f>
        <v/>
      </c>
      <c r="FE71" s="96">
        <f>IFERROR(VLOOKUP($B71,INDIRECT("'GRD-"&amp;FE$11&amp;"'!B:R"),15,FALSE),"")</f>
        <v/>
      </c>
      <c r="FF71" s="96">
        <f>IFERROR(VLOOKUP($B71,INDIRECT("'GRD-"&amp;FF$11&amp;"'!B:R"),15,FALSE),"")</f>
        <v/>
      </c>
      <c r="FG71" s="96">
        <f>IFERROR(VLOOKUP($B71,INDIRECT("'GRD-"&amp;FG$11&amp;"'!B:R"),15,FALSE),"")</f>
        <v/>
      </c>
      <c r="FH71" s="96">
        <f>IFERROR(VLOOKUP($B71,INDIRECT("'GRD-"&amp;FH$11&amp;"'!B:R"),15,FALSE),"")</f>
        <v/>
      </c>
      <c r="FI71" s="96">
        <f>IFERROR(VLOOKUP($B71,INDIRECT("'GRD-"&amp;FI$11&amp;"'!B:R"),15,FALSE),"")</f>
        <v/>
      </c>
      <c r="FJ71" s="96">
        <f>IFERROR(VLOOKUP($B71,INDIRECT("'GRD-"&amp;FJ$11&amp;"'!B:R"),15,FALSE),"")</f>
        <v/>
      </c>
      <c r="FK71" s="96">
        <f>IFERROR(VLOOKUP($B71,INDIRECT("'GRD-"&amp;FK$11&amp;"'!B:R"),15,FALSE),"")</f>
        <v/>
      </c>
      <c r="FL71" s="96">
        <f>IFERROR(VLOOKUP($B71,INDIRECT("'GRD-"&amp;FL$11&amp;"'!B:R"),15,FALSE),"")</f>
        <v/>
      </c>
      <c r="FM71" s="96">
        <f>IFERROR(VLOOKUP($B71,INDIRECT("'GRD-"&amp;FM$11&amp;"'!B:R"),15,FALSE),"")</f>
        <v/>
      </c>
      <c r="FN71" s="96">
        <f>IFERROR(VLOOKUP($B71,INDIRECT("'GRD-"&amp;FN$11&amp;"'!B:R"),15,FALSE),"")</f>
        <v/>
      </c>
      <c r="FO71" s="96">
        <f>IFERROR(VLOOKUP($B71,INDIRECT("'GRD-"&amp;FO$11&amp;"'!B:R"),15,FALSE),"")</f>
        <v/>
      </c>
      <c r="FP71" s="96">
        <f>IFERROR(VLOOKUP($B71,INDIRECT("'GRD-"&amp;FP$11&amp;"'!B:R"),15,FALSE),"")</f>
        <v/>
      </c>
      <c r="FQ71" s="96">
        <f>IFERROR(VLOOKUP($B71,INDIRECT("'GRD-"&amp;FQ$11&amp;"'!B:R"),15,FALSE),"")</f>
        <v/>
      </c>
      <c r="FR71" s="96">
        <f>IFERROR(VLOOKUP($B71,INDIRECT("'GRD-"&amp;FR$11&amp;"'!B:R"),15,FALSE),"")</f>
        <v/>
      </c>
      <c r="FS71" s="96">
        <f>IFERROR(VLOOKUP($B71,INDIRECT("'GRD-"&amp;FS$11&amp;"'!B:R"),15,FALSE),"")</f>
        <v/>
      </c>
      <c r="FT71" s="96">
        <f>IFERROR(VLOOKUP($B71,INDIRECT("'GRD-"&amp;FT$11&amp;"'!B:R"),15,FALSE),"")</f>
        <v/>
      </c>
      <c r="FU71" s="96">
        <f>IFERROR(VLOOKUP($B71,INDIRECT("'GRD-"&amp;FU$11&amp;"'!B:R"),15,FALSE),"")</f>
        <v/>
      </c>
      <c r="FV71" s="96">
        <f>IFERROR(VLOOKUP($B71,INDIRECT("'GRD-"&amp;FV$11&amp;"'!B:R"),15,FALSE),"")</f>
        <v/>
      </c>
    </row>
    <row r="72">
      <c r="B72" s="85" t="n"/>
      <c r="C72" s="93" t="n"/>
      <c r="D72" s="73">
        <f>IF(K72="","",MAX($CA72:$FV72))</f>
        <v/>
      </c>
      <c r="E72" s="74">
        <f t="array" ref="E72">IF($K72="","",OFFSET($A$1,ROW($B72)-1,11+$D72*4,))</f>
        <v/>
      </c>
      <c r="F72" s="74">
        <f t="array" ref="F72">IF($K72="","",OFFSET($A$1,ROW($B72)-1,12+$D72*4,))</f>
        <v/>
      </c>
      <c r="G72" s="118">
        <f t="array" ref="G72">IF($K72="","",OFFSET($A$1,ROW($B72)-1,13+$D72*4,))</f>
        <v/>
      </c>
      <c r="H72" s="81" t="n"/>
      <c r="I72" s="82" t="n"/>
      <c r="J72" s="75">
        <f>IF(I72="A4",H72/8,IF(I72="A3",H72/4,IF(I72="A2",H72/2,IF(I72="A1",H72/1,IF(I72="A0",H72*2,"")))))</f>
        <v/>
      </c>
      <c r="K72" s="68">
        <f t="array" ref="K72">IFERROR(OFFSET($BZ$11,ROW($B72)-11,MATCH(K$10,$CA72:$FV72,0),),"")</f>
        <v/>
      </c>
      <c r="L72" s="85">
        <f>IF(K72="","",IF(VLOOKUP($B72,INDIRECT("'GRD-"&amp;M72&amp;"'!$B:$R"),16,FALSE)="","",VLOOKUP($B72,INDIRECT("'GRD-"&amp;M72&amp;"'!$B:$R"),16,FALSE)))</f>
        <v/>
      </c>
      <c r="M72" s="130">
        <f t="array" ref="M72">IF(K72="","",IFERROR(OFFSET($BZ$11,0,MATCH($K72,$CA72:$FV72,0),),""))</f>
        <v/>
      </c>
      <c r="N72" s="119">
        <f t="array" ref="N72">IF(K72="","",INDIRECT("'GRD-"&amp;M72&amp;"'!$L$7"))</f>
        <v/>
      </c>
      <c r="O72" s="76">
        <f t="array" ref="O72">IFERROR(OFFSET($BZ$11,ROW($B72)-11,MATCH(O$10,$CA72:$FV72,0),),"")</f>
        <v/>
      </c>
      <c r="P72" s="76">
        <f>IF(O72="","",IF(VLOOKUP($B72,INDIRECT("'GRD-"&amp;Q72&amp;"'!$B:$R"),16,FALSE)="","",VLOOKUP($B72,INDIRECT("'GRD-"&amp;Q72&amp;"'!$B:$R"),16,FALSE)))</f>
        <v/>
      </c>
      <c r="Q72" s="132">
        <f t="array" ref="Q72">IF(O72="","",IFERROR(OFFSET($BZ$11,0,MATCH($O72,$CA72:$FV72,0),),""))</f>
        <v/>
      </c>
      <c r="R72" s="121">
        <f t="array" ref="R72">IF(O72="","",INDIRECT("'GRD-"&amp;Q72&amp;"'!$L$7"))</f>
        <v/>
      </c>
      <c r="S72" s="83">
        <f t="array" ref="S72">IFERROR(OFFSET($BZ$11,ROW($B72)-11,MATCH(S$10,$CA72:$FV72,0),),"")</f>
        <v/>
      </c>
      <c r="T72" s="83">
        <f>IF(S72="","",IF(VLOOKUP($B72,INDIRECT("'GRD-"&amp;U72&amp;"'!$B:$R"),16,FALSE)="","",VLOOKUP($B72,INDIRECT("'GRD-"&amp;U72&amp;"'!$B:$R"),16,FALSE)))</f>
        <v/>
      </c>
      <c r="U72" s="128">
        <f t="array" ref="U72">IF(S72="","",IFERROR(OFFSET($BZ$11,0,MATCH($S72,$CA72:$FV72,0),),""))</f>
        <v/>
      </c>
      <c r="V72" s="133">
        <f t="array" ref="V72">IF(S72="","",INDIRECT("'GRD-"&amp;U72&amp;"'!$L$7"))</f>
        <v/>
      </c>
      <c r="W72" s="84">
        <f t="array" ref="W72">IFERROR(OFFSET($BZ$11,ROW($B72)-11,MATCH(W$10,$CA72:$FV72,0),),"")</f>
        <v/>
      </c>
      <c r="X72" s="84">
        <f>IF(W72="","",IF(VLOOKUP($B72,INDIRECT("'GRD-"&amp;Y72&amp;"'!$B:$R"),16,FALSE)="","",VLOOKUP($B72,INDIRECT("'GRD-"&amp;Y72&amp;"'!$B:$R"),16,FALSE)))</f>
        <v/>
      </c>
      <c r="Y72" s="129">
        <f t="array" ref="Y72">IF(W72="","",IFERROR(OFFSET($BZ$11,0,MATCH($W72,$CA72:$FV72,0),),""))</f>
        <v/>
      </c>
      <c r="Z72" s="134">
        <f t="array" ref="Z72">IF(W72="","",INDIRECT("'GRD-"&amp;Y72&amp;"'!$L$7"))</f>
        <v/>
      </c>
      <c r="AA72" s="85">
        <f t="array" ref="AA72">IFERROR(OFFSET($BZ$11,ROW($B72)-11,MATCH(AA$10,$CA72:$FV72,0),),"")</f>
        <v/>
      </c>
      <c r="AB72" s="85">
        <f>IF(AA72="","",IF(VLOOKUP($B72,INDIRECT("'GRD-"&amp;AC72&amp;"'!$B:$R"),16,FALSE)="","",VLOOKUP($B72,INDIRECT("'GRD-"&amp;AC72&amp;"'!$B:$R"),16,FALSE)))</f>
        <v/>
      </c>
      <c r="AC72" s="130">
        <f t="array" ref="AC72">IF(AA72="","",IFERROR(OFFSET($BZ$11,0,MATCH($AA72,$CA72:$FV72,0),),""))</f>
        <v/>
      </c>
      <c r="AD72" s="131">
        <f t="array" ref="AD72">IF(AA72="","",INDIRECT("'GRD-"&amp;AC72&amp;"'!$L$7"))</f>
        <v/>
      </c>
      <c r="AE72" s="76">
        <f t="array" ref="AE72">IFERROR(OFFSET($BZ$11,ROW($B72)-11,MATCH(AE$10,$CA72:$FV72,0),),"")</f>
        <v/>
      </c>
      <c r="AF72" s="76">
        <f>IF(AE72="","",IF(VLOOKUP($B72,INDIRECT("'GRD-"&amp;AG72&amp;"'!$B:$R"),16,FALSE)="","",VLOOKUP($B72,INDIRECT("'GRD-"&amp;AG72&amp;"'!$B:$R"),16,FALSE)))</f>
        <v/>
      </c>
      <c r="AG72" s="132">
        <f t="array" ref="AG72">IF(AE72="","",IFERROR(OFFSET($BZ$11,0,MATCH($AE72,$CA72:$FV72,0),),""))</f>
        <v/>
      </c>
      <c r="AH72" s="121">
        <f t="array" ref="AH72">IF(AE72="","",INDIRECT("'GRD-"&amp;AG72&amp;"'!$L$7"))</f>
        <v/>
      </c>
      <c r="AI72" s="83">
        <f t="array" ref="AI72">IFERROR(OFFSET($BZ$11,ROW($B72)-11,MATCH(AI$10,$CA72:$FV72,0),),"")</f>
        <v/>
      </c>
      <c r="AJ72" s="83">
        <f>IF(AI72="","",IF(VLOOKUP($B72,INDIRECT("'GRD-"&amp;AK72&amp;"'!$B:$R"),16,FALSE)="","",VLOOKUP($B72,INDIRECT("'GRD-"&amp;AK72&amp;"'!$B:$R"),16,FALSE)))</f>
        <v/>
      </c>
      <c r="AK72" s="128">
        <f t="array" ref="AK72">IF(AI72="","",IFERROR(OFFSET($BZ$11,0,MATCH($AI72,$CA72:$FV72,0),),""))</f>
        <v/>
      </c>
      <c r="AL72" s="133">
        <f t="array" ref="AL72">IF(AI72="","",INDIRECT("'GRD-"&amp;AK72&amp;"'!$L$7"))</f>
        <v/>
      </c>
      <c r="AM72" s="84">
        <f t="array" ref="AM72">IFERROR(OFFSET($BZ$11,ROW($B72)-11,MATCH(AM$10,$CA72:$FV72,0),),"")</f>
        <v/>
      </c>
      <c r="AN72" s="84">
        <f>IF(AM72="","",IF(VLOOKUP($B72,INDIRECT("'GRD-"&amp;AO72&amp;"'!$B:$R"),16,FALSE)="","",VLOOKUP($B72,INDIRECT("'GRD-"&amp;AO72&amp;"'!$B:$R"),16,FALSE)))</f>
        <v/>
      </c>
      <c r="AO72" s="129">
        <f t="array" ref="AO72">IF(AM72="","",IFERROR(OFFSET($BZ$11,0,MATCH($AM72,$CA72:$FV72,0),),""))</f>
        <v/>
      </c>
      <c r="AP72" s="134">
        <f t="array" ref="AP72">IF(AM72="","",INDIRECT("'GRD-"&amp;AO72&amp;"'!$L$7"))</f>
        <v/>
      </c>
      <c r="AQ72" s="85">
        <f t="array" ref="AQ72">IFERROR(OFFSET($BZ$11,ROW($B72)-11,MATCH(AQ$10,$CA72:$FV72,0),),"")</f>
        <v/>
      </c>
      <c r="AR72" s="85">
        <f>IF(AQ72="","",IF(VLOOKUP($B72,INDIRECT("'GRD-"&amp;AS72&amp;"'!$B:$R"),16,FALSE)="","",VLOOKUP($B72,INDIRECT("'GRD-"&amp;AS72&amp;"'!$B:$R"),16,FALSE)))</f>
        <v/>
      </c>
      <c r="AS72" s="130">
        <f t="array" ref="AS72">IF(AQ72="","",IFERROR(OFFSET($BZ$11,0,MATCH($AQ72,$CA72:$FV72,0),),""))</f>
        <v/>
      </c>
      <c r="AT72" s="131">
        <f t="array" ref="AT72">IF(AQ72="","",INDIRECT("'GRD-"&amp;AS72&amp;"'!$L$7"))</f>
        <v/>
      </c>
      <c r="AU72" s="76">
        <f t="array" ref="AU72">IFERROR(OFFSET($BZ$11,ROW($B72)-11,MATCH(AU$10,$CA72:$FV72,0),),"")</f>
        <v/>
      </c>
      <c r="AV72" s="76">
        <f>IF(AU72="","",IF(VLOOKUP($B72,INDIRECT("'GRD-"&amp;AW72&amp;"'!$B:$R"),16,FALSE)="","",VLOOKUP($B72,INDIRECT("'GRD-"&amp;AW72&amp;"'!$B:$R"),16,FALSE)))</f>
        <v/>
      </c>
      <c r="AW72" s="132">
        <f t="array" ref="AW72">IF(AU72="","",IFERROR(OFFSET($BZ$11,0,MATCH($AU72,$CA72:$FV72,0),),""))</f>
        <v/>
      </c>
      <c r="AX72" s="121">
        <f t="array" ref="AX72">IF(AU72="","",INDIRECT("'GRD-"&amp;AW72&amp;"'!$L$7"))</f>
        <v/>
      </c>
      <c r="AY72" s="83">
        <f t="array" ref="AY72">IFERROR(OFFSET($BZ$11,ROW($B72)-11,MATCH(AY$10,$CA72:$FV72,0),),"")</f>
        <v/>
      </c>
      <c r="AZ72" s="83">
        <f>IF(AY72="","",IF(VLOOKUP($B72,INDIRECT("'GRD-"&amp;BA72&amp;"'!$B:$R"),16,FALSE)="","",VLOOKUP($B72,INDIRECT("'GRD-"&amp;BA72&amp;"'!$B:$R"),16,FALSE)))</f>
        <v/>
      </c>
      <c r="BA72" s="128">
        <f t="array" ref="BA72">IF(AY72="","",IFERROR(OFFSET($BZ$11,0,MATCH($AY72,$CA72:$FV72,0),),""))</f>
        <v/>
      </c>
      <c r="BB72" s="133">
        <f t="array" ref="BB72">IF(AY72="","",INDIRECT("'GRD-"&amp;BA72&amp;"'!$L$7"))</f>
        <v/>
      </c>
      <c r="BC72" s="84">
        <f t="array" ref="BC72">IFERROR(OFFSET($BZ$11,ROW($B72)-11,MATCH(BC$10,$CA72:$FV72,0),),"")</f>
        <v/>
      </c>
      <c r="BD72" s="84">
        <f>IF(BC72="","",IF(VLOOKUP($B72,INDIRECT("'GRD-"&amp;BE72&amp;"'!$B:$R"),16,FALSE)="","",VLOOKUP($B72,INDIRECT("'GRD-"&amp;BE72&amp;"'!$B:$R"),16,FALSE)))</f>
        <v/>
      </c>
      <c r="BE72" s="129">
        <f t="array" ref="BE72">IF(BC72="","",IFERROR(OFFSET($BZ$11,0,MATCH($BC72,$CA72:$FV72,0),),""))</f>
        <v/>
      </c>
      <c r="BF72" s="134">
        <f t="array" ref="BF72">IF(BC72="","",INDIRECT("'GRD-"&amp;BE72&amp;"'!$L$7"))</f>
        <v/>
      </c>
      <c r="CA72" s="96">
        <f>IFERROR(VLOOKUP($B72,INDIRECT("'GRD-"&amp;CA$11&amp;"'!B:R"),15,FALSE),"")</f>
        <v/>
      </c>
      <c r="CB72" s="96">
        <f>IFERROR(VLOOKUP($B72,INDIRECT("'GRD-"&amp;CB$11&amp;"'!B:R"),15,FALSE),"")</f>
        <v/>
      </c>
      <c r="CC72" s="96">
        <f>IFERROR(VLOOKUP($B72,INDIRECT("'GRD-"&amp;CC$11&amp;"'!B:R"),15,FALSE),"")</f>
        <v/>
      </c>
      <c r="CD72" s="96">
        <f>IFERROR(VLOOKUP($B72,INDIRECT("'GRD-"&amp;CD$11&amp;"'!B:R"),15,FALSE),"")</f>
        <v/>
      </c>
      <c r="CE72" s="96">
        <f>IFERROR(VLOOKUP($B72,INDIRECT("'GRD-"&amp;CE$11&amp;"'!B:R"),15,FALSE),"")</f>
        <v/>
      </c>
      <c r="CF72" s="96">
        <f>IFERROR(VLOOKUP($B72,INDIRECT("'GRD-"&amp;CF$11&amp;"'!B:R"),15,FALSE),"")</f>
        <v/>
      </c>
      <c r="CG72" s="96">
        <f>IFERROR(VLOOKUP($B72,INDIRECT("'GRD-"&amp;CG$11&amp;"'!B:R"),15,FALSE),"")</f>
        <v/>
      </c>
      <c r="CH72" s="96">
        <f>IFERROR(VLOOKUP($B72,INDIRECT("'GRD-"&amp;CH$11&amp;"'!B:R"),15,FALSE),"")</f>
        <v/>
      </c>
      <c r="CI72" s="96">
        <f>IFERROR(VLOOKUP($B72,INDIRECT("'GRD-"&amp;CI$11&amp;"'!B:R"),15,FALSE),"")</f>
        <v/>
      </c>
      <c r="CJ72" s="96">
        <f>IFERROR(VLOOKUP($B72,INDIRECT("'GRD-"&amp;CJ$11&amp;"'!B:R"),15,FALSE),"")</f>
        <v/>
      </c>
      <c r="CK72" s="96">
        <f>IFERROR(VLOOKUP($B72,INDIRECT("'GRD-"&amp;CK$11&amp;"'!B:R"),15,FALSE),"")</f>
        <v/>
      </c>
      <c r="CL72" s="96">
        <f>IFERROR(VLOOKUP($B72,INDIRECT("'GRD-"&amp;CL$11&amp;"'!B:R"),15,FALSE),"")</f>
        <v/>
      </c>
      <c r="CM72" s="96">
        <f>IFERROR(VLOOKUP($B72,INDIRECT("'GRD-"&amp;CM$11&amp;"'!B:R"),15,FALSE),"")</f>
        <v/>
      </c>
      <c r="CN72" s="96">
        <f>IFERROR(VLOOKUP($B72,INDIRECT("'GRD-"&amp;CN$11&amp;"'!B:R"),15,FALSE),"")</f>
        <v/>
      </c>
      <c r="CO72" s="96">
        <f>IFERROR(VLOOKUP($B72,INDIRECT("'GRD-"&amp;CO$11&amp;"'!B:R"),15,FALSE),"")</f>
        <v/>
      </c>
      <c r="CP72" s="96">
        <f>IFERROR(VLOOKUP($B72,INDIRECT("'GRD-"&amp;CP$11&amp;"'!B:R"),15,FALSE),"")</f>
        <v/>
      </c>
      <c r="CQ72" s="96">
        <f>IFERROR(VLOOKUP($B72,INDIRECT("'GRD-"&amp;CQ$11&amp;"'!B:R"),15,FALSE),"")</f>
        <v/>
      </c>
      <c r="CR72" s="96">
        <f>IFERROR(VLOOKUP($B72,INDIRECT("'GRD-"&amp;CR$11&amp;"'!B:R"),15,FALSE),"")</f>
        <v/>
      </c>
      <c r="CS72" s="96">
        <f>IFERROR(VLOOKUP($B72,INDIRECT("'GRD-"&amp;CS$11&amp;"'!B:R"),15,FALSE),"")</f>
        <v/>
      </c>
      <c r="CT72" s="96">
        <f>IFERROR(VLOOKUP($B72,INDIRECT("'GRD-"&amp;CT$11&amp;"'!B:R"),15,FALSE),"")</f>
        <v/>
      </c>
      <c r="CU72" s="96">
        <f>IFERROR(VLOOKUP($B72,INDIRECT("'GRD-"&amp;CU$11&amp;"'!B:R"),15,FALSE),"")</f>
        <v/>
      </c>
      <c r="CV72" s="96">
        <f>IFERROR(VLOOKUP($B72,INDIRECT("'GRD-"&amp;CV$11&amp;"'!B:R"),15,FALSE),"")</f>
        <v/>
      </c>
      <c r="CW72" s="96">
        <f>IFERROR(VLOOKUP($B72,INDIRECT("'GRD-"&amp;CW$11&amp;"'!B:R"),15,FALSE),"")</f>
        <v/>
      </c>
      <c r="CX72" s="96">
        <f>IFERROR(VLOOKUP($B72,INDIRECT("'GRD-"&amp;CX$11&amp;"'!B:R"),15,FALSE),"")</f>
        <v/>
      </c>
      <c r="CY72" s="96">
        <f>IFERROR(VLOOKUP($B72,INDIRECT("'GRD-"&amp;CY$11&amp;"'!B:R"),15,FALSE),"")</f>
        <v/>
      </c>
      <c r="CZ72" s="96">
        <f>IFERROR(VLOOKUP($B72,INDIRECT("'GRD-"&amp;CZ$11&amp;"'!B:R"),15,FALSE),"")</f>
        <v/>
      </c>
      <c r="DA72" s="96">
        <f>IFERROR(VLOOKUP($B72,INDIRECT("'GRD-"&amp;DA$11&amp;"'!B:R"),15,FALSE),"")</f>
        <v/>
      </c>
      <c r="DB72" s="96">
        <f>IFERROR(VLOOKUP($B72,INDIRECT("'GRD-"&amp;DB$11&amp;"'!B:R"),15,FALSE),"")</f>
        <v/>
      </c>
      <c r="DC72" s="96">
        <f>IFERROR(VLOOKUP($B72,INDIRECT("'GRD-"&amp;DC$11&amp;"'!B:R"),15,FALSE),"")</f>
        <v/>
      </c>
      <c r="DD72" s="96">
        <f>IFERROR(VLOOKUP($B72,INDIRECT("'GRD-"&amp;DD$11&amp;"'!B:R"),15,FALSE),"")</f>
        <v/>
      </c>
      <c r="DE72" s="96">
        <f>IFERROR(VLOOKUP($B72,INDIRECT("'GRD-"&amp;DE$11&amp;"'!B:R"),15,FALSE),"")</f>
        <v/>
      </c>
      <c r="DF72" s="96">
        <f>IFERROR(VLOOKUP($B72,INDIRECT("'GRD-"&amp;DF$11&amp;"'!B:R"),15,FALSE),"")</f>
        <v/>
      </c>
      <c r="DG72" s="96">
        <f>IFERROR(VLOOKUP($B72,INDIRECT("'GRD-"&amp;DG$11&amp;"'!B:R"),15,FALSE),"")</f>
        <v/>
      </c>
      <c r="DH72" s="96">
        <f>IFERROR(VLOOKUP($B72,INDIRECT("'GRD-"&amp;DH$11&amp;"'!B:R"),15,FALSE),"")</f>
        <v/>
      </c>
      <c r="DI72" s="96">
        <f>IFERROR(VLOOKUP($B72,INDIRECT("'GRD-"&amp;DI$11&amp;"'!B:R"),15,FALSE),"")</f>
        <v/>
      </c>
      <c r="DJ72" s="96">
        <f>IFERROR(VLOOKUP($B72,INDIRECT("'GRD-"&amp;DJ$11&amp;"'!B:R"),15,FALSE),"")</f>
        <v/>
      </c>
      <c r="DK72" s="96">
        <f>IFERROR(VLOOKUP($B72,INDIRECT("'GRD-"&amp;DK$11&amp;"'!B:R"),15,FALSE),"")</f>
        <v/>
      </c>
      <c r="DL72" s="96">
        <f>IFERROR(VLOOKUP($B72,INDIRECT("'GRD-"&amp;DL$11&amp;"'!B:R"),15,FALSE),"")</f>
        <v/>
      </c>
      <c r="DM72" s="96">
        <f>IFERROR(VLOOKUP($B72,INDIRECT("'GRD-"&amp;DM$11&amp;"'!B:R"),15,FALSE),"")</f>
        <v/>
      </c>
      <c r="DN72" s="96">
        <f>IFERROR(VLOOKUP($B72,INDIRECT("'GRD-"&amp;DN$11&amp;"'!B:R"),15,FALSE),"")</f>
        <v/>
      </c>
      <c r="DO72" s="96">
        <f>IFERROR(VLOOKUP($B72,INDIRECT("'GRD-"&amp;DO$11&amp;"'!B:R"),15,FALSE),"")</f>
        <v/>
      </c>
      <c r="DP72" s="96">
        <f>IFERROR(VLOOKUP($B72,INDIRECT("'GRD-"&amp;DP$11&amp;"'!B:R"),15,FALSE),"")</f>
        <v/>
      </c>
      <c r="DQ72" s="96">
        <f>IFERROR(VLOOKUP($B72,INDIRECT("'GRD-"&amp;DQ$11&amp;"'!B:R"),15,FALSE),"")</f>
        <v/>
      </c>
      <c r="DR72" s="96">
        <f>IFERROR(VLOOKUP($B72,INDIRECT("'GRD-"&amp;DR$11&amp;"'!B:R"),15,FALSE),"")</f>
        <v/>
      </c>
      <c r="DS72" s="96">
        <f>IFERROR(VLOOKUP($B72,INDIRECT("'GRD-"&amp;DS$11&amp;"'!B:R"),15,FALSE),"")</f>
        <v/>
      </c>
      <c r="DT72" s="96">
        <f>IFERROR(VLOOKUP($B72,INDIRECT("'GRD-"&amp;DT$11&amp;"'!B:R"),15,FALSE),"")</f>
        <v/>
      </c>
      <c r="DU72" s="96">
        <f>IFERROR(VLOOKUP($B72,INDIRECT("'GRD-"&amp;DU$11&amp;"'!B:R"),15,FALSE),"")</f>
        <v/>
      </c>
      <c r="DV72" s="96">
        <f>IFERROR(VLOOKUP($B72,INDIRECT("'GRD-"&amp;DV$11&amp;"'!B:R"),15,FALSE),"")</f>
        <v/>
      </c>
      <c r="DW72" s="96">
        <f>IFERROR(VLOOKUP($B72,INDIRECT("'GRD-"&amp;DW$11&amp;"'!B:R"),15,FALSE),"")</f>
        <v/>
      </c>
      <c r="DX72" s="96">
        <f>IFERROR(VLOOKUP($B72,INDIRECT("'GRD-"&amp;DX$11&amp;"'!B:R"),15,FALSE),"")</f>
        <v/>
      </c>
      <c r="DY72" s="96">
        <f>IFERROR(VLOOKUP($B72,INDIRECT("'GRD-"&amp;DY$11&amp;"'!B:R"),15,FALSE),"")</f>
        <v/>
      </c>
      <c r="DZ72" s="96">
        <f>IFERROR(VLOOKUP($B72,INDIRECT("'GRD-"&amp;DZ$11&amp;"'!B:R"),15,FALSE),"")</f>
        <v/>
      </c>
      <c r="EA72" s="96">
        <f>IFERROR(VLOOKUP($B72,INDIRECT("'GRD-"&amp;EA$11&amp;"'!B:R"),15,FALSE),"")</f>
        <v/>
      </c>
      <c r="EB72" s="96">
        <f>IFERROR(VLOOKUP($B72,INDIRECT("'GRD-"&amp;EB$11&amp;"'!B:R"),15,FALSE),"")</f>
        <v/>
      </c>
      <c r="EC72" s="96">
        <f>IFERROR(VLOOKUP($B72,INDIRECT("'GRD-"&amp;EC$11&amp;"'!B:R"),15,FALSE),"")</f>
        <v/>
      </c>
      <c r="ED72" s="96">
        <f>IFERROR(VLOOKUP($B72,INDIRECT("'GRD-"&amp;ED$11&amp;"'!B:R"),15,FALSE),"")</f>
        <v/>
      </c>
      <c r="EE72" s="96">
        <f>IFERROR(VLOOKUP($B72,INDIRECT("'GRD-"&amp;EE$11&amp;"'!B:R"),15,FALSE),"")</f>
        <v/>
      </c>
      <c r="EF72" s="96">
        <f>IFERROR(VLOOKUP($B72,INDIRECT("'GRD-"&amp;EF$11&amp;"'!B:R"),15,FALSE),"")</f>
        <v/>
      </c>
      <c r="EG72" s="96">
        <f>IFERROR(VLOOKUP($B72,INDIRECT("'GRD-"&amp;EG$11&amp;"'!B:R"),15,FALSE),"")</f>
        <v/>
      </c>
      <c r="EH72" s="96">
        <f>IFERROR(VLOOKUP($B72,INDIRECT("'GRD-"&amp;EH$11&amp;"'!B:R"),15,FALSE),"")</f>
        <v/>
      </c>
      <c r="EI72" s="96">
        <f>IFERROR(VLOOKUP($B72,INDIRECT("'GRD-"&amp;EI$11&amp;"'!B:R"),15,FALSE),"")</f>
        <v/>
      </c>
      <c r="EJ72" s="96">
        <f>IFERROR(VLOOKUP($B72,INDIRECT("'GRD-"&amp;EJ$11&amp;"'!B:R"),15,FALSE),"")</f>
        <v/>
      </c>
      <c r="EK72" s="96">
        <f>IFERROR(VLOOKUP($B72,INDIRECT("'GRD-"&amp;EK$11&amp;"'!B:R"),15,FALSE),"")</f>
        <v/>
      </c>
      <c r="EL72" s="96">
        <f>IFERROR(VLOOKUP($B72,INDIRECT("'GRD-"&amp;EL$11&amp;"'!B:R"),15,FALSE),"")</f>
        <v/>
      </c>
      <c r="EM72" s="96">
        <f>IFERROR(VLOOKUP($B72,INDIRECT("'GRD-"&amp;EM$11&amp;"'!B:R"),15,FALSE),"")</f>
        <v/>
      </c>
      <c r="EN72" s="96">
        <f>IFERROR(VLOOKUP($B72,INDIRECT("'GRD-"&amp;EN$11&amp;"'!B:R"),15,FALSE),"")</f>
        <v/>
      </c>
      <c r="EO72" s="96">
        <f>IFERROR(VLOOKUP($B72,INDIRECT("'GRD-"&amp;EO$11&amp;"'!B:R"),15,FALSE),"")</f>
        <v/>
      </c>
      <c r="EP72" s="96">
        <f>IFERROR(VLOOKUP($B72,INDIRECT("'GRD-"&amp;EP$11&amp;"'!B:R"),15,FALSE),"")</f>
        <v/>
      </c>
      <c r="EQ72" s="96">
        <f>IFERROR(VLOOKUP($B72,INDIRECT("'GRD-"&amp;EQ$11&amp;"'!B:R"),15,FALSE),"")</f>
        <v/>
      </c>
      <c r="ER72" s="96">
        <f>IFERROR(VLOOKUP($B72,INDIRECT("'GRD-"&amp;ER$11&amp;"'!B:R"),15,FALSE),"")</f>
        <v/>
      </c>
      <c r="ES72" s="96">
        <f>IFERROR(VLOOKUP($B72,INDIRECT("'GRD-"&amp;ES$11&amp;"'!B:R"),15,FALSE),"")</f>
        <v/>
      </c>
      <c r="ET72" s="96">
        <f>IFERROR(VLOOKUP($B72,INDIRECT("'GRD-"&amp;ET$11&amp;"'!B:R"),15,FALSE),"")</f>
        <v/>
      </c>
      <c r="EU72" s="96">
        <f>IFERROR(VLOOKUP($B72,INDIRECT("'GRD-"&amp;EU$11&amp;"'!B:R"),15,FALSE),"")</f>
        <v/>
      </c>
      <c r="EV72" s="96">
        <f>IFERROR(VLOOKUP($B72,INDIRECT("'GRD-"&amp;EV$11&amp;"'!B:R"),15,FALSE),"")</f>
        <v/>
      </c>
      <c r="EW72" s="96">
        <f>IFERROR(VLOOKUP($B72,INDIRECT("'GRD-"&amp;EW$11&amp;"'!B:R"),15,FALSE),"")</f>
        <v/>
      </c>
      <c r="EX72" s="96">
        <f>IFERROR(VLOOKUP($B72,INDIRECT("'GRD-"&amp;EX$11&amp;"'!B:R"),15,FALSE),"")</f>
        <v/>
      </c>
      <c r="EY72" s="96">
        <f>IFERROR(VLOOKUP($B72,INDIRECT("'GRD-"&amp;EY$11&amp;"'!B:R"),15,FALSE),"")</f>
        <v/>
      </c>
      <c r="EZ72" s="96">
        <f>IFERROR(VLOOKUP($B72,INDIRECT("'GRD-"&amp;EZ$11&amp;"'!B:R"),15,FALSE),"")</f>
        <v/>
      </c>
      <c r="FA72" s="96">
        <f>IFERROR(VLOOKUP($B72,INDIRECT("'GRD-"&amp;FA$11&amp;"'!B:R"),15,FALSE),"")</f>
        <v/>
      </c>
      <c r="FB72" s="96">
        <f>IFERROR(VLOOKUP($B72,INDIRECT("'GRD-"&amp;FB$11&amp;"'!B:R"),15,FALSE),"")</f>
        <v/>
      </c>
      <c r="FC72" s="96">
        <f>IFERROR(VLOOKUP($B72,INDIRECT("'GRD-"&amp;FC$11&amp;"'!B:R"),15,FALSE),"")</f>
        <v/>
      </c>
      <c r="FD72" s="96">
        <f>IFERROR(VLOOKUP($B72,INDIRECT("'GRD-"&amp;FD$11&amp;"'!B:R"),15,FALSE),"")</f>
        <v/>
      </c>
      <c r="FE72" s="96">
        <f>IFERROR(VLOOKUP($B72,INDIRECT("'GRD-"&amp;FE$11&amp;"'!B:R"),15,FALSE),"")</f>
        <v/>
      </c>
      <c r="FF72" s="96">
        <f>IFERROR(VLOOKUP($B72,INDIRECT("'GRD-"&amp;FF$11&amp;"'!B:R"),15,FALSE),"")</f>
        <v/>
      </c>
      <c r="FG72" s="96">
        <f>IFERROR(VLOOKUP($B72,INDIRECT("'GRD-"&amp;FG$11&amp;"'!B:R"),15,FALSE),"")</f>
        <v/>
      </c>
      <c r="FH72" s="96">
        <f>IFERROR(VLOOKUP($B72,INDIRECT("'GRD-"&amp;FH$11&amp;"'!B:R"),15,FALSE),"")</f>
        <v/>
      </c>
      <c r="FI72" s="96">
        <f>IFERROR(VLOOKUP($B72,INDIRECT("'GRD-"&amp;FI$11&amp;"'!B:R"),15,FALSE),"")</f>
        <v/>
      </c>
      <c r="FJ72" s="96">
        <f>IFERROR(VLOOKUP($B72,INDIRECT("'GRD-"&amp;FJ$11&amp;"'!B:R"),15,FALSE),"")</f>
        <v/>
      </c>
      <c r="FK72" s="96">
        <f>IFERROR(VLOOKUP($B72,INDIRECT("'GRD-"&amp;FK$11&amp;"'!B:R"),15,FALSE),"")</f>
        <v/>
      </c>
      <c r="FL72" s="96">
        <f>IFERROR(VLOOKUP($B72,INDIRECT("'GRD-"&amp;FL$11&amp;"'!B:R"),15,FALSE),"")</f>
        <v/>
      </c>
      <c r="FM72" s="96">
        <f>IFERROR(VLOOKUP($B72,INDIRECT("'GRD-"&amp;FM$11&amp;"'!B:R"),15,FALSE),"")</f>
        <v/>
      </c>
      <c r="FN72" s="96">
        <f>IFERROR(VLOOKUP($B72,INDIRECT("'GRD-"&amp;FN$11&amp;"'!B:R"),15,FALSE),"")</f>
        <v/>
      </c>
      <c r="FO72" s="96">
        <f>IFERROR(VLOOKUP($B72,INDIRECT("'GRD-"&amp;FO$11&amp;"'!B:R"),15,FALSE),"")</f>
        <v/>
      </c>
      <c r="FP72" s="96">
        <f>IFERROR(VLOOKUP($B72,INDIRECT("'GRD-"&amp;FP$11&amp;"'!B:R"),15,FALSE),"")</f>
        <v/>
      </c>
      <c r="FQ72" s="96">
        <f>IFERROR(VLOOKUP($B72,INDIRECT("'GRD-"&amp;FQ$11&amp;"'!B:R"),15,FALSE),"")</f>
        <v/>
      </c>
      <c r="FR72" s="96">
        <f>IFERROR(VLOOKUP($B72,INDIRECT("'GRD-"&amp;FR$11&amp;"'!B:R"),15,FALSE),"")</f>
        <v/>
      </c>
      <c r="FS72" s="96">
        <f>IFERROR(VLOOKUP($B72,INDIRECT("'GRD-"&amp;FS$11&amp;"'!B:R"),15,FALSE),"")</f>
        <v/>
      </c>
      <c r="FT72" s="96">
        <f>IFERROR(VLOOKUP($B72,INDIRECT("'GRD-"&amp;FT$11&amp;"'!B:R"),15,FALSE),"")</f>
        <v/>
      </c>
      <c r="FU72" s="96">
        <f>IFERROR(VLOOKUP($B72,INDIRECT("'GRD-"&amp;FU$11&amp;"'!B:R"),15,FALSE),"")</f>
        <v/>
      </c>
      <c r="FV72" s="96">
        <f>IFERROR(VLOOKUP($B72,INDIRECT("'GRD-"&amp;FV$11&amp;"'!B:R"),15,FALSE),"")</f>
        <v/>
      </c>
    </row>
    <row r="73">
      <c r="B73" s="85" t="n"/>
      <c r="C73" s="93" t="n"/>
      <c r="D73" s="73">
        <f>IF(K73="","",MAX($CA73:$FV73))</f>
        <v/>
      </c>
      <c r="E73" s="74">
        <f t="array" ref="E73">IF($K73="","",OFFSET($A$1,ROW($B73)-1,11+$D73*4,))</f>
        <v/>
      </c>
      <c r="F73" s="74">
        <f t="array" ref="F73">IF($K73="","",OFFSET($A$1,ROW($B73)-1,12+$D73*4,))</f>
        <v/>
      </c>
      <c r="G73" s="118">
        <f t="array" ref="G73">IF($K73="","",OFFSET($A$1,ROW($B73)-1,13+$D73*4,))</f>
        <v/>
      </c>
      <c r="H73" s="81" t="n"/>
      <c r="I73" s="82" t="n"/>
      <c r="J73" s="75">
        <f>IF(I73="A4",H73/8,IF(I73="A3",H73/4,IF(I73="A2",H73/2,IF(I73="A1",H73/1,IF(I73="A0",H73*2,"")))))</f>
        <v/>
      </c>
      <c r="K73" s="68">
        <f t="array" ref="K73">IFERROR(OFFSET($BZ$11,ROW($B73)-11,MATCH(K$10,$CA73:$FV73,0),),"")</f>
        <v/>
      </c>
      <c r="L73" s="85">
        <f>IF(K73="","",IF(VLOOKUP($B73,INDIRECT("'GRD-"&amp;M73&amp;"'!$B:$R"),16,FALSE)="","",VLOOKUP($B73,INDIRECT("'GRD-"&amp;M73&amp;"'!$B:$R"),16,FALSE)))</f>
        <v/>
      </c>
      <c r="M73" s="130">
        <f t="array" ref="M73">IF(K73="","",IFERROR(OFFSET($BZ$11,0,MATCH($K73,$CA73:$FV73,0),),""))</f>
        <v/>
      </c>
      <c r="N73" s="119">
        <f t="array" ref="N73">IF(K73="","",INDIRECT("'GRD-"&amp;M73&amp;"'!$L$7"))</f>
        <v/>
      </c>
      <c r="O73" s="76">
        <f t="array" ref="O73">IFERROR(OFFSET($BZ$11,ROW($B73)-11,MATCH(O$10,$CA73:$FV73,0),),"")</f>
        <v/>
      </c>
      <c r="P73" s="76">
        <f>IF(O73="","",IF(VLOOKUP($B73,INDIRECT("'GRD-"&amp;Q73&amp;"'!$B:$R"),16,FALSE)="","",VLOOKUP($B73,INDIRECT("'GRD-"&amp;Q73&amp;"'!$B:$R"),16,FALSE)))</f>
        <v/>
      </c>
      <c r="Q73" s="132">
        <f t="array" ref="Q73">IF(O73="","",IFERROR(OFFSET($BZ$11,0,MATCH($O73,$CA73:$FV73,0),),""))</f>
        <v/>
      </c>
      <c r="R73" s="121">
        <f t="array" ref="R73">IF(O73="","",INDIRECT("'GRD-"&amp;Q73&amp;"'!$L$7"))</f>
        <v/>
      </c>
      <c r="S73" s="83">
        <f t="array" ref="S73">IFERROR(OFFSET($BZ$11,ROW($B73)-11,MATCH(S$10,$CA73:$FV73,0),),"")</f>
        <v/>
      </c>
      <c r="T73" s="83">
        <f>IF(S73="","",IF(VLOOKUP($B73,INDIRECT("'GRD-"&amp;U73&amp;"'!$B:$R"),16,FALSE)="","",VLOOKUP($B73,INDIRECT("'GRD-"&amp;U73&amp;"'!$B:$R"),16,FALSE)))</f>
        <v/>
      </c>
      <c r="U73" s="128">
        <f t="array" ref="U73">IF(S73="","",IFERROR(OFFSET($BZ$11,0,MATCH($S73,$CA73:$FV73,0),),""))</f>
        <v/>
      </c>
      <c r="V73" s="133">
        <f t="array" ref="V73">IF(S73="","",INDIRECT("'GRD-"&amp;U73&amp;"'!$L$7"))</f>
        <v/>
      </c>
      <c r="W73" s="84">
        <f t="array" ref="W73">IFERROR(OFFSET($BZ$11,ROW($B73)-11,MATCH(W$10,$CA73:$FV73,0),),"")</f>
        <v/>
      </c>
      <c r="X73" s="84">
        <f>IF(W73="","",IF(VLOOKUP($B73,INDIRECT("'GRD-"&amp;Y73&amp;"'!$B:$R"),16,FALSE)="","",VLOOKUP($B73,INDIRECT("'GRD-"&amp;Y73&amp;"'!$B:$R"),16,FALSE)))</f>
        <v/>
      </c>
      <c r="Y73" s="129">
        <f t="array" ref="Y73">IF(W73="","",IFERROR(OFFSET($BZ$11,0,MATCH($W73,$CA73:$FV73,0),),""))</f>
        <v/>
      </c>
      <c r="Z73" s="134">
        <f t="array" ref="Z73">IF(W73="","",INDIRECT("'GRD-"&amp;Y73&amp;"'!$L$7"))</f>
        <v/>
      </c>
      <c r="AA73" s="85">
        <f t="array" ref="AA73">IFERROR(OFFSET($BZ$11,ROW($B73)-11,MATCH(AA$10,$CA73:$FV73,0),),"")</f>
        <v/>
      </c>
      <c r="AB73" s="85">
        <f>IF(AA73="","",IF(VLOOKUP($B73,INDIRECT("'GRD-"&amp;AC73&amp;"'!$B:$R"),16,FALSE)="","",VLOOKUP($B73,INDIRECT("'GRD-"&amp;AC73&amp;"'!$B:$R"),16,FALSE)))</f>
        <v/>
      </c>
      <c r="AC73" s="130">
        <f t="array" ref="AC73">IF(AA73="","",IFERROR(OFFSET($BZ$11,0,MATCH($AA73,$CA73:$FV73,0),),""))</f>
        <v/>
      </c>
      <c r="AD73" s="131">
        <f t="array" ref="AD73">IF(AA73="","",INDIRECT("'GRD-"&amp;AC73&amp;"'!$L$7"))</f>
        <v/>
      </c>
      <c r="AE73" s="76">
        <f t="array" ref="AE73">IFERROR(OFFSET($BZ$11,ROW($B73)-11,MATCH(AE$10,$CA73:$FV73,0),),"")</f>
        <v/>
      </c>
      <c r="AF73" s="76">
        <f>IF(AE73="","",IF(VLOOKUP($B73,INDIRECT("'GRD-"&amp;AG73&amp;"'!$B:$R"),16,FALSE)="","",VLOOKUP($B73,INDIRECT("'GRD-"&amp;AG73&amp;"'!$B:$R"),16,FALSE)))</f>
        <v/>
      </c>
      <c r="AG73" s="132">
        <f t="array" ref="AG73">IF(AE73="","",IFERROR(OFFSET($BZ$11,0,MATCH($AE73,$CA73:$FV73,0),),""))</f>
        <v/>
      </c>
      <c r="AH73" s="121">
        <f t="array" ref="AH73">IF(AE73="","",INDIRECT("'GRD-"&amp;AG73&amp;"'!$L$7"))</f>
        <v/>
      </c>
      <c r="AI73" s="83">
        <f t="array" ref="AI73">IFERROR(OFFSET($BZ$11,ROW($B73)-11,MATCH(AI$10,$CA73:$FV73,0),),"")</f>
        <v/>
      </c>
      <c r="AJ73" s="83">
        <f>IF(AI73="","",IF(VLOOKUP($B73,INDIRECT("'GRD-"&amp;AK73&amp;"'!$B:$R"),16,FALSE)="","",VLOOKUP($B73,INDIRECT("'GRD-"&amp;AK73&amp;"'!$B:$R"),16,FALSE)))</f>
        <v/>
      </c>
      <c r="AK73" s="128">
        <f t="array" ref="AK73">IF(AI73="","",IFERROR(OFFSET($BZ$11,0,MATCH($AI73,$CA73:$FV73,0),),""))</f>
        <v/>
      </c>
      <c r="AL73" s="133">
        <f t="array" ref="AL73">IF(AI73="","",INDIRECT("'GRD-"&amp;AK73&amp;"'!$L$7"))</f>
        <v/>
      </c>
      <c r="AM73" s="84">
        <f t="array" ref="AM73">IFERROR(OFFSET($BZ$11,ROW($B73)-11,MATCH(AM$10,$CA73:$FV73,0),),"")</f>
        <v/>
      </c>
      <c r="AN73" s="84">
        <f>IF(AM73="","",IF(VLOOKUP($B73,INDIRECT("'GRD-"&amp;AO73&amp;"'!$B:$R"),16,FALSE)="","",VLOOKUP($B73,INDIRECT("'GRD-"&amp;AO73&amp;"'!$B:$R"),16,FALSE)))</f>
        <v/>
      </c>
      <c r="AO73" s="129">
        <f t="array" ref="AO73">IF(AM73="","",IFERROR(OFFSET($BZ$11,0,MATCH($AM73,$CA73:$FV73,0),),""))</f>
        <v/>
      </c>
      <c r="AP73" s="134">
        <f t="array" ref="AP73">IF(AM73="","",INDIRECT("'GRD-"&amp;AO73&amp;"'!$L$7"))</f>
        <v/>
      </c>
      <c r="AQ73" s="85">
        <f t="array" ref="AQ73">IFERROR(OFFSET($BZ$11,ROW($B73)-11,MATCH(AQ$10,$CA73:$FV73,0),),"")</f>
        <v/>
      </c>
      <c r="AR73" s="85">
        <f>IF(AQ73="","",IF(VLOOKUP($B73,INDIRECT("'GRD-"&amp;AS73&amp;"'!$B:$R"),16,FALSE)="","",VLOOKUP($B73,INDIRECT("'GRD-"&amp;AS73&amp;"'!$B:$R"),16,FALSE)))</f>
        <v/>
      </c>
      <c r="AS73" s="130">
        <f t="array" ref="AS73">IF(AQ73="","",IFERROR(OFFSET($BZ$11,0,MATCH($AQ73,$CA73:$FV73,0),),""))</f>
        <v/>
      </c>
      <c r="AT73" s="131">
        <f t="array" ref="AT73">IF(AQ73="","",INDIRECT("'GRD-"&amp;AS73&amp;"'!$L$7"))</f>
        <v/>
      </c>
      <c r="AU73" s="76">
        <f t="array" ref="AU73">IFERROR(OFFSET($BZ$11,ROW($B73)-11,MATCH(AU$10,$CA73:$FV73,0),),"")</f>
        <v/>
      </c>
      <c r="AV73" s="76">
        <f>IF(AU73="","",IF(VLOOKUP($B73,INDIRECT("'GRD-"&amp;AW73&amp;"'!$B:$R"),16,FALSE)="","",VLOOKUP($B73,INDIRECT("'GRD-"&amp;AW73&amp;"'!$B:$R"),16,FALSE)))</f>
        <v/>
      </c>
      <c r="AW73" s="132">
        <f t="array" ref="AW73">IF(AU73="","",IFERROR(OFFSET($BZ$11,0,MATCH($AU73,$CA73:$FV73,0),),""))</f>
        <v/>
      </c>
      <c r="AX73" s="121">
        <f t="array" ref="AX73">IF(AU73="","",INDIRECT("'GRD-"&amp;AW73&amp;"'!$L$7"))</f>
        <v/>
      </c>
      <c r="AY73" s="83">
        <f t="array" ref="AY73">IFERROR(OFFSET($BZ$11,ROW($B73)-11,MATCH(AY$10,$CA73:$FV73,0),),"")</f>
        <v/>
      </c>
      <c r="AZ73" s="83">
        <f>IF(AY73="","",IF(VLOOKUP($B73,INDIRECT("'GRD-"&amp;BA73&amp;"'!$B:$R"),16,FALSE)="","",VLOOKUP($B73,INDIRECT("'GRD-"&amp;BA73&amp;"'!$B:$R"),16,FALSE)))</f>
        <v/>
      </c>
      <c r="BA73" s="128">
        <f t="array" ref="BA73">IF(AY73="","",IFERROR(OFFSET($BZ$11,0,MATCH($AY73,$CA73:$FV73,0),),""))</f>
        <v/>
      </c>
      <c r="BB73" s="133">
        <f t="array" ref="BB73">IF(AY73="","",INDIRECT("'GRD-"&amp;BA73&amp;"'!$L$7"))</f>
        <v/>
      </c>
      <c r="BC73" s="84">
        <f t="array" ref="BC73">IFERROR(OFFSET($BZ$11,ROW($B73)-11,MATCH(BC$10,$CA73:$FV73,0),),"")</f>
        <v/>
      </c>
      <c r="BD73" s="84">
        <f>IF(BC73="","",IF(VLOOKUP($B73,INDIRECT("'GRD-"&amp;BE73&amp;"'!$B:$R"),16,FALSE)="","",VLOOKUP($B73,INDIRECT("'GRD-"&amp;BE73&amp;"'!$B:$R"),16,FALSE)))</f>
        <v/>
      </c>
      <c r="BE73" s="129">
        <f t="array" ref="BE73">IF(BC73="","",IFERROR(OFFSET($BZ$11,0,MATCH($BC73,$CA73:$FV73,0),),""))</f>
        <v/>
      </c>
      <c r="BF73" s="134">
        <f t="array" ref="BF73">IF(BC73="","",INDIRECT("'GRD-"&amp;BE73&amp;"'!$L$7"))</f>
        <v/>
      </c>
      <c r="CA73" s="96">
        <f>IFERROR(VLOOKUP($B73,INDIRECT("'GRD-"&amp;CA$11&amp;"'!B:R"),15,FALSE),"")</f>
        <v/>
      </c>
      <c r="CB73" s="96">
        <f>IFERROR(VLOOKUP($B73,INDIRECT("'GRD-"&amp;CB$11&amp;"'!B:R"),15,FALSE),"")</f>
        <v/>
      </c>
      <c r="CC73" s="96">
        <f>IFERROR(VLOOKUP($B73,INDIRECT("'GRD-"&amp;CC$11&amp;"'!B:R"),15,FALSE),"")</f>
        <v/>
      </c>
      <c r="CD73" s="96">
        <f>IFERROR(VLOOKUP($B73,INDIRECT("'GRD-"&amp;CD$11&amp;"'!B:R"),15,FALSE),"")</f>
        <v/>
      </c>
      <c r="CE73" s="96">
        <f>IFERROR(VLOOKUP($B73,INDIRECT("'GRD-"&amp;CE$11&amp;"'!B:R"),15,FALSE),"")</f>
        <v/>
      </c>
      <c r="CF73" s="96">
        <f>IFERROR(VLOOKUP($B73,INDIRECT("'GRD-"&amp;CF$11&amp;"'!B:R"),15,FALSE),"")</f>
        <v/>
      </c>
      <c r="CG73" s="96">
        <f>IFERROR(VLOOKUP($B73,INDIRECT("'GRD-"&amp;CG$11&amp;"'!B:R"),15,FALSE),"")</f>
        <v/>
      </c>
      <c r="CH73" s="96">
        <f>IFERROR(VLOOKUP($B73,INDIRECT("'GRD-"&amp;CH$11&amp;"'!B:R"),15,FALSE),"")</f>
        <v/>
      </c>
      <c r="CI73" s="96">
        <f>IFERROR(VLOOKUP($B73,INDIRECT("'GRD-"&amp;CI$11&amp;"'!B:R"),15,FALSE),"")</f>
        <v/>
      </c>
      <c r="CJ73" s="96">
        <f>IFERROR(VLOOKUP($B73,INDIRECT("'GRD-"&amp;CJ$11&amp;"'!B:R"),15,FALSE),"")</f>
        <v/>
      </c>
      <c r="CK73" s="96">
        <f>IFERROR(VLOOKUP($B73,INDIRECT("'GRD-"&amp;CK$11&amp;"'!B:R"),15,FALSE),"")</f>
        <v/>
      </c>
      <c r="CL73" s="96">
        <f>IFERROR(VLOOKUP($B73,INDIRECT("'GRD-"&amp;CL$11&amp;"'!B:R"),15,FALSE),"")</f>
        <v/>
      </c>
      <c r="CM73" s="96">
        <f>IFERROR(VLOOKUP($B73,INDIRECT("'GRD-"&amp;CM$11&amp;"'!B:R"),15,FALSE),"")</f>
        <v/>
      </c>
      <c r="CN73" s="96">
        <f>IFERROR(VLOOKUP($B73,INDIRECT("'GRD-"&amp;CN$11&amp;"'!B:R"),15,FALSE),"")</f>
        <v/>
      </c>
      <c r="CO73" s="96">
        <f>IFERROR(VLOOKUP($B73,INDIRECT("'GRD-"&amp;CO$11&amp;"'!B:R"),15,FALSE),"")</f>
        <v/>
      </c>
      <c r="CP73" s="96">
        <f>IFERROR(VLOOKUP($B73,INDIRECT("'GRD-"&amp;CP$11&amp;"'!B:R"),15,FALSE),"")</f>
        <v/>
      </c>
      <c r="CQ73" s="96">
        <f>IFERROR(VLOOKUP($B73,INDIRECT("'GRD-"&amp;CQ$11&amp;"'!B:R"),15,FALSE),"")</f>
        <v/>
      </c>
      <c r="CR73" s="96">
        <f>IFERROR(VLOOKUP($B73,INDIRECT("'GRD-"&amp;CR$11&amp;"'!B:R"),15,FALSE),"")</f>
        <v/>
      </c>
      <c r="CS73" s="96">
        <f>IFERROR(VLOOKUP($B73,INDIRECT("'GRD-"&amp;CS$11&amp;"'!B:R"),15,FALSE),"")</f>
        <v/>
      </c>
      <c r="CT73" s="96">
        <f>IFERROR(VLOOKUP($B73,INDIRECT("'GRD-"&amp;CT$11&amp;"'!B:R"),15,FALSE),"")</f>
        <v/>
      </c>
      <c r="CU73" s="96">
        <f>IFERROR(VLOOKUP($B73,INDIRECT("'GRD-"&amp;CU$11&amp;"'!B:R"),15,FALSE),"")</f>
        <v/>
      </c>
      <c r="CV73" s="96">
        <f>IFERROR(VLOOKUP($B73,INDIRECT("'GRD-"&amp;CV$11&amp;"'!B:R"),15,FALSE),"")</f>
        <v/>
      </c>
      <c r="CW73" s="96">
        <f>IFERROR(VLOOKUP($B73,INDIRECT("'GRD-"&amp;CW$11&amp;"'!B:R"),15,FALSE),"")</f>
        <v/>
      </c>
      <c r="CX73" s="96">
        <f>IFERROR(VLOOKUP($B73,INDIRECT("'GRD-"&amp;CX$11&amp;"'!B:R"),15,FALSE),"")</f>
        <v/>
      </c>
      <c r="CY73" s="96">
        <f>IFERROR(VLOOKUP($B73,INDIRECT("'GRD-"&amp;CY$11&amp;"'!B:R"),15,FALSE),"")</f>
        <v/>
      </c>
      <c r="CZ73" s="96">
        <f>IFERROR(VLOOKUP($B73,INDIRECT("'GRD-"&amp;CZ$11&amp;"'!B:R"),15,FALSE),"")</f>
        <v/>
      </c>
      <c r="DA73" s="96">
        <f>IFERROR(VLOOKUP($B73,INDIRECT("'GRD-"&amp;DA$11&amp;"'!B:R"),15,FALSE),"")</f>
        <v/>
      </c>
      <c r="DB73" s="96">
        <f>IFERROR(VLOOKUP($B73,INDIRECT("'GRD-"&amp;DB$11&amp;"'!B:R"),15,FALSE),"")</f>
        <v/>
      </c>
      <c r="DC73" s="96">
        <f>IFERROR(VLOOKUP($B73,INDIRECT("'GRD-"&amp;DC$11&amp;"'!B:R"),15,FALSE),"")</f>
        <v/>
      </c>
      <c r="DD73" s="96">
        <f>IFERROR(VLOOKUP($B73,INDIRECT("'GRD-"&amp;DD$11&amp;"'!B:R"),15,FALSE),"")</f>
        <v/>
      </c>
      <c r="DE73" s="96">
        <f>IFERROR(VLOOKUP($B73,INDIRECT("'GRD-"&amp;DE$11&amp;"'!B:R"),15,FALSE),"")</f>
        <v/>
      </c>
      <c r="DF73" s="96">
        <f>IFERROR(VLOOKUP($B73,INDIRECT("'GRD-"&amp;DF$11&amp;"'!B:R"),15,FALSE),"")</f>
        <v/>
      </c>
      <c r="DG73" s="96">
        <f>IFERROR(VLOOKUP($B73,INDIRECT("'GRD-"&amp;DG$11&amp;"'!B:R"),15,FALSE),"")</f>
        <v/>
      </c>
      <c r="DH73" s="96">
        <f>IFERROR(VLOOKUP($B73,INDIRECT("'GRD-"&amp;DH$11&amp;"'!B:R"),15,FALSE),"")</f>
        <v/>
      </c>
      <c r="DI73" s="96">
        <f>IFERROR(VLOOKUP($B73,INDIRECT("'GRD-"&amp;DI$11&amp;"'!B:R"),15,FALSE),"")</f>
        <v/>
      </c>
      <c r="DJ73" s="96">
        <f>IFERROR(VLOOKUP($B73,INDIRECT("'GRD-"&amp;DJ$11&amp;"'!B:R"),15,FALSE),"")</f>
        <v/>
      </c>
      <c r="DK73" s="96">
        <f>IFERROR(VLOOKUP($B73,INDIRECT("'GRD-"&amp;DK$11&amp;"'!B:R"),15,FALSE),"")</f>
        <v/>
      </c>
      <c r="DL73" s="96">
        <f>IFERROR(VLOOKUP($B73,INDIRECT("'GRD-"&amp;DL$11&amp;"'!B:R"),15,FALSE),"")</f>
        <v/>
      </c>
      <c r="DM73" s="96">
        <f>IFERROR(VLOOKUP($B73,INDIRECT("'GRD-"&amp;DM$11&amp;"'!B:R"),15,FALSE),"")</f>
        <v/>
      </c>
      <c r="DN73" s="96">
        <f>IFERROR(VLOOKUP($B73,INDIRECT("'GRD-"&amp;DN$11&amp;"'!B:R"),15,FALSE),"")</f>
        <v/>
      </c>
      <c r="DO73" s="96">
        <f>IFERROR(VLOOKUP($B73,INDIRECT("'GRD-"&amp;DO$11&amp;"'!B:R"),15,FALSE),"")</f>
        <v/>
      </c>
      <c r="DP73" s="96">
        <f>IFERROR(VLOOKUP($B73,INDIRECT("'GRD-"&amp;DP$11&amp;"'!B:R"),15,FALSE),"")</f>
        <v/>
      </c>
      <c r="DQ73" s="96">
        <f>IFERROR(VLOOKUP($B73,INDIRECT("'GRD-"&amp;DQ$11&amp;"'!B:R"),15,FALSE),"")</f>
        <v/>
      </c>
      <c r="DR73" s="96">
        <f>IFERROR(VLOOKUP($B73,INDIRECT("'GRD-"&amp;DR$11&amp;"'!B:R"),15,FALSE),"")</f>
        <v/>
      </c>
      <c r="DS73" s="96">
        <f>IFERROR(VLOOKUP($B73,INDIRECT("'GRD-"&amp;DS$11&amp;"'!B:R"),15,FALSE),"")</f>
        <v/>
      </c>
      <c r="DT73" s="96">
        <f>IFERROR(VLOOKUP($B73,INDIRECT("'GRD-"&amp;DT$11&amp;"'!B:R"),15,FALSE),"")</f>
        <v/>
      </c>
      <c r="DU73" s="96">
        <f>IFERROR(VLOOKUP($B73,INDIRECT("'GRD-"&amp;DU$11&amp;"'!B:R"),15,FALSE),"")</f>
        <v/>
      </c>
      <c r="DV73" s="96">
        <f>IFERROR(VLOOKUP($B73,INDIRECT("'GRD-"&amp;DV$11&amp;"'!B:R"),15,FALSE),"")</f>
        <v/>
      </c>
      <c r="DW73" s="96">
        <f>IFERROR(VLOOKUP($B73,INDIRECT("'GRD-"&amp;DW$11&amp;"'!B:R"),15,FALSE),"")</f>
        <v/>
      </c>
      <c r="DX73" s="96">
        <f>IFERROR(VLOOKUP($B73,INDIRECT("'GRD-"&amp;DX$11&amp;"'!B:R"),15,FALSE),"")</f>
        <v/>
      </c>
      <c r="DY73" s="96">
        <f>IFERROR(VLOOKUP($B73,INDIRECT("'GRD-"&amp;DY$11&amp;"'!B:R"),15,FALSE),"")</f>
        <v/>
      </c>
      <c r="DZ73" s="96">
        <f>IFERROR(VLOOKUP($B73,INDIRECT("'GRD-"&amp;DZ$11&amp;"'!B:R"),15,FALSE),"")</f>
        <v/>
      </c>
      <c r="EA73" s="96">
        <f>IFERROR(VLOOKUP($B73,INDIRECT("'GRD-"&amp;EA$11&amp;"'!B:R"),15,FALSE),"")</f>
        <v/>
      </c>
      <c r="EB73" s="96">
        <f>IFERROR(VLOOKUP($B73,INDIRECT("'GRD-"&amp;EB$11&amp;"'!B:R"),15,FALSE),"")</f>
        <v/>
      </c>
      <c r="EC73" s="96">
        <f>IFERROR(VLOOKUP($B73,INDIRECT("'GRD-"&amp;EC$11&amp;"'!B:R"),15,FALSE),"")</f>
        <v/>
      </c>
      <c r="ED73" s="96">
        <f>IFERROR(VLOOKUP($B73,INDIRECT("'GRD-"&amp;ED$11&amp;"'!B:R"),15,FALSE),"")</f>
        <v/>
      </c>
      <c r="EE73" s="96">
        <f>IFERROR(VLOOKUP($B73,INDIRECT("'GRD-"&amp;EE$11&amp;"'!B:R"),15,FALSE),"")</f>
        <v/>
      </c>
      <c r="EF73" s="96">
        <f>IFERROR(VLOOKUP($B73,INDIRECT("'GRD-"&amp;EF$11&amp;"'!B:R"),15,FALSE),"")</f>
        <v/>
      </c>
      <c r="EG73" s="96">
        <f>IFERROR(VLOOKUP($B73,INDIRECT("'GRD-"&amp;EG$11&amp;"'!B:R"),15,FALSE),"")</f>
        <v/>
      </c>
      <c r="EH73" s="96">
        <f>IFERROR(VLOOKUP($B73,INDIRECT("'GRD-"&amp;EH$11&amp;"'!B:R"),15,FALSE),"")</f>
        <v/>
      </c>
      <c r="EI73" s="96">
        <f>IFERROR(VLOOKUP($B73,INDIRECT("'GRD-"&amp;EI$11&amp;"'!B:R"),15,FALSE),"")</f>
        <v/>
      </c>
      <c r="EJ73" s="96">
        <f>IFERROR(VLOOKUP($B73,INDIRECT("'GRD-"&amp;EJ$11&amp;"'!B:R"),15,FALSE),"")</f>
        <v/>
      </c>
      <c r="EK73" s="96">
        <f>IFERROR(VLOOKUP($B73,INDIRECT("'GRD-"&amp;EK$11&amp;"'!B:R"),15,FALSE),"")</f>
        <v/>
      </c>
      <c r="EL73" s="96">
        <f>IFERROR(VLOOKUP($B73,INDIRECT("'GRD-"&amp;EL$11&amp;"'!B:R"),15,FALSE),"")</f>
        <v/>
      </c>
      <c r="EM73" s="96">
        <f>IFERROR(VLOOKUP($B73,INDIRECT("'GRD-"&amp;EM$11&amp;"'!B:R"),15,FALSE),"")</f>
        <v/>
      </c>
      <c r="EN73" s="96">
        <f>IFERROR(VLOOKUP($B73,INDIRECT("'GRD-"&amp;EN$11&amp;"'!B:R"),15,FALSE),"")</f>
        <v/>
      </c>
      <c r="EO73" s="96">
        <f>IFERROR(VLOOKUP($B73,INDIRECT("'GRD-"&amp;EO$11&amp;"'!B:R"),15,FALSE),"")</f>
        <v/>
      </c>
      <c r="EP73" s="96">
        <f>IFERROR(VLOOKUP($B73,INDIRECT("'GRD-"&amp;EP$11&amp;"'!B:R"),15,FALSE),"")</f>
        <v/>
      </c>
      <c r="EQ73" s="96">
        <f>IFERROR(VLOOKUP($B73,INDIRECT("'GRD-"&amp;EQ$11&amp;"'!B:R"),15,FALSE),"")</f>
        <v/>
      </c>
      <c r="ER73" s="96">
        <f>IFERROR(VLOOKUP($B73,INDIRECT("'GRD-"&amp;ER$11&amp;"'!B:R"),15,FALSE),"")</f>
        <v/>
      </c>
      <c r="ES73" s="96">
        <f>IFERROR(VLOOKUP($B73,INDIRECT("'GRD-"&amp;ES$11&amp;"'!B:R"),15,FALSE),"")</f>
        <v/>
      </c>
      <c r="ET73" s="96">
        <f>IFERROR(VLOOKUP($B73,INDIRECT("'GRD-"&amp;ET$11&amp;"'!B:R"),15,FALSE),"")</f>
        <v/>
      </c>
      <c r="EU73" s="96">
        <f>IFERROR(VLOOKUP($B73,INDIRECT("'GRD-"&amp;EU$11&amp;"'!B:R"),15,FALSE),"")</f>
        <v/>
      </c>
      <c r="EV73" s="96">
        <f>IFERROR(VLOOKUP($B73,INDIRECT("'GRD-"&amp;EV$11&amp;"'!B:R"),15,FALSE),"")</f>
        <v/>
      </c>
      <c r="EW73" s="96">
        <f>IFERROR(VLOOKUP($B73,INDIRECT("'GRD-"&amp;EW$11&amp;"'!B:R"),15,FALSE),"")</f>
        <v/>
      </c>
      <c r="EX73" s="96">
        <f>IFERROR(VLOOKUP($B73,INDIRECT("'GRD-"&amp;EX$11&amp;"'!B:R"),15,FALSE),"")</f>
        <v/>
      </c>
      <c r="EY73" s="96">
        <f>IFERROR(VLOOKUP($B73,INDIRECT("'GRD-"&amp;EY$11&amp;"'!B:R"),15,FALSE),"")</f>
        <v/>
      </c>
      <c r="EZ73" s="96">
        <f>IFERROR(VLOOKUP($B73,INDIRECT("'GRD-"&amp;EZ$11&amp;"'!B:R"),15,FALSE),"")</f>
        <v/>
      </c>
      <c r="FA73" s="96">
        <f>IFERROR(VLOOKUP($B73,INDIRECT("'GRD-"&amp;FA$11&amp;"'!B:R"),15,FALSE),"")</f>
        <v/>
      </c>
      <c r="FB73" s="96">
        <f>IFERROR(VLOOKUP($B73,INDIRECT("'GRD-"&amp;FB$11&amp;"'!B:R"),15,FALSE),"")</f>
        <v/>
      </c>
      <c r="FC73" s="96">
        <f>IFERROR(VLOOKUP($B73,INDIRECT("'GRD-"&amp;FC$11&amp;"'!B:R"),15,FALSE),"")</f>
        <v/>
      </c>
      <c r="FD73" s="96">
        <f>IFERROR(VLOOKUP($B73,INDIRECT("'GRD-"&amp;FD$11&amp;"'!B:R"),15,FALSE),"")</f>
        <v/>
      </c>
      <c r="FE73" s="96">
        <f>IFERROR(VLOOKUP($B73,INDIRECT("'GRD-"&amp;FE$11&amp;"'!B:R"),15,FALSE),"")</f>
        <v/>
      </c>
      <c r="FF73" s="96">
        <f>IFERROR(VLOOKUP($B73,INDIRECT("'GRD-"&amp;FF$11&amp;"'!B:R"),15,FALSE),"")</f>
        <v/>
      </c>
      <c r="FG73" s="96">
        <f>IFERROR(VLOOKUP($B73,INDIRECT("'GRD-"&amp;FG$11&amp;"'!B:R"),15,FALSE),"")</f>
        <v/>
      </c>
      <c r="FH73" s="96">
        <f>IFERROR(VLOOKUP($B73,INDIRECT("'GRD-"&amp;FH$11&amp;"'!B:R"),15,FALSE),"")</f>
        <v/>
      </c>
      <c r="FI73" s="96">
        <f>IFERROR(VLOOKUP($B73,INDIRECT("'GRD-"&amp;FI$11&amp;"'!B:R"),15,FALSE),"")</f>
        <v/>
      </c>
      <c r="FJ73" s="96">
        <f>IFERROR(VLOOKUP($B73,INDIRECT("'GRD-"&amp;FJ$11&amp;"'!B:R"),15,FALSE),"")</f>
        <v/>
      </c>
      <c r="FK73" s="96">
        <f>IFERROR(VLOOKUP($B73,INDIRECT("'GRD-"&amp;FK$11&amp;"'!B:R"),15,FALSE),"")</f>
        <v/>
      </c>
      <c r="FL73" s="96">
        <f>IFERROR(VLOOKUP($B73,INDIRECT("'GRD-"&amp;FL$11&amp;"'!B:R"),15,FALSE),"")</f>
        <v/>
      </c>
      <c r="FM73" s="96">
        <f>IFERROR(VLOOKUP($B73,INDIRECT("'GRD-"&amp;FM$11&amp;"'!B:R"),15,FALSE),"")</f>
        <v/>
      </c>
      <c r="FN73" s="96">
        <f>IFERROR(VLOOKUP($B73,INDIRECT("'GRD-"&amp;FN$11&amp;"'!B:R"),15,FALSE),"")</f>
        <v/>
      </c>
      <c r="FO73" s="96">
        <f>IFERROR(VLOOKUP($B73,INDIRECT("'GRD-"&amp;FO$11&amp;"'!B:R"),15,FALSE),"")</f>
        <v/>
      </c>
      <c r="FP73" s="96">
        <f>IFERROR(VLOOKUP($B73,INDIRECT("'GRD-"&amp;FP$11&amp;"'!B:R"),15,FALSE),"")</f>
        <v/>
      </c>
      <c r="FQ73" s="96">
        <f>IFERROR(VLOOKUP($B73,INDIRECT("'GRD-"&amp;FQ$11&amp;"'!B:R"),15,FALSE),"")</f>
        <v/>
      </c>
      <c r="FR73" s="96">
        <f>IFERROR(VLOOKUP($B73,INDIRECT("'GRD-"&amp;FR$11&amp;"'!B:R"),15,FALSE),"")</f>
        <v/>
      </c>
      <c r="FS73" s="96">
        <f>IFERROR(VLOOKUP($B73,INDIRECT("'GRD-"&amp;FS$11&amp;"'!B:R"),15,FALSE),"")</f>
        <v/>
      </c>
      <c r="FT73" s="96">
        <f>IFERROR(VLOOKUP($B73,INDIRECT("'GRD-"&amp;FT$11&amp;"'!B:R"),15,FALSE),"")</f>
        <v/>
      </c>
      <c r="FU73" s="96">
        <f>IFERROR(VLOOKUP($B73,INDIRECT("'GRD-"&amp;FU$11&amp;"'!B:R"),15,FALSE),"")</f>
        <v/>
      </c>
      <c r="FV73" s="96">
        <f>IFERROR(VLOOKUP($B73,INDIRECT("'GRD-"&amp;FV$11&amp;"'!B:R"),15,FALSE),"")</f>
        <v/>
      </c>
    </row>
    <row r="74">
      <c r="B74" s="85" t="n"/>
      <c r="C74" s="93" t="n"/>
      <c r="D74" s="73">
        <f>IF(K74="","",MAX($CA74:$FV74))</f>
        <v/>
      </c>
      <c r="E74" s="74">
        <f t="array" ref="E74">IF($K74="","",OFFSET($A$1,ROW($B74)-1,11+$D74*4,))</f>
        <v/>
      </c>
      <c r="F74" s="74">
        <f t="array" ref="F74">IF($K74="","",OFFSET($A$1,ROW($B74)-1,12+$D74*4,))</f>
        <v/>
      </c>
      <c r="G74" s="118">
        <f t="array" ref="G74">IF($K74="","",OFFSET($A$1,ROW($B74)-1,13+$D74*4,))</f>
        <v/>
      </c>
      <c r="H74" s="81" t="n"/>
      <c r="I74" s="82" t="n"/>
      <c r="J74" s="75">
        <f>IF(I74="A4",H74/8,IF(I74="A3",H74/4,IF(I74="A2",H74/2,IF(I74="A1",H74/1,IF(I74="A0",H74*2,"")))))</f>
        <v/>
      </c>
      <c r="K74" s="68">
        <f t="array" ref="K74">IFERROR(OFFSET($BZ$11,ROW($B74)-11,MATCH(K$10,$CA74:$FV74,0),),"")</f>
        <v/>
      </c>
      <c r="L74" s="85">
        <f>IF(K74="","",IF(VLOOKUP($B74,INDIRECT("'GRD-"&amp;M74&amp;"'!$B:$R"),16,FALSE)="","",VLOOKUP($B74,INDIRECT("'GRD-"&amp;M74&amp;"'!$B:$R"),16,FALSE)))</f>
        <v/>
      </c>
      <c r="M74" s="130">
        <f t="array" ref="M74">IF(K74="","",IFERROR(OFFSET($BZ$11,0,MATCH($K74,$CA74:$FV74,0),),""))</f>
        <v/>
      </c>
      <c r="N74" s="119">
        <f t="array" ref="N74">IF(K74="","",INDIRECT("'GRD-"&amp;M74&amp;"'!$L$7"))</f>
        <v/>
      </c>
      <c r="O74" s="76">
        <f t="array" ref="O74">IFERROR(OFFSET($BZ$11,ROW($B74)-11,MATCH(O$10,$CA74:$FV74,0),),"")</f>
        <v/>
      </c>
      <c r="P74" s="76">
        <f>IF(O74="","",IF(VLOOKUP($B74,INDIRECT("'GRD-"&amp;Q74&amp;"'!$B:$R"),16,FALSE)="","",VLOOKUP($B74,INDIRECT("'GRD-"&amp;Q74&amp;"'!$B:$R"),16,FALSE)))</f>
        <v/>
      </c>
      <c r="Q74" s="132">
        <f t="array" ref="Q74">IF(O74="","",IFERROR(OFFSET($BZ$11,0,MATCH($O74,$CA74:$FV74,0),),""))</f>
        <v/>
      </c>
      <c r="R74" s="121">
        <f t="array" ref="R74">IF(O74="","",INDIRECT("'GRD-"&amp;Q74&amp;"'!$L$7"))</f>
        <v/>
      </c>
      <c r="S74" s="83">
        <f t="array" ref="S74">IFERROR(OFFSET($BZ$11,ROW($B74)-11,MATCH(S$10,$CA74:$FV74,0),),"")</f>
        <v/>
      </c>
      <c r="T74" s="83">
        <f>IF(S74="","",IF(VLOOKUP($B74,INDIRECT("'GRD-"&amp;U74&amp;"'!$B:$R"),16,FALSE)="","",VLOOKUP($B74,INDIRECT("'GRD-"&amp;U74&amp;"'!$B:$R"),16,FALSE)))</f>
        <v/>
      </c>
      <c r="U74" s="128">
        <f t="array" ref="U74">IF(S74="","",IFERROR(OFFSET($BZ$11,0,MATCH($S74,$CA74:$FV74,0),),""))</f>
        <v/>
      </c>
      <c r="V74" s="133">
        <f t="array" ref="V74">IF(S74="","",INDIRECT("'GRD-"&amp;U74&amp;"'!$L$7"))</f>
        <v/>
      </c>
      <c r="W74" s="84">
        <f t="array" ref="W74">IFERROR(OFFSET($BZ$11,ROW($B74)-11,MATCH(W$10,$CA74:$FV74,0),),"")</f>
        <v/>
      </c>
      <c r="X74" s="84">
        <f>IF(W74="","",IF(VLOOKUP($B74,INDIRECT("'GRD-"&amp;Y74&amp;"'!$B:$R"),16,FALSE)="","",VLOOKUP($B74,INDIRECT("'GRD-"&amp;Y74&amp;"'!$B:$R"),16,FALSE)))</f>
        <v/>
      </c>
      <c r="Y74" s="129">
        <f t="array" ref="Y74">IF(W74="","",IFERROR(OFFSET($BZ$11,0,MATCH($W74,$CA74:$FV74,0),),""))</f>
        <v/>
      </c>
      <c r="Z74" s="134">
        <f t="array" ref="Z74">IF(W74="","",INDIRECT("'GRD-"&amp;Y74&amp;"'!$L$7"))</f>
        <v/>
      </c>
      <c r="AA74" s="85">
        <f t="array" ref="AA74">IFERROR(OFFSET($BZ$11,ROW($B74)-11,MATCH(AA$10,$CA74:$FV74,0),),"")</f>
        <v/>
      </c>
      <c r="AB74" s="85">
        <f>IF(AA74="","",IF(VLOOKUP($B74,INDIRECT("'GRD-"&amp;AC74&amp;"'!$B:$R"),16,FALSE)="","",VLOOKUP($B74,INDIRECT("'GRD-"&amp;AC74&amp;"'!$B:$R"),16,FALSE)))</f>
        <v/>
      </c>
      <c r="AC74" s="130">
        <f t="array" ref="AC74">IF(AA74="","",IFERROR(OFFSET($BZ$11,0,MATCH($AA74,$CA74:$FV74,0),),""))</f>
        <v/>
      </c>
      <c r="AD74" s="131">
        <f t="array" ref="AD74">IF(AA74="","",INDIRECT("'GRD-"&amp;AC74&amp;"'!$L$7"))</f>
        <v/>
      </c>
      <c r="AE74" s="76">
        <f t="array" ref="AE74">IFERROR(OFFSET($BZ$11,ROW($B74)-11,MATCH(AE$10,$CA74:$FV74,0),),"")</f>
        <v/>
      </c>
      <c r="AF74" s="76">
        <f>IF(AE74="","",IF(VLOOKUP($B74,INDIRECT("'GRD-"&amp;AG74&amp;"'!$B:$R"),16,FALSE)="","",VLOOKUP($B74,INDIRECT("'GRD-"&amp;AG74&amp;"'!$B:$R"),16,FALSE)))</f>
        <v/>
      </c>
      <c r="AG74" s="132">
        <f t="array" ref="AG74">IF(AE74="","",IFERROR(OFFSET($BZ$11,0,MATCH($AE74,$CA74:$FV74,0),),""))</f>
        <v/>
      </c>
      <c r="AH74" s="121">
        <f t="array" ref="AH74">IF(AE74="","",INDIRECT("'GRD-"&amp;AG74&amp;"'!$L$7"))</f>
        <v/>
      </c>
      <c r="AI74" s="83">
        <f t="array" ref="AI74">IFERROR(OFFSET($BZ$11,ROW($B74)-11,MATCH(AI$10,$CA74:$FV74,0),),"")</f>
        <v/>
      </c>
      <c r="AJ74" s="83">
        <f>IF(AI74="","",IF(VLOOKUP($B74,INDIRECT("'GRD-"&amp;AK74&amp;"'!$B:$R"),16,FALSE)="","",VLOOKUP($B74,INDIRECT("'GRD-"&amp;AK74&amp;"'!$B:$R"),16,FALSE)))</f>
        <v/>
      </c>
      <c r="AK74" s="128">
        <f t="array" ref="AK74">IF(AI74="","",IFERROR(OFFSET($BZ$11,0,MATCH($AI74,$CA74:$FV74,0),),""))</f>
        <v/>
      </c>
      <c r="AL74" s="133">
        <f t="array" ref="AL74">IF(AI74="","",INDIRECT("'GRD-"&amp;AK74&amp;"'!$L$7"))</f>
        <v/>
      </c>
      <c r="AM74" s="84">
        <f t="array" ref="AM74">IFERROR(OFFSET($BZ$11,ROW($B74)-11,MATCH(AM$10,$CA74:$FV74,0),),"")</f>
        <v/>
      </c>
      <c r="AN74" s="84">
        <f>IF(AM74="","",IF(VLOOKUP($B74,INDIRECT("'GRD-"&amp;AO74&amp;"'!$B:$R"),16,FALSE)="","",VLOOKUP($B74,INDIRECT("'GRD-"&amp;AO74&amp;"'!$B:$R"),16,FALSE)))</f>
        <v/>
      </c>
      <c r="AO74" s="129">
        <f t="array" ref="AO74">IF(AM74="","",IFERROR(OFFSET($BZ$11,0,MATCH($AM74,$CA74:$FV74,0),),""))</f>
        <v/>
      </c>
      <c r="AP74" s="134">
        <f t="array" ref="AP74">IF(AM74="","",INDIRECT("'GRD-"&amp;AO74&amp;"'!$L$7"))</f>
        <v/>
      </c>
      <c r="AQ74" s="85">
        <f t="array" ref="AQ74">IFERROR(OFFSET($BZ$11,ROW($B74)-11,MATCH(AQ$10,$CA74:$FV74,0),),"")</f>
        <v/>
      </c>
      <c r="AR74" s="85">
        <f>IF(AQ74="","",IF(VLOOKUP($B74,INDIRECT("'GRD-"&amp;AS74&amp;"'!$B:$R"),16,FALSE)="","",VLOOKUP($B74,INDIRECT("'GRD-"&amp;AS74&amp;"'!$B:$R"),16,FALSE)))</f>
        <v/>
      </c>
      <c r="AS74" s="130">
        <f t="array" ref="AS74">IF(AQ74="","",IFERROR(OFFSET($BZ$11,0,MATCH($AQ74,$CA74:$FV74,0),),""))</f>
        <v/>
      </c>
      <c r="AT74" s="131">
        <f t="array" ref="AT74">IF(AQ74="","",INDIRECT("'GRD-"&amp;AS74&amp;"'!$L$7"))</f>
        <v/>
      </c>
      <c r="AU74" s="76">
        <f t="array" ref="AU74">IFERROR(OFFSET($BZ$11,ROW($B74)-11,MATCH(AU$10,$CA74:$FV74,0),),"")</f>
        <v/>
      </c>
      <c r="AV74" s="76">
        <f>IF(AU74="","",IF(VLOOKUP($B74,INDIRECT("'GRD-"&amp;AW74&amp;"'!$B:$R"),16,FALSE)="","",VLOOKUP($B74,INDIRECT("'GRD-"&amp;AW74&amp;"'!$B:$R"),16,FALSE)))</f>
        <v/>
      </c>
      <c r="AW74" s="132">
        <f t="array" ref="AW74">IF(AU74="","",IFERROR(OFFSET($BZ$11,0,MATCH($AU74,$CA74:$FV74,0),),""))</f>
        <v/>
      </c>
      <c r="AX74" s="121">
        <f t="array" ref="AX74">IF(AU74="","",INDIRECT("'GRD-"&amp;AW74&amp;"'!$L$7"))</f>
        <v/>
      </c>
      <c r="AY74" s="83">
        <f t="array" ref="AY74">IFERROR(OFFSET($BZ$11,ROW($B74)-11,MATCH(AY$10,$CA74:$FV74,0),),"")</f>
        <v/>
      </c>
      <c r="AZ74" s="83">
        <f>IF(AY74="","",IF(VLOOKUP($B74,INDIRECT("'GRD-"&amp;BA74&amp;"'!$B:$R"),16,FALSE)="","",VLOOKUP($B74,INDIRECT("'GRD-"&amp;BA74&amp;"'!$B:$R"),16,FALSE)))</f>
        <v/>
      </c>
      <c r="BA74" s="128">
        <f t="array" ref="BA74">IF(AY74="","",IFERROR(OFFSET($BZ$11,0,MATCH($AY74,$CA74:$FV74,0),),""))</f>
        <v/>
      </c>
      <c r="BB74" s="133">
        <f t="array" ref="BB74">IF(AY74="","",INDIRECT("'GRD-"&amp;BA74&amp;"'!$L$7"))</f>
        <v/>
      </c>
      <c r="BC74" s="84">
        <f t="array" ref="BC74">IFERROR(OFFSET($BZ$11,ROW($B74)-11,MATCH(BC$10,$CA74:$FV74,0),),"")</f>
        <v/>
      </c>
      <c r="BD74" s="84">
        <f>IF(BC74="","",IF(VLOOKUP($B74,INDIRECT("'GRD-"&amp;BE74&amp;"'!$B:$R"),16,FALSE)="","",VLOOKUP($B74,INDIRECT("'GRD-"&amp;BE74&amp;"'!$B:$R"),16,FALSE)))</f>
        <v/>
      </c>
      <c r="BE74" s="129">
        <f t="array" ref="BE74">IF(BC74="","",IFERROR(OFFSET($BZ$11,0,MATCH($BC74,$CA74:$FV74,0),),""))</f>
        <v/>
      </c>
      <c r="BF74" s="134">
        <f t="array" ref="BF74">IF(BC74="","",INDIRECT("'GRD-"&amp;BE74&amp;"'!$L$7"))</f>
        <v/>
      </c>
      <c r="CA74" s="96">
        <f>IFERROR(VLOOKUP($B74,INDIRECT("'GRD-"&amp;CA$11&amp;"'!B:R"),15,FALSE),"")</f>
        <v/>
      </c>
      <c r="CB74" s="96">
        <f>IFERROR(VLOOKUP($B74,INDIRECT("'GRD-"&amp;CB$11&amp;"'!B:R"),15,FALSE),"")</f>
        <v/>
      </c>
      <c r="CC74" s="96">
        <f>IFERROR(VLOOKUP($B74,INDIRECT("'GRD-"&amp;CC$11&amp;"'!B:R"),15,FALSE),"")</f>
        <v/>
      </c>
      <c r="CD74" s="96">
        <f>IFERROR(VLOOKUP($B74,INDIRECT("'GRD-"&amp;CD$11&amp;"'!B:R"),15,FALSE),"")</f>
        <v/>
      </c>
      <c r="CE74" s="96">
        <f>IFERROR(VLOOKUP($B74,INDIRECT("'GRD-"&amp;CE$11&amp;"'!B:R"),15,FALSE),"")</f>
        <v/>
      </c>
      <c r="CF74" s="96">
        <f>IFERROR(VLOOKUP($B74,INDIRECT("'GRD-"&amp;CF$11&amp;"'!B:R"),15,FALSE),"")</f>
        <v/>
      </c>
      <c r="CG74" s="96">
        <f>IFERROR(VLOOKUP($B74,INDIRECT("'GRD-"&amp;CG$11&amp;"'!B:R"),15,FALSE),"")</f>
        <v/>
      </c>
      <c r="CH74" s="96">
        <f>IFERROR(VLOOKUP($B74,INDIRECT("'GRD-"&amp;CH$11&amp;"'!B:R"),15,FALSE),"")</f>
        <v/>
      </c>
      <c r="CI74" s="96">
        <f>IFERROR(VLOOKUP($B74,INDIRECT("'GRD-"&amp;CI$11&amp;"'!B:R"),15,FALSE),"")</f>
        <v/>
      </c>
      <c r="CJ74" s="96">
        <f>IFERROR(VLOOKUP($B74,INDIRECT("'GRD-"&amp;CJ$11&amp;"'!B:R"),15,FALSE),"")</f>
        <v/>
      </c>
      <c r="CK74" s="96">
        <f>IFERROR(VLOOKUP($B74,INDIRECT("'GRD-"&amp;CK$11&amp;"'!B:R"),15,FALSE),"")</f>
        <v/>
      </c>
      <c r="CL74" s="96">
        <f>IFERROR(VLOOKUP($B74,INDIRECT("'GRD-"&amp;CL$11&amp;"'!B:R"),15,FALSE),"")</f>
        <v/>
      </c>
      <c r="CM74" s="96">
        <f>IFERROR(VLOOKUP($B74,INDIRECT("'GRD-"&amp;CM$11&amp;"'!B:R"),15,FALSE),"")</f>
        <v/>
      </c>
      <c r="CN74" s="96">
        <f>IFERROR(VLOOKUP($B74,INDIRECT("'GRD-"&amp;CN$11&amp;"'!B:R"),15,FALSE),"")</f>
        <v/>
      </c>
      <c r="CO74" s="96">
        <f>IFERROR(VLOOKUP($B74,INDIRECT("'GRD-"&amp;CO$11&amp;"'!B:R"),15,FALSE),"")</f>
        <v/>
      </c>
      <c r="CP74" s="96">
        <f>IFERROR(VLOOKUP($B74,INDIRECT("'GRD-"&amp;CP$11&amp;"'!B:R"),15,FALSE),"")</f>
        <v/>
      </c>
      <c r="CQ74" s="96">
        <f>IFERROR(VLOOKUP($B74,INDIRECT("'GRD-"&amp;CQ$11&amp;"'!B:R"),15,FALSE),"")</f>
        <v/>
      </c>
      <c r="CR74" s="96">
        <f>IFERROR(VLOOKUP($B74,INDIRECT("'GRD-"&amp;CR$11&amp;"'!B:R"),15,FALSE),"")</f>
        <v/>
      </c>
      <c r="CS74" s="96">
        <f>IFERROR(VLOOKUP($B74,INDIRECT("'GRD-"&amp;CS$11&amp;"'!B:R"),15,FALSE),"")</f>
        <v/>
      </c>
      <c r="CT74" s="96">
        <f>IFERROR(VLOOKUP($B74,INDIRECT("'GRD-"&amp;CT$11&amp;"'!B:R"),15,FALSE),"")</f>
        <v/>
      </c>
      <c r="CU74" s="96">
        <f>IFERROR(VLOOKUP($B74,INDIRECT("'GRD-"&amp;CU$11&amp;"'!B:R"),15,FALSE),"")</f>
        <v/>
      </c>
      <c r="CV74" s="96">
        <f>IFERROR(VLOOKUP($B74,INDIRECT("'GRD-"&amp;CV$11&amp;"'!B:R"),15,FALSE),"")</f>
        <v/>
      </c>
      <c r="CW74" s="96">
        <f>IFERROR(VLOOKUP($B74,INDIRECT("'GRD-"&amp;CW$11&amp;"'!B:R"),15,FALSE),"")</f>
        <v/>
      </c>
      <c r="CX74" s="96">
        <f>IFERROR(VLOOKUP($B74,INDIRECT("'GRD-"&amp;CX$11&amp;"'!B:R"),15,FALSE),"")</f>
        <v/>
      </c>
      <c r="CY74" s="96">
        <f>IFERROR(VLOOKUP($B74,INDIRECT("'GRD-"&amp;CY$11&amp;"'!B:R"),15,FALSE),"")</f>
        <v/>
      </c>
      <c r="CZ74" s="96">
        <f>IFERROR(VLOOKUP($B74,INDIRECT("'GRD-"&amp;CZ$11&amp;"'!B:R"),15,FALSE),"")</f>
        <v/>
      </c>
      <c r="DA74" s="96">
        <f>IFERROR(VLOOKUP($B74,INDIRECT("'GRD-"&amp;DA$11&amp;"'!B:R"),15,FALSE),"")</f>
        <v/>
      </c>
      <c r="DB74" s="96">
        <f>IFERROR(VLOOKUP($B74,INDIRECT("'GRD-"&amp;DB$11&amp;"'!B:R"),15,FALSE),"")</f>
        <v/>
      </c>
      <c r="DC74" s="96">
        <f>IFERROR(VLOOKUP($B74,INDIRECT("'GRD-"&amp;DC$11&amp;"'!B:R"),15,FALSE),"")</f>
        <v/>
      </c>
      <c r="DD74" s="96">
        <f>IFERROR(VLOOKUP($B74,INDIRECT("'GRD-"&amp;DD$11&amp;"'!B:R"),15,FALSE),"")</f>
        <v/>
      </c>
      <c r="DE74" s="96">
        <f>IFERROR(VLOOKUP($B74,INDIRECT("'GRD-"&amp;DE$11&amp;"'!B:R"),15,FALSE),"")</f>
        <v/>
      </c>
      <c r="DF74" s="96">
        <f>IFERROR(VLOOKUP($B74,INDIRECT("'GRD-"&amp;DF$11&amp;"'!B:R"),15,FALSE),"")</f>
        <v/>
      </c>
      <c r="DG74" s="96">
        <f>IFERROR(VLOOKUP($B74,INDIRECT("'GRD-"&amp;DG$11&amp;"'!B:R"),15,FALSE),"")</f>
        <v/>
      </c>
      <c r="DH74" s="96">
        <f>IFERROR(VLOOKUP($B74,INDIRECT("'GRD-"&amp;DH$11&amp;"'!B:R"),15,FALSE),"")</f>
        <v/>
      </c>
      <c r="DI74" s="96">
        <f>IFERROR(VLOOKUP($B74,INDIRECT("'GRD-"&amp;DI$11&amp;"'!B:R"),15,FALSE),"")</f>
        <v/>
      </c>
      <c r="DJ74" s="96">
        <f>IFERROR(VLOOKUP($B74,INDIRECT("'GRD-"&amp;DJ$11&amp;"'!B:R"),15,FALSE),"")</f>
        <v/>
      </c>
      <c r="DK74" s="96">
        <f>IFERROR(VLOOKUP($B74,INDIRECT("'GRD-"&amp;DK$11&amp;"'!B:R"),15,FALSE),"")</f>
        <v/>
      </c>
      <c r="DL74" s="96">
        <f>IFERROR(VLOOKUP($B74,INDIRECT("'GRD-"&amp;DL$11&amp;"'!B:R"),15,FALSE),"")</f>
        <v/>
      </c>
      <c r="DM74" s="96">
        <f>IFERROR(VLOOKUP($B74,INDIRECT("'GRD-"&amp;DM$11&amp;"'!B:R"),15,FALSE),"")</f>
        <v/>
      </c>
      <c r="DN74" s="96">
        <f>IFERROR(VLOOKUP($B74,INDIRECT("'GRD-"&amp;DN$11&amp;"'!B:R"),15,FALSE),"")</f>
        <v/>
      </c>
      <c r="DO74" s="96">
        <f>IFERROR(VLOOKUP($B74,INDIRECT("'GRD-"&amp;DO$11&amp;"'!B:R"),15,FALSE),"")</f>
        <v/>
      </c>
      <c r="DP74" s="96">
        <f>IFERROR(VLOOKUP($B74,INDIRECT("'GRD-"&amp;DP$11&amp;"'!B:R"),15,FALSE),"")</f>
        <v/>
      </c>
      <c r="DQ74" s="96">
        <f>IFERROR(VLOOKUP($B74,INDIRECT("'GRD-"&amp;DQ$11&amp;"'!B:R"),15,FALSE),"")</f>
        <v/>
      </c>
      <c r="DR74" s="96">
        <f>IFERROR(VLOOKUP($B74,INDIRECT("'GRD-"&amp;DR$11&amp;"'!B:R"),15,FALSE),"")</f>
        <v/>
      </c>
      <c r="DS74" s="96">
        <f>IFERROR(VLOOKUP($B74,INDIRECT("'GRD-"&amp;DS$11&amp;"'!B:R"),15,FALSE),"")</f>
        <v/>
      </c>
      <c r="DT74" s="96">
        <f>IFERROR(VLOOKUP($B74,INDIRECT("'GRD-"&amp;DT$11&amp;"'!B:R"),15,FALSE),"")</f>
        <v/>
      </c>
      <c r="DU74" s="96">
        <f>IFERROR(VLOOKUP($B74,INDIRECT("'GRD-"&amp;DU$11&amp;"'!B:R"),15,FALSE),"")</f>
        <v/>
      </c>
      <c r="DV74" s="96">
        <f>IFERROR(VLOOKUP($B74,INDIRECT("'GRD-"&amp;DV$11&amp;"'!B:R"),15,FALSE),"")</f>
        <v/>
      </c>
      <c r="DW74" s="96">
        <f>IFERROR(VLOOKUP($B74,INDIRECT("'GRD-"&amp;DW$11&amp;"'!B:R"),15,FALSE),"")</f>
        <v/>
      </c>
      <c r="DX74" s="96">
        <f>IFERROR(VLOOKUP($B74,INDIRECT("'GRD-"&amp;DX$11&amp;"'!B:R"),15,FALSE),"")</f>
        <v/>
      </c>
      <c r="DY74" s="96">
        <f>IFERROR(VLOOKUP($B74,INDIRECT("'GRD-"&amp;DY$11&amp;"'!B:R"),15,FALSE),"")</f>
        <v/>
      </c>
      <c r="DZ74" s="96">
        <f>IFERROR(VLOOKUP($B74,INDIRECT("'GRD-"&amp;DZ$11&amp;"'!B:R"),15,FALSE),"")</f>
        <v/>
      </c>
      <c r="EA74" s="96">
        <f>IFERROR(VLOOKUP($B74,INDIRECT("'GRD-"&amp;EA$11&amp;"'!B:R"),15,FALSE),"")</f>
        <v/>
      </c>
      <c r="EB74" s="96">
        <f>IFERROR(VLOOKUP($B74,INDIRECT("'GRD-"&amp;EB$11&amp;"'!B:R"),15,FALSE),"")</f>
        <v/>
      </c>
      <c r="EC74" s="96">
        <f>IFERROR(VLOOKUP($B74,INDIRECT("'GRD-"&amp;EC$11&amp;"'!B:R"),15,FALSE),"")</f>
        <v/>
      </c>
      <c r="ED74" s="96">
        <f>IFERROR(VLOOKUP($B74,INDIRECT("'GRD-"&amp;ED$11&amp;"'!B:R"),15,FALSE),"")</f>
        <v/>
      </c>
      <c r="EE74" s="96">
        <f>IFERROR(VLOOKUP($B74,INDIRECT("'GRD-"&amp;EE$11&amp;"'!B:R"),15,FALSE),"")</f>
        <v/>
      </c>
      <c r="EF74" s="96">
        <f>IFERROR(VLOOKUP($B74,INDIRECT("'GRD-"&amp;EF$11&amp;"'!B:R"),15,FALSE),"")</f>
        <v/>
      </c>
      <c r="EG74" s="96">
        <f>IFERROR(VLOOKUP($B74,INDIRECT("'GRD-"&amp;EG$11&amp;"'!B:R"),15,FALSE),"")</f>
        <v/>
      </c>
      <c r="EH74" s="96">
        <f>IFERROR(VLOOKUP($B74,INDIRECT("'GRD-"&amp;EH$11&amp;"'!B:R"),15,FALSE),"")</f>
        <v/>
      </c>
      <c r="EI74" s="96">
        <f>IFERROR(VLOOKUP($B74,INDIRECT("'GRD-"&amp;EI$11&amp;"'!B:R"),15,FALSE),"")</f>
        <v/>
      </c>
      <c r="EJ74" s="96">
        <f>IFERROR(VLOOKUP($B74,INDIRECT("'GRD-"&amp;EJ$11&amp;"'!B:R"),15,FALSE),"")</f>
        <v/>
      </c>
      <c r="EK74" s="96">
        <f>IFERROR(VLOOKUP($B74,INDIRECT("'GRD-"&amp;EK$11&amp;"'!B:R"),15,FALSE),"")</f>
        <v/>
      </c>
      <c r="EL74" s="96">
        <f>IFERROR(VLOOKUP($B74,INDIRECT("'GRD-"&amp;EL$11&amp;"'!B:R"),15,FALSE),"")</f>
        <v/>
      </c>
      <c r="EM74" s="96">
        <f>IFERROR(VLOOKUP($B74,INDIRECT("'GRD-"&amp;EM$11&amp;"'!B:R"),15,FALSE),"")</f>
        <v/>
      </c>
      <c r="EN74" s="96">
        <f>IFERROR(VLOOKUP($B74,INDIRECT("'GRD-"&amp;EN$11&amp;"'!B:R"),15,FALSE),"")</f>
        <v/>
      </c>
      <c r="EO74" s="96">
        <f>IFERROR(VLOOKUP($B74,INDIRECT("'GRD-"&amp;EO$11&amp;"'!B:R"),15,FALSE),"")</f>
        <v/>
      </c>
      <c r="EP74" s="96">
        <f>IFERROR(VLOOKUP($B74,INDIRECT("'GRD-"&amp;EP$11&amp;"'!B:R"),15,FALSE),"")</f>
        <v/>
      </c>
      <c r="EQ74" s="96">
        <f>IFERROR(VLOOKUP($B74,INDIRECT("'GRD-"&amp;EQ$11&amp;"'!B:R"),15,FALSE),"")</f>
        <v/>
      </c>
      <c r="ER74" s="96">
        <f>IFERROR(VLOOKUP($B74,INDIRECT("'GRD-"&amp;ER$11&amp;"'!B:R"),15,FALSE),"")</f>
        <v/>
      </c>
      <c r="ES74" s="96">
        <f>IFERROR(VLOOKUP($B74,INDIRECT("'GRD-"&amp;ES$11&amp;"'!B:R"),15,FALSE),"")</f>
        <v/>
      </c>
      <c r="ET74" s="96">
        <f>IFERROR(VLOOKUP($B74,INDIRECT("'GRD-"&amp;ET$11&amp;"'!B:R"),15,FALSE),"")</f>
        <v/>
      </c>
      <c r="EU74" s="96">
        <f>IFERROR(VLOOKUP($B74,INDIRECT("'GRD-"&amp;EU$11&amp;"'!B:R"),15,FALSE),"")</f>
        <v/>
      </c>
      <c r="EV74" s="96">
        <f>IFERROR(VLOOKUP($B74,INDIRECT("'GRD-"&amp;EV$11&amp;"'!B:R"),15,FALSE),"")</f>
        <v/>
      </c>
      <c r="EW74" s="96">
        <f>IFERROR(VLOOKUP($B74,INDIRECT("'GRD-"&amp;EW$11&amp;"'!B:R"),15,FALSE),"")</f>
        <v/>
      </c>
      <c r="EX74" s="96">
        <f>IFERROR(VLOOKUP($B74,INDIRECT("'GRD-"&amp;EX$11&amp;"'!B:R"),15,FALSE),"")</f>
        <v/>
      </c>
      <c r="EY74" s="96">
        <f>IFERROR(VLOOKUP($B74,INDIRECT("'GRD-"&amp;EY$11&amp;"'!B:R"),15,FALSE),"")</f>
        <v/>
      </c>
      <c r="EZ74" s="96">
        <f>IFERROR(VLOOKUP($B74,INDIRECT("'GRD-"&amp;EZ$11&amp;"'!B:R"),15,FALSE),"")</f>
        <v/>
      </c>
      <c r="FA74" s="96">
        <f>IFERROR(VLOOKUP($B74,INDIRECT("'GRD-"&amp;FA$11&amp;"'!B:R"),15,FALSE),"")</f>
        <v/>
      </c>
      <c r="FB74" s="96">
        <f>IFERROR(VLOOKUP($B74,INDIRECT("'GRD-"&amp;FB$11&amp;"'!B:R"),15,FALSE),"")</f>
        <v/>
      </c>
      <c r="FC74" s="96">
        <f>IFERROR(VLOOKUP($B74,INDIRECT("'GRD-"&amp;FC$11&amp;"'!B:R"),15,FALSE),"")</f>
        <v/>
      </c>
      <c r="FD74" s="96">
        <f>IFERROR(VLOOKUP($B74,INDIRECT("'GRD-"&amp;FD$11&amp;"'!B:R"),15,FALSE),"")</f>
        <v/>
      </c>
      <c r="FE74" s="96">
        <f>IFERROR(VLOOKUP($B74,INDIRECT("'GRD-"&amp;FE$11&amp;"'!B:R"),15,FALSE),"")</f>
        <v/>
      </c>
      <c r="FF74" s="96">
        <f>IFERROR(VLOOKUP($B74,INDIRECT("'GRD-"&amp;FF$11&amp;"'!B:R"),15,FALSE),"")</f>
        <v/>
      </c>
      <c r="FG74" s="96">
        <f>IFERROR(VLOOKUP($B74,INDIRECT("'GRD-"&amp;FG$11&amp;"'!B:R"),15,FALSE),"")</f>
        <v/>
      </c>
      <c r="FH74" s="96">
        <f>IFERROR(VLOOKUP($B74,INDIRECT("'GRD-"&amp;FH$11&amp;"'!B:R"),15,FALSE),"")</f>
        <v/>
      </c>
      <c r="FI74" s="96">
        <f>IFERROR(VLOOKUP($B74,INDIRECT("'GRD-"&amp;FI$11&amp;"'!B:R"),15,FALSE),"")</f>
        <v/>
      </c>
      <c r="FJ74" s="96">
        <f>IFERROR(VLOOKUP($B74,INDIRECT("'GRD-"&amp;FJ$11&amp;"'!B:R"),15,FALSE),"")</f>
        <v/>
      </c>
      <c r="FK74" s="96">
        <f>IFERROR(VLOOKUP($B74,INDIRECT("'GRD-"&amp;FK$11&amp;"'!B:R"),15,FALSE),"")</f>
        <v/>
      </c>
      <c r="FL74" s="96">
        <f>IFERROR(VLOOKUP($B74,INDIRECT("'GRD-"&amp;FL$11&amp;"'!B:R"),15,FALSE),"")</f>
        <v/>
      </c>
      <c r="FM74" s="96">
        <f>IFERROR(VLOOKUP($B74,INDIRECT("'GRD-"&amp;FM$11&amp;"'!B:R"),15,FALSE),"")</f>
        <v/>
      </c>
      <c r="FN74" s="96">
        <f>IFERROR(VLOOKUP($B74,INDIRECT("'GRD-"&amp;FN$11&amp;"'!B:R"),15,FALSE),"")</f>
        <v/>
      </c>
      <c r="FO74" s="96">
        <f>IFERROR(VLOOKUP($B74,INDIRECT("'GRD-"&amp;FO$11&amp;"'!B:R"),15,FALSE),"")</f>
        <v/>
      </c>
      <c r="FP74" s="96">
        <f>IFERROR(VLOOKUP($B74,INDIRECT("'GRD-"&amp;FP$11&amp;"'!B:R"),15,FALSE),"")</f>
        <v/>
      </c>
      <c r="FQ74" s="96">
        <f>IFERROR(VLOOKUP($B74,INDIRECT("'GRD-"&amp;FQ$11&amp;"'!B:R"),15,FALSE),"")</f>
        <v/>
      </c>
      <c r="FR74" s="96">
        <f>IFERROR(VLOOKUP($B74,INDIRECT("'GRD-"&amp;FR$11&amp;"'!B:R"),15,FALSE),"")</f>
        <v/>
      </c>
      <c r="FS74" s="96">
        <f>IFERROR(VLOOKUP($B74,INDIRECT("'GRD-"&amp;FS$11&amp;"'!B:R"),15,FALSE),"")</f>
        <v/>
      </c>
      <c r="FT74" s="96">
        <f>IFERROR(VLOOKUP($B74,INDIRECT("'GRD-"&amp;FT$11&amp;"'!B:R"),15,FALSE),"")</f>
        <v/>
      </c>
      <c r="FU74" s="96">
        <f>IFERROR(VLOOKUP($B74,INDIRECT("'GRD-"&amp;FU$11&amp;"'!B:R"),15,FALSE),"")</f>
        <v/>
      </c>
      <c r="FV74" s="96">
        <f>IFERROR(VLOOKUP($B74,INDIRECT("'GRD-"&amp;FV$11&amp;"'!B:R"),15,FALSE),"")</f>
        <v/>
      </c>
    </row>
    <row r="75">
      <c r="B75" s="85" t="n"/>
      <c r="C75" s="93" t="n"/>
      <c r="D75" s="73">
        <f>IF(K75="","",MAX($CA75:$FV75))</f>
        <v/>
      </c>
      <c r="E75" s="74">
        <f t="array" ref="E75">IF($K75="","",OFFSET($A$1,ROW($B75)-1,11+$D75*4,))</f>
        <v/>
      </c>
      <c r="F75" s="74">
        <f t="array" ref="F75">IF($K75="","",OFFSET($A$1,ROW($B75)-1,12+$D75*4,))</f>
        <v/>
      </c>
      <c r="G75" s="118">
        <f t="array" ref="G75">IF($K75="","",OFFSET($A$1,ROW($B75)-1,13+$D75*4,))</f>
        <v/>
      </c>
      <c r="H75" s="81" t="n"/>
      <c r="I75" s="82" t="n"/>
      <c r="J75" s="75">
        <f>IF(I75="A4",H75/8,IF(I75="A3",H75/4,IF(I75="A2",H75/2,IF(I75="A1",H75/1,IF(I75="A0",H75*2,"")))))</f>
        <v/>
      </c>
      <c r="K75" s="68">
        <f t="array" ref="K75">IFERROR(OFFSET($BZ$11,ROW($B75)-11,MATCH(K$10,$CA75:$FV75,0),),"")</f>
        <v/>
      </c>
      <c r="L75" s="85">
        <f>IF(K75="","",IF(VLOOKUP($B75,INDIRECT("'GRD-"&amp;M75&amp;"'!$B:$R"),16,FALSE)="","",VLOOKUP($B75,INDIRECT("'GRD-"&amp;M75&amp;"'!$B:$R"),16,FALSE)))</f>
        <v/>
      </c>
      <c r="M75" s="130">
        <f t="array" ref="M75">IF(K75="","",IFERROR(OFFSET($BZ$11,0,MATCH($K75,$CA75:$FV75,0),),""))</f>
        <v/>
      </c>
      <c r="N75" s="119">
        <f t="array" ref="N75">IF(K75="","",INDIRECT("'GRD-"&amp;M75&amp;"'!$L$7"))</f>
        <v/>
      </c>
      <c r="O75" s="76">
        <f t="array" ref="O75">IFERROR(OFFSET($BZ$11,ROW($B75)-11,MATCH(O$10,$CA75:$FV75,0),),"")</f>
        <v/>
      </c>
      <c r="P75" s="76">
        <f>IF(O75="","",IF(VLOOKUP($B75,INDIRECT("'GRD-"&amp;Q75&amp;"'!$B:$R"),16,FALSE)="","",VLOOKUP($B75,INDIRECT("'GRD-"&amp;Q75&amp;"'!$B:$R"),16,FALSE)))</f>
        <v/>
      </c>
      <c r="Q75" s="132">
        <f t="array" ref="Q75">IF(O75="","",IFERROR(OFFSET($BZ$11,0,MATCH($O75,$CA75:$FV75,0),),""))</f>
        <v/>
      </c>
      <c r="R75" s="121">
        <f t="array" ref="R75">IF(O75="","",INDIRECT("'GRD-"&amp;Q75&amp;"'!$L$7"))</f>
        <v/>
      </c>
      <c r="S75" s="83">
        <f t="array" ref="S75">IFERROR(OFFSET($BZ$11,ROW($B75)-11,MATCH(S$10,$CA75:$FV75,0),),"")</f>
        <v/>
      </c>
      <c r="T75" s="83">
        <f>IF(S75="","",IF(VLOOKUP($B75,INDIRECT("'GRD-"&amp;U75&amp;"'!$B:$R"),16,FALSE)="","",VLOOKUP($B75,INDIRECT("'GRD-"&amp;U75&amp;"'!$B:$R"),16,FALSE)))</f>
        <v/>
      </c>
      <c r="U75" s="128">
        <f t="array" ref="U75">IF(S75="","",IFERROR(OFFSET($BZ$11,0,MATCH($S75,$CA75:$FV75,0),),""))</f>
        <v/>
      </c>
      <c r="V75" s="133">
        <f t="array" ref="V75">IF(S75="","",INDIRECT("'GRD-"&amp;U75&amp;"'!$L$7"))</f>
        <v/>
      </c>
      <c r="W75" s="84">
        <f t="array" ref="W75">IFERROR(OFFSET($BZ$11,ROW($B75)-11,MATCH(W$10,$CA75:$FV75,0),),"")</f>
        <v/>
      </c>
      <c r="X75" s="84">
        <f>IF(W75="","",IF(VLOOKUP($B75,INDIRECT("'GRD-"&amp;Y75&amp;"'!$B:$R"),16,FALSE)="","",VLOOKUP($B75,INDIRECT("'GRD-"&amp;Y75&amp;"'!$B:$R"),16,FALSE)))</f>
        <v/>
      </c>
      <c r="Y75" s="129">
        <f t="array" ref="Y75">IF(W75="","",IFERROR(OFFSET($BZ$11,0,MATCH($W75,$CA75:$FV75,0),),""))</f>
        <v/>
      </c>
      <c r="Z75" s="134">
        <f t="array" ref="Z75">IF(W75="","",INDIRECT("'GRD-"&amp;Y75&amp;"'!$L$7"))</f>
        <v/>
      </c>
      <c r="AA75" s="85">
        <f t="array" ref="AA75">IFERROR(OFFSET($BZ$11,ROW($B75)-11,MATCH(AA$10,$CA75:$FV75,0),),"")</f>
        <v/>
      </c>
      <c r="AB75" s="85">
        <f>IF(AA75="","",IF(VLOOKUP($B75,INDIRECT("'GRD-"&amp;AC75&amp;"'!$B:$R"),16,FALSE)="","",VLOOKUP($B75,INDIRECT("'GRD-"&amp;AC75&amp;"'!$B:$R"),16,FALSE)))</f>
        <v/>
      </c>
      <c r="AC75" s="130">
        <f t="array" ref="AC75">IF(AA75="","",IFERROR(OFFSET($BZ$11,0,MATCH($AA75,$CA75:$FV75,0),),""))</f>
        <v/>
      </c>
      <c r="AD75" s="131">
        <f t="array" ref="AD75">IF(AA75="","",INDIRECT("'GRD-"&amp;AC75&amp;"'!$L$7"))</f>
        <v/>
      </c>
      <c r="AE75" s="76">
        <f t="array" ref="AE75">IFERROR(OFFSET($BZ$11,ROW($B75)-11,MATCH(AE$10,$CA75:$FV75,0),),"")</f>
        <v/>
      </c>
      <c r="AF75" s="76">
        <f>IF(AE75="","",IF(VLOOKUP($B75,INDIRECT("'GRD-"&amp;AG75&amp;"'!$B:$R"),16,FALSE)="","",VLOOKUP($B75,INDIRECT("'GRD-"&amp;AG75&amp;"'!$B:$R"),16,FALSE)))</f>
        <v/>
      </c>
      <c r="AG75" s="132">
        <f t="array" ref="AG75">IF(AE75="","",IFERROR(OFFSET($BZ$11,0,MATCH($AE75,$CA75:$FV75,0),),""))</f>
        <v/>
      </c>
      <c r="AH75" s="121">
        <f t="array" ref="AH75">IF(AE75="","",INDIRECT("'GRD-"&amp;AG75&amp;"'!$L$7"))</f>
        <v/>
      </c>
      <c r="AI75" s="83">
        <f t="array" ref="AI75">IFERROR(OFFSET($BZ$11,ROW($B75)-11,MATCH(AI$10,$CA75:$FV75,0),),"")</f>
        <v/>
      </c>
      <c r="AJ75" s="83">
        <f>IF(AI75="","",IF(VLOOKUP($B75,INDIRECT("'GRD-"&amp;AK75&amp;"'!$B:$R"),16,FALSE)="","",VLOOKUP($B75,INDIRECT("'GRD-"&amp;AK75&amp;"'!$B:$R"),16,FALSE)))</f>
        <v/>
      </c>
      <c r="AK75" s="128">
        <f t="array" ref="AK75">IF(AI75="","",IFERROR(OFFSET($BZ$11,0,MATCH($AI75,$CA75:$FV75,0),),""))</f>
        <v/>
      </c>
      <c r="AL75" s="133">
        <f t="array" ref="AL75">IF(AI75="","",INDIRECT("'GRD-"&amp;AK75&amp;"'!$L$7"))</f>
        <v/>
      </c>
      <c r="AM75" s="84">
        <f t="array" ref="AM75">IFERROR(OFFSET($BZ$11,ROW($B75)-11,MATCH(AM$10,$CA75:$FV75,0),),"")</f>
        <v/>
      </c>
      <c r="AN75" s="84">
        <f>IF(AM75="","",IF(VLOOKUP($B75,INDIRECT("'GRD-"&amp;AO75&amp;"'!$B:$R"),16,FALSE)="","",VLOOKUP($B75,INDIRECT("'GRD-"&amp;AO75&amp;"'!$B:$R"),16,FALSE)))</f>
        <v/>
      </c>
      <c r="AO75" s="129">
        <f t="array" ref="AO75">IF(AM75="","",IFERROR(OFFSET($BZ$11,0,MATCH($AM75,$CA75:$FV75,0),),""))</f>
        <v/>
      </c>
      <c r="AP75" s="134">
        <f t="array" ref="AP75">IF(AM75="","",INDIRECT("'GRD-"&amp;AO75&amp;"'!$L$7"))</f>
        <v/>
      </c>
      <c r="AQ75" s="85">
        <f t="array" ref="AQ75">IFERROR(OFFSET($BZ$11,ROW($B75)-11,MATCH(AQ$10,$CA75:$FV75,0),),"")</f>
        <v/>
      </c>
      <c r="AR75" s="85">
        <f>IF(AQ75="","",IF(VLOOKUP($B75,INDIRECT("'GRD-"&amp;AS75&amp;"'!$B:$R"),16,FALSE)="","",VLOOKUP($B75,INDIRECT("'GRD-"&amp;AS75&amp;"'!$B:$R"),16,FALSE)))</f>
        <v/>
      </c>
      <c r="AS75" s="130">
        <f t="array" ref="AS75">IF(AQ75="","",IFERROR(OFFSET($BZ$11,0,MATCH($AQ75,$CA75:$FV75,0),),""))</f>
        <v/>
      </c>
      <c r="AT75" s="131">
        <f t="array" ref="AT75">IF(AQ75="","",INDIRECT("'GRD-"&amp;AS75&amp;"'!$L$7"))</f>
        <v/>
      </c>
      <c r="AU75" s="76">
        <f t="array" ref="AU75">IFERROR(OFFSET($BZ$11,ROW($B75)-11,MATCH(AU$10,$CA75:$FV75,0),),"")</f>
        <v/>
      </c>
      <c r="AV75" s="76">
        <f>IF(AU75="","",IF(VLOOKUP($B75,INDIRECT("'GRD-"&amp;AW75&amp;"'!$B:$R"),16,FALSE)="","",VLOOKUP($B75,INDIRECT("'GRD-"&amp;AW75&amp;"'!$B:$R"),16,FALSE)))</f>
        <v/>
      </c>
      <c r="AW75" s="132">
        <f t="array" ref="AW75">IF(AU75="","",IFERROR(OFFSET($BZ$11,0,MATCH($AU75,$CA75:$FV75,0),),""))</f>
        <v/>
      </c>
      <c r="AX75" s="121">
        <f t="array" ref="AX75">IF(AU75="","",INDIRECT("'GRD-"&amp;AW75&amp;"'!$L$7"))</f>
        <v/>
      </c>
      <c r="AY75" s="83">
        <f t="array" ref="AY75">IFERROR(OFFSET($BZ$11,ROW($B75)-11,MATCH(AY$10,$CA75:$FV75,0),),"")</f>
        <v/>
      </c>
      <c r="AZ75" s="83">
        <f>IF(AY75="","",IF(VLOOKUP($B75,INDIRECT("'GRD-"&amp;BA75&amp;"'!$B:$R"),16,FALSE)="","",VLOOKUP($B75,INDIRECT("'GRD-"&amp;BA75&amp;"'!$B:$R"),16,FALSE)))</f>
        <v/>
      </c>
      <c r="BA75" s="128">
        <f t="array" ref="BA75">IF(AY75="","",IFERROR(OFFSET($BZ$11,0,MATCH($AY75,$CA75:$FV75,0),),""))</f>
        <v/>
      </c>
      <c r="BB75" s="133">
        <f t="array" ref="BB75">IF(AY75="","",INDIRECT("'GRD-"&amp;BA75&amp;"'!$L$7"))</f>
        <v/>
      </c>
      <c r="BC75" s="84">
        <f t="array" ref="BC75">IFERROR(OFFSET($BZ$11,ROW($B75)-11,MATCH(BC$10,$CA75:$FV75,0),),"")</f>
        <v/>
      </c>
      <c r="BD75" s="84">
        <f>IF(BC75="","",IF(VLOOKUP($B75,INDIRECT("'GRD-"&amp;BE75&amp;"'!$B:$R"),16,FALSE)="","",VLOOKUP($B75,INDIRECT("'GRD-"&amp;BE75&amp;"'!$B:$R"),16,FALSE)))</f>
        <v/>
      </c>
      <c r="BE75" s="129">
        <f t="array" ref="BE75">IF(BC75="","",IFERROR(OFFSET($BZ$11,0,MATCH($BC75,$CA75:$FV75,0),),""))</f>
        <v/>
      </c>
      <c r="BF75" s="134">
        <f t="array" ref="BF75">IF(BC75="","",INDIRECT("'GRD-"&amp;BE75&amp;"'!$L$7"))</f>
        <v/>
      </c>
      <c r="CA75" s="96">
        <f>IFERROR(VLOOKUP($B75,INDIRECT("'GRD-"&amp;CA$11&amp;"'!B:R"),15,FALSE),"")</f>
        <v/>
      </c>
      <c r="CB75" s="96">
        <f>IFERROR(VLOOKUP($B75,INDIRECT("'GRD-"&amp;CB$11&amp;"'!B:R"),15,FALSE),"")</f>
        <v/>
      </c>
      <c r="CC75" s="96">
        <f>IFERROR(VLOOKUP($B75,INDIRECT("'GRD-"&amp;CC$11&amp;"'!B:R"),15,FALSE),"")</f>
        <v/>
      </c>
      <c r="CD75" s="96">
        <f>IFERROR(VLOOKUP($B75,INDIRECT("'GRD-"&amp;CD$11&amp;"'!B:R"),15,FALSE),"")</f>
        <v/>
      </c>
      <c r="CE75" s="96">
        <f>IFERROR(VLOOKUP($B75,INDIRECT("'GRD-"&amp;CE$11&amp;"'!B:R"),15,FALSE),"")</f>
        <v/>
      </c>
      <c r="CF75" s="96">
        <f>IFERROR(VLOOKUP($B75,INDIRECT("'GRD-"&amp;CF$11&amp;"'!B:R"),15,FALSE),"")</f>
        <v/>
      </c>
      <c r="CG75" s="96">
        <f>IFERROR(VLOOKUP($B75,INDIRECT("'GRD-"&amp;CG$11&amp;"'!B:R"),15,FALSE),"")</f>
        <v/>
      </c>
      <c r="CH75" s="96">
        <f>IFERROR(VLOOKUP($B75,INDIRECT("'GRD-"&amp;CH$11&amp;"'!B:R"),15,FALSE),"")</f>
        <v/>
      </c>
      <c r="CI75" s="96">
        <f>IFERROR(VLOOKUP($B75,INDIRECT("'GRD-"&amp;CI$11&amp;"'!B:R"),15,FALSE),"")</f>
        <v/>
      </c>
      <c r="CJ75" s="96">
        <f>IFERROR(VLOOKUP($B75,INDIRECT("'GRD-"&amp;CJ$11&amp;"'!B:R"),15,FALSE),"")</f>
        <v/>
      </c>
      <c r="CK75" s="96">
        <f>IFERROR(VLOOKUP($B75,INDIRECT("'GRD-"&amp;CK$11&amp;"'!B:R"),15,FALSE),"")</f>
        <v/>
      </c>
      <c r="CL75" s="96">
        <f>IFERROR(VLOOKUP($B75,INDIRECT("'GRD-"&amp;CL$11&amp;"'!B:R"),15,FALSE),"")</f>
        <v/>
      </c>
      <c r="CM75" s="96">
        <f>IFERROR(VLOOKUP($B75,INDIRECT("'GRD-"&amp;CM$11&amp;"'!B:R"),15,FALSE),"")</f>
        <v/>
      </c>
      <c r="CN75" s="96">
        <f>IFERROR(VLOOKUP($B75,INDIRECT("'GRD-"&amp;CN$11&amp;"'!B:R"),15,FALSE),"")</f>
        <v/>
      </c>
      <c r="CO75" s="96">
        <f>IFERROR(VLOOKUP($B75,INDIRECT("'GRD-"&amp;CO$11&amp;"'!B:R"),15,FALSE),"")</f>
        <v/>
      </c>
      <c r="CP75" s="96">
        <f>IFERROR(VLOOKUP($B75,INDIRECT("'GRD-"&amp;CP$11&amp;"'!B:R"),15,FALSE),"")</f>
        <v/>
      </c>
      <c r="CQ75" s="96">
        <f>IFERROR(VLOOKUP($B75,INDIRECT("'GRD-"&amp;CQ$11&amp;"'!B:R"),15,FALSE),"")</f>
        <v/>
      </c>
      <c r="CR75" s="96">
        <f>IFERROR(VLOOKUP($B75,INDIRECT("'GRD-"&amp;CR$11&amp;"'!B:R"),15,FALSE),"")</f>
        <v/>
      </c>
      <c r="CS75" s="96">
        <f>IFERROR(VLOOKUP($B75,INDIRECT("'GRD-"&amp;CS$11&amp;"'!B:R"),15,FALSE),"")</f>
        <v/>
      </c>
      <c r="CT75" s="96">
        <f>IFERROR(VLOOKUP($B75,INDIRECT("'GRD-"&amp;CT$11&amp;"'!B:R"),15,FALSE),"")</f>
        <v/>
      </c>
      <c r="CU75" s="96">
        <f>IFERROR(VLOOKUP($B75,INDIRECT("'GRD-"&amp;CU$11&amp;"'!B:R"),15,FALSE),"")</f>
        <v/>
      </c>
      <c r="CV75" s="96">
        <f>IFERROR(VLOOKUP($B75,INDIRECT("'GRD-"&amp;CV$11&amp;"'!B:R"),15,FALSE),"")</f>
        <v/>
      </c>
      <c r="CW75" s="96">
        <f>IFERROR(VLOOKUP($B75,INDIRECT("'GRD-"&amp;CW$11&amp;"'!B:R"),15,FALSE),"")</f>
        <v/>
      </c>
      <c r="CX75" s="96">
        <f>IFERROR(VLOOKUP($B75,INDIRECT("'GRD-"&amp;CX$11&amp;"'!B:R"),15,FALSE),"")</f>
        <v/>
      </c>
      <c r="CY75" s="96">
        <f>IFERROR(VLOOKUP($B75,INDIRECT("'GRD-"&amp;CY$11&amp;"'!B:R"),15,FALSE),"")</f>
        <v/>
      </c>
      <c r="CZ75" s="96">
        <f>IFERROR(VLOOKUP($B75,INDIRECT("'GRD-"&amp;CZ$11&amp;"'!B:R"),15,FALSE),"")</f>
        <v/>
      </c>
      <c r="DA75" s="96">
        <f>IFERROR(VLOOKUP($B75,INDIRECT("'GRD-"&amp;DA$11&amp;"'!B:R"),15,FALSE),"")</f>
        <v/>
      </c>
      <c r="DB75" s="96">
        <f>IFERROR(VLOOKUP($B75,INDIRECT("'GRD-"&amp;DB$11&amp;"'!B:R"),15,FALSE),"")</f>
        <v/>
      </c>
      <c r="DC75" s="96">
        <f>IFERROR(VLOOKUP($B75,INDIRECT("'GRD-"&amp;DC$11&amp;"'!B:R"),15,FALSE),"")</f>
        <v/>
      </c>
      <c r="DD75" s="96">
        <f>IFERROR(VLOOKUP($B75,INDIRECT("'GRD-"&amp;DD$11&amp;"'!B:R"),15,FALSE),"")</f>
        <v/>
      </c>
      <c r="DE75" s="96">
        <f>IFERROR(VLOOKUP($B75,INDIRECT("'GRD-"&amp;DE$11&amp;"'!B:R"),15,FALSE),"")</f>
        <v/>
      </c>
      <c r="DF75" s="96">
        <f>IFERROR(VLOOKUP($B75,INDIRECT("'GRD-"&amp;DF$11&amp;"'!B:R"),15,FALSE),"")</f>
        <v/>
      </c>
      <c r="DG75" s="96">
        <f>IFERROR(VLOOKUP($B75,INDIRECT("'GRD-"&amp;DG$11&amp;"'!B:R"),15,FALSE),"")</f>
        <v/>
      </c>
      <c r="DH75" s="96">
        <f>IFERROR(VLOOKUP($B75,INDIRECT("'GRD-"&amp;DH$11&amp;"'!B:R"),15,FALSE),"")</f>
        <v/>
      </c>
      <c r="DI75" s="96">
        <f>IFERROR(VLOOKUP($B75,INDIRECT("'GRD-"&amp;DI$11&amp;"'!B:R"),15,FALSE),"")</f>
        <v/>
      </c>
      <c r="DJ75" s="96">
        <f>IFERROR(VLOOKUP($B75,INDIRECT("'GRD-"&amp;DJ$11&amp;"'!B:R"),15,FALSE),"")</f>
        <v/>
      </c>
      <c r="DK75" s="96">
        <f>IFERROR(VLOOKUP($B75,INDIRECT("'GRD-"&amp;DK$11&amp;"'!B:R"),15,FALSE),"")</f>
        <v/>
      </c>
      <c r="DL75" s="96">
        <f>IFERROR(VLOOKUP($B75,INDIRECT("'GRD-"&amp;DL$11&amp;"'!B:R"),15,FALSE),"")</f>
        <v/>
      </c>
      <c r="DM75" s="96">
        <f>IFERROR(VLOOKUP($B75,INDIRECT("'GRD-"&amp;DM$11&amp;"'!B:R"),15,FALSE),"")</f>
        <v/>
      </c>
      <c r="DN75" s="96">
        <f>IFERROR(VLOOKUP($B75,INDIRECT("'GRD-"&amp;DN$11&amp;"'!B:R"),15,FALSE),"")</f>
        <v/>
      </c>
      <c r="DO75" s="96">
        <f>IFERROR(VLOOKUP($B75,INDIRECT("'GRD-"&amp;DO$11&amp;"'!B:R"),15,FALSE),"")</f>
        <v/>
      </c>
      <c r="DP75" s="96">
        <f>IFERROR(VLOOKUP($B75,INDIRECT("'GRD-"&amp;DP$11&amp;"'!B:R"),15,FALSE),"")</f>
        <v/>
      </c>
      <c r="DQ75" s="96">
        <f>IFERROR(VLOOKUP($B75,INDIRECT("'GRD-"&amp;DQ$11&amp;"'!B:R"),15,FALSE),"")</f>
        <v/>
      </c>
      <c r="DR75" s="96">
        <f>IFERROR(VLOOKUP($B75,INDIRECT("'GRD-"&amp;DR$11&amp;"'!B:R"),15,FALSE),"")</f>
        <v/>
      </c>
      <c r="DS75" s="96">
        <f>IFERROR(VLOOKUP($B75,INDIRECT("'GRD-"&amp;DS$11&amp;"'!B:R"),15,FALSE),"")</f>
        <v/>
      </c>
      <c r="DT75" s="96">
        <f>IFERROR(VLOOKUP($B75,INDIRECT("'GRD-"&amp;DT$11&amp;"'!B:R"),15,FALSE),"")</f>
        <v/>
      </c>
      <c r="DU75" s="96">
        <f>IFERROR(VLOOKUP($B75,INDIRECT("'GRD-"&amp;DU$11&amp;"'!B:R"),15,FALSE),"")</f>
        <v/>
      </c>
      <c r="DV75" s="96">
        <f>IFERROR(VLOOKUP($B75,INDIRECT("'GRD-"&amp;DV$11&amp;"'!B:R"),15,FALSE),"")</f>
        <v/>
      </c>
      <c r="DW75" s="96">
        <f>IFERROR(VLOOKUP($B75,INDIRECT("'GRD-"&amp;DW$11&amp;"'!B:R"),15,FALSE),"")</f>
        <v/>
      </c>
      <c r="DX75" s="96">
        <f>IFERROR(VLOOKUP($B75,INDIRECT("'GRD-"&amp;DX$11&amp;"'!B:R"),15,FALSE),"")</f>
        <v/>
      </c>
      <c r="DY75" s="96">
        <f>IFERROR(VLOOKUP($B75,INDIRECT("'GRD-"&amp;DY$11&amp;"'!B:R"),15,FALSE),"")</f>
        <v/>
      </c>
      <c r="DZ75" s="96">
        <f>IFERROR(VLOOKUP($B75,INDIRECT("'GRD-"&amp;DZ$11&amp;"'!B:R"),15,FALSE),"")</f>
        <v/>
      </c>
      <c r="EA75" s="96">
        <f>IFERROR(VLOOKUP($B75,INDIRECT("'GRD-"&amp;EA$11&amp;"'!B:R"),15,FALSE),"")</f>
        <v/>
      </c>
      <c r="EB75" s="96">
        <f>IFERROR(VLOOKUP($B75,INDIRECT("'GRD-"&amp;EB$11&amp;"'!B:R"),15,FALSE),"")</f>
        <v/>
      </c>
      <c r="EC75" s="96">
        <f>IFERROR(VLOOKUP($B75,INDIRECT("'GRD-"&amp;EC$11&amp;"'!B:R"),15,FALSE),"")</f>
        <v/>
      </c>
      <c r="ED75" s="96">
        <f>IFERROR(VLOOKUP($B75,INDIRECT("'GRD-"&amp;ED$11&amp;"'!B:R"),15,FALSE),"")</f>
        <v/>
      </c>
      <c r="EE75" s="96">
        <f>IFERROR(VLOOKUP($B75,INDIRECT("'GRD-"&amp;EE$11&amp;"'!B:R"),15,FALSE),"")</f>
        <v/>
      </c>
      <c r="EF75" s="96">
        <f>IFERROR(VLOOKUP($B75,INDIRECT("'GRD-"&amp;EF$11&amp;"'!B:R"),15,FALSE),"")</f>
        <v/>
      </c>
      <c r="EG75" s="96">
        <f>IFERROR(VLOOKUP($B75,INDIRECT("'GRD-"&amp;EG$11&amp;"'!B:R"),15,FALSE),"")</f>
        <v/>
      </c>
      <c r="EH75" s="96">
        <f>IFERROR(VLOOKUP($B75,INDIRECT("'GRD-"&amp;EH$11&amp;"'!B:R"),15,FALSE),"")</f>
        <v/>
      </c>
      <c r="EI75" s="96">
        <f>IFERROR(VLOOKUP($B75,INDIRECT("'GRD-"&amp;EI$11&amp;"'!B:R"),15,FALSE),"")</f>
        <v/>
      </c>
      <c r="EJ75" s="96">
        <f>IFERROR(VLOOKUP($B75,INDIRECT("'GRD-"&amp;EJ$11&amp;"'!B:R"),15,FALSE),"")</f>
        <v/>
      </c>
      <c r="EK75" s="96">
        <f>IFERROR(VLOOKUP($B75,INDIRECT("'GRD-"&amp;EK$11&amp;"'!B:R"),15,FALSE),"")</f>
        <v/>
      </c>
      <c r="EL75" s="96">
        <f>IFERROR(VLOOKUP($B75,INDIRECT("'GRD-"&amp;EL$11&amp;"'!B:R"),15,FALSE),"")</f>
        <v/>
      </c>
      <c r="EM75" s="96">
        <f>IFERROR(VLOOKUP($B75,INDIRECT("'GRD-"&amp;EM$11&amp;"'!B:R"),15,FALSE),"")</f>
        <v/>
      </c>
      <c r="EN75" s="96">
        <f>IFERROR(VLOOKUP($B75,INDIRECT("'GRD-"&amp;EN$11&amp;"'!B:R"),15,FALSE),"")</f>
        <v/>
      </c>
      <c r="EO75" s="96">
        <f>IFERROR(VLOOKUP($B75,INDIRECT("'GRD-"&amp;EO$11&amp;"'!B:R"),15,FALSE),"")</f>
        <v/>
      </c>
      <c r="EP75" s="96">
        <f>IFERROR(VLOOKUP($B75,INDIRECT("'GRD-"&amp;EP$11&amp;"'!B:R"),15,FALSE),"")</f>
        <v/>
      </c>
      <c r="EQ75" s="96">
        <f>IFERROR(VLOOKUP($B75,INDIRECT("'GRD-"&amp;EQ$11&amp;"'!B:R"),15,FALSE),"")</f>
        <v/>
      </c>
      <c r="ER75" s="96">
        <f>IFERROR(VLOOKUP($B75,INDIRECT("'GRD-"&amp;ER$11&amp;"'!B:R"),15,FALSE),"")</f>
        <v/>
      </c>
      <c r="ES75" s="96">
        <f>IFERROR(VLOOKUP($B75,INDIRECT("'GRD-"&amp;ES$11&amp;"'!B:R"),15,FALSE),"")</f>
        <v/>
      </c>
      <c r="ET75" s="96">
        <f>IFERROR(VLOOKUP($B75,INDIRECT("'GRD-"&amp;ET$11&amp;"'!B:R"),15,FALSE),"")</f>
        <v/>
      </c>
      <c r="EU75" s="96">
        <f>IFERROR(VLOOKUP($B75,INDIRECT("'GRD-"&amp;EU$11&amp;"'!B:R"),15,FALSE),"")</f>
        <v/>
      </c>
      <c r="EV75" s="96">
        <f>IFERROR(VLOOKUP($B75,INDIRECT("'GRD-"&amp;EV$11&amp;"'!B:R"),15,FALSE),"")</f>
        <v/>
      </c>
      <c r="EW75" s="96">
        <f>IFERROR(VLOOKUP($B75,INDIRECT("'GRD-"&amp;EW$11&amp;"'!B:R"),15,FALSE),"")</f>
        <v/>
      </c>
      <c r="EX75" s="96">
        <f>IFERROR(VLOOKUP($B75,INDIRECT("'GRD-"&amp;EX$11&amp;"'!B:R"),15,FALSE),"")</f>
        <v/>
      </c>
      <c r="EY75" s="96">
        <f>IFERROR(VLOOKUP($B75,INDIRECT("'GRD-"&amp;EY$11&amp;"'!B:R"),15,FALSE),"")</f>
        <v/>
      </c>
      <c r="EZ75" s="96">
        <f>IFERROR(VLOOKUP($B75,INDIRECT("'GRD-"&amp;EZ$11&amp;"'!B:R"),15,FALSE),"")</f>
        <v/>
      </c>
      <c r="FA75" s="96">
        <f>IFERROR(VLOOKUP($B75,INDIRECT("'GRD-"&amp;FA$11&amp;"'!B:R"),15,FALSE),"")</f>
        <v/>
      </c>
      <c r="FB75" s="96">
        <f>IFERROR(VLOOKUP($B75,INDIRECT("'GRD-"&amp;FB$11&amp;"'!B:R"),15,FALSE),"")</f>
        <v/>
      </c>
      <c r="FC75" s="96">
        <f>IFERROR(VLOOKUP($B75,INDIRECT("'GRD-"&amp;FC$11&amp;"'!B:R"),15,FALSE),"")</f>
        <v/>
      </c>
      <c r="FD75" s="96">
        <f>IFERROR(VLOOKUP($B75,INDIRECT("'GRD-"&amp;FD$11&amp;"'!B:R"),15,FALSE),"")</f>
        <v/>
      </c>
      <c r="FE75" s="96">
        <f>IFERROR(VLOOKUP($B75,INDIRECT("'GRD-"&amp;FE$11&amp;"'!B:R"),15,FALSE),"")</f>
        <v/>
      </c>
      <c r="FF75" s="96">
        <f>IFERROR(VLOOKUP($B75,INDIRECT("'GRD-"&amp;FF$11&amp;"'!B:R"),15,FALSE),"")</f>
        <v/>
      </c>
      <c r="FG75" s="96">
        <f>IFERROR(VLOOKUP($B75,INDIRECT("'GRD-"&amp;FG$11&amp;"'!B:R"),15,FALSE),"")</f>
        <v/>
      </c>
      <c r="FH75" s="96">
        <f>IFERROR(VLOOKUP($B75,INDIRECT("'GRD-"&amp;FH$11&amp;"'!B:R"),15,FALSE),"")</f>
        <v/>
      </c>
      <c r="FI75" s="96">
        <f>IFERROR(VLOOKUP($B75,INDIRECT("'GRD-"&amp;FI$11&amp;"'!B:R"),15,FALSE),"")</f>
        <v/>
      </c>
      <c r="FJ75" s="96">
        <f>IFERROR(VLOOKUP($B75,INDIRECT("'GRD-"&amp;FJ$11&amp;"'!B:R"),15,FALSE),"")</f>
        <v/>
      </c>
      <c r="FK75" s="96">
        <f>IFERROR(VLOOKUP($B75,INDIRECT("'GRD-"&amp;FK$11&amp;"'!B:R"),15,FALSE),"")</f>
        <v/>
      </c>
      <c r="FL75" s="96">
        <f>IFERROR(VLOOKUP($B75,INDIRECT("'GRD-"&amp;FL$11&amp;"'!B:R"),15,FALSE),"")</f>
        <v/>
      </c>
      <c r="FM75" s="96">
        <f>IFERROR(VLOOKUP($B75,INDIRECT("'GRD-"&amp;FM$11&amp;"'!B:R"),15,FALSE),"")</f>
        <v/>
      </c>
      <c r="FN75" s="96">
        <f>IFERROR(VLOOKUP($B75,INDIRECT("'GRD-"&amp;FN$11&amp;"'!B:R"),15,FALSE),"")</f>
        <v/>
      </c>
      <c r="FO75" s="96">
        <f>IFERROR(VLOOKUP($B75,INDIRECT("'GRD-"&amp;FO$11&amp;"'!B:R"),15,FALSE),"")</f>
        <v/>
      </c>
      <c r="FP75" s="96">
        <f>IFERROR(VLOOKUP($B75,INDIRECT("'GRD-"&amp;FP$11&amp;"'!B:R"),15,FALSE),"")</f>
        <v/>
      </c>
      <c r="FQ75" s="96">
        <f>IFERROR(VLOOKUP($B75,INDIRECT("'GRD-"&amp;FQ$11&amp;"'!B:R"),15,FALSE),"")</f>
        <v/>
      </c>
      <c r="FR75" s="96">
        <f>IFERROR(VLOOKUP($B75,INDIRECT("'GRD-"&amp;FR$11&amp;"'!B:R"),15,FALSE),"")</f>
        <v/>
      </c>
      <c r="FS75" s="96">
        <f>IFERROR(VLOOKUP($B75,INDIRECT("'GRD-"&amp;FS$11&amp;"'!B:R"),15,FALSE),"")</f>
        <v/>
      </c>
      <c r="FT75" s="96">
        <f>IFERROR(VLOOKUP($B75,INDIRECT("'GRD-"&amp;FT$11&amp;"'!B:R"),15,FALSE),"")</f>
        <v/>
      </c>
      <c r="FU75" s="96">
        <f>IFERROR(VLOOKUP($B75,INDIRECT("'GRD-"&amp;FU$11&amp;"'!B:R"),15,FALSE),"")</f>
        <v/>
      </c>
      <c r="FV75" s="96">
        <f>IFERROR(VLOOKUP($B75,INDIRECT("'GRD-"&amp;FV$11&amp;"'!B:R"),15,FALSE),"")</f>
        <v/>
      </c>
    </row>
    <row r="76">
      <c r="B76" s="85" t="n"/>
      <c r="C76" s="93" t="n"/>
      <c r="D76" s="73">
        <f>IF(K76="","",MAX($CA76:$FV76))</f>
        <v/>
      </c>
      <c r="E76" s="74">
        <f t="array" ref="E76">IF($K76="","",OFFSET($A$1,ROW($B76)-1,11+$D76*4,))</f>
        <v/>
      </c>
      <c r="F76" s="74">
        <f t="array" ref="F76">IF($K76="","",OFFSET($A$1,ROW($B76)-1,12+$D76*4,))</f>
        <v/>
      </c>
      <c r="G76" s="118">
        <f t="array" ref="G76">IF($K76="","",OFFSET($A$1,ROW($B76)-1,13+$D76*4,))</f>
        <v/>
      </c>
      <c r="H76" s="81" t="n"/>
      <c r="I76" s="82" t="n"/>
      <c r="J76" s="75">
        <f>IF(I76="A4",H76/8,IF(I76="A3",H76/4,IF(I76="A2",H76/2,IF(I76="A1",H76/1,IF(I76="A0",H76*2,"")))))</f>
        <v/>
      </c>
      <c r="K76" s="68">
        <f t="array" ref="K76">IFERROR(OFFSET($BZ$11,ROW($B76)-11,MATCH(K$10,$CA76:$FV76,0),),"")</f>
        <v/>
      </c>
      <c r="L76" s="85">
        <f>IF(K76="","",IF(VLOOKUP($B76,INDIRECT("'GRD-"&amp;M76&amp;"'!$B:$R"),16,FALSE)="","",VLOOKUP($B76,INDIRECT("'GRD-"&amp;M76&amp;"'!$B:$R"),16,FALSE)))</f>
        <v/>
      </c>
      <c r="M76" s="130">
        <f t="array" ref="M76">IF(K76="","",IFERROR(OFFSET($BZ$11,0,MATCH($K76,$CA76:$FV76,0),),""))</f>
        <v/>
      </c>
      <c r="N76" s="119">
        <f t="array" ref="N76">IF(K76="","",INDIRECT("'GRD-"&amp;M76&amp;"'!$L$7"))</f>
        <v/>
      </c>
      <c r="O76" s="76">
        <f t="array" ref="O76">IFERROR(OFFSET($BZ$11,ROW($B76)-11,MATCH(O$10,$CA76:$FV76,0),),"")</f>
        <v/>
      </c>
      <c r="P76" s="76">
        <f>IF(O76="","",IF(VLOOKUP($B76,INDIRECT("'GRD-"&amp;Q76&amp;"'!$B:$R"),16,FALSE)="","",VLOOKUP($B76,INDIRECT("'GRD-"&amp;Q76&amp;"'!$B:$R"),16,FALSE)))</f>
        <v/>
      </c>
      <c r="Q76" s="132">
        <f t="array" ref="Q76">IF(O76="","",IFERROR(OFFSET($BZ$11,0,MATCH($O76,$CA76:$FV76,0),),""))</f>
        <v/>
      </c>
      <c r="R76" s="121">
        <f t="array" ref="R76">IF(O76="","",INDIRECT("'GRD-"&amp;Q76&amp;"'!$L$7"))</f>
        <v/>
      </c>
      <c r="S76" s="83">
        <f t="array" ref="S76">IFERROR(OFFSET($BZ$11,ROW($B76)-11,MATCH(S$10,$CA76:$FV76,0),),"")</f>
        <v/>
      </c>
      <c r="T76" s="83">
        <f>IF(S76="","",IF(VLOOKUP($B76,INDIRECT("'GRD-"&amp;U76&amp;"'!$B:$R"),16,FALSE)="","",VLOOKUP($B76,INDIRECT("'GRD-"&amp;U76&amp;"'!$B:$R"),16,FALSE)))</f>
        <v/>
      </c>
      <c r="U76" s="128">
        <f t="array" ref="U76">IF(S76="","",IFERROR(OFFSET($BZ$11,0,MATCH($S76,$CA76:$FV76,0),),""))</f>
        <v/>
      </c>
      <c r="V76" s="133">
        <f t="array" ref="V76">IF(S76="","",INDIRECT("'GRD-"&amp;U76&amp;"'!$L$7"))</f>
        <v/>
      </c>
      <c r="W76" s="84">
        <f t="array" ref="W76">IFERROR(OFFSET($BZ$11,ROW($B76)-11,MATCH(W$10,$CA76:$FV76,0),),"")</f>
        <v/>
      </c>
      <c r="X76" s="84">
        <f>IF(W76="","",IF(VLOOKUP($B76,INDIRECT("'GRD-"&amp;Y76&amp;"'!$B:$R"),16,FALSE)="","",VLOOKUP($B76,INDIRECT("'GRD-"&amp;Y76&amp;"'!$B:$R"),16,FALSE)))</f>
        <v/>
      </c>
      <c r="Y76" s="129">
        <f t="array" ref="Y76">IF(W76="","",IFERROR(OFFSET($BZ$11,0,MATCH($W76,$CA76:$FV76,0),),""))</f>
        <v/>
      </c>
      <c r="Z76" s="134">
        <f t="array" ref="Z76">IF(W76="","",INDIRECT("'GRD-"&amp;Y76&amp;"'!$L$7"))</f>
        <v/>
      </c>
      <c r="AA76" s="85">
        <f t="array" ref="AA76">IFERROR(OFFSET($BZ$11,ROW($B76)-11,MATCH(AA$10,$CA76:$FV76,0),),"")</f>
        <v/>
      </c>
      <c r="AB76" s="85">
        <f>IF(AA76="","",IF(VLOOKUP($B76,INDIRECT("'GRD-"&amp;AC76&amp;"'!$B:$R"),16,FALSE)="","",VLOOKUP($B76,INDIRECT("'GRD-"&amp;AC76&amp;"'!$B:$R"),16,FALSE)))</f>
        <v/>
      </c>
      <c r="AC76" s="130">
        <f t="array" ref="AC76">IF(AA76="","",IFERROR(OFFSET($BZ$11,0,MATCH($AA76,$CA76:$FV76,0),),""))</f>
        <v/>
      </c>
      <c r="AD76" s="131">
        <f t="array" ref="AD76">IF(AA76="","",INDIRECT("'GRD-"&amp;AC76&amp;"'!$L$7"))</f>
        <v/>
      </c>
      <c r="AE76" s="76">
        <f t="array" ref="AE76">IFERROR(OFFSET($BZ$11,ROW($B76)-11,MATCH(AE$10,$CA76:$FV76,0),),"")</f>
        <v/>
      </c>
      <c r="AF76" s="76">
        <f>IF(AE76="","",IF(VLOOKUP($B76,INDIRECT("'GRD-"&amp;AG76&amp;"'!$B:$R"),16,FALSE)="","",VLOOKUP($B76,INDIRECT("'GRD-"&amp;AG76&amp;"'!$B:$R"),16,FALSE)))</f>
        <v/>
      </c>
      <c r="AG76" s="132">
        <f t="array" ref="AG76">IF(AE76="","",IFERROR(OFFSET($BZ$11,0,MATCH($AE76,$CA76:$FV76,0),),""))</f>
        <v/>
      </c>
      <c r="AH76" s="121">
        <f t="array" ref="AH76">IF(AE76="","",INDIRECT("'GRD-"&amp;AG76&amp;"'!$L$7"))</f>
        <v/>
      </c>
      <c r="AI76" s="83">
        <f t="array" ref="AI76">IFERROR(OFFSET($BZ$11,ROW($B76)-11,MATCH(AI$10,$CA76:$FV76,0),),"")</f>
        <v/>
      </c>
      <c r="AJ76" s="83">
        <f>IF(AI76="","",IF(VLOOKUP($B76,INDIRECT("'GRD-"&amp;AK76&amp;"'!$B:$R"),16,FALSE)="","",VLOOKUP($B76,INDIRECT("'GRD-"&amp;AK76&amp;"'!$B:$R"),16,FALSE)))</f>
        <v/>
      </c>
      <c r="AK76" s="128">
        <f t="array" ref="AK76">IF(AI76="","",IFERROR(OFFSET($BZ$11,0,MATCH($AI76,$CA76:$FV76,0),),""))</f>
        <v/>
      </c>
      <c r="AL76" s="133">
        <f t="array" ref="AL76">IF(AI76="","",INDIRECT("'GRD-"&amp;AK76&amp;"'!$L$7"))</f>
        <v/>
      </c>
      <c r="AM76" s="84">
        <f t="array" ref="AM76">IFERROR(OFFSET($BZ$11,ROW($B76)-11,MATCH(AM$10,$CA76:$FV76,0),),"")</f>
        <v/>
      </c>
      <c r="AN76" s="84">
        <f>IF(AM76="","",IF(VLOOKUP($B76,INDIRECT("'GRD-"&amp;AO76&amp;"'!$B:$R"),16,FALSE)="","",VLOOKUP($B76,INDIRECT("'GRD-"&amp;AO76&amp;"'!$B:$R"),16,FALSE)))</f>
        <v/>
      </c>
      <c r="AO76" s="129">
        <f t="array" ref="AO76">IF(AM76="","",IFERROR(OFFSET($BZ$11,0,MATCH($AM76,$CA76:$FV76,0),),""))</f>
        <v/>
      </c>
      <c r="AP76" s="134">
        <f t="array" ref="AP76">IF(AM76="","",INDIRECT("'GRD-"&amp;AO76&amp;"'!$L$7"))</f>
        <v/>
      </c>
      <c r="AQ76" s="85">
        <f t="array" ref="AQ76">IFERROR(OFFSET($BZ$11,ROW($B76)-11,MATCH(AQ$10,$CA76:$FV76,0),),"")</f>
        <v/>
      </c>
      <c r="AR76" s="85">
        <f>IF(AQ76="","",IF(VLOOKUP($B76,INDIRECT("'GRD-"&amp;AS76&amp;"'!$B:$R"),16,FALSE)="","",VLOOKUP($B76,INDIRECT("'GRD-"&amp;AS76&amp;"'!$B:$R"),16,FALSE)))</f>
        <v/>
      </c>
      <c r="AS76" s="130">
        <f t="array" ref="AS76">IF(AQ76="","",IFERROR(OFFSET($BZ$11,0,MATCH($AQ76,$CA76:$FV76,0),),""))</f>
        <v/>
      </c>
      <c r="AT76" s="131">
        <f t="array" ref="AT76">IF(AQ76="","",INDIRECT("'GRD-"&amp;AS76&amp;"'!$L$7"))</f>
        <v/>
      </c>
      <c r="AU76" s="76">
        <f t="array" ref="AU76">IFERROR(OFFSET($BZ$11,ROW($B76)-11,MATCH(AU$10,$CA76:$FV76,0),),"")</f>
        <v/>
      </c>
      <c r="AV76" s="76">
        <f>IF(AU76="","",IF(VLOOKUP($B76,INDIRECT("'GRD-"&amp;AW76&amp;"'!$B:$R"),16,FALSE)="","",VLOOKUP($B76,INDIRECT("'GRD-"&amp;AW76&amp;"'!$B:$R"),16,FALSE)))</f>
        <v/>
      </c>
      <c r="AW76" s="132">
        <f t="array" ref="AW76">IF(AU76="","",IFERROR(OFFSET($BZ$11,0,MATCH($AU76,$CA76:$FV76,0),),""))</f>
        <v/>
      </c>
      <c r="AX76" s="121">
        <f t="array" ref="AX76">IF(AU76="","",INDIRECT("'GRD-"&amp;AW76&amp;"'!$L$7"))</f>
        <v/>
      </c>
      <c r="AY76" s="83">
        <f t="array" ref="AY76">IFERROR(OFFSET($BZ$11,ROW($B76)-11,MATCH(AY$10,$CA76:$FV76,0),),"")</f>
        <v/>
      </c>
      <c r="AZ76" s="83">
        <f>IF(AY76="","",IF(VLOOKUP($B76,INDIRECT("'GRD-"&amp;BA76&amp;"'!$B:$R"),16,FALSE)="","",VLOOKUP($B76,INDIRECT("'GRD-"&amp;BA76&amp;"'!$B:$R"),16,FALSE)))</f>
        <v/>
      </c>
      <c r="BA76" s="128">
        <f t="array" ref="BA76">IF(AY76="","",IFERROR(OFFSET($BZ$11,0,MATCH($AY76,$CA76:$FV76,0),),""))</f>
        <v/>
      </c>
      <c r="BB76" s="133">
        <f t="array" ref="BB76">IF(AY76="","",INDIRECT("'GRD-"&amp;BA76&amp;"'!$L$7"))</f>
        <v/>
      </c>
      <c r="BC76" s="84">
        <f t="array" ref="BC76">IFERROR(OFFSET($BZ$11,ROW($B76)-11,MATCH(BC$10,$CA76:$FV76,0),),"")</f>
        <v/>
      </c>
      <c r="BD76" s="84">
        <f>IF(BC76="","",IF(VLOOKUP($B76,INDIRECT("'GRD-"&amp;BE76&amp;"'!$B:$R"),16,FALSE)="","",VLOOKUP($B76,INDIRECT("'GRD-"&amp;BE76&amp;"'!$B:$R"),16,FALSE)))</f>
        <v/>
      </c>
      <c r="BE76" s="129">
        <f t="array" ref="BE76">IF(BC76="","",IFERROR(OFFSET($BZ$11,0,MATCH($BC76,$CA76:$FV76,0),),""))</f>
        <v/>
      </c>
      <c r="BF76" s="134">
        <f t="array" ref="BF76">IF(BC76="","",INDIRECT("'GRD-"&amp;BE76&amp;"'!$L$7"))</f>
        <v/>
      </c>
      <c r="CA76" s="96">
        <f>IFERROR(VLOOKUP($B76,INDIRECT("'GRD-"&amp;CA$11&amp;"'!B:R"),15,FALSE),"")</f>
        <v/>
      </c>
      <c r="CB76" s="96">
        <f>IFERROR(VLOOKUP($B76,INDIRECT("'GRD-"&amp;CB$11&amp;"'!B:R"),15,FALSE),"")</f>
        <v/>
      </c>
      <c r="CC76" s="96">
        <f>IFERROR(VLOOKUP($B76,INDIRECT("'GRD-"&amp;CC$11&amp;"'!B:R"),15,FALSE),"")</f>
        <v/>
      </c>
      <c r="CD76" s="96">
        <f>IFERROR(VLOOKUP($B76,INDIRECT("'GRD-"&amp;CD$11&amp;"'!B:R"),15,FALSE),"")</f>
        <v/>
      </c>
      <c r="CE76" s="96">
        <f>IFERROR(VLOOKUP($B76,INDIRECT("'GRD-"&amp;CE$11&amp;"'!B:R"),15,FALSE),"")</f>
        <v/>
      </c>
      <c r="CF76" s="96">
        <f>IFERROR(VLOOKUP($B76,INDIRECT("'GRD-"&amp;CF$11&amp;"'!B:R"),15,FALSE),"")</f>
        <v/>
      </c>
      <c r="CG76" s="96">
        <f>IFERROR(VLOOKUP($B76,INDIRECT("'GRD-"&amp;CG$11&amp;"'!B:R"),15,FALSE),"")</f>
        <v/>
      </c>
      <c r="CH76" s="96">
        <f>IFERROR(VLOOKUP($B76,INDIRECT("'GRD-"&amp;CH$11&amp;"'!B:R"),15,FALSE),"")</f>
        <v/>
      </c>
      <c r="CI76" s="96">
        <f>IFERROR(VLOOKUP($B76,INDIRECT("'GRD-"&amp;CI$11&amp;"'!B:R"),15,FALSE),"")</f>
        <v/>
      </c>
      <c r="CJ76" s="96">
        <f>IFERROR(VLOOKUP($B76,INDIRECT("'GRD-"&amp;CJ$11&amp;"'!B:R"),15,FALSE),"")</f>
        <v/>
      </c>
      <c r="CK76" s="96">
        <f>IFERROR(VLOOKUP($B76,INDIRECT("'GRD-"&amp;CK$11&amp;"'!B:R"),15,FALSE),"")</f>
        <v/>
      </c>
      <c r="CL76" s="96">
        <f>IFERROR(VLOOKUP($B76,INDIRECT("'GRD-"&amp;CL$11&amp;"'!B:R"),15,FALSE),"")</f>
        <v/>
      </c>
      <c r="CM76" s="96">
        <f>IFERROR(VLOOKUP($B76,INDIRECT("'GRD-"&amp;CM$11&amp;"'!B:R"),15,FALSE),"")</f>
        <v/>
      </c>
      <c r="CN76" s="96">
        <f>IFERROR(VLOOKUP($B76,INDIRECT("'GRD-"&amp;CN$11&amp;"'!B:R"),15,FALSE),"")</f>
        <v/>
      </c>
      <c r="CO76" s="96">
        <f>IFERROR(VLOOKUP($B76,INDIRECT("'GRD-"&amp;CO$11&amp;"'!B:R"),15,FALSE),"")</f>
        <v/>
      </c>
      <c r="CP76" s="96">
        <f>IFERROR(VLOOKUP($B76,INDIRECT("'GRD-"&amp;CP$11&amp;"'!B:R"),15,FALSE),"")</f>
        <v/>
      </c>
      <c r="CQ76" s="96">
        <f>IFERROR(VLOOKUP($B76,INDIRECT("'GRD-"&amp;CQ$11&amp;"'!B:R"),15,FALSE),"")</f>
        <v/>
      </c>
      <c r="CR76" s="96">
        <f>IFERROR(VLOOKUP($B76,INDIRECT("'GRD-"&amp;CR$11&amp;"'!B:R"),15,FALSE),"")</f>
        <v/>
      </c>
      <c r="CS76" s="96">
        <f>IFERROR(VLOOKUP($B76,INDIRECT("'GRD-"&amp;CS$11&amp;"'!B:R"),15,FALSE),"")</f>
        <v/>
      </c>
      <c r="CT76" s="96">
        <f>IFERROR(VLOOKUP($B76,INDIRECT("'GRD-"&amp;CT$11&amp;"'!B:R"),15,FALSE),"")</f>
        <v/>
      </c>
      <c r="CU76" s="96">
        <f>IFERROR(VLOOKUP($B76,INDIRECT("'GRD-"&amp;CU$11&amp;"'!B:R"),15,FALSE),"")</f>
        <v/>
      </c>
      <c r="CV76" s="96">
        <f>IFERROR(VLOOKUP($B76,INDIRECT("'GRD-"&amp;CV$11&amp;"'!B:R"),15,FALSE),"")</f>
        <v/>
      </c>
      <c r="CW76" s="96">
        <f>IFERROR(VLOOKUP($B76,INDIRECT("'GRD-"&amp;CW$11&amp;"'!B:R"),15,FALSE),"")</f>
        <v/>
      </c>
      <c r="CX76" s="96">
        <f>IFERROR(VLOOKUP($B76,INDIRECT("'GRD-"&amp;CX$11&amp;"'!B:R"),15,FALSE),"")</f>
        <v/>
      </c>
      <c r="CY76" s="96">
        <f>IFERROR(VLOOKUP($B76,INDIRECT("'GRD-"&amp;CY$11&amp;"'!B:R"),15,FALSE),"")</f>
        <v/>
      </c>
      <c r="CZ76" s="96">
        <f>IFERROR(VLOOKUP($B76,INDIRECT("'GRD-"&amp;CZ$11&amp;"'!B:R"),15,FALSE),"")</f>
        <v/>
      </c>
      <c r="DA76" s="96">
        <f>IFERROR(VLOOKUP($B76,INDIRECT("'GRD-"&amp;DA$11&amp;"'!B:R"),15,FALSE),"")</f>
        <v/>
      </c>
      <c r="DB76" s="96">
        <f>IFERROR(VLOOKUP($B76,INDIRECT("'GRD-"&amp;DB$11&amp;"'!B:R"),15,FALSE),"")</f>
        <v/>
      </c>
      <c r="DC76" s="96">
        <f>IFERROR(VLOOKUP($B76,INDIRECT("'GRD-"&amp;DC$11&amp;"'!B:R"),15,FALSE),"")</f>
        <v/>
      </c>
      <c r="DD76" s="96">
        <f>IFERROR(VLOOKUP($B76,INDIRECT("'GRD-"&amp;DD$11&amp;"'!B:R"),15,FALSE),"")</f>
        <v/>
      </c>
      <c r="DE76" s="96">
        <f>IFERROR(VLOOKUP($B76,INDIRECT("'GRD-"&amp;DE$11&amp;"'!B:R"),15,FALSE),"")</f>
        <v/>
      </c>
      <c r="DF76" s="96">
        <f>IFERROR(VLOOKUP($B76,INDIRECT("'GRD-"&amp;DF$11&amp;"'!B:R"),15,FALSE),"")</f>
        <v/>
      </c>
      <c r="DG76" s="96">
        <f>IFERROR(VLOOKUP($B76,INDIRECT("'GRD-"&amp;DG$11&amp;"'!B:R"),15,FALSE),"")</f>
        <v/>
      </c>
      <c r="DH76" s="96">
        <f>IFERROR(VLOOKUP($B76,INDIRECT("'GRD-"&amp;DH$11&amp;"'!B:R"),15,FALSE),"")</f>
        <v/>
      </c>
      <c r="DI76" s="96">
        <f>IFERROR(VLOOKUP($B76,INDIRECT("'GRD-"&amp;DI$11&amp;"'!B:R"),15,FALSE),"")</f>
        <v/>
      </c>
      <c r="DJ76" s="96">
        <f>IFERROR(VLOOKUP($B76,INDIRECT("'GRD-"&amp;DJ$11&amp;"'!B:R"),15,FALSE),"")</f>
        <v/>
      </c>
      <c r="DK76" s="96">
        <f>IFERROR(VLOOKUP($B76,INDIRECT("'GRD-"&amp;DK$11&amp;"'!B:R"),15,FALSE),"")</f>
        <v/>
      </c>
      <c r="DL76" s="96">
        <f>IFERROR(VLOOKUP($B76,INDIRECT("'GRD-"&amp;DL$11&amp;"'!B:R"),15,FALSE),"")</f>
        <v/>
      </c>
      <c r="DM76" s="96">
        <f>IFERROR(VLOOKUP($B76,INDIRECT("'GRD-"&amp;DM$11&amp;"'!B:R"),15,FALSE),"")</f>
        <v/>
      </c>
      <c r="DN76" s="96">
        <f>IFERROR(VLOOKUP($B76,INDIRECT("'GRD-"&amp;DN$11&amp;"'!B:R"),15,FALSE),"")</f>
        <v/>
      </c>
      <c r="DO76" s="96">
        <f>IFERROR(VLOOKUP($B76,INDIRECT("'GRD-"&amp;DO$11&amp;"'!B:R"),15,FALSE),"")</f>
        <v/>
      </c>
      <c r="DP76" s="96">
        <f>IFERROR(VLOOKUP($B76,INDIRECT("'GRD-"&amp;DP$11&amp;"'!B:R"),15,FALSE),"")</f>
        <v/>
      </c>
      <c r="DQ76" s="96">
        <f>IFERROR(VLOOKUP($B76,INDIRECT("'GRD-"&amp;DQ$11&amp;"'!B:R"),15,FALSE),"")</f>
        <v/>
      </c>
      <c r="DR76" s="96">
        <f>IFERROR(VLOOKUP($B76,INDIRECT("'GRD-"&amp;DR$11&amp;"'!B:R"),15,FALSE),"")</f>
        <v/>
      </c>
      <c r="DS76" s="96">
        <f>IFERROR(VLOOKUP($B76,INDIRECT("'GRD-"&amp;DS$11&amp;"'!B:R"),15,FALSE),"")</f>
        <v/>
      </c>
      <c r="DT76" s="96">
        <f>IFERROR(VLOOKUP($B76,INDIRECT("'GRD-"&amp;DT$11&amp;"'!B:R"),15,FALSE),"")</f>
        <v/>
      </c>
      <c r="DU76" s="96">
        <f>IFERROR(VLOOKUP($B76,INDIRECT("'GRD-"&amp;DU$11&amp;"'!B:R"),15,FALSE),"")</f>
        <v/>
      </c>
      <c r="DV76" s="96">
        <f>IFERROR(VLOOKUP($B76,INDIRECT("'GRD-"&amp;DV$11&amp;"'!B:R"),15,FALSE),"")</f>
        <v/>
      </c>
      <c r="DW76" s="96">
        <f>IFERROR(VLOOKUP($B76,INDIRECT("'GRD-"&amp;DW$11&amp;"'!B:R"),15,FALSE),"")</f>
        <v/>
      </c>
      <c r="DX76" s="96">
        <f>IFERROR(VLOOKUP($B76,INDIRECT("'GRD-"&amp;DX$11&amp;"'!B:R"),15,FALSE),"")</f>
        <v/>
      </c>
      <c r="DY76" s="96">
        <f>IFERROR(VLOOKUP($B76,INDIRECT("'GRD-"&amp;DY$11&amp;"'!B:R"),15,FALSE),"")</f>
        <v/>
      </c>
      <c r="DZ76" s="96">
        <f>IFERROR(VLOOKUP($B76,INDIRECT("'GRD-"&amp;DZ$11&amp;"'!B:R"),15,FALSE),"")</f>
        <v/>
      </c>
      <c r="EA76" s="96">
        <f>IFERROR(VLOOKUP($B76,INDIRECT("'GRD-"&amp;EA$11&amp;"'!B:R"),15,FALSE),"")</f>
        <v/>
      </c>
      <c r="EB76" s="96">
        <f>IFERROR(VLOOKUP($B76,INDIRECT("'GRD-"&amp;EB$11&amp;"'!B:R"),15,FALSE),"")</f>
        <v/>
      </c>
      <c r="EC76" s="96">
        <f>IFERROR(VLOOKUP($B76,INDIRECT("'GRD-"&amp;EC$11&amp;"'!B:R"),15,FALSE),"")</f>
        <v/>
      </c>
      <c r="ED76" s="96">
        <f>IFERROR(VLOOKUP($B76,INDIRECT("'GRD-"&amp;ED$11&amp;"'!B:R"),15,FALSE),"")</f>
        <v/>
      </c>
      <c r="EE76" s="96">
        <f>IFERROR(VLOOKUP($B76,INDIRECT("'GRD-"&amp;EE$11&amp;"'!B:R"),15,FALSE),"")</f>
        <v/>
      </c>
      <c r="EF76" s="96">
        <f>IFERROR(VLOOKUP($B76,INDIRECT("'GRD-"&amp;EF$11&amp;"'!B:R"),15,FALSE),"")</f>
        <v/>
      </c>
      <c r="EG76" s="96">
        <f>IFERROR(VLOOKUP($B76,INDIRECT("'GRD-"&amp;EG$11&amp;"'!B:R"),15,FALSE),"")</f>
        <v/>
      </c>
      <c r="EH76" s="96">
        <f>IFERROR(VLOOKUP($B76,INDIRECT("'GRD-"&amp;EH$11&amp;"'!B:R"),15,FALSE),"")</f>
        <v/>
      </c>
      <c r="EI76" s="96">
        <f>IFERROR(VLOOKUP($B76,INDIRECT("'GRD-"&amp;EI$11&amp;"'!B:R"),15,FALSE),"")</f>
        <v/>
      </c>
      <c r="EJ76" s="96">
        <f>IFERROR(VLOOKUP($B76,INDIRECT("'GRD-"&amp;EJ$11&amp;"'!B:R"),15,FALSE),"")</f>
        <v/>
      </c>
      <c r="EK76" s="96">
        <f>IFERROR(VLOOKUP($B76,INDIRECT("'GRD-"&amp;EK$11&amp;"'!B:R"),15,FALSE),"")</f>
        <v/>
      </c>
      <c r="EL76" s="96">
        <f>IFERROR(VLOOKUP($B76,INDIRECT("'GRD-"&amp;EL$11&amp;"'!B:R"),15,FALSE),"")</f>
        <v/>
      </c>
      <c r="EM76" s="96">
        <f>IFERROR(VLOOKUP($B76,INDIRECT("'GRD-"&amp;EM$11&amp;"'!B:R"),15,FALSE),"")</f>
        <v/>
      </c>
      <c r="EN76" s="96">
        <f>IFERROR(VLOOKUP($B76,INDIRECT("'GRD-"&amp;EN$11&amp;"'!B:R"),15,FALSE),"")</f>
        <v/>
      </c>
      <c r="EO76" s="96">
        <f>IFERROR(VLOOKUP($B76,INDIRECT("'GRD-"&amp;EO$11&amp;"'!B:R"),15,FALSE),"")</f>
        <v/>
      </c>
      <c r="EP76" s="96">
        <f>IFERROR(VLOOKUP($B76,INDIRECT("'GRD-"&amp;EP$11&amp;"'!B:R"),15,FALSE),"")</f>
        <v/>
      </c>
      <c r="EQ76" s="96">
        <f>IFERROR(VLOOKUP($B76,INDIRECT("'GRD-"&amp;EQ$11&amp;"'!B:R"),15,FALSE),"")</f>
        <v/>
      </c>
      <c r="ER76" s="96">
        <f>IFERROR(VLOOKUP($B76,INDIRECT("'GRD-"&amp;ER$11&amp;"'!B:R"),15,FALSE),"")</f>
        <v/>
      </c>
      <c r="ES76" s="96">
        <f>IFERROR(VLOOKUP($B76,INDIRECT("'GRD-"&amp;ES$11&amp;"'!B:R"),15,FALSE),"")</f>
        <v/>
      </c>
      <c r="ET76" s="96">
        <f>IFERROR(VLOOKUP($B76,INDIRECT("'GRD-"&amp;ET$11&amp;"'!B:R"),15,FALSE),"")</f>
        <v/>
      </c>
      <c r="EU76" s="96">
        <f>IFERROR(VLOOKUP($B76,INDIRECT("'GRD-"&amp;EU$11&amp;"'!B:R"),15,FALSE),"")</f>
        <v/>
      </c>
      <c r="EV76" s="96">
        <f>IFERROR(VLOOKUP($B76,INDIRECT("'GRD-"&amp;EV$11&amp;"'!B:R"),15,FALSE),"")</f>
        <v/>
      </c>
      <c r="EW76" s="96">
        <f>IFERROR(VLOOKUP($B76,INDIRECT("'GRD-"&amp;EW$11&amp;"'!B:R"),15,FALSE),"")</f>
        <v/>
      </c>
      <c r="EX76" s="96">
        <f>IFERROR(VLOOKUP($B76,INDIRECT("'GRD-"&amp;EX$11&amp;"'!B:R"),15,FALSE),"")</f>
        <v/>
      </c>
      <c r="EY76" s="96">
        <f>IFERROR(VLOOKUP($B76,INDIRECT("'GRD-"&amp;EY$11&amp;"'!B:R"),15,FALSE),"")</f>
        <v/>
      </c>
      <c r="EZ76" s="96">
        <f>IFERROR(VLOOKUP($B76,INDIRECT("'GRD-"&amp;EZ$11&amp;"'!B:R"),15,FALSE),"")</f>
        <v/>
      </c>
      <c r="FA76" s="96">
        <f>IFERROR(VLOOKUP($B76,INDIRECT("'GRD-"&amp;FA$11&amp;"'!B:R"),15,FALSE),"")</f>
        <v/>
      </c>
      <c r="FB76" s="96">
        <f>IFERROR(VLOOKUP($B76,INDIRECT("'GRD-"&amp;FB$11&amp;"'!B:R"),15,FALSE),"")</f>
        <v/>
      </c>
      <c r="FC76" s="96">
        <f>IFERROR(VLOOKUP($B76,INDIRECT("'GRD-"&amp;FC$11&amp;"'!B:R"),15,FALSE),"")</f>
        <v/>
      </c>
      <c r="FD76" s="96">
        <f>IFERROR(VLOOKUP($B76,INDIRECT("'GRD-"&amp;FD$11&amp;"'!B:R"),15,FALSE),"")</f>
        <v/>
      </c>
      <c r="FE76" s="96">
        <f>IFERROR(VLOOKUP($B76,INDIRECT("'GRD-"&amp;FE$11&amp;"'!B:R"),15,FALSE),"")</f>
        <v/>
      </c>
      <c r="FF76" s="96">
        <f>IFERROR(VLOOKUP($B76,INDIRECT("'GRD-"&amp;FF$11&amp;"'!B:R"),15,FALSE),"")</f>
        <v/>
      </c>
      <c r="FG76" s="96">
        <f>IFERROR(VLOOKUP($B76,INDIRECT("'GRD-"&amp;FG$11&amp;"'!B:R"),15,FALSE),"")</f>
        <v/>
      </c>
      <c r="FH76" s="96">
        <f>IFERROR(VLOOKUP($B76,INDIRECT("'GRD-"&amp;FH$11&amp;"'!B:R"),15,FALSE),"")</f>
        <v/>
      </c>
      <c r="FI76" s="96">
        <f>IFERROR(VLOOKUP($B76,INDIRECT("'GRD-"&amp;FI$11&amp;"'!B:R"),15,FALSE),"")</f>
        <v/>
      </c>
      <c r="FJ76" s="96">
        <f>IFERROR(VLOOKUP($B76,INDIRECT("'GRD-"&amp;FJ$11&amp;"'!B:R"),15,FALSE),"")</f>
        <v/>
      </c>
      <c r="FK76" s="96">
        <f>IFERROR(VLOOKUP($B76,INDIRECT("'GRD-"&amp;FK$11&amp;"'!B:R"),15,FALSE),"")</f>
        <v/>
      </c>
      <c r="FL76" s="96">
        <f>IFERROR(VLOOKUP($B76,INDIRECT("'GRD-"&amp;FL$11&amp;"'!B:R"),15,FALSE),"")</f>
        <v/>
      </c>
      <c r="FM76" s="96">
        <f>IFERROR(VLOOKUP($B76,INDIRECT("'GRD-"&amp;FM$11&amp;"'!B:R"),15,FALSE),"")</f>
        <v/>
      </c>
      <c r="FN76" s="96">
        <f>IFERROR(VLOOKUP($B76,INDIRECT("'GRD-"&amp;FN$11&amp;"'!B:R"),15,FALSE),"")</f>
        <v/>
      </c>
      <c r="FO76" s="96">
        <f>IFERROR(VLOOKUP($B76,INDIRECT("'GRD-"&amp;FO$11&amp;"'!B:R"),15,FALSE),"")</f>
        <v/>
      </c>
      <c r="FP76" s="96">
        <f>IFERROR(VLOOKUP($B76,INDIRECT("'GRD-"&amp;FP$11&amp;"'!B:R"),15,FALSE),"")</f>
        <v/>
      </c>
      <c r="FQ76" s="96">
        <f>IFERROR(VLOOKUP($B76,INDIRECT("'GRD-"&amp;FQ$11&amp;"'!B:R"),15,FALSE),"")</f>
        <v/>
      </c>
      <c r="FR76" s="96">
        <f>IFERROR(VLOOKUP($B76,INDIRECT("'GRD-"&amp;FR$11&amp;"'!B:R"),15,FALSE),"")</f>
        <v/>
      </c>
      <c r="FS76" s="96">
        <f>IFERROR(VLOOKUP($B76,INDIRECT("'GRD-"&amp;FS$11&amp;"'!B:R"),15,FALSE),"")</f>
        <v/>
      </c>
      <c r="FT76" s="96">
        <f>IFERROR(VLOOKUP($B76,INDIRECT("'GRD-"&amp;FT$11&amp;"'!B:R"),15,FALSE),"")</f>
        <v/>
      </c>
      <c r="FU76" s="96">
        <f>IFERROR(VLOOKUP($B76,INDIRECT("'GRD-"&amp;FU$11&amp;"'!B:R"),15,FALSE),"")</f>
        <v/>
      </c>
      <c r="FV76" s="96">
        <f>IFERROR(VLOOKUP($B76,INDIRECT("'GRD-"&amp;FV$11&amp;"'!B:R"),15,FALSE),"")</f>
        <v/>
      </c>
    </row>
    <row r="77">
      <c r="B77" s="85" t="n"/>
      <c r="C77" s="93" t="n"/>
      <c r="D77" s="73">
        <f>IF(K77="","",MAX($CA77:$FV77))</f>
        <v/>
      </c>
      <c r="E77" s="74">
        <f t="array" ref="E77">IF($K77="","",OFFSET($A$1,ROW($B77)-1,11+$D77*4,))</f>
        <v/>
      </c>
      <c r="F77" s="74">
        <f t="array" ref="F77">IF($K77="","",OFFSET($A$1,ROW($B77)-1,12+$D77*4,))</f>
        <v/>
      </c>
      <c r="G77" s="118">
        <f t="array" ref="G77">IF($K77="","",OFFSET($A$1,ROW($B77)-1,13+$D77*4,))</f>
        <v/>
      </c>
      <c r="H77" s="81" t="n"/>
      <c r="I77" s="82" t="n"/>
      <c r="J77" s="75">
        <f>IF(I77="A4",H77/8,IF(I77="A3",H77/4,IF(I77="A2",H77/2,IF(I77="A1",H77/1,IF(I77="A0",H77*2,"")))))</f>
        <v/>
      </c>
      <c r="K77" s="68">
        <f t="array" ref="K77">IFERROR(OFFSET($BZ$11,ROW($B77)-11,MATCH(K$10,$CA77:$FV77,0),),"")</f>
        <v/>
      </c>
      <c r="L77" s="85">
        <f>IF(K77="","",IF(VLOOKUP($B77,INDIRECT("'GRD-"&amp;M77&amp;"'!$B:$R"),16,FALSE)="","",VLOOKUP($B77,INDIRECT("'GRD-"&amp;M77&amp;"'!$B:$R"),16,FALSE)))</f>
        <v/>
      </c>
      <c r="M77" s="130">
        <f t="array" ref="M77">IF(K77="","",IFERROR(OFFSET($BZ$11,0,MATCH($K77,$CA77:$FV77,0),),""))</f>
        <v/>
      </c>
      <c r="N77" s="119">
        <f t="array" ref="N77">IF(K77="","",INDIRECT("'GRD-"&amp;M77&amp;"'!$L$7"))</f>
        <v/>
      </c>
      <c r="O77" s="76">
        <f t="array" ref="O77">IFERROR(OFFSET($BZ$11,ROW($B77)-11,MATCH(O$10,$CA77:$FV77,0),),"")</f>
        <v/>
      </c>
      <c r="P77" s="76">
        <f>IF(O77="","",IF(VLOOKUP($B77,INDIRECT("'GRD-"&amp;Q77&amp;"'!$B:$R"),16,FALSE)="","",VLOOKUP($B77,INDIRECT("'GRD-"&amp;Q77&amp;"'!$B:$R"),16,FALSE)))</f>
        <v/>
      </c>
      <c r="Q77" s="132">
        <f t="array" ref="Q77">IF(O77="","",IFERROR(OFFSET($BZ$11,0,MATCH($O77,$CA77:$FV77,0),),""))</f>
        <v/>
      </c>
      <c r="R77" s="121">
        <f t="array" ref="R77">IF(O77="","",INDIRECT("'GRD-"&amp;Q77&amp;"'!$L$7"))</f>
        <v/>
      </c>
      <c r="S77" s="83">
        <f t="array" ref="S77">IFERROR(OFFSET($BZ$11,ROW($B77)-11,MATCH(S$10,$CA77:$FV77,0),),"")</f>
        <v/>
      </c>
      <c r="T77" s="83">
        <f>IF(S77="","",IF(VLOOKUP($B77,INDIRECT("'GRD-"&amp;U77&amp;"'!$B:$R"),16,FALSE)="","",VLOOKUP($B77,INDIRECT("'GRD-"&amp;U77&amp;"'!$B:$R"),16,FALSE)))</f>
        <v/>
      </c>
      <c r="U77" s="128">
        <f t="array" ref="U77">IF(S77="","",IFERROR(OFFSET($BZ$11,0,MATCH($S77,$CA77:$FV77,0),),""))</f>
        <v/>
      </c>
      <c r="V77" s="133">
        <f t="array" ref="V77">IF(S77="","",INDIRECT("'GRD-"&amp;U77&amp;"'!$L$7"))</f>
        <v/>
      </c>
      <c r="W77" s="84">
        <f t="array" ref="W77">IFERROR(OFFSET($BZ$11,ROW($B77)-11,MATCH(W$10,$CA77:$FV77,0),),"")</f>
        <v/>
      </c>
      <c r="X77" s="84">
        <f>IF(W77="","",IF(VLOOKUP($B77,INDIRECT("'GRD-"&amp;Y77&amp;"'!$B:$R"),16,FALSE)="","",VLOOKUP($B77,INDIRECT("'GRD-"&amp;Y77&amp;"'!$B:$R"),16,FALSE)))</f>
        <v/>
      </c>
      <c r="Y77" s="129">
        <f t="array" ref="Y77">IF(W77="","",IFERROR(OFFSET($BZ$11,0,MATCH($W77,$CA77:$FV77,0),),""))</f>
        <v/>
      </c>
      <c r="Z77" s="134">
        <f t="array" ref="Z77">IF(W77="","",INDIRECT("'GRD-"&amp;Y77&amp;"'!$L$7"))</f>
        <v/>
      </c>
      <c r="AA77" s="85">
        <f t="array" ref="AA77">IFERROR(OFFSET($BZ$11,ROW($B77)-11,MATCH(AA$10,$CA77:$FV77,0),),"")</f>
        <v/>
      </c>
      <c r="AB77" s="85">
        <f>IF(AA77="","",IF(VLOOKUP($B77,INDIRECT("'GRD-"&amp;AC77&amp;"'!$B:$R"),16,FALSE)="","",VLOOKUP($B77,INDIRECT("'GRD-"&amp;AC77&amp;"'!$B:$R"),16,FALSE)))</f>
        <v/>
      </c>
      <c r="AC77" s="130">
        <f t="array" ref="AC77">IF(AA77="","",IFERROR(OFFSET($BZ$11,0,MATCH($AA77,$CA77:$FV77,0),),""))</f>
        <v/>
      </c>
      <c r="AD77" s="131">
        <f t="array" ref="AD77">IF(AA77="","",INDIRECT("'GRD-"&amp;AC77&amp;"'!$L$7"))</f>
        <v/>
      </c>
      <c r="AE77" s="76">
        <f t="array" ref="AE77">IFERROR(OFFSET($BZ$11,ROW($B77)-11,MATCH(AE$10,$CA77:$FV77,0),),"")</f>
        <v/>
      </c>
      <c r="AF77" s="76">
        <f>IF(AE77="","",IF(VLOOKUP($B77,INDIRECT("'GRD-"&amp;AG77&amp;"'!$B:$R"),16,FALSE)="","",VLOOKUP($B77,INDIRECT("'GRD-"&amp;AG77&amp;"'!$B:$R"),16,FALSE)))</f>
        <v/>
      </c>
      <c r="AG77" s="132">
        <f t="array" ref="AG77">IF(AE77="","",IFERROR(OFFSET($BZ$11,0,MATCH($AE77,$CA77:$FV77,0),),""))</f>
        <v/>
      </c>
      <c r="AH77" s="121">
        <f t="array" ref="AH77">IF(AE77="","",INDIRECT("'GRD-"&amp;AG77&amp;"'!$L$7"))</f>
        <v/>
      </c>
      <c r="AI77" s="83">
        <f t="array" ref="AI77">IFERROR(OFFSET($BZ$11,ROW($B77)-11,MATCH(AI$10,$CA77:$FV77,0),),"")</f>
        <v/>
      </c>
      <c r="AJ77" s="83">
        <f>IF(AI77="","",IF(VLOOKUP($B77,INDIRECT("'GRD-"&amp;AK77&amp;"'!$B:$R"),16,FALSE)="","",VLOOKUP($B77,INDIRECT("'GRD-"&amp;AK77&amp;"'!$B:$R"),16,FALSE)))</f>
        <v/>
      </c>
      <c r="AK77" s="128">
        <f t="array" ref="AK77">IF(AI77="","",IFERROR(OFFSET($BZ$11,0,MATCH($AI77,$CA77:$FV77,0),),""))</f>
        <v/>
      </c>
      <c r="AL77" s="133">
        <f t="array" ref="AL77">IF(AI77="","",INDIRECT("'GRD-"&amp;AK77&amp;"'!$L$7"))</f>
        <v/>
      </c>
      <c r="AM77" s="84">
        <f t="array" ref="AM77">IFERROR(OFFSET($BZ$11,ROW($B77)-11,MATCH(AM$10,$CA77:$FV77,0),),"")</f>
        <v/>
      </c>
      <c r="AN77" s="84">
        <f>IF(AM77="","",IF(VLOOKUP($B77,INDIRECT("'GRD-"&amp;AO77&amp;"'!$B:$R"),16,FALSE)="","",VLOOKUP($B77,INDIRECT("'GRD-"&amp;AO77&amp;"'!$B:$R"),16,FALSE)))</f>
        <v/>
      </c>
      <c r="AO77" s="129">
        <f t="array" ref="AO77">IF(AM77="","",IFERROR(OFFSET($BZ$11,0,MATCH($AM77,$CA77:$FV77,0),),""))</f>
        <v/>
      </c>
      <c r="AP77" s="134">
        <f t="array" ref="AP77">IF(AM77="","",INDIRECT("'GRD-"&amp;AO77&amp;"'!$L$7"))</f>
        <v/>
      </c>
      <c r="AQ77" s="85">
        <f t="array" ref="AQ77">IFERROR(OFFSET($BZ$11,ROW($B77)-11,MATCH(AQ$10,$CA77:$FV77,0),),"")</f>
        <v/>
      </c>
      <c r="AR77" s="85">
        <f>IF(AQ77="","",IF(VLOOKUP($B77,INDIRECT("'GRD-"&amp;AS77&amp;"'!$B:$R"),16,FALSE)="","",VLOOKUP($B77,INDIRECT("'GRD-"&amp;AS77&amp;"'!$B:$R"),16,FALSE)))</f>
        <v/>
      </c>
      <c r="AS77" s="130">
        <f t="array" ref="AS77">IF(AQ77="","",IFERROR(OFFSET($BZ$11,0,MATCH($AQ77,$CA77:$FV77,0),),""))</f>
        <v/>
      </c>
      <c r="AT77" s="131">
        <f t="array" ref="AT77">IF(AQ77="","",INDIRECT("'GRD-"&amp;AS77&amp;"'!$L$7"))</f>
        <v/>
      </c>
      <c r="AU77" s="76">
        <f t="array" ref="AU77">IFERROR(OFFSET($BZ$11,ROW($B77)-11,MATCH(AU$10,$CA77:$FV77,0),),"")</f>
        <v/>
      </c>
      <c r="AV77" s="76">
        <f>IF(AU77="","",IF(VLOOKUP($B77,INDIRECT("'GRD-"&amp;AW77&amp;"'!$B:$R"),16,FALSE)="","",VLOOKUP($B77,INDIRECT("'GRD-"&amp;AW77&amp;"'!$B:$R"),16,FALSE)))</f>
        <v/>
      </c>
      <c r="AW77" s="132">
        <f t="array" ref="AW77">IF(AU77="","",IFERROR(OFFSET($BZ$11,0,MATCH($AU77,$CA77:$FV77,0),),""))</f>
        <v/>
      </c>
      <c r="AX77" s="121">
        <f t="array" ref="AX77">IF(AU77="","",INDIRECT("'GRD-"&amp;AW77&amp;"'!$L$7"))</f>
        <v/>
      </c>
      <c r="AY77" s="83">
        <f t="array" ref="AY77">IFERROR(OFFSET($BZ$11,ROW($B77)-11,MATCH(AY$10,$CA77:$FV77,0),),"")</f>
        <v/>
      </c>
      <c r="AZ77" s="83">
        <f>IF(AY77="","",IF(VLOOKUP($B77,INDIRECT("'GRD-"&amp;BA77&amp;"'!$B:$R"),16,FALSE)="","",VLOOKUP($B77,INDIRECT("'GRD-"&amp;BA77&amp;"'!$B:$R"),16,FALSE)))</f>
        <v/>
      </c>
      <c r="BA77" s="128">
        <f t="array" ref="BA77">IF(AY77="","",IFERROR(OFFSET($BZ$11,0,MATCH($AY77,$CA77:$FV77,0),),""))</f>
        <v/>
      </c>
      <c r="BB77" s="133">
        <f t="array" ref="BB77">IF(AY77="","",INDIRECT("'GRD-"&amp;BA77&amp;"'!$L$7"))</f>
        <v/>
      </c>
      <c r="BC77" s="84">
        <f t="array" ref="BC77">IFERROR(OFFSET($BZ$11,ROW($B77)-11,MATCH(BC$10,$CA77:$FV77,0),),"")</f>
        <v/>
      </c>
      <c r="BD77" s="84">
        <f>IF(BC77="","",IF(VLOOKUP($B77,INDIRECT("'GRD-"&amp;BE77&amp;"'!$B:$R"),16,FALSE)="","",VLOOKUP($B77,INDIRECT("'GRD-"&amp;BE77&amp;"'!$B:$R"),16,FALSE)))</f>
        <v/>
      </c>
      <c r="BE77" s="129">
        <f t="array" ref="BE77">IF(BC77="","",IFERROR(OFFSET($BZ$11,0,MATCH($BC77,$CA77:$FV77,0),),""))</f>
        <v/>
      </c>
      <c r="BF77" s="134">
        <f t="array" ref="BF77">IF(BC77="","",INDIRECT("'GRD-"&amp;BE77&amp;"'!$L$7"))</f>
        <v/>
      </c>
      <c r="CA77" s="96">
        <f>IFERROR(VLOOKUP($B77,INDIRECT("'GRD-"&amp;CA$11&amp;"'!B:R"),15,FALSE),"")</f>
        <v/>
      </c>
      <c r="CB77" s="96">
        <f>IFERROR(VLOOKUP($B77,INDIRECT("'GRD-"&amp;CB$11&amp;"'!B:R"),15,FALSE),"")</f>
        <v/>
      </c>
      <c r="CC77" s="96">
        <f>IFERROR(VLOOKUP($B77,INDIRECT("'GRD-"&amp;CC$11&amp;"'!B:R"),15,FALSE),"")</f>
        <v/>
      </c>
      <c r="CD77" s="96">
        <f>IFERROR(VLOOKUP($B77,INDIRECT("'GRD-"&amp;CD$11&amp;"'!B:R"),15,FALSE),"")</f>
        <v/>
      </c>
      <c r="CE77" s="96">
        <f>IFERROR(VLOOKUP($B77,INDIRECT("'GRD-"&amp;CE$11&amp;"'!B:R"),15,FALSE),"")</f>
        <v/>
      </c>
      <c r="CF77" s="96">
        <f>IFERROR(VLOOKUP($B77,INDIRECT("'GRD-"&amp;CF$11&amp;"'!B:R"),15,FALSE),"")</f>
        <v/>
      </c>
      <c r="CG77" s="96">
        <f>IFERROR(VLOOKUP($B77,INDIRECT("'GRD-"&amp;CG$11&amp;"'!B:R"),15,FALSE),"")</f>
        <v/>
      </c>
      <c r="CH77" s="96">
        <f>IFERROR(VLOOKUP($B77,INDIRECT("'GRD-"&amp;CH$11&amp;"'!B:R"),15,FALSE),"")</f>
        <v/>
      </c>
      <c r="CI77" s="96">
        <f>IFERROR(VLOOKUP($B77,INDIRECT("'GRD-"&amp;CI$11&amp;"'!B:R"),15,FALSE),"")</f>
        <v/>
      </c>
      <c r="CJ77" s="96">
        <f>IFERROR(VLOOKUP($B77,INDIRECT("'GRD-"&amp;CJ$11&amp;"'!B:R"),15,FALSE),"")</f>
        <v/>
      </c>
      <c r="CK77" s="96">
        <f>IFERROR(VLOOKUP($B77,INDIRECT("'GRD-"&amp;CK$11&amp;"'!B:R"),15,FALSE),"")</f>
        <v/>
      </c>
      <c r="CL77" s="96">
        <f>IFERROR(VLOOKUP($B77,INDIRECT("'GRD-"&amp;CL$11&amp;"'!B:R"),15,FALSE),"")</f>
        <v/>
      </c>
      <c r="CM77" s="96">
        <f>IFERROR(VLOOKUP($B77,INDIRECT("'GRD-"&amp;CM$11&amp;"'!B:R"),15,FALSE),"")</f>
        <v/>
      </c>
      <c r="CN77" s="96">
        <f>IFERROR(VLOOKUP($B77,INDIRECT("'GRD-"&amp;CN$11&amp;"'!B:R"),15,FALSE),"")</f>
        <v/>
      </c>
      <c r="CO77" s="96">
        <f>IFERROR(VLOOKUP($B77,INDIRECT("'GRD-"&amp;CO$11&amp;"'!B:R"),15,FALSE),"")</f>
        <v/>
      </c>
      <c r="CP77" s="96">
        <f>IFERROR(VLOOKUP($B77,INDIRECT("'GRD-"&amp;CP$11&amp;"'!B:R"),15,FALSE),"")</f>
        <v/>
      </c>
      <c r="CQ77" s="96">
        <f>IFERROR(VLOOKUP($B77,INDIRECT("'GRD-"&amp;CQ$11&amp;"'!B:R"),15,FALSE),"")</f>
        <v/>
      </c>
      <c r="CR77" s="96">
        <f>IFERROR(VLOOKUP($B77,INDIRECT("'GRD-"&amp;CR$11&amp;"'!B:R"),15,FALSE),"")</f>
        <v/>
      </c>
      <c r="CS77" s="96">
        <f>IFERROR(VLOOKUP($B77,INDIRECT("'GRD-"&amp;CS$11&amp;"'!B:R"),15,FALSE),"")</f>
        <v/>
      </c>
      <c r="CT77" s="96">
        <f>IFERROR(VLOOKUP($B77,INDIRECT("'GRD-"&amp;CT$11&amp;"'!B:R"),15,FALSE),"")</f>
        <v/>
      </c>
      <c r="CU77" s="96">
        <f>IFERROR(VLOOKUP($B77,INDIRECT("'GRD-"&amp;CU$11&amp;"'!B:R"),15,FALSE),"")</f>
        <v/>
      </c>
      <c r="CV77" s="96">
        <f>IFERROR(VLOOKUP($B77,INDIRECT("'GRD-"&amp;CV$11&amp;"'!B:R"),15,FALSE),"")</f>
        <v/>
      </c>
      <c r="CW77" s="96">
        <f>IFERROR(VLOOKUP($B77,INDIRECT("'GRD-"&amp;CW$11&amp;"'!B:R"),15,FALSE),"")</f>
        <v/>
      </c>
      <c r="CX77" s="96">
        <f>IFERROR(VLOOKUP($B77,INDIRECT("'GRD-"&amp;CX$11&amp;"'!B:R"),15,FALSE),"")</f>
        <v/>
      </c>
      <c r="CY77" s="96">
        <f>IFERROR(VLOOKUP($B77,INDIRECT("'GRD-"&amp;CY$11&amp;"'!B:R"),15,FALSE),"")</f>
        <v/>
      </c>
      <c r="CZ77" s="96">
        <f>IFERROR(VLOOKUP($B77,INDIRECT("'GRD-"&amp;CZ$11&amp;"'!B:R"),15,FALSE),"")</f>
        <v/>
      </c>
      <c r="DA77" s="96">
        <f>IFERROR(VLOOKUP($B77,INDIRECT("'GRD-"&amp;DA$11&amp;"'!B:R"),15,FALSE),"")</f>
        <v/>
      </c>
      <c r="DB77" s="96">
        <f>IFERROR(VLOOKUP($B77,INDIRECT("'GRD-"&amp;DB$11&amp;"'!B:R"),15,FALSE),"")</f>
        <v/>
      </c>
      <c r="DC77" s="96">
        <f>IFERROR(VLOOKUP($B77,INDIRECT("'GRD-"&amp;DC$11&amp;"'!B:R"),15,FALSE),"")</f>
        <v/>
      </c>
      <c r="DD77" s="96">
        <f>IFERROR(VLOOKUP($B77,INDIRECT("'GRD-"&amp;DD$11&amp;"'!B:R"),15,FALSE),"")</f>
        <v/>
      </c>
      <c r="DE77" s="96">
        <f>IFERROR(VLOOKUP($B77,INDIRECT("'GRD-"&amp;DE$11&amp;"'!B:R"),15,FALSE),"")</f>
        <v/>
      </c>
      <c r="DF77" s="96">
        <f>IFERROR(VLOOKUP($B77,INDIRECT("'GRD-"&amp;DF$11&amp;"'!B:R"),15,FALSE),"")</f>
        <v/>
      </c>
      <c r="DG77" s="96">
        <f>IFERROR(VLOOKUP($B77,INDIRECT("'GRD-"&amp;DG$11&amp;"'!B:R"),15,FALSE),"")</f>
        <v/>
      </c>
      <c r="DH77" s="96">
        <f>IFERROR(VLOOKUP($B77,INDIRECT("'GRD-"&amp;DH$11&amp;"'!B:R"),15,FALSE),"")</f>
        <v/>
      </c>
      <c r="DI77" s="96">
        <f>IFERROR(VLOOKUP($B77,INDIRECT("'GRD-"&amp;DI$11&amp;"'!B:R"),15,FALSE),"")</f>
        <v/>
      </c>
      <c r="DJ77" s="96">
        <f>IFERROR(VLOOKUP($B77,INDIRECT("'GRD-"&amp;DJ$11&amp;"'!B:R"),15,FALSE),"")</f>
        <v/>
      </c>
      <c r="DK77" s="96">
        <f>IFERROR(VLOOKUP($B77,INDIRECT("'GRD-"&amp;DK$11&amp;"'!B:R"),15,FALSE),"")</f>
        <v/>
      </c>
      <c r="DL77" s="96">
        <f>IFERROR(VLOOKUP($B77,INDIRECT("'GRD-"&amp;DL$11&amp;"'!B:R"),15,FALSE),"")</f>
        <v/>
      </c>
      <c r="DM77" s="96">
        <f>IFERROR(VLOOKUP($B77,INDIRECT("'GRD-"&amp;DM$11&amp;"'!B:R"),15,FALSE),"")</f>
        <v/>
      </c>
      <c r="DN77" s="96">
        <f>IFERROR(VLOOKUP($B77,INDIRECT("'GRD-"&amp;DN$11&amp;"'!B:R"),15,FALSE),"")</f>
        <v/>
      </c>
      <c r="DO77" s="96">
        <f>IFERROR(VLOOKUP($B77,INDIRECT("'GRD-"&amp;DO$11&amp;"'!B:R"),15,FALSE),"")</f>
        <v/>
      </c>
      <c r="DP77" s="96">
        <f>IFERROR(VLOOKUP($B77,INDIRECT("'GRD-"&amp;DP$11&amp;"'!B:R"),15,FALSE),"")</f>
        <v/>
      </c>
      <c r="DQ77" s="96">
        <f>IFERROR(VLOOKUP($B77,INDIRECT("'GRD-"&amp;DQ$11&amp;"'!B:R"),15,FALSE),"")</f>
        <v/>
      </c>
      <c r="DR77" s="96">
        <f>IFERROR(VLOOKUP($B77,INDIRECT("'GRD-"&amp;DR$11&amp;"'!B:R"),15,FALSE),"")</f>
        <v/>
      </c>
      <c r="DS77" s="96">
        <f>IFERROR(VLOOKUP($B77,INDIRECT("'GRD-"&amp;DS$11&amp;"'!B:R"),15,FALSE),"")</f>
        <v/>
      </c>
      <c r="DT77" s="96">
        <f>IFERROR(VLOOKUP($B77,INDIRECT("'GRD-"&amp;DT$11&amp;"'!B:R"),15,FALSE),"")</f>
        <v/>
      </c>
      <c r="DU77" s="96">
        <f>IFERROR(VLOOKUP($B77,INDIRECT("'GRD-"&amp;DU$11&amp;"'!B:R"),15,FALSE),"")</f>
        <v/>
      </c>
      <c r="DV77" s="96">
        <f>IFERROR(VLOOKUP($B77,INDIRECT("'GRD-"&amp;DV$11&amp;"'!B:R"),15,FALSE),"")</f>
        <v/>
      </c>
      <c r="DW77" s="96">
        <f>IFERROR(VLOOKUP($B77,INDIRECT("'GRD-"&amp;DW$11&amp;"'!B:R"),15,FALSE),"")</f>
        <v/>
      </c>
      <c r="DX77" s="96">
        <f>IFERROR(VLOOKUP($B77,INDIRECT("'GRD-"&amp;DX$11&amp;"'!B:R"),15,FALSE),"")</f>
        <v/>
      </c>
      <c r="DY77" s="96">
        <f>IFERROR(VLOOKUP($B77,INDIRECT("'GRD-"&amp;DY$11&amp;"'!B:R"),15,FALSE),"")</f>
        <v/>
      </c>
      <c r="DZ77" s="96">
        <f>IFERROR(VLOOKUP($B77,INDIRECT("'GRD-"&amp;DZ$11&amp;"'!B:R"),15,FALSE),"")</f>
        <v/>
      </c>
      <c r="EA77" s="96">
        <f>IFERROR(VLOOKUP($B77,INDIRECT("'GRD-"&amp;EA$11&amp;"'!B:R"),15,FALSE),"")</f>
        <v/>
      </c>
      <c r="EB77" s="96">
        <f>IFERROR(VLOOKUP($B77,INDIRECT("'GRD-"&amp;EB$11&amp;"'!B:R"),15,FALSE),"")</f>
        <v/>
      </c>
      <c r="EC77" s="96">
        <f>IFERROR(VLOOKUP($B77,INDIRECT("'GRD-"&amp;EC$11&amp;"'!B:R"),15,FALSE),"")</f>
        <v/>
      </c>
      <c r="ED77" s="96">
        <f>IFERROR(VLOOKUP($B77,INDIRECT("'GRD-"&amp;ED$11&amp;"'!B:R"),15,FALSE),"")</f>
        <v/>
      </c>
      <c r="EE77" s="96">
        <f>IFERROR(VLOOKUP($B77,INDIRECT("'GRD-"&amp;EE$11&amp;"'!B:R"),15,FALSE),"")</f>
        <v/>
      </c>
      <c r="EF77" s="96">
        <f>IFERROR(VLOOKUP($B77,INDIRECT("'GRD-"&amp;EF$11&amp;"'!B:R"),15,FALSE),"")</f>
        <v/>
      </c>
      <c r="EG77" s="96">
        <f>IFERROR(VLOOKUP($B77,INDIRECT("'GRD-"&amp;EG$11&amp;"'!B:R"),15,FALSE),"")</f>
        <v/>
      </c>
      <c r="EH77" s="96">
        <f>IFERROR(VLOOKUP($B77,INDIRECT("'GRD-"&amp;EH$11&amp;"'!B:R"),15,FALSE),"")</f>
        <v/>
      </c>
      <c r="EI77" s="96">
        <f>IFERROR(VLOOKUP($B77,INDIRECT("'GRD-"&amp;EI$11&amp;"'!B:R"),15,FALSE),"")</f>
        <v/>
      </c>
      <c r="EJ77" s="96">
        <f>IFERROR(VLOOKUP($B77,INDIRECT("'GRD-"&amp;EJ$11&amp;"'!B:R"),15,FALSE),"")</f>
        <v/>
      </c>
      <c r="EK77" s="96">
        <f>IFERROR(VLOOKUP($B77,INDIRECT("'GRD-"&amp;EK$11&amp;"'!B:R"),15,FALSE),"")</f>
        <v/>
      </c>
      <c r="EL77" s="96">
        <f>IFERROR(VLOOKUP($B77,INDIRECT("'GRD-"&amp;EL$11&amp;"'!B:R"),15,FALSE),"")</f>
        <v/>
      </c>
      <c r="EM77" s="96">
        <f>IFERROR(VLOOKUP($B77,INDIRECT("'GRD-"&amp;EM$11&amp;"'!B:R"),15,FALSE),"")</f>
        <v/>
      </c>
      <c r="EN77" s="96">
        <f>IFERROR(VLOOKUP($B77,INDIRECT("'GRD-"&amp;EN$11&amp;"'!B:R"),15,FALSE),"")</f>
        <v/>
      </c>
      <c r="EO77" s="96">
        <f>IFERROR(VLOOKUP($B77,INDIRECT("'GRD-"&amp;EO$11&amp;"'!B:R"),15,FALSE),"")</f>
        <v/>
      </c>
      <c r="EP77" s="96">
        <f>IFERROR(VLOOKUP($B77,INDIRECT("'GRD-"&amp;EP$11&amp;"'!B:R"),15,FALSE),"")</f>
        <v/>
      </c>
      <c r="EQ77" s="96">
        <f>IFERROR(VLOOKUP($B77,INDIRECT("'GRD-"&amp;EQ$11&amp;"'!B:R"),15,FALSE),"")</f>
        <v/>
      </c>
      <c r="ER77" s="96">
        <f>IFERROR(VLOOKUP($B77,INDIRECT("'GRD-"&amp;ER$11&amp;"'!B:R"),15,FALSE),"")</f>
        <v/>
      </c>
      <c r="ES77" s="96">
        <f>IFERROR(VLOOKUP($B77,INDIRECT("'GRD-"&amp;ES$11&amp;"'!B:R"),15,FALSE),"")</f>
        <v/>
      </c>
      <c r="ET77" s="96">
        <f>IFERROR(VLOOKUP($B77,INDIRECT("'GRD-"&amp;ET$11&amp;"'!B:R"),15,FALSE),"")</f>
        <v/>
      </c>
      <c r="EU77" s="96">
        <f>IFERROR(VLOOKUP($B77,INDIRECT("'GRD-"&amp;EU$11&amp;"'!B:R"),15,FALSE),"")</f>
        <v/>
      </c>
      <c r="EV77" s="96">
        <f>IFERROR(VLOOKUP($B77,INDIRECT("'GRD-"&amp;EV$11&amp;"'!B:R"),15,FALSE),"")</f>
        <v/>
      </c>
      <c r="EW77" s="96">
        <f>IFERROR(VLOOKUP($B77,INDIRECT("'GRD-"&amp;EW$11&amp;"'!B:R"),15,FALSE),"")</f>
        <v/>
      </c>
      <c r="EX77" s="96">
        <f>IFERROR(VLOOKUP($B77,INDIRECT("'GRD-"&amp;EX$11&amp;"'!B:R"),15,FALSE),"")</f>
        <v/>
      </c>
      <c r="EY77" s="96">
        <f>IFERROR(VLOOKUP($B77,INDIRECT("'GRD-"&amp;EY$11&amp;"'!B:R"),15,FALSE),"")</f>
        <v/>
      </c>
      <c r="EZ77" s="96">
        <f>IFERROR(VLOOKUP($B77,INDIRECT("'GRD-"&amp;EZ$11&amp;"'!B:R"),15,FALSE),"")</f>
        <v/>
      </c>
      <c r="FA77" s="96">
        <f>IFERROR(VLOOKUP($B77,INDIRECT("'GRD-"&amp;FA$11&amp;"'!B:R"),15,FALSE),"")</f>
        <v/>
      </c>
      <c r="FB77" s="96">
        <f>IFERROR(VLOOKUP($B77,INDIRECT("'GRD-"&amp;FB$11&amp;"'!B:R"),15,FALSE),"")</f>
        <v/>
      </c>
      <c r="FC77" s="96">
        <f>IFERROR(VLOOKUP($B77,INDIRECT("'GRD-"&amp;FC$11&amp;"'!B:R"),15,FALSE),"")</f>
        <v/>
      </c>
      <c r="FD77" s="96">
        <f>IFERROR(VLOOKUP($B77,INDIRECT("'GRD-"&amp;FD$11&amp;"'!B:R"),15,FALSE),"")</f>
        <v/>
      </c>
      <c r="FE77" s="96">
        <f>IFERROR(VLOOKUP($B77,INDIRECT("'GRD-"&amp;FE$11&amp;"'!B:R"),15,FALSE),"")</f>
        <v/>
      </c>
      <c r="FF77" s="96">
        <f>IFERROR(VLOOKUP($B77,INDIRECT("'GRD-"&amp;FF$11&amp;"'!B:R"),15,FALSE),"")</f>
        <v/>
      </c>
      <c r="FG77" s="96">
        <f>IFERROR(VLOOKUP($B77,INDIRECT("'GRD-"&amp;FG$11&amp;"'!B:R"),15,FALSE),"")</f>
        <v/>
      </c>
      <c r="FH77" s="96">
        <f>IFERROR(VLOOKUP($B77,INDIRECT("'GRD-"&amp;FH$11&amp;"'!B:R"),15,FALSE),"")</f>
        <v/>
      </c>
      <c r="FI77" s="96">
        <f>IFERROR(VLOOKUP($B77,INDIRECT("'GRD-"&amp;FI$11&amp;"'!B:R"),15,FALSE),"")</f>
        <v/>
      </c>
      <c r="FJ77" s="96">
        <f>IFERROR(VLOOKUP($B77,INDIRECT("'GRD-"&amp;FJ$11&amp;"'!B:R"),15,FALSE),"")</f>
        <v/>
      </c>
      <c r="FK77" s="96">
        <f>IFERROR(VLOOKUP($B77,INDIRECT("'GRD-"&amp;FK$11&amp;"'!B:R"),15,FALSE),"")</f>
        <v/>
      </c>
      <c r="FL77" s="96">
        <f>IFERROR(VLOOKUP($B77,INDIRECT("'GRD-"&amp;FL$11&amp;"'!B:R"),15,FALSE),"")</f>
        <v/>
      </c>
      <c r="FM77" s="96">
        <f>IFERROR(VLOOKUP($B77,INDIRECT("'GRD-"&amp;FM$11&amp;"'!B:R"),15,FALSE),"")</f>
        <v/>
      </c>
      <c r="FN77" s="96">
        <f>IFERROR(VLOOKUP($B77,INDIRECT("'GRD-"&amp;FN$11&amp;"'!B:R"),15,FALSE),"")</f>
        <v/>
      </c>
      <c r="FO77" s="96">
        <f>IFERROR(VLOOKUP($B77,INDIRECT("'GRD-"&amp;FO$11&amp;"'!B:R"),15,FALSE),"")</f>
        <v/>
      </c>
      <c r="FP77" s="96">
        <f>IFERROR(VLOOKUP($B77,INDIRECT("'GRD-"&amp;FP$11&amp;"'!B:R"),15,FALSE),"")</f>
        <v/>
      </c>
      <c r="FQ77" s="96">
        <f>IFERROR(VLOOKUP($B77,INDIRECT("'GRD-"&amp;FQ$11&amp;"'!B:R"),15,FALSE),"")</f>
        <v/>
      </c>
      <c r="FR77" s="96">
        <f>IFERROR(VLOOKUP($B77,INDIRECT("'GRD-"&amp;FR$11&amp;"'!B:R"),15,FALSE),"")</f>
        <v/>
      </c>
      <c r="FS77" s="96">
        <f>IFERROR(VLOOKUP($B77,INDIRECT("'GRD-"&amp;FS$11&amp;"'!B:R"),15,FALSE),"")</f>
        <v/>
      </c>
      <c r="FT77" s="96">
        <f>IFERROR(VLOOKUP($B77,INDIRECT("'GRD-"&amp;FT$11&amp;"'!B:R"),15,FALSE),"")</f>
        <v/>
      </c>
      <c r="FU77" s="96">
        <f>IFERROR(VLOOKUP($B77,INDIRECT("'GRD-"&amp;FU$11&amp;"'!B:R"),15,FALSE),"")</f>
        <v/>
      </c>
      <c r="FV77" s="96">
        <f>IFERROR(VLOOKUP($B77,INDIRECT("'GRD-"&amp;FV$11&amp;"'!B:R"),15,FALSE),"")</f>
        <v/>
      </c>
    </row>
    <row r="78">
      <c r="B78" s="85" t="n"/>
      <c r="C78" s="93" t="n"/>
      <c r="D78" s="73">
        <f>IF(K78="","",MAX($CA78:$FV78))</f>
        <v/>
      </c>
      <c r="E78" s="74">
        <f t="array" ref="E78">IF($K78="","",OFFSET($A$1,ROW($B78)-1,11+$D78*4,))</f>
        <v/>
      </c>
      <c r="F78" s="74">
        <f t="array" ref="F78">IF($K78="","",OFFSET($A$1,ROW($B78)-1,12+$D78*4,))</f>
        <v/>
      </c>
      <c r="G78" s="118">
        <f t="array" ref="G78">IF($K78="","",OFFSET($A$1,ROW($B78)-1,13+$D78*4,))</f>
        <v/>
      </c>
      <c r="H78" s="81" t="n"/>
      <c r="I78" s="82" t="n"/>
      <c r="J78" s="75">
        <f>IF(I78="A4",H78/8,IF(I78="A3",H78/4,IF(I78="A2",H78/2,IF(I78="A1",H78/1,IF(I78="A0",H78*2,"")))))</f>
        <v/>
      </c>
      <c r="K78" s="68">
        <f t="array" ref="K78">IFERROR(OFFSET($BZ$11,ROW($B78)-11,MATCH(K$10,$CA78:$FV78,0),),"")</f>
        <v/>
      </c>
      <c r="L78" s="85">
        <f>IF(K78="","",IF(VLOOKUP($B78,INDIRECT("'GRD-"&amp;M78&amp;"'!$B:$R"),16,FALSE)="","",VLOOKUP($B78,INDIRECT("'GRD-"&amp;M78&amp;"'!$B:$R"),16,FALSE)))</f>
        <v/>
      </c>
      <c r="M78" s="130">
        <f t="array" ref="M78">IF(K78="","",IFERROR(OFFSET($BZ$11,0,MATCH($K78,$CA78:$FV78,0),),""))</f>
        <v/>
      </c>
      <c r="N78" s="119">
        <f t="array" ref="N78">IF(K78="","",INDIRECT("'GRD-"&amp;M78&amp;"'!$L$7"))</f>
        <v/>
      </c>
      <c r="O78" s="76">
        <f t="array" ref="O78">IFERROR(OFFSET($BZ$11,ROW($B78)-11,MATCH(O$10,$CA78:$FV78,0),),"")</f>
        <v/>
      </c>
      <c r="P78" s="76">
        <f>IF(O78="","",IF(VLOOKUP($B78,INDIRECT("'GRD-"&amp;Q78&amp;"'!$B:$R"),16,FALSE)="","",VLOOKUP($B78,INDIRECT("'GRD-"&amp;Q78&amp;"'!$B:$R"),16,FALSE)))</f>
        <v/>
      </c>
      <c r="Q78" s="132">
        <f t="array" ref="Q78">IF(O78="","",IFERROR(OFFSET($BZ$11,0,MATCH($O78,$CA78:$FV78,0),),""))</f>
        <v/>
      </c>
      <c r="R78" s="121">
        <f t="array" ref="R78">IF(O78="","",INDIRECT("'GRD-"&amp;Q78&amp;"'!$L$7"))</f>
        <v/>
      </c>
      <c r="S78" s="83">
        <f t="array" ref="S78">IFERROR(OFFSET($BZ$11,ROW($B78)-11,MATCH(S$10,$CA78:$FV78,0),),"")</f>
        <v/>
      </c>
      <c r="T78" s="83">
        <f>IF(S78="","",IF(VLOOKUP($B78,INDIRECT("'GRD-"&amp;U78&amp;"'!$B:$R"),16,FALSE)="","",VLOOKUP($B78,INDIRECT("'GRD-"&amp;U78&amp;"'!$B:$R"),16,FALSE)))</f>
        <v/>
      </c>
      <c r="U78" s="128">
        <f t="array" ref="U78">IF(S78="","",IFERROR(OFFSET($BZ$11,0,MATCH($S78,$CA78:$FV78,0),),""))</f>
        <v/>
      </c>
      <c r="V78" s="133">
        <f t="array" ref="V78">IF(S78="","",INDIRECT("'GRD-"&amp;U78&amp;"'!$L$7"))</f>
        <v/>
      </c>
      <c r="W78" s="84">
        <f t="array" ref="W78">IFERROR(OFFSET($BZ$11,ROW($B78)-11,MATCH(W$10,$CA78:$FV78,0),),"")</f>
        <v/>
      </c>
      <c r="X78" s="84">
        <f>IF(W78="","",IF(VLOOKUP($B78,INDIRECT("'GRD-"&amp;Y78&amp;"'!$B:$R"),16,FALSE)="","",VLOOKUP($B78,INDIRECT("'GRD-"&amp;Y78&amp;"'!$B:$R"),16,FALSE)))</f>
        <v/>
      </c>
      <c r="Y78" s="129">
        <f t="array" ref="Y78">IF(W78="","",IFERROR(OFFSET($BZ$11,0,MATCH($W78,$CA78:$FV78,0),),""))</f>
        <v/>
      </c>
      <c r="Z78" s="134">
        <f t="array" ref="Z78">IF(W78="","",INDIRECT("'GRD-"&amp;Y78&amp;"'!$L$7"))</f>
        <v/>
      </c>
      <c r="AA78" s="85">
        <f t="array" ref="AA78">IFERROR(OFFSET($BZ$11,ROW($B78)-11,MATCH(AA$10,$CA78:$FV78,0),),"")</f>
        <v/>
      </c>
      <c r="AB78" s="85">
        <f>IF(AA78="","",IF(VLOOKUP($B78,INDIRECT("'GRD-"&amp;AC78&amp;"'!$B:$R"),16,FALSE)="","",VLOOKUP($B78,INDIRECT("'GRD-"&amp;AC78&amp;"'!$B:$R"),16,FALSE)))</f>
        <v/>
      </c>
      <c r="AC78" s="130">
        <f t="array" ref="AC78">IF(AA78="","",IFERROR(OFFSET($BZ$11,0,MATCH($AA78,$CA78:$FV78,0),),""))</f>
        <v/>
      </c>
      <c r="AD78" s="131">
        <f t="array" ref="AD78">IF(AA78="","",INDIRECT("'GRD-"&amp;AC78&amp;"'!$L$7"))</f>
        <v/>
      </c>
      <c r="AE78" s="76">
        <f t="array" ref="AE78">IFERROR(OFFSET($BZ$11,ROW($B78)-11,MATCH(AE$10,$CA78:$FV78,0),),"")</f>
        <v/>
      </c>
      <c r="AF78" s="76">
        <f>IF(AE78="","",IF(VLOOKUP($B78,INDIRECT("'GRD-"&amp;AG78&amp;"'!$B:$R"),16,FALSE)="","",VLOOKUP($B78,INDIRECT("'GRD-"&amp;AG78&amp;"'!$B:$R"),16,FALSE)))</f>
        <v/>
      </c>
      <c r="AG78" s="132">
        <f t="array" ref="AG78">IF(AE78="","",IFERROR(OFFSET($BZ$11,0,MATCH($AE78,$CA78:$FV78,0),),""))</f>
        <v/>
      </c>
      <c r="AH78" s="121">
        <f t="array" ref="AH78">IF(AE78="","",INDIRECT("'GRD-"&amp;AG78&amp;"'!$L$7"))</f>
        <v/>
      </c>
      <c r="AI78" s="83">
        <f t="array" ref="AI78">IFERROR(OFFSET($BZ$11,ROW($B78)-11,MATCH(AI$10,$CA78:$FV78,0),),"")</f>
        <v/>
      </c>
      <c r="AJ78" s="83">
        <f>IF(AI78="","",IF(VLOOKUP($B78,INDIRECT("'GRD-"&amp;AK78&amp;"'!$B:$R"),16,FALSE)="","",VLOOKUP($B78,INDIRECT("'GRD-"&amp;AK78&amp;"'!$B:$R"),16,FALSE)))</f>
        <v/>
      </c>
      <c r="AK78" s="128">
        <f t="array" ref="AK78">IF(AI78="","",IFERROR(OFFSET($BZ$11,0,MATCH($AI78,$CA78:$FV78,0),),""))</f>
        <v/>
      </c>
      <c r="AL78" s="133">
        <f t="array" ref="AL78">IF(AI78="","",INDIRECT("'GRD-"&amp;AK78&amp;"'!$L$7"))</f>
        <v/>
      </c>
      <c r="AM78" s="84">
        <f t="array" ref="AM78">IFERROR(OFFSET($BZ$11,ROW($B78)-11,MATCH(AM$10,$CA78:$FV78,0),),"")</f>
        <v/>
      </c>
      <c r="AN78" s="84">
        <f>IF(AM78="","",IF(VLOOKUP($B78,INDIRECT("'GRD-"&amp;AO78&amp;"'!$B:$R"),16,FALSE)="","",VLOOKUP($B78,INDIRECT("'GRD-"&amp;AO78&amp;"'!$B:$R"),16,FALSE)))</f>
        <v/>
      </c>
      <c r="AO78" s="129">
        <f t="array" ref="AO78">IF(AM78="","",IFERROR(OFFSET($BZ$11,0,MATCH($AM78,$CA78:$FV78,0),),""))</f>
        <v/>
      </c>
      <c r="AP78" s="134">
        <f t="array" ref="AP78">IF(AM78="","",INDIRECT("'GRD-"&amp;AO78&amp;"'!$L$7"))</f>
        <v/>
      </c>
      <c r="AQ78" s="85">
        <f t="array" ref="AQ78">IFERROR(OFFSET($BZ$11,ROW($B78)-11,MATCH(AQ$10,$CA78:$FV78,0),),"")</f>
        <v/>
      </c>
      <c r="AR78" s="85">
        <f>IF(AQ78="","",IF(VLOOKUP($B78,INDIRECT("'GRD-"&amp;AS78&amp;"'!$B:$R"),16,FALSE)="","",VLOOKUP($B78,INDIRECT("'GRD-"&amp;AS78&amp;"'!$B:$R"),16,FALSE)))</f>
        <v/>
      </c>
      <c r="AS78" s="130">
        <f t="array" ref="AS78">IF(AQ78="","",IFERROR(OFFSET($BZ$11,0,MATCH($AQ78,$CA78:$FV78,0),),""))</f>
        <v/>
      </c>
      <c r="AT78" s="131">
        <f t="array" ref="AT78">IF(AQ78="","",INDIRECT("'GRD-"&amp;AS78&amp;"'!$L$7"))</f>
        <v/>
      </c>
      <c r="AU78" s="76">
        <f t="array" ref="AU78">IFERROR(OFFSET($BZ$11,ROW($B78)-11,MATCH(AU$10,$CA78:$FV78,0),),"")</f>
        <v/>
      </c>
      <c r="AV78" s="76">
        <f>IF(AU78="","",IF(VLOOKUP($B78,INDIRECT("'GRD-"&amp;AW78&amp;"'!$B:$R"),16,FALSE)="","",VLOOKUP($B78,INDIRECT("'GRD-"&amp;AW78&amp;"'!$B:$R"),16,FALSE)))</f>
        <v/>
      </c>
      <c r="AW78" s="132">
        <f t="array" ref="AW78">IF(AU78="","",IFERROR(OFFSET($BZ$11,0,MATCH($AU78,$CA78:$FV78,0),),""))</f>
        <v/>
      </c>
      <c r="AX78" s="121">
        <f t="array" ref="AX78">IF(AU78="","",INDIRECT("'GRD-"&amp;AW78&amp;"'!$L$7"))</f>
        <v/>
      </c>
      <c r="AY78" s="83">
        <f t="array" ref="AY78">IFERROR(OFFSET($BZ$11,ROW($B78)-11,MATCH(AY$10,$CA78:$FV78,0),),"")</f>
        <v/>
      </c>
      <c r="AZ78" s="83">
        <f>IF(AY78="","",IF(VLOOKUP($B78,INDIRECT("'GRD-"&amp;BA78&amp;"'!$B:$R"),16,FALSE)="","",VLOOKUP($B78,INDIRECT("'GRD-"&amp;BA78&amp;"'!$B:$R"),16,FALSE)))</f>
        <v/>
      </c>
      <c r="BA78" s="128">
        <f t="array" ref="BA78">IF(AY78="","",IFERROR(OFFSET($BZ$11,0,MATCH($AY78,$CA78:$FV78,0),),""))</f>
        <v/>
      </c>
      <c r="BB78" s="133">
        <f t="array" ref="BB78">IF(AY78="","",INDIRECT("'GRD-"&amp;BA78&amp;"'!$L$7"))</f>
        <v/>
      </c>
      <c r="BC78" s="84">
        <f t="array" ref="BC78">IFERROR(OFFSET($BZ$11,ROW($B78)-11,MATCH(BC$10,$CA78:$FV78,0),),"")</f>
        <v/>
      </c>
      <c r="BD78" s="84">
        <f>IF(BC78="","",IF(VLOOKUP($B78,INDIRECT("'GRD-"&amp;BE78&amp;"'!$B:$R"),16,FALSE)="","",VLOOKUP($B78,INDIRECT("'GRD-"&amp;BE78&amp;"'!$B:$R"),16,FALSE)))</f>
        <v/>
      </c>
      <c r="BE78" s="129">
        <f t="array" ref="BE78">IF(BC78="","",IFERROR(OFFSET($BZ$11,0,MATCH($BC78,$CA78:$FV78,0),),""))</f>
        <v/>
      </c>
      <c r="BF78" s="134">
        <f t="array" ref="BF78">IF(BC78="","",INDIRECT("'GRD-"&amp;BE78&amp;"'!$L$7"))</f>
        <v/>
      </c>
      <c r="CA78" s="96">
        <f>IFERROR(VLOOKUP($B78,INDIRECT("'GRD-"&amp;CA$11&amp;"'!B:R"),15,FALSE),"")</f>
        <v/>
      </c>
      <c r="CB78" s="96">
        <f>IFERROR(VLOOKUP($B78,INDIRECT("'GRD-"&amp;CB$11&amp;"'!B:R"),15,FALSE),"")</f>
        <v/>
      </c>
      <c r="CC78" s="96">
        <f>IFERROR(VLOOKUP($B78,INDIRECT("'GRD-"&amp;CC$11&amp;"'!B:R"),15,FALSE),"")</f>
        <v/>
      </c>
      <c r="CD78" s="96">
        <f>IFERROR(VLOOKUP($B78,INDIRECT("'GRD-"&amp;CD$11&amp;"'!B:R"),15,FALSE),"")</f>
        <v/>
      </c>
      <c r="CE78" s="96">
        <f>IFERROR(VLOOKUP($B78,INDIRECT("'GRD-"&amp;CE$11&amp;"'!B:R"),15,FALSE),"")</f>
        <v/>
      </c>
      <c r="CF78" s="96">
        <f>IFERROR(VLOOKUP($B78,INDIRECT("'GRD-"&amp;CF$11&amp;"'!B:R"),15,FALSE),"")</f>
        <v/>
      </c>
      <c r="CG78" s="96">
        <f>IFERROR(VLOOKUP($B78,INDIRECT("'GRD-"&amp;CG$11&amp;"'!B:R"),15,FALSE),"")</f>
        <v/>
      </c>
      <c r="CH78" s="96">
        <f>IFERROR(VLOOKUP($B78,INDIRECT("'GRD-"&amp;CH$11&amp;"'!B:R"),15,FALSE),"")</f>
        <v/>
      </c>
      <c r="CI78" s="96">
        <f>IFERROR(VLOOKUP($B78,INDIRECT("'GRD-"&amp;CI$11&amp;"'!B:R"),15,FALSE),"")</f>
        <v/>
      </c>
      <c r="CJ78" s="96">
        <f>IFERROR(VLOOKUP($B78,INDIRECT("'GRD-"&amp;CJ$11&amp;"'!B:R"),15,FALSE),"")</f>
        <v/>
      </c>
      <c r="CK78" s="96">
        <f>IFERROR(VLOOKUP($B78,INDIRECT("'GRD-"&amp;CK$11&amp;"'!B:R"),15,FALSE),"")</f>
        <v/>
      </c>
      <c r="CL78" s="96">
        <f>IFERROR(VLOOKUP($B78,INDIRECT("'GRD-"&amp;CL$11&amp;"'!B:R"),15,FALSE),"")</f>
        <v/>
      </c>
      <c r="CM78" s="96">
        <f>IFERROR(VLOOKUP($B78,INDIRECT("'GRD-"&amp;CM$11&amp;"'!B:R"),15,FALSE),"")</f>
        <v/>
      </c>
      <c r="CN78" s="96">
        <f>IFERROR(VLOOKUP($B78,INDIRECT("'GRD-"&amp;CN$11&amp;"'!B:R"),15,FALSE),"")</f>
        <v/>
      </c>
      <c r="CO78" s="96">
        <f>IFERROR(VLOOKUP($B78,INDIRECT("'GRD-"&amp;CO$11&amp;"'!B:R"),15,FALSE),"")</f>
        <v/>
      </c>
      <c r="CP78" s="96">
        <f>IFERROR(VLOOKUP($B78,INDIRECT("'GRD-"&amp;CP$11&amp;"'!B:R"),15,FALSE),"")</f>
        <v/>
      </c>
      <c r="CQ78" s="96">
        <f>IFERROR(VLOOKUP($B78,INDIRECT("'GRD-"&amp;CQ$11&amp;"'!B:R"),15,FALSE),"")</f>
        <v/>
      </c>
      <c r="CR78" s="96">
        <f>IFERROR(VLOOKUP($B78,INDIRECT("'GRD-"&amp;CR$11&amp;"'!B:R"),15,FALSE),"")</f>
        <v/>
      </c>
      <c r="CS78" s="96">
        <f>IFERROR(VLOOKUP($B78,INDIRECT("'GRD-"&amp;CS$11&amp;"'!B:R"),15,FALSE),"")</f>
        <v/>
      </c>
      <c r="CT78" s="96">
        <f>IFERROR(VLOOKUP($B78,INDIRECT("'GRD-"&amp;CT$11&amp;"'!B:R"),15,FALSE),"")</f>
        <v/>
      </c>
      <c r="CU78" s="96">
        <f>IFERROR(VLOOKUP($B78,INDIRECT("'GRD-"&amp;CU$11&amp;"'!B:R"),15,FALSE),"")</f>
        <v/>
      </c>
      <c r="CV78" s="96">
        <f>IFERROR(VLOOKUP($B78,INDIRECT("'GRD-"&amp;CV$11&amp;"'!B:R"),15,FALSE),"")</f>
        <v/>
      </c>
      <c r="CW78" s="96">
        <f>IFERROR(VLOOKUP($B78,INDIRECT("'GRD-"&amp;CW$11&amp;"'!B:R"),15,FALSE),"")</f>
        <v/>
      </c>
      <c r="CX78" s="96">
        <f>IFERROR(VLOOKUP($B78,INDIRECT("'GRD-"&amp;CX$11&amp;"'!B:R"),15,FALSE),"")</f>
        <v/>
      </c>
      <c r="CY78" s="96">
        <f>IFERROR(VLOOKUP($B78,INDIRECT("'GRD-"&amp;CY$11&amp;"'!B:R"),15,FALSE),"")</f>
        <v/>
      </c>
      <c r="CZ78" s="96">
        <f>IFERROR(VLOOKUP($B78,INDIRECT("'GRD-"&amp;CZ$11&amp;"'!B:R"),15,FALSE),"")</f>
        <v/>
      </c>
      <c r="DA78" s="96">
        <f>IFERROR(VLOOKUP($B78,INDIRECT("'GRD-"&amp;DA$11&amp;"'!B:R"),15,FALSE),"")</f>
        <v/>
      </c>
      <c r="DB78" s="96">
        <f>IFERROR(VLOOKUP($B78,INDIRECT("'GRD-"&amp;DB$11&amp;"'!B:R"),15,FALSE),"")</f>
        <v/>
      </c>
      <c r="DC78" s="96">
        <f>IFERROR(VLOOKUP($B78,INDIRECT("'GRD-"&amp;DC$11&amp;"'!B:R"),15,FALSE),"")</f>
        <v/>
      </c>
      <c r="DD78" s="96">
        <f>IFERROR(VLOOKUP($B78,INDIRECT("'GRD-"&amp;DD$11&amp;"'!B:R"),15,FALSE),"")</f>
        <v/>
      </c>
      <c r="DE78" s="96">
        <f>IFERROR(VLOOKUP($B78,INDIRECT("'GRD-"&amp;DE$11&amp;"'!B:R"),15,FALSE),"")</f>
        <v/>
      </c>
      <c r="DF78" s="96">
        <f>IFERROR(VLOOKUP($B78,INDIRECT("'GRD-"&amp;DF$11&amp;"'!B:R"),15,FALSE),"")</f>
        <v/>
      </c>
      <c r="DG78" s="96">
        <f>IFERROR(VLOOKUP($B78,INDIRECT("'GRD-"&amp;DG$11&amp;"'!B:R"),15,FALSE),"")</f>
        <v/>
      </c>
      <c r="DH78" s="96">
        <f>IFERROR(VLOOKUP($B78,INDIRECT("'GRD-"&amp;DH$11&amp;"'!B:R"),15,FALSE),"")</f>
        <v/>
      </c>
      <c r="DI78" s="96">
        <f>IFERROR(VLOOKUP($B78,INDIRECT("'GRD-"&amp;DI$11&amp;"'!B:R"),15,FALSE),"")</f>
        <v/>
      </c>
      <c r="DJ78" s="96">
        <f>IFERROR(VLOOKUP($B78,INDIRECT("'GRD-"&amp;DJ$11&amp;"'!B:R"),15,FALSE),"")</f>
        <v/>
      </c>
      <c r="DK78" s="96">
        <f>IFERROR(VLOOKUP($B78,INDIRECT("'GRD-"&amp;DK$11&amp;"'!B:R"),15,FALSE),"")</f>
        <v/>
      </c>
      <c r="DL78" s="96">
        <f>IFERROR(VLOOKUP($B78,INDIRECT("'GRD-"&amp;DL$11&amp;"'!B:R"),15,FALSE),"")</f>
        <v/>
      </c>
      <c r="DM78" s="96">
        <f>IFERROR(VLOOKUP($B78,INDIRECT("'GRD-"&amp;DM$11&amp;"'!B:R"),15,FALSE),"")</f>
        <v/>
      </c>
      <c r="DN78" s="96">
        <f>IFERROR(VLOOKUP($B78,INDIRECT("'GRD-"&amp;DN$11&amp;"'!B:R"),15,FALSE),"")</f>
        <v/>
      </c>
      <c r="DO78" s="96">
        <f>IFERROR(VLOOKUP($B78,INDIRECT("'GRD-"&amp;DO$11&amp;"'!B:R"),15,FALSE),"")</f>
        <v/>
      </c>
      <c r="DP78" s="96">
        <f>IFERROR(VLOOKUP($B78,INDIRECT("'GRD-"&amp;DP$11&amp;"'!B:R"),15,FALSE),"")</f>
        <v/>
      </c>
      <c r="DQ78" s="96">
        <f>IFERROR(VLOOKUP($B78,INDIRECT("'GRD-"&amp;DQ$11&amp;"'!B:R"),15,FALSE),"")</f>
        <v/>
      </c>
      <c r="DR78" s="96">
        <f>IFERROR(VLOOKUP($B78,INDIRECT("'GRD-"&amp;DR$11&amp;"'!B:R"),15,FALSE),"")</f>
        <v/>
      </c>
      <c r="DS78" s="96">
        <f>IFERROR(VLOOKUP($B78,INDIRECT("'GRD-"&amp;DS$11&amp;"'!B:R"),15,FALSE),"")</f>
        <v/>
      </c>
      <c r="DT78" s="96">
        <f>IFERROR(VLOOKUP($B78,INDIRECT("'GRD-"&amp;DT$11&amp;"'!B:R"),15,FALSE),"")</f>
        <v/>
      </c>
      <c r="DU78" s="96">
        <f>IFERROR(VLOOKUP($B78,INDIRECT("'GRD-"&amp;DU$11&amp;"'!B:R"),15,FALSE),"")</f>
        <v/>
      </c>
      <c r="DV78" s="96">
        <f>IFERROR(VLOOKUP($B78,INDIRECT("'GRD-"&amp;DV$11&amp;"'!B:R"),15,FALSE),"")</f>
        <v/>
      </c>
      <c r="DW78" s="96">
        <f>IFERROR(VLOOKUP($B78,INDIRECT("'GRD-"&amp;DW$11&amp;"'!B:R"),15,FALSE),"")</f>
        <v/>
      </c>
      <c r="DX78" s="96">
        <f>IFERROR(VLOOKUP($B78,INDIRECT("'GRD-"&amp;DX$11&amp;"'!B:R"),15,FALSE),"")</f>
        <v/>
      </c>
      <c r="DY78" s="96">
        <f>IFERROR(VLOOKUP($B78,INDIRECT("'GRD-"&amp;DY$11&amp;"'!B:R"),15,FALSE),"")</f>
        <v/>
      </c>
      <c r="DZ78" s="96">
        <f>IFERROR(VLOOKUP($B78,INDIRECT("'GRD-"&amp;DZ$11&amp;"'!B:R"),15,FALSE),"")</f>
        <v/>
      </c>
      <c r="EA78" s="96">
        <f>IFERROR(VLOOKUP($B78,INDIRECT("'GRD-"&amp;EA$11&amp;"'!B:R"),15,FALSE),"")</f>
        <v/>
      </c>
      <c r="EB78" s="96">
        <f>IFERROR(VLOOKUP($B78,INDIRECT("'GRD-"&amp;EB$11&amp;"'!B:R"),15,FALSE),"")</f>
        <v/>
      </c>
      <c r="EC78" s="96">
        <f>IFERROR(VLOOKUP($B78,INDIRECT("'GRD-"&amp;EC$11&amp;"'!B:R"),15,FALSE),"")</f>
        <v/>
      </c>
      <c r="ED78" s="96">
        <f>IFERROR(VLOOKUP($B78,INDIRECT("'GRD-"&amp;ED$11&amp;"'!B:R"),15,FALSE),"")</f>
        <v/>
      </c>
      <c r="EE78" s="96">
        <f>IFERROR(VLOOKUP($B78,INDIRECT("'GRD-"&amp;EE$11&amp;"'!B:R"),15,FALSE),"")</f>
        <v/>
      </c>
      <c r="EF78" s="96">
        <f>IFERROR(VLOOKUP($B78,INDIRECT("'GRD-"&amp;EF$11&amp;"'!B:R"),15,FALSE),"")</f>
        <v/>
      </c>
      <c r="EG78" s="96">
        <f>IFERROR(VLOOKUP($B78,INDIRECT("'GRD-"&amp;EG$11&amp;"'!B:R"),15,FALSE),"")</f>
        <v/>
      </c>
      <c r="EH78" s="96">
        <f>IFERROR(VLOOKUP($B78,INDIRECT("'GRD-"&amp;EH$11&amp;"'!B:R"),15,FALSE),"")</f>
        <v/>
      </c>
      <c r="EI78" s="96">
        <f>IFERROR(VLOOKUP($B78,INDIRECT("'GRD-"&amp;EI$11&amp;"'!B:R"),15,FALSE),"")</f>
        <v/>
      </c>
      <c r="EJ78" s="96">
        <f>IFERROR(VLOOKUP($B78,INDIRECT("'GRD-"&amp;EJ$11&amp;"'!B:R"),15,FALSE),"")</f>
        <v/>
      </c>
      <c r="EK78" s="96">
        <f>IFERROR(VLOOKUP($B78,INDIRECT("'GRD-"&amp;EK$11&amp;"'!B:R"),15,FALSE),"")</f>
        <v/>
      </c>
      <c r="EL78" s="96">
        <f>IFERROR(VLOOKUP($B78,INDIRECT("'GRD-"&amp;EL$11&amp;"'!B:R"),15,FALSE),"")</f>
        <v/>
      </c>
      <c r="EM78" s="96">
        <f>IFERROR(VLOOKUP($B78,INDIRECT("'GRD-"&amp;EM$11&amp;"'!B:R"),15,FALSE),"")</f>
        <v/>
      </c>
      <c r="EN78" s="96">
        <f>IFERROR(VLOOKUP($B78,INDIRECT("'GRD-"&amp;EN$11&amp;"'!B:R"),15,FALSE),"")</f>
        <v/>
      </c>
      <c r="EO78" s="96">
        <f>IFERROR(VLOOKUP($B78,INDIRECT("'GRD-"&amp;EO$11&amp;"'!B:R"),15,FALSE),"")</f>
        <v/>
      </c>
      <c r="EP78" s="96">
        <f>IFERROR(VLOOKUP($B78,INDIRECT("'GRD-"&amp;EP$11&amp;"'!B:R"),15,FALSE),"")</f>
        <v/>
      </c>
      <c r="EQ78" s="96">
        <f>IFERROR(VLOOKUP($B78,INDIRECT("'GRD-"&amp;EQ$11&amp;"'!B:R"),15,FALSE),"")</f>
        <v/>
      </c>
      <c r="ER78" s="96">
        <f>IFERROR(VLOOKUP($B78,INDIRECT("'GRD-"&amp;ER$11&amp;"'!B:R"),15,FALSE),"")</f>
        <v/>
      </c>
      <c r="ES78" s="96">
        <f>IFERROR(VLOOKUP($B78,INDIRECT("'GRD-"&amp;ES$11&amp;"'!B:R"),15,FALSE),"")</f>
        <v/>
      </c>
      <c r="ET78" s="96">
        <f>IFERROR(VLOOKUP($B78,INDIRECT("'GRD-"&amp;ET$11&amp;"'!B:R"),15,FALSE),"")</f>
        <v/>
      </c>
      <c r="EU78" s="96">
        <f>IFERROR(VLOOKUP($B78,INDIRECT("'GRD-"&amp;EU$11&amp;"'!B:R"),15,FALSE),"")</f>
        <v/>
      </c>
      <c r="EV78" s="96">
        <f>IFERROR(VLOOKUP($B78,INDIRECT("'GRD-"&amp;EV$11&amp;"'!B:R"),15,FALSE),"")</f>
        <v/>
      </c>
      <c r="EW78" s="96">
        <f>IFERROR(VLOOKUP($B78,INDIRECT("'GRD-"&amp;EW$11&amp;"'!B:R"),15,FALSE),"")</f>
        <v/>
      </c>
      <c r="EX78" s="96">
        <f>IFERROR(VLOOKUP($B78,INDIRECT("'GRD-"&amp;EX$11&amp;"'!B:R"),15,FALSE),"")</f>
        <v/>
      </c>
      <c r="EY78" s="96">
        <f>IFERROR(VLOOKUP($B78,INDIRECT("'GRD-"&amp;EY$11&amp;"'!B:R"),15,FALSE),"")</f>
        <v/>
      </c>
      <c r="EZ78" s="96">
        <f>IFERROR(VLOOKUP($B78,INDIRECT("'GRD-"&amp;EZ$11&amp;"'!B:R"),15,FALSE),"")</f>
        <v/>
      </c>
      <c r="FA78" s="96">
        <f>IFERROR(VLOOKUP($B78,INDIRECT("'GRD-"&amp;FA$11&amp;"'!B:R"),15,FALSE),"")</f>
        <v/>
      </c>
      <c r="FB78" s="96">
        <f>IFERROR(VLOOKUP($B78,INDIRECT("'GRD-"&amp;FB$11&amp;"'!B:R"),15,FALSE),"")</f>
        <v/>
      </c>
      <c r="FC78" s="96">
        <f>IFERROR(VLOOKUP($B78,INDIRECT("'GRD-"&amp;FC$11&amp;"'!B:R"),15,FALSE),"")</f>
        <v/>
      </c>
      <c r="FD78" s="96">
        <f>IFERROR(VLOOKUP($B78,INDIRECT("'GRD-"&amp;FD$11&amp;"'!B:R"),15,FALSE),"")</f>
        <v/>
      </c>
      <c r="FE78" s="96">
        <f>IFERROR(VLOOKUP($B78,INDIRECT("'GRD-"&amp;FE$11&amp;"'!B:R"),15,FALSE),"")</f>
        <v/>
      </c>
      <c r="FF78" s="96">
        <f>IFERROR(VLOOKUP($B78,INDIRECT("'GRD-"&amp;FF$11&amp;"'!B:R"),15,FALSE),"")</f>
        <v/>
      </c>
      <c r="FG78" s="96">
        <f>IFERROR(VLOOKUP($B78,INDIRECT("'GRD-"&amp;FG$11&amp;"'!B:R"),15,FALSE),"")</f>
        <v/>
      </c>
      <c r="FH78" s="96">
        <f>IFERROR(VLOOKUP($B78,INDIRECT("'GRD-"&amp;FH$11&amp;"'!B:R"),15,FALSE),"")</f>
        <v/>
      </c>
      <c r="FI78" s="96">
        <f>IFERROR(VLOOKUP($B78,INDIRECT("'GRD-"&amp;FI$11&amp;"'!B:R"),15,FALSE),"")</f>
        <v/>
      </c>
      <c r="FJ78" s="96">
        <f>IFERROR(VLOOKUP($B78,INDIRECT("'GRD-"&amp;FJ$11&amp;"'!B:R"),15,FALSE),"")</f>
        <v/>
      </c>
      <c r="FK78" s="96">
        <f>IFERROR(VLOOKUP($B78,INDIRECT("'GRD-"&amp;FK$11&amp;"'!B:R"),15,FALSE),"")</f>
        <v/>
      </c>
      <c r="FL78" s="96">
        <f>IFERROR(VLOOKUP($B78,INDIRECT("'GRD-"&amp;FL$11&amp;"'!B:R"),15,FALSE),"")</f>
        <v/>
      </c>
      <c r="FM78" s="96">
        <f>IFERROR(VLOOKUP($B78,INDIRECT("'GRD-"&amp;FM$11&amp;"'!B:R"),15,FALSE),"")</f>
        <v/>
      </c>
      <c r="FN78" s="96">
        <f>IFERROR(VLOOKUP($B78,INDIRECT("'GRD-"&amp;FN$11&amp;"'!B:R"),15,FALSE),"")</f>
        <v/>
      </c>
      <c r="FO78" s="96">
        <f>IFERROR(VLOOKUP($B78,INDIRECT("'GRD-"&amp;FO$11&amp;"'!B:R"),15,FALSE),"")</f>
        <v/>
      </c>
      <c r="FP78" s="96">
        <f>IFERROR(VLOOKUP($B78,INDIRECT("'GRD-"&amp;FP$11&amp;"'!B:R"),15,FALSE),"")</f>
        <v/>
      </c>
      <c r="FQ78" s="96">
        <f>IFERROR(VLOOKUP($B78,INDIRECT("'GRD-"&amp;FQ$11&amp;"'!B:R"),15,FALSE),"")</f>
        <v/>
      </c>
      <c r="FR78" s="96">
        <f>IFERROR(VLOOKUP($B78,INDIRECT("'GRD-"&amp;FR$11&amp;"'!B:R"),15,FALSE),"")</f>
        <v/>
      </c>
      <c r="FS78" s="96">
        <f>IFERROR(VLOOKUP($B78,INDIRECT("'GRD-"&amp;FS$11&amp;"'!B:R"),15,FALSE),"")</f>
        <v/>
      </c>
      <c r="FT78" s="96">
        <f>IFERROR(VLOOKUP($B78,INDIRECT("'GRD-"&amp;FT$11&amp;"'!B:R"),15,FALSE),"")</f>
        <v/>
      </c>
      <c r="FU78" s="96">
        <f>IFERROR(VLOOKUP($B78,INDIRECT("'GRD-"&amp;FU$11&amp;"'!B:R"),15,FALSE),"")</f>
        <v/>
      </c>
      <c r="FV78" s="96">
        <f>IFERROR(VLOOKUP($B78,INDIRECT("'GRD-"&amp;FV$11&amp;"'!B:R"),15,FALSE),"")</f>
        <v/>
      </c>
    </row>
    <row r="79">
      <c r="B79" s="85" t="n"/>
      <c r="C79" s="93" t="n"/>
      <c r="D79" s="73">
        <f>IF(K79="","",MAX($CA79:$FV79))</f>
        <v/>
      </c>
      <c r="E79" s="74">
        <f t="array" ref="E79">IF($K79="","",OFFSET($A$1,ROW($B79)-1,11+$D79*4,))</f>
        <v/>
      </c>
      <c r="F79" s="74">
        <f t="array" ref="F79">IF($K79="","",OFFSET($A$1,ROW($B79)-1,12+$D79*4,))</f>
        <v/>
      </c>
      <c r="G79" s="118">
        <f t="array" ref="G79">IF($K79="","",OFFSET($A$1,ROW($B79)-1,13+$D79*4,))</f>
        <v/>
      </c>
      <c r="H79" s="81" t="n"/>
      <c r="I79" s="82" t="n"/>
      <c r="J79" s="75">
        <f>IF(I79="A4",H79/8,IF(I79="A3",H79/4,IF(I79="A2",H79/2,IF(I79="A1",H79/1,IF(I79="A0",H79*2,"")))))</f>
        <v/>
      </c>
      <c r="K79" s="68">
        <f t="array" ref="K79">IFERROR(OFFSET($BZ$11,ROW($B79)-11,MATCH(K$10,$CA79:$FV79,0),),"")</f>
        <v/>
      </c>
      <c r="L79" s="85">
        <f>IF(K79="","",IF(VLOOKUP($B79,INDIRECT("'GRD-"&amp;M79&amp;"'!$B:$R"),16,FALSE)="","",VLOOKUP($B79,INDIRECT("'GRD-"&amp;M79&amp;"'!$B:$R"),16,FALSE)))</f>
        <v/>
      </c>
      <c r="M79" s="130">
        <f t="array" ref="M79">IF(K79="","",IFERROR(OFFSET($BZ$11,0,MATCH($K79,$CA79:$FV79,0),),""))</f>
        <v/>
      </c>
      <c r="N79" s="119">
        <f t="array" ref="N79">IF(K79="","",INDIRECT("'GRD-"&amp;M79&amp;"'!$L$7"))</f>
        <v/>
      </c>
      <c r="O79" s="76">
        <f t="array" ref="O79">IFERROR(OFFSET($BZ$11,ROW($B79)-11,MATCH(O$10,$CA79:$FV79,0),),"")</f>
        <v/>
      </c>
      <c r="P79" s="76">
        <f>IF(O79="","",IF(VLOOKUP($B79,INDIRECT("'GRD-"&amp;Q79&amp;"'!$B:$R"),16,FALSE)="","",VLOOKUP($B79,INDIRECT("'GRD-"&amp;Q79&amp;"'!$B:$R"),16,FALSE)))</f>
        <v/>
      </c>
      <c r="Q79" s="132">
        <f t="array" ref="Q79">IF(O79="","",IFERROR(OFFSET($BZ$11,0,MATCH($O79,$CA79:$FV79,0),),""))</f>
        <v/>
      </c>
      <c r="R79" s="121">
        <f t="array" ref="R79">IF(O79="","",INDIRECT("'GRD-"&amp;Q79&amp;"'!$L$7"))</f>
        <v/>
      </c>
      <c r="S79" s="83">
        <f t="array" ref="S79">IFERROR(OFFSET($BZ$11,ROW($B79)-11,MATCH(S$10,$CA79:$FV79,0),),"")</f>
        <v/>
      </c>
      <c r="T79" s="83">
        <f>IF(S79="","",IF(VLOOKUP($B79,INDIRECT("'GRD-"&amp;U79&amp;"'!$B:$R"),16,FALSE)="","",VLOOKUP($B79,INDIRECT("'GRD-"&amp;U79&amp;"'!$B:$R"),16,FALSE)))</f>
        <v/>
      </c>
      <c r="U79" s="128">
        <f t="array" ref="U79">IF(S79="","",IFERROR(OFFSET($BZ$11,0,MATCH($S79,$CA79:$FV79,0),),""))</f>
        <v/>
      </c>
      <c r="V79" s="133">
        <f t="array" ref="V79">IF(S79="","",INDIRECT("'GRD-"&amp;U79&amp;"'!$L$7"))</f>
        <v/>
      </c>
      <c r="W79" s="84">
        <f t="array" ref="W79">IFERROR(OFFSET($BZ$11,ROW($B79)-11,MATCH(W$10,$CA79:$FV79,0),),"")</f>
        <v/>
      </c>
      <c r="X79" s="84">
        <f>IF(W79="","",IF(VLOOKUP($B79,INDIRECT("'GRD-"&amp;Y79&amp;"'!$B:$R"),16,FALSE)="","",VLOOKUP($B79,INDIRECT("'GRD-"&amp;Y79&amp;"'!$B:$R"),16,FALSE)))</f>
        <v/>
      </c>
      <c r="Y79" s="129">
        <f t="array" ref="Y79">IF(W79="","",IFERROR(OFFSET($BZ$11,0,MATCH($W79,$CA79:$FV79,0),),""))</f>
        <v/>
      </c>
      <c r="Z79" s="134">
        <f t="array" ref="Z79">IF(W79="","",INDIRECT("'GRD-"&amp;Y79&amp;"'!$L$7"))</f>
        <v/>
      </c>
      <c r="AA79" s="85">
        <f t="array" ref="AA79">IFERROR(OFFSET($BZ$11,ROW($B79)-11,MATCH(AA$10,$CA79:$FV79,0),),"")</f>
        <v/>
      </c>
      <c r="AB79" s="85">
        <f>IF(AA79="","",IF(VLOOKUP($B79,INDIRECT("'GRD-"&amp;AC79&amp;"'!$B:$R"),16,FALSE)="","",VLOOKUP($B79,INDIRECT("'GRD-"&amp;AC79&amp;"'!$B:$R"),16,FALSE)))</f>
        <v/>
      </c>
      <c r="AC79" s="130">
        <f t="array" ref="AC79">IF(AA79="","",IFERROR(OFFSET($BZ$11,0,MATCH($AA79,$CA79:$FV79,0),),""))</f>
        <v/>
      </c>
      <c r="AD79" s="131">
        <f t="array" ref="AD79">IF(AA79="","",INDIRECT("'GRD-"&amp;AC79&amp;"'!$L$7"))</f>
        <v/>
      </c>
      <c r="AE79" s="76">
        <f t="array" ref="AE79">IFERROR(OFFSET($BZ$11,ROW($B79)-11,MATCH(AE$10,$CA79:$FV79,0),),"")</f>
        <v/>
      </c>
      <c r="AF79" s="76">
        <f>IF(AE79="","",IF(VLOOKUP($B79,INDIRECT("'GRD-"&amp;AG79&amp;"'!$B:$R"),16,FALSE)="","",VLOOKUP($B79,INDIRECT("'GRD-"&amp;AG79&amp;"'!$B:$R"),16,FALSE)))</f>
        <v/>
      </c>
      <c r="AG79" s="132">
        <f t="array" ref="AG79">IF(AE79="","",IFERROR(OFFSET($BZ$11,0,MATCH($AE79,$CA79:$FV79,0),),""))</f>
        <v/>
      </c>
      <c r="AH79" s="121">
        <f t="array" ref="AH79">IF(AE79="","",INDIRECT("'GRD-"&amp;AG79&amp;"'!$L$7"))</f>
        <v/>
      </c>
      <c r="AI79" s="83">
        <f t="array" ref="AI79">IFERROR(OFFSET($BZ$11,ROW($B79)-11,MATCH(AI$10,$CA79:$FV79,0),),"")</f>
        <v/>
      </c>
      <c r="AJ79" s="83">
        <f>IF(AI79="","",IF(VLOOKUP($B79,INDIRECT("'GRD-"&amp;AK79&amp;"'!$B:$R"),16,FALSE)="","",VLOOKUP($B79,INDIRECT("'GRD-"&amp;AK79&amp;"'!$B:$R"),16,FALSE)))</f>
        <v/>
      </c>
      <c r="AK79" s="128">
        <f t="array" ref="AK79">IF(AI79="","",IFERROR(OFFSET($BZ$11,0,MATCH($AI79,$CA79:$FV79,0),),""))</f>
        <v/>
      </c>
      <c r="AL79" s="133">
        <f t="array" ref="AL79">IF(AI79="","",INDIRECT("'GRD-"&amp;AK79&amp;"'!$L$7"))</f>
        <v/>
      </c>
      <c r="AM79" s="84">
        <f t="array" ref="AM79">IFERROR(OFFSET($BZ$11,ROW($B79)-11,MATCH(AM$10,$CA79:$FV79,0),),"")</f>
        <v/>
      </c>
      <c r="AN79" s="84">
        <f>IF(AM79="","",IF(VLOOKUP($B79,INDIRECT("'GRD-"&amp;AO79&amp;"'!$B:$R"),16,FALSE)="","",VLOOKUP($B79,INDIRECT("'GRD-"&amp;AO79&amp;"'!$B:$R"),16,FALSE)))</f>
        <v/>
      </c>
      <c r="AO79" s="129">
        <f t="array" ref="AO79">IF(AM79="","",IFERROR(OFFSET($BZ$11,0,MATCH($AM79,$CA79:$FV79,0),),""))</f>
        <v/>
      </c>
      <c r="AP79" s="134">
        <f t="array" ref="AP79">IF(AM79="","",INDIRECT("'GRD-"&amp;AO79&amp;"'!$L$7"))</f>
        <v/>
      </c>
      <c r="AQ79" s="85">
        <f t="array" ref="AQ79">IFERROR(OFFSET($BZ$11,ROW($B79)-11,MATCH(AQ$10,$CA79:$FV79,0),),"")</f>
        <v/>
      </c>
      <c r="AR79" s="85">
        <f>IF(AQ79="","",IF(VLOOKUP($B79,INDIRECT("'GRD-"&amp;AS79&amp;"'!$B:$R"),16,FALSE)="","",VLOOKUP($B79,INDIRECT("'GRD-"&amp;AS79&amp;"'!$B:$R"),16,FALSE)))</f>
        <v/>
      </c>
      <c r="AS79" s="130">
        <f t="array" ref="AS79">IF(AQ79="","",IFERROR(OFFSET($BZ$11,0,MATCH($AQ79,$CA79:$FV79,0),),""))</f>
        <v/>
      </c>
      <c r="AT79" s="131">
        <f t="array" ref="AT79">IF(AQ79="","",INDIRECT("'GRD-"&amp;AS79&amp;"'!$L$7"))</f>
        <v/>
      </c>
      <c r="AU79" s="76">
        <f t="array" ref="AU79">IFERROR(OFFSET($BZ$11,ROW($B79)-11,MATCH(AU$10,$CA79:$FV79,0),),"")</f>
        <v/>
      </c>
      <c r="AV79" s="76">
        <f>IF(AU79="","",IF(VLOOKUP($B79,INDIRECT("'GRD-"&amp;AW79&amp;"'!$B:$R"),16,FALSE)="","",VLOOKUP($B79,INDIRECT("'GRD-"&amp;AW79&amp;"'!$B:$R"),16,FALSE)))</f>
        <v/>
      </c>
      <c r="AW79" s="132">
        <f t="array" ref="AW79">IF(AU79="","",IFERROR(OFFSET($BZ$11,0,MATCH($AU79,$CA79:$FV79,0),),""))</f>
        <v/>
      </c>
      <c r="AX79" s="121">
        <f t="array" ref="AX79">IF(AU79="","",INDIRECT("'GRD-"&amp;AW79&amp;"'!$L$7"))</f>
        <v/>
      </c>
      <c r="AY79" s="83">
        <f t="array" ref="AY79">IFERROR(OFFSET($BZ$11,ROW($B79)-11,MATCH(AY$10,$CA79:$FV79,0),),"")</f>
        <v/>
      </c>
      <c r="AZ79" s="83">
        <f>IF(AY79="","",IF(VLOOKUP($B79,INDIRECT("'GRD-"&amp;BA79&amp;"'!$B:$R"),16,FALSE)="","",VLOOKUP($B79,INDIRECT("'GRD-"&amp;BA79&amp;"'!$B:$R"),16,FALSE)))</f>
        <v/>
      </c>
      <c r="BA79" s="128">
        <f t="array" ref="BA79">IF(AY79="","",IFERROR(OFFSET($BZ$11,0,MATCH($AY79,$CA79:$FV79,0),),""))</f>
        <v/>
      </c>
      <c r="BB79" s="133">
        <f t="array" ref="BB79">IF(AY79="","",INDIRECT("'GRD-"&amp;BA79&amp;"'!$L$7"))</f>
        <v/>
      </c>
      <c r="BC79" s="84">
        <f t="array" ref="BC79">IFERROR(OFFSET($BZ$11,ROW($B79)-11,MATCH(BC$10,$CA79:$FV79,0),),"")</f>
        <v/>
      </c>
      <c r="BD79" s="84">
        <f>IF(BC79="","",IF(VLOOKUP($B79,INDIRECT("'GRD-"&amp;BE79&amp;"'!$B:$R"),16,FALSE)="","",VLOOKUP($B79,INDIRECT("'GRD-"&amp;BE79&amp;"'!$B:$R"),16,FALSE)))</f>
        <v/>
      </c>
      <c r="BE79" s="129">
        <f t="array" ref="BE79">IF(BC79="","",IFERROR(OFFSET($BZ$11,0,MATCH($BC79,$CA79:$FV79,0),),""))</f>
        <v/>
      </c>
      <c r="BF79" s="134">
        <f t="array" ref="BF79">IF(BC79="","",INDIRECT("'GRD-"&amp;BE79&amp;"'!$L$7"))</f>
        <v/>
      </c>
      <c r="CA79" s="96">
        <f>IFERROR(VLOOKUP($B79,INDIRECT("'GRD-"&amp;CA$11&amp;"'!B:R"),15,FALSE),"")</f>
        <v/>
      </c>
      <c r="CB79" s="96">
        <f>IFERROR(VLOOKUP($B79,INDIRECT("'GRD-"&amp;CB$11&amp;"'!B:R"),15,FALSE),"")</f>
        <v/>
      </c>
      <c r="CC79" s="96">
        <f>IFERROR(VLOOKUP($B79,INDIRECT("'GRD-"&amp;CC$11&amp;"'!B:R"),15,FALSE),"")</f>
        <v/>
      </c>
      <c r="CD79" s="96">
        <f>IFERROR(VLOOKUP($B79,INDIRECT("'GRD-"&amp;CD$11&amp;"'!B:R"),15,FALSE),"")</f>
        <v/>
      </c>
      <c r="CE79" s="96">
        <f>IFERROR(VLOOKUP($B79,INDIRECT("'GRD-"&amp;CE$11&amp;"'!B:R"),15,FALSE),"")</f>
        <v/>
      </c>
      <c r="CF79" s="96">
        <f>IFERROR(VLOOKUP($B79,INDIRECT("'GRD-"&amp;CF$11&amp;"'!B:R"),15,FALSE),"")</f>
        <v/>
      </c>
      <c r="CG79" s="96">
        <f>IFERROR(VLOOKUP($B79,INDIRECT("'GRD-"&amp;CG$11&amp;"'!B:R"),15,FALSE),"")</f>
        <v/>
      </c>
      <c r="CH79" s="96">
        <f>IFERROR(VLOOKUP($B79,INDIRECT("'GRD-"&amp;CH$11&amp;"'!B:R"),15,FALSE),"")</f>
        <v/>
      </c>
      <c r="CI79" s="96">
        <f>IFERROR(VLOOKUP($B79,INDIRECT("'GRD-"&amp;CI$11&amp;"'!B:R"),15,FALSE),"")</f>
        <v/>
      </c>
      <c r="CJ79" s="96">
        <f>IFERROR(VLOOKUP($B79,INDIRECT("'GRD-"&amp;CJ$11&amp;"'!B:R"),15,FALSE),"")</f>
        <v/>
      </c>
      <c r="CK79" s="96">
        <f>IFERROR(VLOOKUP($B79,INDIRECT("'GRD-"&amp;CK$11&amp;"'!B:R"),15,FALSE),"")</f>
        <v/>
      </c>
      <c r="CL79" s="96">
        <f>IFERROR(VLOOKUP($B79,INDIRECT("'GRD-"&amp;CL$11&amp;"'!B:R"),15,FALSE),"")</f>
        <v/>
      </c>
      <c r="CM79" s="96">
        <f>IFERROR(VLOOKUP($B79,INDIRECT("'GRD-"&amp;CM$11&amp;"'!B:R"),15,FALSE),"")</f>
        <v/>
      </c>
      <c r="CN79" s="96">
        <f>IFERROR(VLOOKUP($B79,INDIRECT("'GRD-"&amp;CN$11&amp;"'!B:R"),15,FALSE),"")</f>
        <v/>
      </c>
      <c r="CO79" s="96">
        <f>IFERROR(VLOOKUP($B79,INDIRECT("'GRD-"&amp;CO$11&amp;"'!B:R"),15,FALSE),"")</f>
        <v/>
      </c>
      <c r="CP79" s="96">
        <f>IFERROR(VLOOKUP($B79,INDIRECT("'GRD-"&amp;CP$11&amp;"'!B:R"),15,FALSE),"")</f>
        <v/>
      </c>
      <c r="CQ79" s="96">
        <f>IFERROR(VLOOKUP($B79,INDIRECT("'GRD-"&amp;CQ$11&amp;"'!B:R"),15,FALSE),"")</f>
        <v/>
      </c>
      <c r="CR79" s="96">
        <f>IFERROR(VLOOKUP($B79,INDIRECT("'GRD-"&amp;CR$11&amp;"'!B:R"),15,FALSE),"")</f>
        <v/>
      </c>
      <c r="CS79" s="96">
        <f>IFERROR(VLOOKUP($B79,INDIRECT("'GRD-"&amp;CS$11&amp;"'!B:R"),15,FALSE),"")</f>
        <v/>
      </c>
      <c r="CT79" s="96">
        <f>IFERROR(VLOOKUP($B79,INDIRECT("'GRD-"&amp;CT$11&amp;"'!B:R"),15,FALSE),"")</f>
        <v/>
      </c>
      <c r="CU79" s="96">
        <f>IFERROR(VLOOKUP($B79,INDIRECT("'GRD-"&amp;CU$11&amp;"'!B:R"),15,FALSE),"")</f>
        <v/>
      </c>
      <c r="CV79" s="96">
        <f>IFERROR(VLOOKUP($B79,INDIRECT("'GRD-"&amp;CV$11&amp;"'!B:R"),15,FALSE),"")</f>
        <v/>
      </c>
      <c r="CW79" s="96">
        <f>IFERROR(VLOOKUP($B79,INDIRECT("'GRD-"&amp;CW$11&amp;"'!B:R"),15,FALSE),"")</f>
        <v/>
      </c>
      <c r="CX79" s="96">
        <f>IFERROR(VLOOKUP($B79,INDIRECT("'GRD-"&amp;CX$11&amp;"'!B:R"),15,FALSE),"")</f>
        <v/>
      </c>
      <c r="CY79" s="96">
        <f>IFERROR(VLOOKUP($B79,INDIRECT("'GRD-"&amp;CY$11&amp;"'!B:R"),15,FALSE),"")</f>
        <v/>
      </c>
      <c r="CZ79" s="96">
        <f>IFERROR(VLOOKUP($B79,INDIRECT("'GRD-"&amp;CZ$11&amp;"'!B:R"),15,FALSE),"")</f>
        <v/>
      </c>
      <c r="DA79" s="96">
        <f>IFERROR(VLOOKUP($B79,INDIRECT("'GRD-"&amp;DA$11&amp;"'!B:R"),15,FALSE),"")</f>
        <v/>
      </c>
      <c r="DB79" s="96">
        <f>IFERROR(VLOOKUP($B79,INDIRECT("'GRD-"&amp;DB$11&amp;"'!B:R"),15,FALSE),"")</f>
        <v/>
      </c>
      <c r="DC79" s="96">
        <f>IFERROR(VLOOKUP($B79,INDIRECT("'GRD-"&amp;DC$11&amp;"'!B:R"),15,FALSE),"")</f>
        <v/>
      </c>
      <c r="DD79" s="96">
        <f>IFERROR(VLOOKUP($B79,INDIRECT("'GRD-"&amp;DD$11&amp;"'!B:R"),15,FALSE),"")</f>
        <v/>
      </c>
      <c r="DE79" s="96">
        <f>IFERROR(VLOOKUP($B79,INDIRECT("'GRD-"&amp;DE$11&amp;"'!B:R"),15,FALSE),"")</f>
        <v/>
      </c>
      <c r="DF79" s="96">
        <f>IFERROR(VLOOKUP($B79,INDIRECT("'GRD-"&amp;DF$11&amp;"'!B:R"),15,FALSE),"")</f>
        <v/>
      </c>
      <c r="DG79" s="96">
        <f>IFERROR(VLOOKUP($B79,INDIRECT("'GRD-"&amp;DG$11&amp;"'!B:R"),15,FALSE),"")</f>
        <v/>
      </c>
      <c r="DH79" s="96">
        <f>IFERROR(VLOOKUP($B79,INDIRECT("'GRD-"&amp;DH$11&amp;"'!B:R"),15,FALSE),"")</f>
        <v/>
      </c>
      <c r="DI79" s="96">
        <f>IFERROR(VLOOKUP($B79,INDIRECT("'GRD-"&amp;DI$11&amp;"'!B:R"),15,FALSE),"")</f>
        <v/>
      </c>
      <c r="DJ79" s="96">
        <f>IFERROR(VLOOKUP($B79,INDIRECT("'GRD-"&amp;DJ$11&amp;"'!B:R"),15,FALSE),"")</f>
        <v/>
      </c>
      <c r="DK79" s="96">
        <f>IFERROR(VLOOKUP($B79,INDIRECT("'GRD-"&amp;DK$11&amp;"'!B:R"),15,FALSE),"")</f>
        <v/>
      </c>
      <c r="DL79" s="96">
        <f>IFERROR(VLOOKUP($B79,INDIRECT("'GRD-"&amp;DL$11&amp;"'!B:R"),15,FALSE),"")</f>
        <v/>
      </c>
      <c r="DM79" s="96">
        <f>IFERROR(VLOOKUP($B79,INDIRECT("'GRD-"&amp;DM$11&amp;"'!B:R"),15,FALSE),"")</f>
        <v/>
      </c>
      <c r="DN79" s="96">
        <f>IFERROR(VLOOKUP($B79,INDIRECT("'GRD-"&amp;DN$11&amp;"'!B:R"),15,FALSE),"")</f>
        <v/>
      </c>
      <c r="DO79" s="96">
        <f>IFERROR(VLOOKUP($B79,INDIRECT("'GRD-"&amp;DO$11&amp;"'!B:R"),15,FALSE),"")</f>
        <v/>
      </c>
      <c r="DP79" s="96">
        <f>IFERROR(VLOOKUP($B79,INDIRECT("'GRD-"&amp;DP$11&amp;"'!B:R"),15,FALSE),"")</f>
        <v/>
      </c>
      <c r="DQ79" s="96">
        <f>IFERROR(VLOOKUP($B79,INDIRECT("'GRD-"&amp;DQ$11&amp;"'!B:R"),15,FALSE),"")</f>
        <v/>
      </c>
      <c r="DR79" s="96">
        <f>IFERROR(VLOOKUP($B79,INDIRECT("'GRD-"&amp;DR$11&amp;"'!B:R"),15,FALSE),"")</f>
        <v/>
      </c>
      <c r="DS79" s="96">
        <f>IFERROR(VLOOKUP($B79,INDIRECT("'GRD-"&amp;DS$11&amp;"'!B:R"),15,FALSE),"")</f>
        <v/>
      </c>
      <c r="DT79" s="96">
        <f>IFERROR(VLOOKUP($B79,INDIRECT("'GRD-"&amp;DT$11&amp;"'!B:R"),15,FALSE),"")</f>
        <v/>
      </c>
      <c r="DU79" s="96">
        <f>IFERROR(VLOOKUP($B79,INDIRECT("'GRD-"&amp;DU$11&amp;"'!B:R"),15,FALSE),"")</f>
        <v/>
      </c>
      <c r="DV79" s="96">
        <f>IFERROR(VLOOKUP($B79,INDIRECT("'GRD-"&amp;DV$11&amp;"'!B:R"),15,FALSE),"")</f>
        <v/>
      </c>
      <c r="DW79" s="96">
        <f>IFERROR(VLOOKUP($B79,INDIRECT("'GRD-"&amp;DW$11&amp;"'!B:R"),15,FALSE),"")</f>
        <v/>
      </c>
      <c r="DX79" s="96">
        <f>IFERROR(VLOOKUP($B79,INDIRECT("'GRD-"&amp;DX$11&amp;"'!B:R"),15,FALSE),"")</f>
        <v/>
      </c>
      <c r="DY79" s="96">
        <f>IFERROR(VLOOKUP($B79,INDIRECT("'GRD-"&amp;DY$11&amp;"'!B:R"),15,FALSE),"")</f>
        <v/>
      </c>
      <c r="DZ79" s="96">
        <f>IFERROR(VLOOKUP($B79,INDIRECT("'GRD-"&amp;DZ$11&amp;"'!B:R"),15,FALSE),"")</f>
        <v/>
      </c>
      <c r="EA79" s="96">
        <f>IFERROR(VLOOKUP($B79,INDIRECT("'GRD-"&amp;EA$11&amp;"'!B:R"),15,FALSE),"")</f>
        <v/>
      </c>
      <c r="EB79" s="96">
        <f>IFERROR(VLOOKUP($B79,INDIRECT("'GRD-"&amp;EB$11&amp;"'!B:R"),15,FALSE),"")</f>
        <v/>
      </c>
      <c r="EC79" s="96">
        <f>IFERROR(VLOOKUP($B79,INDIRECT("'GRD-"&amp;EC$11&amp;"'!B:R"),15,FALSE),"")</f>
        <v/>
      </c>
      <c r="ED79" s="96">
        <f>IFERROR(VLOOKUP($B79,INDIRECT("'GRD-"&amp;ED$11&amp;"'!B:R"),15,FALSE),"")</f>
        <v/>
      </c>
      <c r="EE79" s="96">
        <f>IFERROR(VLOOKUP($B79,INDIRECT("'GRD-"&amp;EE$11&amp;"'!B:R"),15,FALSE),"")</f>
        <v/>
      </c>
      <c r="EF79" s="96">
        <f>IFERROR(VLOOKUP($B79,INDIRECT("'GRD-"&amp;EF$11&amp;"'!B:R"),15,FALSE),"")</f>
        <v/>
      </c>
      <c r="EG79" s="96">
        <f>IFERROR(VLOOKUP($B79,INDIRECT("'GRD-"&amp;EG$11&amp;"'!B:R"),15,FALSE),"")</f>
        <v/>
      </c>
      <c r="EH79" s="96">
        <f>IFERROR(VLOOKUP($B79,INDIRECT("'GRD-"&amp;EH$11&amp;"'!B:R"),15,FALSE),"")</f>
        <v/>
      </c>
      <c r="EI79" s="96">
        <f>IFERROR(VLOOKUP($B79,INDIRECT("'GRD-"&amp;EI$11&amp;"'!B:R"),15,FALSE),"")</f>
        <v/>
      </c>
      <c r="EJ79" s="96">
        <f>IFERROR(VLOOKUP($B79,INDIRECT("'GRD-"&amp;EJ$11&amp;"'!B:R"),15,FALSE),"")</f>
        <v/>
      </c>
      <c r="EK79" s="96">
        <f>IFERROR(VLOOKUP($B79,INDIRECT("'GRD-"&amp;EK$11&amp;"'!B:R"),15,FALSE),"")</f>
        <v/>
      </c>
      <c r="EL79" s="96">
        <f>IFERROR(VLOOKUP($B79,INDIRECT("'GRD-"&amp;EL$11&amp;"'!B:R"),15,FALSE),"")</f>
        <v/>
      </c>
      <c r="EM79" s="96">
        <f>IFERROR(VLOOKUP($B79,INDIRECT("'GRD-"&amp;EM$11&amp;"'!B:R"),15,FALSE),"")</f>
        <v/>
      </c>
      <c r="EN79" s="96">
        <f>IFERROR(VLOOKUP($B79,INDIRECT("'GRD-"&amp;EN$11&amp;"'!B:R"),15,FALSE),"")</f>
        <v/>
      </c>
      <c r="EO79" s="96">
        <f>IFERROR(VLOOKUP($B79,INDIRECT("'GRD-"&amp;EO$11&amp;"'!B:R"),15,FALSE),"")</f>
        <v/>
      </c>
      <c r="EP79" s="96">
        <f>IFERROR(VLOOKUP($B79,INDIRECT("'GRD-"&amp;EP$11&amp;"'!B:R"),15,FALSE),"")</f>
        <v/>
      </c>
      <c r="EQ79" s="96">
        <f>IFERROR(VLOOKUP($B79,INDIRECT("'GRD-"&amp;EQ$11&amp;"'!B:R"),15,FALSE),"")</f>
        <v/>
      </c>
      <c r="ER79" s="96">
        <f>IFERROR(VLOOKUP($B79,INDIRECT("'GRD-"&amp;ER$11&amp;"'!B:R"),15,FALSE),"")</f>
        <v/>
      </c>
      <c r="ES79" s="96">
        <f>IFERROR(VLOOKUP($B79,INDIRECT("'GRD-"&amp;ES$11&amp;"'!B:R"),15,FALSE),"")</f>
        <v/>
      </c>
      <c r="ET79" s="96">
        <f>IFERROR(VLOOKUP($B79,INDIRECT("'GRD-"&amp;ET$11&amp;"'!B:R"),15,FALSE),"")</f>
        <v/>
      </c>
      <c r="EU79" s="96">
        <f>IFERROR(VLOOKUP($B79,INDIRECT("'GRD-"&amp;EU$11&amp;"'!B:R"),15,FALSE),"")</f>
        <v/>
      </c>
      <c r="EV79" s="96">
        <f>IFERROR(VLOOKUP($B79,INDIRECT("'GRD-"&amp;EV$11&amp;"'!B:R"),15,FALSE),"")</f>
        <v/>
      </c>
      <c r="EW79" s="96">
        <f>IFERROR(VLOOKUP($B79,INDIRECT("'GRD-"&amp;EW$11&amp;"'!B:R"),15,FALSE),"")</f>
        <v/>
      </c>
      <c r="EX79" s="96">
        <f>IFERROR(VLOOKUP($B79,INDIRECT("'GRD-"&amp;EX$11&amp;"'!B:R"),15,FALSE),"")</f>
        <v/>
      </c>
      <c r="EY79" s="96">
        <f>IFERROR(VLOOKUP($B79,INDIRECT("'GRD-"&amp;EY$11&amp;"'!B:R"),15,FALSE),"")</f>
        <v/>
      </c>
      <c r="EZ79" s="96">
        <f>IFERROR(VLOOKUP($B79,INDIRECT("'GRD-"&amp;EZ$11&amp;"'!B:R"),15,FALSE),"")</f>
        <v/>
      </c>
      <c r="FA79" s="96">
        <f>IFERROR(VLOOKUP($B79,INDIRECT("'GRD-"&amp;FA$11&amp;"'!B:R"),15,FALSE),"")</f>
        <v/>
      </c>
      <c r="FB79" s="96">
        <f>IFERROR(VLOOKUP($B79,INDIRECT("'GRD-"&amp;FB$11&amp;"'!B:R"),15,FALSE),"")</f>
        <v/>
      </c>
      <c r="FC79" s="96">
        <f>IFERROR(VLOOKUP($B79,INDIRECT("'GRD-"&amp;FC$11&amp;"'!B:R"),15,FALSE),"")</f>
        <v/>
      </c>
      <c r="FD79" s="96">
        <f>IFERROR(VLOOKUP($B79,INDIRECT("'GRD-"&amp;FD$11&amp;"'!B:R"),15,FALSE),"")</f>
        <v/>
      </c>
      <c r="FE79" s="96">
        <f>IFERROR(VLOOKUP($B79,INDIRECT("'GRD-"&amp;FE$11&amp;"'!B:R"),15,FALSE),"")</f>
        <v/>
      </c>
      <c r="FF79" s="96">
        <f>IFERROR(VLOOKUP($B79,INDIRECT("'GRD-"&amp;FF$11&amp;"'!B:R"),15,FALSE),"")</f>
        <v/>
      </c>
      <c r="FG79" s="96">
        <f>IFERROR(VLOOKUP($B79,INDIRECT("'GRD-"&amp;FG$11&amp;"'!B:R"),15,FALSE),"")</f>
        <v/>
      </c>
      <c r="FH79" s="96">
        <f>IFERROR(VLOOKUP($B79,INDIRECT("'GRD-"&amp;FH$11&amp;"'!B:R"),15,FALSE),"")</f>
        <v/>
      </c>
      <c r="FI79" s="96">
        <f>IFERROR(VLOOKUP($B79,INDIRECT("'GRD-"&amp;FI$11&amp;"'!B:R"),15,FALSE),"")</f>
        <v/>
      </c>
      <c r="FJ79" s="96">
        <f>IFERROR(VLOOKUP($B79,INDIRECT("'GRD-"&amp;FJ$11&amp;"'!B:R"),15,FALSE),"")</f>
        <v/>
      </c>
      <c r="FK79" s="96">
        <f>IFERROR(VLOOKUP($B79,INDIRECT("'GRD-"&amp;FK$11&amp;"'!B:R"),15,FALSE),"")</f>
        <v/>
      </c>
      <c r="FL79" s="96">
        <f>IFERROR(VLOOKUP($B79,INDIRECT("'GRD-"&amp;FL$11&amp;"'!B:R"),15,FALSE),"")</f>
        <v/>
      </c>
      <c r="FM79" s="96">
        <f>IFERROR(VLOOKUP($B79,INDIRECT("'GRD-"&amp;FM$11&amp;"'!B:R"),15,FALSE),"")</f>
        <v/>
      </c>
      <c r="FN79" s="96">
        <f>IFERROR(VLOOKUP($B79,INDIRECT("'GRD-"&amp;FN$11&amp;"'!B:R"),15,FALSE),"")</f>
        <v/>
      </c>
      <c r="FO79" s="96">
        <f>IFERROR(VLOOKUP($B79,INDIRECT("'GRD-"&amp;FO$11&amp;"'!B:R"),15,FALSE),"")</f>
        <v/>
      </c>
      <c r="FP79" s="96">
        <f>IFERROR(VLOOKUP($B79,INDIRECT("'GRD-"&amp;FP$11&amp;"'!B:R"),15,FALSE),"")</f>
        <v/>
      </c>
      <c r="FQ79" s="96">
        <f>IFERROR(VLOOKUP($B79,INDIRECT("'GRD-"&amp;FQ$11&amp;"'!B:R"),15,FALSE),"")</f>
        <v/>
      </c>
      <c r="FR79" s="96">
        <f>IFERROR(VLOOKUP($B79,INDIRECT("'GRD-"&amp;FR$11&amp;"'!B:R"),15,FALSE),"")</f>
        <v/>
      </c>
      <c r="FS79" s="96">
        <f>IFERROR(VLOOKUP($B79,INDIRECT("'GRD-"&amp;FS$11&amp;"'!B:R"),15,FALSE),"")</f>
        <v/>
      </c>
      <c r="FT79" s="96">
        <f>IFERROR(VLOOKUP($B79,INDIRECT("'GRD-"&amp;FT$11&amp;"'!B:R"),15,FALSE),"")</f>
        <v/>
      </c>
      <c r="FU79" s="96">
        <f>IFERROR(VLOOKUP($B79,INDIRECT("'GRD-"&amp;FU$11&amp;"'!B:R"),15,FALSE),"")</f>
        <v/>
      </c>
      <c r="FV79" s="96">
        <f>IFERROR(VLOOKUP($B79,INDIRECT("'GRD-"&amp;FV$11&amp;"'!B:R"),15,FALSE),"")</f>
        <v/>
      </c>
    </row>
    <row r="80">
      <c r="B80" s="85" t="n"/>
      <c r="C80" s="93" t="n"/>
      <c r="D80" s="73">
        <f>IF(K80="","",MAX($CA80:$FV80))</f>
        <v/>
      </c>
      <c r="E80" s="74">
        <f t="array" ref="E80">IF($K80="","",OFFSET($A$1,ROW($B80)-1,11+$D80*4,))</f>
        <v/>
      </c>
      <c r="F80" s="74">
        <f t="array" ref="F80">IF($K80="","",OFFSET($A$1,ROW($B80)-1,12+$D80*4,))</f>
        <v/>
      </c>
      <c r="G80" s="118">
        <f t="array" ref="G80">IF($K80="","",OFFSET($A$1,ROW($B80)-1,13+$D80*4,))</f>
        <v/>
      </c>
      <c r="H80" s="81" t="n"/>
      <c r="I80" s="82" t="n"/>
      <c r="J80" s="75">
        <f>IF(I80="A4",H80/8,IF(I80="A3",H80/4,IF(I80="A2",H80/2,IF(I80="A1",H80/1,IF(I80="A0",H80*2,"")))))</f>
        <v/>
      </c>
      <c r="K80" s="68">
        <f t="array" ref="K80">IFERROR(OFFSET($BZ$11,ROW($B80)-11,MATCH(K$10,$CA80:$FV80,0),),"")</f>
        <v/>
      </c>
      <c r="L80" s="85">
        <f>IF(K80="","",IF(VLOOKUP($B80,INDIRECT("'GRD-"&amp;M80&amp;"'!$B:$R"),16,FALSE)="","",VLOOKUP($B80,INDIRECT("'GRD-"&amp;M80&amp;"'!$B:$R"),16,FALSE)))</f>
        <v/>
      </c>
      <c r="M80" s="130">
        <f t="array" ref="M80">IF(K80="","",IFERROR(OFFSET($BZ$11,0,MATCH($K80,$CA80:$FV80,0),),""))</f>
        <v/>
      </c>
      <c r="N80" s="119">
        <f t="array" ref="N80">IF(K80="","",INDIRECT("'GRD-"&amp;M80&amp;"'!$L$7"))</f>
        <v/>
      </c>
      <c r="O80" s="76">
        <f t="array" ref="O80">IFERROR(OFFSET($BZ$11,ROW($B80)-11,MATCH(O$10,$CA80:$FV80,0),),"")</f>
        <v/>
      </c>
      <c r="P80" s="76">
        <f>IF(O80="","",IF(VLOOKUP($B80,INDIRECT("'GRD-"&amp;Q80&amp;"'!$B:$R"),16,FALSE)="","",VLOOKUP($B80,INDIRECT("'GRD-"&amp;Q80&amp;"'!$B:$R"),16,FALSE)))</f>
        <v/>
      </c>
      <c r="Q80" s="132">
        <f t="array" ref="Q80">IF(O80="","",IFERROR(OFFSET($BZ$11,0,MATCH($O80,$CA80:$FV80,0),),""))</f>
        <v/>
      </c>
      <c r="R80" s="121">
        <f t="array" ref="R80">IF(O80="","",INDIRECT("'GRD-"&amp;Q80&amp;"'!$L$7"))</f>
        <v/>
      </c>
      <c r="S80" s="83">
        <f t="array" ref="S80">IFERROR(OFFSET($BZ$11,ROW($B80)-11,MATCH(S$10,$CA80:$FV80,0),),"")</f>
        <v/>
      </c>
      <c r="T80" s="83">
        <f>IF(S80="","",IF(VLOOKUP($B80,INDIRECT("'GRD-"&amp;U80&amp;"'!$B:$R"),16,FALSE)="","",VLOOKUP($B80,INDIRECT("'GRD-"&amp;U80&amp;"'!$B:$R"),16,FALSE)))</f>
        <v/>
      </c>
      <c r="U80" s="128">
        <f t="array" ref="U80">IF(S80="","",IFERROR(OFFSET($BZ$11,0,MATCH($S80,$CA80:$FV80,0),),""))</f>
        <v/>
      </c>
      <c r="V80" s="133">
        <f t="array" ref="V80">IF(S80="","",INDIRECT("'GRD-"&amp;U80&amp;"'!$L$7"))</f>
        <v/>
      </c>
      <c r="W80" s="84">
        <f t="array" ref="W80">IFERROR(OFFSET($BZ$11,ROW($B80)-11,MATCH(W$10,$CA80:$FV80,0),),"")</f>
        <v/>
      </c>
      <c r="X80" s="84">
        <f>IF(W80="","",IF(VLOOKUP($B80,INDIRECT("'GRD-"&amp;Y80&amp;"'!$B:$R"),16,FALSE)="","",VLOOKUP($B80,INDIRECT("'GRD-"&amp;Y80&amp;"'!$B:$R"),16,FALSE)))</f>
        <v/>
      </c>
      <c r="Y80" s="129">
        <f t="array" ref="Y80">IF(W80="","",IFERROR(OFFSET($BZ$11,0,MATCH($W80,$CA80:$FV80,0),),""))</f>
        <v/>
      </c>
      <c r="Z80" s="134">
        <f t="array" ref="Z80">IF(W80="","",INDIRECT("'GRD-"&amp;Y80&amp;"'!$L$7"))</f>
        <v/>
      </c>
      <c r="AA80" s="85">
        <f t="array" ref="AA80">IFERROR(OFFSET($BZ$11,ROW($B80)-11,MATCH(AA$10,$CA80:$FV80,0),),"")</f>
        <v/>
      </c>
      <c r="AB80" s="85">
        <f>IF(AA80="","",IF(VLOOKUP($B80,INDIRECT("'GRD-"&amp;AC80&amp;"'!$B:$R"),16,FALSE)="","",VLOOKUP($B80,INDIRECT("'GRD-"&amp;AC80&amp;"'!$B:$R"),16,FALSE)))</f>
        <v/>
      </c>
      <c r="AC80" s="130">
        <f t="array" ref="AC80">IF(AA80="","",IFERROR(OFFSET($BZ$11,0,MATCH($AA80,$CA80:$FV80,0),),""))</f>
        <v/>
      </c>
      <c r="AD80" s="131">
        <f t="array" ref="AD80">IF(AA80="","",INDIRECT("'GRD-"&amp;AC80&amp;"'!$L$7"))</f>
        <v/>
      </c>
      <c r="AE80" s="76">
        <f t="array" ref="AE80">IFERROR(OFFSET($BZ$11,ROW($B80)-11,MATCH(AE$10,$CA80:$FV80,0),),"")</f>
        <v/>
      </c>
      <c r="AF80" s="76">
        <f>IF(AE80="","",IF(VLOOKUP($B80,INDIRECT("'GRD-"&amp;AG80&amp;"'!$B:$R"),16,FALSE)="","",VLOOKUP($B80,INDIRECT("'GRD-"&amp;AG80&amp;"'!$B:$R"),16,FALSE)))</f>
        <v/>
      </c>
      <c r="AG80" s="132">
        <f t="array" ref="AG80">IF(AE80="","",IFERROR(OFFSET($BZ$11,0,MATCH($AE80,$CA80:$FV80,0),),""))</f>
        <v/>
      </c>
      <c r="AH80" s="121">
        <f t="array" ref="AH80">IF(AE80="","",INDIRECT("'GRD-"&amp;AG80&amp;"'!$L$7"))</f>
        <v/>
      </c>
      <c r="AI80" s="83">
        <f t="array" ref="AI80">IFERROR(OFFSET($BZ$11,ROW($B80)-11,MATCH(AI$10,$CA80:$FV80,0),),"")</f>
        <v/>
      </c>
      <c r="AJ80" s="83">
        <f>IF(AI80="","",IF(VLOOKUP($B80,INDIRECT("'GRD-"&amp;AK80&amp;"'!$B:$R"),16,FALSE)="","",VLOOKUP($B80,INDIRECT("'GRD-"&amp;AK80&amp;"'!$B:$R"),16,FALSE)))</f>
        <v/>
      </c>
      <c r="AK80" s="128">
        <f t="array" ref="AK80">IF(AI80="","",IFERROR(OFFSET($BZ$11,0,MATCH($AI80,$CA80:$FV80,0),),""))</f>
        <v/>
      </c>
      <c r="AL80" s="133">
        <f t="array" ref="AL80">IF(AI80="","",INDIRECT("'GRD-"&amp;AK80&amp;"'!$L$7"))</f>
        <v/>
      </c>
      <c r="AM80" s="84">
        <f t="array" ref="AM80">IFERROR(OFFSET($BZ$11,ROW($B80)-11,MATCH(AM$10,$CA80:$FV80,0),),"")</f>
        <v/>
      </c>
      <c r="AN80" s="84">
        <f>IF(AM80="","",IF(VLOOKUP($B80,INDIRECT("'GRD-"&amp;AO80&amp;"'!$B:$R"),16,FALSE)="","",VLOOKUP($B80,INDIRECT("'GRD-"&amp;AO80&amp;"'!$B:$R"),16,FALSE)))</f>
        <v/>
      </c>
      <c r="AO80" s="129">
        <f t="array" ref="AO80">IF(AM80="","",IFERROR(OFFSET($BZ$11,0,MATCH($AM80,$CA80:$FV80,0),),""))</f>
        <v/>
      </c>
      <c r="AP80" s="134">
        <f t="array" ref="AP80">IF(AM80="","",INDIRECT("'GRD-"&amp;AO80&amp;"'!$L$7"))</f>
        <v/>
      </c>
      <c r="AQ80" s="85">
        <f t="array" ref="AQ80">IFERROR(OFFSET($BZ$11,ROW($B80)-11,MATCH(AQ$10,$CA80:$FV80,0),),"")</f>
        <v/>
      </c>
      <c r="AR80" s="85">
        <f>IF(AQ80="","",IF(VLOOKUP($B80,INDIRECT("'GRD-"&amp;AS80&amp;"'!$B:$R"),16,FALSE)="","",VLOOKUP($B80,INDIRECT("'GRD-"&amp;AS80&amp;"'!$B:$R"),16,FALSE)))</f>
        <v/>
      </c>
      <c r="AS80" s="130">
        <f t="array" ref="AS80">IF(AQ80="","",IFERROR(OFFSET($BZ$11,0,MATCH($AQ80,$CA80:$FV80,0),),""))</f>
        <v/>
      </c>
      <c r="AT80" s="131">
        <f t="array" ref="AT80">IF(AQ80="","",INDIRECT("'GRD-"&amp;AS80&amp;"'!$L$7"))</f>
        <v/>
      </c>
      <c r="AU80" s="76">
        <f t="array" ref="AU80">IFERROR(OFFSET($BZ$11,ROW($B80)-11,MATCH(AU$10,$CA80:$FV80,0),),"")</f>
        <v/>
      </c>
      <c r="AV80" s="76">
        <f>IF(AU80="","",IF(VLOOKUP($B80,INDIRECT("'GRD-"&amp;AW80&amp;"'!$B:$R"),16,FALSE)="","",VLOOKUP($B80,INDIRECT("'GRD-"&amp;AW80&amp;"'!$B:$R"),16,FALSE)))</f>
        <v/>
      </c>
      <c r="AW80" s="132">
        <f t="array" ref="AW80">IF(AU80="","",IFERROR(OFFSET($BZ$11,0,MATCH($AU80,$CA80:$FV80,0),),""))</f>
        <v/>
      </c>
      <c r="AX80" s="121">
        <f t="array" ref="AX80">IF(AU80="","",INDIRECT("'GRD-"&amp;AW80&amp;"'!$L$7"))</f>
        <v/>
      </c>
      <c r="AY80" s="83">
        <f t="array" ref="AY80">IFERROR(OFFSET($BZ$11,ROW($B80)-11,MATCH(AY$10,$CA80:$FV80,0),),"")</f>
        <v/>
      </c>
      <c r="AZ80" s="83">
        <f>IF(AY80="","",IF(VLOOKUP($B80,INDIRECT("'GRD-"&amp;BA80&amp;"'!$B:$R"),16,FALSE)="","",VLOOKUP($B80,INDIRECT("'GRD-"&amp;BA80&amp;"'!$B:$R"),16,FALSE)))</f>
        <v/>
      </c>
      <c r="BA80" s="128">
        <f t="array" ref="BA80">IF(AY80="","",IFERROR(OFFSET($BZ$11,0,MATCH($AY80,$CA80:$FV80,0),),""))</f>
        <v/>
      </c>
      <c r="BB80" s="133">
        <f t="array" ref="BB80">IF(AY80="","",INDIRECT("'GRD-"&amp;BA80&amp;"'!$L$7"))</f>
        <v/>
      </c>
      <c r="BC80" s="84">
        <f t="array" ref="BC80">IFERROR(OFFSET($BZ$11,ROW($B80)-11,MATCH(BC$10,$CA80:$FV80,0),),"")</f>
        <v/>
      </c>
      <c r="BD80" s="84">
        <f>IF(BC80="","",IF(VLOOKUP($B80,INDIRECT("'GRD-"&amp;BE80&amp;"'!$B:$R"),16,FALSE)="","",VLOOKUP($B80,INDIRECT("'GRD-"&amp;BE80&amp;"'!$B:$R"),16,FALSE)))</f>
        <v/>
      </c>
      <c r="BE80" s="129">
        <f t="array" ref="BE80">IF(BC80="","",IFERROR(OFFSET($BZ$11,0,MATCH($BC80,$CA80:$FV80,0),),""))</f>
        <v/>
      </c>
      <c r="BF80" s="134">
        <f t="array" ref="BF80">IF(BC80="","",INDIRECT("'GRD-"&amp;BE80&amp;"'!$L$7"))</f>
        <v/>
      </c>
      <c r="CA80" s="96">
        <f>IFERROR(VLOOKUP($B80,INDIRECT("'GRD-"&amp;CA$11&amp;"'!B:R"),15,FALSE),"")</f>
        <v/>
      </c>
      <c r="CB80" s="96">
        <f>IFERROR(VLOOKUP($B80,INDIRECT("'GRD-"&amp;CB$11&amp;"'!B:R"),15,FALSE),"")</f>
        <v/>
      </c>
      <c r="CC80" s="96">
        <f>IFERROR(VLOOKUP($B80,INDIRECT("'GRD-"&amp;CC$11&amp;"'!B:R"),15,FALSE),"")</f>
        <v/>
      </c>
      <c r="CD80" s="96">
        <f>IFERROR(VLOOKUP($B80,INDIRECT("'GRD-"&amp;CD$11&amp;"'!B:R"),15,FALSE),"")</f>
        <v/>
      </c>
      <c r="CE80" s="96">
        <f>IFERROR(VLOOKUP($B80,INDIRECT("'GRD-"&amp;CE$11&amp;"'!B:R"),15,FALSE),"")</f>
        <v/>
      </c>
      <c r="CF80" s="96">
        <f>IFERROR(VLOOKUP($B80,INDIRECT("'GRD-"&amp;CF$11&amp;"'!B:R"),15,FALSE),"")</f>
        <v/>
      </c>
      <c r="CG80" s="96">
        <f>IFERROR(VLOOKUP($B80,INDIRECT("'GRD-"&amp;CG$11&amp;"'!B:R"),15,FALSE),"")</f>
        <v/>
      </c>
      <c r="CH80" s="96">
        <f>IFERROR(VLOOKUP($B80,INDIRECT("'GRD-"&amp;CH$11&amp;"'!B:R"),15,FALSE),"")</f>
        <v/>
      </c>
      <c r="CI80" s="96">
        <f>IFERROR(VLOOKUP($B80,INDIRECT("'GRD-"&amp;CI$11&amp;"'!B:R"),15,FALSE),"")</f>
        <v/>
      </c>
      <c r="CJ80" s="96">
        <f>IFERROR(VLOOKUP($B80,INDIRECT("'GRD-"&amp;CJ$11&amp;"'!B:R"),15,FALSE),"")</f>
        <v/>
      </c>
      <c r="CK80" s="96">
        <f>IFERROR(VLOOKUP($B80,INDIRECT("'GRD-"&amp;CK$11&amp;"'!B:R"),15,FALSE),"")</f>
        <v/>
      </c>
      <c r="CL80" s="96">
        <f>IFERROR(VLOOKUP($B80,INDIRECT("'GRD-"&amp;CL$11&amp;"'!B:R"),15,FALSE),"")</f>
        <v/>
      </c>
      <c r="CM80" s="96">
        <f>IFERROR(VLOOKUP($B80,INDIRECT("'GRD-"&amp;CM$11&amp;"'!B:R"),15,FALSE),"")</f>
        <v/>
      </c>
      <c r="CN80" s="96">
        <f>IFERROR(VLOOKUP($B80,INDIRECT("'GRD-"&amp;CN$11&amp;"'!B:R"),15,FALSE),"")</f>
        <v/>
      </c>
      <c r="CO80" s="96">
        <f>IFERROR(VLOOKUP($B80,INDIRECT("'GRD-"&amp;CO$11&amp;"'!B:R"),15,FALSE),"")</f>
        <v/>
      </c>
      <c r="CP80" s="96">
        <f>IFERROR(VLOOKUP($B80,INDIRECT("'GRD-"&amp;CP$11&amp;"'!B:R"),15,FALSE),"")</f>
        <v/>
      </c>
      <c r="CQ80" s="96">
        <f>IFERROR(VLOOKUP($B80,INDIRECT("'GRD-"&amp;CQ$11&amp;"'!B:R"),15,FALSE),"")</f>
        <v/>
      </c>
      <c r="CR80" s="96">
        <f>IFERROR(VLOOKUP($B80,INDIRECT("'GRD-"&amp;CR$11&amp;"'!B:R"),15,FALSE),"")</f>
        <v/>
      </c>
      <c r="CS80" s="96">
        <f>IFERROR(VLOOKUP($B80,INDIRECT("'GRD-"&amp;CS$11&amp;"'!B:R"),15,FALSE),"")</f>
        <v/>
      </c>
      <c r="CT80" s="96">
        <f>IFERROR(VLOOKUP($B80,INDIRECT("'GRD-"&amp;CT$11&amp;"'!B:R"),15,FALSE),"")</f>
        <v/>
      </c>
      <c r="CU80" s="96">
        <f>IFERROR(VLOOKUP($B80,INDIRECT("'GRD-"&amp;CU$11&amp;"'!B:R"),15,FALSE),"")</f>
        <v/>
      </c>
      <c r="CV80" s="96">
        <f>IFERROR(VLOOKUP($B80,INDIRECT("'GRD-"&amp;CV$11&amp;"'!B:R"),15,FALSE),"")</f>
        <v/>
      </c>
      <c r="CW80" s="96">
        <f>IFERROR(VLOOKUP($B80,INDIRECT("'GRD-"&amp;CW$11&amp;"'!B:R"),15,FALSE),"")</f>
        <v/>
      </c>
      <c r="CX80" s="96">
        <f>IFERROR(VLOOKUP($B80,INDIRECT("'GRD-"&amp;CX$11&amp;"'!B:R"),15,FALSE),"")</f>
        <v/>
      </c>
      <c r="CY80" s="96">
        <f>IFERROR(VLOOKUP($B80,INDIRECT("'GRD-"&amp;CY$11&amp;"'!B:R"),15,FALSE),"")</f>
        <v/>
      </c>
      <c r="CZ80" s="96">
        <f>IFERROR(VLOOKUP($B80,INDIRECT("'GRD-"&amp;CZ$11&amp;"'!B:R"),15,FALSE),"")</f>
        <v/>
      </c>
      <c r="DA80" s="96">
        <f>IFERROR(VLOOKUP($B80,INDIRECT("'GRD-"&amp;DA$11&amp;"'!B:R"),15,FALSE),"")</f>
        <v/>
      </c>
      <c r="DB80" s="96">
        <f>IFERROR(VLOOKUP($B80,INDIRECT("'GRD-"&amp;DB$11&amp;"'!B:R"),15,FALSE),"")</f>
        <v/>
      </c>
      <c r="DC80" s="96">
        <f>IFERROR(VLOOKUP($B80,INDIRECT("'GRD-"&amp;DC$11&amp;"'!B:R"),15,FALSE),"")</f>
        <v/>
      </c>
      <c r="DD80" s="96">
        <f>IFERROR(VLOOKUP($B80,INDIRECT("'GRD-"&amp;DD$11&amp;"'!B:R"),15,FALSE),"")</f>
        <v/>
      </c>
      <c r="DE80" s="96">
        <f>IFERROR(VLOOKUP($B80,INDIRECT("'GRD-"&amp;DE$11&amp;"'!B:R"),15,FALSE),"")</f>
        <v/>
      </c>
      <c r="DF80" s="96">
        <f>IFERROR(VLOOKUP($B80,INDIRECT("'GRD-"&amp;DF$11&amp;"'!B:R"),15,FALSE),"")</f>
        <v/>
      </c>
      <c r="DG80" s="96">
        <f>IFERROR(VLOOKUP($B80,INDIRECT("'GRD-"&amp;DG$11&amp;"'!B:R"),15,FALSE),"")</f>
        <v/>
      </c>
      <c r="DH80" s="96">
        <f>IFERROR(VLOOKUP($B80,INDIRECT("'GRD-"&amp;DH$11&amp;"'!B:R"),15,FALSE),"")</f>
        <v/>
      </c>
      <c r="DI80" s="96">
        <f>IFERROR(VLOOKUP($B80,INDIRECT("'GRD-"&amp;DI$11&amp;"'!B:R"),15,FALSE),"")</f>
        <v/>
      </c>
      <c r="DJ80" s="96">
        <f>IFERROR(VLOOKUP($B80,INDIRECT("'GRD-"&amp;DJ$11&amp;"'!B:R"),15,FALSE),"")</f>
        <v/>
      </c>
      <c r="DK80" s="96">
        <f>IFERROR(VLOOKUP($B80,INDIRECT("'GRD-"&amp;DK$11&amp;"'!B:R"),15,FALSE),"")</f>
        <v/>
      </c>
      <c r="DL80" s="96">
        <f>IFERROR(VLOOKUP($B80,INDIRECT("'GRD-"&amp;DL$11&amp;"'!B:R"),15,FALSE),"")</f>
        <v/>
      </c>
      <c r="DM80" s="96">
        <f>IFERROR(VLOOKUP($B80,INDIRECT("'GRD-"&amp;DM$11&amp;"'!B:R"),15,FALSE),"")</f>
        <v/>
      </c>
      <c r="DN80" s="96">
        <f>IFERROR(VLOOKUP($B80,INDIRECT("'GRD-"&amp;DN$11&amp;"'!B:R"),15,FALSE),"")</f>
        <v/>
      </c>
      <c r="DO80" s="96">
        <f>IFERROR(VLOOKUP($B80,INDIRECT("'GRD-"&amp;DO$11&amp;"'!B:R"),15,FALSE),"")</f>
        <v/>
      </c>
      <c r="DP80" s="96">
        <f>IFERROR(VLOOKUP($B80,INDIRECT("'GRD-"&amp;DP$11&amp;"'!B:R"),15,FALSE),"")</f>
        <v/>
      </c>
      <c r="DQ80" s="96">
        <f>IFERROR(VLOOKUP($B80,INDIRECT("'GRD-"&amp;DQ$11&amp;"'!B:R"),15,FALSE),"")</f>
        <v/>
      </c>
      <c r="DR80" s="96">
        <f>IFERROR(VLOOKUP($B80,INDIRECT("'GRD-"&amp;DR$11&amp;"'!B:R"),15,FALSE),"")</f>
        <v/>
      </c>
      <c r="DS80" s="96">
        <f>IFERROR(VLOOKUP($B80,INDIRECT("'GRD-"&amp;DS$11&amp;"'!B:R"),15,FALSE),"")</f>
        <v/>
      </c>
      <c r="DT80" s="96">
        <f>IFERROR(VLOOKUP($B80,INDIRECT("'GRD-"&amp;DT$11&amp;"'!B:R"),15,FALSE),"")</f>
        <v/>
      </c>
      <c r="DU80" s="96">
        <f>IFERROR(VLOOKUP($B80,INDIRECT("'GRD-"&amp;DU$11&amp;"'!B:R"),15,FALSE),"")</f>
        <v/>
      </c>
      <c r="DV80" s="96">
        <f>IFERROR(VLOOKUP($B80,INDIRECT("'GRD-"&amp;DV$11&amp;"'!B:R"),15,FALSE),"")</f>
        <v/>
      </c>
      <c r="DW80" s="96">
        <f>IFERROR(VLOOKUP($B80,INDIRECT("'GRD-"&amp;DW$11&amp;"'!B:R"),15,FALSE),"")</f>
        <v/>
      </c>
      <c r="DX80" s="96">
        <f>IFERROR(VLOOKUP($B80,INDIRECT("'GRD-"&amp;DX$11&amp;"'!B:R"),15,FALSE),"")</f>
        <v/>
      </c>
      <c r="DY80" s="96">
        <f>IFERROR(VLOOKUP($B80,INDIRECT("'GRD-"&amp;DY$11&amp;"'!B:R"),15,FALSE),"")</f>
        <v/>
      </c>
      <c r="DZ80" s="96">
        <f>IFERROR(VLOOKUP($B80,INDIRECT("'GRD-"&amp;DZ$11&amp;"'!B:R"),15,FALSE),"")</f>
        <v/>
      </c>
      <c r="EA80" s="96">
        <f>IFERROR(VLOOKUP($B80,INDIRECT("'GRD-"&amp;EA$11&amp;"'!B:R"),15,FALSE),"")</f>
        <v/>
      </c>
      <c r="EB80" s="96">
        <f>IFERROR(VLOOKUP($B80,INDIRECT("'GRD-"&amp;EB$11&amp;"'!B:R"),15,FALSE),"")</f>
        <v/>
      </c>
      <c r="EC80" s="96">
        <f>IFERROR(VLOOKUP($B80,INDIRECT("'GRD-"&amp;EC$11&amp;"'!B:R"),15,FALSE),"")</f>
        <v/>
      </c>
      <c r="ED80" s="96">
        <f>IFERROR(VLOOKUP($B80,INDIRECT("'GRD-"&amp;ED$11&amp;"'!B:R"),15,FALSE),"")</f>
        <v/>
      </c>
      <c r="EE80" s="96">
        <f>IFERROR(VLOOKUP($B80,INDIRECT("'GRD-"&amp;EE$11&amp;"'!B:R"),15,FALSE),"")</f>
        <v/>
      </c>
      <c r="EF80" s="96">
        <f>IFERROR(VLOOKUP($B80,INDIRECT("'GRD-"&amp;EF$11&amp;"'!B:R"),15,FALSE),"")</f>
        <v/>
      </c>
      <c r="EG80" s="96">
        <f>IFERROR(VLOOKUP($B80,INDIRECT("'GRD-"&amp;EG$11&amp;"'!B:R"),15,FALSE),"")</f>
        <v/>
      </c>
      <c r="EH80" s="96">
        <f>IFERROR(VLOOKUP($B80,INDIRECT("'GRD-"&amp;EH$11&amp;"'!B:R"),15,FALSE),"")</f>
        <v/>
      </c>
      <c r="EI80" s="96">
        <f>IFERROR(VLOOKUP($B80,INDIRECT("'GRD-"&amp;EI$11&amp;"'!B:R"),15,FALSE),"")</f>
        <v/>
      </c>
      <c r="EJ80" s="96">
        <f>IFERROR(VLOOKUP($B80,INDIRECT("'GRD-"&amp;EJ$11&amp;"'!B:R"),15,FALSE),"")</f>
        <v/>
      </c>
      <c r="EK80" s="96">
        <f>IFERROR(VLOOKUP($B80,INDIRECT("'GRD-"&amp;EK$11&amp;"'!B:R"),15,FALSE),"")</f>
        <v/>
      </c>
      <c r="EL80" s="96">
        <f>IFERROR(VLOOKUP($B80,INDIRECT("'GRD-"&amp;EL$11&amp;"'!B:R"),15,FALSE),"")</f>
        <v/>
      </c>
      <c r="EM80" s="96">
        <f>IFERROR(VLOOKUP($B80,INDIRECT("'GRD-"&amp;EM$11&amp;"'!B:R"),15,FALSE),"")</f>
        <v/>
      </c>
      <c r="EN80" s="96">
        <f>IFERROR(VLOOKUP($B80,INDIRECT("'GRD-"&amp;EN$11&amp;"'!B:R"),15,FALSE),"")</f>
        <v/>
      </c>
      <c r="EO80" s="96">
        <f>IFERROR(VLOOKUP($B80,INDIRECT("'GRD-"&amp;EO$11&amp;"'!B:R"),15,FALSE),"")</f>
        <v/>
      </c>
      <c r="EP80" s="96">
        <f>IFERROR(VLOOKUP($B80,INDIRECT("'GRD-"&amp;EP$11&amp;"'!B:R"),15,FALSE),"")</f>
        <v/>
      </c>
      <c r="EQ80" s="96">
        <f>IFERROR(VLOOKUP($B80,INDIRECT("'GRD-"&amp;EQ$11&amp;"'!B:R"),15,FALSE),"")</f>
        <v/>
      </c>
      <c r="ER80" s="96">
        <f>IFERROR(VLOOKUP($B80,INDIRECT("'GRD-"&amp;ER$11&amp;"'!B:R"),15,FALSE),"")</f>
        <v/>
      </c>
      <c r="ES80" s="96">
        <f>IFERROR(VLOOKUP($B80,INDIRECT("'GRD-"&amp;ES$11&amp;"'!B:R"),15,FALSE),"")</f>
        <v/>
      </c>
      <c r="ET80" s="96">
        <f>IFERROR(VLOOKUP($B80,INDIRECT("'GRD-"&amp;ET$11&amp;"'!B:R"),15,FALSE),"")</f>
        <v/>
      </c>
      <c r="EU80" s="96">
        <f>IFERROR(VLOOKUP($B80,INDIRECT("'GRD-"&amp;EU$11&amp;"'!B:R"),15,FALSE),"")</f>
        <v/>
      </c>
      <c r="EV80" s="96">
        <f>IFERROR(VLOOKUP($B80,INDIRECT("'GRD-"&amp;EV$11&amp;"'!B:R"),15,FALSE),"")</f>
        <v/>
      </c>
      <c r="EW80" s="96">
        <f>IFERROR(VLOOKUP($B80,INDIRECT("'GRD-"&amp;EW$11&amp;"'!B:R"),15,FALSE),"")</f>
        <v/>
      </c>
      <c r="EX80" s="96">
        <f>IFERROR(VLOOKUP($B80,INDIRECT("'GRD-"&amp;EX$11&amp;"'!B:R"),15,FALSE),"")</f>
        <v/>
      </c>
      <c r="EY80" s="96">
        <f>IFERROR(VLOOKUP($B80,INDIRECT("'GRD-"&amp;EY$11&amp;"'!B:R"),15,FALSE),"")</f>
        <v/>
      </c>
      <c r="EZ80" s="96">
        <f>IFERROR(VLOOKUP($B80,INDIRECT("'GRD-"&amp;EZ$11&amp;"'!B:R"),15,FALSE),"")</f>
        <v/>
      </c>
      <c r="FA80" s="96">
        <f>IFERROR(VLOOKUP($B80,INDIRECT("'GRD-"&amp;FA$11&amp;"'!B:R"),15,FALSE),"")</f>
        <v/>
      </c>
      <c r="FB80" s="96">
        <f>IFERROR(VLOOKUP($B80,INDIRECT("'GRD-"&amp;FB$11&amp;"'!B:R"),15,FALSE),"")</f>
        <v/>
      </c>
      <c r="FC80" s="96">
        <f>IFERROR(VLOOKUP($B80,INDIRECT("'GRD-"&amp;FC$11&amp;"'!B:R"),15,FALSE),"")</f>
        <v/>
      </c>
      <c r="FD80" s="96">
        <f>IFERROR(VLOOKUP($B80,INDIRECT("'GRD-"&amp;FD$11&amp;"'!B:R"),15,FALSE),"")</f>
        <v/>
      </c>
      <c r="FE80" s="96">
        <f>IFERROR(VLOOKUP($B80,INDIRECT("'GRD-"&amp;FE$11&amp;"'!B:R"),15,FALSE),"")</f>
        <v/>
      </c>
      <c r="FF80" s="96">
        <f>IFERROR(VLOOKUP($B80,INDIRECT("'GRD-"&amp;FF$11&amp;"'!B:R"),15,FALSE),"")</f>
        <v/>
      </c>
      <c r="FG80" s="96">
        <f>IFERROR(VLOOKUP($B80,INDIRECT("'GRD-"&amp;FG$11&amp;"'!B:R"),15,FALSE),"")</f>
        <v/>
      </c>
      <c r="FH80" s="96">
        <f>IFERROR(VLOOKUP($B80,INDIRECT("'GRD-"&amp;FH$11&amp;"'!B:R"),15,FALSE),"")</f>
        <v/>
      </c>
      <c r="FI80" s="96">
        <f>IFERROR(VLOOKUP($B80,INDIRECT("'GRD-"&amp;FI$11&amp;"'!B:R"),15,FALSE),"")</f>
        <v/>
      </c>
      <c r="FJ80" s="96">
        <f>IFERROR(VLOOKUP($B80,INDIRECT("'GRD-"&amp;FJ$11&amp;"'!B:R"),15,FALSE),"")</f>
        <v/>
      </c>
      <c r="FK80" s="96">
        <f>IFERROR(VLOOKUP($B80,INDIRECT("'GRD-"&amp;FK$11&amp;"'!B:R"),15,FALSE),"")</f>
        <v/>
      </c>
      <c r="FL80" s="96">
        <f>IFERROR(VLOOKUP($B80,INDIRECT("'GRD-"&amp;FL$11&amp;"'!B:R"),15,FALSE),"")</f>
        <v/>
      </c>
      <c r="FM80" s="96">
        <f>IFERROR(VLOOKUP($B80,INDIRECT("'GRD-"&amp;FM$11&amp;"'!B:R"),15,FALSE),"")</f>
        <v/>
      </c>
      <c r="FN80" s="96">
        <f>IFERROR(VLOOKUP($B80,INDIRECT("'GRD-"&amp;FN$11&amp;"'!B:R"),15,FALSE),"")</f>
        <v/>
      </c>
      <c r="FO80" s="96">
        <f>IFERROR(VLOOKUP($B80,INDIRECT("'GRD-"&amp;FO$11&amp;"'!B:R"),15,FALSE),"")</f>
        <v/>
      </c>
      <c r="FP80" s="96">
        <f>IFERROR(VLOOKUP($B80,INDIRECT("'GRD-"&amp;FP$11&amp;"'!B:R"),15,FALSE),"")</f>
        <v/>
      </c>
      <c r="FQ80" s="96">
        <f>IFERROR(VLOOKUP($B80,INDIRECT("'GRD-"&amp;FQ$11&amp;"'!B:R"),15,FALSE),"")</f>
        <v/>
      </c>
      <c r="FR80" s="96">
        <f>IFERROR(VLOOKUP($B80,INDIRECT("'GRD-"&amp;FR$11&amp;"'!B:R"),15,FALSE),"")</f>
        <v/>
      </c>
      <c r="FS80" s="96">
        <f>IFERROR(VLOOKUP($B80,INDIRECT("'GRD-"&amp;FS$11&amp;"'!B:R"),15,FALSE),"")</f>
        <v/>
      </c>
      <c r="FT80" s="96">
        <f>IFERROR(VLOOKUP($B80,INDIRECT("'GRD-"&amp;FT$11&amp;"'!B:R"),15,FALSE),"")</f>
        <v/>
      </c>
      <c r="FU80" s="96">
        <f>IFERROR(VLOOKUP($B80,INDIRECT("'GRD-"&amp;FU$11&amp;"'!B:R"),15,FALSE),"")</f>
        <v/>
      </c>
      <c r="FV80" s="96">
        <f>IFERROR(VLOOKUP($B80,INDIRECT("'GRD-"&amp;FV$11&amp;"'!B:R"),15,FALSE),"")</f>
        <v/>
      </c>
    </row>
    <row r="81">
      <c r="B81" s="85" t="n"/>
      <c r="C81" s="93" t="n"/>
      <c r="D81" s="73">
        <f>IF(K81="","",MAX($CA81:$FV81))</f>
        <v/>
      </c>
      <c r="E81" s="74">
        <f t="array" ref="E81">IF($K81="","",OFFSET($A$1,ROW($B81)-1,11+$D81*4,))</f>
        <v/>
      </c>
      <c r="F81" s="74">
        <f t="array" ref="F81">IF($K81="","",OFFSET($A$1,ROW($B81)-1,12+$D81*4,))</f>
        <v/>
      </c>
      <c r="G81" s="118">
        <f t="array" ref="G81">IF($K81="","",OFFSET($A$1,ROW($B81)-1,13+$D81*4,))</f>
        <v/>
      </c>
      <c r="H81" s="81" t="n"/>
      <c r="I81" s="82" t="n"/>
      <c r="J81" s="75">
        <f>IF(I81="A4",H81/8,IF(I81="A3",H81/4,IF(I81="A2",H81/2,IF(I81="A1",H81/1,IF(I81="A0",H81*2,"")))))</f>
        <v/>
      </c>
      <c r="K81" s="68">
        <f t="array" ref="K81">IFERROR(OFFSET($BZ$11,ROW($B81)-11,MATCH(K$10,$CA81:$FV81,0),),"")</f>
        <v/>
      </c>
      <c r="L81" s="85">
        <f>IF(K81="","",IF(VLOOKUP($B81,INDIRECT("'GRD-"&amp;M81&amp;"'!$B:$R"),16,FALSE)="","",VLOOKUP($B81,INDIRECT("'GRD-"&amp;M81&amp;"'!$B:$R"),16,FALSE)))</f>
        <v/>
      </c>
      <c r="M81" s="130">
        <f t="array" ref="M81">IF(K81="","",IFERROR(OFFSET($BZ$11,0,MATCH($K81,$CA81:$FV81,0),),""))</f>
        <v/>
      </c>
      <c r="N81" s="119">
        <f t="array" ref="N81">IF(K81="","",INDIRECT("'GRD-"&amp;M81&amp;"'!$L$7"))</f>
        <v/>
      </c>
      <c r="O81" s="76">
        <f t="array" ref="O81">IFERROR(OFFSET($BZ$11,ROW($B81)-11,MATCH(O$10,$CA81:$FV81,0),),"")</f>
        <v/>
      </c>
      <c r="P81" s="76">
        <f>IF(O81="","",IF(VLOOKUP($B81,INDIRECT("'GRD-"&amp;Q81&amp;"'!$B:$R"),16,FALSE)="","",VLOOKUP($B81,INDIRECT("'GRD-"&amp;Q81&amp;"'!$B:$R"),16,FALSE)))</f>
        <v/>
      </c>
      <c r="Q81" s="132">
        <f t="array" ref="Q81">IF(O81="","",IFERROR(OFFSET($BZ$11,0,MATCH($O81,$CA81:$FV81,0),),""))</f>
        <v/>
      </c>
      <c r="R81" s="121">
        <f t="array" ref="R81">IF(O81="","",INDIRECT("'GRD-"&amp;Q81&amp;"'!$L$7"))</f>
        <v/>
      </c>
      <c r="S81" s="83">
        <f t="array" ref="S81">IFERROR(OFFSET($BZ$11,ROW($B81)-11,MATCH(S$10,$CA81:$FV81,0),),"")</f>
        <v/>
      </c>
      <c r="T81" s="83">
        <f>IF(S81="","",IF(VLOOKUP($B81,INDIRECT("'GRD-"&amp;U81&amp;"'!$B:$R"),16,FALSE)="","",VLOOKUP($B81,INDIRECT("'GRD-"&amp;U81&amp;"'!$B:$R"),16,FALSE)))</f>
        <v/>
      </c>
      <c r="U81" s="128">
        <f t="array" ref="U81">IF(S81="","",IFERROR(OFFSET($BZ$11,0,MATCH($S81,$CA81:$FV81,0),),""))</f>
        <v/>
      </c>
      <c r="V81" s="133">
        <f t="array" ref="V81">IF(S81="","",INDIRECT("'GRD-"&amp;U81&amp;"'!$L$7"))</f>
        <v/>
      </c>
      <c r="W81" s="84">
        <f t="array" ref="W81">IFERROR(OFFSET($BZ$11,ROW($B81)-11,MATCH(W$10,$CA81:$FV81,0),),"")</f>
        <v/>
      </c>
      <c r="X81" s="84">
        <f>IF(W81="","",IF(VLOOKUP($B81,INDIRECT("'GRD-"&amp;Y81&amp;"'!$B:$R"),16,FALSE)="","",VLOOKUP($B81,INDIRECT("'GRD-"&amp;Y81&amp;"'!$B:$R"),16,FALSE)))</f>
        <v/>
      </c>
      <c r="Y81" s="129">
        <f t="array" ref="Y81">IF(W81="","",IFERROR(OFFSET($BZ$11,0,MATCH($W81,$CA81:$FV81,0),),""))</f>
        <v/>
      </c>
      <c r="Z81" s="134">
        <f t="array" ref="Z81">IF(W81="","",INDIRECT("'GRD-"&amp;Y81&amp;"'!$L$7"))</f>
        <v/>
      </c>
      <c r="AA81" s="85">
        <f t="array" ref="AA81">IFERROR(OFFSET($BZ$11,ROW($B81)-11,MATCH(AA$10,$CA81:$FV81,0),),"")</f>
        <v/>
      </c>
      <c r="AB81" s="85">
        <f>IF(AA81="","",IF(VLOOKUP($B81,INDIRECT("'GRD-"&amp;AC81&amp;"'!$B:$R"),16,FALSE)="","",VLOOKUP($B81,INDIRECT("'GRD-"&amp;AC81&amp;"'!$B:$R"),16,FALSE)))</f>
        <v/>
      </c>
      <c r="AC81" s="130">
        <f t="array" ref="AC81">IF(AA81="","",IFERROR(OFFSET($BZ$11,0,MATCH($AA81,$CA81:$FV81,0),),""))</f>
        <v/>
      </c>
      <c r="AD81" s="131">
        <f t="array" ref="AD81">IF(AA81="","",INDIRECT("'GRD-"&amp;AC81&amp;"'!$L$7"))</f>
        <v/>
      </c>
      <c r="AE81" s="76">
        <f t="array" ref="AE81">IFERROR(OFFSET($BZ$11,ROW($B81)-11,MATCH(AE$10,$CA81:$FV81,0),),"")</f>
        <v/>
      </c>
      <c r="AF81" s="76">
        <f>IF(AE81="","",IF(VLOOKUP($B81,INDIRECT("'GRD-"&amp;AG81&amp;"'!$B:$R"),16,FALSE)="","",VLOOKUP($B81,INDIRECT("'GRD-"&amp;AG81&amp;"'!$B:$R"),16,FALSE)))</f>
        <v/>
      </c>
      <c r="AG81" s="132">
        <f t="array" ref="AG81">IF(AE81="","",IFERROR(OFFSET($BZ$11,0,MATCH($AE81,$CA81:$FV81,0),),""))</f>
        <v/>
      </c>
      <c r="AH81" s="121">
        <f t="array" ref="AH81">IF(AE81="","",INDIRECT("'GRD-"&amp;AG81&amp;"'!$L$7"))</f>
        <v/>
      </c>
      <c r="AI81" s="83">
        <f t="array" ref="AI81">IFERROR(OFFSET($BZ$11,ROW($B81)-11,MATCH(AI$10,$CA81:$FV81,0),),"")</f>
        <v/>
      </c>
      <c r="AJ81" s="83">
        <f>IF(AI81="","",IF(VLOOKUP($B81,INDIRECT("'GRD-"&amp;AK81&amp;"'!$B:$R"),16,FALSE)="","",VLOOKUP($B81,INDIRECT("'GRD-"&amp;AK81&amp;"'!$B:$R"),16,FALSE)))</f>
        <v/>
      </c>
      <c r="AK81" s="128">
        <f t="array" ref="AK81">IF(AI81="","",IFERROR(OFFSET($BZ$11,0,MATCH($AI81,$CA81:$FV81,0),),""))</f>
        <v/>
      </c>
      <c r="AL81" s="133">
        <f t="array" ref="AL81">IF(AI81="","",INDIRECT("'GRD-"&amp;AK81&amp;"'!$L$7"))</f>
        <v/>
      </c>
      <c r="AM81" s="84">
        <f t="array" ref="AM81">IFERROR(OFFSET($BZ$11,ROW($B81)-11,MATCH(AM$10,$CA81:$FV81,0),),"")</f>
        <v/>
      </c>
      <c r="AN81" s="84">
        <f>IF(AM81="","",IF(VLOOKUP($B81,INDIRECT("'GRD-"&amp;AO81&amp;"'!$B:$R"),16,FALSE)="","",VLOOKUP($B81,INDIRECT("'GRD-"&amp;AO81&amp;"'!$B:$R"),16,FALSE)))</f>
        <v/>
      </c>
      <c r="AO81" s="129">
        <f t="array" ref="AO81">IF(AM81="","",IFERROR(OFFSET($BZ$11,0,MATCH($AM81,$CA81:$FV81,0),),""))</f>
        <v/>
      </c>
      <c r="AP81" s="134">
        <f t="array" ref="AP81">IF(AM81="","",INDIRECT("'GRD-"&amp;AO81&amp;"'!$L$7"))</f>
        <v/>
      </c>
      <c r="AQ81" s="85">
        <f t="array" ref="AQ81">IFERROR(OFFSET($BZ$11,ROW($B81)-11,MATCH(AQ$10,$CA81:$FV81,0),),"")</f>
        <v/>
      </c>
      <c r="AR81" s="85">
        <f>IF(AQ81="","",IF(VLOOKUP($B81,INDIRECT("'GRD-"&amp;AS81&amp;"'!$B:$R"),16,FALSE)="","",VLOOKUP($B81,INDIRECT("'GRD-"&amp;AS81&amp;"'!$B:$R"),16,FALSE)))</f>
        <v/>
      </c>
      <c r="AS81" s="130">
        <f t="array" ref="AS81">IF(AQ81="","",IFERROR(OFFSET($BZ$11,0,MATCH($AQ81,$CA81:$FV81,0),),""))</f>
        <v/>
      </c>
      <c r="AT81" s="131">
        <f t="array" ref="AT81">IF(AQ81="","",INDIRECT("'GRD-"&amp;AS81&amp;"'!$L$7"))</f>
        <v/>
      </c>
      <c r="AU81" s="76">
        <f t="array" ref="AU81">IFERROR(OFFSET($BZ$11,ROW($B81)-11,MATCH(AU$10,$CA81:$FV81,0),),"")</f>
        <v/>
      </c>
      <c r="AV81" s="76">
        <f>IF(AU81="","",IF(VLOOKUP($B81,INDIRECT("'GRD-"&amp;AW81&amp;"'!$B:$R"),16,FALSE)="","",VLOOKUP($B81,INDIRECT("'GRD-"&amp;AW81&amp;"'!$B:$R"),16,FALSE)))</f>
        <v/>
      </c>
      <c r="AW81" s="132">
        <f t="array" ref="AW81">IF(AU81="","",IFERROR(OFFSET($BZ$11,0,MATCH($AU81,$CA81:$FV81,0),),""))</f>
        <v/>
      </c>
      <c r="AX81" s="121">
        <f t="array" ref="AX81">IF(AU81="","",INDIRECT("'GRD-"&amp;AW81&amp;"'!$L$7"))</f>
        <v/>
      </c>
      <c r="AY81" s="83">
        <f t="array" ref="AY81">IFERROR(OFFSET($BZ$11,ROW($B81)-11,MATCH(AY$10,$CA81:$FV81,0),),"")</f>
        <v/>
      </c>
      <c r="AZ81" s="83">
        <f>IF(AY81="","",IF(VLOOKUP($B81,INDIRECT("'GRD-"&amp;BA81&amp;"'!$B:$R"),16,FALSE)="","",VLOOKUP($B81,INDIRECT("'GRD-"&amp;BA81&amp;"'!$B:$R"),16,FALSE)))</f>
        <v/>
      </c>
      <c r="BA81" s="128">
        <f t="array" ref="BA81">IF(AY81="","",IFERROR(OFFSET($BZ$11,0,MATCH($AY81,$CA81:$FV81,0),),""))</f>
        <v/>
      </c>
      <c r="BB81" s="133">
        <f t="array" ref="BB81">IF(AY81="","",INDIRECT("'GRD-"&amp;BA81&amp;"'!$L$7"))</f>
        <v/>
      </c>
      <c r="BC81" s="84">
        <f t="array" ref="BC81">IFERROR(OFFSET($BZ$11,ROW($B81)-11,MATCH(BC$10,$CA81:$FV81,0),),"")</f>
        <v/>
      </c>
      <c r="BD81" s="84">
        <f>IF(BC81="","",IF(VLOOKUP($B81,INDIRECT("'GRD-"&amp;BE81&amp;"'!$B:$R"),16,FALSE)="","",VLOOKUP($B81,INDIRECT("'GRD-"&amp;BE81&amp;"'!$B:$R"),16,FALSE)))</f>
        <v/>
      </c>
      <c r="BE81" s="129">
        <f t="array" ref="BE81">IF(BC81="","",IFERROR(OFFSET($BZ$11,0,MATCH($BC81,$CA81:$FV81,0),),""))</f>
        <v/>
      </c>
      <c r="BF81" s="134">
        <f t="array" ref="BF81">IF(BC81="","",INDIRECT("'GRD-"&amp;BE81&amp;"'!$L$7"))</f>
        <v/>
      </c>
      <c r="CA81" s="96">
        <f>IFERROR(VLOOKUP($B81,INDIRECT("'GRD-"&amp;CA$11&amp;"'!B:R"),15,FALSE),"")</f>
        <v/>
      </c>
      <c r="CB81" s="96">
        <f>IFERROR(VLOOKUP($B81,INDIRECT("'GRD-"&amp;CB$11&amp;"'!B:R"),15,FALSE),"")</f>
        <v/>
      </c>
      <c r="CC81" s="96">
        <f>IFERROR(VLOOKUP($B81,INDIRECT("'GRD-"&amp;CC$11&amp;"'!B:R"),15,FALSE),"")</f>
        <v/>
      </c>
      <c r="CD81" s="96">
        <f>IFERROR(VLOOKUP($B81,INDIRECT("'GRD-"&amp;CD$11&amp;"'!B:R"),15,FALSE),"")</f>
        <v/>
      </c>
      <c r="CE81" s="96">
        <f>IFERROR(VLOOKUP($B81,INDIRECT("'GRD-"&amp;CE$11&amp;"'!B:R"),15,FALSE),"")</f>
        <v/>
      </c>
      <c r="CF81" s="96">
        <f>IFERROR(VLOOKUP($B81,INDIRECT("'GRD-"&amp;CF$11&amp;"'!B:R"),15,FALSE),"")</f>
        <v/>
      </c>
      <c r="CG81" s="96">
        <f>IFERROR(VLOOKUP($B81,INDIRECT("'GRD-"&amp;CG$11&amp;"'!B:R"),15,FALSE),"")</f>
        <v/>
      </c>
      <c r="CH81" s="96">
        <f>IFERROR(VLOOKUP($B81,INDIRECT("'GRD-"&amp;CH$11&amp;"'!B:R"),15,FALSE),"")</f>
        <v/>
      </c>
      <c r="CI81" s="96">
        <f>IFERROR(VLOOKUP($B81,INDIRECT("'GRD-"&amp;CI$11&amp;"'!B:R"),15,FALSE),"")</f>
        <v/>
      </c>
      <c r="CJ81" s="96">
        <f>IFERROR(VLOOKUP($B81,INDIRECT("'GRD-"&amp;CJ$11&amp;"'!B:R"),15,FALSE),"")</f>
        <v/>
      </c>
      <c r="CK81" s="96">
        <f>IFERROR(VLOOKUP($B81,INDIRECT("'GRD-"&amp;CK$11&amp;"'!B:R"),15,FALSE),"")</f>
        <v/>
      </c>
      <c r="CL81" s="96">
        <f>IFERROR(VLOOKUP($B81,INDIRECT("'GRD-"&amp;CL$11&amp;"'!B:R"),15,FALSE),"")</f>
        <v/>
      </c>
      <c r="CM81" s="96">
        <f>IFERROR(VLOOKUP($B81,INDIRECT("'GRD-"&amp;CM$11&amp;"'!B:R"),15,FALSE),"")</f>
        <v/>
      </c>
      <c r="CN81" s="96">
        <f>IFERROR(VLOOKUP($B81,INDIRECT("'GRD-"&amp;CN$11&amp;"'!B:R"),15,FALSE),"")</f>
        <v/>
      </c>
      <c r="CO81" s="96">
        <f>IFERROR(VLOOKUP($B81,INDIRECT("'GRD-"&amp;CO$11&amp;"'!B:R"),15,FALSE),"")</f>
        <v/>
      </c>
      <c r="CP81" s="96">
        <f>IFERROR(VLOOKUP($B81,INDIRECT("'GRD-"&amp;CP$11&amp;"'!B:R"),15,FALSE),"")</f>
        <v/>
      </c>
      <c r="CQ81" s="96">
        <f>IFERROR(VLOOKUP($B81,INDIRECT("'GRD-"&amp;CQ$11&amp;"'!B:R"),15,FALSE),"")</f>
        <v/>
      </c>
      <c r="CR81" s="96">
        <f>IFERROR(VLOOKUP($B81,INDIRECT("'GRD-"&amp;CR$11&amp;"'!B:R"),15,FALSE),"")</f>
        <v/>
      </c>
      <c r="CS81" s="96">
        <f>IFERROR(VLOOKUP($B81,INDIRECT("'GRD-"&amp;CS$11&amp;"'!B:R"),15,FALSE),"")</f>
        <v/>
      </c>
      <c r="CT81" s="96">
        <f>IFERROR(VLOOKUP($B81,INDIRECT("'GRD-"&amp;CT$11&amp;"'!B:R"),15,FALSE),"")</f>
        <v/>
      </c>
      <c r="CU81" s="96">
        <f>IFERROR(VLOOKUP($B81,INDIRECT("'GRD-"&amp;CU$11&amp;"'!B:R"),15,FALSE),"")</f>
        <v/>
      </c>
      <c r="CV81" s="96">
        <f>IFERROR(VLOOKUP($B81,INDIRECT("'GRD-"&amp;CV$11&amp;"'!B:R"),15,FALSE),"")</f>
        <v/>
      </c>
      <c r="CW81" s="96">
        <f>IFERROR(VLOOKUP($B81,INDIRECT("'GRD-"&amp;CW$11&amp;"'!B:R"),15,FALSE),"")</f>
        <v/>
      </c>
      <c r="CX81" s="96">
        <f>IFERROR(VLOOKUP($B81,INDIRECT("'GRD-"&amp;CX$11&amp;"'!B:R"),15,FALSE),"")</f>
        <v/>
      </c>
      <c r="CY81" s="96">
        <f>IFERROR(VLOOKUP($B81,INDIRECT("'GRD-"&amp;CY$11&amp;"'!B:R"),15,FALSE),"")</f>
        <v/>
      </c>
      <c r="CZ81" s="96">
        <f>IFERROR(VLOOKUP($B81,INDIRECT("'GRD-"&amp;CZ$11&amp;"'!B:R"),15,FALSE),"")</f>
        <v/>
      </c>
      <c r="DA81" s="96">
        <f>IFERROR(VLOOKUP($B81,INDIRECT("'GRD-"&amp;DA$11&amp;"'!B:R"),15,FALSE),"")</f>
        <v/>
      </c>
      <c r="DB81" s="96">
        <f>IFERROR(VLOOKUP($B81,INDIRECT("'GRD-"&amp;DB$11&amp;"'!B:R"),15,FALSE),"")</f>
        <v/>
      </c>
      <c r="DC81" s="96">
        <f>IFERROR(VLOOKUP($B81,INDIRECT("'GRD-"&amp;DC$11&amp;"'!B:R"),15,FALSE),"")</f>
        <v/>
      </c>
      <c r="DD81" s="96">
        <f>IFERROR(VLOOKUP($B81,INDIRECT("'GRD-"&amp;DD$11&amp;"'!B:R"),15,FALSE),"")</f>
        <v/>
      </c>
      <c r="DE81" s="96">
        <f>IFERROR(VLOOKUP($B81,INDIRECT("'GRD-"&amp;DE$11&amp;"'!B:R"),15,FALSE),"")</f>
        <v/>
      </c>
      <c r="DF81" s="96">
        <f>IFERROR(VLOOKUP($B81,INDIRECT("'GRD-"&amp;DF$11&amp;"'!B:R"),15,FALSE),"")</f>
        <v/>
      </c>
      <c r="DG81" s="96">
        <f>IFERROR(VLOOKUP($B81,INDIRECT("'GRD-"&amp;DG$11&amp;"'!B:R"),15,FALSE),"")</f>
        <v/>
      </c>
      <c r="DH81" s="96">
        <f>IFERROR(VLOOKUP($B81,INDIRECT("'GRD-"&amp;DH$11&amp;"'!B:R"),15,FALSE),"")</f>
        <v/>
      </c>
      <c r="DI81" s="96">
        <f>IFERROR(VLOOKUP($B81,INDIRECT("'GRD-"&amp;DI$11&amp;"'!B:R"),15,FALSE),"")</f>
        <v/>
      </c>
      <c r="DJ81" s="96">
        <f>IFERROR(VLOOKUP($B81,INDIRECT("'GRD-"&amp;DJ$11&amp;"'!B:R"),15,FALSE),"")</f>
        <v/>
      </c>
      <c r="DK81" s="96">
        <f>IFERROR(VLOOKUP($B81,INDIRECT("'GRD-"&amp;DK$11&amp;"'!B:R"),15,FALSE),"")</f>
        <v/>
      </c>
      <c r="DL81" s="96">
        <f>IFERROR(VLOOKUP($B81,INDIRECT("'GRD-"&amp;DL$11&amp;"'!B:R"),15,FALSE),"")</f>
        <v/>
      </c>
      <c r="DM81" s="96">
        <f>IFERROR(VLOOKUP($B81,INDIRECT("'GRD-"&amp;DM$11&amp;"'!B:R"),15,FALSE),"")</f>
        <v/>
      </c>
      <c r="DN81" s="96">
        <f>IFERROR(VLOOKUP($B81,INDIRECT("'GRD-"&amp;DN$11&amp;"'!B:R"),15,FALSE),"")</f>
        <v/>
      </c>
      <c r="DO81" s="96">
        <f>IFERROR(VLOOKUP($B81,INDIRECT("'GRD-"&amp;DO$11&amp;"'!B:R"),15,FALSE),"")</f>
        <v/>
      </c>
      <c r="DP81" s="96">
        <f>IFERROR(VLOOKUP($B81,INDIRECT("'GRD-"&amp;DP$11&amp;"'!B:R"),15,FALSE),"")</f>
        <v/>
      </c>
      <c r="DQ81" s="96">
        <f>IFERROR(VLOOKUP($B81,INDIRECT("'GRD-"&amp;DQ$11&amp;"'!B:R"),15,FALSE),"")</f>
        <v/>
      </c>
      <c r="DR81" s="96">
        <f>IFERROR(VLOOKUP($B81,INDIRECT("'GRD-"&amp;DR$11&amp;"'!B:R"),15,FALSE),"")</f>
        <v/>
      </c>
      <c r="DS81" s="96">
        <f>IFERROR(VLOOKUP($B81,INDIRECT("'GRD-"&amp;DS$11&amp;"'!B:R"),15,FALSE),"")</f>
        <v/>
      </c>
      <c r="DT81" s="96">
        <f>IFERROR(VLOOKUP($B81,INDIRECT("'GRD-"&amp;DT$11&amp;"'!B:R"),15,FALSE),"")</f>
        <v/>
      </c>
      <c r="DU81" s="96">
        <f>IFERROR(VLOOKUP($B81,INDIRECT("'GRD-"&amp;DU$11&amp;"'!B:R"),15,FALSE),"")</f>
        <v/>
      </c>
      <c r="DV81" s="96">
        <f>IFERROR(VLOOKUP($B81,INDIRECT("'GRD-"&amp;DV$11&amp;"'!B:R"),15,FALSE),"")</f>
        <v/>
      </c>
      <c r="DW81" s="96">
        <f>IFERROR(VLOOKUP($B81,INDIRECT("'GRD-"&amp;DW$11&amp;"'!B:R"),15,FALSE),"")</f>
        <v/>
      </c>
      <c r="DX81" s="96">
        <f>IFERROR(VLOOKUP($B81,INDIRECT("'GRD-"&amp;DX$11&amp;"'!B:R"),15,FALSE),"")</f>
        <v/>
      </c>
      <c r="DY81" s="96">
        <f>IFERROR(VLOOKUP($B81,INDIRECT("'GRD-"&amp;DY$11&amp;"'!B:R"),15,FALSE),"")</f>
        <v/>
      </c>
      <c r="DZ81" s="96">
        <f>IFERROR(VLOOKUP($B81,INDIRECT("'GRD-"&amp;DZ$11&amp;"'!B:R"),15,FALSE),"")</f>
        <v/>
      </c>
      <c r="EA81" s="96">
        <f>IFERROR(VLOOKUP($B81,INDIRECT("'GRD-"&amp;EA$11&amp;"'!B:R"),15,FALSE),"")</f>
        <v/>
      </c>
      <c r="EB81" s="96">
        <f>IFERROR(VLOOKUP($B81,INDIRECT("'GRD-"&amp;EB$11&amp;"'!B:R"),15,FALSE),"")</f>
        <v/>
      </c>
      <c r="EC81" s="96">
        <f>IFERROR(VLOOKUP($B81,INDIRECT("'GRD-"&amp;EC$11&amp;"'!B:R"),15,FALSE),"")</f>
        <v/>
      </c>
      <c r="ED81" s="96">
        <f>IFERROR(VLOOKUP($B81,INDIRECT("'GRD-"&amp;ED$11&amp;"'!B:R"),15,FALSE),"")</f>
        <v/>
      </c>
      <c r="EE81" s="96">
        <f>IFERROR(VLOOKUP($B81,INDIRECT("'GRD-"&amp;EE$11&amp;"'!B:R"),15,FALSE),"")</f>
        <v/>
      </c>
      <c r="EF81" s="96">
        <f>IFERROR(VLOOKUP($B81,INDIRECT("'GRD-"&amp;EF$11&amp;"'!B:R"),15,FALSE),"")</f>
        <v/>
      </c>
      <c r="EG81" s="96">
        <f>IFERROR(VLOOKUP($B81,INDIRECT("'GRD-"&amp;EG$11&amp;"'!B:R"),15,FALSE),"")</f>
        <v/>
      </c>
      <c r="EH81" s="96">
        <f>IFERROR(VLOOKUP($B81,INDIRECT("'GRD-"&amp;EH$11&amp;"'!B:R"),15,FALSE),"")</f>
        <v/>
      </c>
      <c r="EI81" s="96">
        <f>IFERROR(VLOOKUP($B81,INDIRECT("'GRD-"&amp;EI$11&amp;"'!B:R"),15,FALSE),"")</f>
        <v/>
      </c>
      <c r="EJ81" s="96">
        <f>IFERROR(VLOOKUP($B81,INDIRECT("'GRD-"&amp;EJ$11&amp;"'!B:R"),15,FALSE),"")</f>
        <v/>
      </c>
      <c r="EK81" s="96">
        <f>IFERROR(VLOOKUP($B81,INDIRECT("'GRD-"&amp;EK$11&amp;"'!B:R"),15,FALSE),"")</f>
        <v/>
      </c>
      <c r="EL81" s="96">
        <f>IFERROR(VLOOKUP($B81,INDIRECT("'GRD-"&amp;EL$11&amp;"'!B:R"),15,FALSE),"")</f>
        <v/>
      </c>
      <c r="EM81" s="96">
        <f>IFERROR(VLOOKUP($B81,INDIRECT("'GRD-"&amp;EM$11&amp;"'!B:R"),15,FALSE),"")</f>
        <v/>
      </c>
      <c r="EN81" s="96">
        <f>IFERROR(VLOOKUP($B81,INDIRECT("'GRD-"&amp;EN$11&amp;"'!B:R"),15,FALSE),"")</f>
        <v/>
      </c>
      <c r="EO81" s="96">
        <f>IFERROR(VLOOKUP($B81,INDIRECT("'GRD-"&amp;EO$11&amp;"'!B:R"),15,FALSE),"")</f>
        <v/>
      </c>
      <c r="EP81" s="96">
        <f>IFERROR(VLOOKUP($B81,INDIRECT("'GRD-"&amp;EP$11&amp;"'!B:R"),15,FALSE),"")</f>
        <v/>
      </c>
      <c r="EQ81" s="96">
        <f>IFERROR(VLOOKUP($B81,INDIRECT("'GRD-"&amp;EQ$11&amp;"'!B:R"),15,FALSE),"")</f>
        <v/>
      </c>
      <c r="ER81" s="96">
        <f>IFERROR(VLOOKUP($B81,INDIRECT("'GRD-"&amp;ER$11&amp;"'!B:R"),15,FALSE),"")</f>
        <v/>
      </c>
      <c r="ES81" s="96">
        <f>IFERROR(VLOOKUP($B81,INDIRECT("'GRD-"&amp;ES$11&amp;"'!B:R"),15,FALSE),"")</f>
        <v/>
      </c>
      <c r="ET81" s="96">
        <f>IFERROR(VLOOKUP($B81,INDIRECT("'GRD-"&amp;ET$11&amp;"'!B:R"),15,FALSE),"")</f>
        <v/>
      </c>
      <c r="EU81" s="96">
        <f>IFERROR(VLOOKUP($B81,INDIRECT("'GRD-"&amp;EU$11&amp;"'!B:R"),15,FALSE),"")</f>
        <v/>
      </c>
      <c r="EV81" s="96">
        <f>IFERROR(VLOOKUP($B81,INDIRECT("'GRD-"&amp;EV$11&amp;"'!B:R"),15,FALSE),"")</f>
        <v/>
      </c>
      <c r="EW81" s="96">
        <f>IFERROR(VLOOKUP($B81,INDIRECT("'GRD-"&amp;EW$11&amp;"'!B:R"),15,FALSE),"")</f>
        <v/>
      </c>
      <c r="EX81" s="96">
        <f>IFERROR(VLOOKUP($B81,INDIRECT("'GRD-"&amp;EX$11&amp;"'!B:R"),15,FALSE),"")</f>
        <v/>
      </c>
      <c r="EY81" s="96">
        <f>IFERROR(VLOOKUP($B81,INDIRECT("'GRD-"&amp;EY$11&amp;"'!B:R"),15,FALSE),"")</f>
        <v/>
      </c>
      <c r="EZ81" s="96">
        <f>IFERROR(VLOOKUP($B81,INDIRECT("'GRD-"&amp;EZ$11&amp;"'!B:R"),15,FALSE),"")</f>
        <v/>
      </c>
      <c r="FA81" s="96">
        <f>IFERROR(VLOOKUP($B81,INDIRECT("'GRD-"&amp;FA$11&amp;"'!B:R"),15,FALSE),"")</f>
        <v/>
      </c>
      <c r="FB81" s="96">
        <f>IFERROR(VLOOKUP($B81,INDIRECT("'GRD-"&amp;FB$11&amp;"'!B:R"),15,FALSE),"")</f>
        <v/>
      </c>
      <c r="FC81" s="96">
        <f>IFERROR(VLOOKUP($B81,INDIRECT("'GRD-"&amp;FC$11&amp;"'!B:R"),15,FALSE),"")</f>
        <v/>
      </c>
      <c r="FD81" s="96">
        <f>IFERROR(VLOOKUP($B81,INDIRECT("'GRD-"&amp;FD$11&amp;"'!B:R"),15,FALSE),"")</f>
        <v/>
      </c>
      <c r="FE81" s="96">
        <f>IFERROR(VLOOKUP($B81,INDIRECT("'GRD-"&amp;FE$11&amp;"'!B:R"),15,FALSE),"")</f>
        <v/>
      </c>
      <c r="FF81" s="96">
        <f>IFERROR(VLOOKUP($B81,INDIRECT("'GRD-"&amp;FF$11&amp;"'!B:R"),15,FALSE),"")</f>
        <v/>
      </c>
      <c r="FG81" s="96">
        <f>IFERROR(VLOOKUP($B81,INDIRECT("'GRD-"&amp;FG$11&amp;"'!B:R"),15,FALSE),"")</f>
        <v/>
      </c>
      <c r="FH81" s="96">
        <f>IFERROR(VLOOKUP($B81,INDIRECT("'GRD-"&amp;FH$11&amp;"'!B:R"),15,FALSE),"")</f>
        <v/>
      </c>
      <c r="FI81" s="96">
        <f>IFERROR(VLOOKUP($B81,INDIRECT("'GRD-"&amp;FI$11&amp;"'!B:R"),15,FALSE),"")</f>
        <v/>
      </c>
      <c r="FJ81" s="96">
        <f>IFERROR(VLOOKUP($B81,INDIRECT("'GRD-"&amp;FJ$11&amp;"'!B:R"),15,FALSE),"")</f>
        <v/>
      </c>
      <c r="FK81" s="96">
        <f>IFERROR(VLOOKUP($B81,INDIRECT("'GRD-"&amp;FK$11&amp;"'!B:R"),15,FALSE),"")</f>
        <v/>
      </c>
      <c r="FL81" s="96">
        <f>IFERROR(VLOOKUP($B81,INDIRECT("'GRD-"&amp;FL$11&amp;"'!B:R"),15,FALSE),"")</f>
        <v/>
      </c>
      <c r="FM81" s="96">
        <f>IFERROR(VLOOKUP($B81,INDIRECT("'GRD-"&amp;FM$11&amp;"'!B:R"),15,FALSE),"")</f>
        <v/>
      </c>
      <c r="FN81" s="96">
        <f>IFERROR(VLOOKUP($B81,INDIRECT("'GRD-"&amp;FN$11&amp;"'!B:R"),15,FALSE),"")</f>
        <v/>
      </c>
      <c r="FO81" s="96">
        <f>IFERROR(VLOOKUP($B81,INDIRECT("'GRD-"&amp;FO$11&amp;"'!B:R"),15,FALSE),"")</f>
        <v/>
      </c>
      <c r="FP81" s="96">
        <f>IFERROR(VLOOKUP($B81,INDIRECT("'GRD-"&amp;FP$11&amp;"'!B:R"),15,FALSE),"")</f>
        <v/>
      </c>
      <c r="FQ81" s="96">
        <f>IFERROR(VLOOKUP($B81,INDIRECT("'GRD-"&amp;FQ$11&amp;"'!B:R"),15,FALSE),"")</f>
        <v/>
      </c>
      <c r="FR81" s="96">
        <f>IFERROR(VLOOKUP($B81,INDIRECT("'GRD-"&amp;FR$11&amp;"'!B:R"),15,FALSE),"")</f>
        <v/>
      </c>
      <c r="FS81" s="96">
        <f>IFERROR(VLOOKUP($B81,INDIRECT("'GRD-"&amp;FS$11&amp;"'!B:R"),15,FALSE),"")</f>
        <v/>
      </c>
      <c r="FT81" s="96">
        <f>IFERROR(VLOOKUP($B81,INDIRECT("'GRD-"&amp;FT$11&amp;"'!B:R"),15,FALSE),"")</f>
        <v/>
      </c>
      <c r="FU81" s="96">
        <f>IFERROR(VLOOKUP($B81,INDIRECT("'GRD-"&amp;FU$11&amp;"'!B:R"),15,FALSE),"")</f>
        <v/>
      </c>
      <c r="FV81" s="96">
        <f>IFERROR(VLOOKUP($B81,INDIRECT("'GRD-"&amp;FV$11&amp;"'!B:R"),15,FALSE),"")</f>
        <v/>
      </c>
    </row>
    <row r="82">
      <c r="B82" s="85" t="n"/>
      <c r="C82" s="93" t="n"/>
      <c r="D82" s="73">
        <f>IF(K82="","",MAX($CA82:$FV82))</f>
        <v/>
      </c>
      <c r="E82" s="74">
        <f t="array" ref="E82">IF($K82="","",OFFSET($A$1,ROW($B82)-1,11+$D82*4,))</f>
        <v/>
      </c>
      <c r="F82" s="74">
        <f t="array" ref="F82">IF($K82="","",OFFSET($A$1,ROW($B82)-1,12+$D82*4,))</f>
        <v/>
      </c>
      <c r="G82" s="118">
        <f t="array" ref="G82">IF($K82="","",OFFSET($A$1,ROW($B82)-1,13+$D82*4,))</f>
        <v/>
      </c>
      <c r="H82" s="81" t="n"/>
      <c r="I82" s="82" t="n"/>
      <c r="J82" s="75">
        <f>IF(I82="A4",H82/8,IF(I82="A3",H82/4,IF(I82="A2",H82/2,IF(I82="A1",H82/1,IF(I82="A0",H82*2,"")))))</f>
        <v/>
      </c>
      <c r="K82" s="68">
        <f t="array" ref="K82">IFERROR(OFFSET($BZ$11,ROW($B82)-11,MATCH(K$10,$CA82:$FV82,0),),"")</f>
        <v/>
      </c>
      <c r="L82" s="85">
        <f>IF(K82="","",IF(VLOOKUP($B82,INDIRECT("'GRD-"&amp;M82&amp;"'!$B:$R"),16,FALSE)="","",VLOOKUP($B82,INDIRECT("'GRD-"&amp;M82&amp;"'!$B:$R"),16,FALSE)))</f>
        <v/>
      </c>
      <c r="M82" s="130">
        <f t="array" ref="M82">IF(K82="","",IFERROR(OFFSET($BZ$11,0,MATCH($K82,$CA82:$FV82,0),),""))</f>
        <v/>
      </c>
      <c r="N82" s="119">
        <f t="array" ref="N82">IF(K82="","",INDIRECT("'GRD-"&amp;M82&amp;"'!$L$7"))</f>
        <v/>
      </c>
      <c r="O82" s="76">
        <f t="array" ref="O82">IFERROR(OFFSET($BZ$11,ROW($B82)-11,MATCH(O$10,$CA82:$FV82,0),),"")</f>
        <v/>
      </c>
      <c r="P82" s="76">
        <f>IF(O82="","",IF(VLOOKUP($B82,INDIRECT("'GRD-"&amp;Q82&amp;"'!$B:$R"),16,FALSE)="","",VLOOKUP($B82,INDIRECT("'GRD-"&amp;Q82&amp;"'!$B:$R"),16,FALSE)))</f>
        <v/>
      </c>
      <c r="Q82" s="132">
        <f t="array" ref="Q82">IF(O82="","",IFERROR(OFFSET($BZ$11,0,MATCH($O82,$CA82:$FV82,0),),""))</f>
        <v/>
      </c>
      <c r="R82" s="121">
        <f t="array" ref="R82">IF(O82="","",INDIRECT("'GRD-"&amp;Q82&amp;"'!$L$7"))</f>
        <v/>
      </c>
      <c r="S82" s="83">
        <f t="array" ref="S82">IFERROR(OFFSET($BZ$11,ROW($B82)-11,MATCH(S$10,$CA82:$FV82,0),),"")</f>
        <v/>
      </c>
      <c r="T82" s="83">
        <f>IF(S82="","",IF(VLOOKUP($B82,INDIRECT("'GRD-"&amp;U82&amp;"'!$B:$R"),16,FALSE)="","",VLOOKUP($B82,INDIRECT("'GRD-"&amp;U82&amp;"'!$B:$R"),16,FALSE)))</f>
        <v/>
      </c>
      <c r="U82" s="128">
        <f t="array" ref="U82">IF(S82="","",IFERROR(OFFSET($BZ$11,0,MATCH($S82,$CA82:$FV82,0),),""))</f>
        <v/>
      </c>
      <c r="V82" s="133">
        <f t="array" ref="V82">IF(S82="","",INDIRECT("'GRD-"&amp;U82&amp;"'!$L$7"))</f>
        <v/>
      </c>
      <c r="W82" s="84">
        <f t="array" ref="W82">IFERROR(OFFSET($BZ$11,ROW($B82)-11,MATCH(W$10,$CA82:$FV82,0),),"")</f>
        <v/>
      </c>
      <c r="X82" s="84">
        <f>IF(W82="","",IF(VLOOKUP($B82,INDIRECT("'GRD-"&amp;Y82&amp;"'!$B:$R"),16,FALSE)="","",VLOOKUP($B82,INDIRECT("'GRD-"&amp;Y82&amp;"'!$B:$R"),16,FALSE)))</f>
        <v/>
      </c>
      <c r="Y82" s="129">
        <f t="array" ref="Y82">IF(W82="","",IFERROR(OFFSET($BZ$11,0,MATCH($W82,$CA82:$FV82,0),),""))</f>
        <v/>
      </c>
      <c r="Z82" s="134">
        <f t="array" ref="Z82">IF(W82="","",INDIRECT("'GRD-"&amp;Y82&amp;"'!$L$7"))</f>
        <v/>
      </c>
      <c r="AA82" s="85">
        <f t="array" ref="AA82">IFERROR(OFFSET($BZ$11,ROW($B82)-11,MATCH(AA$10,$CA82:$FV82,0),),"")</f>
        <v/>
      </c>
      <c r="AB82" s="85">
        <f>IF(AA82="","",IF(VLOOKUP($B82,INDIRECT("'GRD-"&amp;AC82&amp;"'!$B:$R"),16,FALSE)="","",VLOOKUP($B82,INDIRECT("'GRD-"&amp;AC82&amp;"'!$B:$R"),16,FALSE)))</f>
        <v/>
      </c>
      <c r="AC82" s="130">
        <f t="array" ref="AC82">IF(AA82="","",IFERROR(OFFSET($BZ$11,0,MATCH($AA82,$CA82:$FV82,0),),""))</f>
        <v/>
      </c>
      <c r="AD82" s="131">
        <f t="array" ref="AD82">IF(AA82="","",INDIRECT("'GRD-"&amp;AC82&amp;"'!$L$7"))</f>
        <v/>
      </c>
      <c r="AE82" s="76">
        <f t="array" ref="AE82">IFERROR(OFFSET($BZ$11,ROW($B82)-11,MATCH(AE$10,$CA82:$FV82,0),),"")</f>
        <v/>
      </c>
      <c r="AF82" s="76">
        <f>IF(AE82="","",IF(VLOOKUP($B82,INDIRECT("'GRD-"&amp;AG82&amp;"'!$B:$R"),16,FALSE)="","",VLOOKUP($B82,INDIRECT("'GRD-"&amp;AG82&amp;"'!$B:$R"),16,FALSE)))</f>
        <v/>
      </c>
      <c r="AG82" s="132">
        <f t="array" ref="AG82">IF(AE82="","",IFERROR(OFFSET($BZ$11,0,MATCH($AE82,$CA82:$FV82,0),),""))</f>
        <v/>
      </c>
      <c r="AH82" s="121">
        <f t="array" ref="AH82">IF(AE82="","",INDIRECT("'GRD-"&amp;AG82&amp;"'!$L$7"))</f>
        <v/>
      </c>
      <c r="AI82" s="83">
        <f t="array" ref="AI82">IFERROR(OFFSET($BZ$11,ROW($B82)-11,MATCH(AI$10,$CA82:$FV82,0),),"")</f>
        <v/>
      </c>
      <c r="AJ82" s="83">
        <f>IF(AI82="","",IF(VLOOKUP($B82,INDIRECT("'GRD-"&amp;AK82&amp;"'!$B:$R"),16,FALSE)="","",VLOOKUP($B82,INDIRECT("'GRD-"&amp;AK82&amp;"'!$B:$R"),16,FALSE)))</f>
        <v/>
      </c>
      <c r="AK82" s="128">
        <f t="array" ref="AK82">IF(AI82="","",IFERROR(OFFSET($BZ$11,0,MATCH($AI82,$CA82:$FV82,0),),""))</f>
        <v/>
      </c>
      <c r="AL82" s="133">
        <f t="array" ref="AL82">IF(AI82="","",INDIRECT("'GRD-"&amp;AK82&amp;"'!$L$7"))</f>
        <v/>
      </c>
      <c r="AM82" s="84">
        <f t="array" ref="AM82">IFERROR(OFFSET($BZ$11,ROW($B82)-11,MATCH(AM$10,$CA82:$FV82,0),),"")</f>
        <v/>
      </c>
      <c r="AN82" s="84">
        <f>IF(AM82="","",IF(VLOOKUP($B82,INDIRECT("'GRD-"&amp;AO82&amp;"'!$B:$R"),16,FALSE)="","",VLOOKUP($B82,INDIRECT("'GRD-"&amp;AO82&amp;"'!$B:$R"),16,FALSE)))</f>
        <v/>
      </c>
      <c r="AO82" s="129">
        <f t="array" ref="AO82">IF(AM82="","",IFERROR(OFFSET($BZ$11,0,MATCH($AM82,$CA82:$FV82,0),),""))</f>
        <v/>
      </c>
      <c r="AP82" s="134">
        <f t="array" ref="AP82">IF(AM82="","",INDIRECT("'GRD-"&amp;AO82&amp;"'!$L$7"))</f>
        <v/>
      </c>
      <c r="AQ82" s="85">
        <f t="array" ref="AQ82">IFERROR(OFFSET($BZ$11,ROW($B82)-11,MATCH(AQ$10,$CA82:$FV82,0),),"")</f>
        <v/>
      </c>
      <c r="AR82" s="85">
        <f>IF(AQ82="","",IF(VLOOKUP($B82,INDIRECT("'GRD-"&amp;AS82&amp;"'!$B:$R"),16,FALSE)="","",VLOOKUP($B82,INDIRECT("'GRD-"&amp;AS82&amp;"'!$B:$R"),16,FALSE)))</f>
        <v/>
      </c>
      <c r="AS82" s="130">
        <f t="array" ref="AS82">IF(AQ82="","",IFERROR(OFFSET($BZ$11,0,MATCH($AQ82,$CA82:$FV82,0),),""))</f>
        <v/>
      </c>
      <c r="AT82" s="131">
        <f t="array" ref="AT82">IF(AQ82="","",INDIRECT("'GRD-"&amp;AS82&amp;"'!$L$7"))</f>
        <v/>
      </c>
      <c r="AU82" s="76">
        <f t="array" ref="AU82">IFERROR(OFFSET($BZ$11,ROW($B82)-11,MATCH(AU$10,$CA82:$FV82,0),),"")</f>
        <v/>
      </c>
      <c r="AV82" s="76">
        <f>IF(AU82="","",IF(VLOOKUP($B82,INDIRECT("'GRD-"&amp;AW82&amp;"'!$B:$R"),16,FALSE)="","",VLOOKUP($B82,INDIRECT("'GRD-"&amp;AW82&amp;"'!$B:$R"),16,FALSE)))</f>
        <v/>
      </c>
      <c r="AW82" s="132">
        <f t="array" ref="AW82">IF(AU82="","",IFERROR(OFFSET($BZ$11,0,MATCH($AU82,$CA82:$FV82,0),),""))</f>
        <v/>
      </c>
      <c r="AX82" s="121">
        <f t="array" ref="AX82">IF(AU82="","",INDIRECT("'GRD-"&amp;AW82&amp;"'!$L$7"))</f>
        <v/>
      </c>
      <c r="AY82" s="83">
        <f t="array" ref="AY82">IFERROR(OFFSET($BZ$11,ROW($B82)-11,MATCH(AY$10,$CA82:$FV82,0),),"")</f>
        <v/>
      </c>
      <c r="AZ82" s="83">
        <f>IF(AY82="","",IF(VLOOKUP($B82,INDIRECT("'GRD-"&amp;BA82&amp;"'!$B:$R"),16,FALSE)="","",VLOOKUP($B82,INDIRECT("'GRD-"&amp;BA82&amp;"'!$B:$R"),16,FALSE)))</f>
        <v/>
      </c>
      <c r="BA82" s="128">
        <f t="array" ref="BA82">IF(AY82="","",IFERROR(OFFSET($BZ$11,0,MATCH($AY82,$CA82:$FV82,0),),""))</f>
        <v/>
      </c>
      <c r="BB82" s="133">
        <f t="array" ref="BB82">IF(AY82="","",INDIRECT("'GRD-"&amp;BA82&amp;"'!$L$7"))</f>
        <v/>
      </c>
      <c r="BC82" s="84">
        <f t="array" ref="BC82">IFERROR(OFFSET($BZ$11,ROW($B82)-11,MATCH(BC$10,$CA82:$FV82,0),),"")</f>
        <v/>
      </c>
      <c r="BD82" s="84">
        <f>IF(BC82="","",IF(VLOOKUP($B82,INDIRECT("'GRD-"&amp;BE82&amp;"'!$B:$R"),16,FALSE)="","",VLOOKUP($B82,INDIRECT("'GRD-"&amp;BE82&amp;"'!$B:$R"),16,FALSE)))</f>
        <v/>
      </c>
      <c r="BE82" s="129">
        <f t="array" ref="BE82">IF(BC82="","",IFERROR(OFFSET($BZ$11,0,MATCH($BC82,$CA82:$FV82,0),),""))</f>
        <v/>
      </c>
      <c r="BF82" s="134">
        <f t="array" ref="BF82">IF(BC82="","",INDIRECT("'GRD-"&amp;BE82&amp;"'!$L$7"))</f>
        <v/>
      </c>
      <c r="CA82" s="96">
        <f>IFERROR(VLOOKUP($B82,INDIRECT("'GRD-"&amp;CA$11&amp;"'!B:R"),15,FALSE),"")</f>
        <v/>
      </c>
      <c r="CB82" s="96">
        <f>IFERROR(VLOOKUP($B82,INDIRECT("'GRD-"&amp;CB$11&amp;"'!B:R"),15,FALSE),"")</f>
        <v/>
      </c>
      <c r="CC82" s="96">
        <f>IFERROR(VLOOKUP($B82,INDIRECT("'GRD-"&amp;CC$11&amp;"'!B:R"),15,FALSE),"")</f>
        <v/>
      </c>
      <c r="CD82" s="96">
        <f>IFERROR(VLOOKUP($B82,INDIRECT("'GRD-"&amp;CD$11&amp;"'!B:R"),15,FALSE),"")</f>
        <v/>
      </c>
      <c r="CE82" s="96">
        <f>IFERROR(VLOOKUP($B82,INDIRECT("'GRD-"&amp;CE$11&amp;"'!B:R"),15,FALSE),"")</f>
        <v/>
      </c>
      <c r="CF82" s="96">
        <f>IFERROR(VLOOKUP($B82,INDIRECT("'GRD-"&amp;CF$11&amp;"'!B:R"),15,FALSE),"")</f>
        <v/>
      </c>
      <c r="CG82" s="96">
        <f>IFERROR(VLOOKUP($B82,INDIRECT("'GRD-"&amp;CG$11&amp;"'!B:R"),15,FALSE),"")</f>
        <v/>
      </c>
      <c r="CH82" s="96">
        <f>IFERROR(VLOOKUP($B82,INDIRECT("'GRD-"&amp;CH$11&amp;"'!B:R"),15,FALSE),"")</f>
        <v/>
      </c>
      <c r="CI82" s="96">
        <f>IFERROR(VLOOKUP($B82,INDIRECT("'GRD-"&amp;CI$11&amp;"'!B:R"),15,FALSE),"")</f>
        <v/>
      </c>
      <c r="CJ82" s="96">
        <f>IFERROR(VLOOKUP($B82,INDIRECT("'GRD-"&amp;CJ$11&amp;"'!B:R"),15,FALSE),"")</f>
        <v/>
      </c>
      <c r="CK82" s="96">
        <f>IFERROR(VLOOKUP($B82,INDIRECT("'GRD-"&amp;CK$11&amp;"'!B:R"),15,FALSE),"")</f>
        <v/>
      </c>
      <c r="CL82" s="96">
        <f>IFERROR(VLOOKUP($B82,INDIRECT("'GRD-"&amp;CL$11&amp;"'!B:R"),15,FALSE),"")</f>
        <v/>
      </c>
      <c r="CM82" s="96">
        <f>IFERROR(VLOOKUP($B82,INDIRECT("'GRD-"&amp;CM$11&amp;"'!B:R"),15,FALSE),"")</f>
        <v/>
      </c>
      <c r="CN82" s="96">
        <f>IFERROR(VLOOKUP($B82,INDIRECT("'GRD-"&amp;CN$11&amp;"'!B:R"),15,FALSE),"")</f>
        <v/>
      </c>
      <c r="CO82" s="96">
        <f>IFERROR(VLOOKUP($B82,INDIRECT("'GRD-"&amp;CO$11&amp;"'!B:R"),15,FALSE),"")</f>
        <v/>
      </c>
      <c r="CP82" s="96">
        <f>IFERROR(VLOOKUP($B82,INDIRECT("'GRD-"&amp;CP$11&amp;"'!B:R"),15,FALSE),"")</f>
        <v/>
      </c>
      <c r="CQ82" s="96">
        <f>IFERROR(VLOOKUP($B82,INDIRECT("'GRD-"&amp;CQ$11&amp;"'!B:R"),15,FALSE),"")</f>
        <v/>
      </c>
      <c r="CR82" s="96">
        <f>IFERROR(VLOOKUP($B82,INDIRECT("'GRD-"&amp;CR$11&amp;"'!B:R"),15,FALSE),"")</f>
        <v/>
      </c>
      <c r="CS82" s="96">
        <f>IFERROR(VLOOKUP($B82,INDIRECT("'GRD-"&amp;CS$11&amp;"'!B:R"),15,FALSE),"")</f>
        <v/>
      </c>
      <c r="CT82" s="96">
        <f>IFERROR(VLOOKUP($B82,INDIRECT("'GRD-"&amp;CT$11&amp;"'!B:R"),15,FALSE),"")</f>
        <v/>
      </c>
      <c r="CU82" s="96">
        <f>IFERROR(VLOOKUP($B82,INDIRECT("'GRD-"&amp;CU$11&amp;"'!B:R"),15,FALSE),"")</f>
        <v/>
      </c>
      <c r="CV82" s="96">
        <f>IFERROR(VLOOKUP($B82,INDIRECT("'GRD-"&amp;CV$11&amp;"'!B:R"),15,FALSE),"")</f>
        <v/>
      </c>
      <c r="CW82" s="96">
        <f>IFERROR(VLOOKUP($B82,INDIRECT("'GRD-"&amp;CW$11&amp;"'!B:R"),15,FALSE),"")</f>
        <v/>
      </c>
      <c r="CX82" s="96">
        <f>IFERROR(VLOOKUP($B82,INDIRECT("'GRD-"&amp;CX$11&amp;"'!B:R"),15,FALSE),"")</f>
        <v/>
      </c>
      <c r="CY82" s="96">
        <f>IFERROR(VLOOKUP($B82,INDIRECT("'GRD-"&amp;CY$11&amp;"'!B:R"),15,FALSE),"")</f>
        <v/>
      </c>
      <c r="CZ82" s="96">
        <f>IFERROR(VLOOKUP($B82,INDIRECT("'GRD-"&amp;CZ$11&amp;"'!B:R"),15,FALSE),"")</f>
        <v/>
      </c>
      <c r="DA82" s="96">
        <f>IFERROR(VLOOKUP($B82,INDIRECT("'GRD-"&amp;DA$11&amp;"'!B:R"),15,FALSE),"")</f>
        <v/>
      </c>
      <c r="DB82" s="96">
        <f>IFERROR(VLOOKUP($B82,INDIRECT("'GRD-"&amp;DB$11&amp;"'!B:R"),15,FALSE),"")</f>
        <v/>
      </c>
      <c r="DC82" s="96">
        <f>IFERROR(VLOOKUP($B82,INDIRECT("'GRD-"&amp;DC$11&amp;"'!B:R"),15,FALSE),"")</f>
        <v/>
      </c>
      <c r="DD82" s="96">
        <f>IFERROR(VLOOKUP($B82,INDIRECT("'GRD-"&amp;DD$11&amp;"'!B:R"),15,FALSE),"")</f>
        <v/>
      </c>
      <c r="DE82" s="96">
        <f>IFERROR(VLOOKUP($B82,INDIRECT("'GRD-"&amp;DE$11&amp;"'!B:R"),15,FALSE),"")</f>
        <v/>
      </c>
      <c r="DF82" s="96">
        <f>IFERROR(VLOOKUP($B82,INDIRECT("'GRD-"&amp;DF$11&amp;"'!B:R"),15,FALSE),"")</f>
        <v/>
      </c>
      <c r="DG82" s="96">
        <f>IFERROR(VLOOKUP($B82,INDIRECT("'GRD-"&amp;DG$11&amp;"'!B:R"),15,FALSE),"")</f>
        <v/>
      </c>
      <c r="DH82" s="96">
        <f>IFERROR(VLOOKUP($B82,INDIRECT("'GRD-"&amp;DH$11&amp;"'!B:R"),15,FALSE),"")</f>
        <v/>
      </c>
      <c r="DI82" s="96">
        <f>IFERROR(VLOOKUP($B82,INDIRECT("'GRD-"&amp;DI$11&amp;"'!B:R"),15,FALSE),"")</f>
        <v/>
      </c>
      <c r="DJ82" s="96">
        <f>IFERROR(VLOOKUP($B82,INDIRECT("'GRD-"&amp;DJ$11&amp;"'!B:R"),15,FALSE),"")</f>
        <v/>
      </c>
      <c r="DK82" s="96">
        <f>IFERROR(VLOOKUP($B82,INDIRECT("'GRD-"&amp;DK$11&amp;"'!B:R"),15,FALSE),"")</f>
        <v/>
      </c>
      <c r="DL82" s="96">
        <f>IFERROR(VLOOKUP($B82,INDIRECT("'GRD-"&amp;DL$11&amp;"'!B:R"),15,FALSE),"")</f>
        <v/>
      </c>
      <c r="DM82" s="96">
        <f>IFERROR(VLOOKUP($B82,INDIRECT("'GRD-"&amp;DM$11&amp;"'!B:R"),15,FALSE),"")</f>
        <v/>
      </c>
      <c r="DN82" s="96">
        <f>IFERROR(VLOOKUP($B82,INDIRECT("'GRD-"&amp;DN$11&amp;"'!B:R"),15,FALSE),"")</f>
        <v/>
      </c>
      <c r="DO82" s="96">
        <f>IFERROR(VLOOKUP($B82,INDIRECT("'GRD-"&amp;DO$11&amp;"'!B:R"),15,FALSE),"")</f>
        <v/>
      </c>
      <c r="DP82" s="96">
        <f>IFERROR(VLOOKUP($B82,INDIRECT("'GRD-"&amp;DP$11&amp;"'!B:R"),15,FALSE),"")</f>
        <v/>
      </c>
      <c r="DQ82" s="96">
        <f>IFERROR(VLOOKUP($B82,INDIRECT("'GRD-"&amp;DQ$11&amp;"'!B:R"),15,FALSE),"")</f>
        <v/>
      </c>
      <c r="DR82" s="96">
        <f>IFERROR(VLOOKUP($B82,INDIRECT("'GRD-"&amp;DR$11&amp;"'!B:R"),15,FALSE),"")</f>
        <v/>
      </c>
      <c r="DS82" s="96">
        <f>IFERROR(VLOOKUP($B82,INDIRECT("'GRD-"&amp;DS$11&amp;"'!B:R"),15,FALSE),"")</f>
        <v/>
      </c>
      <c r="DT82" s="96">
        <f>IFERROR(VLOOKUP($B82,INDIRECT("'GRD-"&amp;DT$11&amp;"'!B:R"),15,FALSE),"")</f>
        <v/>
      </c>
      <c r="DU82" s="96">
        <f>IFERROR(VLOOKUP($B82,INDIRECT("'GRD-"&amp;DU$11&amp;"'!B:R"),15,FALSE),"")</f>
        <v/>
      </c>
      <c r="DV82" s="96">
        <f>IFERROR(VLOOKUP($B82,INDIRECT("'GRD-"&amp;DV$11&amp;"'!B:R"),15,FALSE),"")</f>
        <v/>
      </c>
      <c r="DW82" s="96">
        <f>IFERROR(VLOOKUP($B82,INDIRECT("'GRD-"&amp;DW$11&amp;"'!B:R"),15,FALSE),"")</f>
        <v/>
      </c>
      <c r="DX82" s="96">
        <f>IFERROR(VLOOKUP($B82,INDIRECT("'GRD-"&amp;DX$11&amp;"'!B:R"),15,FALSE),"")</f>
        <v/>
      </c>
      <c r="DY82" s="96">
        <f>IFERROR(VLOOKUP($B82,INDIRECT("'GRD-"&amp;DY$11&amp;"'!B:R"),15,FALSE),"")</f>
        <v/>
      </c>
      <c r="DZ82" s="96">
        <f>IFERROR(VLOOKUP($B82,INDIRECT("'GRD-"&amp;DZ$11&amp;"'!B:R"),15,FALSE),"")</f>
        <v/>
      </c>
      <c r="EA82" s="96">
        <f>IFERROR(VLOOKUP($B82,INDIRECT("'GRD-"&amp;EA$11&amp;"'!B:R"),15,FALSE),"")</f>
        <v/>
      </c>
      <c r="EB82" s="96">
        <f>IFERROR(VLOOKUP($B82,INDIRECT("'GRD-"&amp;EB$11&amp;"'!B:R"),15,FALSE),"")</f>
        <v/>
      </c>
      <c r="EC82" s="96">
        <f>IFERROR(VLOOKUP($B82,INDIRECT("'GRD-"&amp;EC$11&amp;"'!B:R"),15,FALSE),"")</f>
        <v/>
      </c>
      <c r="ED82" s="96">
        <f>IFERROR(VLOOKUP($B82,INDIRECT("'GRD-"&amp;ED$11&amp;"'!B:R"),15,FALSE),"")</f>
        <v/>
      </c>
      <c r="EE82" s="96">
        <f>IFERROR(VLOOKUP($B82,INDIRECT("'GRD-"&amp;EE$11&amp;"'!B:R"),15,FALSE),"")</f>
        <v/>
      </c>
      <c r="EF82" s="96">
        <f>IFERROR(VLOOKUP($B82,INDIRECT("'GRD-"&amp;EF$11&amp;"'!B:R"),15,FALSE),"")</f>
        <v/>
      </c>
      <c r="EG82" s="96">
        <f>IFERROR(VLOOKUP($B82,INDIRECT("'GRD-"&amp;EG$11&amp;"'!B:R"),15,FALSE),"")</f>
        <v/>
      </c>
      <c r="EH82" s="96">
        <f>IFERROR(VLOOKUP($B82,INDIRECT("'GRD-"&amp;EH$11&amp;"'!B:R"),15,FALSE),"")</f>
        <v/>
      </c>
      <c r="EI82" s="96">
        <f>IFERROR(VLOOKUP($B82,INDIRECT("'GRD-"&amp;EI$11&amp;"'!B:R"),15,FALSE),"")</f>
        <v/>
      </c>
      <c r="EJ82" s="96">
        <f>IFERROR(VLOOKUP($B82,INDIRECT("'GRD-"&amp;EJ$11&amp;"'!B:R"),15,FALSE),"")</f>
        <v/>
      </c>
      <c r="EK82" s="96">
        <f>IFERROR(VLOOKUP($B82,INDIRECT("'GRD-"&amp;EK$11&amp;"'!B:R"),15,FALSE),"")</f>
        <v/>
      </c>
      <c r="EL82" s="96">
        <f>IFERROR(VLOOKUP($B82,INDIRECT("'GRD-"&amp;EL$11&amp;"'!B:R"),15,FALSE),"")</f>
        <v/>
      </c>
      <c r="EM82" s="96">
        <f>IFERROR(VLOOKUP($B82,INDIRECT("'GRD-"&amp;EM$11&amp;"'!B:R"),15,FALSE),"")</f>
        <v/>
      </c>
      <c r="EN82" s="96">
        <f>IFERROR(VLOOKUP($B82,INDIRECT("'GRD-"&amp;EN$11&amp;"'!B:R"),15,FALSE),"")</f>
        <v/>
      </c>
      <c r="EO82" s="96">
        <f>IFERROR(VLOOKUP($B82,INDIRECT("'GRD-"&amp;EO$11&amp;"'!B:R"),15,FALSE),"")</f>
        <v/>
      </c>
      <c r="EP82" s="96">
        <f>IFERROR(VLOOKUP($B82,INDIRECT("'GRD-"&amp;EP$11&amp;"'!B:R"),15,FALSE),"")</f>
        <v/>
      </c>
      <c r="EQ82" s="96">
        <f>IFERROR(VLOOKUP($B82,INDIRECT("'GRD-"&amp;EQ$11&amp;"'!B:R"),15,FALSE),"")</f>
        <v/>
      </c>
      <c r="ER82" s="96">
        <f>IFERROR(VLOOKUP($B82,INDIRECT("'GRD-"&amp;ER$11&amp;"'!B:R"),15,FALSE),"")</f>
        <v/>
      </c>
      <c r="ES82" s="96">
        <f>IFERROR(VLOOKUP($B82,INDIRECT("'GRD-"&amp;ES$11&amp;"'!B:R"),15,FALSE),"")</f>
        <v/>
      </c>
      <c r="ET82" s="96">
        <f>IFERROR(VLOOKUP($B82,INDIRECT("'GRD-"&amp;ET$11&amp;"'!B:R"),15,FALSE),"")</f>
        <v/>
      </c>
      <c r="EU82" s="96">
        <f>IFERROR(VLOOKUP($B82,INDIRECT("'GRD-"&amp;EU$11&amp;"'!B:R"),15,FALSE),"")</f>
        <v/>
      </c>
      <c r="EV82" s="96">
        <f>IFERROR(VLOOKUP($B82,INDIRECT("'GRD-"&amp;EV$11&amp;"'!B:R"),15,FALSE),"")</f>
        <v/>
      </c>
      <c r="EW82" s="96">
        <f>IFERROR(VLOOKUP($B82,INDIRECT("'GRD-"&amp;EW$11&amp;"'!B:R"),15,FALSE),"")</f>
        <v/>
      </c>
      <c r="EX82" s="96">
        <f>IFERROR(VLOOKUP($B82,INDIRECT("'GRD-"&amp;EX$11&amp;"'!B:R"),15,FALSE),"")</f>
        <v/>
      </c>
      <c r="EY82" s="96">
        <f>IFERROR(VLOOKUP($B82,INDIRECT("'GRD-"&amp;EY$11&amp;"'!B:R"),15,FALSE),"")</f>
        <v/>
      </c>
      <c r="EZ82" s="96">
        <f>IFERROR(VLOOKUP($B82,INDIRECT("'GRD-"&amp;EZ$11&amp;"'!B:R"),15,FALSE),"")</f>
        <v/>
      </c>
      <c r="FA82" s="96">
        <f>IFERROR(VLOOKUP($B82,INDIRECT("'GRD-"&amp;FA$11&amp;"'!B:R"),15,FALSE),"")</f>
        <v/>
      </c>
      <c r="FB82" s="96">
        <f>IFERROR(VLOOKUP($B82,INDIRECT("'GRD-"&amp;FB$11&amp;"'!B:R"),15,FALSE),"")</f>
        <v/>
      </c>
      <c r="FC82" s="96">
        <f>IFERROR(VLOOKUP($B82,INDIRECT("'GRD-"&amp;FC$11&amp;"'!B:R"),15,FALSE),"")</f>
        <v/>
      </c>
      <c r="FD82" s="96">
        <f>IFERROR(VLOOKUP($B82,INDIRECT("'GRD-"&amp;FD$11&amp;"'!B:R"),15,FALSE),"")</f>
        <v/>
      </c>
      <c r="FE82" s="96">
        <f>IFERROR(VLOOKUP($B82,INDIRECT("'GRD-"&amp;FE$11&amp;"'!B:R"),15,FALSE),"")</f>
        <v/>
      </c>
      <c r="FF82" s="96">
        <f>IFERROR(VLOOKUP($B82,INDIRECT("'GRD-"&amp;FF$11&amp;"'!B:R"),15,FALSE),"")</f>
        <v/>
      </c>
      <c r="FG82" s="96">
        <f>IFERROR(VLOOKUP($B82,INDIRECT("'GRD-"&amp;FG$11&amp;"'!B:R"),15,FALSE),"")</f>
        <v/>
      </c>
      <c r="FH82" s="96">
        <f>IFERROR(VLOOKUP($B82,INDIRECT("'GRD-"&amp;FH$11&amp;"'!B:R"),15,FALSE),"")</f>
        <v/>
      </c>
      <c r="FI82" s="96">
        <f>IFERROR(VLOOKUP($B82,INDIRECT("'GRD-"&amp;FI$11&amp;"'!B:R"),15,FALSE),"")</f>
        <v/>
      </c>
      <c r="FJ82" s="96">
        <f>IFERROR(VLOOKUP($B82,INDIRECT("'GRD-"&amp;FJ$11&amp;"'!B:R"),15,FALSE),"")</f>
        <v/>
      </c>
      <c r="FK82" s="96">
        <f>IFERROR(VLOOKUP($B82,INDIRECT("'GRD-"&amp;FK$11&amp;"'!B:R"),15,FALSE),"")</f>
        <v/>
      </c>
      <c r="FL82" s="96">
        <f>IFERROR(VLOOKUP($B82,INDIRECT("'GRD-"&amp;FL$11&amp;"'!B:R"),15,FALSE),"")</f>
        <v/>
      </c>
      <c r="FM82" s="96">
        <f>IFERROR(VLOOKUP($B82,INDIRECT("'GRD-"&amp;FM$11&amp;"'!B:R"),15,FALSE),"")</f>
        <v/>
      </c>
      <c r="FN82" s="96">
        <f>IFERROR(VLOOKUP($B82,INDIRECT("'GRD-"&amp;FN$11&amp;"'!B:R"),15,FALSE),"")</f>
        <v/>
      </c>
      <c r="FO82" s="96">
        <f>IFERROR(VLOOKUP($B82,INDIRECT("'GRD-"&amp;FO$11&amp;"'!B:R"),15,FALSE),"")</f>
        <v/>
      </c>
      <c r="FP82" s="96">
        <f>IFERROR(VLOOKUP($B82,INDIRECT("'GRD-"&amp;FP$11&amp;"'!B:R"),15,FALSE),"")</f>
        <v/>
      </c>
      <c r="FQ82" s="96">
        <f>IFERROR(VLOOKUP($B82,INDIRECT("'GRD-"&amp;FQ$11&amp;"'!B:R"),15,FALSE),"")</f>
        <v/>
      </c>
      <c r="FR82" s="96">
        <f>IFERROR(VLOOKUP($B82,INDIRECT("'GRD-"&amp;FR$11&amp;"'!B:R"),15,FALSE),"")</f>
        <v/>
      </c>
      <c r="FS82" s="96">
        <f>IFERROR(VLOOKUP($B82,INDIRECT("'GRD-"&amp;FS$11&amp;"'!B:R"),15,FALSE),"")</f>
        <v/>
      </c>
      <c r="FT82" s="96">
        <f>IFERROR(VLOOKUP($B82,INDIRECT("'GRD-"&amp;FT$11&amp;"'!B:R"),15,FALSE),"")</f>
        <v/>
      </c>
      <c r="FU82" s="96">
        <f>IFERROR(VLOOKUP($B82,INDIRECT("'GRD-"&amp;FU$11&amp;"'!B:R"),15,FALSE),"")</f>
        <v/>
      </c>
      <c r="FV82" s="96">
        <f>IFERROR(VLOOKUP($B82,INDIRECT("'GRD-"&amp;FV$11&amp;"'!B:R"),15,FALSE),"")</f>
        <v/>
      </c>
    </row>
    <row r="83">
      <c r="B83" s="85" t="n"/>
      <c r="C83" s="93" t="n"/>
      <c r="D83" s="73">
        <f>IF(K83="","",MAX($CA83:$FV83))</f>
        <v/>
      </c>
      <c r="E83" s="74">
        <f t="array" ref="E83">IF($K83="","",OFFSET($A$1,ROW($B83)-1,11+$D83*4,))</f>
        <v/>
      </c>
      <c r="F83" s="74">
        <f t="array" ref="F83">IF($K83="","",OFFSET($A$1,ROW($B83)-1,12+$D83*4,))</f>
        <v/>
      </c>
      <c r="G83" s="118">
        <f t="array" ref="G83">IF($K83="","",OFFSET($A$1,ROW($B83)-1,13+$D83*4,))</f>
        <v/>
      </c>
      <c r="H83" s="81" t="n"/>
      <c r="I83" s="82" t="n"/>
      <c r="J83" s="75">
        <f>IF(I83="A4",H83/8,IF(I83="A3",H83/4,IF(I83="A2",H83/2,IF(I83="A1",H83/1,IF(I83="A0",H83*2,"")))))</f>
        <v/>
      </c>
      <c r="K83" s="68">
        <f t="array" ref="K83">IFERROR(OFFSET($BZ$11,ROW($B83)-11,MATCH(K$10,$CA83:$FV83,0),),"")</f>
        <v/>
      </c>
      <c r="L83" s="85">
        <f>IF(K83="","",IF(VLOOKUP($B83,INDIRECT("'GRD-"&amp;M83&amp;"'!$B:$R"),16,FALSE)="","",VLOOKUP($B83,INDIRECT("'GRD-"&amp;M83&amp;"'!$B:$R"),16,FALSE)))</f>
        <v/>
      </c>
      <c r="M83" s="130">
        <f t="array" ref="M83">IF(K83="","",IFERROR(OFFSET($BZ$11,0,MATCH($K83,$CA83:$FV83,0),),""))</f>
        <v/>
      </c>
      <c r="N83" s="119">
        <f t="array" ref="N83">IF(K83="","",INDIRECT("'GRD-"&amp;M83&amp;"'!$L$7"))</f>
        <v/>
      </c>
      <c r="O83" s="76">
        <f t="array" ref="O83">IFERROR(OFFSET($BZ$11,ROW($B83)-11,MATCH(O$10,$CA83:$FV83,0),),"")</f>
        <v/>
      </c>
      <c r="P83" s="76">
        <f>IF(O83="","",IF(VLOOKUP($B83,INDIRECT("'GRD-"&amp;Q83&amp;"'!$B:$R"),16,FALSE)="","",VLOOKUP($B83,INDIRECT("'GRD-"&amp;Q83&amp;"'!$B:$R"),16,FALSE)))</f>
        <v/>
      </c>
      <c r="Q83" s="132">
        <f t="array" ref="Q83">IF(O83="","",IFERROR(OFFSET($BZ$11,0,MATCH($O83,$CA83:$FV83,0),),""))</f>
        <v/>
      </c>
      <c r="R83" s="121">
        <f t="array" ref="R83">IF(O83="","",INDIRECT("'GRD-"&amp;Q83&amp;"'!$L$7"))</f>
        <v/>
      </c>
      <c r="S83" s="83">
        <f t="array" ref="S83">IFERROR(OFFSET($BZ$11,ROW($B83)-11,MATCH(S$10,$CA83:$FV83,0),),"")</f>
        <v/>
      </c>
      <c r="T83" s="83">
        <f>IF(S83="","",IF(VLOOKUP($B83,INDIRECT("'GRD-"&amp;U83&amp;"'!$B:$R"),16,FALSE)="","",VLOOKUP($B83,INDIRECT("'GRD-"&amp;U83&amp;"'!$B:$R"),16,FALSE)))</f>
        <v/>
      </c>
      <c r="U83" s="128">
        <f t="array" ref="U83">IF(S83="","",IFERROR(OFFSET($BZ$11,0,MATCH($S83,$CA83:$FV83,0),),""))</f>
        <v/>
      </c>
      <c r="V83" s="133">
        <f t="array" ref="V83">IF(S83="","",INDIRECT("'GRD-"&amp;U83&amp;"'!$L$7"))</f>
        <v/>
      </c>
      <c r="W83" s="84">
        <f t="array" ref="W83">IFERROR(OFFSET($BZ$11,ROW($B83)-11,MATCH(W$10,$CA83:$FV83,0),),"")</f>
        <v/>
      </c>
      <c r="X83" s="84">
        <f>IF(W83="","",IF(VLOOKUP($B83,INDIRECT("'GRD-"&amp;Y83&amp;"'!$B:$R"),16,FALSE)="","",VLOOKUP($B83,INDIRECT("'GRD-"&amp;Y83&amp;"'!$B:$R"),16,FALSE)))</f>
        <v/>
      </c>
      <c r="Y83" s="129">
        <f t="array" ref="Y83">IF(W83="","",IFERROR(OFFSET($BZ$11,0,MATCH($W83,$CA83:$FV83,0),),""))</f>
        <v/>
      </c>
      <c r="Z83" s="134">
        <f t="array" ref="Z83">IF(W83="","",INDIRECT("'GRD-"&amp;Y83&amp;"'!$L$7"))</f>
        <v/>
      </c>
      <c r="AA83" s="85">
        <f t="array" ref="AA83">IFERROR(OFFSET($BZ$11,ROW($B83)-11,MATCH(AA$10,$CA83:$FV83,0),),"")</f>
        <v/>
      </c>
      <c r="AB83" s="85">
        <f>IF(AA83="","",IF(VLOOKUP($B83,INDIRECT("'GRD-"&amp;AC83&amp;"'!$B:$R"),16,FALSE)="","",VLOOKUP($B83,INDIRECT("'GRD-"&amp;AC83&amp;"'!$B:$R"),16,FALSE)))</f>
        <v/>
      </c>
      <c r="AC83" s="130">
        <f t="array" ref="AC83">IF(AA83="","",IFERROR(OFFSET($BZ$11,0,MATCH($AA83,$CA83:$FV83,0),),""))</f>
        <v/>
      </c>
      <c r="AD83" s="131">
        <f t="array" ref="AD83">IF(AA83="","",INDIRECT("'GRD-"&amp;AC83&amp;"'!$L$7"))</f>
        <v/>
      </c>
      <c r="AE83" s="76">
        <f t="array" ref="AE83">IFERROR(OFFSET($BZ$11,ROW($B83)-11,MATCH(AE$10,$CA83:$FV83,0),),"")</f>
        <v/>
      </c>
      <c r="AF83" s="76">
        <f>IF(AE83="","",IF(VLOOKUP($B83,INDIRECT("'GRD-"&amp;AG83&amp;"'!$B:$R"),16,FALSE)="","",VLOOKUP($B83,INDIRECT("'GRD-"&amp;AG83&amp;"'!$B:$R"),16,FALSE)))</f>
        <v/>
      </c>
      <c r="AG83" s="132">
        <f t="array" ref="AG83">IF(AE83="","",IFERROR(OFFSET($BZ$11,0,MATCH($AE83,$CA83:$FV83,0),),""))</f>
        <v/>
      </c>
      <c r="AH83" s="121">
        <f t="array" ref="AH83">IF(AE83="","",INDIRECT("'GRD-"&amp;AG83&amp;"'!$L$7"))</f>
        <v/>
      </c>
      <c r="AI83" s="83">
        <f t="array" ref="AI83">IFERROR(OFFSET($BZ$11,ROW($B83)-11,MATCH(AI$10,$CA83:$FV83,0),),"")</f>
        <v/>
      </c>
      <c r="AJ83" s="83">
        <f>IF(AI83="","",IF(VLOOKUP($B83,INDIRECT("'GRD-"&amp;AK83&amp;"'!$B:$R"),16,FALSE)="","",VLOOKUP($B83,INDIRECT("'GRD-"&amp;AK83&amp;"'!$B:$R"),16,FALSE)))</f>
        <v/>
      </c>
      <c r="AK83" s="128">
        <f t="array" ref="AK83">IF(AI83="","",IFERROR(OFFSET($BZ$11,0,MATCH($AI83,$CA83:$FV83,0),),""))</f>
        <v/>
      </c>
      <c r="AL83" s="133">
        <f t="array" ref="AL83">IF(AI83="","",INDIRECT("'GRD-"&amp;AK83&amp;"'!$L$7"))</f>
        <v/>
      </c>
      <c r="AM83" s="84">
        <f t="array" ref="AM83">IFERROR(OFFSET($BZ$11,ROW($B83)-11,MATCH(AM$10,$CA83:$FV83,0),),"")</f>
        <v/>
      </c>
      <c r="AN83" s="84">
        <f>IF(AM83="","",IF(VLOOKUP($B83,INDIRECT("'GRD-"&amp;AO83&amp;"'!$B:$R"),16,FALSE)="","",VLOOKUP($B83,INDIRECT("'GRD-"&amp;AO83&amp;"'!$B:$R"),16,FALSE)))</f>
        <v/>
      </c>
      <c r="AO83" s="129">
        <f t="array" ref="AO83">IF(AM83="","",IFERROR(OFFSET($BZ$11,0,MATCH($AM83,$CA83:$FV83,0),),""))</f>
        <v/>
      </c>
      <c r="AP83" s="134">
        <f t="array" ref="AP83">IF(AM83="","",INDIRECT("'GRD-"&amp;AO83&amp;"'!$L$7"))</f>
        <v/>
      </c>
      <c r="AQ83" s="85">
        <f t="array" ref="AQ83">IFERROR(OFFSET($BZ$11,ROW($B83)-11,MATCH(AQ$10,$CA83:$FV83,0),),"")</f>
        <v/>
      </c>
      <c r="AR83" s="85">
        <f>IF(AQ83="","",IF(VLOOKUP($B83,INDIRECT("'GRD-"&amp;AS83&amp;"'!$B:$R"),16,FALSE)="","",VLOOKUP($B83,INDIRECT("'GRD-"&amp;AS83&amp;"'!$B:$R"),16,FALSE)))</f>
        <v/>
      </c>
      <c r="AS83" s="130">
        <f t="array" ref="AS83">IF(AQ83="","",IFERROR(OFFSET($BZ$11,0,MATCH($AQ83,$CA83:$FV83,0),),""))</f>
        <v/>
      </c>
      <c r="AT83" s="131">
        <f t="array" ref="AT83">IF(AQ83="","",INDIRECT("'GRD-"&amp;AS83&amp;"'!$L$7"))</f>
        <v/>
      </c>
      <c r="AU83" s="76">
        <f t="array" ref="AU83">IFERROR(OFFSET($BZ$11,ROW($B83)-11,MATCH(AU$10,$CA83:$FV83,0),),"")</f>
        <v/>
      </c>
      <c r="AV83" s="76">
        <f>IF(AU83="","",IF(VLOOKUP($B83,INDIRECT("'GRD-"&amp;AW83&amp;"'!$B:$R"),16,FALSE)="","",VLOOKUP($B83,INDIRECT("'GRD-"&amp;AW83&amp;"'!$B:$R"),16,FALSE)))</f>
        <v/>
      </c>
      <c r="AW83" s="132">
        <f t="array" ref="AW83">IF(AU83="","",IFERROR(OFFSET($BZ$11,0,MATCH($AU83,$CA83:$FV83,0),),""))</f>
        <v/>
      </c>
      <c r="AX83" s="121">
        <f t="array" ref="AX83">IF(AU83="","",INDIRECT("'GRD-"&amp;AW83&amp;"'!$L$7"))</f>
        <v/>
      </c>
      <c r="AY83" s="83">
        <f t="array" ref="AY83">IFERROR(OFFSET($BZ$11,ROW($B83)-11,MATCH(AY$10,$CA83:$FV83,0),),"")</f>
        <v/>
      </c>
      <c r="AZ83" s="83">
        <f>IF(AY83="","",IF(VLOOKUP($B83,INDIRECT("'GRD-"&amp;BA83&amp;"'!$B:$R"),16,FALSE)="","",VLOOKUP($B83,INDIRECT("'GRD-"&amp;BA83&amp;"'!$B:$R"),16,FALSE)))</f>
        <v/>
      </c>
      <c r="BA83" s="128">
        <f t="array" ref="BA83">IF(AY83="","",IFERROR(OFFSET($BZ$11,0,MATCH($AY83,$CA83:$FV83,0),),""))</f>
        <v/>
      </c>
      <c r="BB83" s="133">
        <f t="array" ref="BB83">IF(AY83="","",INDIRECT("'GRD-"&amp;BA83&amp;"'!$L$7"))</f>
        <v/>
      </c>
      <c r="BC83" s="84">
        <f t="array" ref="BC83">IFERROR(OFFSET($BZ$11,ROW($B83)-11,MATCH(BC$10,$CA83:$FV83,0),),"")</f>
        <v/>
      </c>
      <c r="BD83" s="84">
        <f>IF(BC83="","",IF(VLOOKUP($B83,INDIRECT("'GRD-"&amp;BE83&amp;"'!$B:$R"),16,FALSE)="","",VLOOKUP($B83,INDIRECT("'GRD-"&amp;BE83&amp;"'!$B:$R"),16,FALSE)))</f>
        <v/>
      </c>
      <c r="BE83" s="129">
        <f t="array" ref="BE83">IF(BC83="","",IFERROR(OFFSET($BZ$11,0,MATCH($BC83,$CA83:$FV83,0),),""))</f>
        <v/>
      </c>
      <c r="BF83" s="134">
        <f t="array" ref="BF83">IF(BC83="","",INDIRECT("'GRD-"&amp;BE83&amp;"'!$L$7"))</f>
        <v/>
      </c>
      <c r="CA83" s="96">
        <f>IFERROR(VLOOKUP($B83,INDIRECT("'GRD-"&amp;CA$11&amp;"'!B:R"),15,FALSE),"")</f>
        <v/>
      </c>
      <c r="CB83" s="96">
        <f>IFERROR(VLOOKUP($B83,INDIRECT("'GRD-"&amp;CB$11&amp;"'!B:R"),15,FALSE),"")</f>
        <v/>
      </c>
      <c r="CC83" s="96">
        <f>IFERROR(VLOOKUP($B83,INDIRECT("'GRD-"&amp;CC$11&amp;"'!B:R"),15,FALSE),"")</f>
        <v/>
      </c>
      <c r="CD83" s="96">
        <f>IFERROR(VLOOKUP($B83,INDIRECT("'GRD-"&amp;CD$11&amp;"'!B:R"),15,FALSE),"")</f>
        <v/>
      </c>
      <c r="CE83" s="96">
        <f>IFERROR(VLOOKUP($B83,INDIRECT("'GRD-"&amp;CE$11&amp;"'!B:R"),15,FALSE),"")</f>
        <v/>
      </c>
      <c r="CF83" s="96">
        <f>IFERROR(VLOOKUP($B83,INDIRECT("'GRD-"&amp;CF$11&amp;"'!B:R"),15,FALSE),"")</f>
        <v/>
      </c>
      <c r="CG83" s="96">
        <f>IFERROR(VLOOKUP($B83,INDIRECT("'GRD-"&amp;CG$11&amp;"'!B:R"),15,FALSE),"")</f>
        <v/>
      </c>
      <c r="CH83" s="96">
        <f>IFERROR(VLOOKUP($B83,INDIRECT("'GRD-"&amp;CH$11&amp;"'!B:R"),15,FALSE),"")</f>
        <v/>
      </c>
      <c r="CI83" s="96">
        <f>IFERROR(VLOOKUP($B83,INDIRECT("'GRD-"&amp;CI$11&amp;"'!B:R"),15,FALSE),"")</f>
        <v/>
      </c>
      <c r="CJ83" s="96">
        <f>IFERROR(VLOOKUP($B83,INDIRECT("'GRD-"&amp;CJ$11&amp;"'!B:R"),15,FALSE),"")</f>
        <v/>
      </c>
      <c r="CK83" s="96">
        <f>IFERROR(VLOOKUP($B83,INDIRECT("'GRD-"&amp;CK$11&amp;"'!B:R"),15,FALSE),"")</f>
        <v/>
      </c>
      <c r="CL83" s="96">
        <f>IFERROR(VLOOKUP($B83,INDIRECT("'GRD-"&amp;CL$11&amp;"'!B:R"),15,FALSE),"")</f>
        <v/>
      </c>
      <c r="CM83" s="96">
        <f>IFERROR(VLOOKUP($B83,INDIRECT("'GRD-"&amp;CM$11&amp;"'!B:R"),15,FALSE),"")</f>
        <v/>
      </c>
      <c r="CN83" s="96">
        <f>IFERROR(VLOOKUP($B83,INDIRECT("'GRD-"&amp;CN$11&amp;"'!B:R"),15,FALSE),"")</f>
        <v/>
      </c>
      <c r="CO83" s="96">
        <f>IFERROR(VLOOKUP($B83,INDIRECT("'GRD-"&amp;CO$11&amp;"'!B:R"),15,FALSE),"")</f>
        <v/>
      </c>
      <c r="CP83" s="96">
        <f>IFERROR(VLOOKUP($B83,INDIRECT("'GRD-"&amp;CP$11&amp;"'!B:R"),15,FALSE),"")</f>
        <v/>
      </c>
      <c r="CQ83" s="96">
        <f>IFERROR(VLOOKUP($B83,INDIRECT("'GRD-"&amp;CQ$11&amp;"'!B:R"),15,FALSE),"")</f>
        <v/>
      </c>
      <c r="CR83" s="96">
        <f>IFERROR(VLOOKUP($B83,INDIRECT("'GRD-"&amp;CR$11&amp;"'!B:R"),15,FALSE),"")</f>
        <v/>
      </c>
      <c r="CS83" s="96">
        <f>IFERROR(VLOOKUP($B83,INDIRECT("'GRD-"&amp;CS$11&amp;"'!B:R"),15,FALSE),"")</f>
        <v/>
      </c>
      <c r="CT83" s="96">
        <f>IFERROR(VLOOKUP($B83,INDIRECT("'GRD-"&amp;CT$11&amp;"'!B:R"),15,FALSE),"")</f>
        <v/>
      </c>
      <c r="CU83" s="96">
        <f>IFERROR(VLOOKUP($B83,INDIRECT("'GRD-"&amp;CU$11&amp;"'!B:R"),15,FALSE),"")</f>
        <v/>
      </c>
      <c r="CV83" s="96">
        <f>IFERROR(VLOOKUP($B83,INDIRECT("'GRD-"&amp;CV$11&amp;"'!B:R"),15,FALSE),"")</f>
        <v/>
      </c>
      <c r="CW83" s="96">
        <f>IFERROR(VLOOKUP($B83,INDIRECT("'GRD-"&amp;CW$11&amp;"'!B:R"),15,FALSE),"")</f>
        <v/>
      </c>
      <c r="CX83" s="96">
        <f>IFERROR(VLOOKUP($B83,INDIRECT("'GRD-"&amp;CX$11&amp;"'!B:R"),15,FALSE),"")</f>
        <v/>
      </c>
      <c r="CY83" s="96">
        <f>IFERROR(VLOOKUP($B83,INDIRECT("'GRD-"&amp;CY$11&amp;"'!B:R"),15,FALSE),"")</f>
        <v/>
      </c>
      <c r="CZ83" s="96">
        <f>IFERROR(VLOOKUP($B83,INDIRECT("'GRD-"&amp;CZ$11&amp;"'!B:R"),15,FALSE),"")</f>
        <v/>
      </c>
      <c r="DA83" s="96">
        <f>IFERROR(VLOOKUP($B83,INDIRECT("'GRD-"&amp;DA$11&amp;"'!B:R"),15,FALSE),"")</f>
        <v/>
      </c>
      <c r="DB83" s="96">
        <f>IFERROR(VLOOKUP($B83,INDIRECT("'GRD-"&amp;DB$11&amp;"'!B:R"),15,FALSE),"")</f>
        <v/>
      </c>
      <c r="DC83" s="96">
        <f>IFERROR(VLOOKUP($B83,INDIRECT("'GRD-"&amp;DC$11&amp;"'!B:R"),15,FALSE),"")</f>
        <v/>
      </c>
      <c r="DD83" s="96">
        <f>IFERROR(VLOOKUP($B83,INDIRECT("'GRD-"&amp;DD$11&amp;"'!B:R"),15,FALSE),"")</f>
        <v/>
      </c>
      <c r="DE83" s="96">
        <f>IFERROR(VLOOKUP($B83,INDIRECT("'GRD-"&amp;DE$11&amp;"'!B:R"),15,FALSE),"")</f>
        <v/>
      </c>
      <c r="DF83" s="96">
        <f>IFERROR(VLOOKUP($B83,INDIRECT("'GRD-"&amp;DF$11&amp;"'!B:R"),15,FALSE),"")</f>
        <v/>
      </c>
      <c r="DG83" s="96">
        <f>IFERROR(VLOOKUP($B83,INDIRECT("'GRD-"&amp;DG$11&amp;"'!B:R"),15,FALSE),"")</f>
        <v/>
      </c>
      <c r="DH83" s="96">
        <f>IFERROR(VLOOKUP($B83,INDIRECT("'GRD-"&amp;DH$11&amp;"'!B:R"),15,FALSE),"")</f>
        <v/>
      </c>
      <c r="DI83" s="96">
        <f>IFERROR(VLOOKUP($B83,INDIRECT("'GRD-"&amp;DI$11&amp;"'!B:R"),15,FALSE),"")</f>
        <v/>
      </c>
      <c r="DJ83" s="96">
        <f>IFERROR(VLOOKUP($B83,INDIRECT("'GRD-"&amp;DJ$11&amp;"'!B:R"),15,FALSE),"")</f>
        <v/>
      </c>
      <c r="DK83" s="96">
        <f>IFERROR(VLOOKUP($B83,INDIRECT("'GRD-"&amp;DK$11&amp;"'!B:R"),15,FALSE),"")</f>
        <v/>
      </c>
      <c r="DL83" s="96">
        <f>IFERROR(VLOOKUP($B83,INDIRECT("'GRD-"&amp;DL$11&amp;"'!B:R"),15,FALSE),"")</f>
        <v/>
      </c>
      <c r="DM83" s="96">
        <f>IFERROR(VLOOKUP($B83,INDIRECT("'GRD-"&amp;DM$11&amp;"'!B:R"),15,FALSE),"")</f>
        <v/>
      </c>
      <c r="DN83" s="96">
        <f>IFERROR(VLOOKUP($B83,INDIRECT("'GRD-"&amp;DN$11&amp;"'!B:R"),15,FALSE),"")</f>
        <v/>
      </c>
      <c r="DO83" s="96">
        <f>IFERROR(VLOOKUP($B83,INDIRECT("'GRD-"&amp;DO$11&amp;"'!B:R"),15,FALSE),"")</f>
        <v/>
      </c>
      <c r="DP83" s="96">
        <f>IFERROR(VLOOKUP($B83,INDIRECT("'GRD-"&amp;DP$11&amp;"'!B:R"),15,FALSE),"")</f>
        <v/>
      </c>
      <c r="DQ83" s="96">
        <f>IFERROR(VLOOKUP($B83,INDIRECT("'GRD-"&amp;DQ$11&amp;"'!B:R"),15,FALSE),"")</f>
        <v/>
      </c>
      <c r="DR83" s="96">
        <f>IFERROR(VLOOKUP($B83,INDIRECT("'GRD-"&amp;DR$11&amp;"'!B:R"),15,FALSE),"")</f>
        <v/>
      </c>
      <c r="DS83" s="96">
        <f>IFERROR(VLOOKUP($B83,INDIRECT("'GRD-"&amp;DS$11&amp;"'!B:R"),15,FALSE),"")</f>
        <v/>
      </c>
      <c r="DT83" s="96">
        <f>IFERROR(VLOOKUP($B83,INDIRECT("'GRD-"&amp;DT$11&amp;"'!B:R"),15,FALSE),"")</f>
        <v/>
      </c>
      <c r="DU83" s="96">
        <f>IFERROR(VLOOKUP($B83,INDIRECT("'GRD-"&amp;DU$11&amp;"'!B:R"),15,FALSE),"")</f>
        <v/>
      </c>
      <c r="DV83" s="96">
        <f>IFERROR(VLOOKUP($B83,INDIRECT("'GRD-"&amp;DV$11&amp;"'!B:R"),15,FALSE),"")</f>
        <v/>
      </c>
      <c r="DW83" s="96">
        <f>IFERROR(VLOOKUP($B83,INDIRECT("'GRD-"&amp;DW$11&amp;"'!B:R"),15,FALSE),"")</f>
        <v/>
      </c>
      <c r="DX83" s="96">
        <f>IFERROR(VLOOKUP($B83,INDIRECT("'GRD-"&amp;DX$11&amp;"'!B:R"),15,FALSE),"")</f>
        <v/>
      </c>
      <c r="DY83" s="96">
        <f>IFERROR(VLOOKUP($B83,INDIRECT("'GRD-"&amp;DY$11&amp;"'!B:R"),15,FALSE),"")</f>
        <v/>
      </c>
      <c r="DZ83" s="96">
        <f>IFERROR(VLOOKUP($B83,INDIRECT("'GRD-"&amp;DZ$11&amp;"'!B:R"),15,FALSE),"")</f>
        <v/>
      </c>
      <c r="EA83" s="96">
        <f>IFERROR(VLOOKUP($B83,INDIRECT("'GRD-"&amp;EA$11&amp;"'!B:R"),15,FALSE),"")</f>
        <v/>
      </c>
      <c r="EB83" s="96">
        <f>IFERROR(VLOOKUP($B83,INDIRECT("'GRD-"&amp;EB$11&amp;"'!B:R"),15,FALSE),"")</f>
        <v/>
      </c>
      <c r="EC83" s="96">
        <f>IFERROR(VLOOKUP($B83,INDIRECT("'GRD-"&amp;EC$11&amp;"'!B:R"),15,FALSE),"")</f>
        <v/>
      </c>
      <c r="ED83" s="96">
        <f>IFERROR(VLOOKUP($B83,INDIRECT("'GRD-"&amp;ED$11&amp;"'!B:R"),15,FALSE),"")</f>
        <v/>
      </c>
      <c r="EE83" s="96">
        <f>IFERROR(VLOOKUP($B83,INDIRECT("'GRD-"&amp;EE$11&amp;"'!B:R"),15,FALSE),"")</f>
        <v/>
      </c>
      <c r="EF83" s="96">
        <f>IFERROR(VLOOKUP($B83,INDIRECT("'GRD-"&amp;EF$11&amp;"'!B:R"),15,FALSE),"")</f>
        <v/>
      </c>
      <c r="EG83" s="96">
        <f>IFERROR(VLOOKUP($B83,INDIRECT("'GRD-"&amp;EG$11&amp;"'!B:R"),15,FALSE),"")</f>
        <v/>
      </c>
      <c r="EH83" s="96">
        <f>IFERROR(VLOOKUP($B83,INDIRECT("'GRD-"&amp;EH$11&amp;"'!B:R"),15,FALSE),"")</f>
        <v/>
      </c>
      <c r="EI83" s="96">
        <f>IFERROR(VLOOKUP($B83,INDIRECT("'GRD-"&amp;EI$11&amp;"'!B:R"),15,FALSE),"")</f>
        <v/>
      </c>
      <c r="EJ83" s="96">
        <f>IFERROR(VLOOKUP($B83,INDIRECT("'GRD-"&amp;EJ$11&amp;"'!B:R"),15,FALSE),"")</f>
        <v/>
      </c>
      <c r="EK83" s="96">
        <f>IFERROR(VLOOKUP($B83,INDIRECT("'GRD-"&amp;EK$11&amp;"'!B:R"),15,FALSE),"")</f>
        <v/>
      </c>
      <c r="EL83" s="96">
        <f>IFERROR(VLOOKUP($B83,INDIRECT("'GRD-"&amp;EL$11&amp;"'!B:R"),15,FALSE),"")</f>
        <v/>
      </c>
      <c r="EM83" s="96">
        <f>IFERROR(VLOOKUP($B83,INDIRECT("'GRD-"&amp;EM$11&amp;"'!B:R"),15,FALSE),"")</f>
        <v/>
      </c>
      <c r="EN83" s="96">
        <f>IFERROR(VLOOKUP($B83,INDIRECT("'GRD-"&amp;EN$11&amp;"'!B:R"),15,FALSE),"")</f>
        <v/>
      </c>
      <c r="EO83" s="96">
        <f>IFERROR(VLOOKUP($B83,INDIRECT("'GRD-"&amp;EO$11&amp;"'!B:R"),15,FALSE),"")</f>
        <v/>
      </c>
      <c r="EP83" s="96">
        <f>IFERROR(VLOOKUP($B83,INDIRECT("'GRD-"&amp;EP$11&amp;"'!B:R"),15,FALSE),"")</f>
        <v/>
      </c>
      <c r="EQ83" s="96">
        <f>IFERROR(VLOOKUP($B83,INDIRECT("'GRD-"&amp;EQ$11&amp;"'!B:R"),15,FALSE),"")</f>
        <v/>
      </c>
      <c r="ER83" s="96">
        <f>IFERROR(VLOOKUP($B83,INDIRECT("'GRD-"&amp;ER$11&amp;"'!B:R"),15,FALSE),"")</f>
        <v/>
      </c>
      <c r="ES83" s="96">
        <f>IFERROR(VLOOKUP($B83,INDIRECT("'GRD-"&amp;ES$11&amp;"'!B:R"),15,FALSE),"")</f>
        <v/>
      </c>
      <c r="ET83" s="96">
        <f>IFERROR(VLOOKUP($B83,INDIRECT("'GRD-"&amp;ET$11&amp;"'!B:R"),15,FALSE),"")</f>
        <v/>
      </c>
      <c r="EU83" s="96">
        <f>IFERROR(VLOOKUP($B83,INDIRECT("'GRD-"&amp;EU$11&amp;"'!B:R"),15,FALSE),"")</f>
        <v/>
      </c>
      <c r="EV83" s="96">
        <f>IFERROR(VLOOKUP($B83,INDIRECT("'GRD-"&amp;EV$11&amp;"'!B:R"),15,FALSE),"")</f>
        <v/>
      </c>
      <c r="EW83" s="96">
        <f>IFERROR(VLOOKUP($B83,INDIRECT("'GRD-"&amp;EW$11&amp;"'!B:R"),15,FALSE),"")</f>
        <v/>
      </c>
      <c r="EX83" s="96">
        <f>IFERROR(VLOOKUP($B83,INDIRECT("'GRD-"&amp;EX$11&amp;"'!B:R"),15,FALSE),"")</f>
        <v/>
      </c>
      <c r="EY83" s="96">
        <f>IFERROR(VLOOKUP($B83,INDIRECT("'GRD-"&amp;EY$11&amp;"'!B:R"),15,FALSE),"")</f>
        <v/>
      </c>
      <c r="EZ83" s="96">
        <f>IFERROR(VLOOKUP($B83,INDIRECT("'GRD-"&amp;EZ$11&amp;"'!B:R"),15,FALSE),"")</f>
        <v/>
      </c>
      <c r="FA83" s="96">
        <f>IFERROR(VLOOKUP($B83,INDIRECT("'GRD-"&amp;FA$11&amp;"'!B:R"),15,FALSE),"")</f>
        <v/>
      </c>
      <c r="FB83" s="96">
        <f>IFERROR(VLOOKUP($B83,INDIRECT("'GRD-"&amp;FB$11&amp;"'!B:R"),15,FALSE),"")</f>
        <v/>
      </c>
      <c r="FC83" s="96">
        <f>IFERROR(VLOOKUP($B83,INDIRECT("'GRD-"&amp;FC$11&amp;"'!B:R"),15,FALSE),"")</f>
        <v/>
      </c>
      <c r="FD83" s="96">
        <f>IFERROR(VLOOKUP($B83,INDIRECT("'GRD-"&amp;FD$11&amp;"'!B:R"),15,FALSE),"")</f>
        <v/>
      </c>
      <c r="FE83" s="96">
        <f>IFERROR(VLOOKUP($B83,INDIRECT("'GRD-"&amp;FE$11&amp;"'!B:R"),15,FALSE),"")</f>
        <v/>
      </c>
      <c r="FF83" s="96">
        <f>IFERROR(VLOOKUP($B83,INDIRECT("'GRD-"&amp;FF$11&amp;"'!B:R"),15,FALSE),"")</f>
        <v/>
      </c>
      <c r="FG83" s="96">
        <f>IFERROR(VLOOKUP($B83,INDIRECT("'GRD-"&amp;FG$11&amp;"'!B:R"),15,FALSE),"")</f>
        <v/>
      </c>
      <c r="FH83" s="96">
        <f>IFERROR(VLOOKUP($B83,INDIRECT("'GRD-"&amp;FH$11&amp;"'!B:R"),15,FALSE),"")</f>
        <v/>
      </c>
      <c r="FI83" s="96">
        <f>IFERROR(VLOOKUP($B83,INDIRECT("'GRD-"&amp;FI$11&amp;"'!B:R"),15,FALSE),"")</f>
        <v/>
      </c>
      <c r="FJ83" s="96">
        <f>IFERROR(VLOOKUP($B83,INDIRECT("'GRD-"&amp;FJ$11&amp;"'!B:R"),15,FALSE),"")</f>
        <v/>
      </c>
      <c r="FK83" s="96">
        <f>IFERROR(VLOOKUP($B83,INDIRECT("'GRD-"&amp;FK$11&amp;"'!B:R"),15,FALSE),"")</f>
        <v/>
      </c>
      <c r="FL83" s="96">
        <f>IFERROR(VLOOKUP($B83,INDIRECT("'GRD-"&amp;FL$11&amp;"'!B:R"),15,FALSE),"")</f>
        <v/>
      </c>
      <c r="FM83" s="96">
        <f>IFERROR(VLOOKUP($B83,INDIRECT("'GRD-"&amp;FM$11&amp;"'!B:R"),15,FALSE),"")</f>
        <v/>
      </c>
      <c r="FN83" s="96">
        <f>IFERROR(VLOOKUP($B83,INDIRECT("'GRD-"&amp;FN$11&amp;"'!B:R"),15,FALSE),"")</f>
        <v/>
      </c>
      <c r="FO83" s="96">
        <f>IFERROR(VLOOKUP($B83,INDIRECT("'GRD-"&amp;FO$11&amp;"'!B:R"),15,FALSE),"")</f>
        <v/>
      </c>
      <c r="FP83" s="96">
        <f>IFERROR(VLOOKUP($B83,INDIRECT("'GRD-"&amp;FP$11&amp;"'!B:R"),15,FALSE),"")</f>
        <v/>
      </c>
      <c r="FQ83" s="96">
        <f>IFERROR(VLOOKUP($B83,INDIRECT("'GRD-"&amp;FQ$11&amp;"'!B:R"),15,FALSE),"")</f>
        <v/>
      </c>
      <c r="FR83" s="96">
        <f>IFERROR(VLOOKUP($B83,INDIRECT("'GRD-"&amp;FR$11&amp;"'!B:R"),15,FALSE),"")</f>
        <v/>
      </c>
      <c r="FS83" s="96">
        <f>IFERROR(VLOOKUP($B83,INDIRECT("'GRD-"&amp;FS$11&amp;"'!B:R"),15,FALSE),"")</f>
        <v/>
      </c>
      <c r="FT83" s="96">
        <f>IFERROR(VLOOKUP($B83,INDIRECT("'GRD-"&amp;FT$11&amp;"'!B:R"),15,FALSE),"")</f>
        <v/>
      </c>
      <c r="FU83" s="96">
        <f>IFERROR(VLOOKUP($B83,INDIRECT("'GRD-"&amp;FU$11&amp;"'!B:R"),15,FALSE),"")</f>
        <v/>
      </c>
      <c r="FV83" s="96">
        <f>IFERROR(VLOOKUP($B83,INDIRECT("'GRD-"&amp;FV$11&amp;"'!B:R"),15,FALSE),"")</f>
        <v/>
      </c>
    </row>
    <row r="84">
      <c r="B84" s="85" t="n"/>
      <c r="C84" s="93" t="n"/>
      <c r="D84" s="73">
        <f>IF(K84="","",MAX($CA84:$FV84))</f>
        <v/>
      </c>
      <c r="E84" s="74">
        <f t="array" ref="E84">IF($K84="","",OFFSET($A$1,ROW($B84)-1,11+$D84*4,))</f>
        <v/>
      </c>
      <c r="F84" s="74">
        <f t="array" ref="F84">IF($K84="","",OFFSET($A$1,ROW($B84)-1,12+$D84*4,))</f>
        <v/>
      </c>
      <c r="G84" s="118">
        <f t="array" ref="G84">IF($K84="","",OFFSET($A$1,ROW($B84)-1,13+$D84*4,))</f>
        <v/>
      </c>
      <c r="H84" s="81" t="n"/>
      <c r="I84" s="82" t="n"/>
      <c r="J84" s="75">
        <f>IF(I84="A4",H84/8,IF(I84="A3",H84/4,IF(I84="A2",H84/2,IF(I84="A1",H84/1,IF(I84="A0",H84*2,"")))))</f>
        <v/>
      </c>
      <c r="K84" s="68">
        <f t="array" ref="K84">IFERROR(OFFSET($BZ$11,ROW($B84)-11,MATCH(K$10,$CA84:$FV84,0),),"")</f>
        <v/>
      </c>
      <c r="L84" s="85">
        <f>IF(K84="","",IF(VLOOKUP($B84,INDIRECT("'GRD-"&amp;M84&amp;"'!$B:$R"),16,FALSE)="","",VLOOKUP($B84,INDIRECT("'GRD-"&amp;M84&amp;"'!$B:$R"),16,FALSE)))</f>
        <v/>
      </c>
      <c r="M84" s="130">
        <f t="array" ref="M84">IF(K84="","",IFERROR(OFFSET($BZ$11,0,MATCH($K84,$CA84:$FV84,0),),""))</f>
        <v/>
      </c>
      <c r="N84" s="119">
        <f t="array" ref="N84">IF(K84="","",INDIRECT("'GRD-"&amp;M84&amp;"'!$L$7"))</f>
        <v/>
      </c>
      <c r="O84" s="76">
        <f t="array" ref="O84">IFERROR(OFFSET($BZ$11,ROW($B84)-11,MATCH(O$10,$CA84:$FV84,0),),"")</f>
        <v/>
      </c>
      <c r="P84" s="76">
        <f>IF(O84="","",IF(VLOOKUP($B84,INDIRECT("'GRD-"&amp;Q84&amp;"'!$B:$R"),16,FALSE)="","",VLOOKUP($B84,INDIRECT("'GRD-"&amp;Q84&amp;"'!$B:$R"),16,FALSE)))</f>
        <v/>
      </c>
      <c r="Q84" s="132">
        <f t="array" ref="Q84">IF(O84="","",IFERROR(OFFSET($BZ$11,0,MATCH($O84,$CA84:$FV84,0),),""))</f>
        <v/>
      </c>
      <c r="R84" s="121">
        <f t="array" ref="R84">IF(O84="","",INDIRECT("'GRD-"&amp;Q84&amp;"'!$L$7"))</f>
        <v/>
      </c>
      <c r="S84" s="83">
        <f t="array" ref="S84">IFERROR(OFFSET($BZ$11,ROW($B84)-11,MATCH(S$10,$CA84:$FV84,0),),"")</f>
        <v/>
      </c>
      <c r="T84" s="83">
        <f>IF(S84="","",IF(VLOOKUP($B84,INDIRECT("'GRD-"&amp;U84&amp;"'!$B:$R"),16,FALSE)="","",VLOOKUP($B84,INDIRECT("'GRD-"&amp;U84&amp;"'!$B:$R"),16,FALSE)))</f>
        <v/>
      </c>
      <c r="U84" s="128">
        <f t="array" ref="U84">IF(S84="","",IFERROR(OFFSET($BZ$11,0,MATCH($S84,$CA84:$FV84,0),),""))</f>
        <v/>
      </c>
      <c r="V84" s="133">
        <f t="array" ref="V84">IF(S84="","",INDIRECT("'GRD-"&amp;U84&amp;"'!$L$7"))</f>
        <v/>
      </c>
      <c r="W84" s="84">
        <f t="array" ref="W84">IFERROR(OFFSET($BZ$11,ROW($B84)-11,MATCH(W$10,$CA84:$FV84,0),),"")</f>
        <v/>
      </c>
      <c r="X84" s="84">
        <f>IF(W84="","",IF(VLOOKUP($B84,INDIRECT("'GRD-"&amp;Y84&amp;"'!$B:$R"),16,FALSE)="","",VLOOKUP($B84,INDIRECT("'GRD-"&amp;Y84&amp;"'!$B:$R"),16,FALSE)))</f>
        <v/>
      </c>
      <c r="Y84" s="129">
        <f t="array" ref="Y84">IF(W84="","",IFERROR(OFFSET($BZ$11,0,MATCH($W84,$CA84:$FV84,0),),""))</f>
        <v/>
      </c>
      <c r="Z84" s="134">
        <f t="array" ref="Z84">IF(W84="","",INDIRECT("'GRD-"&amp;Y84&amp;"'!$L$7"))</f>
        <v/>
      </c>
      <c r="AA84" s="85">
        <f t="array" ref="AA84">IFERROR(OFFSET($BZ$11,ROW($B84)-11,MATCH(AA$10,$CA84:$FV84,0),),"")</f>
        <v/>
      </c>
      <c r="AB84" s="85">
        <f>IF(AA84="","",IF(VLOOKUP($B84,INDIRECT("'GRD-"&amp;AC84&amp;"'!$B:$R"),16,FALSE)="","",VLOOKUP($B84,INDIRECT("'GRD-"&amp;AC84&amp;"'!$B:$R"),16,FALSE)))</f>
        <v/>
      </c>
      <c r="AC84" s="130">
        <f t="array" ref="AC84">IF(AA84="","",IFERROR(OFFSET($BZ$11,0,MATCH($AA84,$CA84:$FV84,0),),""))</f>
        <v/>
      </c>
      <c r="AD84" s="131">
        <f t="array" ref="AD84">IF(AA84="","",INDIRECT("'GRD-"&amp;AC84&amp;"'!$L$7"))</f>
        <v/>
      </c>
      <c r="AE84" s="76">
        <f t="array" ref="AE84">IFERROR(OFFSET($BZ$11,ROW($B84)-11,MATCH(AE$10,$CA84:$FV84,0),),"")</f>
        <v/>
      </c>
      <c r="AF84" s="76">
        <f>IF(AE84="","",IF(VLOOKUP($B84,INDIRECT("'GRD-"&amp;AG84&amp;"'!$B:$R"),16,FALSE)="","",VLOOKUP($B84,INDIRECT("'GRD-"&amp;AG84&amp;"'!$B:$R"),16,FALSE)))</f>
        <v/>
      </c>
      <c r="AG84" s="132">
        <f t="array" ref="AG84">IF(AE84="","",IFERROR(OFFSET($BZ$11,0,MATCH($AE84,$CA84:$FV84,0),),""))</f>
        <v/>
      </c>
      <c r="AH84" s="121">
        <f t="array" ref="AH84">IF(AE84="","",INDIRECT("'GRD-"&amp;AG84&amp;"'!$L$7"))</f>
        <v/>
      </c>
      <c r="AI84" s="83">
        <f t="array" ref="AI84">IFERROR(OFFSET($BZ$11,ROW($B84)-11,MATCH(AI$10,$CA84:$FV84,0),),"")</f>
        <v/>
      </c>
      <c r="AJ84" s="83">
        <f>IF(AI84="","",IF(VLOOKUP($B84,INDIRECT("'GRD-"&amp;AK84&amp;"'!$B:$R"),16,FALSE)="","",VLOOKUP($B84,INDIRECT("'GRD-"&amp;AK84&amp;"'!$B:$R"),16,FALSE)))</f>
        <v/>
      </c>
      <c r="AK84" s="128">
        <f t="array" ref="AK84">IF(AI84="","",IFERROR(OFFSET($BZ$11,0,MATCH($AI84,$CA84:$FV84,0),),""))</f>
        <v/>
      </c>
      <c r="AL84" s="133">
        <f t="array" ref="AL84">IF(AI84="","",INDIRECT("'GRD-"&amp;AK84&amp;"'!$L$7"))</f>
        <v/>
      </c>
      <c r="AM84" s="84">
        <f t="array" ref="AM84">IFERROR(OFFSET($BZ$11,ROW($B84)-11,MATCH(AM$10,$CA84:$FV84,0),),"")</f>
        <v/>
      </c>
      <c r="AN84" s="84">
        <f>IF(AM84="","",IF(VLOOKUP($B84,INDIRECT("'GRD-"&amp;AO84&amp;"'!$B:$R"),16,FALSE)="","",VLOOKUP($B84,INDIRECT("'GRD-"&amp;AO84&amp;"'!$B:$R"),16,FALSE)))</f>
        <v/>
      </c>
      <c r="AO84" s="129">
        <f t="array" ref="AO84">IF(AM84="","",IFERROR(OFFSET($BZ$11,0,MATCH($AM84,$CA84:$FV84,0),),""))</f>
        <v/>
      </c>
      <c r="AP84" s="134">
        <f t="array" ref="AP84">IF(AM84="","",INDIRECT("'GRD-"&amp;AO84&amp;"'!$L$7"))</f>
        <v/>
      </c>
      <c r="AQ84" s="85">
        <f t="array" ref="AQ84">IFERROR(OFFSET($BZ$11,ROW($B84)-11,MATCH(AQ$10,$CA84:$FV84,0),),"")</f>
        <v/>
      </c>
      <c r="AR84" s="85">
        <f>IF(AQ84="","",IF(VLOOKUP($B84,INDIRECT("'GRD-"&amp;AS84&amp;"'!$B:$R"),16,FALSE)="","",VLOOKUP($B84,INDIRECT("'GRD-"&amp;AS84&amp;"'!$B:$R"),16,FALSE)))</f>
        <v/>
      </c>
      <c r="AS84" s="130">
        <f t="array" ref="AS84">IF(AQ84="","",IFERROR(OFFSET($BZ$11,0,MATCH($AQ84,$CA84:$FV84,0),),""))</f>
        <v/>
      </c>
      <c r="AT84" s="131">
        <f t="array" ref="AT84">IF(AQ84="","",INDIRECT("'GRD-"&amp;AS84&amp;"'!$L$7"))</f>
        <v/>
      </c>
      <c r="AU84" s="76">
        <f t="array" ref="AU84">IFERROR(OFFSET($BZ$11,ROW($B84)-11,MATCH(AU$10,$CA84:$FV84,0),),"")</f>
        <v/>
      </c>
      <c r="AV84" s="76">
        <f>IF(AU84="","",IF(VLOOKUP($B84,INDIRECT("'GRD-"&amp;AW84&amp;"'!$B:$R"),16,FALSE)="","",VLOOKUP($B84,INDIRECT("'GRD-"&amp;AW84&amp;"'!$B:$R"),16,FALSE)))</f>
        <v/>
      </c>
      <c r="AW84" s="132">
        <f t="array" ref="AW84">IF(AU84="","",IFERROR(OFFSET($BZ$11,0,MATCH($AU84,$CA84:$FV84,0),),""))</f>
        <v/>
      </c>
      <c r="AX84" s="121">
        <f t="array" ref="AX84">IF(AU84="","",INDIRECT("'GRD-"&amp;AW84&amp;"'!$L$7"))</f>
        <v/>
      </c>
      <c r="AY84" s="83">
        <f t="array" ref="AY84">IFERROR(OFFSET($BZ$11,ROW($B84)-11,MATCH(AY$10,$CA84:$FV84,0),),"")</f>
        <v/>
      </c>
      <c r="AZ84" s="83">
        <f>IF(AY84="","",IF(VLOOKUP($B84,INDIRECT("'GRD-"&amp;BA84&amp;"'!$B:$R"),16,FALSE)="","",VLOOKUP($B84,INDIRECT("'GRD-"&amp;BA84&amp;"'!$B:$R"),16,FALSE)))</f>
        <v/>
      </c>
      <c r="BA84" s="128">
        <f t="array" ref="BA84">IF(AY84="","",IFERROR(OFFSET($BZ$11,0,MATCH($AY84,$CA84:$FV84,0),),""))</f>
        <v/>
      </c>
      <c r="BB84" s="133">
        <f t="array" ref="BB84">IF(AY84="","",INDIRECT("'GRD-"&amp;BA84&amp;"'!$L$7"))</f>
        <v/>
      </c>
      <c r="BC84" s="84">
        <f t="array" ref="BC84">IFERROR(OFFSET($BZ$11,ROW($B84)-11,MATCH(BC$10,$CA84:$FV84,0),),"")</f>
        <v/>
      </c>
      <c r="BD84" s="84">
        <f>IF(BC84="","",IF(VLOOKUP($B84,INDIRECT("'GRD-"&amp;BE84&amp;"'!$B:$R"),16,FALSE)="","",VLOOKUP($B84,INDIRECT("'GRD-"&amp;BE84&amp;"'!$B:$R"),16,FALSE)))</f>
        <v/>
      </c>
      <c r="BE84" s="129">
        <f t="array" ref="BE84">IF(BC84="","",IFERROR(OFFSET($BZ$11,0,MATCH($BC84,$CA84:$FV84,0),),""))</f>
        <v/>
      </c>
      <c r="BF84" s="134">
        <f t="array" ref="BF84">IF(BC84="","",INDIRECT("'GRD-"&amp;BE84&amp;"'!$L$7"))</f>
        <v/>
      </c>
      <c r="CA84" s="96">
        <f>IFERROR(VLOOKUP($B84,INDIRECT("'GRD-"&amp;CA$11&amp;"'!B:R"),15,FALSE),"")</f>
        <v/>
      </c>
      <c r="CB84" s="96">
        <f>IFERROR(VLOOKUP($B84,INDIRECT("'GRD-"&amp;CB$11&amp;"'!B:R"),15,FALSE),"")</f>
        <v/>
      </c>
      <c r="CC84" s="96">
        <f>IFERROR(VLOOKUP($B84,INDIRECT("'GRD-"&amp;CC$11&amp;"'!B:R"),15,FALSE),"")</f>
        <v/>
      </c>
      <c r="CD84" s="96">
        <f>IFERROR(VLOOKUP($B84,INDIRECT("'GRD-"&amp;CD$11&amp;"'!B:R"),15,FALSE),"")</f>
        <v/>
      </c>
      <c r="CE84" s="96">
        <f>IFERROR(VLOOKUP($B84,INDIRECT("'GRD-"&amp;CE$11&amp;"'!B:R"),15,FALSE),"")</f>
        <v/>
      </c>
      <c r="CF84" s="96">
        <f>IFERROR(VLOOKUP($B84,INDIRECT("'GRD-"&amp;CF$11&amp;"'!B:R"),15,FALSE),"")</f>
        <v/>
      </c>
      <c r="CG84" s="96">
        <f>IFERROR(VLOOKUP($B84,INDIRECT("'GRD-"&amp;CG$11&amp;"'!B:R"),15,FALSE),"")</f>
        <v/>
      </c>
      <c r="CH84" s="96">
        <f>IFERROR(VLOOKUP($B84,INDIRECT("'GRD-"&amp;CH$11&amp;"'!B:R"),15,FALSE),"")</f>
        <v/>
      </c>
      <c r="CI84" s="96">
        <f>IFERROR(VLOOKUP($B84,INDIRECT("'GRD-"&amp;CI$11&amp;"'!B:R"),15,FALSE),"")</f>
        <v/>
      </c>
      <c r="CJ84" s="96">
        <f>IFERROR(VLOOKUP($B84,INDIRECT("'GRD-"&amp;CJ$11&amp;"'!B:R"),15,FALSE),"")</f>
        <v/>
      </c>
      <c r="CK84" s="96">
        <f>IFERROR(VLOOKUP($B84,INDIRECT("'GRD-"&amp;CK$11&amp;"'!B:R"),15,FALSE),"")</f>
        <v/>
      </c>
      <c r="CL84" s="96">
        <f>IFERROR(VLOOKUP($B84,INDIRECT("'GRD-"&amp;CL$11&amp;"'!B:R"),15,FALSE),"")</f>
        <v/>
      </c>
      <c r="CM84" s="96">
        <f>IFERROR(VLOOKUP($B84,INDIRECT("'GRD-"&amp;CM$11&amp;"'!B:R"),15,FALSE),"")</f>
        <v/>
      </c>
      <c r="CN84" s="96">
        <f>IFERROR(VLOOKUP($B84,INDIRECT("'GRD-"&amp;CN$11&amp;"'!B:R"),15,FALSE),"")</f>
        <v/>
      </c>
      <c r="CO84" s="96">
        <f>IFERROR(VLOOKUP($B84,INDIRECT("'GRD-"&amp;CO$11&amp;"'!B:R"),15,FALSE),"")</f>
        <v/>
      </c>
      <c r="CP84" s="96">
        <f>IFERROR(VLOOKUP($B84,INDIRECT("'GRD-"&amp;CP$11&amp;"'!B:R"),15,FALSE),"")</f>
        <v/>
      </c>
      <c r="CQ84" s="96">
        <f>IFERROR(VLOOKUP($B84,INDIRECT("'GRD-"&amp;CQ$11&amp;"'!B:R"),15,FALSE),"")</f>
        <v/>
      </c>
      <c r="CR84" s="96">
        <f>IFERROR(VLOOKUP($B84,INDIRECT("'GRD-"&amp;CR$11&amp;"'!B:R"),15,FALSE),"")</f>
        <v/>
      </c>
      <c r="CS84" s="96">
        <f>IFERROR(VLOOKUP($B84,INDIRECT("'GRD-"&amp;CS$11&amp;"'!B:R"),15,FALSE),"")</f>
        <v/>
      </c>
      <c r="CT84" s="96">
        <f>IFERROR(VLOOKUP($B84,INDIRECT("'GRD-"&amp;CT$11&amp;"'!B:R"),15,FALSE),"")</f>
        <v/>
      </c>
      <c r="CU84" s="96">
        <f>IFERROR(VLOOKUP($B84,INDIRECT("'GRD-"&amp;CU$11&amp;"'!B:R"),15,FALSE),"")</f>
        <v/>
      </c>
      <c r="CV84" s="96">
        <f>IFERROR(VLOOKUP($B84,INDIRECT("'GRD-"&amp;CV$11&amp;"'!B:R"),15,FALSE),"")</f>
        <v/>
      </c>
      <c r="CW84" s="96">
        <f>IFERROR(VLOOKUP($B84,INDIRECT("'GRD-"&amp;CW$11&amp;"'!B:R"),15,FALSE),"")</f>
        <v/>
      </c>
      <c r="CX84" s="96">
        <f>IFERROR(VLOOKUP($B84,INDIRECT("'GRD-"&amp;CX$11&amp;"'!B:R"),15,FALSE),"")</f>
        <v/>
      </c>
      <c r="CY84" s="96">
        <f>IFERROR(VLOOKUP($B84,INDIRECT("'GRD-"&amp;CY$11&amp;"'!B:R"),15,FALSE),"")</f>
        <v/>
      </c>
      <c r="CZ84" s="96">
        <f>IFERROR(VLOOKUP($B84,INDIRECT("'GRD-"&amp;CZ$11&amp;"'!B:R"),15,FALSE),"")</f>
        <v/>
      </c>
      <c r="DA84" s="96">
        <f>IFERROR(VLOOKUP($B84,INDIRECT("'GRD-"&amp;DA$11&amp;"'!B:R"),15,FALSE),"")</f>
        <v/>
      </c>
      <c r="DB84" s="96">
        <f>IFERROR(VLOOKUP($B84,INDIRECT("'GRD-"&amp;DB$11&amp;"'!B:R"),15,FALSE),"")</f>
        <v/>
      </c>
      <c r="DC84" s="96">
        <f>IFERROR(VLOOKUP($B84,INDIRECT("'GRD-"&amp;DC$11&amp;"'!B:R"),15,FALSE),"")</f>
        <v/>
      </c>
      <c r="DD84" s="96">
        <f>IFERROR(VLOOKUP($B84,INDIRECT("'GRD-"&amp;DD$11&amp;"'!B:R"),15,FALSE),"")</f>
        <v/>
      </c>
      <c r="DE84" s="96">
        <f>IFERROR(VLOOKUP($B84,INDIRECT("'GRD-"&amp;DE$11&amp;"'!B:R"),15,FALSE),"")</f>
        <v/>
      </c>
      <c r="DF84" s="96">
        <f>IFERROR(VLOOKUP($B84,INDIRECT("'GRD-"&amp;DF$11&amp;"'!B:R"),15,FALSE),"")</f>
        <v/>
      </c>
      <c r="DG84" s="96">
        <f>IFERROR(VLOOKUP($B84,INDIRECT("'GRD-"&amp;DG$11&amp;"'!B:R"),15,FALSE),"")</f>
        <v/>
      </c>
      <c r="DH84" s="96">
        <f>IFERROR(VLOOKUP($B84,INDIRECT("'GRD-"&amp;DH$11&amp;"'!B:R"),15,FALSE),"")</f>
        <v/>
      </c>
      <c r="DI84" s="96">
        <f>IFERROR(VLOOKUP($B84,INDIRECT("'GRD-"&amp;DI$11&amp;"'!B:R"),15,FALSE),"")</f>
        <v/>
      </c>
      <c r="DJ84" s="96">
        <f>IFERROR(VLOOKUP($B84,INDIRECT("'GRD-"&amp;DJ$11&amp;"'!B:R"),15,FALSE),"")</f>
        <v/>
      </c>
      <c r="DK84" s="96">
        <f>IFERROR(VLOOKUP($B84,INDIRECT("'GRD-"&amp;DK$11&amp;"'!B:R"),15,FALSE),"")</f>
        <v/>
      </c>
      <c r="DL84" s="96">
        <f>IFERROR(VLOOKUP($B84,INDIRECT("'GRD-"&amp;DL$11&amp;"'!B:R"),15,FALSE),"")</f>
        <v/>
      </c>
      <c r="DM84" s="96">
        <f>IFERROR(VLOOKUP($B84,INDIRECT("'GRD-"&amp;DM$11&amp;"'!B:R"),15,FALSE),"")</f>
        <v/>
      </c>
      <c r="DN84" s="96">
        <f>IFERROR(VLOOKUP($B84,INDIRECT("'GRD-"&amp;DN$11&amp;"'!B:R"),15,FALSE),"")</f>
        <v/>
      </c>
      <c r="DO84" s="96">
        <f>IFERROR(VLOOKUP($B84,INDIRECT("'GRD-"&amp;DO$11&amp;"'!B:R"),15,FALSE),"")</f>
        <v/>
      </c>
      <c r="DP84" s="96">
        <f>IFERROR(VLOOKUP($B84,INDIRECT("'GRD-"&amp;DP$11&amp;"'!B:R"),15,FALSE),"")</f>
        <v/>
      </c>
      <c r="DQ84" s="96">
        <f>IFERROR(VLOOKUP($B84,INDIRECT("'GRD-"&amp;DQ$11&amp;"'!B:R"),15,FALSE),"")</f>
        <v/>
      </c>
      <c r="DR84" s="96">
        <f>IFERROR(VLOOKUP($B84,INDIRECT("'GRD-"&amp;DR$11&amp;"'!B:R"),15,FALSE),"")</f>
        <v/>
      </c>
      <c r="DS84" s="96">
        <f>IFERROR(VLOOKUP($B84,INDIRECT("'GRD-"&amp;DS$11&amp;"'!B:R"),15,FALSE),"")</f>
        <v/>
      </c>
      <c r="DT84" s="96">
        <f>IFERROR(VLOOKUP($B84,INDIRECT("'GRD-"&amp;DT$11&amp;"'!B:R"),15,FALSE),"")</f>
        <v/>
      </c>
      <c r="DU84" s="96">
        <f>IFERROR(VLOOKUP($B84,INDIRECT("'GRD-"&amp;DU$11&amp;"'!B:R"),15,FALSE),"")</f>
        <v/>
      </c>
      <c r="DV84" s="96">
        <f>IFERROR(VLOOKUP($B84,INDIRECT("'GRD-"&amp;DV$11&amp;"'!B:R"),15,FALSE),"")</f>
        <v/>
      </c>
      <c r="DW84" s="96">
        <f>IFERROR(VLOOKUP($B84,INDIRECT("'GRD-"&amp;DW$11&amp;"'!B:R"),15,FALSE),"")</f>
        <v/>
      </c>
      <c r="DX84" s="96">
        <f>IFERROR(VLOOKUP($B84,INDIRECT("'GRD-"&amp;DX$11&amp;"'!B:R"),15,FALSE),"")</f>
        <v/>
      </c>
      <c r="DY84" s="96">
        <f>IFERROR(VLOOKUP($B84,INDIRECT("'GRD-"&amp;DY$11&amp;"'!B:R"),15,FALSE),"")</f>
        <v/>
      </c>
      <c r="DZ84" s="96">
        <f>IFERROR(VLOOKUP($B84,INDIRECT("'GRD-"&amp;DZ$11&amp;"'!B:R"),15,FALSE),"")</f>
        <v/>
      </c>
      <c r="EA84" s="96">
        <f>IFERROR(VLOOKUP($B84,INDIRECT("'GRD-"&amp;EA$11&amp;"'!B:R"),15,FALSE),"")</f>
        <v/>
      </c>
      <c r="EB84" s="96">
        <f>IFERROR(VLOOKUP($B84,INDIRECT("'GRD-"&amp;EB$11&amp;"'!B:R"),15,FALSE),"")</f>
        <v/>
      </c>
      <c r="EC84" s="96">
        <f>IFERROR(VLOOKUP($B84,INDIRECT("'GRD-"&amp;EC$11&amp;"'!B:R"),15,FALSE),"")</f>
        <v/>
      </c>
      <c r="ED84" s="96">
        <f>IFERROR(VLOOKUP($B84,INDIRECT("'GRD-"&amp;ED$11&amp;"'!B:R"),15,FALSE),"")</f>
        <v/>
      </c>
      <c r="EE84" s="96">
        <f>IFERROR(VLOOKUP($B84,INDIRECT("'GRD-"&amp;EE$11&amp;"'!B:R"),15,FALSE),"")</f>
        <v/>
      </c>
      <c r="EF84" s="96">
        <f>IFERROR(VLOOKUP($B84,INDIRECT("'GRD-"&amp;EF$11&amp;"'!B:R"),15,FALSE),"")</f>
        <v/>
      </c>
      <c r="EG84" s="96">
        <f>IFERROR(VLOOKUP($B84,INDIRECT("'GRD-"&amp;EG$11&amp;"'!B:R"),15,FALSE),"")</f>
        <v/>
      </c>
      <c r="EH84" s="96">
        <f>IFERROR(VLOOKUP($B84,INDIRECT("'GRD-"&amp;EH$11&amp;"'!B:R"),15,FALSE),"")</f>
        <v/>
      </c>
      <c r="EI84" s="96">
        <f>IFERROR(VLOOKUP($B84,INDIRECT("'GRD-"&amp;EI$11&amp;"'!B:R"),15,FALSE),"")</f>
        <v/>
      </c>
      <c r="EJ84" s="96">
        <f>IFERROR(VLOOKUP($B84,INDIRECT("'GRD-"&amp;EJ$11&amp;"'!B:R"),15,FALSE),"")</f>
        <v/>
      </c>
      <c r="EK84" s="96">
        <f>IFERROR(VLOOKUP($B84,INDIRECT("'GRD-"&amp;EK$11&amp;"'!B:R"),15,FALSE),"")</f>
        <v/>
      </c>
      <c r="EL84" s="96">
        <f>IFERROR(VLOOKUP($B84,INDIRECT("'GRD-"&amp;EL$11&amp;"'!B:R"),15,FALSE),"")</f>
        <v/>
      </c>
      <c r="EM84" s="96">
        <f>IFERROR(VLOOKUP($B84,INDIRECT("'GRD-"&amp;EM$11&amp;"'!B:R"),15,FALSE),"")</f>
        <v/>
      </c>
      <c r="EN84" s="96">
        <f>IFERROR(VLOOKUP($B84,INDIRECT("'GRD-"&amp;EN$11&amp;"'!B:R"),15,FALSE),"")</f>
        <v/>
      </c>
      <c r="EO84" s="96">
        <f>IFERROR(VLOOKUP($B84,INDIRECT("'GRD-"&amp;EO$11&amp;"'!B:R"),15,FALSE),"")</f>
        <v/>
      </c>
      <c r="EP84" s="96">
        <f>IFERROR(VLOOKUP($B84,INDIRECT("'GRD-"&amp;EP$11&amp;"'!B:R"),15,FALSE),"")</f>
        <v/>
      </c>
      <c r="EQ84" s="96">
        <f>IFERROR(VLOOKUP($B84,INDIRECT("'GRD-"&amp;EQ$11&amp;"'!B:R"),15,FALSE),"")</f>
        <v/>
      </c>
      <c r="ER84" s="96">
        <f>IFERROR(VLOOKUP($B84,INDIRECT("'GRD-"&amp;ER$11&amp;"'!B:R"),15,FALSE),"")</f>
        <v/>
      </c>
      <c r="ES84" s="96">
        <f>IFERROR(VLOOKUP($B84,INDIRECT("'GRD-"&amp;ES$11&amp;"'!B:R"),15,FALSE),"")</f>
        <v/>
      </c>
      <c r="ET84" s="96">
        <f>IFERROR(VLOOKUP($B84,INDIRECT("'GRD-"&amp;ET$11&amp;"'!B:R"),15,FALSE),"")</f>
        <v/>
      </c>
      <c r="EU84" s="96">
        <f>IFERROR(VLOOKUP($B84,INDIRECT("'GRD-"&amp;EU$11&amp;"'!B:R"),15,FALSE),"")</f>
        <v/>
      </c>
      <c r="EV84" s="96">
        <f>IFERROR(VLOOKUP($B84,INDIRECT("'GRD-"&amp;EV$11&amp;"'!B:R"),15,FALSE),"")</f>
        <v/>
      </c>
      <c r="EW84" s="96">
        <f>IFERROR(VLOOKUP($B84,INDIRECT("'GRD-"&amp;EW$11&amp;"'!B:R"),15,FALSE),"")</f>
        <v/>
      </c>
      <c r="EX84" s="96">
        <f>IFERROR(VLOOKUP($B84,INDIRECT("'GRD-"&amp;EX$11&amp;"'!B:R"),15,FALSE),"")</f>
        <v/>
      </c>
      <c r="EY84" s="96">
        <f>IFERROR(VLOOKUP($B84,INDIRECT("'GRD-"&amp;EY$11&amp;"'!B:R"),15,FALSE),"")</f>
        <v/>
      </c>
      <c r="EZ84" s="96">
        <f>IFERROR(VLOOKUP($B84,INDIRECT("'GRD-"&amp;EZ$11&amp;"'!B:R"),15,FALSE),"")</f>
        <v/>
      </c>
      <c r="FA84" s="96">
        <f>IFERROR(VLOOKUP($B84,INDIRECT("'GRD-"&amp;FA$11&amp;"'!B:R"),15,FALSE),"")</f>
        <v/>
      </c>
      <c r="FB84" s="96">
        <f>IFERROR(VLOOKUP($B84,INDIRECT("'GRD-"&amp;FB$11&amp;"'!B:R"),15,FALSE),"")</f>
        <v/>
      </c>
      <c r="FC84" s="96">
        <f>IFERROR(VLOOKUP($B84,INDIRECT("'GRD-"&amp;FC$11&amp;"'!B:R"),15,FALSE),"")</f>
        <v/>
      </c>
      <c r="FD84" s="96">
        <f>IFERROR(VLOOKUP($B84,INDIRECT("'GRD-"&amp;FD$11&amp;"'!B:R"),15,FALSE),"")</f>
        <v/>
      </c>
      <c r="FE84" s="96">
        <f>IFERROR(VLOOKUP($B84,INDIRECT("'GRD-"&amp;FE$11&amp;"'!B:R"),15,FALSE),"")</f>
        <v/>
      </c>
      <c r="FF84" s="96">
        <f>IFERROR(VLOOKUP($B84,INDIRECT("'GRD-"&amp;FF$11&amp;"'!B:R"),15,FALSE),"")</f>
        <v/>
      </c>
      <c r="FG84" s="96">
        <f>IFERROR(VLOOKUP($B84,INDIRECT("'GRD-"&amp;FG$11&amp;"'!B:R"),15,FALSE),"")</f>
        <v/>
      </c>
      <c r="FH84" s="96">
        <f>IFERROR(VLOOKUP($B84,INDIRECT("'GRD-"&amp;FH$11&amp;"'!B:R"),15,FALSE),"")</f>
        <v/>
      </c>
      <c r="FI84" s="96">
        <f>IFERROR(VLOOKUP($B84,INDIRECT("'GRD-"&amp;FI$11&amp;"'!B:R"),15,FALSE),"")</f>
        <v/>
      </c>
      <c r="FJ84" s="96">
        <f>IFERROR(VLOOKUP($B84,INDIRECT("'GRD-"&amp;FJ$11&amp;"'!B:R"),15,FALSE),"")</f>
        <v/>
      </c>
      <c r="FK84" s="96">
        <f>IFERROR(VLOOKUP($B84,INDIRECT("'GRD-"&amp;FK$11&amp;"'!B:R"),15,FALSE),"")</f>
        <v/>
      </c>
      <c r="FL84" s="96">
        <f>IFERROR(VLOOKUP($B84,INDIRECT("'GRD-"&amp;FL$11&amp;"'!B:R"),15,FALSE),"")</f>
        <v/>
      </c>
      <c r="FM84" s="96">
        <f>IFERROR(VLOOKUP($B84,INDIRECT("'GRD-"&amp;FM$11&amp;"'!B:R"),15,FALSE),"")</f>
        <v/>
      </c>
      <c r="FN84" s="96">
        <f>IFERROR(VLOOKUP($B84,INDIRECT("'GRD-"&amp;FN$11&amp;"'!B:R"),15,FALSE),"")</f>
        <v/>
      </c>
      <c r="FO84" s="96">
        <f>IFERROR(VLOOKUP($B84,INDIRECT("'GRD-"&amp;FO$11&amp;"'!B:R"),15,FALSE),"")</f>
        <v/>
      </c>
      <c r="FP84" s="96">
        <f>IFERROR(VLOOKUP($B84,INDIRECT("'GRD-"&amp;FP$11&amp;"'!B:R"),15,FALSE),"")</f>
        <v/>
      </c>
      <c r="FQ84" s="96">
        <f>IFERROR(VLOOKUP($B84,INDIRECT("'GRD-"&amp;FQ$11&amp;"'!B:R"),15,FALSE),"")</f>
        <v/>
      </c>
      <c r="FR84" s="96">
        <f>IFERROR(VLOOKUP($B84,INDIRECT("'GRD-"&amp;FR$11&amp;"'!B:R"),15,FALSE),"")</f>
        <v/>
      </c>
      <c r="FS84" s="96">
        <f>IFERROR(VLOOKUP($B84,INDIRECT("'GRD-"&amp;FS$11&amp;"'!B:R"),15,FALSE),"")</f>
        <v/>
      </c>
      <c r="FT84" s="96">
        <f>IFERROR(VLOOKUP($B84,INDIRECT("'GRD-"&amp;FT$11&amp;"'!B:R"),15,FALSE),"")</f>
        <v/>
      </c>
      <c r="FU84" s="96">
        <f>IFERROR(VLOOKUP($B84,INDIRECT("'GRD-"&amp;FU$11&amp;"'!B:R"),15,FALSE),"")</f>
        <v/>
      </c>
      <c r="FV84" s="96">
        <f>IFERROR(VLOOKUP($B84,INDIRECT("'GRD-"&amp;FV$11&amp;"'!B:R"),15,FALSE),"")</f>
        <v/>
      </c>
    </row>
    <row r="85">
      <c r="B85" s="85" t="n"/>
      <c r="C85" s="93" t="n"/>
      <c r="D85" s="73">
        <f>IF(K85="","",MAX($CA85:$FV85))</f>
        <v/>
      </c>
      <c r="E85" s="74">
        <f t="array" ref="E85">IF($K85="","",OFFSET($A$1,ROW($B85)-1,11+$D85*4,))</f>
        <v/>
      </c>
      <c r="F85" s="74">
        <f t="array" ref="F85">IF($K85="","",OFFSET($A$1,ROW($B85)-1,12+$D85*4,))</f>
        <v/>
      </c>
      <c r="G85" s="118">
        <f t="array" ref="G85">IF($K85="","",OFFSET($A$1,ROW($B85)-1,13+$D85*4,))</f>
        <v/>
      </c>
      <c r="H85" s="81" t="n"/>
      <c r="I85" s="82" t="n"/>
      <c r="J85" s="75">
        <f>IF(I85="A4",H85/8,IF(I85="A3",H85/4,IF(I85="A2",H85/2,IF(I85="A1",H85/1,IF(I85="A0",H85*2,"")))))</f>
        <v/>
      </c>
      <c r="K85" s="68">
        <f t="array" ref="K85">IFERROR(OFFSET($BZ$11,ROW($B85)-11,MATCH(K$10,$CA85:$FV85,0),),"")</f>
        <v/>
      </c>
      <c r="L85" s="85">
        <f>IF(K85="","",IF(VLOOKUP($B85,INDIRECT("'GRD-"&amp;M85&amp;"'!$B:$R"),16,FALSE)="","",VLOOKUP($B85,INDIRECT("'GRD-"&amp;M85&amp;"'!$B:$R"),16,FALSE)))</f>
        <v/>
      </c>
      <c r="M85" s="130">
        <f t="array" ref="M85">IF(K85="","",IFERROR(OFFSET($BZ$11,0,MATCH($K85,$CA85:$FV85,0),),""))</f>
        <v/>
      </c>
      <c r="N85" s="119">
        <f t="array" ref="N85">IF(K85="","",INDIRECT("'GRD-"&amp;M85&amp;"'!$L$7"))</f>
        <v/>
      </c>
      <c r="O85" s="76">
        <f t="array" ref="O85">IFERROR(OFFSET($BZ$11,ROW($B85)-11,MATCH(O$10,$CA85:$FV85,0),),"")</f>
        <v/>
      </c>
      <c r="P85" s="76">
        <f>IF(O85="","",IF(VLOOKUP($B85,INDIRECT("'GRD-"&amp;Q85&amp;"'!$B:$R"),16,FALSE)="","",VLOOKUP($B85,INDIRECT("'GRD-"&amp;Q85&amp;"'!$B:$R"),16,FALSE)))</f>
        <v/>
      </c>
      <c r="Q85" s="132">
        <f t="array" ref="Q85">IF(O85="","",IFERROR(OFFSET($BZ$11,0,MATCH($O85,$CA85:$FV85,0),),""))</f>
        <v/>
      </c>
      <c r="R85" s="121">
        <f t="array" ref="R85">IF(O85="","",INDIRECT("'GRD-"&amp;Q85&amp;"'!$L$7"))</f>
        <v/>
      </c>
      <c r="S85" s="83">
        <f t="array" ref="S85">IFERROR(OFFSET($BZ$11,ROW($B85)-11,MATCH(S$10,$CA85:$FV85,0),),"")</f>
        <v/>
      </c>
      <c r="T85" s="83">
        <f>IF(S85="","",IF(VLOOKUP($B85,INDIRECT("'GRD-"&amp;U85&amp;"'!$B:$R"),16,FALSE)="","",VLOOKUP($B85,INDIRECT("'GRD-"&amp;U85&amp;"'!$B:$R"),16,FALSE)))</f>
        <v/>
      </c>
      <c r="U85" s="128">
        <f t="array" ref="U85">IF(S85="","",IFERROR(OFFSET($BZ$11,0,MATCH($S85,$CA85:$FV85,0),),""))</f>
        <v/>
      </c>
      <c r="V85" s="133">
        <f t="array" ref="V85">IF(S85="","",INDIRECT("'GRD-"&amp;U85&amp;"'!$L$7"))</f>
        <v/>
      </c>
      <c r="W85" s="84">
        <f t="array" ref="W85">IFERROR(OFFSET($BZ$11,ROW($B85)-11,MATCH(W$10,$CA85:$FV85,0),),"")</f>
        <v/>
      </c>
      <c r="X85" s="84">
        <f>IF(W85="","",IF(VLOOKUP($B85,INDIRECT("'GRD-"&amp;Y85&amp;"'!$B:$R"),16,FALSE)="","",VLOOKUP($B85,INDIRECT("'GRD-"&amp;Y85&amp;"'!$B:$R"),16,FALSE)))</f>
        <v/>
      </c>
      <c r="Y85" s="129">
        <f t="array" ref="Y85">IF(W85="","",IFERROR(OFFSET($BZ$11,0,MATCH($W85,$CA85:$FV85,0),),""))</f>
        <v/>
      </c>
      <c r="Z85" s="134">
        <f t="array" ref="Z85">IF(W85="","",INDIRECT("'GRD-"&amp;Y85&amp;"'!$L$7"))</f>
        <v/>
      </c>
      <c r="AA85" s="85">
        <f t="array" ref="AA85">IFERROR(OFFSET($BZ$11,ROW($B85)-11,MATCH(AA$10,$CA85:$FV85,0),),"")</f>
        <v/>
      </c>
      <c r="AB85" s="85">
        <f>IF(AA85="","",IF(VLOOKUP($B85,INDIRECT("'GRD-"&amp;AC85&amp;"'!$B:$R"),16,FALSE)="","",VLOOKUP($B85,INDIRECT("'GRD-"&amp;AC85&amp;"'!$B:$R"),16,FALSE)))</f>
        <v/>
      </c>
      <c r="AC85" s="130">
        <f t="array" ref="AC85">IF(AA85="","",IFERROR(OFFSET($BZ$11,0,MATCH($AA85,$CA85:$FV85,0),),""))</f>
        <v/>
      </c>
      <c r="AD85" s="131">
        <f t="array" ref="AD85">IF(AA85="","",INDIRECT("'GRD-"&amp;AC85&amp;"'!$L$7"))</f>
        <v/>
      </c>
      <c r="AE85" s="76">
        <f t="array" ref="AE85">IFERROR(OFFSET($BZ$11,ROW($B85)-11,MATCH(AE$10,$CA85:$FV85,0),),"")</f>
        <v/>
      </c>
      <c r="AF85" s="76">
        <f>IF(AE85="","",IF(VLOOKUP($B85,INDIRECT("'GRD-"&amp;AG85&amp;"'!$B:$R"),16,FALSE)="","",VLOOKUP($B85,INDIRECT("'GRD-"&amp;AG85&amp;"'!$B:$R"),16,FALSE)))</f>
        <v/>
      </c>
      <c r="AG85" s="132">
        <f t="array" ref="AG85">IF(AE85="","",IFERROR(OFFSET($BZ$11,0,MATCH($AE85,$CA85:$FV85,0),),""))</f>
        <v/>
      </c>
      <c r="AH85" s="121">
        <f t="array" ref="AH85">IF(AE85="","",INDIRECT("'GRD-"&amp;AG85&amp;"'!$L$7"))</f>
        <v/>
      </c>
      <c r="AI85" s="83">
        <f t="array" ref="AI85">IFERROR(OFFSET($BZ$11,ROW($B85)-11,MATCH(AI$10,$CA85:$FV85,0),),"")</f>
        <v/>
      </c>
      <c r="AJ85" s="83">
        <f>IF(AI85="","",IF(VLOOKUP($B85,INDIRECT("'GRD-"&amp;AK85&amp;"'!$B:$R"),16,FALSE)="","",VLOOKUP($B85,INDIRECT("'GRD-"&amp;AK85&amp;"'!$B:$R"),16,FALSE)))</f>
        <v/>
      </c>
      <c r="AK85" s="128">
        <f t="array" ref="AK85">IF(AI85="","",IFERROR(OFFSET($BZ$11,0,MATCH($AI85,$CA85:$FV85,0),),""))</f>
        <v/>
      </c>
      <c r="AL85" s="133">
        <f t="array" ref="AL85">IF(AI85="","",INDIRECT("'GRD-"&amp;AK85&amp;"'!$L$7"))</f>
        <v/>
      </c>
      <c r="AM85" s="84">
        <f t="array" ref="AM85">IFERROR(OFFSET($BZ$11,ROW($B85)-11,MATCH(AM$10,$CA85:$FV85,0),),"")</f>
        <v/>
      </c>
      <c r="AN85" s="84">
        <f>IF(AM85="","",IF(VLOOKUP($B85,INDIRECT("'GRD-"&amp;AO85&amp;"'!$B:$R"),16,FALSE)="","",VLOOKUP($B85,INDIRECT("'GRD-"&amp;AO85&amp;"'!$B:$R"),16,FALSE)))</f>
        <v/>
      </c>
      <c r="AO85" s="129">
        <f t="array" ref="AO85">IF(AM85="","",IFERROR(OFFSET($BZ$11,0,MATCH($AM85,$CA85:$FV85,0),),""))</f>
        <v/>
      </c>
      <c r="AP85" s="134">
        <f t="array" ref="AP85">IF(AM85="","",INDIRECT("'GRD-"&amp;AO85&amp;"'!$L$7"))</f>
        <v/>
      </c>
      <c r="AQ85" s="85">
        <f t="array" ref="AQ85">IFERROR(OFFSET($BZ$11,ROW($B85)-11,MATCH(AQ$10,$CA85:$FV85,0),),"")</f>
        <v/>
      </c>
      <c r="AR85" s="85">
        <f>IF(AQ85="","",IF(VLOOKUP($B85,INDIRECT("'GRD-"&amp;AS85&amp;"'!$B:$R"),16,FALSE)="","",VLOOKUP($B85,INDIRECT("'GRD-"&amp;AS85&amp;"'!$B:$R"),16,FALSE)))</f>
        <v/>
      </c>
      <c r="AS85" s="130">
        <f t="array" ref="AS85">IF(AQ85="","",IFERROR(OFFSET($BZ$11,0,MATCH($AQ85,$CA85:$FV85,0),),""))</f>
        <v/>
      </c>
      <c r="AT85" s="131">
        <f t="array" ref="AT85">IF(AQ85="","",INDIRECT("'GRD-"&amp;AS85&amp;"'!$L$7"))</f>
        <v/>
      </c>
      <c r="AU85" s="76">
        <f t="array" ref="AU85">IFERROR(OFFSET($BZ$11,ROW($B85)-11,MATCH(AU$10,$CA85:$FV85,0),),"")</f>
        <v/>
      </c>
      <c r="AV85" s="76">
        <f>IF(AU85="","",IF(VLOOKUP($B85,INDIRECT("'GRD-"&amp;AW85&amp;"'!$B:$R"),16,FALSE)="","",VLOOKUP($B85,INDIRECT("'GRD-"&amp;AW85&amp;"'!$B:$R"),16,FALSE)))</f>
        <v/>
      </c>
      <c r="AW85" s="132">
        <f t="array" ref="AW85">IF(AU85="","",IFERROR(OFFSET($BZ$11,0,MATCH($AU85,$CA85:$FV85,0),),""))</f>
        <v/>
      </c>
      <c r="AX85" s="121">
        <f t="array" ref="AX85">IF(AU85="","",INDIRECT("'GRD-"&amp;AW85&amp;"'!$L$7"))</f>
        <v/>
      </c>
      <c r="AY85" s="83">
        <f t="array" ref="AY85">IFERROR(OFFSET($BZ$11,ROW($B85)-11,MATCH(AY$10,$CA85:$FV85,0),),"")</f>
        <v/>
      </c>
      <c r="AZ85" s="83">
        <f>IF(AY85="","",IF(VLOOKUP($B85,INDIRECT("'GRD-"&amp;BA85&amp;"'!$B:$R"),16,FALSE)="","",VLOOKUP($B85,INDIRECT("'GRD-"&amp;BA85&amp;"'!$B:$R"),16,FALSE)))</f>
        <v/>
      </c>
      <c r="BA85" s="128">
        <f t="array" ref="BA85">IF(AY85="","",IFERROR(OFFSET($BZ$11,0,MATCH($AY85,$CA85:$FV85,0),),""))</f>
        <v/>
      </c>
      <c r="BB85" s="133">
        <f t="array" ref="BB85">IF(AY85="","",INDIRECT("'GRD-"&amp;BA85&amp;"'!$L$7"))</f>
        <v/>
      </c>
      <c r="BC85" s="84">
        <f t="array" ref="BC85">IFERROR(OFFSET($BZ$11,ROW($B85)-11,MATCH(BC$10,$CA85:$FV85,0),),"")</f>
        <v/>
      </c>
      <c r="BD85" s="84">
        <f>IF(BC85="","",IF(VLOOKUP($B85,INDIRECT("'GRD-"&amp;BE85&amp;"'!$B:$R"),16,FALSE)="","",VLOOKUP($B85,INDIRECT("'GRD-"&amp;BE85&amp;"'!$B:$R"),16,FALSE)))</f>
        <v/>
      </c>
      <c r="BE85" s="129">
        <f t="array" ref="BE85">IF(BC85="","",IFERROR(OFFSET($BZ$11,0,MATCH($BC85,$CA85:$FV85,0),),""))</f>
        <v/>
      </c>
      <c r="BF85" s="134">
        <f t="array" ref="BF85">IF(BC85="","",INDIRECT("'GRD-"&amp;BE85&amp;"'!$L$7"))</f>
        <v/>
      </c>
      <c r="CA85" s="96">
        <f>IFERROR(VLOOKUP($B85,INDIRECT("'GRD-"&amp;CA$11&amp;"'!B:R"),15,FALSE),"")</f>
        <v/>
      </c>
      <c r="CB85" s="96">
        <f>IFERROR(VLOOKUP($B85,INDIRECT("'GRD-"&amp;CB$11&amp;"'!B:R"),15,FALSE),"")</f>
        <v/>
      </c>
      <c r="CC85" s="96">
        <f>IFERROR(VLOOKUP($B85,INDIRECT("'GRD-"&amp;CC$11&amp;"'!B:R"),15,FALSE),"")</f>
        <v/>
      </c>
      <c r="CD85" s="96">
        <f>IFERROR(VLOOKUP($B85,INDIRECT("'GRD-"&amp;CD$11&amp;"'!B:R"),15,FALSE),"")</f>
        <v/>
      </c>
      <c r="CE85" s="96">
        <f>IFERROR(VLOOKUP($B85,INDIRECT("'GRD-"&amp;CE$11&amp;"'!B:R"),15,FALSE),"")</f>
        <v/>
      </c>
      <c r="CF85" s="96">
        <f>IFERROR(VLOOKUP($B85,INDIRECT("'GRD-"&amp;CF$11&amp;"'!B:R"),15,FALSE),"")</f>
        <v/>
      </c>
      <c r="CG85" s="96">
        <f>IFERROR(VLOOKUP($B85,INDIRECT("'GRD-"&amp;CG$11&amp;"'!B:R"),15,FALSE),"")</f>
        <v/>
      </c>
      <c r="CH85" s="96">
        <f>IFERROR(VLOOKUP($B85,INDIRECT("'GRD-"&amp;CH$11&amp;"'!B:R"),15,FALSE),"")</f>
        <v/>
      </c>
      <c r="CI85" s="96">
        <f>IFERROR(VLOOKUP($B85,INDIRECT("'GRD-"&amp;CI$11&amp;"'!B:R"),15,FALSE),"")</f>
        <v/>
      </c>
      <c r="CJ85" s="96">
        <f>IFERROR(VLOOKUP($B85,INDIRECT("'GRD-"&amp;CJ$11&amp;"'!B:R"),15,FALSE),"")</f>
        <v/>
      </c>
      <c r="CK85" s="96">
        <f>IFERROR(VLOOKUP($B85,INDIRECT("'GRD-"&amp;CK$11&amp;"'!B:R"),15,FALSE),"")</f>
        <v/>
      </c>
      <c r="CL85" s="96">
        <f>IFERROR(VLOOKUP($B85,INDIRECT("'GRD-"&amp;CL$11&amp;"'!B:R"),15,FALSE),"")</f>
        <v/>
      </c>
      <c r="CM85" s="96">
        <f>IFERROR(VLOOKUP($B85,INDIRECT("'GRD-"&amp;CM$11&amp;"'!B:R"),15,FALSE),"")</f>
        <v/>
      </c>
      <c r="CN85" s="96">
        <f>IFERROR(VLOOKUP($B85,INDIRECT("'GRD-"&amp;CN$11&amp;"'!B:R"),15,FALSE),"")</f>
        <v/>
      </c>
      <c r="CO85" s="96">
        <f>IFERROR(VLOOKUP($B85,INDIRECT("'GRD-"&amp;CO$11&amp;"'!B:R"),15,FALSE),"")</f>
        <v/>
      </c>
      <c r="CP85" s="96">
        <f>IFERROR(VLOOKUP($B85,INDIRECT("'GRD-"&amp;CP$11&amp;"'!B:R"),15,FALSE),"")</f>
        <v/>
      </c>
      <c r="CQ85" s="96">
        <f>IFERROR(VLOOKUP($B85,INDIRECT("'GRD-"&amp;CQ$11&amp;"'!B:R"),15,FALSE),"")</f>
        <v/>
      </c>
      <c r="CR85" s="96">
        <f>IFERROR(VLOOKUP($B85,INDIRECT("'GRD-"&amp;CR$11&amp;"'!B:R"),15,FALSE),"")</f>
        <v/>
      </c>
      <c r="CS85" s="96">
        <f>IFERROR(VLOOKUP($B85,INDIRECT("'GRD-"&amp;CS$11&amp;"'!B:R"),15,FALSE),"")</f>
        <v/>
      </c>
      <c r="CT85" s="96">
        <f>IFERROR(VLOOKUP($B85,INDIRECT("'GRD-"&amp;CT$11&amp;"'!B:R"),15,FALSE),"")</f>
        <v/>
      </c>
      <c r="CU85" s="96">
        <f>IFERROR(VLOOKUP($B85,INDIRECT("'GRD-"&amp;CU$11&amp;"'!B:R"),15,FALSE),"")</f>
        <v/>
      </c>
      <c r="CV85" s="96">
        <f>IFERROR(VLOOKUP($B85,INDIRECT("'GRD-"&amp;CV$11&amp;"'!B:R"),15,FALSE),"")</f>
        <v/>
      </c>
      <c r="CW85" s="96">
        <f>IFERROR(VLOOKUP($B85,INDIRECT("'GRD-"&amp;CW$11&amp;"'!B:R"),15,FALSE),"")</f>
        <v/>
      </c>
      <c r="CX85" s="96">
        <f>IFERROR(VLOOKUP($B85,INDIRECT("'GRD-"&amp;CX$11&amp;"'!B:R"),15,FALSE),"")</f>
        <v/>
      </c>
      <c r="CY85" s="96">
        <f>IFERROR(VLOOKUP($B85,INDIRECT("'GRD-"&amp;CY$11&amp;"'!B:R"),15,FALSE),"")</f>
        <v/>
      </c>
      <c r="CZ85" s="96">
        <f>IFERROR(VLOOKUP($B85,INDIRECT("'GRD-"&amp;CZ$11&amp;"'!B:R"),15,FALSE),"")</f>
        <v/>
      </c>
      <c r="DA85" s="96">
        <f>IFERROR(VLOOKUP($B85,INDIRECT("'GRD-"&amp;DA$11&amp;"'!B:R"),15,FALSE),"")</f>
        <v/>
      </c>
      <c r="DB85" s="96">
        <f>IFERROR(VLOOKUP($B85,INDIRECT("'GRD-"&amp;DB$11&amp;"'!B:R"),15,FALSE),"")</f>
        <v/>
      </c>
      <c r="DC85" s="96">
        <f>IFERROR(VLOOKUP($B85,INDIRECT("'GRD-"&amp;DC$11&amp;"'!B:R"),15,FALSE),"")</f>
        <v/>
      </c>
      <c r="DD85" s="96">
        <f>IFERROR(VLOOKUP($B85,INDIRECT("'GRD-"&amp;DD$11&amp;"'!B:R"),15,FALSE),"")</f>
        <v/>
      </c>
      <c r="DE85" s="96">
        <f>IFERROR(VLOOKUP($B85,INDIRECT("'GRD-"&amp;DE$11&amp;"'!B:R"),15,FALSE),"")</f>
        <v/>
      </c>
      <c r="DF85" s="96">
        <f>IFERROR(VLOOKUP($B85,INDIRECT("'GRD-"&amp;DF$11&amp;"'!B:R"),15,FALSE),"")</f>
        <v/>
      </c>
      <c r="DG85" s="96">
        <f>IFERROR(VLOOKUP($B85,INDIRECT("'GRD-"&amp;DG$11&amp;"'!B:R"),15,FALSE),"")</f>
        <v/>
      </c>
      <c r="DH85" s="96">
        <f>IFERROR(VLOOKUP($B85,INDIRECT("'GRD-"&amp;DH$11&amp;"'!B:R"),15,FALSE),"")</f>
        <v/>
      </c>
      <c r="DI85" s="96">
        <f>IFERROR(VLOOKUP($B85,INDIRECT("'GRD-"&amp;DI$11&amp;"'!B:R"),15,FALSE),"")</f>
        <v/>
      </c>
      <c r="DJ85" s="96">
        <f>IFERROR(VLOOKUP($B85,INDIRECT("'GRD-"&amp;DJ$11&amp;"'!B:R"),15,FALSE),"")</f>
        <v/>
      </c>
      <c r="DK85" s="96">
        <f>IFERROR(VLOOKUP($B85,INDIRECT("'GRD-"&amp;DK$11&amp;"'!B:R"),15,FALSE),"")</f>
        <v/>
      </c>
      <c r="DL85" s="96">
        <f>IFERROR(VLOOKUP($B85,INDIRECT("'GRD-"&amp;DL$11&amp;"'!B:R"),15,FALSE),"")</f>
        <v/>
      </c>
      <c r="DM85" s="96">
        <f>IFERROR(VLOOKUP($B85,INDIRECT("'GRD-"&amp;DM$11&amp;"'!B:R"),15,FALSE),"")</f>
        <v/>
      </c>
      <c r="DN85" s="96">
        <f>IFERROR(VLOOKUP($B85,INDIRECT("'GRD-"&amp;DN$11&amp;"'!B:R"),15,FALSE),"")</f>
        <v/>
      </c>
      <c r="DO85" s="96">
        <f>IFERROR(VLOOKUP($B85,INDIRECT("'GRD-"&amp;DO$11&amp;"'!B:R"),15,FALSE),"")</f>
        <v/>
      </c>
      <c r="DP85" s="96">
        <f>IFERROR(VLOOKUP($B85,INDIRECT("'GRD-"&amp;DP$11&amp;"'!B:R"),15,FALSE),"")</f>
        <v/>
      </c>
      <c r="DQ85" s="96">
        <f>IFERROR(VLOOKUP($B85,INDIRECT("'GRD-"&amp;DQ$11&amp;"'!B:R"),15,FALSE),"")</f>
        <v/>
      </c>
      <c r="DR85" s="96">
        <f>IFERROR(VLOOKUP($B85,INDIRECT("'GRD-"&amp;DR$11&amp;"'!B:R"),15,FALSE),"")</f>
        <v/>
      </c>
      <c r="DS85" s="96">
        <f>IFERROR(VLOOKUP($B85,INDIRECT("'GRD-"&amp;DS$11&amp;"'!B:R"),15,FALSE),"")</f>
        <v/>
      </c>
      <c r="DT85" s="96">
        <f>IFERROR(VLOOKUP($B85,INDIRECT("'GRD-"&amp;DT$11&amp;"'!B:R"),15,FALSE),"")</f>
        <v/>
      </c>
      <c r="DU85" s="96">
        <f>IFERROR(VLOOKUP($B85,INDIRECT("'GRD-"&amp;DU$11&amp;"'!B:R"),15,FALSE),"")</f>
        <v/>
      </c>
      <c r="DV85" s="96">
        <f>IFERROR(VLOOKUP($B85,INDIRECT("'GRD-"&amp;DV$11&amp;"'!B:R"),15,FALSE),"")</f>
        <v/>
      </c>
      <c r="DW85" s="96">
        <f>IFERROR(VLOOKUP($B85,INDIRECT("'GRD-"&amp;DW$11&amp;"'!B:R"),15,FALSE),"")</f>
        <v/>
      </c>
      <c r="DX85" s="96">
        <f>IFERROR(VLOOKUP($B85,INDIRECT("'GRD-"&amp;DX$11&amp;"'!B:R"),15,FALSE),"")</f>
        <v/>
      </c>
      <c r="DY85" s="96">
        <f>IFERROR(VLOOKUP($B85,INDIRECT("'GRD-"&amp;DY$11&amp;"'!B:R"),15,FALSE),"")</f>
        <v/>
      </c>
      <c r="DZ85" s="96">
        <f>IFERROR(VLOOKUP($B85,INDIRECT("'GRD-"&amp;DZ$11&amp;"'!B:R"),15,FALSE),"")</f>
        <v/>
      </c>
      <c r="EA85" s="96">
        <f>IFERROR(VLOOKUP($B85,INDIRECT("'GRD-"&amp;EA$11&amp;"'!B:R"),15,FALSE),"")</f>
        <v/>
      </c>
      <c r="EB85" s="96">
        <f>IFERROR(VLOOKUP($B85,INDIRECT("'GRD-"&amp;EB$11&amp;"'!B:R"),15,FALSE),"")</f>
        <v/>
      </c>
      <c r="EC85" s="96">
        <f>IFERROR(VLOOKUP($B85,INDIRECT("'GRD-"&amp;EC$11&amp;"'!B:R"),15,FALSE),"")</f>
        <v/>
      </c>
      <c r="ED85" s="96">
        <f>IFERROR(VLOOKUP($B85,INDIRECT("'GRD-"&amp;ED$11&amp;"'!B:R"),15,FALSE),"")</f>
        <v/>
      </c>
      <c r="EE85" s="96">
        <f>IFERROR(VLOOKUP($B85,INDIRECT("'GRD-"&amp;EE$11&amp;"'!B:R"),15,FALSE),"")</f>
        <v/>
      </c>
      <c r="EF85" s="96">
        <f>IFERROR(VLOOKUP($B85,INDIRECT("'GRD-"&amp;EF$11&amp;"'!B:R"),15,FALSE),"")</f>
        <v/>
      </c>
      <c r="EG85" s="96">
        <f>IFERROR(VLOOKUP($B85,INDIRECT("'GRD-"&amp;EG$11&amp;"'!B:R"),15,FALSE),"")</f>
        <v/>
      </c>
      <c r="EH85" s="96">
        <f>IFERROR(VLOOKUP($B85,INDIRECT("'GRD-"&amp;EH$11&amp;"'!B:R"),15,FALSE),"")</f>
        <v/>
      </c>
      <c r="EI85" s="96">
        <f>IFERROR(VLOOKUP($B85,INDIRECT("'GRD-"&amp;EI$11&amp;"'!B:R"),15,FALSE),"")</f>
        <v/>
      </c>
      <c r="EJ85" s="96">
        <f>IFERROR(VLOOKUP($B85,INDIRECT("'GRD-"&amp;EJ$11&amp;"'!B:R"),15,FALSE),"")</f>
        <v/>
      </c>
      <c r="EK85" s="96">
        <f>IFERROR(VLOOKUP($B85,INDIRECT("'GRD-"&amp;EK$11&amp;"'!B:R"),15,FALSE),"")</f>
        <v/>
      </c>
      <c r="EL85" s="96">
        <f>IFERROR(VLOOKUP($B85,INDIRECT("'GRD-"&amp;EL$11&amp;"'!B:R"),15,FALSE),"")</f>
        <v/>
      </c>
      <c r="EM85" s="96">
        <f>IFERROR(VLOOKUP($B85,INDIRECT("'GRD-"&amp;EM$11&amp;"'!B:R"),15,FALSE),"")</f>
        <v/>
      </c>
      <c r="EN85" s="96">
        <f>IFERROR(VLOOKUP($B85,INDIRECT("'GRD-"&amp;EN$11&amp;"'!B:R"),15,FALSE),"")</f>
        <v/>
      </c>
      <c r="EO85" s="96">
        <f>IFERROR(VLOOKUP($B85,INDIRECT("'GRD-"&amp;EO$11&amp;"'!B:R"),15,FALSE),"")</f>
        <v/>
      </c>
      <c r="EP85" s="96">
        <f>IFERROR(VLOOKUP($B85,INDIRECT("'GRD-"&amp;EP$11&amp;"'!B:R"),15,FALSE),"")</f>
        <v/>
      </c>
      <c r="EQ85" s="96">
        <f>IFERROR(VLOOKUP($B85,INDIRECT("'GRD-"&amp;EQ$11&amp;"'!B:R"),15,FALSE),"")</f>
        <v/>
      </c>
      <c r="ER85" s="96">
        <f>IFERROR(VLOOKUP($B85,INDIRECT("'GRD-"&amp;ER$11&amp;"'!B:R"),15,FALSE),"")</f>
        <v/>
      </c>
      <c r="ES85" s="96">
        <f>IFERROR(VLOOKUP($B85,INDIRECT("'GRD-"&amp;ES$11&amp;"'!B:R"),15,FALSE),"")</f>
        <v/>
      </c>
      <c r="ET85" s="96">
        <f>IFERROR(VLOOKUP($B85,INDIRECT("'GRD-"&amp;ET$11&amp;"'!B:R"),15,FALSE),"")</f>
        <v/>
      </c>
      <c r="EU85" s="96">
        <f>IFERROR(VLOOKUP($B85,INDIRECT("'GRD-"&amp;EU$11&amp;"'!B:R"),15,FALSE),"")</f>
        <v/>
      </c>
      <c r="EV85" s="96">
        <f>IFERROR(VLOOKUP($B85,INDIRECT("'GRD-"&amp;EV$11&amp;"'!B:R"),15,FALSE),"")</f>
        <v/>
      </c>
      <c r="EW85" s="96">
        <f>IFERROR(VLOOKUP($B85,INDIRECT("'GRD-"&amp;EW$11&amp;"'!B:R"),15,FALSE),"")</f>
        <v/>
      </c>
      <c r="EX85" s="96">
        <f>IFERROR(VLOOKUP($B85,INDIRECT("'GRD-"&amp;EX$11&amp;"'!B:R"),15,FALSE),"")</f>
        <v/>
      </c>
      <c r="EY85" s="96">
        <f>IFERROR(VLOOKUP($B85,INDIRECT("'GRD-"&amp;EY$11&amp;"'!B:R"),15,FALSE),"")</f>
        <v/>
      </c>
      <c r="EZ85" s="96">
        <f>IFERROR(VLOOKUP($B85,INDIRECT("'GRD-"&amp;EZ$11&amp;"'!B:R"),15,FALSE),"")</f>
        <v/>
      </c>
      <c r="FA85" s="96">
        <f>IFERROR(VLOOKUP($B85,INDIRECT("'GRD-"&amp;FA$11&amp;"'!B:R"),15,FALSE),"")</f>
        <v/>
      </c>
      <c r="FB85" s="96">
        <f>IFERROR(VLOOKUP($B85,INDIRECT("'GRD-"&amp;FB$11&amp;"'!B:R"),15,FALSE),"")</f>
        <v/>
      </c>
      <c r="FC85" s="96">
        <f>IFERROR(VLOOKUP($B85,INDIRECT("'GRD-"&amp;FC$11&amp;"'!B:R"),15,FALSE),"")</f>
        <v/>
      </c>
      <c r="FD85" s="96">
        <f>IFERROR(VLOOKUP($B85,INDIRECT("'GRD-"&amp;FD$11&amp;"'!B:R"),15,FALSE),"")</f>
        <v/>
      </c>
      <c r="FE85" s="96">
        <f>IFERROR(VLOOKUP($B85,INDIRECT("'GRD-"&amp;FE$11&amp;"'!B:R"),15,FALSE),"")</f>
        <v/>
      </c>
      <c r="FF85" s="96">
        <f>IFERROR(VLOOKUP($B85,INDIRECT("'GRD-"&amp;FF$11&amp;"'!B:R"),15,FALSE),"")</f>
        <v/>
      </c>
      <c r="FG85" s="96">
        <f>IFERROR(VLOOKUP($B85,INDIRECT("'GRD-"&amp;FG$11&amp;"'!B:R"),15,FALSE),"")</f>
        <v/>
      </c>
      <c r="FH85" s="96">
        <f>IFERROR(VLOOKUP($B85,INDIRECT("'GRD-"&amp;FH$11&amp;"'!B:R"),15,FALSE),"")</f>
        <v/>
      </c>
      <c r="FI85" s="96">
        <f>IFERROR(VLOOKUP($B85,INDIRECT("'GRD-"&amp;FI$11&amp;"'!B:R"),15,FALSE),"")</f>
        <v/>
      </c>
      <c r="FJ85" s="96">
        <f>IFERROR(VLOOKUP($B85,INDIRECT("'GRD-"&amp;FJ$11&amp;"'!B:R"),15,FALSE),"")</f>
        <v/>
      </c>
      <c r="FK85" s="96">
        <f>IFERROR(VLOOKUP($B85,INDIRECT("'GRD-"&amp;FK$11&amp;"'!B:R"),15,FALSE),"")</f>
        <v/>
      </c>
      <c r="FL85" s="96">
        <f>IFERROR(VLOOKUP($B85,INDIRECT("'GRD-"&amp;FL$11&amp;"'!B:R"),15,FALSE),"")</f>
        <v/>
      </c>
      <c r="FM85" s="96">
        <f>IFERROR(VLOOKUP($B85,INDIRECT("'GRD-"&amp;FM$11&amp;"'!B:R"),15,FALSE),"")</f>
        <v/>
      </c>
      <c r="FN85" s="96">
        <f>IFERROR(VLOOKUP($B85,INDIRECT("'GRD-"&amp;FN$11&amp;"'!B:R"),15,FALSE),"")</f>
        <v/>
      </c>
      <c r="FO85" s="96">
        <f>IFERROR(VLOOKUP($B85,INDIRECT("'GRD-"&amp;FO$11&amp;"'!B:R"),15,FALSE),"")</f>
        <v/>
      </c>
      <c r="FP85" s="96">
        <f>IFERROR(VLOOKUP($B85,INDIRECT("'GRD-"&amp;FP$11&amp;"'!B:R"),15,FALSE),"")</f>
        <v/>
      </c>
      <c r="FQ85" s="96">
        <f>IFERROR(VLOOKUP($B85,INDIRECT("'GRD-"&amp;FQ$11&amp;"'!B:R"),15,FALSE),"")</f>
        <v/>
      </c>
      <c r="FR85" s="96">
        <f>IFERROR(VLOOKUP($B85,INDIRECT("'GRD-"&amp;FR$11&amp;"'!B:R"),15,FALSE),"")</f>
        <v/>
      </c>
      <c r="FS85" s="96">
        <f>IFERROR(VLOOKUP($B85,INDIRECT("'GRD-"&amp;FS$11&amp;"'!B:R"),15,FALSE),"")</f>
        <v/>
      </c>
      <c r="FT85" s="96">
        <f>IFERROR(VLOOKUP($B85,INDIRECT("'GRD-"&amp;FT$11&amp;"'!B:R"),15,FALSE),"")</f>
        <v/>
      </c>
      <c r="FU85" s="96">
        <f>IFERROR(VLOOKUP($B85,INDIRECT("'GRD-"&amp;FU$11&amp;"'!B:R"),15,FALSE),"")</f>
        <v/>
      </c>
      <c r="FV85" s="96">
        <f>IFERROR(VLOOKUP($B85,INDIRECT("'GRD-"&amp;FV$11&amp;"'!B:R"),15,FALSE),"")</f>
        <v/>
      </c>
    </row>
    <row r="86">
      <c r="B86" s="85" t="n"/>
      <c r="C86" s="93" t="n"/>
      <c r="D86" s="73">
        <f>IF(K86="","",MAX($CA86:$FV86))</f>
        <v/>
      </c>
      <c r="E86" s="74">
        <f t="array" ref="E86">IF($K86="","",OFFSET($A$1,ROW($B86)-1,11+$D86*4,))</f>
        <v/>
      </c>
      <c r="F86" s="74">
        <f t="array" ref="F86">IF($K86="","",OFFSET($A$1,ROW($B86)-1,12+$D86*4,))</f>
        <v/>
      </c>
      <c r="G86" s="118">
        <f t="array" ref="G86">IF($K86="","",OFFSET($A$1,ROW($B86)-1,13+$D86*4,))</f>
        <v/>
      </c>
      <c r="H86" s="81" t="n"/>
      <c r="I86" s="82" t="n"/>
      <c r="J86" s="75">
        <f>IF(I86="A4",H86/8,IF(I86="A3",H86/4,IF(I86="A2",H86/2,IF(I86="A1",H86/1,IF(I86="A0",H86*2,"")))))</f>
        <v/>
      </c>
      <c r="K86" s="68">
        <f t="array" ref="K86">IFERROR(OFFSET($BZ$11,ROW($B86)-11,MATCH(K$10,$CA86:$FV86,0),),"")</f>
        <v/>
      </c>
      <c r="L86" s="85">
        <f>IF(K86="","",IF(VLOOKUP($B86,INDIRECT("'GRD-"&amp;M86&amp;"'!$B:$R"),16,FALSE)="","",VLOOKUP($B86,INDIRECT("'GRD-"&amp;M86&amp;"'!$B:$R"),16,FALSE)))</f>
        <v/>
      </c>
      <c r="M86" s="130">
        <f t="array" ref="M86">IF(K86="","",IFERROR(OFFSET($BZ$11,0,MATCH($K86,$CA86:$FV86,0),),""))</f>
        <v/>
      </c>
      <c r="N86" s="119">
        <f t="array" ref="N86">IF(K86="","",INDIRECT("'GRD-"&amp;M86&amp;"'!$L$7"))</f>
        <v/>
      </c>
      <c r="O86" s="76">
        <f t="array" ref="O86">IFERROR(OFFSET($BZ$11,ROW($B86)-11,MATCH(O$10,$CA86:$FV86,0),),"")</f>
        <v/>
      </c>
      <c r="P86" s="76">
        <f>IF(O86="","",IF(VLOOKUP($B86,INDIRECT("'GRD-"&amp;Q86&amp;"'!$B:$R"),16,FALSE)="","",VLOOKUP($B86,INDIRECT("'GRD-"&amp;Q86&amp;"'!$B:$R"),16,FALSE)))</f>
        <v/>
      </c>
      <c r="Q86" s="132">
        <f t="array" ref="Q86">IF(O86="","",IFERROR(OFFSET($BZ$11,0,MATCH($O86,$CA86:$FV86,0),),""))</f>
        <v/>
      </c>
      <c r="R86" s="121">
        <f t="array" ref="R86">IF(O86="","",INDIRECT("'GRD-"&amp;Q86&amp;"'!$L$7"))</f>
        <v/>
      </c>
      <c r="S86" s="83">
        <f t="array" ref="S86">IFERROR(OFFSET($BZ$11,ROW($B86)-11,MATCH(S$10,$CA86:$FV86,0),),"")</f>
        <v/>
      </c>
      <c r="T86" s="83">
        <f>IF(S86="","",IF(VLOOKUP($B86,INDIRECT("'GRD-"&amp;U86&amp;"'!$B:$R"),16,FALSE)="","",VLOOKUP($B86,INDIRECT("'GRD-"&amp;U86&amp;"'!$B:$R"),16,FALSE)))</f>
        <v/>
      </c>
      <c r="U86" s="128">
        <f t="array" ref="U86">IF(S86="","",IFERROR(OFFSET($BZ$11,0,MATCH($S86,$CA86:$FV86,0),),""))</f>
        <v/>
      </c>
      <c r="V86" s="133">
        <f t="array" ref="V86">IF(S86="","",INDIRECT("'GRD-"&amp;U86&amp;"'!$L$7"))</f>
        <v/>
      </c>
      <c r="W86" s="84">
        <f t="array" ref="W86">IFERROR(OFFSET($BZ$11,ROW($B86)-11,MATCH(W$10,$CA86:$FV86,0),),"")</f>
        <v/>
      </c>
      <c r="X86" s="84">
        <f>IF(W86="","",IF(VLOOKUP($B86,INDIRECT("'GRD-"&amp;Y86&amp;"'!$B:$R"),16,FALSE)="","",VLOOKUP($B86,INDIRECT("'GRD-"&amp;Y86&amp;"'!$B:$R"),16,FALSE)))</f>
        <v/>
      </c>
      <c r="Y86" s="129">
        <f t="array" ref="Y86">IF(W86="","",IFERROR(OFFSET($BZ$11,0,MATCH($W86,$CA86:$FV86,0),),""))</f>
        <v/>
      </c>
      <c r="Z86" s="134">
        <f t="array" ref="Z86">IF(W86="","",INDIRECT("'GRD-"&amp;Y86&amp;"'!$L$7"))</f>
        <v/>
      </c>
      <c r="AA86" s="85">
        <f t="array" ref="AA86">IFERROR(OFFSET($BZ$11,ROW($B86)-11,MATCH(AA$10,$CA86:$FV86,0),),"")</f>
        <v/>
      </c>
      <c r="AB86" s="85">
        <f>IF(AA86="","",IF(VLOOKUP($B86,INDIRECT("'GRD-"&amp;AC86&amp;"'!$B:$R"),16,FALSE)="","",VLOOKUP($B86,INDIRECT("'GRD-"&amp;AC86&amp;"'!$B:$R"),16,FALSE)))</f>
        <v/>
      </c>
      <c r="AC86" s="130">
        <f t="array" ref="AC86">IF(AA86="","",IFERROR(OFFSET($BZ$11,0,MATCH($AA86,$CA86:$FV86,0),),""))</f>
        <v/>
      </c>
      <c r="AD86" s="131">
        <f t="array" ref="AD86">IF(AA86="","",INDIRECT("'GRD-"&amp;AC86&amp;"'!$L$7"))</f>
        <v/>
      </c>
      <c r="AE86" s="76">
        <f t="array" ref="AE86">IFERROR(OFFSET($BZ$11,ROW($B86)-11,MATCH(AE$10,$CA86:$FV86,0),),"")</f>
        <v/>
      </c>
      <c r="AF86" s="76">
        <f>IF(AE86="","",IF(VLOOKUP($B86,INDIRECT("'GRD-"&amp;AG86&amp;"'!$B:$R"),16,FALSE)="","",VLOOKUP($B86,INDIRECT("'GRD-"&amp;AG86&amp;"'!$B:$R"),16,FALSE)))</f>
        <v/>
      </c>
      <c r="AG86" s="132">
        <f t="array" ref="AG86">IF(AE86="","",IFERROR(OFFSET($BZ$11,0,MATCH($AE86,$CA86:$FV86,0),),""))</f>
        <v/>
      </c>
      <c r="AH86" s="121">
        <f t="array" ref="AH86">IF(AE86="","",INDIRECT("'GRD-"&amp;AG86&amp;"'!$L$7"))</f>
        <v/>
      </c>
      <c r="AI86" s="83">
        <f t="array" ref="AI86">IFERROR(OFFSET($BZ$11,ROW($B86)-11,MATCH(AI$10,$CA86:$FV86,0),),"")</f>
        <v/>
      </c>
      <c r="AJ86" s="83">
        <f>IF(AI86="","",IF(VLOOKUP($B86,INDIRECT("'GRD-"&amp;AK86&amp;"'!$B:$R"),16,FALSE)="","",VLOOKUP($B86,INDIRECT("'GRD-"&amp;AK86&amp;"'!$B:$R"),16,FALSE)))</f>
        <v/>
      </c>
      <c r="AK86" s="128">
        <f t="array" ref="AK86">IF(AI86="","",IFERROR(OFFSET($BZ$11,0,MATCH($AI86,$CA86:$FV86,0),),""))</f>
        <v/>
      </c>
      <c r="AL86" s="133">
        <f t="array" ref="AL86">IF(AI86="","",INDIRECT("'GRD-"&amp;AK86&amp;"'!$L$7"))</f>
        <v/>
      </c>
      <c r="AM86" s="84">
        <f t="array" ref="AM86">IFERROR(OFFSET($BZ$11,ROW($B86)-11,MATCH(AM$10,$CA86:$FV86,0),),"")</f>
        <v/>
      </c>
      <c r="AN86" s="84">
        <f>IF(AM86="","",IF(VLOOKUP($B86,INDIRECT("'GRD-"&amp;AO86&amp;"'!$B:$R"),16,FALSE)="","",VLOOKUP($B86,INDIRECT("'GRD-"&amp;AO86&amp;"'!$B:$R"),16,FALSE)))</f>
        <v/>
      </c>
      <c r="AO86" s="129">
        <f t="array" ref="AO86">IF(AM86="","",IFERROR(OFFSET($BZ$11,0,MATCH($AM86,$CA86:$FV86,0),),""))</f>
        <v/>
      </c>
      <c r="AP86" s="134">
        <f t="array" ref="AP86">IF(AM86="","",INDIRECT("'GRD-"&amp;AO86&amp;"'!$L$7"))</f>
        <v/>
      </c>
      <c r="AQ86" s="85">
        <f t="array" ref="AQ86">IFERROR(OFFSET($BZ$11,ROW($B86)-11,MATCH(AQ$10,$CA86:$FV86,0),),"")</f>
        <v/>
      </c>
      <c r="AR86" s="85">
        <f>IF(AQ86="","",IF(VLOOKUP($B86,INDIRECT("'GRD-"&amp;AS86&amp;"'!$B:$R"),16,FALSE)="","",VLOOKUP($B86,INDIRECT("'GRD-"&amp;AS86&amp;"'!$B:$R"),16,FALSE)))</f>
        <v/>
      </c>
      <c r="AS86" s="130">
        <f t="array" ref="AS86">IF(AQ86="","",IFERROR(OFFSET($BZ$11,0,MATCH($AQ86,$CA86:$FV86,0),),""))</f>
        <v/>
      </c>
      <c r="AT86" s="131">
        <f t="array" ref="AT86">IF(AQ86="","",INDIRECT("'GRD-"&amp;AS86&amp;"'!$L$7"))</f>
        <v/>
      </c>
      <c r="AU86" s="76">
        <f t="array" ref="AU86">IFERROR(OFFSET($BZ$11,ROW($B86)-11,MATCH(AU$10,$CA86:$FV86,0),),"")</f>
        <v/>
      </c>
      <c r="AV86" s="76">
        <f>IF(AU86="","",IF(VLOOKUP($B86,INDIRECT("'GRD-"&amp;AW86&amp;"'!$B:$R"),16,FALSE)="","",VLOOKUP($B86,INDIRECT("'GRD-"&amp;AW86&amp;"'!$B:$R"),16,FALSE)))</f>
        <v/>
      </c>
      <c r="AW86" s="132">
        <f t="array" ref="AW86">IF(AU86="","",IFERROR(OFFSET($BZ$11,0,MATCH($AU86,$CA86:$FV86,0),),""))</f>
        <v/>
      </c>
      <c r="AX86" s="121">
        <f t="array" ref="AX86">IF(AU86="","",INDIRECT("'GRD-"&amp;AW86&amp;"'!$L$7"))</f>
        <v/>
      </c>
      <c r="AY86" s="83">
        <f t="array" ref="AY86">IFERROR(OFFSET($BZ$11,ROW($B86)-11,MATCH(AY$10,$CA86:$FV86,0),),"")</f>
        <v/>
      </c>
      <c r="AZ86" s="83">
        <f>IF(AY86="","",IF(VLOOKUP($B86,INDIRECT("'GRD-"&amp;BA86&amp;"'!$B:$R"),16,FALSE)="","",VLOOKUP($B86,INDIRECT("'GRD-"&amp;BA86&amp;"'!$B:$R"),16,FALSE)))</f>
        <v/>
      </c>
      <c r="BA86" s="128">
        <f t="array" ref="BA86">IF(AY86="","",IFERROR(OFFSET($BZ$11,0,MATCH($AY86,$CA86:$FV86,0),),""))</f>
        <v/>
      </c>
      <c r="BB86" s="133">
        <f t="array" ref="BB86">IF(AY86="","",INDIRECT("'GRD-"&amp;BA86&amp;"'!$L$7"))</f>
        <v/>
      </c>
      <c r="BC86" s="84">
        <f t="array" ref="BC86">IFERROR(OFFSET($BZ$11,ROW($B86)-11,MATCH(BC$10,$CA86:$FV86,0),),"")</f>
        <v/>
      </c>
      <c r="BD86" s="84">
        <f>IF(BC86="","",IF(VLOOKUP($B86,INDIRECT("'GRD-"&amp;BE86&amp;"'!$B:$R"),16,FALSE)="","",VLOOKUP($B86,INDIRECT("'GRD-"&amp;BE86&amp;"'!$B:$R"),16,FALSE)))</f>
        <v/>
      </c>
      <c r="BE86" s="129">
        <f t="array" ref="BE86">IF(BC86="","",IFERROR(OFFSET($BZ$11,0,MATCH($BC86,$CA86:$FV86,0),),""))</f>
        <v/>
      </c>
      <c r="BF86" s="134">
        <f t="array" ref="BF86">IF(BC86="","",INDIRECT("'GRD-"&amp;BE86&amp;"'!$L$7"))</f>
        <v/>
      </c>
      <c r="CA86" s="96">
        <f>IFERROR(VLOOKUP($B86,INDIRECT("'GRD-"&amp;CA$11&amp;"'!B:R"),15,FALSE),"")</f>
        <v/>
      </c>
      <c r="CB86" s="96">
        <f>IFERROR(VLOOKUP($B86,INDIRECT("'GRD-"&amp;CB$11&amp;"'!B:R"),15,FALSE),"")</f>
        <v/>
      </c>
      <c r="CC86" s="96">
        <f>IFERROR(VLOOKUP($B86,INDIRECT("'GRD-"&amp;CC$11&amp;"'!B:R"),15,FALSE),"")</f>
        <v/>
      </c>
      <c r="CD86" s="96">
        <f>IFERROR(VLOOKUP($B86,INDIRECT("'GRD-"&amp;CD$11&amp;"'!B:R"),15,FALSE),"")</f>
        <v/>
      </c>
      <c r="CE86" s="96">
        <f>IFERROR(VLOOKUP($B86,INDIRECT("'GRD-"&amp;CE$11&amp;"'!B:R"),15,FALSE),"")</f>
        <v/>
      </c>
      <c r="CF86" s="96">
        <f>IFERROR(VLOOKUP($B86,INDIRECT("'GRD-"&amp;CF$11&amp;"'!B:R"),15,FALSE),"")</f>
        <v/>
      </c>
      <c r="CG86" s="96">
        <f>IFERROR(VLOOKUP($B86,INDIRECT("'GRD-"&amp;CG$11&amp;"'!B:R"),15,FALSE),"")</f>
        <v/>
      </c>
      <c r="CH86" s="96">
        <f>IFERROR(VLOOKUP($B86,INDIRECT("'GRD-"&amp;CH$11&amp;"'!B:R"),15,FALSE),"")</f>
        <v/>
      </c>
      <c r="CI86" s="96">
        <f>IFERROR(VLOOKUP($B86,INDIRECT("'GRD-"&amp;CI$11&amp;"'!B:R"),15,FALSE),"")</f>
        <v/>
      </c>
      <c r="CJ86" s="96">
        <f>IFERROR(VLOOKUP($B86,INDIRECT("'GRD-"&amp;CJ$11&amp;"'!B:R"),15,FALSE),"")</f>
        <v/>
      </c>
      <c r="CK86" s="96">
        <f>IFERROR(VLOOKUP($B86,INDIRECT("'GRD-"&amp;CK$11&amp;"'!B:R"),15,FALSE),"")</f>
        <v/>
      </c>
      <c r="CL86" s="96">
        <f>IFERROR(VLOOKUP($B86,INDIRECT("'GRD-"&amp;CL$11&amp;"'!B:R"),15,FALSE),"")</f>
        <v/>
      </c>
      <c r="CM86" s="96">
        <f>IFERROR(VLOOKUP($B86,INDIRECT("'GRD-"&amp;CM$11&amp;"'!B:R"),15,FALSE),"")</f>
        <v/>
      </c>
      <c r="CN86" s="96">
        <f>IFERROR(VLOOKUP($B86,INDIRECT("'GRD-"&amp;CN$11&amp;"'!B:R"),15,FALSE),"")</f>
        <v/>
      </c>
      <c r="CO86" s="96">
        <f>IFERROR(VLOOKUP($B86,INDIRECT("'GRD-"&amp;CO$11&amp;"'!B:R"),15,FALSE),"")</f>
        <v/>
      </c>
      <c r="CP86" s="96">
        <f>IFERROR(VLOOKUP($B86,INDIRECT("'GRD-"&amp;CP$11&amp;"'!B:R"),15,FALSE),"")</f>
        <v/>
      </c>
      <c r="CQ86" s="96">
        <f>IFERROR(VLOOKUP($B86,INDIRECT("'GRD-"&amp;CQ$11&amp;"'!B:R"),15,FALSE),"")</f>
        <v/>
      </c>
      <c r="CR86" s="96">
        <f>IFERROR(VLOOKUP($B86,INDIRECT("'GRD-"&amp;CR$11&amp;"'!B:R"),15,FALSE),"")</f>
        <v/>
      </c>
      <c r="CS86" s="96">
        <f>IFERROR(VLOOKUP($B86,INDIRECT("'GRD-"&amp;CS$11&amp;"'!B:R"),15,FALSE),"")</f>
        <v/>
      </c>
      <c r="CT86" s="96">
        <f>IFERROR(VLOOKUP($B86,INDIRECT("'GRD-"&amp;CT$11&amp;"'!B:R"),15,FALSE),"")</f>
        <v/>
      </c>
      <c r="CU86" s="96">
        <f>IFERROR(VLOOKUP($B86,INDIRECT("'GRD-"&amp;CU$11&amp;"'!B:R"),15,FALSE),"")</f>
        <v/>
      </c>
      <c r="CV86" s="96">
        <f>IFERROR(VLOOKUP($B86,INDIRECT("'GRD-"&amp;CV$11&amp;"'!B:R"),15,FALSE),"")</f>
        <v/>
      </c>
      <c r="CW86" s="96">
        <f>IFERROR(VLOOKUP($B86,INDIRECT("'GRD-"&amp;CW$11&amp;"'!B:R"),15,FALSE),"")</f>
        <v/>
      </c>
      <c r="CX86" s="96">
        <f>IFERROR(VLOOKUP($B86,INDIRECT("'GRD-"&amp;CX$11&amp;"'!B:R"),15,FALSE),"")</f>
        <v/>
      </c>
      <c r="CY86" s="96">
        <f>IFERROR(VLOOKUP($B86,INDIRECT("'GRD-"&amp;CY$11&amp;"'!B:R"),15,FALSE),"")</f>
        <v/>
      </c>
      <c r="CZ86" s="96">
        <f>IFERROR(VLOOKUP($B86,INDIRECT("'GRD-"&amp;CZ$11&amp;"'!B:R"),15,FALSE),"")</f>
        <v/>
      </c>
      <c r="DA86" s="96">
        <f>IFERROR(VLOOKUP($B86,INDIRECT("'GRD-"&amp;DA$11&amp;"'!B:R"),15,FALSE),"")</f>
        <v/>
      </c>
      <c r="DB86" s="96">
        <f>IFERROR(VLOOKUP($B86,INDIRECT("'GRD-"&amp;DB$11&amp;"'!B:R"),15,FALSE),"")</f>
        <v/>
      </c>
      <c r="DC86" s="96">
        <f>IFERROR(VLOOKUP($B86,INDIRECT("'GRD-"&amp;DC$11&amp;"'!B:R"),15,FALSE),"")</f>
        <v/>
      </c>
      <c r="DD86" s="96">
        <f>IFERROR(VLOOKUP($B86,INDIRECT("'GRD-"&amp;DD$11&amp;"'!B:R"),15,FALSE),"")</f>
        <v/>
      </c>
      <c r="DE86" s="96">
        <f>IFERROR(VLOOKUP($B86,INDIRECT("'GRD-"&amp;DE$11&amp;"'!B:R"),15,FALSE),"")</f>
        <v/>
      </c>
      <c r="DF86" s="96">
        <f>IFERROR(VLOOKUP($B86,INDIRECT("'GRD-"&amp;DF$11&amp;"'!B:R"),15,FALSE),"")</f>
        <v/>
      </c>
      <c r="DG86" s="96">
        <f>IFERROR(VLOOKUP($B86,INDIRECT("'GRD-"&amp;DG$11&amp;"'!B:R"),15,FALSE),"")</f>
        <v/>
      </c>
      <c r="DH86" s="96">
        <f>IFERROR(VLOOKUP($B86,INDIRECT("'GRD-"&amp;DH$11&amp;"'!B:R"),15,FALSE),"")</f>
        <v/>
      </c>
      <c r="DI86" s="96">
        <f>IFERROR(VLOOKUP($B86,INDIRECT("'GRD-"&amp;DI$11&amp;"'!B:R"),15,FALSE),"")</f>
        <v/>
      </c>
      <c r="DJ86" s="96">
        <f>IFERROR(VLOOKUP($B86,INDIRECT("'GRD-"&amp;DJ$11&amp;"'!B:R"),15,FALSE),"")</f>
        <v/>
      </c>
      <c r="DK86" s="96">
        <f>IFERROR(VLOOKUP($B86,INDIRECT("'GRD-"&amp;DK$11&amp;"'!B:R"),15,FALSE),"")</f>
        <v/>
      </c>
      <c r="DL86" s="96">
        <f>IFERROR(VLOOKUP($B86,INDIRECT("'GRD-"&amp;DL$11&amp;"'!B:R"),15,FALSE),"")</f>
        <v/>
      </c>
      <c r="DM86" s="96">
        <f>IFERROR(VLOOKUP($B86,INDIRECT("'GRD-"&amp;DM$11&amp;"'!B:R"),15,FALSE),"")</f>
        <v/>
      </c>
      <c r="DN86" s="96">
        <f>IFERROR(VLOOKUP($B86,INDIRECT("'GRD-"&amp;DN$11&amp;"'!B:R"),15,FALSE),"")</f>
        <v/>
      </c>
      <c r="DO86" s="96">
        <f>IFERROR(VLOOKUP($B86,INDIRECT("'GRD-"&amp;DO$11&amp;"'!B:R"),15,FALSE),"")</f>
        <v/>
      </c>
      <c r="DP86" s="96">
        <f>IFERROR(VLOOKUP($B86,INDIRECT("'GRD-"&amp;DP$11&amp;"'!B:R"),15,FALSE),"")</f>
        <v/>
      </c>
      <c r="DQ86" s="96">
        <f>IFERROR(VLOOKUP($B86,INDIRECT("'GRD-"&amp;DQ$11&amp;"'!B:R"),15,FALSE),"")</f>
        <v/>
      </c>
      <c r="DR86" s="96">
        <f>IFERROR(VLOOKUP($B86,INDIRECT("'GRD-"&amp;DR$11&amp;"'!B:R"),15,FALSE),"")</f>
        <v/>
      </c>
      <c r="DS86" s="96">
        <f>IFERROR(VLOOKUP($B86,INDIRECT("'GRD-"&amp;DS$11&amp;"'!B:R"),15,FALSE),"")</f>
        <v/>
      </c>
      <c r="DT86" s="96">
        <f>IFERROR(VLOOKUP($B86,INDIRECT("'GRD-"&amp;DT$11&amp;"'!B:R"),15,FALSE),"")</f>
        <v/>
      </c>
      <c r="DU86" s="96">
        <f>IFERROR(VLOOKUP($B86,INDIRECT("'GRD-"&amp;DU$11&amp;"'!B:R"),15,FALSE),"")</f>
        <v/>
      </c>
      <c r="DV86" s="96">
        <f>IFERROR(VLOOKUP($B86,INDIRECT("'GRD-"&amp;DV$11&amp;"'!B:R"),15,FALSE),"")</f>
        <v/>
      </c>
      <c r="DW86" s="96">
        <f>IFERROR(VLOOKUP($B86,INDIRECT("'GRD-"&amp;DW$11&amp;"'!B:R"),15,FALSE),"")</f>
        <v/>
      </c>
      <c r="DX86" s="96">
        <f>IFERROR(VLOOKUP($B86,INDIRECT("'GRD-"&amp;DX$11&amp;"'!B:R"),15,FALSE),"")</f>
        <v/>
      </c>
      <c r="DY86" s="96">
        <f>IFERROR(VLOOKUP($B86,INDIRECT("'GRD-"&amp;DY$11&amp;"'!B:R"),15,FALSE),"")</f>
        <v/>
      </c>
      <c r="DZ86" s="96">
        <f>IFERROR(VLOOKUP($B86,INDIRECT("'GRD-"&amp;DZ$11&amp;"'!B:R"),15,FALSE),"")</f>
        <v/>
      </c>
      <c r="EA86" s="96">
        <f>IFERROR(VLOOKUP($B86,INDIRECT("'GRD-"&amp;EA$11&amp;"'!B:R"),15,FALSE),"")</f>
        <v/>
      </c>
      <c r="EB86" s="96">
        <f>IFERROR(VLOOKUP($B86,INDIRECT("'GRD-"&amp;EB$11&amp;"'!B:R"),15,FALSE),"")</f>
        <v/>
      </c>
      <c r="EC86" s="96">
        <f>IFERROR(VLOOKUP($B86,INDIRECT("'GRD-"&amp;EC$11&amp;"'!B:R"),15,FALSE),"")</f>
        <v/>
      </c>
      <c r="ED86" s="96">
        <f>IFERROR(VLOOKUP($B86,INDIRECT("'GRD-"&amp;ED$11&amp;"'!B:R"),15,FALSE),"")</f>
        <v/>
      </c>
      <c r="EE86" s="96">
        <f>IFERROR(VLOOKUP($B86,INDIRECT("'GRD-"&amp;EE$11&amp;"'!B:R"),15,FALSE),"")</f>
        <v/>
      </c>
      <c r="EF86" s="96">
        <f>IFERROR(VLOOKUP($B86,INDIRECT("'GRD-"&amp;EF$11&amp;"'!B:R"),15,FALSE),"")</f>
        <v/>
      </c>
      <c r="EG86" s="96">
        <f>IFERROR(VLOOKUP($B86,INDIRECT("'GRD-"&amp;EG$11&amp;"'!B:R"),15,FALSE),"")</f>
        <v/>
      </c>
      <c r="EH86" s="96">
        <f>IFERROR(VLOOKUP($B86,INDIRECT("'GRD-"&amp;EH$11&amp;"'!B:R"),15,FALSE),"")</f>
        <v/>
      </c>
      <c r="EI86" s="96">
        <f>IFERROR(VLOOKUP($B86,INDIRECT("'GRD-"&amp;EI$11&amp;"'!B:R"),15,FALSE),"")</f>
        <v/>
      </c>
      <c r="EJ86" s="96">
        <f>IFERROR(VLOOKUP($B86,INDIRECT("'GRD-"&amp;EJ$11&amp;"'!B:R"),15,FALSE),"")</f>
        <v/>
      </c>
      <c r="EK86" s="96">
        <f>IFERROR(VLOOKUP($B86,INDIRECT("'GRD-"&amp;EK$11&amp;"'!B:R"),15,FALSE),"")</f>
        <v/>
      </c>
      <c r="EL86" s="96">
        <f>IFERROR(VLOOKUP($B86,INDIRECT("'GRD-"&amp;EL$11&amp;"'!B:R"),15,FALSE),"")</f>
        <v/>
      </c>
      <c r="EM86" s="96">
        <f>IFERROR(VLOOKUP($B86,INDIRECT("'GRD-"&amp;EM$11&amp;"'!B:R"),15,FALSE),"")</f>
        <v/>
      </c>
      <c r="EN86" s="96">
        <f>IFERROR(VLOOKUP($B86,INDIRECT("'GRD-"&amp;EN$11&amp;"'!B:R"),15,FALSE),"")</f>
        <v/>
      </c>
      <c r="EO86" s="96">
        <f>IFERROR(VLOOKUP($B86,INDIRECT("'GRD-"&amp;EO$11&amp;"'!B:R"),15,FALSE),"")</f>
        <v/>
      </c>
      <c r="EP86" s="96">
        <f>IFERROR(VLOOKUP($B86,INDIRECT("'GRD-"&amp;EP$11&amp;"'!B:R"),15,FALSE),"")</f>
        <v/>
      </c>
      <c r="EQ86" s="96">
        <f>IFERROR(VLOOKUP($B86,INDIRECT("'GRD-"&amp;EQ$11&amp;"'!B:R"),15,FALSE),"")</f>
        <v/>
      </c>
      <c r="ER86" s="96">
        <f>IFERROR(VLOOKUP($B86,INDIRECT("'GRD-"&amp;ER$11&amp;"'!B:R"),15,FALSE),"")</f>
        <v/>
      </c>
      <c r="ES86" s="96">
        <f>IFERROR(VLOOKUP($B86,INDIRECT("'GRD-"&amp;ES$11&amp;"'!B:R"),15,FALSE),"")</f>
        <v/>
      </c>
      <c r="ET86" s="96">
        <f>IFERROR(VLOOKUP($B86,INDIRECT("'GRD-"&amp;ET$11&amp;"'!B:R"),15,FALSE),"")</f>
        <v/>
      </c>
      <c r="EU86" s="96">
        <f>IFERROR(VLOOKUP($B86,INDIRECT("'GRD-"&amp;EU$11&amp;"'!B:R"),15,FALSE),"")</f>
        <v/>
      </c>
      <c r="EV86" s="96">
        <f>IFERROR(VLOOKUP($B86,INDIRECT("'GRD-"&amp;EV$11&amp;"'!B:R"),15,FALSE),"")</f>
        <v/>
      </c>
      <c r="EW86" s="96">
        <f>IFERROR(VLOOKUP($B86,INDIRECT("'GRD-"&amp;EW$11&amp;"'!B:R"),15,FALSE),"")</f>
        <v/>
      </c>
      <c r="EX86" s="96">
        <f>IFERROR(VLOOKUP($B86,INDIRECT("'GRD-"&amp;EX$11&amp;"'!B:R"),15,FALSE),"")</f>
        <v/>
      </c>
      <c r="EY86" s="96">
        <f>IFERROR(VLOOKUP($B86,INDIRECT("'GRD-"&amp;EY$11&amp;"'!B:R"),15,FALSE),"")</f>
        <v/>
      </c>
      <c r="EZ86" s="96">
        <f>IFERROR(VLOOKUP($B86,INDIRECT("'GRD-"&amp;EZ$11&amp;"'!B:R"),15,FALSE),"")</f>
        <v/>
      </c>
      <c r="FA86" s="96">
        <f>IFERROR(VLOOKUP($B86,INDIRECT("'GRD-"&amp;FA$11&amp;"'!B:R"),15,FALSE),"")</f>
        <v/>
      </c>
      <c r="FB86" s="96">
        <f>IFERROR(VLOOKUP($B86,INDIRECT("'GRD-"&amp;FB$11&amp;"'!B:R"),15,FALSE),"")</f>
        <v/>
      </c>
      <c r="FC86" s="96">
        <f>IFERROR(VLOOKUP($B86,INDIRECT("'GRD-"&amp;FC$11&amp;"'!B:R"),15,FALSE),"")</f>
        <v/>
      </c>
      <c r="FD86" s="96">
        <f>IFERROR(VLOOKUP($B86,INDIRECT("'GRD-"&amp;FD$11&amp;"'!B:R"),15,FALSE),"")</f>
        <v/>
      </c>
      <c r="FE86" s="96">
        <f>IFERROR(VLOOKUP($B86,INDIRECT("'GRD-"&amp;FE$11&amp;"'!B:R"),15,FALSE),"")</f>
        <v/>
      </c>
      <c r="FF86" s="96">
        <f>IFERROR(VLOOKUP($B86,INDIRECT("'GRD-"&amp;FF$11&amp;"'!B:R"),15,FALSE),"")</f>
        <v/>
      </c>
      <c r="FG86" s="96">
        <f>IFERROR(VLOOKUP($B86,INDIRECT("'GRD-"&amp;FG$11&amp;"'!B:R"),15,FALSE),"")</f>
        <v/>
      </c>
      <c r="FH86" s="96">
        <f>IFERROR(VLOOKUP($B86,INDIRECT("'GRD-"&amp;FH$11&amp;"'!B:R"),15,FALSE),"")</f>
        <v/>
      </c>
      <c r="FI86" s="96">
        <f>IFERROR(VLOOKUP($B86,INDIRECT("'GRD-"&amp;FI$11&amp;"'!B:R"),15,FALSE),"")</f>
        <v/>
      </c>
      <c r="FJ86" s="96">
        <f>IFERROR(VLOOKUP($B86,INDIRECT("'GRD-"&amp;FJ$11&amp;"'!B:R"),15,FALSE),"")</f>
        <v/>
      </c>
      <c r="FK86" s="96">
        <f>IFERROR(VLOOKUP($B86,INDIRECT("'GRD-"&amp;FK$11&amp;"'!B:R"),15,FALSE),"")</f>
        <v/>
      </c>
      <c r="FL86" s="96">
        <f>IFERROR(VLOOKUP($B86,INDIRECT("'GRD-"&amp;FL$11&amp;"'!B:R"),15,FALSE),"")</f>
        <v/>
      </c>
      <c r="FM86" s="96">
        <f>IFERROR(VLOOKUP($B86,INDIRECT("'GRD-"&amp;FM$11&amp;"'!B:R"),15,FALSE),"")</f>
        <v/>
      </c>
      <c r="FN86" s="96">
        <f>IFERROR(VLOOKUP($B86,INDIRECT("'GRD-"&amp;FN$11&amp;"'!B:R"),15,FALSE),"")</f>
        <v/>
      </c>
      <c r="FO86" s="96">
        <f>IFERROR(VLOOKUP($B86,INDIRECT("'GRD-"&amp;FO$11&amp;"'!B:R"),15,FALSE),"")</f>
        <v/>
      </c>
      <c r="FP86" s="96">
        <f>IFERROR(VLOOKUP($B86,INDIRECT("'GRD-"&amp;FP$11&amp;"'!B:R"),15,FALSE),"")</f>
        <v/>
      </c>
      <c r="FQ86" s="96">
        <f>IFERROR(VLOOKUP($B86,INDIRECT("'GRD-"&amp;FQ$11&amp;"'!B:R"),15,FALSE),"")</f>
        <v/>
      </c>
      <c r="FR86" s="96">
        <f>IFERROR(VLOOKUP($B86,INDIRECT("'GRD-"&amp;FR$11&amp;"'!B:R"),15,FALSE),"")</f>
        <v/>
      </c>
      <c r="FS86" s="96">
        <f>IFERROR(VLOOKUP($B86,INDIRECT("'GRD-"&amp;FS$11&amp;"'!B:R"),15,FALSE),"")</f>
        <v/>
      </c>
      <c r="FT86" s="96">
        <f>IFERROR(VLOOKUP($B86,INDIRECT("'GRD-"&amp;FT$11&amp;"'!B:R"),15,FALSE),"")</f>
        <v/>
      </c>
      <c r="FU86" s="96">
        <f>IFERROR(VLOOKUP($B86,INDIRECT("'GRD-"&amp;FU$11&amp;"'!B:R"),15,FALSE),"")</f>
        <v/>
      </c>
      <c r="FV86" s="96">
        <f>IFERROR(VLOOKUP($B86,INDIRECT("'GRD-"&amp;FV$11&amp;"'!B:R"),15,FALSE),"")</f>
        <v/>
      </c>
    </row>
    <row r="87">
      <c r="B87" s="85" t="n"/>
      <c r="C87" s="93" t="n"/>
      <c r="D87" s="73">
        <f>IF(K87="","",MAX($CA87:$FV87))</f>
        <v/>
      </c>
      <c r="E87" s="74">
        <f t="array" ref="E87">IF($K87="","",OFFSET($A$1,ROW($B87)-1,11+$D87*4,))</f>
        <v/>
      </c>
      <c r="F87" s="74">
        <f t="array" ref="F87">IF($K87="","",OFFSET($A$1,ROW($B87)-1,12+$D87*4,))</f>
        <v/>
      </c>
      <c r="G87" s="118">
        <f t="array" ref="G87">IF($K87="","",OFFSET($A$1,ROW($B87)-1,13+$D87*4,))</f>
        <v/>
      </c>
      <c r="H87" s="81" t="n"/>
      <c r="I87" s="82" t="n"/>
      <c r="J87" s="75">
        <f>IF(I87="A4",H87/8,IF(I87="A3",H87/4,IF(I87="A2",H87/2,IF(I87="A1",H87/1,IF(I87="A0",H87*2,"")))))</f>
        <v/>
      </c>
      <c r="K87" s="68">
        <f t="array" ref="K87">IFERROR(OFFSET($BZ$11,ROW($B87)-11,MATCH(K$10,$CA87:$FV87,0),),"")</f>
        <v/>
      </c>
      <c r="L87" s="85">
        <f>IF(K87="","",IF(VLOOKUP($B87,INDIRECT("'GRD-"&amp;M87&amp;"'!$B:$R"),16,FALSE)="","",VLOOKUP($B87,INDIRECT("'GRD-"&amp;M87&amp;"'!$B:$R"),16,FALSE)))</f>
        <v/>
      </c>
      <c r="M87" s="130">
        <f t="array" ref="M87">IF(K87="","",IFERROR(OFFSET($BZ$11,0,MATCH($K87,$CA87:$FV87,0),),""))</f>
        <v/>
      </c>
      <c r="N87" s="119">
        <f t="array" ref="N87">IF(K87="","",INDIRECT("'GRD-"&amp;M87&amp;"'!$L$7"))</f>
        <v/>
      </c>
      <c r="O87" s="76">
        <f t="array" ref="O87">IFERROR(OFFSET($BZ$11,ROW($B87)-11,MATCH(O$10,$CA87:$FV87,0),),"")</f>
        <v/>
      </c>
      <c r="P87" s="76">
        <f>IF(O87="","",IF(VLOOKUP($B87,INDIRECT("'GRD-"&amp;Q87&amp;"'!$B:$R"),16,FALSE)="","",VLOOKUP($B87,INDIRECT("'GRD-"&amp;Q87&amp;"'!$B:$R"),16,FALSE)))</f>
        <v/>
      </c>
      <c r="Q87" s="132">
        <f t="array" ref="Q87">IF(O87="","",IFERROR(OFFSET($BZ$11,0,MATCH($O87,$CA87:$FV87,0),),""))</f>
        <v/>
      </c>
      <c r="R87" s="121">
        <f t="array" ref="R87">IF(O87="","",INDIRECT("'GRD-"&amp;Q87&amp;"'!$L$7"))</f>
        <v/>
      </c>
      <c r="S87" s="83">
        <f t="array" ref="S87">IFERROR(OFFSET($BZ$11,ROW($B87)-11,MATCH(S$10,$CA87:$FV87,0),),"")</f>
        <v/>
      </c>
      <c r="T87" s="83">
        <f>IF(S87="","",IF(VLOOKUP($B87,INDIRECT("'GRD-"&amp;U87&amp;"'!$B:$R"),16,FALSE)="","",VLOOKUP($B87,INDIRECT("'GRD-"&amp;U87&amp;"'!$B:$R"),16,FALSE)))</f>
        <v/>
      </c>
      <c r="U87" s="128">
        <f t="array" ref="U87">IF(S87="","",IFERROR(OFFSET($BZ$11,0,MATCH($S87,$CA87:$FV87,0),),""))</f>
        <v/>
      </c>
      <c r="V87" s="133">
        <f t="array" ref="V87">IF(S87="","",INDIRECT("'GRD-"&amp;U87&amp;"'!$L$7"))</f>
        <v/>
      </c>
      <c r="W87" s="84">
        <f t="array" ref="W87">IFERROR(OFFSET($BZ$11,ROW($B87)-11,MATCH(W$10,$CA87:$FV87,0),),"")</f>
        <v/>
      </c>
      <c r="X87" s="84">
        <f>IF(W87="","",IF(VLOOKUP($B87,INDIRECT("'GRD-"&amp;Y87&amp;"'!$B:$R"),16,FALSE)="","",VLOOKUP($B87,INDIRECT("'GRD-"&amp;Y87&amp;"'!$B:$R"),16,FALSE)))</f>
        <v/>
      </c>
      <c r="Y87" s="129">
        <f t="array" ref="Y87">IF(W87="","",IFERROR(OFFSET($BZ$11,0,MATCH($W87,$CA87:$FV87,0),),""))</f>
        <v/>
      </c>
      <c r="Z87" s="134">
        <f t="array" ref="Z87">IF(W87="","",INDIRECT("'GRD-"&amp;Y87&amp;"'!$L$7"))</f>
        <v/>
      </c>
      <c r="AA87" s="85">
        <f t="array" ref="AA87">IFERROR(OFFSET($BZ$11,ROW($B87)-11,MATCH(AA$10,$CA87:$FV87,0),),"")</f>
        <v/>
      </c>
      <c r="AB87" s="85">
        <f>IF(AA87="","",IF(VLOOKUP($B87,INDIRECT("'GRD-"&amp;AC87&amp;"'!$B:$R"),16,FALSE)="","",VLOOKUP($B87,INDIRECT("'GRD-"&amp;AC87&amp;"'!$B:$R"),16,FALSE)))</f>
        <v/>
      </c>
      <c r="AC87" s="130">
        <f t="array" ref="AC87">IF(AA87="","",IFERROR(OFFSET($BZ$11,0,MATCH($AA87,$CA87:$FV87,0),),""))</f>
        <v/>
      </c>
      <c r="AD87" s="131">
        <f t="array" ref="AD87">IF(AA87="","",INDIRECT("'GRD-"&amp;AC87&amp;"'!$L$7"))</f>
        <v/>
      </c>
      <c r="AE87" s="76">
        <f t="array" ref="AE87">IFERROR(OFFSET($BZ$11,ROW($B87)-11,MATCH(AE$10,$CA87:$FV87,0),),"")</f>
        <v/>
      </c>
      <c r="AF87" s="76">
        <f>IF(AE87="","",IF(VLOOKUP($B87,INDIRECT("'GRD-"&amp;AG87&amp;"'!$B:$R"),16,FALSE)="","",VLOOKUP($B87,INDIRECT("'GRD-"&amp;AG87&amp;"'!$B:$R"),16,FALSE)))</f>
        <v/>
      </c>
      <c r="AG87" s="132">
        <f t="array" ref="AG87">IF(AE87="","",IFERROR(OFFSET($BZ$11,0,MATCH($AE87,$CA87:$FV87,0),),""))</f>
        <v/>
      </c>
      <c r="AH87" s="121">
        <f t="array" ref="AH87">IF(AE87="","",INDIRECT("'GRD-"&amp;AG87&amp;"'!$L$7"))</f>
        <v/>
      </c>
      <c r="AI87" s="83">
        <f t="array" ref="AI87">IFERROR(OFFSET($BZ$11,ROW($B87)-11,MATCH(AI$10,$CA87:$FV87,0),),"")</f>
        <v/>
      </c>
      <c r="AJ87" s="83">
        <f>IF(AI87="","",IF(VLOOKUP($B87,INDIRECT("'GRD-"&amp;AK87&amp;"'!$B:$R"),16,FALSE)="","",VLOOKUP($B87,INDIRECT("'GRD-"&amp;AK87&amp;"'!$B:$R"),16,FALSE)))</f>
        <v/>
      </c>
      <c r="AK87" s="128">
        <f t="array" ref="AK87">IF(AI87="","",IFERROR(OFFSET($BZ$11,0,MATCH($AI87,$CA87:$FV87,0),),""))</f>
        <v/>
      </c>
      <c r="AL87" s="133">
        <f t="array" ref="AL87">IF(AI87="","",INDIRECT("'GRD-"&amp;AK87&amp;"'!$L$7"))</f>
        <v/>
      </c>
      <c r="AM87" s="84">
        <f t="array" ref="AM87">IFERROR(OFFSET($BZ$11,ROW($B87)-11,MATCH(AM$10,$CA87:$FV87,0),),"")</f>
        <v/>
      </c>
      <c r="AN87" s="84">
        <f>IF(AM87="","",IF(VLOOKUP($B87,INDIRECT("'GRD-"&amp;AO87&amp;"'!$B:$R"),16,FALSE)="","",VLOOKUP($B87,INDIRECT("'GRD-"&amp;AO87&amp;"'!$B:$R"),16,FALSE)))</f>
        <v/>
      </c>
      <c r="AO87" s="129">
        <f t="array" ref="AO87">IF(AM87="","",IFERROR(OFFSET($BZ$11,0,MATCH($AM87,$CA87:$FV87,0),),""))</f>
        <v/>
      </c>
      <c r="AP87" s="134">
        <f t="array" ref="AP87">IF(AM87="","",INDIRECT("'GRD-"&amp;AO87&amp;"'!$L$7"))</f>
        <v/>
      </c>
      <c r="AQ87" s="85">
        <f t="array" ref="AQ87">IFERROR(OFFSET($BZ$11,ROW($B87)-11,MATCH(AQ$10,$CA87:$FV87,0),),"")</f>
        <v/>
      </c>
      <c r="AR87" s="85">
        <f>IF(AQ87="","",IF(VLOOKUP($B87,INDIRECT("'GRD-"&amp;AS87&amp;"'!$B:$R"),16,FALSE)="","",VLOOKUP($B87,INDIRECT("'GRD-"&amp;AS87&amp;"'!$B:$R"),16,FALSE)))</f>
        <v/>
      </c>
      <c r="AS87" s="130">
        <f t="array" ref="AS87">IF(AQ87="","",IFERROR(OFFSET($BZ$11,0,MATCH($AQ87,$CA87:$FV87,0),),""))</f>
        <v/>
      </c>
      <c r="AT87" s="131">
        <f t="array" ref="AT87">IF(AQ87="","",INDIRECT("'GRD-"&amp;AS87&amp;"'!$L$7"))</f>
        <v/>
      </c>
      <c r="AU87" s="76">
        <f t="array" ref="AU87">IFERROR(OFFSET($BZ$11,ROW($B87)-11,MATCH(AU$10,$CA87:$FV87,0),),"")</f>
        <v/>
      </c>
      <c r="AV87" s="76">
        <f>IF(AU87="","",IF(VLOOKUP($B87,INDIRECT("'GRD-"&amp;AW87&amp;"'!$B:$R"),16,FALSE)="","",VLOOKUP($B87,INDIRECT("'GRD-"&amp;AW87&amp;"'!$B:$R"),16,FALSE)))</f>
        <v/>
      </c>
      <c r="AW87" s="132">
        <f t="array" ref="AW87">IF(AU87="","",IFERROR(OFFSET($BZ$11,0,MATCH($AU87,$CA87:$FV87,0),),""))</f>
        <v/>
      </c>
      <c r="AX87" s="121">
        <f t="array" ref="AX87">IF(AU87="","",INDIRECT("'GRD-"&amp;AW87&amp;"'!$L$7"))</f>
        <v/>
      </c>
      <c r="AY87" s="83">
        <f t="array" ref="AY87">IFERROR(OFFSET($BZ$11,ROW($B87)-11,MATCH(AY$10,$CA87:$FV87,0),),"")</f>
        <v/>
      </c>
      <c r="AZ87" s="83">
        <f>IF(AY87="","",IF(VLOOKUP($B87,INDIRECT("'GRD-"&amp;BA87&amp;"'!$B:$R"),16,FALSE)="","",VLOOKUP($B87,INDIRECT("'GRD-"&amp;BA87&amp;"'!$B:$R"),16,FALSE)))</f>
        <v/>
      </c>
      <c r="BA87" s="128">
        <f t="array" ref="BA87">IF(AY87="","",IFERROR(OFFSET($BZ$11,0,MATCH($AY87,$CA87:$FV87,0),),""))</f>
        <v/>
      </c>
      <c r="BB87" s="133">
        <f t="array" ref="BB87">IF(AY87="","",INDIRECT("'GRD-"&amp;BA87&amp;"'!$L$7"))</f>
        <v/>
      </c>
      <c r="BC87" s="84">
        <f t="array" ref="BC87">IFERROR(OFFSET($BZ$11,ROW($B87)-11,MATCH(BC$10,$CA87:$FV87,0),),"")</f>
        <v/>
      </c>
      <c r="BD87" s="84">
        <f>IF(BC87="","",IF(VLOOKUP($B87,INDIRECT("'GRD-"&amp;BE87&amp;"'!$B:$R"),16,FALSE)="","",VLOOKUP($B87,INDIRECT("'GRD-"&amp;BE87&amp;"'!$B:$R"),16,FALSE)))</f>
        <v/>
      </c>
      <c r="BE87" s="129">
        <f t="array" ref="BE87">IF(BC87="","",IFERROR(OFFSET($BZ$11,0,MATCH($BC87,$CA87:$FV87,0),),""))</f>
        <v/>
      </c>
      <c r="BF87" s="134">
        <f t="array" ref="BF87">IF(BC87="","",INDIRECT("'GRD-"&amp;BE87&amp;"'!$L$7"))</f>
        <v/>
      </c>
      <c r="CA87" s="96">
        <f>IFERROR(VLOOKUP($B87,INDIRECT("'GRD-"&amp;CA$11&amp;"'!B:R"),15,FALSE),"")</f>
        <v/>
      </c>
      <c r="CB87" s="96">
        <f>IFERROR(VLOOKUP($B87,INDIRECT("'GRD-"&amp;CB$11&amp;"'!B:R"),15,FALSE),"")</f>
        <v/>
      </c>
      <c r="CC87" s="96">
        <f>IFERROR(VLOOKUP($B87,INDIRECT("'GRD-"&amp;CC$11&amp;"'!B:R"),15,FALSE),"")</f>
        <v/>
      </c>
      <c r="CD87" s="96">
        <f>IFERROR(VLOOKUP($B87,INDIRECT("'GRD-"&amp;CD$11&amp;"'!B:R"),15,FALSE),"")</f>
        <v/>
      </c>
      <c r="CE87" s="96">
        <f>IFERROR(VLOOKUP($B87,INDIRECT("'GRD-"&amp;CE$11&amp;"'!B:R"),15,FALSE),"")</f>
        <v/>
      </c>
      <c r="CF87" s="96">
        <f>IFERROR(VLOOKUP($B87,INDIRECT("'GRD-"&amp;CF$11&amp;"'!B:R"),15,FALSE),"")</f>
        <v/>
      </c>
      <c r="CG87" s="96">
        <f>IFERROR(VLOOKUP($B87,INDIRECT("'GRD-"&amp;CG$11&amp;"'!B:R"),15,FALSE),"")</f>
        <v/>
      </c>
      <c r="CH87" s="96">
        <f>IFERROR(VLOOKUP($B87,INDIRECT("'GRD-"&amp;CH$11&amp;"'!B:R"),15,FALSE),"")</f>
        <v/>
      </c>
      <c r="CI87" s="96">
        <f>IFERROR(VLOOKUP($B87,INDIRECT("'GRD-"&amp;CI$11&amp;"'!B:R"),15,FALSE),"")</f>
        <v/>
      </c>
      <c r="CJ87" s="96">
        <f>IFERROR(VLOOKUP($B87,INDIRECT("'GRD-"&amp;CJ$11&amp;"'!B:R"),15,FALSE),"")</f>
        <v/>
      </c>
      <c r="CK87" s="96">
        <f>IFERROR(VLOOKUP($B87,INDIRECT("'GRD-"&amp;CK$11&amp;"'!B:R"),15,FALSE),"")</f>
        <v/>
      </c>
      <c r="CL87" s="96">
        <f>IFERROR(VLOOKUP($B87,INDIRECT("'GRD-"&amp;CL$11&amp;"'!B:R"),15,FALSE),"")</f>
        <v/>
      </c>
      <c r="CM87" s="96">
        <f>IFERROR(VLOOKUP($B87,INDIRECT("'GRD-"&amp;CM$11&amp;"'!B:R"),15,FALSE),"")</f>
        <v/>
      </c>
      <c r="CN87" s="96">
        <f>IFERROR(VLOOKUP($B87,INDIRECT("'GRD-"&amp;CN$11&amp;"'!B:R"),15,FALSE),"")</f>
        <v/>
      </c>
      <c r="CO87" s="96">
        <f>IFERROR(VLOOKUP($B87,INDIRECT("'GRD-"&amp;CO$11&amp;"'!B:R"),15,FALSE),"")</f>
        <v/>
      </c>
      <c r="CP87" s="96">
        <f>IFERROR(VLOOKUP($B87,INDIRECT("'GRD-"&amp;CP$11&amp;"'!B:R"),15,FALSE),"")</f>
        <v/>
      </c>
      <c r="CQ87" s="96">
        <f>IFERROR(VLOOKUP($B87,INDIRECT("'GRD-"&amp;CQ$11&amp;"'!B:R"),15,FALSE),"")</f>
        <v/>
      </c>
      <c r="CR87" s="96">
        <f>IFERROR(VLOOKUP($B87,INDIRECT("'GRD-"&amp;CR$11&amp;"'!B:R"),15,FALSE),"")</f>
        <v/>
      </c>
      <c r="CS87" s="96">
        <f>IFERROR(VLOOKUP($B87,INDIRECT("'GRD-"&amp;CS$11&amp;"'!B:R"),15,FALSE),"")</f>
        <v/>
      </c>
      <c r="CT87" s="96">
        <f>IFERROR(VLOOKUP($B87,INDIRECT("'GRD-"&amp;CT$11&amp;"'!B:R"),15,FALSE),"")</f>
        <v/>
      </c>
      <c r="CU87" s="96">
        <f>IFERROR(VLOOKUP($B87,INDIRECT("'GRD-"&amp;CU$11&amp;"'!B:R"),15,FALSE),"")</f>
        <v/>
      </c>
      <c r="CV87" s="96">
        <f>IFERROR(VLOOKUP($B87,INDIRECT("'GRD-"&amp;CV$11&amp;"'!B:R"),15,FALSE),"")</f>
        <v/>
      </c>
      <c r="CW87" s="96">
        <f>IFERROR(VLOOKUP($B87,INDIRECT("'GRD-"&amp;CW$11&amp;"'!B:R"),15,FALSE),"")</f>
        <v/>
      </c>
      <c r="CX87" s="96">
        <f>IFERROR(VLOOKUP($B87,INDIRECT("'GRD-"&amp;CX$11&amp;"'!B:R"),15,FALSE),"")</f>
        <v/>
      </c>
      <c r="CY87" s="96">
        <f>IFERROR(VLOOKUP($B87,INDIRECT("'GRD-"&amp;CY$11&amp;"'!B:R"),15,FALSE),"")</f>
        <v/>
      </c>
      <c r="CZ87" s="96">
        <f>IFERROR(VLOOKUP($B87,INDIRECT("'GRD-"&amp;CZ$11&amp;"'!B:R"),15,FALSE),"")</f>
        <v/>
      </c>
      <c r="DA87" s="96">
        <f>IFERROR(VLOOKUP($B87,INDIRECT("'GRD-"&amp;DA$11&amp;"'!B:R"),15,FALSE),"")</f>
        <v/>
      </c>
      <c r="DB87" s="96">
        <f>IFERROR(VLOOKUP($B87,INDIRECT("'GRD-"&amp;DB$11&amp;"'!B:R"),15,FALSE),"")</f>
        <v/>
      </c>
      <c r="DC87" s="96">
        <f>IFERROR(VLOOKUP($B87,INDIRECT("'GRD-"&amp;DC$11&amp;"'!B:R"),15,FALSE),"")</f>
        <v/>
      </c>
      <c r="DD87" s="96">
        <f>IFERROR(VLOOKUP($B87,INDIRECT("'GRD-"&amp;DD$11&amp;"'!B:R"),15,FALSE),"")</f>
        <v/>
      </c>
      <c r="DE87" s="96">
        <f>IFERROR(VLOOKUP($B87,INDIRECT("'GRD-"&amp;DE$11&amp;"'!B:R"),15,FALSE),"")</f>
        <v/>
      </c>
      <c r="DF87" s="96">
        <f>IFERROR(VLOOKUP($B87,INDIRECT("'GRD-"&amp;DF$11&amp;"'!B:R"),15,FALSE),"")</f>
        <v/>
      </c>
      <c r="DG87" s="96">
        <f>IFERROR(VLOOKUP($B87,INDIRECT("'GRD-"&amp;DG$11&amp;"'!B:R"),15,FALSE),"")</f>
        <v/>
      </c>
      <c r="DH87" s="96">
        <f>IFERROR(VLOOKUP($B87,INDIRECT("'GRD-"&amp;DH$11&amp;"'!B:R"),15,FALSE),"")</f>
        <v/>
      </c>
      <c r="DI87" s="96">
        <f>IFERROR(VLOOKUP($B87,INDIRECT("'GRD-"&amp;DI$11&amp;"'!B:R"),15,FALSE),"")</f>
        <v/>
      </c>
      <c r="DJ87" s="96">
        <f>IFERROR(VLOOKUP($B87,INDIRECT("'GRD-"&amp;DJ$11&amp;"'!B:R"),15,FALSE),"")</f>
        <v/>
      </c>
      <c r="DK87" s="96">
        <f>IFERROR(VLOOKUP($B87,INDIRECT("'GRD-"&amp;DK$11&amp;"'!B:R"),15,FALSE),"")</f>
        <v/>
      </c>
      <c r="DL87" s="96">
        <f>IFERROR(VLOOKUP($B87,INDIRECT("'GRD-"&amp;DL$11&amp;"'!B:R"),15,FALSE),"")</f>
        <v/>
      </c>
      <c r="DM87" s="96">
        <f>IFERROR(VLOOKUP($B87,INDIRECT("'GRD-"&amp;DM$11&amp;"'!B:R"),15,FALSE),"")</f>
        <v/>
      </c>
      <c r="DN87" s="96">
        <f>IFERROR(VLOOKUP($B87,INDIRECT("'GRD-"&amp;DN$11&amp;"'!B:R"),15,FALSE),"")</f>
        <v/>
      </c>
      <c r="DO87" s="96">
        <f>IFERROR(VLOOKUP($B87,INDIRECT("'GRD-"&amp;DO$11&amp;"'!B:R"),15,FALSE),"")</f>
        <v/>
      </c>
      <c r="DP87" s="96">
        <f>IFERROR(VLOOKUP($B87,INDIRECT("'GRD-"&amp;DP$11&amp;"'!B:R"),15,FALSE),"")</f>
        <v/>
      </c>
      <c r="DQ87" s="96">
        <f>IFERROR(VLOOKUP($B87,INDIRECT("'GRD-"&amp;DQ$11&amp;"'!B:R"),15,FALSE),"")</f>
        <v/>
      </c>
      <c r="DR87" s="96">
        <f>IFERROR(VLOOKUP($B87,INDIRECT("'GRD-"&amp;DR$11&amp;"'!B:R"),15,FALSE),"")</f>
        <v/>
      </c>
      <c r="DS87" s="96">
        <f>IFERROR(VLOOKUP($B87,INDIRECT("'GRD-"&amp;DS$11&amp;"'!B:R"),15,FALSE),"")</f>
        <v/>
      </c>
      <c r="DT87" s="96">
        <f>IFERROR(VLOOKUP($B87,INDIRECT("'GRD-"&amp;DT$11&amp;"'!B:R"),15,FALSE),"")</f>
        <v/>
      </c>
      <c r="DU87" s="96">
        <f>IFERROR(VLOOKUP($B87,INDIRECT("'GRD-"&amp;DU$11&amp;"'!B:R"),15,FALSE),"")</f>
        <v/>
      </c>
      <c r="DV87" s="96">
        <f>IFERROR(VLOOKUP($B87,INDIRECT("'GRD-"&amp;DV$11&amp;"'!B:R"),15,FALSE),"")</f>
        <v/>
      </c>
      <c r="DW87" s="96">
        <f>IFERROR(VLOOKUP($B87,INDIRECT("'GRD-"&amp;DW$11&amp;"'!B:R"),15,FALSE),"")</f>
        <v/>
      </c>
      <c r="DX87" s="96">
        <f>IFERROR(VLOOKUP($B87,INDIRECT("'GRD-"&amp;DX$11&amp;"'!B:R"),15,FALSE),"")</f>
        <v/>
      </c>
      <c r="DY87" s="96">
        <f>IFERROR(VLOOKUP($B87,INDIRECT("'GRD-"&amp;DY$11&amp;"'!B:R"),15,FALSE),"")</f>
        <v/>
      </c>
      <c r="DZ87" s="96">
        <f>IFERROR(VLOOKUP($B87,INDIRECT("'GRD-"&amp;DZ$11&amp;"'!B:R"),15,FALSE),"")</f>
        <v/>
      </c>
      <c r="EA87" s="96">
        <f>IFERROR(VLOOKUP($B87,INDIRECT("'GRD-"&amp;EA$11&amp;"'!B:R"),15,FALSE),"")</f>
        <v/>
      </c>
      <c r="EB87" s="96">
        <f>IFERROR(VLOOKUP($B87,INDIRECT("'GRD-"&amp;EB$11&amp;"'!B:R"),15,FALSE),"")</f>
        <v/>
      </c>
      <c r="EC87" s="96">
        <f>IFERROR(VLOOKUP($B87,INDIRECT("'GRD-"&amp;EC$11&amp;"'!B:R"),15,FALSE),"")</f>
        <v/>
      </c>
      <c r="ED87" s="96">
        <f>IFERROR(VLOOKUP($B87,INDIRECT("'GRD-"&amp;ED$11&amp;"'!B:R"),15,FALSE),"")</f>
        <v/>
      </c>
      <c r="EE87" s="96">
        <f>IFERROR(VLOOKUP($B87,INDIRECT("'GRD-"&amp;EE$11&amp;"'!B:R"),15,FALSE),"")</f>
        <v/>
      </c>
      <c r="EF87" s="96">
        <f>IFERROR(VLOOKUP($B87,INDIRECT("'GRD-"&amp;EF$11&amp;"'!B:R"),15,FALSE),"")</f>
        <v/>
      </c>
      <c r="EG87" s="96">
        <f>IFERROR(VLOOKUP($B87,INDIRECT("'GRD-"&amp;EG$11&amp;"'!B:R"),15,FALSE),"")</f>
        <v/>
      </c>
      <c r="EH87" s="96">
        <f>IFERROR(VLOOKUP($B87,INDIRECT("'GRD-"&amp;EH$11&amp;"'!B:R"),15,FALSE),"")</f>
        <v/>
      </c>
      <c r="EI87" s="96">
        <f>IFERROR(VLOOKUP($B87,INDIRECT("'GRD-"&amp;EI$11&amp;"'!B:R"),15,FALSE),"")</f>
        <v/>
      </c>
      <c r="EJ87" s="96">
        <f>IFERROR(VLOOKUP($B87,INDIRECT("'GRD-"&amp;EJ$11&amp;"'!B:R"),15,FALSE),"")</f>
        <v/>
      </c>
      <c r="EK87" s="96">
        <f>IFERROR(VLOOKUP($B87,INDIRECT("'GRD-"&amp;EK$11&amp;"'!B:R"),15,FALSE),"")</f>
        <v/>
      </c>
      <c r="EL87" s="96">
        <f>IFERROR(VLOOKUP($B87,INDIRECT("'GRD-"&amp;EL$11&amp;"'!B:R"),15,FALSE),"")</f>
        <v/>
      </c>
      <c r="EM87" s="96">
        <f>IFERROR(VLOOKUP($B87,INDIRECT("'GRD-"&amp;EM$11&amp;"'!B:R"),15,FALSE),"")</f>
        <v/>
      </c>
      <c r="EN87" s="96">
        <f>IFERROR(VLOOKUP($B87,INDIRECT("'GRD-"&amp;EN$11&amp;"'!B:R"),15,FALSE),"")</f>
        <v/>
      </c>
      <c r="EO87" s="96">
        <f>IFERROR(VLOOKUP($B87,INDIRECT("'GRD-"&amp;EO$11&amp;"'!B:R"),15,FALSE),"")</f>
        <v/>
      </c>
      <c r="EP87" s="96">
        <f>IFERROR(VLOOKUP($B87,INDIRECT("'GRD-"&amp;EP$11&amp;"'!B:R"),15,FALSE),"")</f>
        <v/>
      </c>
      <c r="EQ87" s="96">
        <f>IFERROR(VLOOKUP($B87,INDIRECT("'GRD-"&amp;EQ$11&amp;"'!B:R"),15,FALSE),"")</f>
        <v/>
      </c>
      <c r="ER87" s="96">
        <f>IFERROR(VLOOKUP($B87,INDIRECT("'GRD-"&amp;ER$11&amp;"'!B:R"),15,FALSE),"")</f>
        <v/>
      </c>
      <c r="ES87" s="96">
        <f>IFERROR(VLOOKUP($B87,INDIRECT("'GRD-"&amp;ES$11&amp;"'!B:R"),15,FALSE),"")</f>
        <v/>
      </c>
      <c r="ET87" s="96">
        <f>IFERROR(VLOOKUP($B87,INDIRECT("'GRD-"&amp;ET$11&amp;"'!B:R"),15,FALSE),"")</f>
        <v/>
      </c>
      <c r="EU87" s="96">
        <f>IFERROR(VLOOKUP($B87,INDIRECT("'GRD-"&amp;EU$11&amp;"'!B:R"),15,FALSE),"")</f>
        <v/>
      </c>
      <c r="EV87" s="96">
        <f>IFERROR(VLOOKUP($B87,INDIRECT("'GRD-"&amp;EV$11&amp;"'!B:R"),15,FALSE),"")</f>
        <v/>
      </c>
      <c r="EW87" s="96">
        <f>IFERROR(VLOOKUP($B87,INDIRECT("'GRD-"&amp;EW$11&amp;"'!B:R"),15,FALSE),"")</f>
        <v/>
      </c>
      <c r="EX87" s="96">
        <f>IFERROR(VLOOKUP($B87,INDIRECT("'GRD-"&amp;EX$11&amp;"'!B:R"),15,FALSE),"")</f>
        <v/>
      </c>
      <c r="EY87" s="96">
        <f>IFERROR(VLOOKUP($B87,INDIRECT("'GRD-"&amp;EY$11&amp;"'!B:R"),15,FALSE),"")</f>
        <v/>
      </c>
      <c r="EZ87" s="96">
        <f>IFERROR(VLOOKUP($B87,INDIRECT("'GRD-"&amp;EZ$11&amp;"'!B:R"),15,FALSE),"")</f>
        <v/>
      </c>
      <c r="FA87" s="96">
        <f>IFERROR(VLOOKUP($B87,INDIRECT("'GRD-"&amp;FA$11&amp;"'!B:R"),15,FALSE),"")</f>
        <v/>
      </c>
      <c r="FB87" s="96">
        <f>IFERROR(VLOOKUP($B87,INDIRECT("'GRD-"&amp;FB$11&amp;"'!B:R"),15,FALSE),"")</f>
        <v/>
      </c>
      <c r="FC87" s="96">
        <f>IFERROR(VLOOKUP($B87,INDIRECT("'GRD-"&amp;FC$11&amp;"'!B:R"),15,FALSE),"")</f>
        <v/>
      </c>
      <c r="FD87" s="96">
        <f>IFERROR(VLOOKUP($B87,INDIRECT("'GRD-"&amp;FD$11&amp;"'!B:R"),15,FALSE),"")</f>
        <v/>
      </c>
      <c r="FE87" s="96">
        <f>IFERROR(VLOOKUP($B87,INDIRECT("'GRD-"&amp;FE$11&amp;"'!B:R"),15,FALSE),"")</f>
        <v/>
      </c>
      <c r="FF87" s="96">
        <f>IFERROR(VLOOKUP($B87,INDIRECT("'GRD-"&amp;FF$11&amp;"'!B:R"),15,FALSE),"")</f>
        <v/>
      </c>
      <c r="FG87" s="96">
        <f>IFERROR(VLOOKUP($B87,INDIRECT("'GRD-"&amp;FG$11&amp;"'!B:R"),15,FALSE),"")</f>
        <v/>
      </c>
      <c r="FH87" s="96">
        <f>IFERROR(VLOOKUP($B87,INDIRECT("'GRD-"&amp;FH$11&amp;"'!B:R"),15,FALSE),"")</f>
        <v/>
      </c>
      <c r="FI87" s="96">
        <f>IFERROR(VLOOKUP($B87,INDIRECT("'GRD-"&amp;FI$11&amp;"'!B:R"),15,FALSE),"")</f>
        <v/>
      </c>
      <c r="FJ87" s="96">
        <f>IFERROR(VLOOKUP($B87,INDIRECT("'GRD-"&amp;FJ$11&amp;"'!B:R"),15,FALSE),"")</f>
        <v/>
      </c>
      <c r="FK87" s="96">
        <f>IFERROR(VLOOKUP($B87,INDIRECT("'GRD-"&amp;FK$11&amp;"'!B:R"),15,FALSE),"")</f>
        <v/>
      </c>
      <c r="FL87" s="96">
        <f>IFERROR(VLOOKUP($B87,INDIRECT("'GRD-"&amp;FL$11&amp;"'!B:R"),15,FALSE),"")</f>
        <v/>
      </c>
      <c r="FM87" s="96">
        <f>IFERROR(VLOOKUP($B87,INDIRECT("'GRD-"&amp;FM$11&amp;"'!B:R"),15,FALSE),"")</f>
        <v/>
      </c>
      <c r="FN87" s="96">
        <f>IFERROR(VLOOKUP($B87,INDIRECT("'GRD-"&amp;FN$11&amp;"'!B:R"),15,FALSE),"")</f>
        <v/>
      </c>
      <c r="FO87" s="96">
        <f>IFERROR(VLOOKUP($B87,INDIRECT("'GRD-"&amp;FO$11&amp;"'!B:R"),15,FALSE),"")</f>
        <v/>
      </c>
      <c r="FP87" s="96">
        <f>IFERROR(VLOOKUP($B87,INDIRECT("'GRD-"&amp;FP$11&amp;"'!B:R"),15,FALSE),"")</f>
        <v/>
      </c>
      <c r="FQ87" s="96">
        <f>IFERROR(VLOOKUP($B87,INDIRECT("'GRD-"&amp;FQ$11&amp;"'!B:R"),15,FALSE),"")</f>
        <v/>
      </c>
      <c r="FR87" s="96">
        <f>IFERROR(VLOOKUP($B87,INDIRECT("'GRD-"&amp;FR$11&amp;"'!B:R"),15,FALSE),"")</f>
        <v/>
      </c>
      <c r="FS87" s="96">
        <f>IFERROR(VLOOKUP($B87,INDIRECT("'GRD-"&amp;FS$11&amp;"'!B:R"),15,FALSE),"")</f>
        <v/>
      </c>
      <c r="FT87" s="96">
        <f>IFERROR(VLOOKUP($B87,INDIRECT("'GRD-"&amp;FT$11&amp;"'!B:R"),15,FALSE),"")</f>
        <v/>
      </c>
      <c r="FU87" s="96">
        <f>IFERROR(VLOOKUP($B87,INDIRECT("'GRD-"&amp;FU$11&amp;"'!B:R"),15,FALSE),"")</f>
        <v/>
      </c>
      <c r="FV87" s="96">
        <f>IFERROR(VLOOKUP($B87,INDIRECT("'GRD-"&amp;FV$11&amp;"'!B:R"),15,FALSE),"")</f>
        <v/>
      </c>
    </row>
    <row r="88">
      <c r="B88" s="85" t="n"/>
      <c r="C88" s="93" t="n"/>
      <c r="D88" s="73">
        <f>IF(K88="","",MAX($CA88:$FV88))</f>
        <v/>
      </c>
      <c r="E88" s="74">
        <f t="array" ref="E88">IF($K88="","",OFFSET($A$1,ROW($B88)-1,11+$D88*4,))</f>
        <v/>
      </c>
      <c r="F88" s="74">
        <f t="array" ref="F88">IF($K88="","",OFFSET($A$1,ROW($B88)-1,12+$D88*4,))</f>
        <v/>
      </c>
      <c r="G88" s="118">
        <f t="array" ref="G88">IF($K88="","",OFFSET($A$1,ROW($B88)-1,13+$D88*4,))</f>
        <v/>
      </c>
      <c r="H88" s="81" t="n"/>
      <c r="I88" s="82" t="n"/>
      <c r="J88" s="75">
        <f>IF(I88="A4",H88/8,IF(I88="A3",H88/4,IF(I88="A2",H88/2,IF(I88="A1",H88/1,IF(I88="A0",H88*2,"")))))</f>
        <v/>
      </c>
      <c r="K88" s="68">
        <f t="array" ref="K88">IFERROR(OFFSET($BZ$11,ROW($B88)-11,MATCH(K$10,$CA88:$FV88,0),),"")</f>
        <v/>
      </c>
      <c r="L88" s="85">
        <f>IF(K88="","",IF(VLOOKUP($B88,INDIRECT("'GRD-"&amp;M88&amp;"'!$B:$R"),16,FALSE)="","",VLOOKUP($B88,INDIRECT("'GRD-"&amp;M88&amp;"'!$B:$R"),16,FALSE)))</f>
        <v/>
      </c>
      <c r="M88" s="130">
        <f t="array" ref="M88">IF(K88="","",IFERROR(OFFSET($BZ$11,0,MATCH($K88,$CA88:$FV88,0),),""))</f>
        <v/>
      </c>
      <c r="N88" s="119">
        <f t="array" ref="N88">IF(K88="","",INDIRECT("'GRD-"&amp;M88&amp;"'!$L$7"))</f>
        <v/>
      </c>
      <c r="O88" s="76">
        <f t="array" ref="O88">IFERROR(OFFSET($BZ$11,ROW($B88)-11,MATCH(O$10,$CA88:$FV88,0),),"")</f>
        <v/>
      </c>
      <c r="P88" s="76">
        <f>IF(O88="","",IF(VLOOKUP($B88,INDIRECT("'GRD-"&amp;Q88&amp;"'!$B:$R"),16,FALSE)="","",VLOOKUP($B88,INDIRECT("'GRD-"&amp;Q88&amp;"'!$B:$R"),16,FALSE)))</f>
        <v/>
      </c>
      <c r="Q88" s="132">
        <f t="array" ref="Q88">IF(O88="","",IFERROR(OFFSET($BZ$11,0,MATCH($O88,$CA88:$FV88,0),),""))</f>
        <v/>
      </c>
      <c r="R88" s="121">
        <f t="array" ref="R88">IF(O88="","",INDIRECT("'GRD-"&amp;Q88&amp;"'!$L$7"))</f>
        <v/>
      </c>
      <c r="S88" s="83">
        <f t="array" ref="S88">IFERROR(OFFSET($BZ$11,ROW($B88)-11,MATCH(S$10,$CA88:$FV88,0),),"")</f>
        <v/>
      </c>
      <c r="T88" s="83">
        <f>IF(S88="","",IF(VLOOKUP($B88,INDIRECT("'GRD-"&amp;U88&amp;"'!$B:$R"),16,FALSE)="","",VLOOKUP($B88,INDIRECT("'GRD-"&amp;U88&amp;"'!$B:$R"),16,FALSE)))</f>
        <v/>
      </c>
      <c r="U88" s="128">
        <f t="array" ref="U88">IF(S88="","",IFERROR(OFFSET($BZ$11,0,MATCH($S88,$CA88:$FV88,0),),""))</f>
        <v/>
      </c>
      <c r="V88" s="133">
        <f t="array" ref="V88">IF(S88="","",INDIRECT("'GRD-"&amp;U88&amp;"'!$L$7"))</f>
        <v/>
      </c>
      <c r="W88" s="84">
        <f t="array" ref="W88">IFERROR(OFFSET($BZ$11,ROW($B88)-11,MATCH(W$10,$CA88:$FV88,0),),"")</f>
        <v/>
      </c>
      <c r="X88" s="84">
        <f>IF(W88="","",IF(VLOOKUP($B88,INDIRECT("'GRD-"&amp;Y88&amp;"'!$B:$R"),16,FALSE)="","",VLOOKUP($B88,INDIRECT("'GRD-"&amp;Y88&amp;"'!$B:$R"),16,FALSE)))</f>
        <v/>
      </c>
      <c r="Y88" s="129">
        <f t="array" ref="Y88">IF(W88="","",IFERROR(OFFSET($BZ$11,0,MATCH($W88,$CA88:$FV88,0),),""))</f>
        <v/>
      </c>
      <c r="Z88" s="134">
        <f t="array" ref="Z88">IF(W88="","",INDIRECT("'GRD-"&amp;Y88&amp;"'!$L$7"))</f>
        <v/>
      </c>
      <c r="AA88" s="85">
        <f t="array" ref="AA88">IFERROR(OFFSET($BZ$11,ROW($B88)-11,MATCH(AA$10,$CA88:$FV88,0),),"")</f>
        <v/>
      </c>
      <c r="AB88" s="85">
        <f>IF(AA88="","",IF(VLOOKUP($B88,INDIRECT("'GRD-"&amp;AC88&amp;"'!$B:$R"),16,FALSE)="","",VLOOKUP($B88,INDIRECT("'GRD-"&amp;AC88&amp;"'!$B:$R"),16,FALSE)))</f>
        <v/>
      </c>
      <c r="AC88" s="130">
        <f t="array" ref="AC88">IF(AA88="","",IFERROR(OFFSET($BZ$11,0,MATCH($AA88,$CA88:$FV88,0),),""))</f>
        <v/>
      </c>
      <c r="AD88" s="131">
        <f t="array" ref="AD88">IF(AA88="","",INDIRECT("'GRD-"&amp;AC88&amp;"'!$L$7"))</f>
        <v/>
      </c>
      <c r="AE88" s="76">
        <f t="array" ref="AE88">IFERROR(OFFSET($BZ$11,ROW($B88)-11,MATCH(AE$10,$CA88:$FV88,0),),"")</f>
        <v/>
      </c>
      <c r="AF88" s="76">
        <f>IF(AE88="","",IF(VLOOKUP($B88,INDIRECT("'GRD-"&amp;AG88&amp;"'!$B:$R"),16,FALSE)="","",VLOOKUP($B88,INDIRECT("'GRD-"&amp;AG88&amp;"'!$B:$R"),16,FALSE)))</f>
        <v/>
      </c>
      <c r="AG88" s="132">
        <f t="array" ref="AG88">IF(AE88="","",IFERROR(OFFSET($BZ$11,0,MATCH($AE88,$CA88:$FV88,0),),""))</f>
        <v/>
      </c>
      <c r="AH88" s="121">
        <f t="array" ref="AH88">IF(AE88="","",INDIRECT("'GRD-"&amp;AG88&amp;"'!$L$7"))</f>
        <v/>
      </c>
      <c r="AI88" s="83">
        <f t="array" ref="AI88">IFERROR(OFFSET($BZ$11,ROW($B88)-11,MATCH(AI$10,$CA88:$FV88,0),),"")</f>
        <v/>
      </c>
      <c r="AJ88" s="83">
        <f>IF(AI88="","",IF(VLOOKUP($B88,INDIRECT("'GRD-"&amp;AK88&amp;"'!$B:$R"),16,FALSE)="","",VLOOKUP($B88,INDIRECT("'GRD-"&amp;AK88&amp;"'!$B:$R"),16,FALSE)))</f>
        <v/>
      </c>
      <c r="AK88" s="128">
        <f t="array" ref="AK88">IF(AI88="","",IFERROR(OFFSET($BZ$11,0,MATCH($AI88,$CA88:$FV88,0),),""))</f>
        <v/>
      </c>
      <c r="AL88" s="133">
        <f t="array" ref="AL88">IF(AI88="","",INDIRECT("'GRD-"&amp;AK88&amp;"'!$L$7"))</f>
        <v/>
      </c>
      <c r="AM88" s="84">
        <f t="array" ref="AM88">IFERROR(OFFSET($BZ$11,ROW($B88)-11,MATCH(AM$10,$CA88:$FV88,0),),"")</f>
        <v/>
      </c>
      <c r="AN88" s="84">
        <f>IF(AM88="","",IF(VLOOKUP($B88,INDIRECT("'GRD-"&amp;AO88&amp;"'!$B:$R"),16,FALSE)="","",VLOOKUP($B88,INDIRECT("'GRD-"&amp;AO88&amp;"'!$B:$R"),16,FALSE)))</f>
        <v/>
      </c>
      <c r="AO88" s="129">
        <f t="array" ref="AO88">IF(AM88="","",IFERROR(OFFSET($BZ$11,0,MATCH($AM88,$CA88:$FV88,0),),""))</f>
        <v/>
      </c>
      <c r="AP88" s="134">
        <f t="array" ref="AP88">IF(AM88="","",INDIRECT("'GRD-"&amp;AO88&amp;"'!$L$7"))</f>
        <v/>
      </c>
      <c r="AQ88" s="85">
        <f t="array" ref="AQ88">IFERROR(OFFSET($BZ$11,ROW($B88)-11,MATCH(AQ$10,$CA88:$FV88,0),),"")</f>
        <v/>
      </c>
      <c r="AR88" s="85">
        <f>IF(AQ88="","",IF(VLOOKUP($B88,INDIRECT("'GRD-"&amp;AS88&amp;"'!$B:$R"),16,FALSE)="","",VLOOKUP($B88,INDIRECT("'GRD-"&amp;AS88&amp;"'!$B:$R"),16,FALSE)))</f>
        <v/>
      </c>
      <c r="AS88" s="130">
        <f t="array" ref="AS88">IF(AQ88="","",IFERROR(OFFSET($BZ$11,0,MATCH($AQ88,$CA88:$FV88,0),),""))</f>
        <v/>
      </c>
      <c r="AT88" s="131">
        <f t="array" ref="AT88">IF(AQ88="","",INDIRECT("'GRD-"&amp;AS88&amp;"'!$L$7"))</f>
        <v/>
      </c>
      <c r="AU88" s="76">
        <f t="array" ref="AU88">IFERROR(OFFSET($BZ$11,ROW($B88)-11,MATCH(AU$10,$CA88:$FV88,0),),"")</f>
        <v/>
      </c>
      <c r="AV88" s="76">
        <f>IF(AU88="","",IF(VLOOKUP($B88,INDIRECT("'GRD-"&amp;AW88&amp;"'!$B:$R"),16,FALSE)="","",VLOOKUP($B88,INDIRECT("'GRD-"&amp;AW88&amp;"'!$B:$R"),16,FALSE)))</f>
        <v/>
      </c>
      <c r="AW88" s="132">
        <f t="array" ref="AW88">IF(AU88="","",IFERROR(OFFSET($BZ$11,0,MATCH($AU88,$CA88:$FV88,0),),""))</f>
        <v/>
      </c>
      <c r="AX88" s="121">
        <f t="array" ref="AX88">IF(AU88="","",INDIRECT("'GRD-"&amp;AW88&amp;"'!$L$7"))</f>
        <v/>
      </c>
      <c r="AY88" s="83">
        <f t="array" ref="AY88">IFERROR(OFFSET($BZ$11,ROW($B88)-11,MATCH(AY$10,$CA88:$FV88,0),),"")</f>
        <v/>
      </c>
      <c r="AZ88" s="83">
        <f>IF(AY88="","",IF(VLOOKUP($B88,INDIRECT("'GRD-"&amp;BA88&amp;"'!$B:$R"),16,FALSE)="","",VLOOKUP($B88,INDIRECT("'GRD-"&amp;BA88&amp;"'!$B:$R"),16,FALSE)))</f>
        <v/>
      </c>
      <c r="BA88" s="128">
        <f t="array" ref="BA88">IF(AY88="","",IFERROR(OFFSET($BZ$11,0,MATCH($AY88,$CA88:$FV88,0),),""))</f>
        <v/>
      </c>
      <c r="BB88" s="133">
        <f t="array" ref="BB88">IF(AY88="","",INDIRECT("'GRD-"&amp;BA88&amp;"'!$L$7"))</f>
        <v/>
      </c>
      <c r="BC88" s="84">
        <f t="array" ref="BC88">IFERROR(OFFSET($BZ$11,ROW($B88)-11,MATCH(BC$10,$CA88:$FV88,0),),"")</f>
        <v/>
      </c>
      <c r="BD88" s="84">
        <f>IF(BC88="","",IF(VLOOKUP($B88,INDIRECT("'GRD-"&amp;BE88&amp;"'!$B:$R"),16,FALSE)="","",VLOOKUP($B88,INDIRECT("'GRD-"&amp;BE88&amp;"'!$B:$R"),16,FALSE)))</f>
        <v/>
      </c>
      <c r="BE88" s="129">
        <f t="array" ref="BE88">IF(BC88="","",IFERROR(OFFSET($BZ$11,0,MATCH($BC88,$CA88:$FV88,0),),""))</f>
        <v/>
      </c>
      <c r="BF88" s="134">
        <f t="array" ref="BF88">IF(BC88="","",INDIRECT("'GRD-"&amp;BE88&amp;"'!$L$7"))</f>
        <v/>
      </c>
      <c r="CA88" s="96">
        <f>IFERROR(VLOOKUP($B88,INDIRECT("'GRD-"&amp;CA$11&amp;"'!B:R"),15,FALSE),"")</f>
        <v/>
      </c>
      <c r="CB88" s="96">
        <f>IFERROR(VLOOKUP($B88,INDIRECT("'GRD-"&amp;CB$11&amp;"'!B:R"),15,FALSE),"")</f>
        <v/>
      </c>
      <c r="CC88" s="96">
        <f>IFERROR(VLOOKUP($B88,INDIRECT("'GRD-"&amp;CC$11&amp;"'!B:R"),15,FALSE),"")</f>
        <v/>
      </c>
      <c r="CD88" s="96">
        <f>IFERROR(VLOOKUP($B88,INDIRECT("'GRD-"&amp;CD$11&amp;"'!B:R"),15,FALSE),"")</f>
        <v/>
      </c>
      <c r="CE88" s="96">
        <f>IFERROR(VLOOKUP($B88,INDIRECT("'GRD-"&amp;CE$11&amp;"'!B:R"),15,FALSE),"")</f>
        <v/>
      </c>
      <c r="CF88" s="96">
        <f>IFERROR(VLOOKUP($B88,INDIRECT("'GRD-"&amp;CF$11&amp;"'!B:R"),15,FALSE),"")</f>
        <v/>
      </c>
      <c r="CG88" s="96">
        <f>IFERROR(VLOOKUP($B88,INDIRECT("'GRD-"&amp;CG$11&amp;"'!B:R"),15,FALSE),"")</f>
        <v/>
      </c>
      <c r="CH88" s="96">
        <f>IFERROR(VLOOKUP($B88,INDIRECT("'GRD-"&amp;CH$11&amp;"'!B:R"),15,FALSE),"")</f>
        <v/>
      </c>
      <c r="CI88" s="96">
        <f>IFERROR(VLOOKUP($B88,INDIRECT("'GRD-"&amp;CI$11&amp;"'!B:R"),15,FALSE),"")</f>
        <v/>
      </c>
      <c r="CJ88" s="96">
        <f>IFERROR(VLOOKUP($B88,INDIRECT("'GRD-"&amp;CJ$11&amp;"'!B:R"),15,FALSE),"")</f>
        <v/>
      </c>
      <c r="CK88" s="96">
        <f>IFERROR(VLOOKUP($B88,INDIRECT("'GRD-"&amp;CK$11&amp;"'!B:R"),15,FALSE),"")</f>
        <v/>
      </c>
      <c r="CL88" s="96">
        <f>IFERROR(VLOOKUP($B88,INDIRECT("'GRD-"&amp;CL$11&amp;"'!B:R"),15,FALSE),"")</f>
        <v/>
      </c>
      <c r="CM88" s="96">
        <f>IFERROR(VLOOKUP($B88,INDIRECT("'GRD-"&amp;CM$11&amp;"'!B:R"),15,FALSE),"")</f>
        <v/>
      </c>
      <c r="CN88" s="96">
        <f>IFERROR(VLOOKUP($B88,INDIRECT("'GRD-"&amp;CN$11&amp;"'!B:R"),15,FALSE),"")</f>
        <v/>
      </c>
      <c r="CO88" s="96">
        <f>IFERROR(VLOOKUP($B88,INDIRECT("'GRD-"&amp;CO$11&amp;"'!B:R"),15,FALSE),"")</f>
        <v/>
      </c>
      <c r="CP88" s="96">
        <f>IFERROR(VLOOKUP($B88,INDIRECT("'GRD-"&amp;CP$11&amp;"'!B:R"),15,FALSE),"")</f>
        <v/>
      </c>
      <c r="CQ88" s="96">
        <f>IFERROR(VLOOKUP($B88,INDIRECT("'GRD-"&amp;CQ$11&amp;"'!B:R"),15,FALSE),"")</f>
        <v/>
      </c>
      <c r="CR88" s="96">
        <f>IFERROR(VLOOKUP($B88,INDIRECT("'GRD-"&amp;CR$11&amp;"'!B:R"),15,FALSE),"")</f>
        <v/>
      </c>
      <c r="CS88" s="96">
        <f>IFERROR(VLOOKUP($B88,INDIRECT("'GRD-"&amp;CS$11&amp;"'!B:R"),15,FALSE),"")</f>
        <v/>
      </c>
      <c r="CT88" s="96">
        <f>IFERROR(VLOOKUP($B88,INDIRECT("'GRD-"&amp;CT$11&amp;"'!B:R"),15,FALSE),"")</f>
        <v/>
      </c>
      <c r="CU88" s="96">
        <f>IFERROR(VLOOKUP($B88,INDIRECT("'GRD-"&amp;CU$11&amp;"'!B:R"),15,FALSE),"")</f>
        <v/>
      </c>
      <c r="CV88" s="96">
        <f>IFERROR(VLOOKUP($B88,INDIRECT("'GRD-"&amp;CV$11&amp;"'!B:R"),15,FALSE),"")</f>
        <v/>
      </c>
      <c r="CW88" s="96">
        <f>IFERROR(VLOOKUP($B88,INDIRECT("'GRD-"&amp;CW$11&amp;"'!B:R"),15,FALSE),"")</f>
        <v/>
      </c>
      <c r="CX88" s="96">
        <f>IFERROR(VLOOKUP($B88,INDIRECT("'GRD-"&amp;CX$11&amp;"'!B:R"),15,FALSE),"")</f>
        <v/>
      </c>
      <c r="CY88" s="96">
        <f>IFERROR(VLOOKUP($B88,INDIRECT("'GRD-"&amp;CY$11&amp;"'!B:R"),15,FALSE),"")</f>
        <v/>
      </c>
      <c r="CZ88" s="96">
        <f>IFERROR(VLOOKUP($B88,INDIRECT("'GRD-"&amp;CZ$11&amp;"'!B:R"),15,FALSE),"")</f>
        <v/>
      </c>
      <c r="DA88" s="96">
        <f>IFERROR(VLOOKUP($B88,INDIRECT("'GRD-"&amp;DA$11&amp;"'!B:R"),15,FALSE),"")</f>
        <v/>
      </c>
      <c r="DB88" s="96">
        <f>IFERROR(VLOOKUP($B88,INDIRECT("'GRD-"&amp;DB$11&amp;"'!B:R"),15,FALSE),"")</f>
        <v/>
      </c>
      <c r="DC88" s="96">
        <f>IFERROR(VLOOKUP($B88,INDIRECT("'GRD-"&amp;DC$11&amp;"'!B:R"),15,FALSE),"")</f>
        <v/>
      </c>
      <c r="DD88" s="96">
        <f>IFERROR(VLOOKUP($B88,INDIRECT("'GRD-"&amp;DD$11&amp;"'!B:R"),15,FALSE),"")</f>
        <v/>
      </c>
      <c r="DE88" s="96">
        <f>IFERROR(VLOOKUP($B88,INDIRECT("'GRD-"&amp;DE$11&amp;"'!B:R"),15,FALSE),"")</f>
        <v/>
      </c>
      <c r="DF88" s="96">
        <f>IFERROR(VLOOKUP($B88,INDIRECT("'GRD-"&amp;DF$11&amp;"'!B:R"),15,FALSE),"")</f>
        <v/>
      </c>
      <c r="DG88" s="96">
        <f>IFERROR(VLOOKUP($B88,INDIRECT("'GRD-"&amp;DG$11&amp;"'!B:R"),15,FALSE),"")</f>
        <v/>
      </c>
      <c r="DH88" s="96">
        <f>IFERROR(VLOOKUP($B88,INDIRECT("'GRD-"&amp;DH$11&amp;"'!B:R"),15,FALSE),"")</f>
        <v/>
      </c>
      <c r="DI88" s="96">
        <f>IFERROR(VLOOKUP($B88,INDIRECT("'GRD-"&amp;DI$11&amp;"'!B:R"),15,FALSE),"")</f>
        <v/>
      </c>
      <c r="DJ88" s="96">
        <f>IFERROR(VLOOKUP($B88,INDIRECT("'GRD-"&amp;DJ$11&amp;"'!B:R"),15,FALSE),"")</f>
        <v/>
      </c>
      <c r="DK88" s="96">
        <f>IFERROR(VLOOKUP($B88,INDIRECT("'GRD-"&amp;DK$11&amp;"'!B:R"),15,FALSE),"")</f>
        <v/>
      </c>
      <c r="DL88" s="96">
        <f>IFERROR(VLOOKUP($B88,INDIRECT("'GRD-"&amp;DL$11&amp;"'!B:R"),15,FALSE),"")</f>
        <v/>
      </c>
      <c r="DM88" s="96">
        <f>IFERROR(VLOOKUP($B88,INDIRECT("'GRD-"&amp;DM$11&amp;"'!B:R"),15,FALSE),"")</f>
        <v/>
      </c>
      <c r="DN88" s="96">
        <f>IFERROR(VLOOKUP($B88,INDIRECT("'GRD-"&amp;DN$11&amp;"'!B:R"),15,FALSE),"")</f>
        <v/>
      </c>
      <c r="DO88" s="96">
        <f>IFERROR(VLOOKUP($B88,INDIRECT("'GRD-"&amp;DO$11&amp;"'!B:R"),15,FALSE),"")</f>
        <v/>
      </c>
      <c r="DP88" s="96">
        <f>IFERROR(VLOOKUP($B88,INDIRECT("'GRD-"&amp;DP$11&amp;"'!B:R"),15,FALSE),"")</f>
        <v/>
      </c>
      <c r="DQ88" s="96">
        <f>IFERROR(VLOOKUP($B88,INDIRECT("'GRD-"&amp;DQ$11&amp;"'!B:R"),15,FALSE),"")</f>
        <v/>
      </c>
      <c r="DR88" s="96">
        <f>IFERROR(VLOOKUP($B88,INDIRECT("'GRD-"&amp;DR$11&amp;"'!B:R"),15,FALSE),"")</f>
        <v/>
      </c>
      <c r="DS88" s="96">
        <f>IFERROR(VLOOKUP($B88,INDIRECT("'GRD-"&amp;DS$11&amp;"'!B:R"),15,FALSE),"")</f>
        <v/>
      </c>
      <c r="DT88" s="96">
        <f>IFERROR(VLOOKUP($B88,INDIRECT("'GRD-"&amp;DT$11&amp;"'!B:R"),15,FALSE),"")</f>
        <v/>
      </c>
      <c r="DU88" s="96">
        <f>IFERROR(VLOOKUP($B88,INDIRECT("'GRD-"&amp;DU$11&amp;"'!B:R"),15,FALSE),"")</f>
        <v/>
      </c>
      <c r="DV88" s="96">
        <f>IFERROR(VLOOKUP($B88,INDIRECT("'GRD-"&amp;DV$11&amp;"'!B:R"),15,FALSE),"")</f>
        <v/>
      </c>
      <c r="DW88" s="96">
        <f>IFERROR(VLOOKUP($B88,INDIRECT("'GRD-"&amp;DW$11&amp;"'!B:R"),15,FALSE),"")</f>
        <v/>
      </c>
      <c r="DX88" s="96">
        <f>IFERROR(VLOOKUP($B88,INDIRECT("'GRD-"&amp;DX$11&amp;"'!B:R"),15,FALSE),"")</f>
        <v/>
      </c>
      <c r="DY88" s="96">
        <f>IFERROR(VLOOKUP($B88,INDIRECT("'GRD-"&amp;DY$11&amp;"'!B:R"),15,FALSE),"")</f>
        <v/>
      </c>
      <c r="DZ88" s="96">
        <f>IFERROR(VLOOKUP($B88,INDIRECT("'GRD-"&amp;DZ$11&amp;"'!B:R"),15,FALSE),"")</f>
        <v/>
      </c>
      <c r="EA88" s="96">
        <f>IFERROR(VLOOKUP($B88,INDIRECT("'GRD-"&amp;EA$11&amp;"'!B:R"),15,FALSE),"")</f>
        <v/>
      </c>
      <c r="EB88" s="96">
        <f>IFERROR(VLOOKUP($B88,INDIRECT("'GRD-"&amp;EB$11&amp;"'!B:R"),15,FALSE),"")</f>
        <v/>
      </c>
      <c r="EC88" s="96">
        <f>IFERROR(VLOOKUP($B88,INDIRECT("'GRD-"&amp;EC$11&amp;"'!B:R"),15,FALSE),"")</f>
        <v/>
      </c>
      <c r="ED88" s="96">
        <f>IFERROR(VLOOKUP($B88,INDIRECT("'GRD-"&amp;ED$11&amp;"'!B:R"),15,FALSE),"")</f>
        <v/>
      </c>
      <c r="EE88" s="96">
        <f>IFERROR(VLOOKUP($B88,INDIRECT("'GRD-"&amp;EE$11&amp;"'!B:R"),15,FALSE),"")</f>
        <v/>
      </c>
      <c r="EF88" s="96">
        <f>IFERROR(VLOOKUP($B88,INDIRECT("'GRD-"&amp;EF$11&amp;"'!B:R"),15,FALSE),"")</f>
        <v/>
      </c>
      <c r="EG88" s="96">
        <f>IFERROR(VLOOKUP($B88,INDIRECT("'GRD-"&amp;EG$11&amp;"'!B:R"),15,FALSE),"")</f>
        <v/>
      </c>
      <c r="EH88" s="96">
        <f>IFERROR(VLOOKUP($B88,INDIRECT("'GRD-"&amp;EH$11&amp;"'!B:R"),15,FALSE),"")</f>
        <v/>
      </c>
      <c r="EI88" s="96">
        <f>IFERROR(VLOOKUP($B88,INDIRECT("'GRD-"&amp;EI$11&amp;"'!B:R"),15,FALSE),"")</f>
        <v/>
      </c>
      <c r="EJ88" s="96">
        <f>IFERROR(VLOOKUP($B88,INDIRECT("'GRD-"&amp;EJ$11&amp;"'!B:R"),15,FALSE),"")</f>
        <v/>
      </c>
      <c r="EK88" s="96">
        <f>IFERROR(VLOOKUP($B88,INDIRECT("'GRD-"&amp;EK$11&amp;"'!B:R"),15,FALSE),"")</f>
        <v/>
      </c>
      <c r="EL88" s="96">
        <f>IFERROR(VLOOKUP($B88,INDIRECT("'GRD-"&amp;EL$11&amp;"'!B:R"),15,FALSE),"")</f>
        <v/>
      </c>
      <c r="EM88" s="96">
        <f>IFERROR(VLOOKUP($B88,INDIRECT("'GRD-"&amp;EM$11&amp;"'!B:R"),15,FALSE),"")</f>
        <v/>
      </c>
      <c r="EN88" s="96">
        <f>IFERROR(VLOOKUP($B88,INDIRECT("'GRD-"&amp;EN$11&amp;"'!B:R"),15,FALSE),"")</f>
        <v/>
      </c>
      <c r="EO88" s="96">
        <f>IFERROR(VLOOKUP($B88,INDIRECT("'GRD-"&amp;EO$11&amp;"'!B:R"),15,FALSE),"")</f>
        <v/>
      </c>
      <c r="EP88" s="96">
        <f>IFERROR(VLOOKUP($B88,INDIRECT("'GRD-"&amp;EP$11&amp;"'!B:R"),15,FALSE),"")</f>
        <v/>
      </c>
      <c r="EQ88" s="96">
        <f>IFERROR(VLOOKUP($B88,INDIRECT("'GRD-"&amp;EQ$11&amp;"'!B:R"),15,FALSE),"")</f>
        <v/>
      </c>
      <c r="ER88" s="96">
        <f>IFERROR(VLOOKUP($B88,INDIRECT("'GRD-"&amp;ER$11&amp;"'!B:R"),15,FALSE),"")</f>
        <v/>
      </c>
      <c r="ES88" s="96">
        <f>IFERROR(VLOOKUP($B88,INDIRECT("'GRD-"&amp;ES$11&amp;"'!B:R"),15,FALSE),"")</f>
        <v/>
      </c>
      <c r="ET88" s="96">
        <f>IFERROR(VLOOKUP($B88,INDIRECT("'GRD-"&amp;ET$11&amp;"'!B:R"),15,FALSE),"")</f>
        <v/>
      </c>
      <c r="EU88" s="96">
        <f>IFERROR(VLOOKUP($B88,INDIRECT("'GRD-"&amp;EU$11&amp;"'!B:R"),15,FALSE),"")</f>
        <v/>
      </c>
      <c r="EV88" s="96">
        <f>IFERROR(VLOOKUP($B88,INDIRECT("'GRD-"&amp;EV$11&amp;"'!B:R"),15,FALSE),"")</f>
        <v/>
      </c>
      <c r="EW88" s="96">
        <f>IFERROR(VLOOKUP($B88,INDIRECT("'GRD-"&amp;EW$11&amp;"'!B:R"),15,FALSE),"")</f>
        <v/>
      </c>
      <c r="EX88" s="96">
        <f>IFERROR(VLOOKUP($B88,INDIRECT("'GRD-"&amp;EX$11&amp;"'!B:R"),15,FALSE),"")</f>
        <v/>
      </c>
      <c r="EY88" s="96">
        <f>IFERROR(VLOOKUP($B88,INDIRECT("'GRD-"&amp;EY$11&amp;"'!B:R"),15,FALSE),"")</f>
        <v/>
      </c>
      <c r="EZ88" s="96">
        <f>IFERROR(VLOOKUP($B88,INDIRECT("'GRD-"&amp;EZ$11&amp;"'!B:R"),15,FALSE),"")</f>
        <v/>
      </c>
      <c r="FA88" s="96">
        <f>IFERROR(VLOOKUP($B88,INDIRECT("'GRD-"&amp;FA$11&amp;"'!B:R"),15,FALSE),"")</f>
        <v/>
      </c>
      <c r="FB88" s="96">
        <f>IFERROR(VLOOKUP($B88,INDIRECT("'GRD-"&amp;FB$11&amp;"'!B:R"),15,FALSE),"")</f>
        <v/>
      </c>
      <c r="FC88" s="96">
        <f>IFERROR(VLOOKUP($B88,INDIRECT("'GRD-"&amp;FC$11&amp;"'!B:R"),15,FALSE),"")</f>
        <v/>
      </c>
      <c r="FD88" s="96">
        <f>IFERROR(VLOOKUP($B88,INDIRECT("'GRD-"&amp;FD$11&amp;"'!B:R"),15,FALSE),"")</f>
        <v/>
      </c>
      <c r="FE88" s="96">
        <f>IFERROR(VLOOKUP($B88,INDIRECT("'GRD-"&amp;FE$11&amp;"'!B:R"),15,FALSE),"")</f>
        <v/>
      </c>
      <c r="FF88" s="96">
        <f>IFERROR(VLOOKUP($B88,INDIRECT("'GRD-"&amp;FF$11&amp;"'!B:R"),15,FALSE),"")</f>
        <v/>
      </c>
      <c r="FG88" s="96">
        <f>IFERROR(VLOOKUP($B88,INDIRECT("'GRD-"&amp;FG$11&amp;"'!B:R"),15,FALSE),"")</f>
        <v/>
      </c>
      <c r="FH88" s="96">
        <f>IFERROR(VLOOKUP($B88,INDIRECT("'GRD-"&amp;FH$11&amp;"'!B:R"),15,FALSE),"")</f>
        <v/>
      </c>
      <c r="FI88" s="96">
        <f>IFERROR(VLOOKUP($B88,INDIRECT("'GRD-"&amp;FI$11&amp;"'!B:R"),15,FALSE),"")</f>
        <v/>
      </c>
      <c r="FJ88" s="96">
        <f>IFERROR(VLOOKUP($B88,INDIRECT("'GRD-"&amp;FJ$11&amp;"'!B:R"),15,FALSE),"")</f>
        <v/>
      </c>
      <c r="FK88" s="96">
        <f>IFERROR(VLOOKUP($B88,INDIRECT("'GRD-"&amp;FK$11&amp;"'!B:R"),15,FALSE),"")</f>
        <v/>
      </c>
      <c r="FL88" s="96">
        <f>IFERROR(VLOOKUP($B88,INDIRECT("'GRD-"&amp;FL$11&amp;"'!B:R"),15,FALSE),"")</f>
        <v/>
      </c>
      <c r="FM88" s="96">
        <f>IFERROR(VLOOKUP($B88,INDIRECT("'GRD-"&amp;FM$11&amp;"'!B:R"),15,FALSE),"")</f>
        <v/>
      </c>
      <c r="FN88" s="96">
        <f>IFERROR(VLOOKUP($B88,INDIRECT("'GRD-"&amp;FN$11&amp;"'!B:R"),15,FALSE),"")</f>
        <v/>
      </c>
      <c r="FO88" s="96">
        <f>IFERROR(VLOOKUP($B88,INDIRECT("'GRD-"&amp;FO$11&amp;"'!B:R"),15,FALSE),"")</f>
        <v/>
      </c>
      <c r="FP88" s="96">
        <f>IFERROR(VLOOKUP($B88,INDIRECT("'GRD-"&amp;FP$11&amp;"'!B:R"),15,FALSE),"")</f>
        <v/>
      </c>
      <c r="FQ88" s="96">
        <f>IFERROR(VLOOKUP($B88,INDIRECT("'GRD-"&amp;FQ$11&amp;"'!B:R"),15,FALSE),"")</f>
        <v/>
      </c>
      <c r="FR88" s="96">
        <f>IFERROR(VLOOKUP($B88,INDIRECT("'GRD-"&amp;FR$11&amp;"'!B:R"),15,FALSE),"")</f>
        <v/>
      </c>
      <c r="FS88" s="96">
        <f>IFERROR(VLOOKUP($B88,INDIRECT("'GRD-"&amp;FS$11&amp;"'!B:R"),15,FALSE),"")</f>
        <v/>
      </c>
      <c r="FT88" s="96">
        <f>IFERROR(VLOOKUP($B88,INDIRECT("'GRD-"&amp;FT$11&amp;"'!B:R"),15,FALSE),"")</f>
        <v/>
      </c>
      <c r="FU88" s="96">
        <f>IFERROR(VLOOKUP($B88,INDIRECT("'GRD-"&amp;FU$11&amp;"'!B:R"),15,FALSE),"")</f>
        <v/>
      </c>
      <c r="FV88" s="96">
        <f>IFERROR(VLOOKUP($B88,INDIRECT("'GRD-"&amp;FV$11&amp;"'!B:R"),15,FALSE),"")</f>
        <v/>
      </c>
    </row>
    <row r="89">
      <c r="B89" s="85" t="n"/>
      <c r="C89" s="93" t="n"/>
      <c r="D89" s="73">
        <f>IF(K89="","",MAX($CA89:$FV89))</f>
        <v/>
      </c>
      <c r="E89" s="74">
        <f t="array" ref="E89">IF($K89="","",OFFSET($A$1,ROW($B89)-1,11+$D89*4,))</f>
        <v/>
      </c>
      <c r="F89" s="74">
        <f t="array" ref="F89">IF($K89="","",OFFSET($A$1,ROW($B89)-1,12+$D89*4,))</f>
        <v/>
      </c>
      <c r="G89" s="118">
        <f t="array" ref="G89">IF($K89="","",OFFSET($A$1,ROW($B89)-1,13+$D89*4,))</f>
        <v/>
      </c>
      <c r="H89" s="81" t="n"/>
      <c r="I89" s="82" t="n"/>
      <c r="J89" s="75">
        <f>IF(I89="A4",H89/8,IF(I89="A3",H89/4,IF(I89="A2",H89/2,IF(I89="A1",H89/1,IF(I89="A0",H89*2,"")))))</f>
        <v/>
      </c>
      <c r="K89" s="68">
        <f t="array" ref="K89">IFERROR(OFFSET($BZ$11,ROW($B89)-11,MATCH(K$10,$CA89:$FV89,0),),"")</f>
        <v/>
      </c>
      <c r="L89" s="85">
        <f>IF(K89="","",IF(VLOOKUP($B89,INDIRECT("'GRD-"&amp;M89&amp;"'!$B:$R"),16,FALSE)="","",VLOOKUP($B89,INDIRECT("'GRD-"&amp;M89&amp;"'!$B:$R"),16,FALSE)))</f>
        <v/>
      </c>
      <c r="M89" s="130">
        <f t="array" ref="M89">IF(K89="","",IFERROR(OFFSET($BZ$11,0,MATCH($K89,$CA89:$FV89,0),),""))</f>
        <v/>
      </c>
      <c r="N89" s="119">
        <f t="array" ref="N89">IF(K89="","",INDIRECT("'GRD-"&amp;M89&amp;"'!$L$7"))</f>
        <v/>
      </c>
      <c r="O89" s="76">
        <f t="array" ref="O89">IFERROR(OFFSET($BZ$11,ROW($B89)-11,MATCH(O$10,$CA89:$FV89,0),),"")</f>
        <v/>
      </c>
      <c r="P89" s="76">
        <f>IF(O89="","",IF(VLOOKUP($B89,INDIRECT("'GRD-"&amp;Q89&amp;"'!$B:$R"),16,FALSE)="","",VLOOKUP($B89,INDIRECT("'GRD-"&amp;Q89&amp;"'!$B:$R"),16,FALSE)))</f>
        <v/>
      </c>
      <c r="Q89" s="132">
        <f t="array" ref="Q89">IF(O89="","",IFERROR(OFFSET($BZ$11,0,MATCH($O89,$CA89:$FV89,0),),""))</f>
        <v/>
      </c>
      <c r="R89" s="121">
        <f t="array" ref="R89">IF(O89="","",INDIRECT("'GRD-"&amp;Q89&amp;"'!$L$7"))</f>
        <v/>
      </c>
      <c r="S89" s="83">
        <f t="array" ref="S89">IFERROR(OFFSET($BZ$11,ROW($B89)-11,MATCH(S$10,$CA89:$FV89,0),),"")</f>
        <v/>
      </c>
      <c r="T89" s="83">
        <f>IF(S89="","",IF(VLOOKUP($B89,INDIRECT("'GRD-"&amp;U89&amp;"'!$B:$R"),16,FALSE)="","",VLOOKUP($B89,INDIRECT("'GRD-"&amp;U89&amp;"'!$B:$R"),16,FALSE)))</f>
        <v/>
      </c>
      <c r="U89" s="128">
        <f t="array" ref="U89">IF(S89="","",IFERROR(OFFSET($BZ$11,0,MATCH($S89,$CA89:$FV89,0),),""))</f>
        <v/>
      </c>
      <c r="V89" s="133">
        <f t="array" ref="V89">IF(S89="","",INDIRECT("'GRD-"&amp;U89&amp;"'!$L$7"))</f>
        <v/>
      </c>
      <c r="W89" s="84">
        <f t="array" ref="W89">IFERROR(OFFSET($BZ$11,ROW($B89)-11,MATCH(W$10,$CA89:$FV89,0),),"")</f>
        <v/>
      </c>
      <c r="X89" s="84">
        <f>IF(W89="","",IF(VLOOKUP($B89,INDIRECT("'GRD-"&amp;Y89&amp;"'!$B:$R"),16,FALSE)="","",VLOOKUP($B89,INDIRECT("'GRD-"&amp;Y89&amp;"'!$B:$R"),16,FALSE)))</f>
        <v/>
      </c>
      <c r="Y89" s="129">
        <f t="array" ref="Y89">IF(W89="","",IFERROR(OFFSET($BZ$11,0,MATCH($W89,$CA89:$FV89,0),),""))</f>
        <v/>
      </c>
      <c r="Z89" s="134">
        <f t="array" ref="Z89">IF(W89="","",INDIRECT("'GRD-"&amp;Y89&amp;"'!$L$7"))</f>
        <v/>
      </c>
      <c r="AA89" s="85">
        <f t="array" ref="AA89">IFERROR(OFFSET($BZ$11,ROW($B89)-11,MATCH(AA$10,$CA89:$FV89,0),),"")</f>
        <v/>
      </c>
      <c r="AB89" s="85">
        <f>IF(AA89="","",IF(VLOOKUP($B89,INDIRECT("'GRD-"&amp;AC89&amp;"'!$B:$R"),16,FALSE)="","",VLOOKUP($B89,INDIRECT("'GRD-"&amp;AC89&amp;"'!$B:$R"),16,FALSE)))</f>
        <v/>
      </c>
      <c r="AC89" s="130">
        <f t="array" ref="AC89">IF(AA89="","",IFERROR(OFFSET($BZ$11,0,MATCH($AA89,$CA89:$FV89,0),),""))</f>
        <v/>
      </c>
      <c r="AD89" s="131">
        <f t="array" ref="AD89">IF(AA89="","",INDIRECT("'GRD-"&amp;AC89&amp;"'!$L$7"))</f>
        <v/>
      </c>
      <c r="AE89" s="76">
        <f t="array" ref="AE89">IFERROR(OFFSET($BZ$11,ROW($B89)-11,MATCH(AE$10,$CA89:$FV89,0),),"")</f>
        <v/>
      </c>
      <c r="AF89" s="76">
        <f>IF(AE89="","",IF(VLOOKUP($B89,INDIRECT("'GRD-"&amp;AG89&amp;"'!$B:$R"),16,FALSE)="","",VLOOKUP($B89,INDIRECT("'GRD-"&amp;AG89&amp;"'!$B:$R"),16,FALSE)))</f>
        <v/>
      </c>
      <c r="AG89" s="132">
        <f t="array" ref="AG89">IF(AE89="","",IFERROR(OFFSET($BZ$11,0,MATCH($AE89,$CA89:$FV89,0),),""))</f>
        <v/>
      </c>
      <c r="AH89" s="121">
        <f t="array" ref="AH89">IF(AE89="","",INDIRECT("'GRD-"&amp;AG89&amp;"'!$L$7"))</f>
        <v/>
      </c>
      <c r="AI89" s="83">
        <f t="array" ref="AI89">IFERROR(OFFSET($BZ$11,ROW($B89)-11,MATCH(AI$10,$CA89:$FV89,0),),"")</f>
        <v/>
      </c>
      <c r="AJ89" s="83">
        <f>IF(AI89="","",IF(VLOOKUP($B89,INDIRECT("'GRD-"&amp;AK89&amp;"'!$B:$R"),16,FALSE)="","",VLOOKUP($B89,INDIRECT("'GRD-"&amp;AK89&amp;"'!$B:$R"),16,FALSE)))</f>
        <v/>
      </c>
      <c r="AK89" s="128">
        <f t="array" ref="AK89">IF(AI89="","",IFERROR(OFFSET($BZ$11,0,MATCH($AI89,$CA89:$FV89,0),),""))</f>
        <v/>
      </c>
      <c r="AL89" s="133">
        <f t="array" ref="AL89">IF(AI89="","",INDIRECT("'GRD-"&amp;AK89&amp;"'!$L$7"))</f>
        <v/>
      </c>
      <c r="AM89" s="84">
        <f t="array" ref="AM89">IFERROR(OFFSET($BZ$11,ROW($B89)-11,MATCH(AM$10,$CA89:$FV89,0),),"")</f>
        <v/>
      </c>
      <c r="AN89" s="84">
        <f>IF(AM89="","",IF(VLOOKUP($B89,INDIRECT("'GRD-"&amp;AO89&amp;"'!$B:$R"),16,FALSE)="","",VLOOKUP($B89,INDIRECT("'GRD-"&amp;AO89&amp;"'!$B:$R"),16,FALSE)))</f>
        <v/>
      </c>
      <c r="AO89" s="129">
        <f t="array" ref="AO89">IF(AM89="","",IFERROR(OFFSET($BZ$11,0,MATCH($AM89,$CA89:$FV89,0),),""))</f>
        <v/>
      </c>
      <c r="AP89" s="134">
        <f t="array" ref="AP89">IF(AM89="","",INDIRECT("'GRD-"&amp;AO89&amp;"'!$L$7"))</f>
        <v/>
      </c>
      <c r="AQ89" s="85">
        <f t="array" ref="AQ89">IFERROR(OFFSET($BZ$11,ROW($B89)-11,MATCH(AQ$10,$CA89:$FV89,0),),"")</f>
        <v/>
      </c>
      <c r="AR89" s="85">
        <f>IF(AQ89="","",IF(VLOOKUP($B89,INDIRECT("'GRD-"&amp;AS89&amp;"'!$B:$R"),16,FALSE)="","",VLOOKUP($B89,INDIRECT("'GRD-"&amp;AS89&amp;"'!$B:$R"),16,FALSE)))</f>
        <v/>
      </c>
      <c r="AS89" s="130">
        <f t="array" ref="AS89">IF(AQ89="","",IFERROR(OFFSET($BZ$11,0,MATCH($AQ89,$CA89:$FV89,0),),""))</f>
        <v/>
      </c>
      <c r="AT89" s="131">
        <f t="array" ref="AT89">IF(AQ89="","",INDIRECT("'GRD-"&amp;AS89&amp;"'!$L$7"))</f>
        <v/>
      </c>
      <c r="AU89" s="76">
        <f t="array" ref="AU89">IFERROR(OFFSET($BZ$11,ROW($B89)-11,MATCH(AU$10,$CA89:$FV89,0),),"")</f>
        <v/>
      </c>
      <c r="AV89" s="76">
        <f>IF(AU89="","",IF(VLOOKUP($B89,INDIRECT("'GRD-"&amp;AW89&amp;"'!$B:$R"),16,FALSE)="","",VLOOKUP($B89,INDIRECT("'GRD-"&amp;AW89&amp;"'!$B:$R"),16,FALSE)))</f>
        <v/>
      </c>
      <c r="AW89" s="132">
        <f t="array" ref="AW89">IF(AU89="","",IFERROR(OFFSET($BZ$11,0,MATCH($AU89,$CA89:$FV89,0),),""))</f>
        <v/>
      </c>
      <c r="AX89" s="121">
        <f t="array" ref="AX89">IF(AU89="","",INDIRECT("'GRD-"&amp;AW89&amp;"'!$L$7"))</f>
        <v/>
      </c>
      <c r="AY89" s="83">
        <f t="array" ref="AY89">IFERROR(OFFSET($BZ$11,ROW($B89)-11,MATCH(AY$10,$CA89:$FV89,0),),"")</f>
        <v/>
      </c>
      <c r="AZ89" s="83">
        <f>IF(AY89="","",IF(VLOOKUP($B89,INDIRECT("'GRD-"&amp;BA89&amp;"'!$B:$R"),16,FALSE)="","",VLOOKUP($B89,INDIRECT("'GRD-"&amp;BA89&amp;"'!$B:$R"),16,FALSE)))</f>
        <v/>
      </c>
      <c r="BA89" s="128">
        <f t="array" ref="BA89">IF(AY89="","",IFERROR(OFFSET($BZ$11,0,MATCH($AY89,$CA89:$FV89,0),),""))</f>
        <v/>
      </c>
      <c r="BB89" s="133">
        <f t="array" ref="BB89">IF(AY89="","",INDIRECT("'GRD-"&amp;BA89&amp;"'!$L$7"))</f>
        <v/>
      </c>
      <c r="BC89" s="84">
        <f t="array" ref="BC89">IFERROR(OFFSET($BZ$11,ROW($B89)-11,MATCH(BC$10,$CA89:$FV89,0),),"")</f>
        <v/>
      </c>
      <c r="BD89" s="84">
        <f>IF(BC89="","",IF(VLOOKUP($B89,INDIRECT("'GRD-"&amp;BE89&amp;"'!$B:$R"),16,FALSE)="","",VLOOKUP($B89,INDIRECT("'GRD-"&amp;BE89&amp;"'!$B:$R"),16,FALSE)))</f>
        <v/>
      </c>
      <c r="BE89" s="129">
        <f t="array" ref="BE89">IF(BC89="","",IFERROR(OFFSET($BZ$11,0,MATCH($BC89,$CA89:$FV89,0),),""))</f>
        <v/>
      </c>
      <c r="BF89" s="134">
        <f t="array" ref="BF89">IF(BC89="","",INDIRECT("'GRD-"&amp;BE89&amp;"'!$L$7"))</f>
        <v/>
      </c>
      <c r="CA89" s="96">
        <f>IFERROR(VLOOKUP($B89,INDIRECT("'GRD-"&amp;CA$11&amp;"'!B:R"),15,FALSE),"")</f>
        <v/>
      </c>
      <c r="CB89" s="96">
        <f>IFERROR(VLOOKUP($B89,INDIRECT("'GRD-"&amp;CB$11&amp;"'!B:R"),15,FALSE),"")</f>
        <v/>
      </c>
      <c r="CC89" s="96">
        <f>IFERROR(VLOOKUP($B89,INDIRECT("'GRD-"&amp;CC$11&amp;"'!B:R"),15,FALSE),"")</f>
        <v/>
      </c>
      <c r="CD89" s="96">
        <f>IFERROR(VLOOKUP($B89,INDIRECT("'GRD-"&amp;CD$11&amp;"'!B:R"),15,FALSE),"")</f>
        <v/>
      </c>
      <c r="CE89" s="96">
        <f>IFERROR(VLOOKUP($B89,INDIRECT("'GRD-"&amp;CE$11&amp;"'!B:R"),15,FALSE),"")</f>
        <v/>
      </c>
      <c r="CF89" s="96">
        <f>IFERROR(VLOOKUP($B89,INDIRECT("'GRD-"&amp;CF$11&amp;"'!B:R"),15,FALSE),"")</f>
        <v/>
      </c>
      <c r="CG89" s="96">
        <f>IFERROR(VLOOKUP($B89,INDIRECT("'GRD-"&amp;CG$11&amp;"'!B:R"),15,FALSE),"")</f>
        <v/>
      </c>
      <c r="CH89" s="96">
        <f>IFERROR(VLOOKUP($B89,INDIRECT("'GRD-"&amp;CH$11&amp;"'!B:R"),15,FALSE),"")</f>
        <v/>
      </c>
      <c r="CI89" s="96">
        <f>IFERROR(VLOOKUP($B89,INDIRECT("'GRD-"&amp;CI$11&amp;"'!B:R"),15,FALSE),"")</f>
        <v/>
      </c>
      <c r="CJ89" s="96">
        <f>IFERROR(VLOOKUP($B89,INDIRECT("'GRD-"&amp;CJ$11&amp;"'!B:R"),15,FALSE),"")</f>
        <v/>
      </c>
      <c r="CK89" s="96">
        <f>IFERROR(VLOOKUP($B89,INDIRECT("'GRD-"&amp;CK$11&amp;"'!B:R"),15,FALSE),"")</f>
        <v/>
      </c>
      <c r="CL89" s="96">
        <f>IFERROR(VLOOKUP($B89,INDIRECT("'GRD-"&amp;CL$11&amp;"'!B:R"),15,FALSE),"")</f>
        <v/>
      </c>
      <c r="CM89" s="96">
        <f>IFERROR(VLOOKUP($B89,INDIRECT("'GRD-"&amp;CM$11&amp;"'!B:R"),15,FALSE),"")</f>
        <v/>
      </c>
      <c r="CN89" s="96">
        <f>IFERROR(VLOOKUP($B89,INDIRECT("'GRD-"&amp;CN$11&amp;"'!B:R"),15,FALSE),"")</f>
        <v/>
      </c>
      <c r="CO89" s="96">
        <f>IFERROR(VLOOKUP($B89,INDIRECT("'GRD-"&amp;CO$11&amp;"'!B:R"),15,FALSE),"")</f>
        <v/>
      </c>
      <c r="CP89" s="96">
        <f>IFERROR(VLOOKUP($B89,INDIRECT("'GRD-"&amp;CP$11&amp;"'!B:R"),15,FALSE),"")</f>
        <v/>
      </c>
      <c r="CQ89" s="96">
        <f>IFERROR(VLOOKUP($B89,INDIRECT("'GRD-"&amp;CQ$11&amp;"'!B:R"),15,FALSE),"")</f>
        <v/>
      </c>
      <c r="CR89" s="96">
        <f>IFERROR(VLOOKUP($B89,INDIRECT("'GRD-"&amp;CR$11&amp;"'!B:R"),15,FALSE),"")</f>
        <v/>
      </c>
      <c r="CS89" s="96">
        <f>IFERROR(VLOOKUP($B89,INDIRECT("'GRD-"&amp;CS$11&amp;"'!B:R"),15,FALSE),"")</f>
        <v/>
      </c>
      <c r="CT89" s="96">
        <f>IFERROR(VLOOKUP($B89,INDIRECT("'GRD-"&amp;CT$11&amp;"'!B:R"),15,FALSE),"")</f>
        <v/>
      </c>
      <c r="CU89" s="96">
        <f>IFERROR(VLOOKUP($B89,INDIRECT("'GRD-"&amp;CU$11&amp;"'!B:R"),15,FALSE),"")</f>
        <v/>
      </c>
      <c r="CV89" s="96">
        <f>IFERROR(VLOOKUP($B89,INDIRECT("'GRD-"&amp;CV$11&amp;"'!B:R"),15,FALSE),"")</f>
        <v/>
      </c>
      <c r="CW89" s="96">
        <f>IFERROR(VLOOKUP($B89,INDIRECT("'GRD-"&amp;CW$11&amp;"'!B:R"),15,FALSE),"")</f>
        <v/>
      </c>
      <c r="CX89" s="96">
        <f>IFERROR(VLOOKUP($B89,INDIRECT("'GRD-"&amp;CX$11&amp;"'!B:R"),15,FALSE),"")</f>
        <v/>
      </c>
      <c r="CY89" s="96">
        <f>IFERROR(VLOOKUP($B89,INDIRECT("'GRD-"&amp;CY$11&amp;"'!B:R"),15,FALSE),"")</f>
        <v/>
      </c>
      <c r="CZ89" s="96">
        <f>IFERROR(VLOOKUP($B89,INDIRECT("'GRD-"&amp;CZ$11&amp;"'!B:R"),15,FALSE),"")</f>
        <v/>
      </c>
      <c r="DA89" s="96">
        <f>IFERROR(VLOOKUP($B89,INDIRECT("'GRD-"&amp;DA$11&amp;"'!B:R"),15,FALSE),"")</f>
        <v/>
      </c>
      <c r="DB89" s="96">
        <f>IFERROR(VLOOKUP($B89,INDIRECT("'GRD-"&amp;DB$11&amp;"'!B:R"),15,FALSE),"")</f>
        <v/>
      </c>
      <c r="DC89" s="96">
        <f>IFERROR(VLOOKUP($B89,INDIRECT("'GRD-"&amp;DC$11&amp;"'!B:R"),15,FALSE),"")</f>
        <v/>
      </c>
      <c r="DD89" s="96">
        <f>IFERROR(VLOOKUP($B89,INDIRECT("'GRD-"&amp;DD$11&amp;"'!B:R"),15,FALSE),"")</f>
        <v/>
      </c>
      <c r="DE89" s="96">
        <f>IFERROR(VLOOKUP($B89,INDIRECT("'GRD-"&amp;DE$11&amp;"'!B:R"),15,FALSE),"")</f>
        <v/>
      </c>
      <c r="DF89" s="96">
        <f>IFERROR(VLOOKUP($B89,INDIRECT("'GRD-"&amp;DF$11&amp;"'!B:R"),15,FALSE),"")</f>
        <v/>
      </c>
      <c r="DG89" s="96">
        <f>IFERROR(VLOOKUP($B89,INDIRECT("'GRD-"&amp;DG$11&amp;"'!B:R"),15,FALSE),"")</f>
        <v/>
      </c>
      <c r="DH89" s="96">
        <f>IFERROR(VLOOKUP($B89,INDIRECT("'GRD-"&amp;DH$11&amp;"'!B:R"),15,FALSE),"")</f>
        <v/>
      </c>
      <c r="DI89" s="96">
        <f>IFERROR(VLOOKUP($B89,INDIRECT("'GRD-"&amp;DI$11&amp;"'!B:R"),15,FALSE),"")</f>
        <v/>
      </c>
      <c r="DJ89" s="96">
        <f>IFERROR(VLOOKUP($B89,INDIRECT("'GRD-"&amp;DJ$11&amp;"'!B:R"),15,FALSE),"")</f>
        <v/>
      </c>
      <c r="DK89" s="96">
        <f>IFERROR(VLOOKUP($B89,INDIRECT("'GRD-"&amp;DK$11&amp;"'!B:R"),15,FALSE),"")</f>
        <v/>
      </c>
      <c r="DL89" s="96">
        <f>IFERROR(VLOOKUP($B89,INDIRECT("'GRD-"&amp;DL$11&amp;"'!B:R"),15,FALSE),"")</f>
        <v/>
      </c>
      <c r="DM89" s="96">
        <f>IFERROR(VLOOKUP($B89,INDIRECT("'GRD-"&amp;DM$11&amp;"'!B:R"),15,FALSE),"")</f>
        <v/>
      </c>
      <c r="DN89" s="96">
        <f>IFERROR(VLOOKUP($B89,INDIRECT("'GRD-"&amp;DN$11&amp;"'!B:R"),15,FALSE),"")</f>
        <v/>
      </c>
      <c r="DO89" s="96">
        <f>IFERROR(VLOOKUP($B89,INDIRECT("'GRD-"&amp;DO$11&amp;"'!B:R"),15,FALSE),"")</f>
        <v/>
      </c>
      <c r="DP89" s="96">
        <f>IFERROR(VLOOKUP($B89,INDIRECT("'GRD-"&amp;DP$11&amp;"'!B:R"),15,FALSE),"")</f>
        <v/>
      </c>
      <c r="DQ89" s="96">
        <f>IFERROR(VLOOKUP($B89,INDIRECT("'GRD-"&amp;DQ$11&amp;"'!B:R"),15,FALSE),"")</f>
        <v/>
      </c>
      <c r="DR89" s="96">
        <f>IFERROR(VLOOKUP($B89,INDIRECT("'GRD-"&amp;DR$11&amp;"'!B:R"),15,FALSE),"")</f>
        <v/>
      </c>
      <c r="DS89" s="96">
        <f>IFERROR(VLOOKUP($B89,INDIRECT("'GRD-"&amp;DS$11&amp;"'!B:R"),15,FALSE),"")</f>
        <v/>
      </c>
      <c r="DT89" s="96">
        <f>IFERROR(VLOOKUP($B89,INDIRECT("'GRD-"&amp;DT$11&amp;"'!B:R"),15,FALSE),"")</f>
        <v/>
      </c>
      <c r="DU89" s="96">
        <f>IFERROR(VLOOKUP($B89,INDIRECT("'GRD-"&amp;DU$11&amp;"'!B:R"),15,FALSE),"")</f>
        <v/>
      </c>
      <c r="DV89" s="96">
        <f>IFERROR(VLOOKUP($B89,INDIRECT("'GRD-"&amp;DV$11&amp;"'!B:R"),15,FALSE),"")</f>
        <v/>
      </c>
      <c r="DW89" s="96">
        <f>IFERROR(VLOOKUP($B89,INDIRECT("'GRD-"&amp;DW$11&amp;"'!B:R"),15,FALSE),"")</f>
        <v/>
      </c>
      <c r="DX89" s="96">
        <f>IFERROR(VLOOKUP($B89,INDIRECT("'GRD-"&amp;DX$11&amp;"'!B:R"),15,FALSE),"")</f>
        <v/>
      </c>
      <c r="DY89" s="96">
        <f>IFERROR(VLOOKUP($B89,INDIRECT("'GRD-"&amp;DY$11&amp;"'!B:R"),15,FALSE),"")</f>
        <v/>
      </c>
      <c r="DZ89" s="96">
        <f>IFERROR(VLOOKUP($B89,INDIRECT("'GRD-"&amp;DZ$11&amp;"'!B:R"),15,FALSE),"")</f>
        <v/>
      </c>
      <c r="EA89" s="96">
        <f>IFERROR(VLOOKUP($B89,INDIRECT("'GRD-"&amp;EA$11&amp;"'!B:R"),15,FALSE),"")</f>
        <v/>
      </c>
      <c r="EB89" s="96">
        <f>IFERROR(VLOOKUP($B89,INDIRECT("'GRD-"&amp;EB$11&amp;"'!B:R"),15,FALSE),"")</f>
        <v/>
      </c>
      <c r="EC89" s="96">
        <f>IFERROR(VLOOKUP($B89,INDIRECT("'GRD-"&amp;EC$11&amp;"'!B:R"),15,FALSE),"")</f>
        <v/>
      </c>
      <c r="ED89" s="96">
        <f>IFERROR(VLOOKUP($B89,INDIRECT("'GRD-"&amp;ED$11&amp;"'!B:R"),15,FALSE),"")</f>
        <v/>
      </c>
      <c r="EE89" s="96">
        <f>IFERROR(VLOOKUP($B89,INDIRECT("'GRD-"&amp;EE$11&amp;"'!B:R"),15,FALSE),"")</f>
        <v/>
      </c>
      <c r="EF89" s="96">
        <f>IFERROR(VLOOKUP($B89,INDIRECT("'GRD-"&amp;EF$11&amp;"'!B:R"),15,FALSE),"")</f>
        <v/>
      </c>
      <c r="EG89" s="96">
        <f>IFERROR(VLOOKUP($B89,INDIRECT("'GRD-"&amp;EG$11&amp;"'!B:R"),15,FALSE),"")</f>
        <v/>
      </c>
      <c r="EH89" s="96">
        <f>IFERROR(VLOOKUP($B89,INDIRECT("'GRD-"&amp;EH$11&amp;"'!B:R"),15,FALSE),"")</f>
        <v/>
      </c>
      <c r="EI89" s="96">
        <f>IFERROR(VLOOKUP($B89,INDIRECT("'GRD-"&amp;EI$11&amp;"'!B:R"),15,FALSE),"")</f>
        <v/>
      </c>
      <c r="EJ89" s="96">
        <f>IFERROR(VLOOKUP($B89,INDIRECT("'GRD-"&amp;EJ$11&amp;"'!B:R"),15,FALSE),"")</f>
        <v/>
      </c>
      <c r="EK89" s="96">
        <f>IFERROR(VLOOKUP($B89,INDIRECT("'GRD-"&amp;EK$11&amp;"'!B:R"),15,FALSE),"")</f>
        <v/>
      </c>
      <c r="EL89" s="96">
        <f>IFERROR(VLOOKUP($B89,INDIRECT("'GRD-"&amp;EL$11&amp;"'!B:R"),15,FALSE),"")</f>
        <v/>
      </c>
      <c r="EM89" s="96">
        <f>IFERROR(VLOOKUP($B89,INDIRECT("'GRD-"&amp;EM$11&amp;"'!B:R"),15,FALSE),"")</f>
        <v/>
      </c>
      <c r="EN89" s="96">
        <f>IFERROR(VLOOKUP($B89,INDIRECT("'GRD-"&amp;EN$11&amp;"'!B:R"),15,FALSE),"")</f>
        <v/>
      </c>
      <c r="EO89" s="96">
        <f>IFERROR(VLOOKUP($B89,INDIRECT("'GRD-"&amp;EO$11&amp;"'!B:R"),15,FALSE),"")</f>
        <v/>
      </c>
      <c r="EP89" s="96">
        <f>IFERROR(VLOOKUP($B89,INDIRECT("'GRD-"&amp;EP$11&amp;"'!B:R"),15,FALSE),"")</f>
        <v/>
      </c>
      <c r="EQ89" s="96">
        <f>IFERROR(VLOOKUP($B89,INDIRECT("'GRD-"&amp;EQ$11&amp;"'!B:R"),15,FALSE),"")</f>
        <v/>
      </c>
      <c r="ER89" s="96">
        <f>IFERROR(VLOOKUP($B89,INDIRECT("'GRD-"&amp;ER$11&amp;"'!B:R"),15,FALSE),"")</f>
        <v/>
      </c>
      <c r="ES89" s="96">
        <f>IFERROR(VLOOKUP($B89,INDIRECT("'GRD-"&amp;ES$11&amp;"'!B:R"),15,FALSE),"")</f>
        <v/>
      </c>
      <c r="ET89" s="96">
        <f>IFERROR(VLOOKUP($B89,INDIRECT("'GRD-"&amp;ET$11&amp;"'!B:R"),15,FALSE),"")</f>
        <v/>
      </c>
      <c r="EU89" s="96">
        <f>IFERROR(VLOOKUP($B89,INDIRECT("'GRD-"&amp;EU$11&amp;"'!B:R"),15,FALSE),"")</f>
        <v/>
      </c>
      <c r="EV89" s="96">
        <f>IFERROR(VLOOKUP($B89,INDIRECT("'GRD-"&amp;EV$11&amp;"'!B:R"),15,FALSE),"")</f>
        <v/>
      </c>
      <c r="EW89" s="96">
        <f>IFERROR(VLOOKUP($B89,INDIRECT("'GRD-"&amp;EW$11&amp;"'!B:R"),15,FALSE),"")</f>
        <v/>
      </c>
      <c r="EX89" s="96">
        <f>IFERROR(VLOOKUP($B89,INDIRECT("'GRD-"&amp;EX$11&amp;"'!B:R"),15,FALSE),"")</f>
        <v/>
      </c>
      <c r="EY89" s="96">
        <f>IFERROR(VLOOKUP($B89,INDIRECT("'GRD-"&amp;EY$11&amp;"'!B:R"),15,FALSE),"")</f>
        <v/>
      </c>
      <c r="EZ89" s="96">
        <f>IFERROR(VLOOKUP($B89,INDIRECT("'GRD-"&amp;EZ$11&amp;"'!B:R"),15,FALSE),"")</f>
        <v/>
      </c>
      <c r="FA89" s="96">
        <f>IFERROR(VLOOKUP($B89,INDIRECT("'GRD-"&amp;FA$11&amp;"'!B:R"),15,FALSE),"")</f>
        <v/>
      </c>
      <c r="FB89" s="96">
        <f>IFERROR(VLOOKUP($B89,INDIRECT("'GRD-"&amp;FB$11&amp;"'!B:R"),15,FALSE),"")</f>
        <v/>
      </c>
      <c r="FC89" s="96">
        <f>IFERROR(VLOOKUP($B89,INDIRECT("'GRD-"&amp;FC$11&amp;"'!B:R"),15,FALSE),"")</f>
        <v/>
      </c>
      <c r="FD89" s="96">
        <f>IFERROR(VLOOKUP($B89,INDIRECT("'GRD-"&amp;FD$11&amp;"'!B:R"),15,FALSE),"")</f>
        <v/>
      </c>
      <c r="FE89" s="96">
        <f>IFERROR(VLOOKUP($B89,INDIRECT("'GRD-"&amp;FE$11&amp;"'!B:R"),15,FALSE),"")</f>
        <v/>
      </c>
      <c r="FF89" s="96">
        <f>IFERROR(VLOOKUP($B89,INDIRECT("'GRD-"&amp;FF$11&amp;"'!B:R"),15,FALSE),"")</f>
        <v/>
      </c>
      <c r="FG89" s="96">
        <f>IFERROR(VLOOKUP($B89,INDIRECT("'GRD-"&amp;FG$11&amp;"'!B:R"),15,FALSE),"")</f>
        <v/>
      </c>
      <c r="FH89" s="96">
        <f>IFERROR(VLOOKUP($B89,INDIRECT("'GRD-"&amp;FH$11&amp;"'!B:R"),15,FALSE),"")</f>
        <v/>
      </c>
      <c r="FI89" s="96">
        <f>IFERROR(VLOOKUP($B89,INDIRECT("'GRD-"&amp;FI$11&amp;"'!B:R"),15,FALSE),"")</f>
        <v/>
      </c>
      <c r="FJ89" s="96">
        <f>IFERROR(VLOOKUP($B89,INDIRECT("'GRD-"&amp;FJ$11&amp;"'!B:R"),15,FALSE),"")</f>
        <v/>
      </c>
      <c r="FK89" s="96">
        <f>IFERROR(VLOOKUP($B89,INDIRECT("'GRD-"&amp;FK$11&amp;"'!B:R"),15,FALSE),"")</f>
        <v/>
      </c>
      <c r="FL89" s="96">
        <f>IFERROR(VLOOKUP($B89,INDIRECT("'GRD-"&amp;FL$11&amp;"'!B:R"),15,FALSE),"")</f>
        <v/>
      </c>
      <c r="FM89" s="96">
        <f>IFERROR(VLOOKUP($B89,INDIRECT("'GRD-"&amp;FM$11&amp;"'!B:R"),15,FALSE),"")</f>
        <v/>
      </c>
      <c r="FN89" s="96">
        <f>IFERROR(VLOOKUP($B89,INDIRECT("'GRD-"&amp;FN$11&amp;"'!B:R"),15,FALSE),"")</f>
        <v/>
      </c>
      <c r="FO89" s="96">
        <f>IFERROR(VLOOKUP($B89,INDIRECT("'GRD-"&amp;FO$11&amp;"'!B:R"),15,FALSE),"")</f>
        <v/>
      </c>
      <c r="FP89" s="96">
        <f>IFERROR(VLOOKUP($B89,INDIRECT("'GRD-"&amp;FP$11&amp;"'!B:R"),15,FALSE),"")</f>
        <v/>
      </c>
      <c r="FQ89" s="96">
        <f>IFERROR(VLOOKUP($B89,INDIRECT("'GRD-"&amp;FQ$11&amp;"'!B:R"),15,FALSE),"")</f>
        <v/>
      </c>
      <c r="FR89" s="96">
        <f>IFERROR(VLOOKUP($B89,INDIRECT("'GRD-"&amp;FR$11&amp;"'!B:R"),15,FALSE),"")</f>
        <v/>
      </c>
      <c r="FS89" s="96">
        <f>IFERROR(VLOOKUP($B89,INDIRECT("'GRD-"&amp;FS$11&amp;"'!B:R"),15,FALSE),"")</f>
        <v/>
      </c>
      <c r="FT89" s="96">
        <f>IFERROR(VLOOKUP($B89,INDIRECT("'GRD-"&amp;FT$11&amp;"'!B:R"),15,FALSE),"")</f>
        <v/>
      </c>
      <c r="FU89" s="96">
        <f>IFERROR(VLOOKUP($B89,INDIRECT("'GRD-"&amp;FU$11&amp;"'!B:R"),15,FALSE),"")</f>
        <v/>
      </c>
      <c r="FV89" s="96">
        <f>IFERROR(VLOOKUP($B89,INDIRECT("'GRD-"&amp;FV$11&amp;"'!B:R"),15,FALSE),"")</f>
        <v/>
      </c>
    </row>
    <row r="90">
      <c r="B90" s="85" t="n"/>
      <c r="C90" s="93" t="n"/>
      <c r="D90" s="73">
        <f>IF(K90="","",MAX($CA90:$FV90))</f>
        <v/>
      </c>
      <c r="E90" s="74">
        <f t="array" ref="E90">IF($K90="","",OFFSET($A$1,ROW($B90)-1,11+$D90*4,))</f>
        <v/>
      </c>
      <c r="F90" s="74">
        <f t="array" ref="F90">IF($K90="","",OFFSET($A$1,ROW($B90)-1,12+$D90*4,))</f>
        <v/>
      </c>
      <c r="G90" s="118">
        <f t="array" ref="G90">IF($K90="","",OFFSET($A$1,ROW($B90)-1,13+$D90*4,))</f>
        <v/>
      </c>
      <c r="H90" s="81" t="n"/>
      <c r="I90" s="82" t="n"/>
      <c r="J90" s="75">
        <f>IF(I90="A4",H90/8,IF(I90="A3",H90/4,IF(I90="A2",H90/2,IF(I90="A1",H90/1,IF(I90="A0",H90*2,"")))))</f>
        <v/>
      </c>
      <c r="K90" s="68">
        <f t="array" ref="K90">IFERROR(OFFSET($BZ$11,ROW($B90)-11,MATCH(K$10,$CA90:$FV90,0),),"")</f>
        <v/>
      </c>
      <c r="L90" s="85">
        <f>IF(K90="","",IF(VLOOKUP($B90,INDIRECT("'GRD-"&amp;M90&amp;"'!$B:$R"),16,FALSE)="","",VLOOKUP($B90,INDIRECT("'GRD-"&amp;M90&amp;"'!$B:$R"),16,FALSE)))</f>
        <v/>
      </c>
      <c r="M90" s="130">
        <f t="array" ref="M90">IF(K90="","",IFERROR(OFFSET($BZ$11,0,MATCH($K90,$CA90:$FV90,0),),""))</f>
        <v/>
      </c>
      <c r="N90" s="119">
        <f t="array" ref="N90">IF(K90="","",INDIRECT("'GRD-"&amp;M90&amp;"'!$L$7"))</f>
        <v/>
      </c>
      <c r="O90" s="76">
        <f t="array" ref="O90">IFERROR(OFFSET($BZ$11,ROW($B90)-11,MATCH(O$10,$CA90:$FV90,0),),"")</f>
        <v/>
      </c>
      <c r="P90" s="76">
        <f>IF(O90="","",IF(VLOOKUP($B90,INDIRECT("'GRD-"&amp;Q90&amp;"'!$B:$R"),16,FALSE)="","",VLOOKUP($B90,INDIRECT("'GRD-"&amp;Q90&amp;"'!$B:$R"),16,FALSE)))</f>
        <v/>
      </c>
      <c r="Q90" s="132">
        <f t="array" ref="Q90">IF(O90="","",IFERROR(OFFSET($BZ$11,0,MATCH($O90,$CA90:$FV90,0),),""))</f>
        <v/>
      </c>
      <c r="R90" s="121">
        <f t="array" ref="R90">IF(O90="","",INDIRECT("'GRD-"&amp;Q90&amp;"'!$L$7"))</f>
        <v/>
      </c>
      <c r="S90" s="83">
        <f t="array" ref="S90">IFERROR(OFFSET($BZ$11,ROW($B90)-11,MATCH(S$10,$CA90:$FV90,0),),"")</f>
        <v/>
      </c>
      <c r="T90" s="83">
        <f>IF(S90="","",IF(VLOOKUP($B90,INDIRECT("'GRD-"&amp;U90&amp;"'!$B:$R"),16,FALSE)="","",VLOOKUP($B90,INDIRECT("'GRD-"&amp;U90&amp;"'!$B:$R"),16,FALSE)))</f>
        <v/>
      </c>
      <c r="U90" s="128">
        <f t="array" ref="U90">IF(S90="","",IFERROR(OFFSET($BZ$11,0,MATCH($S90,$CA90:$FV90,0),),""))</f>
        <v/>
      </c>
      <c r="V90" s="133">
        <f t="array" ref="V90">IF(S90="","",INDIRECT("'GRD-"&amp;U90&amp;"'!$L$7"))</f>
        <v/>
      </c>
      <c r="W90" s="84">
        <f t="array" ref="W90">IFERROR(OFFSET($BZ$11,ROW($B90)-11,MATCH(W$10,$CA90:$FV90,0),),"")</f>
        <v/>
      </c>
      <c r="X90" s="84">
        <f>IF(W90="","",IF(VLOOKUP($B90,INDIRECT("'GRD-"&amp;Y90&amp;"'!$B:$R"),16,FALSE)="","",VLOOKUP($B90,INDIRECT("'GRD-"&amp;Y90&amp;"'!$B:$R"),16,FALSE)))</f>
        <v/>
      </c>
      <c r="Y90" s="129">
        <f t="array" ref="Y90">IF(W90="","",IFERROR(OFFSET($BZ$11,0,MATCH($W90,$CA90:$FV90,0),),""))</f>
        <v/>
      </c>
      <c r="Z90" s="134">
        <f t="array" ref="Z90">IF(W90="","",INDIRECT("'GRD-"&amp;Y90&amp;"'!$L$7"))</f>
        <v/>
      </c>
      <c r="AA90" s="85">
        <f t="array" ref="AA90">IFERROR(OFFSET($BZ$11,ROW($B90)-11,MATCH(AA$10,$CA90:$FV90,0),),"")</f>
        <v/>
      </c>
      <c r="AB90" s="85">
        <f>IF(AA90="","",IF(VLOOKUP($B90,INDIRECT("'GRD-"&amp;AC90&amp;"'!$B:$R"),16,FALSE)="","",VLOOKUP($B90,INDIRECT("'GRD-"&amp;AC90&amp;"'!$B:$R"),16,FALSE)))</f>
        <v/>
      </c>
      <c r="AC90" s="130">
        <f t="array" ref="AC90">IF(AA90="","",IFERROR(OFFSET($BZ$11,0,MATCH($AA90,$CA90:$FV90,0),),""))</f>
        <v/>
      </c>
      <c r="AD90" s="131">
        <f t="array" ref="AD90">IF(AA90="","",INDIRECT("'GRD-"&amp;AC90&amp;"'!$L$7"))</f>
        <v/>
      </c>
      <c r="AE90" s="76">
        <f t="array" ref="AE90">IFERROR(OFFSET($BZ$11,ROW($B90)-11,MATCH(AE$10,$CA90:$FV90,0),),"")</f>
        <v/>
      </c>
      <c r="AF90" s="76">
        <f>IF(AE90="","",IF(VLOOKUP($B90,INDIRECT("'GRD-"&amp;AG90&amp;"'!$B:$R"),16,FALSE)="","",VLOOKUP($B90,INDIRECT("'GRD-"&amp;AG90&amp;"'!$B:$R"),16,FALSE)))</f>
        <v/>
      </c>
      <c r="AG90" s="132">
        <f t="array" ref="AG90">IF(AE90="","",IFERROR(OFFSET($BZ$11,0,MATCH($AE90,$CA90:$FV90,0),),""))</f>
        <v/>
      </c>
      <c r="AH90" s="121">
        <f t="array" ref="AH90">IF(AE90="","",INDIRECT("'GRD-"&amp;AG90&amp;"'!$L$7"))</f>
        <v/>
      </c>
      <c r="AI90" s="83">
        <f t="array" ref="AI90">IFERROR(OFFSET($BZ$11,ROW($B90)-11,MATCH(AI$10,$CA90:$FV90,0),),"")</f>
        <v/>
      </c>
      <c r="AJ90" s="83">
        <f>IF(AI90="","",IF(VLOOKUP($B90,INDIRECT("'GRD-"&amp;AK90&amp;"'!$B:$R"),16,FALSE)="","",VLOOKUP($B90,INDIRECT("'GRD-"&amp;AK90&amp;"'!$B:$R"),16,FALSE)))</f>
        <v/>
      </c>
      <c r="AK90" s="128">
        <f t="array" ref="AK90">IF(AI90="","",IFERROR(OFFSET($BZ$11,0,MATCH($AI90,$CA90:$FV90,0),),""))</f>
        <v/>
      </c>
      <c r="AL90" s="133">
        <f t="array" ref="AL90">IF(AI90="","",INDIRECT("'GRD-"&amp;AK90&amp;"'!$L$7"))</f>
        <v/>
      </c>
      <c r="AM90" s="84">
        <f t="array" ref="AM90">IFERROR(OFFSET($BZ$11,ROW($B90)-11,MATCH(AM$10,$CA90:$FV90,0),),"")</f>
        <v/>
      </c>
      <c r="AN90" s="84">
        <f>IF(AM90="","",IF(VLOOKUP($B90,INDIRECT("'GRD-"&amp;AO90&amp;"'!$B:$R"),16,FALSE)="","",VLOOKUP($B90,INDIRECT("'GRD-"&amp;AO90&amp;"'!$B:$R"),16,FALSE)))</f>
        <v/>
      </c>
      <c r="AO90" s="129">
        <f t="array" ref="AO90">IF(AM90="","",IFERROR(OFFSET($BZ$11,0,MATCH($AM90,$CA90:$FV90,0),),""))</f>
        <v/>
      </c>
      <c r="AP90" s="134">
        <f t="array" ref="AP90">IF(AM90="","",INDIRECT("'GRD-"&amp;AO90&amp;"'!$L$7"))</f>
        <v/>
      </c>
      <c r="AQ90" s="85">
        <f t="array" ref="AQ90">IFERROR(OFFSET($BZ$11,ROW($B90)-11,MATCH(AQ$10,$CA90:$FV90,0),),"")</f>
        <v/>
      </c>
      <c r="AR90" s="85">
        <f>IF(AQ90="","",IF(VLOOKUP($B90,INDIRECT("'GRD-"&amp;AS90&amp;"'!$B:$R"),16,FALSE)="","",VLOOKUP($B90,INDIRECT("'GRD-"&amp;AS90&amp;"'!$B:$R"),16,FALSE)))</f>
        <v/>
      </c>
      <c r="AS90" s="130">
        <f t="array" ref="AS90">IF(AQ90="","",IFERROR(OFFSET($BZ$11,0,MATCH($AQ90,$CA90:$FV90,0),),""))</f>
        <v/>
      </c>
      <c r="AT90" s="131">
        <f t="array" ref="AT90">IF(AQ90="","",INDIRECT("'GRD-"&amp;AS90&amp;"'!$L$7"))</f>
        <v/>
      </c>
      <c r="AU90" s="76">
        <f t="array" ref="AU90">IFERROR(OFFSET($BZ$11,ROW($B90)-11,MATCH(AU$10,$CA90:$FV90,0),),"")</f>
        <v/>
      </c>
      <c r="AV90" s="76">
        <f>IF(AU90="","",IF(VLOOKUP($B90,INDIRECT("'GRD-"&amp;AW90&amp;"'!$B:$R"),16,FALSE)="","",VLOOKUP($B90,INDIRECT("'GRD-"&amp;AW90&amp;"'!$B:$R"),16,FALSE)))</f>
        <v/>
      </c>
      <c r="AW90" s="132">
        <f t="array" ref="AW90">IF(AU90="","",IFERROR(OFFSET($BZ$11,0,MATCH($AU90,$CA90:$FV90,0),),""))</f>
        <v/>
      </c>
      <c r="AX90" s="121">
        <f t="array" ref="AX90">IF(AU90="","",INDIRECT("'GRD-"&amp;AW90&amp;"'!$L$7"))</f>
        <v/>
      </c>
      <c r="AY90" s="83">
        <f t="array" ref="AY90">IFERROR(OFFSET($BZ$11,ROW($B90)-11,MATCH(AY$10,$CA90:$FV90,0),),"")</f>
        <v/>
      </c>
      <c r="AZ90" s="83">
        <f>IF(AY90="","",IF(VLOOKUP($B90,INDIRECT("'GRD-"&amp;BA90&amp;"'!$B:$R"),16,FALSE)="","",VLOOKUP($B90,INDIRECT("'GRD-"&amp;BA90&amp;"'!$B:$R"),16,FALSE)))</f>
        <v/>
      </c>
      <c r="BA90" s="128">
        <f t="array" ref="BA90">IF(AY90="","",IFERROR(OFFSET($BZ$11,0,MATCH($AY90,$CA90:$FV90,0),),""))</f>
        <v/>
      </c>
      <c r="BB90" s="133">
        <f t="array" ref="BB90">IF(AY90="","",INDIRECT("'GRD-"&amp;BA90&amp;"'!$L$7"))</f>
        <v/>
      </c>
      <c r="BC90" s="84">
        <f t="array" ref="BC90">IFERROR(OFFSET($BZ$11,ROW($B90)-11,MATCH(BC$10,$CA90:$FV90,0),),"")</f>
        <v/>
      </c>
      <c r="BD90" s="84">
        <f>IF(BC90="","",IF(VLOOKUP($B90,INDIRECT("'GRD-"&amp;BE90&amp;"'!$B:$R"),16,FALSE)="","",VLOOKUP($B90,INDIRECT("'GRD-"&amp;BE90&amp;"'!$B:$R"),16,FALSE)))</f>
        <v/>
      </c>
      <c r="BE90" s="129">
        <f t="array" ref="BE90">IF(BC90="","",IFERROR(OFFSET($BZ$11,0,MATCH($BC90,$CA90:$FV90,0),),""))</f>
        <v/>
      </c>
      <c r="BF90" s="134">
        <f t="array" ref="BF90">IF(BC90="","",INDIRECT("'GRD-"&amp;BE90&amp;"'!$L$7"))</f>
        <v/>
      </c>
      <c r="CA90" s="96">
        <f>IFERROR(VLOOKUP($B90,INDIRECT("'GRD-"&amp;CA$11&amp;"'!B:R"),15,FALSE),"")</f>
        <v/>
      </c>
      <c r="CB90" s="96">
        <f>IFERROR(VLOOKUP($B90,INDIRECT("'GRD-"&amp;CB$11&amp;"'!B:R"),15,FALSE),"")</f>
        <v/>
      </c>
      <c r="CC90" s="96">
        <f>IFERROR(VLOOKUP($B90,INDIRECT("'GRD-"&amp;CC$11&amp;"'!B:R"),15,FALSE),"")</f>
        <v/>
      </c>
      <c r="CD90" s="96">
        <f>IFERROR(VLOOKUP($B90,INDIRECT("'GRD-"&amp;CD$11&amp;"'!B:R"),15,FALSE),"")</f>
        <v/>
      </c>
      <c r="CE90" s="96">
        <f>IFERROR(VLOOKUP($B90,INDIRECT("'GRD-"&amp;CE$11&amp;"'!B:R"),15,FALSE),"")</f>
        <v/>
      </c>
      <c r="CF90" s="96">
        <f>IFERROR(VLOOKUP($B90,INDIRECT("'GRD-"&amp;CF$11&amp;"'!B:R"),15,FALSE),"")</f>
        <v/>
      </c>
      <c r="CG90" s="96">
        <f>IFERROR(VLOOKUP($B90,INDIRECT("'GRD-"&amp;CG$11&amp;"'!B:R"),15,FALSE),"")</f>
        <v/>
      </c>
      <c r="CH90" s="96">
        <f>IFERROR(VLOOKUP($B90,INDIRECT("'GRD-"&amp;CH$11&amp;"'!B:R"),15,FALSE),"")</f>
        <v/>
      </c>
      <c r="CI90" s="96">
        <f>IFERROR(VLOOKUP($B90,INDIRECT("'GRD-"&amp;CI$11&amp;"'!B:R"),15,FALSE),"")</f>
        <v/>
      </c>
      <c r="CJ90" s="96">
        <f>IFERROR(VLOOKUP($B90,INDIRECT("'GRD-"&amp;CJ$11&amp;"'!B:R"),15,FALSE),"")</f>
        <v/>
      </c>
      <c r="CK90" s="96">
        <f>IFERROR(VLOOKUP($B90,INDIRECT("'GRD-"&amp;CK$11&amp;"'!B:R"),15,FALSE),"")</f>
        <v/>
      </c>
      <c r="CL90" s="96">
        <f>IFERROR(VLOOKUP($B90,INDIRECT("'GRD-"&amp;CL$11&amp;"'!B:R"),15,FALSE),"")</f>
        <v/>
      </c>
      <c r="CM90" s="96">
        <f>IFERROR(VLOOKUP($B90,INDIRECT("'GRD-"&amp;CM$11&amp;"'!B:R"),15,FALSE),"")</f>
        <v/>
      </c>
      <c r="CN90" s="96">
        <f>IFERROR(VLOOKUP($B90,INDIRECT("'GRD-"&amp;CN$11&amp;"'!B:R"),15,FALSE),"")</f>
        <v/>
      </c>
      <c r="CO90" s="96">
        <f>IFERROR(VLOOKUP($B90,INDIRECT("'GRD-"&amp;CO$11&amp;"'!B:R"),15,FALSE),"")</f>
        <v/>
      </c>
      <c r="CP90" s="96">
        <f>IFERROR(VLOOKUP($B90,INDIRECT("'GRD-"&amp;CP$11&amp;"'!B:R"),15,FALSE),"")</f>
        <v/>
      </c>
      <c r="CQ90" s="96">
        <f>IFERROR(VLOOKUP($B90,INDIRECT("'GRD-"&amp;CQ$11&amp;"'!B:R"),15,FALSE),"")</f>
        <v/>
      </c>
      <c r="CR90" s="96">
        <f>IFERROR(VLOOKUP($B90,INDIRECT("'GRD-"&amp;CR$11&amp;"'!B:R"),15,FALSE),"")</f>
        <v/>
      </c>
      <c r="CS90" s="96">
        <f>IFERROR(VLOOKUP($B90,INDIRECT("'GRD-"&amp;CS$11&amp;"'!B:R"),15,FALSE),"")</f>
        <v/>
      </c>
      <c r="CT90" s="96">
        <f>IFERROR(VLOOKUP($B90,INDIRECT("'GRD-"&amp;CT$11&amp;"'!B:R"),15,FALSE),"")</f>
        <v/>
      </c>
      <c r="CU90" s="96">
        <f>IFERROR(VLOOKUP($B90,INDIRECT("'GRD-"&amp;CU$11&amp;"'!B:R"),15,FALSE),"")</f>
        <v/>
      </c>
      <c r="CV90" s="96">
        <f>IFERROR(VLOOKUP($B90,INDIRECT("'GRD-"&amp;CV$11&amp;"'!B:R"),15,FALSE),"")</f>
        <v/>
      </c>
      <c r="CW90" s="96">
        <f>IFERROR(VLOOKUP($B90,INDIRECT("'GRD-"&amp;CW$11&amp;"'!B:R"),15,FALSE),"")</f>
        <v/>
      </c>
      <c r="CX90" s="96">
        <f>IFERROR(VLOOKUP($B90,INDIRECT("'GRD-"&amp;CX$11&amp;"'!B:R"),15,FALSE),"")</f>
        <v/>
      </c>
      <c r="CY90" s="96">
        <f>IFERROR(VLOOKUP($B90,INDIRECT("'GRD-"&amp;CY$11&amp;"'!B:R"),15,FALSE),"")</f>
        <v/>
      </c>
      <c r="CZ90" s="96">
        <f>IFERROR(VLOOKUP($B90,INDIRECT("'GRD-"&amp;CZ$11&amp;"'!B:R"),15,FALSE),"")</f>
        <v/>
      </c>
      <c r="DA90" s="96">
        <f>IFERROR(VLOOKUP($B90,INDIRECT("'GRD-"&amp;DA$11&amp;"'!B:R"),15,FALSE),"")</f>
        <v/>
      </c>
      <c r="DB90" s="96">
        <f>IFERROR(VLOOKUP($B90,INDIRECT("'GRD-"&amp;DB$11&amp;"'!B:R"),15,FALSE),"")</f>
        <v/>
      </c>
      <c r="DC90" s="96">
        <f>IFERROR(VLOOKUP($B90,INDIRECT("'GRD-"&amp;DC$11&amp;"'!B:R"),15,FALSE),"")</f>
        <v/>
      </c>
      <c r="DD90" s="96">
        <f>IFERROR(VLOOKUP($B90,INDIRECT("'GRD-"&amp;DD$11&amp;"'!B:R"),15,FALSE),"")</f>
        <v/>
      </c>
      <c r="DE90" s="96">
        <f>IFERROR(VLOOKUP($B90,INDIRECT("'GRD-"&amp;DE$11&amp;"'!B:R"),15,FALSE),"")</f>
        <v/>
      </c>
      <c r="DF90" s="96">
        <f>IFERROR(VLOOKUP($B90,INDIRECT("'GRD-"&amp;DF$11&amp;"'!B:R"),15,FALSE),"")</f>
        <v/>
      </c>
      <c r="DG90" s="96">
        <f>IFERROR(VLOOKUP($B90,INDIRECT("'GRD-"&amp;DG$11&amp;"'!B:R"),15,FALSE),"")</f>
        <v/>
      </c>
      <c r="DH90" s="96">
        <f>IFERROR(VLOOKUP($B90,INDIRECT("'GRD-"&amp;DH$11&amp;"'!B:R"),15,FALSE),"")</f>
        <v/>
      </c>
      <c r="DI90" s="96">
        <f>IFERROR(VLOOKUP($B90,INDIRECT("'GRD-"&amp;DI$11&amp;"'!B:R"),15,FALSE),"")</f>
        <v/>
      </c>
      <c r="DJ90" s="96">
        <f>IFERROR(VLOOKUP($B90,INDIRECT("'GRD-"&amp;DJ$11&amp;"'!B:R"),15,FALSE),"")</f>
        <v/>
      </c>
      <c r="DK90" s="96">
        <f>IFERROR(VLOOKUP($B90,INDIRECT("'GRD-"&amp;DK$11&amp;"'!B:R"),15,FALSE),"")</f>
        <v/>
      </c>
      <c r="DL90" s="96">
        <f>IFERROR(VLOOKUP($B90,INDIRECT("'GRD-"&amp;DL$11&amp;"'!B:R"),15,FALSE),"")</f>
        <v/>
      </c>
      <c r="DM90" s="96">
        <f>IFERROR(VLOOKUP($B90,INDIRECT("'GRD-"&amp;DM$11&amp;"'!B:R"),15,FALSE),"")</f>
        <v/>
      </c>
      <c r="DN90" s="96">
        <f>IFERROR(VLOOKUP($B90,INDIRECT("'GRD-"&amp;DN$11&amp;"'!B:R"),15,FALSE),"")</f>
        <v/>
      </c>
      <c r="DO90" s="96">
        <f>IFERROR(VLOOKUP($B90,INDIRECT("'GRD-"&amp;DO$11&amp;"'!B:R"),15,FALSE),"")</f>
        <v/>
      </c>
      <c r="DP90" s="96">
        <f>IFERROR(VLOOKUP($B90,INDIRECT("'GRD-"&amp;DP$11&amp;"'!B:R"),15,FALSE),"")</f>
        <v/>
      </c>
      <c r="DQ90" s="96">
        <f>IFERROR(VLOOKUP($B90,INDIRECT("'GRD-"&amp;DQ$11&amp;"'!B:R"),15,FALSE),"")</f>
        <v/>
      </c>
      <c r="DR90" s="96">
        <f>IFERROR(VLOOKUP($B90,INDIRECT("'GRD-"&amp;DR$11&amp;"'!B:R"),15,FALSE),"")</f>
        <v/>
      </c>
      <c r="DS90" s="96">
        <f>IFERROR(VLOOKUP($B90,INDIRECT("'GRD-"&amp;DS$11&amp;"'!B:R"),15,FALSE),"")</f>
        <v/>
      </c>
      <c r="DT90" s="96">
        <f>IFERROR(VLOOKUP($B90,INDIRECT("'GRD-"&amp;DT$11&amp;"'!B:R"),15,FALSE),"")</f>
        <v/>
      </c>
      <c r="DU90" s="96">
        <f>IFERROR(VLOOKUP($B90,INDIRECT("'GRD-"&amp;DU$11&amp;"'!B:R"),15,FALSE),"")</f>
        <v/>
      </c>
      <c r="DV90" s="96">
        <f>IFERROR(VLOOKUP($B90,INDIRECT("'GRD-"&amp;DV$11&amp;"'!B:R"),15,FALSE),"")</f>
        <v/>
      </c>
      <c r="DW90" s="96">
        <f>IFERROR(VLOOKUP($B90,INDIRECT("'GRD-"&amp;DW$11&amp;"'!B:R"),15,FALSE),"")</f>
        <v/>
      </c>
      <c r="DX90" s="96">
        <f>IFERROR(VLOOKUP($B90,INDIRECT("'GRD-"&amp;DX$11&amp;"'!B:R"),15,FALSE),"")</f>
        <v/>
      </c>
      <c r="DY90" s="96">
        <f>IFERROR(VLOOKUP($B90,INDIRECT("'GRD-"&amp;DY$11&amp;"'!B:R"),15,FALSE),"")</f>
        <v/>
      </c>
      <c r="DZ90" s="96">
        <f>IFERROR(VLOOKUP($B90,INDIRECT("'GRD-"&amp;DZ$11&amp;"'!B:R"),15,FALSE),"")</f>
        <v/>
      </c>
      <c r="EA90" s="96">
        <f>IFERROR(VLOOKUP($B90,INDIRECT("'GRD-"&amp;EA$11&amp;"'!B:R"),15,FALSE),"")</f>
        <v/>
      </c>
      <c r="EB90" s="96">
        <f>IFERROR(VLOOKUP($B90,INDIRECT("'GRD-"&amp;EB$11&amp;"'!B:R"),15,FALSE),"")</f>
        <v/>
      </c>
      <c r="EC90" s="96">
        <f>IFERROR(VLOOKUP($B90,INDIRECT("'GRD-"&amp;EC$11&amp;"'!B:R"),15,FALSE),"")</f>
        <v/>
      </c>
      <c r="ED90" s="96">
        <f>IFERROR(VLOOKUP($B90,INDIRECT("'GRD-"&amp;ED$11&amp;"'!B:R"),15,FALSE),"")</f>
        <v/>
      </c>
      <c r="EE90" s="96">
        <f>IFERROR(VLOOKUP($B90,INDIRECT("'GRD-"&amp;EE$11&amp;"'!B:R"),15,FALSE),"")</f>
        <v/>
      </c>
      <c r="EF90" s="96">
        <f>IFERROR(VLOOKUP($B90,INDIRECT("'GRD-"&amp;EF$11&amp;"'!B:R"),15,FALSE),"")</f>
        <v/>
      </c>
      <c r="EG90" s="96">
        <f>IFERROR(VLOOKUP($B90,INDIRECT("'GRD-"&amp;EG$11&amp;"'!B:R"),15,FALSE),"")</f>
        <v/>
      </c>
      <c r="EH90" s="96">
        <f>IFERROR(VLOOKUP($B90,INDIRECT("'GRD-"&amp;EH$11&amp;"'!B:R"),15,FALSE),"")</f>
        <v/>
      </c>
      <c r="EI90" s="96">
        <f>IFERROR(VLOOKUP($B90,INDIRECT("'GRD-"&amp;EI$11&amp;"'!B:R"),15,FALSE),"")</f>
        <v/>
      </c>
      <c r="EJ90" s="96">
        <f>IFERROR(VLOOKUP($B90,INDIRECT("'GRD-"&amp;EJ$11&amp;"'!B:R"),15,FALSE),"")</f>
        <v/>
      </c>
      <c r="EK90" s="96">
        <f>IFERROR(VLOOKUP($B90,INDIRECT("'GRD-"&amp;EK$11&amp;"'!B:R"),15,FALSE),"")</f>
        <v/>
      </c>
      <c r="EL90" s="96">
        <f>IFERROR(VLOOKUP($B90,INDIRECT("'GRD-"&amp;EL$11&amp;"'!B:R"),15,FALSE),"")</f>
        <v/>
      </c>
      <c r="EM90" s="96">
        <f>IFERROR(VLOOKUP($B90,INDIRECT("'GRD-"&amp;EM$11&amp;"'!B:R"),15,FALSE),"")</f>
        <v/>
      </c>
      <c r="EN90" s="96">
        <f>IFERROR(VLOOKUP($B90,INDIRECT("'GRD-"&amp;EN$11&amp;"'!B:R"),15,FALSE),"")</f>
        <v/>
      </c>
      <c r="EO90" s="96">
        <f>IFERROR(VLOOKUP($B90,INDIRECT("'GRD-"&amp;EO$11&amp;"'!B:R"),15,FALSE),"")</f>
        <v/>
      </c>
      <c r="EP90" s="96">
        <f>IFERROR(VLOOKUP($B90,INDIRECT("'GRD-"&amp;EP$11&amp;"'!B:R"),15,FALSE),"")</f>
        <v/>
      </c>
      <c r="EQ90" s="96">
        <f>IFERROR(VLOOKUP($B90,INDIRECT("'GRD-"&amp;EQ$11&amp;"'!B:R"),15,FALSE),"")</f>
        <v/>
      </c>
      <c r="ER90" s="96">
        <f>IFERROR(VLOOKUP($B90,INDIRECT("'GRD-"&amp;ER$11&amp;"'!B:R"),15,FALSE),"")</f>
        <v/>
      </c>
      <c r="ES90" s="96">
        <f>IFERROR(VLOOKUP($B90,INDIRECT("'GRD-"&amp;ES$11&amp;"'!B:R"),15,FALSE),"")</f>
        <v/>
      </c>
      <c r="ET90" s="96">
        <f>IFERROR(VLOOKUP($B90,INDIRECT("'GRD-"&amp;ET$11&amp;"'!B:R"),15,FALSE),"")</f>
        <v/>
      </c>
      <c r="EU90" s="96">
        <f>IFERROR(VLOOKUP($B90,INDIRECT("'GRD-"&amp;EU$11&amp;"'!B:R"),15,FALSE),"")</f>
        <v/>
      </c>
      <c r="EV90" s="96">
        <f>IFERROR(VLOOKUP($B90,INDIRECT("'GRD-"&amp;EV$11&amp;"'!B:R"),15,FALSE),"")</f>
        <v/>
      </c>
      <c r="EW90" s="96">
        <f>IFERROR(VLOOKUP($B90,INDIRECT("'GRD-"&amp;EW$11&amp;"'!B:R"),15,FALSE),"")</f>
        <v/>
      </c>
      <c r="EX90" s="96">
        <f>IFERROR(VLOOKUP($B90,INDIRECT("'GRD-"&amp;EX$11&amp;"'!B:R"),15,FALSE),"")</f>
        <v/>
      </c>
      <c r="EY90" s="96">
        <f>IFERROR(VLOOKUP($B90,INDIRECT("'GRD-"&amp;EY$11&amp;"'!B:R"),15,FALSE),"")</f>
        <v/>
      </c>
      <c r="EZ90" s="96">
        <f>IFERROR(VLOOKUP($B90,INDIRECT("'GRD-"&amp;EZ$11&amp;"'!B:R"),15,FALSE),"")</f>
        <v/>
      </c>
      <c r="FA90" s="96">
        <f>IFERROR(VLOOKUP($B90,INDIRECT("'GRD-"&amp;FA$11&amp;"'!B:R"),15,FALSE),"")</f>
        <v/>
      </c>
      <c r="FB90" s="96">
        <f>IFERROR(VLOOKUP($B90,INDIRECT("'GRD-"&amp;FB$11&amp;"'!B:R"),15,FALSE),"")</f>
        <v/>
      </c>
      <c r="FC90" s="96">
        <f>IFERROR(VLOOKUP($B90,INDIRECT("'GRD-"&amp;FC$11&amp;"'!B:R"),15,FALSE),"")</f>
        <v/>
      </c>
      <c r="FD90" s="96">
        <f>IFERROR(VLOOKUP($B90,INDIRECT("'GRD-"&amp;FD$11&amp;"'!B:R"),15,FALSE),"")</f>
        <v/>
      </c>
      <c r="FE90" s="96">
        <f>IFERROR(VLOOKUP($B90,INDIRECT("'GRD-"&amp;FE$11&amp;"'!B:R"),15,FALSE),"")</f>
        <v/>
      </c>
      <c r="FF90" s="96">
        <f>IFERROR(VLOOKUP($B90,INDIRECT("'GRD-"&amp;FF$11&amp;"'!B:R"),15,FALSE),"")</f>
        <v/>
      </c>
      <c r="FG90" s="96">
        <f>IFERROR(VLOOKUP($B90,INDIRECT("'GRD-"&amp;FG$11&amp;"'!B:R"),15,FALSE),"")</f>
        <v/>
      </c>
      <c r="FH90" s="96">
        <f>IFERROR(VLOOKUP($B90,INDIRECT("'GRD-"&amp;FH$11&amp;"'!B:R"),15,FALSE),"")</f>
        <v/>
      </c>
      <c r="FI90" s="96">
        <f>IFERROR(VLOOKUP($B90,INDIRECT("'GRD-"&amp;FI$11&amp;"'!B:R"),15,FALSE),"")</f>
        <v/>
      </c>
      <c r="FJ90" s="96">
        <f>IFERROR(VLOOKUP($B90,INDIRECT("'GRD-"&amp;FJ$11&amp;"'!B:R"),15,FALSE),"")</f>
        <v/>
      </c>
      <c r="FK90" s="96">
        <f>IFERROR(VLOOKUP($B90,INDIRECT("'GRD-"&amp;FK$11&amp;"'!B:R"),15,FALSE),"")</f>
        <v/>
      </c>
      <c r="FL90" s="96">
        <f>IFERROR(VLOOKUP($B90,INDIRECT("'GRD-"&amp;FL$11&amp;"'!B:R"),15,FALSE),"")</f>
        <v/>
      </c>
      <c r="FM90" s="96">
        <f>IFERROR(VLOOKUP($B90,INDIRECT("'GRD-"&amp;FM$11&amp;"'!B:R"),15,FALSE),"")</f>
        <v/>
      </c>
      <c r="FN90" s="96">
        <f>IFERROR(VLOOKUP($B90,INDIRECT("'GRD-"&amp;FN$11&amp;"'!B:R"),15,FALSE),"")</f>
        <v/>
      </c>
      <c r="FO90" s="96">
        <f>IFERROR(VLOOKUP($B90,INDIRECT("'GRD-"&amp;FO$11&amp;"'!B:R"),15,FALSE),"")</f>
        <v/>
      </c>
      <c r="FP90" s="96">
        <f>IFERROR(VLOOKUP($B90,INDIRECT("'GRD-"&amp;FP$11&amp;"'!B:R"),15,FALSE),"")</f>
        <v/>
      </c>
      <c r="FQ90" s="96">
        <f>IFERROR(VLOOKUP($B90,INDIRECT("'GRD-"&amp;FQ$11&amp;"'!B:R"),15,FALSE),"")</f>
        <v/>
      </c>
      <c r="FR90" s="96">
        <f>IFERROR(VLOOKUP($B90,INDIRECT("'GRD-"&amp;FR$11&amp;"'!B:R"),15,FALSE),"")</f>
        <v/>
      </c>
      <c r="FS90" s="96">
        <f>IFERROR(VLOOKUP($B90,INDIRECT("'GRD-"&amp;FS$11&amp;"'!B:R"),15,FALSE),"")</f>
        <v/>
      </c>
      <c r="FT90" s="96">
        <f>IFERROR(VLOOKUP($B90,INDIRECT("'GRD-"&amp;FT$11&amp;"'!B:R"),15,FALSE),"")</f>
        <v/>
      </c>
      <c r="FU90" s="96">
        <f>IFERROR(VLOOKUP($B90,INDIRECT("'GRD-"&amp;FU$11&amp;"'!B:R"),15,FALSE),"")</f>
        <v/>
      </c>
      <c r="FV90" s="96">
        <f>IFERROR(VLOOKUP($B90,INDIRECT("'GRD-"&amp;FV$11&amp;"'!B:R"),15,FALSE),"")</f>
        <v/>
      </c>
    </row>
    <row r="91">
      <c r="B91" s="85" t="n"/>
      <c r="C91" s="93" t="n"/>
      <c r="D91" s="73">
        <f>IF(K91="","",MAX($CA91:$FV91))</f>
        <v/>
      </c>
      <c r="E91" s="74">
        <f t="array" ref="E91">IF($K91="","",OFFSET($A$1,ROW($B91)-1,11+$D91*4,))</f>
        <v/>
      </c>
      <c r="F91" s="74">
        <f t="array" ref="F91">IF($K91="","",OFFSET($A$1,ROW($B91)-1,12+$D91*4,))</f>
        <v/>
      </c>
      <c r="G91" s="118">
        <f t="array" ref="G91">IF($K91="","",OFFSET($A$1,ROW($B91)-1,13+$D91*4,))</f>
        <v/>
      </c>
      <c r="H91" s="81" t="n"/>
      <c r="I91" s="82" t="n"/>
      <c r="J91" s="75">
        <f>IF(I91="A4",H91/8,IF(I91="A3",H91/4,IF(I91="A2",H91/2,IF(I91="A1",H91/1,IF(I91="A0",H91*2,"")))))</f>
        <v/>
      </c>
      <c r="K91" s="68">
        <f t="array" ref="K91">IFERROR(OFFSET($BZ$11,ROW($B91)-11,MATCH(K$10,$CA91:$FV91,0),),"")</f>
        <v/>
      </c>
      <c r="L91" s="85">
        <f>IF(K91="","",IF(VLOOKUP($B91,INDIRECT("'GRD-"&amp;M91&amp;"'!$B:$R"),16,FALSE)="","",VLOOKUP($B91,INDIRECT("'GRD-"&amp;M91&amp;"'!$B:$R"),16,FALSE)))</f>
        <v/>
      </c>
      <c r="M91" s="130">
        <f t="array" ref="M91">IF(K91="","",IFERROR(OFFSET($BZ$11,0,MATCH($K91,$CA91:$FV91,0),),""))</f>
        <v/>
      </c>
      <c r="N91" s="119">
        <f t="array" ref="N91">IF(K91="","",INDIRECT("'GRD-"&amp;M91&amp;"'!$L$7"))</f>
        <v/>
      </c>
      <c r="O91" s="76">
        <f t="array" ref="O91">IFERROR(OFFSET($BZ$11,ROW($B91)-11,MATCH(O$10,$CA91:$FV91,0),),"")</f>
        <v/>
      </c>
      <c r="P91" s="76">
        <f>IF(O91="","",IF(VLOOKUP($B91,INDIRECT("'GRD-"&amp;Q91&amp;"'!$B:$R"),16,FALSE)="","",VLOOKUP($B91,INDIRECT("'GRD-"&amp;Q91&amp;"'!$B:$R"),16,FALSE)))</f>
        <v/>
      </c>
      <c r="Q91" s="132">
        <f t="array" ref="Q91">IF(O91="","",IFERROR(OFFSET($BZ$11,0,MATCH($O91,$CA91:$FV91,0),),""))</f>
        <v/>
      </c>
      <c r="R91" s="121">
        <f t="array" ref="R91">IF(O91="","",INDIRECT("'GRD-"&amp;Q91&amp;"'!$L$7"))</f>
        <v/>
      </c>
      <c r="S91" s="83">
        <f t="array" ref="S91">IFERROR(OFFSET($BZ$11,ROW($B91)-11,MATCH(S$10,$CA91:$FV91,0),),"")</f>
        <v/>
      </c>
      <c r="T91" s="83">
        <f>IF(S91="","",IF(VLOOKUP($B91,INDIRECT("'GRD-"&amp;U91&amp;"'!$B:$R"),16,FALSE)="","",VLOOKUP($B91,INDIRECT("'GRD-"&amp;U91&amp;"'!$B:$R"),16,FALSE)))</f>
        <v/>
      </c>
      <c r="U91" s="128">
        <f t="array" ref="U91">IF(S91="","",IFERROR(OFFSET($BZ$11,0,MATCH($S91,$CA91:$FV91,0),),""))</f>
        <v/>
      </c>
      <c r="V91" s="133">
        <f t="array" ref="V91">IF(S91="","",INDIRECT("'GRD-"&amp;U91&amp;"'!$L$7"))</f>
        <v/>
      </c>
      <c r="W91" s="84">
        <f t="array" ref="W91">IFERROR(OFFSET($BZ$11,ROW($B91)-11,MATCH(W$10,$CA91:$FV91,0),),"")</f>
        <v/>
      </c>
      <c r="X91" s="84">
        <f>IF(W91="","",IF(VLOOKUP($B91,INDIRECT("'GRD-"&amp;Y91&amp;"'!$B:$R"),16,FALSE)="","",VLOOKUP($B91,INDIRECT("'GRD-"&amp;Y91&amp;"'!$B:$R"),16,FALSE)))</f>
        <v/>
      </c>
      <c r="Y91" s="129">
        <f t="array" ref="Y91">IF(W91="","",IFERROR(OFFSET($BZ$11,0,MATCH($W91,$CA91:$FV91,0),),""))</f>
        <v/>
      </c>
      <c r="Z91" s="134">
        <f t="array" ref="Z91">IF(W91="","",INDIRECT("'GRD-"&amp;Y91&amp;"'!$L$7"))</f>
        <v/>
      </c>
      <c r="AA91" s="85">
        <f t="array" ref="AA91">IFERROR(OFFSET($BZ$11,ROW($B91)-11,MATCH(AA$10,$CA91:$FV91,0),),"")</f>
        <v/>
      </c>
      <c r="AB91" s="85">
        <f>IF(AA91="","",IF(VLOOKUP($B91,INDIRECT("'GRD-"&amp;AC91&amp;"'!$B:$R"),16,FALSE)="","",VLOOKUP($B91,INDIRECT("'GRD-"&amp;AC91&amp;"'!$B:$R"),16,FALSE)))</f>
        <v/>
      </c>
      <c r="AC91" s="130">
        <f t="array" ref="AC91">IF(AA91="","",IFERROR(OFFSET($BZ$11,0,MATCH($AA91,$CA91:$FV91,0),),""))</f>
        <v/>
      </c>
      <c r="AD91" s="131">
        <f t="array" ref="AD91">IF(AA91="","",INDIRECT("'GRD-"&amp;AC91&amp;"'!$L$7"))</f>
        <v/>
      </c>
      <c r="AE91" s="76">
        <f t="array" ref="AE91">IFERROR(OFFSET($BZ$11,ROW($B91)-11,MATCH(AE$10,$CA91:$FV91,0),),"")</f>
        <v/>
      </c>
      <c r="AF91" s="76">
        <f>IF(AE91="","",IF(VLOOKUP($B91,INDIRECT("'GRD-"&amp;AG91&amp;"'!$B:$R"),16,FALSE)="","",VLOOKUP($B91,INDIRECT("'GRD-"&amp;AG91&amp;"'!$B:$R"),16,FALSE)))</f>
        <v/>
      </c>
      <c r="AG91" s="132">
        <f t="array" ref="AG91">IF(AE91="","",IFERROR(OFFSET($BZ$11,0,MATCH($AE91,$CA91:$FV91,0),),""))</f>
        <v/>
      </c>
      <c r="AH91" s="121">
        <f t="array" ref="AH91">IF(AE91="","",INDIRECT("'GRD-"&amp;AG91&amp;"'!$L$7"))</f>
        <v/>
      </c>
      <c r="AI91" s="83">
        <f t="array" ref="AI91">IFERROR(OFFSET($BZ$11,ROW($B91)-11,MATCH(AI$10,$CA91:$FV91,0),),"")</f>
        <v/>
      </c>
      <c r="AJ91" s="83">
        <f>IF(AI91="","",IF(VLOOKUP($B91,INDIRECT("'GRD-"&amp;AK91&amp;"'!$B:$R"),16,FALSE)="","",VLOOKUP($B91,INDIRECT("'GRD-"&amp;AK91&amp;"'!$B:$R"),16,FALSE)))</f>
        <v/>
      </c>
      <c r="AK91" s="128">
        <f t="array" ref="AK91">IF(AI91="","",IFERROR(OFFSET($BZ$11,0,MATCH($AI91,$CA91:$FV91,0),),""))</f>
        <v/>
      </c>
      <c r="AL91" s="133">
        <f t="array" ref="AL91">IF(AI91="","",INDIRECT("'GRD-"&amp;AK91&amp;"'!$L$7"))</f>
        <v/>
      </c>
      <c r="AM91" s="84">
        <f t="array" ref="AM91">IFERROR(OFFSET($BZ$11,ROW($B91)-11,MATCH(AM$10,$CA91:$FV91,0),),"")</f>
        <v/>
      </c>
      <c r="AN91" s="84">
        <f>IF(AM91="","",IF(VLOOKUP($B91,INDIRECT("'GRD-"&amp;AO91&amp;"'!$B:$R"),16,FALSE)="","",VLOOKUP($B91,INDIRECT("'GRD-"&amp;AO91&amp;"'!$B:$R"),16,FALSE)))</f>
        <v/>
      </c>
      <c r="AO91" s="129">
        <f t="array" ref="AO91">IF(AM91="","",IFERROR(OFFSET($BZ$11,0,MATCH($AM91,$CA91:$FV91,0),),""))</f>
        <v/>
      </c>
      <c r="AP91" s="134">
        <f t="array" ref="AP91">IF(AM91="","",INDIRECT("'GRD-"&amp;AO91&amp;"'!$L$7"))</f>
        <v/>
      </c>
      <c r="AQ91" s="85">
        <f t="array" ref="AQ91">IFERROR(OFFSET($BZ$11,ROW($B91)-11,MATCH(AQ$10,$CA91:$FV91,0),),"")</f>
        <v/>
      </c>
      <c r="AR91" s="85">
        <f>IF(AQ91="","",IF(VLOOKUP($B91,INDIRECT("'GRD-"&amp;AS91&amp;"'!$B:$R"),16,FALSE)="","",VLOOKUP($B91,INDIRECT("'GRD-"&amp;AS91&amp;"'!$B:$R"),16,FALSE)))</f>
        <v/>
      </c>
      <c r="AS91" s="130">
        <f t="array" ref="AS91">IF(AQ91="","",IFERROR(OFFSET($BZ$11,0,MATCH($AQ91,$CA91:$FV91,0),),""))</f>
        <v/>
      </c>
      <c r="AT91" s="131">
        <f t="array" ref="AT91">IF(AQ91="","",INDIRECT("'GRD-"&amp;AS91&amp;"'!$L$7"))</f>
        <v/>
      </c>
      <c r="AU91" s="76">
        <f t="array" ref="AU91">IFERROR(OFFSET($BZ$11,ROW($B91)-11,MATCH(AU$10,$CA91:$FV91,0),),"")</f>
        <v/>
      </c>
      <c r="AV91" s="76">
        <f>IF(AU91="","",IF(VLOOKUP($B91,INDIRECT("'GRD-"&amp;AW91&amp;"'!$B:$R"),16,FALSE)="","",VLOOKUP($B91,INDIRECT("'GRD-"&amp;AW91&amp;"'!$B:$R"),16,FALSE)))</f>
        <v/>
      </c>
      <c r="AW91" s="132">
        <f t="array" ref="AW91">IF(AU91="","",IFERROR(OFFSET($BZ$11,0,MATCH($AU91,$CA91:$FV91,0),),""))</f>
        <v/>
      </c>
      <c r="AX91" s="121">
        <f t="array" ref="AX91">IF(AU91="","",INDIRECT("'GRD-"&amp;AW91&amp;"'!$L$7"))</f>
        <v/>
      </c>
      <c r="AY91" s="83">
        <f t="array" ref="AY91">IFERROR(OFFSET($BZ$11,ROW($B91)-11,MATCH(AY$10,$CA91:$FV91,0),),"")</f>
        <v/>
      </c>
      <c r="AZ91" s="83">
        <f>IF(AY91="","",IF(VLOOKUP($B91,INDIRECT("'GRD-"&amp;BA91&amp;"'!$B:$R"),16,FALSE)="","",VLOOKUP($B91,INDIRECT("'GRD-"&amp;BA91&amp;"'!$B:$R"),16,FALSE)))</f>
        <v/>
      </c>
      <c r="BA91" s="128">
        <f t="array" ref="BA91">IF(AY91="","",IFERROR(OFFSET($BZ$11,0,MATCH($AY91,$CA91:$FV91,0),),""))</f>
        <v/>
      </c>
      <c r="BB91" s="133">
        <f t="array" ref="BB91">IF(AY91="","",INDIRECT("'GRD-"&amp;BA91&amp;"'!$L$7"))</f>
        <v/>
      </c>
      <c r="BC91" s="84">
        <f t="array" ref="BC91">IFERROR(OFFSET($BZ$11,ROW($B91)-11,MATCH(BC$10,$CA91:$FV91,0),),"")</f>
        <v/>
      </c>
      <c r="BD91" s="84">
        <f>IF(BC91="","",IF(VLOOKUP($B91,INDIRECT("'GRD-"&amp;BE91&amp;"'!$B:$R"),16,FALSE)="","",VLOOKUP($B91,INDIRECT("'GRD-"&amp;BE91&amp;"'!$B:$R"),16,FALSE)))</f>
        <v/>
      </c>
      <c r="BE91" s="129">
        <f t="array" ref="BE91">IF(BC91="","",IFERROR(OFFSET($BZ$11,0,MATCH($BC91,$CA91:$FV91,0),),""))</f>
        <v/>
      </c>
      <c r="BF91" s="134">
        <f t="array" ref="BF91">IF(BC91="","",INDIRECT("'GRD-"&amp;BE91&amp;"'!$L$7"))</f>
        <v/>
      </c>
      <c r="CA91" s="96">
        <f>IFERROR(VLOOKUP($B91,INDIRECT("'GRD-"&amp;CA$11&amp;"'!B:R"),15,FALSE),"")</f>
        <v/>
      </c>
      <c r="CB91" s="96">
        <f>IFERROR(VLOOKUP($B91,INDIRECT("'GRD-"&amp;CB$11&amp;"'!B:R"),15,FALSE),"")</f>
        <v/>
      </c>
      <c r="CC91" s="96">
        <f>IFERROR(VLOOKUP($B91,INDIRECT("'GRD-"&amp;CC$11&amp;"'!B:R"),15,FALSE),"")</f>
        <v/>
      </c>
      <c r="CD91" s="96">
        <f>IFERROR(VLOOKUP($B91,INDIRECT("'GRD-"&amp;CD$11&amp;"'!B:R"),15,FALSE),"")</f>
        <v/>
      </c>
      <c r="CE91" s="96">
        <f>IFERROR(VLOOKUP($B91,INDIRECT("'GRD-"&amp;CE$11&amp;"'!B:R"),15,FALSE),"")</f>
        <v/>
      </c>
      <c r="CF91" s="96">
        <f>IFERROR(VLOOKUP($B91,INDIRECT("'GRD-"&amp;CF$11&amp;"'!B:R"),15,FALSE),"")</f>
        <v/>
      </c>
      <c r="CG91" s="96">
        <f>IFERROR(VLOOKUP($B91,INDIRECT("'GRD-"&amp;CG$11&amp;"'!B:R"),15,FALSE),"")</f>
        <v/>
      </c>
      <c r="CH91" s="96">
        <f>IFERROR(VLOOKUP($B91,INDIRECT("'GRD-"&amp;CH$11&amp;"'!B:R"),15,FALSE),"")</f>
        <v/>
      </c>
      <c r="CI91" s="96">
        <f>IFERROR(VLOOKUP($B91,INDIRECT("'GRD-"&amp;CI$11&amp;"'!B:R"),15,FALSE),"")</f>
        <v/>
      </c>
      <c r="CJ91" s="96">
        <f>IFERROR(VLOOKUP($B91,INDIRECT("'GRD-"&amp;CJ$11&amp;"'!B:R"),15,FALSE),"")</f>
        <v/>
      </c>
      <c r="CK91" s="96">
        <f>IFERROR(VLOOKUP($B91,INDIRECT("'GRD-"&amp;CK$11&amp;"'!B:R"),15,FALSE),"")</f>
        <v/>
      </c>
      <c r="CL91" s="96">
        <f>IFERROR(VLOOKUP($B91,INDIRECT("'GRD-"&amp;CL$11&amp;"'!B:R"),15,FALSE),"")</f>
        <v/>
      </c>
      <c r="CM91" s="96">
        <f>IFERROR(VLOOKUP($B91,INDIRECT("'GRD-"&amp;CM$11&amp;"'!B:R"),15,FALSE),"")</f>
        <v/>
      </c>
      <c r="CN91" s="96">
        <f>IFERROR(VLOOKUP($B91,INDIRECT("'GRD-"&amp;CN$11&amp;"'!B:R"),15,FALSE),"")</f>
        <v/>
      </c>
      <c r="CO91" s="96">
        <f>IFERROR(VLOOKUP($B91,INDIRECT("'GRD-"&amp;CO$11&amp;"'!B:R"),15,FALSE),"")</f>
        <v/>
      </c>
      <c r="CP91" s="96">
        <f>IFERROR(VLOOKUP($B91,INDIRECT("'GRD-"&amp;CP$11&amp;"'!B:R"),15,FALSE),"")</f>
        <v/>
      </c>
      <c r="CQ91" s="96">
        <f>IFERROR(VLOOKUP($B91,INDIRECT("'GRD-"&amp;CQ$11&amp;"'!B:R"),15,FALSE),"")</f>
        <v/>
      </c>
      <c r="CR91" s="96">
        <f>IFERROR(VLOOKUP($B91,INDIRECT("'GRD-"&amp;CR$11&amp;"'!B:R"),15,FALSE),"")</f>
        <v/>
      </c>
      <c r="CS91" s="96">
        <f>IFERROR(VLOOKUP($B91,INDIRECT("'GRD-"&amp;CS$11&amp;"'!B:R"),15,FALSE),"")</f>
        <v/>
      </c>
      <c r="CT91" s="96">
        <f>IFERROR(VLOOKUP($B91,INDIRECT("'GRD-"&amp;CT$11&amp;"'!B:R"),15,FALSE),"")</f>
        <v/>
      </c>
      <c r="CU91" s="96">
        <f>IFERROR(VLOOKUP($B91,INDIRECT("'GRD-"&amp;CU$11&amp;"'!B:R"),15,FALSE),"")</f>
        <v/>
      </c>
      <c r="CV91" s="96">
        <f>IFERROR(VLOOKUP($B91,INDIRECT("'GRD-"&amp;CV$11&amp;"'!B:R"),15,FALSE),"")</f>
        <v/>
      </c>
      <c r="CW91" s="96">
        <f>IFERROR(VLOOKUP($B91,INDIRECT("'GRD-"&amp;CW$11&amp;"'!B:R"),15,FALSE),"")</f>
        <v/>
      </c>
      <c r="CX91" s="96">
        <f>IFERROR(VLOOKUP($B91,INDIRECT("'GRD-"&amp;CX$11&amp;"'!B:R"),15,FALSE),"")</f>
        <v/>
      </c>
      <c r="CY91" s="96">
        <f>IFERROR(VLOOKUP($B91,INDIRECT("'GRD-"&amp;CY$11&amp;"'!B:R"),15,FALSE),"")</f>
        <v/>
      </c>
      <c r="CZ91" s="96">
        <f>IFERROR(VLOOKUP($B91,INDIRECT("'GRD-"&amp;CZ$11&amp;"'!B:R"),15,FALSE),"")</f>
        <v/>
      </c>
      <c r="DA91" s="96">
        <f>IFERROR(VLOOKUP($B91,INDIRECT("'GRD-"&amp;DA$11&amp;"'!B:R"),15,FALSE),"")</f>
        <v/>
      </c>
      <c r="DB91" s="96">
        <f>IFERROR(VLOOKUP($B91,INDIRECT("'GRD-"&amp;DB$11&amp;"'!B:R"),15,FALSE),"")</f>
        <v/>
      </c>
      <c r="DC91" s="96">
        <f>IFERROR(VLOOKUP($B91,INDIRECT("'GRD-"&amp;DC$11&amp;"'!B:R"),15,FALSE),"")</f>
        <v/>
      </c>
      <c r="DD91" s="96">
        <f>IFERROR(VLOOKUP($B91,INDIRECT("'GRD-"&amp;DD$11&amp;"'!B:R"),15,FALSE),"")</f>
        <v/>
      </c>
      <c r="DE91" s="96">
        <f>IFERROR(VLOOKUP($B91,INDIRECT("'GRD-"&amp;DE$11&amp;"'!B:R"),15,FALSE),"")</f>
        <v/>
      </c>
      <c r="DF91" s="96">
        <f>IFERROR(VLOOKUP($B91,INDIRECT("'GRD-"&amp;DF$11&amp;"'!B:R"),15,FALSE),"")</f>
        <v/>
      </c>
      <c r="DG91" s="96">
        <f>IFERROR(VLOOKUP($B91,INDIRECT("'GRD-"&amp;DG$11&amp;"'!B:R"),15,FALSE),"")</f>
        <v/>
      </c>
      <c r="DH91" s="96">
        <f>IFERROR(VLOOKUP($B91,INDIRECT("'GRD-"&amp;DH$11&amp;"'!B:R"),15,FALSE),"")</f>
        <v/>
      </c>
      <c r="DI91" s="96">
        <f>IFERROR(VLOOKUP($B91,INDIRECT("'GRD-"&amp;DI$11&amp;"'!B:R"),15,FALSE),"")</f>
        <v/>
      </c>
      <c r="DJ91" s="96">
        <f>IFERROR(VLOOKUP($B91,INDIRECT("'GRD-"&amp;DJ$11&amp;"'!B:R"),15,FALSE),"")</f>
        <v/>
      </c>
      <c r="DK91" s="96">
        <f>IFERROR(VLOOKUP($B91,INDIRECT("'GRD-"&amp;DK$11&amp;"'!B:R"),15,FALSE),"")</f>
        <v/>
      </c>
      <c r="DL91" s="96">
        <f>IFERROR(VLOOKUP($B91,INDIRECT("'GRD-"&amp;DL$11&amp;"'!B:R"),15,FALSE),"")</f>
        <v/>
      </c>
      <c r="DM91" s="96">
        <f>IFERROR(VLOOKUP($B91,INDIRECT("'GRD-"&amp;DM$11&amp;"'!B:R"),15,FALSE),"")</f>
        <v/>
      </c>
      <c r="DN91" s="96">
        <f>IFERROR(VLOOKUP($B91,INDIRECT("'GRD-"&amp;DN$11&amp;"'!B:R"),15,FALSE),"")</f>
        <v/>
      </c>
      <c r="DO91" s="96">
        <f>IFERROR(VLOOKUP($B91,INDIRECT("'GRD-"&amp;DO$11&amp;"'!B:R"),15,FALSE),"")</f>
        <v/>
      </c>
      <c r="DP91" s="96">
        <f>IFERROR(VLOOKUP($B91,INDIRECT("'GRD-"&amp;DP$11&amp;"'!B:R"),15,FALSE),"")</f>
        <v/>
      </c>
      <c r="DQ91" s="96">
        <f>IFERROR(VLOOKUP($B91,INDIRECT("'GRD-"&amp;DQ$11&amp;"'!B:R"),15,FALSE),"")</f>
        <v/>
      </c>
      <c r="DR91" s="96">
        <f>IFERROR(VLOOKUP($B91,INDIRECT("'GRD-"&amp;DR$11&amp;"'!B:R"),15,FALSE),"")</f>
        <v/>
      </c>
      <c r="DS91" s="96">
        <f>IFERROR(VLOOKUP($B91,INDIRECT("'GRD-"&amp;DS$11&amp;"'!B:R"),15,FALSE),"")</f>
        <v/>
      </c>
      <c r="DT91" s="96">
        <f>IFERROR(VLOOKUP($B91,INDIRECT("'GRD-"&amp;DT$11&amp;"'!B:R"),15,FALSE),"")</f>
        <v/>
      </c>
      <c r="DU91" s="96">
        <f>IFERROR(VLOOKUP($B91,INDIRECT("'GRD-"&amp;DU$11&amp;"'!B:R"),15,FALSE),"")</f>
        <v/>
      </c>
      <c r="DV91" s="96">
        <f>IFERROR(VLOOKUP($B91,INDIRECT("'GRD-"&amp;DV$11&amp;"'!B:R"),15,FALSE),"")</f>
        <v/>
      </c>
      <c r="DW91" s="96">
        <f>IFERROR(VLOOKUP($B91,INDIRECT("'GRD-"&amp;DW$11&amp;"'!B:R"),15,FALSE),"")</f>
        <v/>
      </c>
      <c r="DX91" s="96">
        <f>IFERROR(VLOOKUP($B91,INDIRECT("'GRD-"&amp;DX$11&amp;"'!B:R"),15,FALSE),"")</f>
        <v/>
      </c>
      <c r="DY91" s="96">
        <f>IFERROR(VLOOKUP($B91,INDIRECT("'GRD-"&amp;DY$11&amp;"'!B:R"),15,FALSE),"")</f>
        <v/>
      </c>
      <c r="DZ91" s="96">
        <f>IFERROR(VLOOKUP($B91,INDIRECT("'GRD-"&amp;DZ$11&amp;"'!B:R"),15,FALSE),"")</f>
        <v/>
      </c>
      <c r="EA91" s="96">
        <f>IFERROR(VLOOKUP($B91,INDIRECT("'GRD-"&amp;EA$11&amp;"'!B:R"),15,FALSE),"")</f>
        <v/>
      </c>
      <c r="EB91" s="96">
        <f>IFERROR(VLOOKUP($B91,INDIRECT("'GRD-"&amp;EB$11&amp;"'!B:R"),15,FALSE),"")</f>
        <v/>
      </c>
      <c r="EC91" s="96">
        <f>IFERROR(VLOOKUP($B91,INDIRECT("'GRD-"&amp;EC$11&amp;"'!B:R"),15,FALSE),"")</f>
        <v/>
      </c>
      <c r="ED91" s="96">
        <f>IFERROR(VLOOKUP($B91,INDIRECT("'GRD-"&amp;ED$11&amp;"'!B:R"),15,FALSE),"")</f>
        <v/>
      </c>
      <c r="EE91" s="96">
        <f>IFERROR(VLOOKUP($B91,INDIRECT("'GRD-"&amp;EE$11&amp;"'!B:R"),15,FALSE),"")</f>
        <v/>
      </c>
      <c r="EF91" s="96">
        <f>IFERROR(VLOOKUP($B91,INDIRECT("'GRD-"&amp;EF$11&amp;"'!B:R"),15,FALSE),"")</f>
        <v/>
      </c>
      <c r="EG91" s="96">
        <f>IFERROR(VLOOKUP($B91,INDIRECT("'GRD-"&amp;EG$11&amp;"'!B:R"),15,FALSE),"")</f>
        <v/>
      </c>
      <c r="EH91" s="96">
        <f>IFERROR(VLOOKUP($B91,INDIRECT("'GRD-"&amp;EH$11&amp;"'!B:R"),15,FALSE),"")</f>
        <v/>
      </c>
      <c r="EI91" s="96">
        <f>IFERROR(VLOOKUP($B91,INDIRECT("'GRD-"&amp;EI$11&amp;"'!B:R"),15,FALSE),"")</f>
        <v/>
      </c>
      <c r="EJ91" s="96">
        <f>IFERROR(VLOOKUP($B91,INDIRECT("'GRD-"&amp;EJ$11&amp;"'!B:R"),15,FALSE),"")</f>
        <v/>
      </c>
      <c r="EK91" s="96">
        <f>IFERROR(VLOOKUP($B91,INDIRECT("'GRD-"&amp;EK$11&amp;"'!B:R"),15,FALSE),"")</f>
        <v/>
      </c>
      <c r="EL91" s="96">
        <f>IFERROR(VLOOKUP($B91,INDIRECT("'GRD-"&amp;EL$11&amp;"'!B:R"),15,FALSE),"")</f>
        <v/>
      </c>
      <c r="EM91" s="96">
        <f>IFERROR(VLOOKUP($B91,INDIRECT("'GRD-"&amp;EM$11&amp;"'!B:R"),15,FALSE),"")</f>
        <v/>
      </c>
      <c r="EN91" s="96">
        <f>IFERROR(VLOOKUP($B91,INDIRECT("'GRD-"&amp;EN$11&amp;"'!B:R"),15,FALSE),"")</f>
        <v/>
      </c>
      <c r="EO91" s="96">
        <f>IFERROR(VLOOKUP($B91,INDIRECT("'GRD-"&amp;EO$11&amp;"'!B:R"),15,FALSE),"")</f>
        <v/>
      </c>
      <c r="EP91" s="96">
        <f>IFERROR(VLOOKUP($B91,INDIRECT("'GRD-"&amp;EP$11&amp;"'!B:R"),15,FALSE),"")</f>
        <v/>
      </c>
      <c r="EQ91" s="96">
        <f>IFERROR(VLOOKUP($B91,INDIRECT("'GRD-"&amp;EQ$11&amp;"'!B:R"),15,FALSE),"")</f>
        <v/>
      </c>
      <c r="ER91" s="96">
        <f>IFERROR(VLOOKUP($B91,INDIRECT("'GRD-"&amp;ER$11&amp;"'!B:R"),15,FALSE),"")</f>
        <v/>
      </c>
      <c r="ES91" s="96">
        <f>IFERROR(VLOOKUP($B91,INDIRECT("'GRD-"&amp;ES$11&amp;"'!B:R"),15,FALSE),"")</f>
        <v/>
      </c>
      <c r="ET91" s="96">
        <f>IFERROR(VLOOKUP($B91,INDIRECT("'GRD-"&amp;ET$11&amp;"'!B:R"),15,FALSE),"")</f>
        <v/>
      </c>
      <c r="EU91" s="96">
        <f>IFERROR(VLOOKUP($B91,INDIRECT("'GRD-"&amp;EU$11&amp;"'!B:R"),15,FALSE),"")</f>
        <v/>
      </c>
      <c r="EV91" s="96">
        <f>IFERROR(VLOOKUP($B91,INDIRECT("'GRD-"&amp;EV$11&amp;"'!B:R"),15,FALSE),"")</f>
        <v/>
      </c>
      <c r="EW91" s="96">
        <f>IFERROR(VLOOKUP($B91,INDIRECT("'GRD-"&amp;EW$11&amp;"'!B:R"),15,FALSE),"")</f>
        <v/>
      </c>
      <c r="EX91" s="96">
        <f>IFERROR(VLOOKUP($B91,INDIRECT("'GRD-"&amp;EX$11&amp;"'!B:R"),15,FALSE),"")</f>
        <v/>
      </c>
      <c r="EY91" s="96">
        <f>IFERROR(VLOOKUP($B91,INDIRECT("'GRD-"&amp;EY$11&amp;"'!B:R"),15,FALSE),"")</f>
        <v/>
      </c>
      <c r="EZ91" s="96">
        <f>IFERROR(VLOOKUP($B91,INDIRECT("'GRD-"&amp;EZ$11&amp;"'!B:R"),15,FALSE),"")</f>
        <v/>
      </c>
      <c r="FA91" s="96">
        <f>IFERROR(VLOOKUP($B91,INDIRECT("'GRD-"&amp;FA$11&amp;"'!B:R"),15,FALSE),"")</f>
        <v/>
      </c>
      <c r="FB91" s="96">
        <f>IFERROR(VLOOKUP($B91,INDIRECT("'GRD-"&amp;FB$11&amp;"'!B:R"),15,FALSE),"")</f>
        <v/>
      </c>
      <c r="FC91" s="96">
        <f>IFERROR(VLOOKUP($B91,INDIRECT("'GRD-"&amp;FC$11&amp;"'!B:R"),15,FALSE),"")</f>
        <v/>
      </c>
      <c r="FD91" s="96">
        <f>IFERROR(VLOOKUP($B91,INDIRECT("'GRD-"&amp;FD$11&amp;"'!B:R"),15,FALSE),"")</f>
        <v/>
      </c>
      <c r="FE91" s="96">
        <f>IFERROR(VLOOKUP($B91,INDIRECT("'GRD-"&amp;FE$11&amp;"'!B:R"),15,FALSE),"")</f>
        <v/>
      </c>
      <c r="FF91" s="96">
        <f>IFERROR(VLOOKUP($B91,INDIRECT("'GRD-"&amp;FF$11&amp;"'!B:R"),15,FALSE),"")</f>
        <v/>
      </c>
      <c r="FG91" s="96">
        <f>IFERROR(VLOOKUP($B91,INDIRECT("'GRD-"&amp;FG$11&amp;"'!B:R"),15,FALSE),"")</f>
        <v/>
      </c>
      <c r="FH91" s="96">
        <f>IFERROR(VLOOKUP($B91,INDIRECT("'GRD-"&amp;FH$11&amp;"'!B:R"),15,FALSE),"")</f>
        <v/>
      </c>
      <c r="FI91" s="96">
        <f>IFERROR(VLOOKUP($B91,INDIRECT("'GRD-"&amp;FI$11&amp;"'!B:R"),15,FALSE),"")</f>
        <v/>
      </c>
      <c r="FJ91" s="96">
        <f>IFERROR(VLOOKUP($B91,INDIRECT("'GRD-"&amp;FJ$11&amp;"'!B:R"),15,FALSE),"")</f>
        <v/>
      </c>
      <c r="FK91" s="96">
        <f>IFERROR(VLOOKUP($B91,INDIRECT("'GRD-"&amp;FK$11&amp;"'!B:R"),15,FALSE),"")</f>
        <v/>
      </c>
      <c r="FL91" s="96">
        <f>IFERROR(VLOOKUP($B91,INDIRECT("'GRD-"&amp;FL$11&amp;"'!B:R"),15,FALSE),"")</f>
        <v/>
      </c>
      <c r="FM91" s="96">
        <f>IFERROR(VLOOKUP($B91,INDIRECT("'GRD-"&amp;FM$11&amp;"'!B:R"),15,FALSE),"")</f>
        <v/>
      </c>
      <c r="FN91" s="96">
        <f>IFERROR(VLOOKUP($B91,INDIRECT("'GRD-"&amp;FN$11&amp;"'!B:R"),15,FALSE),"")</f>
        <v/>
      </c>
      <c r="FO91" s="96">
        <f>IFERROR(VLOOKUP($B91,INDIRECT("'GRD-"&amp;FO$11&amp;"'!B:R"),15,FALSE),"")</f>
        <v/>
      </c>
      <c r="FP91" s="96">
        <f>IFERROR(VLOOKUP($B91,INDIRECT("'GRD-"&amp;FP$11&amp;"'!B:R"),15,FALSE),"")</f>
        <v/>
      </c>
      <c r="FQ91" s="96">
        <f>IFERROR(VLOOKUP($B91,INDIRECT("'GRD-"&amp;FQ$11&amp;"'!B:R"),15,FALSE),"")</f>
        <v/>
      </c>
      <c r="FR91" s="96">
        <f>IFERROR(VLOOKUP($B91,INDIRECT("'GRD-"&amp;FR$11&amp;"'!B:R"),15,FALSE),"")</f>
        <v/>
      </c>
      <c r="FS91" s="96">
        <f>IFERROR(VLOOKUP($B91,INDIRECT("'GRD-"&amp;FS$11&amp;"'!B:R"),15,FALSE),"")</f>
        <v/>
      </c>
      <c r="FT91" s="96">
        <f>IFERROR(VLOOKUP($B91,INDIRECT("'GRD-"&amp;FT$11&amp;"'!B:R"),15,FALSE),"")</f>
        <v/>
      </c>
      <c r="FU91" s="96">
        <f>IFERROR(VLOOKUP($B91,INDIRECT("'GRD-"&amp;FU$11&amp;"'!B:R"),15,FALSE),"")</f>
        <v/>
      </c>
      <c r="FV91" s="96">
        <f>IFERROR(VLOOKUP($B91,INDIRECT("'GRD-"&amp;FV$11&amp;"'!B:R"),15,FALSE),"")</f>
        <v/>
      </c>
    </row>
    <row r="92">
      <c r="B92" s="85" t="n"/>
      <c r="C92" s="93" t="n"/>
      <c r="D92" s="73">
        <f>IF(K92="","",MAX($CA92:$FV92))</f>
        <v/>
      </c>
      <c r="E92" s="74">
        <f t="array" ref="E92">IF($K92="","",OFFSET($A$1,ROW($B92)-1,11+$D92*4,))</f>
        <v/>
      </c>
      <c r="F92" s="74">
        <f t="array" ref="F92">IF($K92="","",OFFSET($A$1,ROW($B92)-1,12+$D92*4,))</f>
        <v/>
      </c>
      <c r="G92" s="118">
        <f t="array" ref="G92">IF($K92="","",OFFSET($A$1,ROW($B92)-1,13+$D92*4,))</f>
        <v/>
      </c>
      <c r="H92" s="81" t="n"/>
      <c r="I92" s="82" t="n"/>
      <c r="J92" s="75">
        <f>IF(I92="A4",H92/8,IF(I92="A3",H92/4,IF(I92="A2",H92/2,IF(I92="A1",H92/1,IF(I92="A0",H92*2,"")))))</f>
        <v/>
      </c>
      <c r="K92" s="68">
        <f t="array" ref="K92">IFERROR(OFFSET($BZ$11,ROW($B92)-11,MATCH(K$10,$CA92:$FV92,0),),"")</f>
        <v/>
      </c>
      <c r="L92" s="85">
        <f>IF(K92="","",IF(VLOOKUP($B92,INDIRECT("'GRD-"&amp;M92&amp;"'!$B:$R"),16,FALSE)="","",VLOOKUP($B92,INDIRECT("'GRD-"&amp;M92&amp;"'!$B:$R"),16,FALSE)))</f>
        <v/>
      </c>
      <c r="M92" s="130">
        <f t="array" ref="M92">IF(K92="","",IFERROR(OFFSET($BZ$11,0,MATCH($K92,$CA92:$FV92,0),),""))</f>
        <v/>
      </c>
      <c r="N92" s="119">
        <f t="array" ref="N92">IF(K92="","",INDIRECT("'GRD-"&amp;M92&amp;"'!$L$7"))</f>
        <v/>
      </c>
      <c r="O92" s="76">
        <f t="array" ref="O92">IFERROR(OFFSET($BZ$11,ROW($B92)-11,MATCH(O$10,$CA92:$FV92,0),),"")</f>
        <v/>
      </c>
      <c r="P92" s="76">
        <f>IF(O92="","",IF(VLOOKUP($B92,INDIRECT("'GRD-"&amp;Q92&amp;"'!$B:$R"),16,FALSE)="","",VLOOKUP($B92,INDIRECT("'GRD-"&amp;Q92&amp;"'!$B:$R"),16,FALSE)))</f>
        <v/>
      </c>
      <c r="Q92" s="132">
        <f t="array" ref="Q92">IF(O92="","",IFERROR(OFFSET($BZ$11,0,MATCH($O92,$CA92:$FV92,0),),""))</f>
        <v/>
      </c>
      <c r="R92" s="121">
        <f t="array" ref="R92">IF(O92="","",INDIRECT("'GRD-"&amp;Q92&amp;"'!$L$7"))</f>
        <v/>
      </c>
      <c r="S92" s="83">
        <f t="array" ref="S92">IFERROR(OFFSET($BZ$11,ROW($B92)-11,MATCH(S$10,$CA92:$FV92,0),),"")</f>
        <v/>
      </c>
      <c r="T92" s="83">
        <f>IF(S92="","",IF(VLOOKUP($B92,INDIRECT("'GRD-"&amp;U92&amp;"'!$B:$R"),16,FALSE)="","",VLOOKUP($B92,INDIRECT("'GRD-"&amp;U92&amp;"'!$B:$R"),16,FALSE)))</f>
        <v/>
      </c>
      <c r="U92" s="128">
        <f t="array" ref="U92">IF(S92="","",IFERROR(OFFSET($BZ$11,0,MATCH($S92,$CA92:$FV92,0),),""))</f>
        <v/>
      </c>
      <c r="V92" s="133">
        <f t="array" ref="V92">IF(S92="","",INDIRECT("'GRD-"&amp;U92&amp;"'!$L$7"))</f>
        <v/>
      </c>
      <c r="W92" s="84">
        <f t="array" ref="W92">IFERROR(OFFSET($BZ$11,ROW($B92)-11,MATCH(W$10,$CA92:$FV92,0),),"")</f>
        <v/>
      </c>
      <c r="X92" s="84">
        <f>IF(W92="","",IF(VLOOKUP($B92,INDIRECT("'GRD-"&amp;Y92&amp;"'!$B:$R"),16,FALSE)="","",VLOOKUP($B92,INDIRECT("'GRD-"&amp;Y92&amp;"'!$B:$R"),16,FALSE)))</f>
        <v/>
      </c>
      <c r="Y92" s="129">
        <f t="array" ref="Y92">IF(W92="","",IFERROR(OFFSET($BZ$11,0,MATCH($W92,$CA92:$FV92,0),),""))</f>
        <v/>
      </c>
      <c r="Z92" s="134">
        <f t="array" ref="Z92">IF(W92="","",INDIRECT("'GRD-"&amp;Y92&amp;"'!$L$7"))</f>
        <v/>
      </c>
      <c r="AA92" s="85">
        <f t="array" ref="AA92">IFERROR(OFFSET($BZ$11,ROW($B92)-11,MATCH(AA$10,$CA92:$FV92,0),),"")</f>
        <v/>
      </c>
      <c r="AB92" s="85">
        <f>IF(AA92="","",IF(VLOOKUP($B92,INDIRECT("'GRD-"&amp;AC92&amp;"'!$B:$R"),16,FALSE)="","",VLOOKUP($B92,INDIRECT("'GRD-"&amp;AC92&amp;"'!$B:$R"),16,FALSE)))</f>
        <v/>
      </c>
      <c r="AC92" s="130">
        <f t="array" ref="AC92">IF(AA92="","",IFERROR(OFFSET($BZ$11,0,MATCH($AA92,$CA92:$FV92,0),),""))</f>
        <v/>
      </c>
      <c r="AD92" s="131">
        <f t="array" ref="AD92">IF(AA92="","",INDIRECT("'GRD-"&amp;AC92&amp;"'!$L$7"))</f>
        <v/>
      </c>
      <c r="AE92" s="76">
        <f t="array" ref="AE92">IFERROR(OFFSET($BZ$11,ROW($B92)-11,MATCH(AE$10,$CA92:$FV92,0),),"")</f>
        <v/>
      </c>
      <c r="AF92" s="76">
        <f>IF(AE92="","",IF(VLOOKUP($B92,INDIRECT("'GRD-"&amp;AG92&amp;"'!$B:$R"),16,FALSE)="","",VLOOKUP($B92,INDIRECT("'GRD-"&amp;AG92&amp;"'!$B:$R"),16,FALSE)))</f>
        <v/>
      </c>
      <c r="AG92" s="132">
        <f t="array" ref="AG92">IF(AE92="","",IFERROR(OFFSET($BZ$11,0,MATCH($AE92,$CA92:$FV92,0),),""))</f>
        <v/>
      </c>
      <c r="AH92" s="121">
        <f t="array" ref="AH92">IF(AE92="","",INDIRECT("'GRD-"&amp;AG92&amp;"'!$L$7"))</f>
        <v/>
      </c>
      <c r="AI92" s="83">
        <f t="array" ref="AI92">IFERROR(OFFSET($BZ$11,ROW($B92)-11,MATCH(AI$10,$CA92:$FV92,0),),"")</f>
        <v/>
      </c>
      <c r="AJ92" s="83">
        <f>IF(AI92="","",IF(VLOOKUP($B92,INDIRECT("'GRD-"&amp;AK92&amp;"'!$B:$R"),16,FALSE)="","",VLOOKUP($B92,INDIRECT("'GRD-"&amp;AK92&amp;"'!$B:$R"),16,FALSE)))</f>
        <v/>
      </c>
      <c r="AK92" s="128">
        <f t="array" ref="AK92">IF(AI92="","",IFERROR(OFFSET($BZ$11,0,MATCH($AI92,$CA92:$FV92,0),),""))</f>
        <v/>
      </c>
      <c r="AL92" s="133">
        <f t="array" ref="AL92">IF(AI92="","",INDIRECT("'GRD-"&amp;AK92&amp;"'!$L$7"))</f>
        <v/>
      </c>
      <c r="AM92" s="84">
        <f t="array" ref="AM92">IFERROR(OFFSET($BZ$11,ROW($B92)-11,MATCH(AM$10,$CA92:$FV92,0),),"")</f>
        <v/>
      </c>
      <c r="AN92" s="84">
        <f>IF(AM92="","",IF(VLOOKUP($B92,INDIRECT("'GRD-"&amp;AO92&amp;"'!$B:$R"),16,FALSE)="","",VLOOKUP($B92,INDIRECT("'GRD-"&amp;AO92&amp;"'!$B:$R"),16,FALSE)))</f>
        <v/>
      </c>
      <c r="AO92" s="129">
        <f t="array" ref="AO92">IF(AM92="","",IFERROR(OFFSET($BZ$11,0,MATCH($AM92,$CA92:$FV92,0),),""))</f>
        <v/>
      </c>
      <c r="AP92" s="134">
        <f t="array" ref="AP92">IF(AM92="","",INDIRECT("'GRD-"&amp;AO92&amp;"'!$L$7"))</f>
        <v/>
      </c>
      <c r="AQ92" s="85">
        <f t="array" ref="AQ92">IFERROR(OFFSET($BZ$11,ROW($B92)-11,MATCH(AQ$10,$CA92:$FV92,0),),"")</f>
        <v/>
      </c>
      <c r="AR92" s="85">
        <f>IF(AQ92="","",IF(VLOOKUP($B92,INDIRECT("'GRD-"&amp;AS92&amp;"'!$B:$R"),16,FALSE)="","",VLOOKUP($B92,INDIRECT("'GRD-"&amp;AS92&amp;"'!$B:$R"),16,FALSE)))</f>
        <v/>
      </c>
      <c r="AS92" s="130">
        <f t="array" ref="AS92">IF(AQ92="","",IFERROR(OFFSET($BZ$11,0,MATCH($AQ92,$CA92:$FV92,0),),""))</f>
        <v/>
      </c>
      <c r="AT92" s="131">
        <f t="array" ref="AT92">IF(AQ92="","",INDIRECT("'GRD-"&amp;AS92&amp;"'!$L$7"))</f>
        <v/>
      </c>
      <c r="AU92" s="76">
        <f t="array" ref="AU92">IFERROR(OFFSET($BZ$11,ROW($B92)-11,MATCH(AU$10,$CA92:$FV92,0),),"")</f>
        <v/>
      </c>
      <c r="AV92" s="76">
        <f>IF(AU92="","",IF(VLOOKUP($B92,INDIRECT("'GRD-"&amp;AW92&amp;"'!$B:$R"),16,FALSE)="","",VLOOKUP($B92,INDIRECT("'GRD-"&amp;AW92&amp;"'!$B:$R"),16,FALSE)))</f>
        <v/>
      </c>
      <c r="AW92" s="132">
        <f t="array" ref="AW92">IF(AU92="","",IFERROR(OFFSET($BZ$11,0,MATCH($AU92,$CA92:$FV92,0),),""))</f>
        <v/>
      </c>
      <c r="AX92" s="121">
        <f t="array" ref="AX92">IF(AU92="","",INDIRECT("'GRD-"&amp;AW92&amp;"'!$L$7"))</f>
        <v/>
      </c>
      <c r="AY92" s="83">
        <f t="array" ref="AY92">IFERROR(OFFSET($BZ$11,ROW($B92)-11,MATCH(AY$10,$CA92:$FV92,0),),"")</f>
        <v/>
      </c>
      <c r="AZ92" s="83">
        <f>IF(AY92="","",IF(VLOOKUP($B92,INDIRECT("'GRD-"&amp;BA92&amp;"'!$B:$R"),16,FALSE)="","",VLOOKUP($B92,INDIRECT("'GRD-"&amp;BA92&amp;"'!$B:$R"),16,FALSE)))</f>
        <v/>
      </c>
      <c r="BA92" s="128">
        <f t="array" ref="BA92">IF(AY92="","",IFERROR(OFFSET($BZ$11,0,MATCH($AY92,$CA92:$FV92,0),),""))</f>
        <v/>
      </c>
      <c r="BB92" s="133">
        <f t="array" ref="BB92">IF(AY92="","",INDIRECT("'GRD-"&amp;BA92&amp;"'!$L$7"))</f>
        <v/>
      </c>
      <c r="BC92" s="84">
        <f t="array" ref="BC92">IFERROR(OFFSET($BZ$11,ROW($B92)-11,MATCH(BC$10,$CA92:$FV92,0),),"")</f>
        <v/>
      </c>
      <c r="BD92" s="84">
        <f>IF(BC92="","",IF(VLOOKUP($B92,INDIRECT("'GRD-"&amp;BE92&amp;"'!$B:$R"),16,FALSE)="","",VLOOKUP($B92,INDIRECT("'GRD-"&amp;BE92&amp;"'!$B:$R"),16,FALSE)))</f>
        <v/>
      </c>
      <c r="BE92" s="129">
        <f t="array" ref="BE92">IF(BC92="","",IFERROR(OFFSET($BZ$11,0,MATCH($BC92,$CA92:$FV92,0),),""))</f>
        <v/>
      </c>
      <c r="BF92" s="134">
        <f t="array" ref="BF92">IF(BC92="","",INDIRECT("'GRD-"&amp;BE92&amp;"'!$L$7"))</f>
        <v/>
      </c>
      <c r="CA92" s="96">
        <f>IFERROR(VLOOKUP($B92,INDIRECT("'GRD-"&amp;CA$11&amp;"'!B:R"),15,FALSE),"")</f>
        <v/>
      </c>
      <c r="CB92" s="96">
        <f>IFERROR(VLOOKUP($B92,INDIRECT("'GRD-"&amp;CB$11&amp;"'!B:R"),15,FALSE),"")</f>
        <v/>
      </c>
      <c r="CC92" s="96">
        <f>IFERROR(VLOOKUP($B92,INDIRECT("'GRD-"&amp;CC$11&amp;"'!B:R"),15,FALSE),"")</f>
        <v/>
      </c>
      <c r="CD92" s="96">
        <f>IFERROR(VLOOKUP($B92,INDIRECT("'GRD-"&amp;CD$11&amp;"'!B:R"),15,FALSE),"")</f>
        <v/>
      </c>
      <c r="CE92" s="96">
        <f>IFERROR(VLOOKUP($B92,INDIRECT("'GRD-"&amp;CE$11&amp;"'!B:R"),15,FALSE),"")</f>
        <v/>
      </c>
      <c r="CF92" s="96">
        <f>IFERROR(VLOOKUP($B92,INDIRECT("'GRD-"&amp;CF$11&amp;"'!B:R"),15,FALSE),"")</f>
        <v/>
      </c>
      <c r="CG92" s="96">
        <f>IFERROR(VLOOKUP($B92,INDIRECT("'GRD-"&amp;CG$11&amp;"'!B:R"),15,FALSE),"")</f>
        <v/>
      </c>
      <c r="CH92" s="96">
        <f>IFERROR(VLOOKUP($B92,INDIRECT("'GRD-"&amp;CH$11&amp;"'!B:R"),15,FALSE),"")</f>
        <v/>
      </c>
      <c r="CI92" s="96">
        <f>IFERROR(VLOOKUP($B92,INDIRECT("'GRD-"&amp;CI$11&amp;"'!B:R"),15,FALSE),"")</f>
        <v/>
      </c>
      <c r="CJ92" s="96">
        <f>IFERROR(VLOOKUP($B92,INDIRECT("'GRD-"&amp;CJ$11&amp;"'!B:R"),15,FALSE),"")</f>
        <v/>
      </c>
      <c r="CK92" s="96">
        <f>IFERROR(VLOOKUP($B92,INDIRECT("'GRD-"&amp;CK$11&amp;"'!B:R"),15,FALSE),"")</f>
        <v/>
      </c>
      <c r="CL92" s="96">
        <f>IFERROR(VLOOKUP($B92,INDIRECT("'GRD-"&amp;CL$11&amp;"'!B:R"),15,FALSE),"")</f>
        <v/>
      </c>
      <c r="CM92" s="96">
        <f>IFERROR(VLOOKUP($B92,INDIRECT("'GRD-"&amp;CM$11&amp;"'!B:R"),15,FALSE),"")</f>
        <v/>
      </c>
      <c r="CN92" s="96">
        <f>IFERROR(VLOOKUP($B92,INDIRECT("'GRD-"&amp;CN$11&amp;"'!B:R"),15,FALSE),"")</f>
        <v/>
      </c>
      <c r="CO92" s="96">
        <f>IFERROR(VLOOKUP($B92,INDIRECT("'GRD-"&amp;CO$11&amp;"'!B:R"),15,FALSE),"")</f>
        <v/>
      </c>
      <c r="CP92" s="96">
        <f>IFERROR(VLOOKUP($B92,INDIRECT("'GRD-"&amp;CP$11&amp;"'!B:R"),15,FALSE),"")</f>
        <v/>
      </c>
      <c r="CQ92" s="96">
        <f>IFERROR(VLOOKUP($B92,INDIRECT("'GRD-"&amp;CQ$11&amp;"'!B:R"),15,FALSE),"")</f>
        <v/>
      </c>
      <c r="CR92" s="96">
        <f>IFERROR(VLOOKUP($B92,INDIRECT("'GRD-"&amp;CR$11&amp;"'!B:R"),15,FALSE),"")</f>
        <v/>
      </c>
      <c r="CS92" s="96">
        <f>IFERROR(VLOOKUP($B92,INDIRECT("'GRD-"&amp;CS$11&amp;"'!B:R"),15,FALSE),"")</f>
        <v/>
      </c>
      <c r="CT92" s="96">
        <f>IFERROR(VLOOKUP($B92,INDIRECT("'GRD-"&amp;CT$11&amp;"'!B:R"),15,FALSE),"")</f>
        <v/>
      </c>
      <c r="CU92" s="96">
        <f>IFERROR(VLOOKUP($B92,INDIRECT("'GRD-"&amp;CU$11&amp;"'!B:R"),15,FALSE),"")</f>
        <v/>
      </c>
      <c r="CV92" s="96">
        <f>IFERROR(VLOOKUP($B92,INDIRECT("'GRD-"&amp;CV$11&amp;"'!B:R"),15,FALSE),"")</f>
        <v/>
      </c>
      <c r="CW92" s="96">
        <f>IFERROR(VLOOKUP($B92,INDIRECT("'GRD-"&amp;CW$11&amp;"'!B:R"),15,FALSE),"")</f>
        <v/>
      </c>
      <c r="CX92" s="96">
        <f>IFERROR(VLOOKUP($B92,INDIRECT("'GRD-"&amp;CX$11&amp;"'!B:R"),15,FALSE),"")</f>
        <v/>
      </c>
      <c r="CY92" s="96">
        <f>IFERROR(VLOOKUP($B92,INDIRECT("'GRD-"&amp;CY$11&amp;"'!B:R"),15,FALSE),"")</f>
        <v/>
      </c>
      <c r="CZ92" s="96">
        <f>IFERROR(VLOOKUP($B92,INDIRECT("'GRD-"&amp;CZ$11&amp;"'!B:R"),15,FALSE),"")</f>
        <v/>
      </c>
      <c r="DA92" s="96">
        <f>IFERROR(VLOOKUP($B92,INDIRECT("'GRD-"&amp;DA$11&amp;"'!B:R"),15,FALSE),"")</f>
        <v/>
      </c>
      <c r="DB92" s="96">
        <f>IFERROR(VLOOKUP($B92,INDIRECT("'GRD-"&amp;DB$11&amp;"'!B:R"),15,FALSE),"")</f>
        <v/>
      </c>
      <c r="DC92" s="96">
        <f>IFERROR(VLOOKUP($B92,INDIRECT("'GRD-"&amp;DC$11&amp;"'!B:R"),15,FALSE),"")</f>
        <v/>
      </c>
      <c r="DD92" s="96">
        <f>IFERROR(VLOOKUP($B92,INDIRECT("'GRD-"&amp;DD$11&amp;"'!B:R"),15,FALSE),"")</f>
        <v/>
      </c>
      <c r="DE92" s="96">
        <f>IFERROR(VLOOKUP($B92,INDIRECT("'GRD-"&amp;DE$11&amp;"'!B:R"),15,FALSE),"")</f>
        <v/>
      </c>
      <c r="DF92" s="96">
        <f>IFERROR(VLOOKUP($B92,INDIRECT("'GRD-"&amp;DF$11&amp;"'!B:R"),15,FALSE),"")</f>
        <v/>
      </c>
      <c r="DG92" s="96">
        <f>IFERROR(VLOOKUP($B92,INDIRECT("'GRD-"&amp;DG$11&amp;"'!B:R"),15,FALSE),"")</f>
        <v/>
      </c>
      <c r="DH92" s="96">
        <f>IFERROR(VLOOKUP($B92,INDIRECT("'GRD-"&amp;DH$11&amp;"'!B:R"),15,FALSE),"")</f>
        <v/>
      </c>
      <c r="DI92" s="96">
        <f>IFERROR(VLOOKUP($B92,INDIRECT("'GRD-"&amp;DI$11&amp;"'!B:R"),15,FALSE),"")</f>
        <v/>
      </c>
      <c r="DJ92" s="96">
        <f>IFERROR(VLOOKUP($B92,INDIRECT("'GRD-"&amp;DJ$11&amp;"'!B:R"),15,FALSE),"")</f>
        <v/>
      </c>
      <c r="DK92" s="96">
        <f>IFERROR(VLOOKUP($B92,INDIRECT("'GRD-"&amp;DK$11&amp;"'!B:R"),15,FALSE),"")</f>
        <v/>
      </c>
      <c r="DL92" s="96">
        <f>IFERROR(VLOOKUP($B92,INDIRECT("'GRD-"&amp;DL$11&amp;"'!B:R"),15,FALSE),"")</f>
        <v/>
      </c>
      <c r="DM92" s="96">
        <f>IFERROR(VLOOKUP($B92,INDIRECT("'GRD-"&amp;DM$11&amp;"'!B:R"),15,FALSE),"")</f>
        <v/>
      </c>
      <c r="DN92" s="96">
        <f>IFERROR(VLOOKUP($B92,INDIRECT("'GRD-"&amp;DN$11&amp;"'!B:R"),15,FALSE),"")</f>
        <v/>
      </c>
      <c r="DO92" s="96">
        <f>IFERROR(VLOOKUP($B92,INDIRECT("'GRD-"&amp;DO$11&amp;"'!B:R"),15,FALSE),"")</f>
        <v/>
      </c>
      <c r="DP92" s="96">
        <f>IFERROR(VLOOKUP($B92,INDIRECT("'GRD-"&amp;DP$11&amp;"'!B:R"),15,FALSE),"")</f>
        <v/>
      </c>
      <c r="DQ92" s="96">
        <f>IFERROR(VLOOKUP($B92,INDIRECT("'GRD-"&amp;DQ$11&amp;"'!B:R"),15,FALSE),"")</f>
        <v/>
      </c>
      <c r="DR92" s="96">
        <f>IFERROR(VLOOKUP($B92,INDIRECT("'GRD-"&amp;DR$11&amp;"'!B:R"),15,FALSE),"")</f>
        <v/>
      </c>
      <c r="DS92" s="96">
        <f>IFERROR(VLOOKUP($B92,INDIRECT("'GRD-"&amp;DS$11&amp;"'!B:R"),15,FALSE),"")</f>
        <v/>
      </c>
      <c r="DT92" s="96">
        <f>IFERROR(VLOOKUP($B92,INDIRECT("'GRD-"&amp;DT$11&amp;"'!B:R"),15,FALSE),"")</f>
        <v/>
      </c>
      <c r="DU92" s="96">
        <f>IFERROR(VLOOKUP($B92,INDIRECT("'GRD-"&amp;DU$11&amp;"'!B:R"),15,FALSE),"")</f>
        <v/>
      </c>
      <c r="DV92" s="96">
        <f>IFERROR(VLOOKUP($B92,INDIRECT("'GRD-"&amp;DV$11&amp;"'!B:R"),15,FALSE),"")</f>
        <v/>
      </c>
      <c r="DW92" s="96">
        <f>IFERROR(VLOOKUP($B92,INDIRECT("'GRD-"&amp;DW$11&amp;"'!B:R"),15,FALSE),"")</f>
        <v/>
      </c>
      <c r="DX92" s="96">
        <f>IFERROR(VLOOKUP($B92,INDIRECT("'GRD-"&amp;DX$11&amp;"'!B:R"),15,FALSE),"")</f>
        <v/>
      </c>
      <c r="DY92" s="96">
        <f>IFERROR(VLOOKUP($B92,INDIRECT("'GRD-"&amp;DY$11&amp;"'!B:R"),15,FALSE),"")</f>
        <v/>
      </c>
      <c r="DZ92" s="96">
        <f>IFERROR(VLOOKUP($B92,INDIRECT("'GRD-"&amp;DZ$11&amp;"'!B:R"),15,FALSE),"")</f>
        <v/>
      </c>
      <c r="EA92" s="96">
        <f>IFERROR(VLOOKUP($B92,INDIRECT("'GRD-"&amp;EA$11&amp;"'!B:R"),15,FALSE),"")</f>
        <v/>
      </c>
      <c r="EB92" s="96">
        <f>IFERROR(VLOOKUP($B92,INDIRECT("'GRD-"&amp;EB$11&amp;"'!B:R"),15,FALSE),"")</f>
        <v/>
      </c>
      <c r="EC92" s="96">
        <f>IFERROR(VLOOKUP($B92,INDIRECT("'GRD-"&amp;EC$11&amp;"'!B:R"),15,FALSE),"")</f>
        <v/>
      </c>
      <c r="ED92" s="96">
        <f>IFERROR(VLOOKUP($B92,INDIRECT("'GRD-"&amp;ED$11&amp;"'!B:R"),15,FALSE),"")</f>
        <v/>
      </c>
      <c r="EE92" s="96">
        <f>IFERROR(VLOOKUP($B92,INDIRECT("'GRD-"&amp;EE$11&amp;"'!B:R"),15,FALSE),"")</f>
        <v/>
      </c>
      <c r="EF92" s="96">
        <f>IFERROR(VLOOKUP($B92,INDIRECT("'GRD-"&amp;EF$11&amp;"'!B:R"),15,FALSE),"")</f>
        <v/>
      </c>
      <c r="EG92" s="96">
        <f>IFERROR(VLOOKUP($B92,INDIRECT("'GRD-"&amp;EG$11&amp;"'!B:R"),15,FALSE),"")</f>
        <v/>
      </c>
      <c r="EH92" s="96">
        <f>IFERROR(VLOOKUP($B92,INDIRECT("'GRD-"&amp;EH$11&amp;"'!B:R"),15,FALSE),"")</f>
        <v/>
      </c>
      <c r="EI92" s="96">
        <f>IFERROR(VLOOKUP($B92,INDIRECT("'GRD-"&amp;EI$11&amp;"'!B:R"),15,FALSE),"")</f>
        <v/>
      </c>
      <c r="EJ92" s="96">
        <f>IFERROR(VLOOKUP($B92,INDIRECT("'GRD-"&amp;EJ$11&amp;"'!B:R"),15,FALSE),"")</f>
        <v/>
      </c>
      <c r="EK92" s="96">
        <f>IFERROR(VLOOKUP($B92,INDIRECT("'GRD-"&amp;EK$11&amp;"'!B:R"),15,FALSE),"")</f>
        <v/>
      </c>
      <c r="EL92" s="96">
        <f>IFERROR(VLOOKUP($B92,INDIRECT("'GRD-"&amp;EL$11&amp;"'!B:R"),15,FALSE),"")</f>
        <v/>
      </c>
      <c r="EM92" s="96">
        <f>IFERROR(VLOOKUP($B92,INDIRECT("'GRD-"&amp;EM$11&amp;"'!B:R"),15,FALSE),"")</f>
        <v/>
      </c>
      <c r="EN92" s="96">
        <f>IFERROR(VLOOKUP($B92,INDIRECT("'GRD-"&amp;EN$11&amp;"'!B:R"),15,FALSE),"")</f>
        <v/>
      </c>
      <c r="EO92" s="96">
        <f>IFERROR(VLOOKUP($B92,INDIRECT("'GRD-"&amp;EO$11&amp;"'!B:R"),15,FALSE),"")</f>
        <v/>
      </c>
      <c r="EP92" s="96">
        <f>IFERROR(VLOOKUP($B92,INDIRECT("'GRD-"&amp;EP$11&amp;"'!B:R"),15,FALSE),"")</f>
        <v/>
      </c>
      <c r="EQ92" s="96">
        <f>IFERROR(VLOOKUP($B92,INDIRECT("'GRD-"&amp;EQ$11&amp;"'!B:R"),15,FALSE),"")</f>
        <v/>
      </c>
      <c r="ER92" s="96">
        <f>IFERROR(VLOOKUP($B92,INDIRECT("'GRD-"&amp;ER$11&amp;"'!B:R"),15,FALSE),"")</f>
        <v/>
      </c>
      <c r="ES92" s="96">
        <f>IFERROR(VLOOKUP($B92,INDIRECT("'GRD-"&amp;ES$11&amp;"'!B:R"),15,FALSE),"")</f>
        <v/>
      </c>
      <c r="ET92" s="96">
        <f>IFERROR(VLOOKUP($B92,INDIRECT("'GRD-"&amp;ET$11&amp;"'!B:R"),15,FALSE),"")</f>
        <v/>
      </c>
      <c r="EU92" s="96">
        <f>IFERROR(VLOOKUP($B92,INDIRECT("'GRD-"&amp;EU$11&amp;"'!B:R"),15,FALSE),"")</f>
        <v/>
      </c>
      <c r="EV92" s="96">
        <f>IFERROR(VLOOKUP($B92,INDIRECT("'GRD-"&amp;EV$11&amp;"'!B:R"),15,FALSE),"")</f>
        <v/>
      </c>
      <c r="EW92" s="96">
        <f>IFERROR(VLOOKUP($B92,INDIRECT("'GRD-"&amp;EW$11&amp;"'!B:R"),15,FALSE),"")</f>
        <v/>
      </c>
      <c r="EX92" s="96">
        <f>IFERROR(VLOOKUP($B92,INDIRECT("'GRD-"&amp;EX$11&amp;"'!B:R"),15,FALSE),"")</f>
        <v/>
      </c>
      <c r="EY92" s="96">
        <f>IFERROR(VLOOKUP($B92,INDIRECT("'GRD-"&amp;EY$11&amp;"'!B:R"),15,FALSE),"")</f>
        <v/>
      </c>
      <c r="EZ92" s="96">
        <f>IFERROR(VLOOKUP($B92,INDIRECT("'GRD-"&amp;EZ$11&amp;"'!B:R"),15,FALSE),"")</f>
        <v/>
      </c>
      <c r="FA92" s="96">
        <f>IFERROR(VLOOKUP($B92,INDIRECT("'GRD-"&amp;FA$11&amp;"'!B:R"),15,FALSE),"")</f>
        <v/>
      </c>
      <c r="FB92" s="96">
        <f>IFERROR(VLOOKUP($B92,INDIRECT("'GRD-"&amp;FB$11&amp;"'!B:R"),15,FALSE),"")</f>
        <v/>
      </c>
      <c r="FC92" s="96">
        <f>IFERROR(VLOOKUP($B92,INDIRECT("'GRD-"&amp;FC$11&amp;"'!B:R"),15,FALSE),"")</f>
        <v/>
      </c>
      <c r="FD92" s="96">
        <f>IFERROR(VLOOKUP($B92,INDIRECT("'GRD-"&amp;FD$11&amp;"'!B:R"),15,FALSE),"")</f>
        <v/>
      </c>
      <c r="FE92" s="96">
        <f>IFERROR(VLOOKUP($B92,INDIRECT("'GRD-"&amp;FE$11&amp;"'!B:R"),15,FALSE),"")</f>
        <v/>
      </c>
      <c r="FF92" s="96">
        <f>IFERROR(VLOOKUP($B92,INDIRECT("'GRD-"&amp;FF$11&amp;"'!B:R"),15,FALSE),"")</f>
        <v/>
      </c>
      <c r="FG92" s="96">
        <f>IFERROR(VLOOKUP($B92,INDIRECT("'GRD-"&amp;FG$11&amp;"'!B:R"),15,FALSE),"")</f>
        <v/>
      </c>
      <c r="FH92" s="96">
        <f>IFERROR(VLOOKUP($B92,INDIRECT("'GRD-"&amp;FH$11&amp;"'!B:R"),15,FALSE),"")</f>
        <v/>
      </c>
      <c r="FI92" s="96">
        <f>IFERROR(VLOOKUP($B92,INDIRECT("'GRD-"&amp;FI$11&amp;"'!B:R"),15,FALSE),"")</f>
        <v/>
      </c>
      <c r="FJ92" s="96">
        <f>IFERROR(VLOOKUP($B92,INDIRECT("'GRD-"&amp;FJ$11&amp;"'!B:R"),15,FALSE),"")</f>
        <v/>
      </c>
      <c r="FK92" s="96">
        <f>IFERROR(VLOOKUP($B92,INDIRECT("'GRD-"&amp;FK$11&amp;"'!B:R"),15,FALSE),"")</f>
        <v/>
      </c>
      <c r="FL92" s="96">
        <f>IFERROR(VLOOKUP($B92,INDIRECT("'GRD-"&amp;FL$11&amp;"'!B:R"),15,FALSE),"")</f>
        <v/>
      </c>
      <c r="FM92" s="96">
        <f>IFERROR(VLOOKUP($B92,INDIRECT("'GRD-"&amp;FM$11&amp;"'!B:R"),15,FALSE),"")</f>
        <v/>
      </c>
      <c r="FN92" s="96">
        <f>IFERROR(VLOOKUP($B92,INDIRECT("'GRD-"&amp;FN$11&amp;"'!B:R"),15,FALSE),"")</f>
        <v/>
      </c>
      <c r="FO92" s="96">
        <f>IFERROR(VLOOKUP($B92,INDIRECT("'GRD-"&amp;FO$11&amp;"'!B:R"),15,FALSE),"")</f>
        <v/>
      </c>
      <c r="FP92" s="96">
        <f>IFERROR(VLOOKUP($B92,INDIRECT("'GRD-"&amp;FP$11&amp;"'!B:R"),15,FALSE),"")</f>
        <v/>
      </c>
      <c r="FQ92" s="96">
        <f>IFERROR(VLOOKUP($B92,INDIRECT("'GRD-"&amp;FQ$11&amp;"'!B:R"),15,FALSE),"")</f>
        <v/>
      </c>
      <c r="FR92" s="96">
        <f>IFERROR(VLOOKUP($B92,INDIRECT("'GRD-"&amp;FR$11&amp;"'!B:R"),15,FALSE),"")</f>
        <v/>
      </c>
      <c r="FS92" s="96">
        <f>IFERROR(VLOOKUP($B92,INDIRECT("'GRD-"&amp;FS$11&amp;"'!B:R"),15,FALSE),"")</f>
        <v/>
      </c>
      <c r="FT92" s="96">
        <f>IFERROR(VLOOKUP($B92,INDIRECT("'GRD-"&amp;FT$11&amp;"'!B:R"),15,FALSE),"")</f>
        <v/>
      </c>
      <c r="FU92" s="96">
        <f>IFERROR(VLOOKUP($B92,INDIRECT("'GRD-"&amp;FU$11&amp;"'!B:R"),15,FALSE),"")</f>
        <v/>
      </c>
      <c r="FV92" s="96">
        <f>IFERROR(VLOOKUP($B92,INDIRECT("'GRD-"&amp;FV$11&amp;"'!B:R"),15,FALSE),"")</f>
        <v/>
      </c>
    </row>
    <row r="93">
      <c r="B93" s="85" t="n"/>
      <c r="C93" s="93" t="n"/>
      <c r="D93" s="73">
        <f>IF(K93="","",MAX($CA93:$FV93))</f>
        <v/>
      </c>
      <c r="E93" s="74">
        <f t="array" ref="E93">IF($K93="","",OFFSET($A$1,ROW($B93)-1,11+$D93*4,))</f>
        <v/>
      </c>
      <c r="F93" s="74">
        <f t="array" ref="F93">IF($K93="","",OFFSET($A$1,ROW($B93)-1,12+$D93*4,))</f>
        <v/>
      </c>
      <c r="G93" s="118">
        <f t="array" ref="G93">IF($K93="","",OFFSET($A$1,ROW($B93)-1,13+$D93*4,))</f>
        <v/>
      </c>
      <c r="H93" s="81" t="n"/>
      <c r="I93" s="82" t="n"/>
      <c r="J93" s="75">
        <f>IF(I93="A4",H93/8,IF(I93="A3",H93/4,IF(I93="A2",H93/2,IF(I93="A1",H93/1,IF(I93="A0",H93*2,"")))))</f>
        <v/>
      </c>
      <c r="K93" s="68">
        <f t="array" ref="K93">IFERROR(OFFSET($BZ$11,ROW($B93)-11,MATCH(K$10,$CA93:$FV93,0),),"")</f>
        <v/>
      </c>
      <c r="L93" s="85">
        <f>IF(K93="","",IF(VLOOKUP($B93,INDIRECT("'GRD-"&amp;M93&amp;"'!$B:$R"),16,FALSE)="","",VLOOKUP($B93,INDIRECT("'GRD-"&amp;M93&amp;"'!$B:$R"),16,FALSE)))</f>
        <v/>
      </c>
      <c r="M93" s="130">
        <f t="array" ref="M93">IF(K93="","",IFERROR(OFFSET($BZ$11,0,MATCH($K93,$CA93:$FV93,0),),""))</f>
        <v/>
      </c>
      <c r="N93" s="119">
        <f t="array" ref="N93">IF(K93="","",INDIRECT("'GRD-"&amp;M93&amp;"'!$L$7"))</f>
        <v/>
      </c>
      <c r="O93" s="76">
        <f t="array" ref="O93">IFERROR(OFFSET($BZ$11,ROW($B93)-11,MATCH(O$10,$CA93:$FV93,0),),"")</f>
        <v/>
      </c>
      <c r="P93" s="76">
        <f>IF(O93="","",IF(VLOOKUP($B93,INDIRECT("'GRD-"&amp;Q93&amp;"'!$B:$R"),16,FALSE)="","",VLOOKUP($B93,INDIRECT("'GRD-"&amp;Q93&amp;"'!$B:$R"),16,FALSE)))</f>
        <v/>
      </c>
      <c r="Q93" s="132">
        <f t="array" ref="Q93">IF(O93="","",IFERROR(OFFSET($BZ$11,0,MATCH($O93,$CA93:$FV93,0),),""))</f>
        <v/>
      </c>
      <c r="R93" s="121">
        <f t="array" ref="R93">IF(O93="","",INDIRECT("'GRD-"&amp;Q93&amp;"'!$L$7"))</f>
        <v/>
      </c>
      <c r="S93" s="83">
        <f t="array" ref="S93">IFERROR(OFFSET($BZ$11,ROW($B93)-11,MATCH(S$10,$CA93:$FV93,0),),"")</f>
        <v/>
      </c>
      <c r="T93" s="83">
        <f>IF(S93="","",IF(VLOOKUP($B93,INDIRECT("'GRD-"&amp;U93&amp;"'!$B:$R"),16,FALSE)="","",VLOOKUP($B93,INDIRECT("'GRD-"&amp;U93&amp;"'!$B:$R"),16,FALSE)))</f>
        <v/>
      </c>
      <c r="U93" s="128">
        <f t="array" ref="U93">IF(S93="","",IFERROR(OFFSET($BZ$11,0,MATCH($S93,$CA93:$FV93,0),),""))</f>
        <v/>
      </c>
      <c r="V93" s="133">
        <f t="array" ref="V93">IF(S93="","",INDIRECT("'GRD-"&amp;U93&amp;"'!$L$7"))</f>
        <v/>
      </c>
      <c r="W93" s="84">
        <f t="array" ref="W93">IFERROR(OFFSET($BZ$11,ROW($B93)-11,MATCH(W$10,$CA93:$FV93,0),),"")</f>
        <v/>
      </c>
      <c r="X93" s="84">
        <f>IF(W93="","",IF(VLOOKUP($B93,INDIRECT("'GRD-"&amp;Y93&amp;"'!$B:$R"),16,FALSE)="","",VLOOKUP($B93,INDIRECT("'GRD-"&amp;Y93&amp;"'!$B:$R"),16,FALSE)))</f>
        <v/>
      </c>
      <c r="Y93" s="129">
        <f t="array" ref="Y93">IF(W93="","",IFERROR(OFFSET($BZ$11,0,MATCH($W93,$CA93:$FV93,0),),""))</f>
        <v/>
      </c>
      <c r="Z93" s="134">
        <f t="array" ref="Z93">IF(W93="","",INDIRECT("'GRD-"&amp;Y93&amp;"'!$L$7"))</f>
        <v/>
      </c>
      <c r="AA93" s="85">
        <f t="array" ref="AA93">IFERROR(OFFSET($BZ$11,ROW($B93)-11,MATCH(AA$10,$CA93:$FV93,0),),"")</f>
        <v/>
      </c>
      <c r="AB93" s="85">
        <f>IF(AA93="","",IF(VLOOKUP($B93,INDIRECT("'GRD-"&amp;AC93&amp;"'!$B:$R"),16,FALSE)="","",VLOOKUP($B93,INDIRECT("'GRD-"&amp;AC93&amp;"'!$B:$R"),16,FALSE)))</f>
        <v/>
      </c>
      <c r="AC93" s="130">
        <f t="array" ref="AC93">IF(AA93="","",IFERROR(OFFSET($BZ$11,0,MATCH($AA93,$CA93:$FV93,0),),""))</f>
        <v/>
      </c>
      <c r="AD93" s="131">
        <f t="array" ref="AD93">IF(AA93="","",INDIRECT("'GRD-"&amp;AC93&amp;"'!$L$7"))</f>
        <v/>
      </c>
      <c r="AE93" s="76">
        <f t="array" ref="AE93">IFERROR(OFFSET($BZ$11,ROW($B93)-11,MATCH(AE$10,$CA93:$FV93,0),),"")</f>
        <v/>
      </c>
      <c r="AF93" s="76">
        <f>IF(AE93="","",IF(VLOOKUP($B93,INDIRECT("'GRD-"&amp;AG93&amp;"'!$B:$R"),16,FALSE)="","",VLOOKUP($B93,INDIRECT("'GRD-"&amp;AG93&amp;"'!$B:$R"),16,FALSE)))</f>
        <v/>
      </c>
      <c r="AG93" s="132">
        <f t="array" ref="AG93">IF(AE93="","",IFERROR(OFFSET($BZ$11,0,MATCH($AE93,$CA93:$FV93,0),),""))</f>
        <v/>
      </c>
      <c r="AH93" s="121">
        <f t="array" ref="AH93">IF(AE93="","",INDIRECT("'GRD-"&amp;AG93&amp;"'!$L$7"))</f>
        <v/>
      </c>
      <c r="AI93" s="83">
        <f t="array" ref="AI93">IFERROR(OFFSET($BZ$11,ROW($B93)-11,MATCH(AI$10,$CA93:$FV93,0),),"")</f>
        <v/>
      </c>
      <c r="AJ93" s="83">
        <f>IF(AI93="","",IF(VLOOKUP($B93,INDIRECT("'GRD-"&amp;AK93&amp;"'!$B:$R"),16,FALSE)="","",VLOOKUP($B93,INDIRECT("'GRD-"&amp;AK93&amp;"'!$B:$R"),16,FALSE)))</f>
        <v/>
      </c>
      <c r="AK93" s="128">
        <f t="array" ref="AK93">IF(AI93="","",IFERROR(OFFSET($BZ$11,0,MATCH($AI93,$CA93:$FV93,0),),""))</f>
        <v/>
      </c>
      <c r="AL93" s="133">
        <f t="array" ref="AL93">IF(AI93="","",INDIRECT("'GRD-"&amp;AK93&amp;"'!$L$7"))</f>
        <v/>
      </c>
      <c r="AM93" s="84">
        <f t="array" ref="AM93">IFERROR(OFFSET($BZ$11,ROW($B93)-11,MATCH(AM$10,$CA93:$FV93,0),),"")</f>
        <v/>
      </c>
      <c r="AN93" s="84">
        <f>IF(AM93="","",IF(VLOOKUP($B93,INDIRECT("'GRD-"&amp;AO93&amp;"'!$B:$R"),16,FALSE)="","",VLOOKUP($B93,INDIRECT("'GRD-"&amp;AO93&amp;"'!$B:$R"),16,FALSE)))</f>
        <v/>
      </c>
      <c r="AO93" s="129">
        <f t="array" ref="AO93">IF(AM93="","",IFERROR(OFFSET($BZ$11,0,MATCH($AM93,$CA93:$FV93,0),),""))</f>
        <v/>
      </c>
      <c r="AP93" s="134">
        <f t="array" ref="AP93">IF(AM93="","",INDIRECT("'GRD-"&amp;AO93&amp;"'!$L$7"))</f>
        <v/>
      </c>
      <c r="AQ93" s="85">
        <f t="array" ref="AQ93">IFERROR(OFFSET($BZ$11,ROW($B93)-11,MATCH(AQ$10,$CA93:$FV93,0),),"")</f>
        <v/>
      </c>
      <c r="AR93" s="85">
        <f>IF(AQ93="","",IF(VLOOKUP($B93,INDIRECT("'GRD-"&amp;AS93&amp;"'!$B:$R"),16,FALSE)="","",VLOOKUP($B93,INDIRECT("'GRD-"&amp;AS93&amp;"'!$B:$R"),16,FALSE)))</f>
        <v/>
      </c>
      <c r="AS93" s="130">
        <f t="array" ref="AS93">IF(AQ93="","",IFERROR(OFFSET($BZ$11,0,MATCH($AQ93,$CA93:$FV93,0),),""))</f>
        <v/>
      </c>
      <c r="AT93" s="131">
        <f t="array" ref="AT93">IF(AQ93="","",INDIRECT("'GRD-"&amp;AS93&amp;"'!$L$7"))</f>
        <v/>
      </c>
      <c r="AU93" s="76">
        <f t="array" ref="AU93">IFERROR(OFFSET($BZ$11,ROW($B93)-11,MATCH(AU$10,$CA93:$FV93,0),),"")</f>
        <v/>
      </c>
      <c r="AV93" s="76">
        <f>IF(AU93="","",IF(VLOOKUP($B93,INDIRECT("'GRD-"&amp;AW93&amp;"'!$B:$R"),16,FALSE)="","",VLOOKUP($B93,INDIRECT("'GRD-"&amp;AW93&amp;"'!$B:$R"),16,FALSE)))</f>
        <v/>
      </c>
      <c r="AW93" s="132">
        <f t="array" ref="AW93">IF(AU93="","",IFERROR(OFFSET($BZ$11,0,MATCH($AU93,$CA93:$FV93,0),),""))</f>
        <v/>
      </c>
      <c r="AX93" s="121">
        <f t="array" ref="AX93">IF(AU93="","",INDIRECT("'GRD-"&amp;AW93&amp;"'!$L$7"))</f>
        <v/>
      </c>
      <c r="AY93" s="83">
        <f t="array" ref="AY93">IFERROR(OFFSET($BZ$11,ROW($B93)-11,MATCH(AY$10,$CA93:$FV93,0),),"")</f>
        <v/>
      </c>
      <c r="AZ93" s="83">
        <f>IF(AY93="","",IF(VLOOKUP($B93,INDIRECT("'GRD-"&amp;BA93&amp;"'!$B:$R"),16,FALSE)="","",VLOOKUP($B93,INDIRECT("'GRD-"&amp;BA93&amp;"'!$B:$R"),16,FALSE)))</f>
        <v/>
      </c>
      <c r="BA93" s="128">
        <f t="array" ref="BA93">IF(AY93="","",IFERROR(OFFSET($BZ$11,0,MATCH($AY93,$CA93:$FV93,0),),""))</f>
        <v/>
      </c>
      <c r="BB93" s="133">
        <f t="array" ref="BB93">IF(AY93="","",INDIRECT("'GRD-"&amp;BA93&amp;"'!$L$7"))</f>
        <v/>
      </c>
      <c r="BC93" s="84">
        <f t="array" ref="BC93">IFERROR(OFFSET($BZ$11,ROW($B93)-11,MATCH(BC$10,$CA93:$FV93,0),),"")</f>
        <v/>
      </c>
      <c r="BD93" s="84">
        <f>IF(BC93="","",IF(VLOOKUP($B93,INDIRECT("'GRD-"&amp;BE93&amp;"'!$B:$R"),16,FALSE)="","",VLOOKUP($B93,INDIRECT("'GRD-"&amp;BE93&amp;"'!$B:$R"),16,FALSE)))</f>
        <v/>
      </c>
      <c r="BE93" s="129">
        <f t="array" ref="BE93">IF(BC93="","",IFERROR(OFFSET($BZ$11,0,MATCH($BC93,$CA93:$FV93,0),),""))</f>
        <v/>
      </c>
      <c r="BF93" s="134">
        <f t="array" ref="BF93">IF(BC93="","",INDIRECT("'GRD-"&amp;BE93&amp;"'!$L$7"))</f>
        <v/>
      </c>
      <c r="CA93" s="96">
        <f>IFERROR(VLOOKUP($B93,INDIRECT("'GRD-"&amp;CA$11&amp;"'!B:R"),15,FALSE),"")</f>
        <v/>
      </c>
      <c r="CB93" s="96">
        <f>IFERROR(VLOOKUP($B93,INDIRECT("'GRD-"&amp;CB$11&amp;"'!B:R"),15,FALSE),"")</f>
        <v/>
      </c>
      <c r="CC93" s="96">
        <f>IFERROR(VLOOKUP($B93,INDIRECT("'GRD-"&amp;CC$11&amp;"'!B:R"),15,FALSE),"")</f>
        <v/>
      </c>
      <c r="CD93" s="96">
        <f>IFERROR(VLOOKUP($B93,INDIRECT("'GRD-"&amp;CD$11&amp;"'!B:R"),15,FALSE),"")</f>
        <v/>
      </c>
      <c r="CE93" s="96">
        <f>IFERROR(VLOOKUP($B93,INDIRECT("'GRD-"&amp;CE$11&amp;"'!B:R"),15,FALSE),"")</f>
        <v/>
      </c>
      <c r="CF93" s="96">
        <f>IFERROR(VLOOKUP($B93,INDIRECT("'GRD-"&amp;CF$11&amp;"'!B:R"),15,FALSE),"")</f>
        <v/>
      </c>
      <c r="CG93" s="96">
        <f>IFERROR(VLOOKUP($B93,INDIRECT("'GRD-"&amp;CG$11&amp;"'!B:R"),15,FALSE),"")</f>
        <v/>
      </c>
      <c r="CH93" s="96">
        <f>IFERROR(VLOOKUP($B93,INDIRECT("'GRD-"&amp;CH$11&amp;"'!B:R"),15,FALSE),"")</f>
        <v/>
      </c>
      <c r="CI93" s="96">
        <f>IFERROR(VLOOKUP($B93,INDIRECT("'GRD-"&amp;CI$11&amp;"'!B:R"),15,FALSE),"")</f>
        <v/>
      </c>
      <c r="CJ93" s="96">
        <f>IFERROR(VLOOKUP($B93,INDIRECT("'GRD-"&amp;CJ$11&amp;"'!B:R"),15,FALSE),"")</f>
        <v/>
      </c>
      <c r="CK93" s="96">
        <f>IFERROR(VLOOKUP($B93,INDIRECT("'GRD-"&amp;CK$11&amp;"'!B:R"),15,FALSE),"")</f>
        <v/>
      </c>
      <c r="CL93" s="96">
        <f>IFERROR(VLOOKUP($B93,INDIRECT("'GRD-"&amp;CL$11&amp;"'!B:R"),15,FALSE),"")</f>
        <v/>
      </c>
      <c r="CM93" s="96">
        <f>IFERROR(VLOOKUP($B93,INDIRECT("'GRD-"&amp;CM$11&amp;"'!B:R"),15,FALSE),"")</f>
        <v/>
      </c>
      <c r="CN93" s="96">
        <f>IFERROR(VLOOKUP($B93,INDIRECT("'GRD-"&amp;CN$11&amp;"'!B:R"),15,FALSE),"")</f>
        <v/>
      </c>
      <c r="CO93" s="96">
        <f>IFERROR(VLOOKUP($B93,INDIRECT("'GRD-"&amp;CO$11&amp;"'!B:R"),15,FALSE),"")</f>
        <v/>
      </c>
      <c r="CP93" s="96">
        <f>IFERROR(VLOOKUP($B93,INDIRECT("'GRD-"&amp;CP$11&amp;"'!B:R"),15,FALSE),"")</f>
        <v/>
      </c>
      <c r="CQ93" s="96">
        <f>IFERROR(VLOOKUP($B93,INDIRECT("'GRD-"&amp;CQ$11&amp;"'!B:R"),15,FALSE),"")</f>
        <v/>
      </c>
      <c r="CR93" s="96">
        <f>IFERROR(VLOOKUP($B93,INDIRECT("'GRD-"&amp;CR$11&amp;"'!B:R"),15,FALSE),"")</f>
        <v/>
      </c>
      <c r="CS93" s="96">
        <f>IFERROR(VLOOKUP($B93,INDIRECT("'GRD-"&amp;CS$11&amp;"'!B:R"),15,FALSE),"")</f>
        <v/>
      </c>
      <c r="CT93" s="96">
        <f>IFERROR(VLOOKUP($B93,INDIRECT("'GRD-"&amp;CT$11&amp;"'!B:R"),15,FALSE),"")</f>
        <v/>
      </c>
      <c r="CU93" s="96">
        <f>IFERROR(VLOOKUP($B93,INDIRECT("'GRD-"&amp;CU$11&amp;"'!B:R"),15,FALSE),"")</f>
        <v/>
      </c>
      <c r="CV93" s="96">
        <f>IFERROR(VLOOKUP($B93,INDIRECT("'GRD-"&amp;CV$11&amp;"'!B:R"),15,FALSE),"")</f>
        <v/>
      </c>
      <c r="CW93" s="96">
        <f>IFERROR(VLOOKUP($B93,INDIRECT("'GRD-"&amp;CW$11&amp;"'!B:R"),15,FALSE),"")</f>
        <v/>
      </c>
      <c r="CX93" s="96">
        <f>IFERROR(VLOOKUP($B93,INDIRECT("'GRD-"&amp;CX$11&amp;"'!B:R"),15,FALSE),"")</f>
        <v/>
      </c>
      <c r="CY93" s="96">
        <f>IFERROR(VLOOKUP($B93,INDIRECT("'GRD-"&amp;CY$11&amp;"'!B:R"),15,FALSE),"")</f>
        <v/>
      </c>
      <c r="CZ93" s="96">
        <f>IFERROR(VLOOKUP($B93,INDIRECT("'GRD-"&amp;CZ$11&amp;"'!B:R"),15,FALSE),"")</f>
        <v/>
      </c>
      <c r="DA93" s="96">
        <f>IFERROR(VLOOKUP($B93,INDIRECT("'GRD-"&amp;DA$11&amp;"'!B:R"),15,FALSE),"")</f>
        <v/>
      </c>
      <c r="DB93" s="96">
        <f>IFERROR(VLOOKUP($B93,INDIRECT("'GRD-"&amp;DB$11&amp;"'!B:R"),15,FALSE),"")</f>
        <v/>
      </c>
      <c r="DC93" s="96">
        <f>IFERROR(VLOOKUP($B93,INDIRECT("'GRD-"&amp;DC$11&amp;"'!B:R"),15,FALSE),"")</f>
        <v/>
      </c>
      <c r="DD93" s="96">
        <f>IFERROR(VLOOKUP($B93,INDIRECT("'GRD-"&amp;DD$11&amp;"'!B:R"),15,FALSE),"")</f>
        <v/>
      </c>
      <c r="DE93" s="96">
        <f>IFERROR(VLOOKUP($B93,INDIRECT("'GRD-"&amp;DE$11&amp;"'!B:R"),15,FALSE),"")</f>
        <v/>
      </c>
      <c r="DF93" s="96">
        <f>IFERROR(VLOOKUP($B93,INDIRECT("'GRD-"&amp;DF$11&amp;"'!B:R"),15,FALSE),"")</f>
        <v/>
      </c>
      <c r="DG93" s="96">
        <f>IFERROR(VLOOKUP($B93,INDIRECT("'GRD-"&amp;DG$11&amp;"'!B:R"),15,FALSE),"")</f>
        <v/>
      </c>
      <c r="DH93" s="96">
        <f>IFERROR(VLOOKUP($B93,INDIRECT("'GRD-"&amp;DH$11&amp;"'!B:R"),15,FALSE),"")</f>
        <v/>
      </c>
      <c r="DI93" s="96">
        <f>IFERROR(VLOOKUP($B93,INDIRECT("'GRD-"&amp;DI$11&amp;"'!B:R"),15,FALSE),"")</f>
        <v/>
      </c>
      <c r="DJ93" s="96">
        <f>IFERROR(VLOOKUP($B93,INDIRECT("'GRD-"&amp;DJ$11&amp;"'!B:R"),15,FALSE),"")</f>
        <v/>
      </c>
      <c r="DK93" s="96">
        <f>IFERROR(VLOOKUP($B93,INDIRECT("'GRD-"&amp;DK$11&amp;"'!B:R"),15,FALSE),"")</f>
        <v/>
      </c>
      <c r="DL93" s="96">
        <f>IFERROR(VLOOKUP($B93,INDIRECT("'GRD-"&amp;DL$11&amp;"'!B:R"),15,FALSE),"")</f>
        <v/>
      </c>
      <c r="DM93" s="96">
        <f>IFERROR(VLOOKUP($B93,INDIRECT("'GRD-"&amp;DM$11&amp;"'!B:R"),15,FALSE),"")</f>
        <v/>
      </c>
      <c r="DN93" s="96">
        <f>IFERROR(VLOOKUP($B93,INDIRECT("'GRD-"&amp;DN$11&amp;"'!B:R"),15,FALSE),"")</f>
        <v/>
      </c>
      <c r="DO93" s="96">
        <f>IFERROR(VLOOKUP($B93,INDIRECT("'GRD-"&amp;DO$11&amp;"'!B:R"),15,FALSE),"")</f>
        <v/>
      </c>
      <c r="DP93" s="96">
        <f>IFERROR(VLOOKUP($B93,INDIRECT("'GRD-"&amp;DP$11&amp;"'!B:R"),15,FALSE),"")</f>
        <v/>
      </c>
      <c r="DQ93" s="96">
        <f>IFERROR(VLOOKUP($B93,INDIRECT("'GRD-"&amp;DQ$11&amp;"'!B:R"),15,FALSE),"")</f>
        <v/>
      </c>
      <c r="DR93" s="96">
        <f>IFERROR(VLOOKUP($B93,INDIRECT("'GRD-"&amp;DR$11&amp;"'!B:R"),15,FALSE),"")</f>
        <v/>
      </c>
      <c r="DS93" s="96">
        <f>IFERROR(VLOOKUP($B93,INDIRECT("'GRD-"&amp;DS$11&amp;"'!B:R"),15,FALSE),"")</f>
        <v/>
      </c>
      <c r="DT93" s="96">
        <f>IFERROR(VLOOKUP($B93,INDIRECT("'GRD-"&amp;DT$11&amp;"'!B:R"),15,FALSE),"")</f>
        <v/>
      </c>
      <c r="DU93" s="96">
        <f>IFERROR(VLOOKUP($B93,INDIRECT("'GRD-"&amp;DU$11&amp;"'!B:R"),15,FALSE),"")</f>
        <v/>
      </c>
      <c r="DV93" s="96">
        <f>IFERROR(VLOOKUP($B93,INDIRECT("'GRD-"&amp;DV$11&amp;"'!B:R"),15,FALSE),"")</f>
        <v/>
      </c>
      <c r="DW93" s="96">
        <f>IFERROR(VLOOKUP($B93,INDIRECT("'GRD-"&amp;DW$11&amp;"'!B:R"),15,FALSE),"")</f>
        <v/>
      </c>
      <c r="DX93" s="96">
        <f>IFERROR(VLOOKUP($B93,INDIRECT("'GRD-"&amp;DX$11&amp;"'!B:R"),15,FALSE),"")</f>
        <v/>
      </c>
      <c r="DY93" s="96">
        <f>IFERROR(VLOOKUP($B93,INDIRECT("'GRD-"&amp;DY$11&amp;"'!B:R"),15,FALSE),"")</f>
        <v/>
      </c>
      <c r="DZ93" s="96">
        <f>IFERROR(VLOOKUP($B93,INDIRECT("'GRD-"&amp;DZ$11&amp;"'!B:R"),15,FALSE),"")</f>
        <v/>
      </c>
      <c r="EA93" s="96">
        <f>IFERROR(VLOOKUP($B93,INDIRECT("'GRD-"&amp;EA$11&amp;"'!B:R"),15,FALSE),"")</f>
        <v/>
      </c>
      <c r="EB93" s="96">
        <f>IFERROR(VLOOKUP($B93,INDIRECT("'GRD-"&amp;EB$11&amp;"'!B:R"),15,FALSE),"")</f>
        <v/>
      </c>
      <c r="EC93" s="96">
        <f>IFERROR(VLOOKUP($B93,INDIRECT("'GRD-"&amp;EC$11&amp;"'!B:R"),15,FALSE),"")</f>
        <v/>
      </c>
      <c r="ED93" s="96">
        <f>IFERROR(VLOOKUP($B93,INDIRECT("'GRD-"&amp;ED$11&amp;"'!B:R"),15,FALSE),"")</f>
        <v/>
      </c>
      <c r="EE93" s="96">
        <f>IFERROR(VLOOKUP($B93,INDIRECT("'GRD-"&amp;EE$11&amp;"'!B:R"),15,FALSE),"")</f>
        <v/>
      </c>
      <c r="EF93" s="96">
        <f>IFERROR(VLOOKUP($B93,INDIRECT("'GRD-"&amp;EF$11&amp;"'!B:R"),15,FALSE),"")</f>
        <v/>
      </c>
      <c r="EG93" s="96">
        <f>IFERROR(VLOOKUP($B93,INDIRECT("'GRD-"&amp;EG$11&amp;"'!B:R"),15,FALSE),"")</f>
        <v/>
      </c>
      <c r="EH93" s="96">
        <f>IFERROR(VLOOKUP($B93,INDIRECT("'GRD-"&amp;EH$11&amp;"'!B:R"),15,FALSE),"")</f>
        <v/>
      </c>
      <c r="EI93" s="96">
        <f>IFERROR(VLOOKUP($B93,INDIRECT("'GRD-"&amp;EI$11&amp;"'!B:R"),15,FALSE),"")</f>
        <v/>
      </c>
      <c r="EJ93" s="96">
        <f>IFERROR(VLOOKUP($B93,INDIRECT("'GRD-"&amp;EJ$11&amp;"'!B:R"),15,FALSE),"")</f>
        <v/>
      </c>
      <c r="EK93" s="96">
        <f>IFERROR(VLOOKUP($B93,INDIRECT("'GRD-"&amp;EK$11&amp;"'!B:R"),15,FALSE),"")</f>
        <v/>
      </c>
      <c r="EL93" s="96">
        <f>IFERROR(VLOOKUP($B93,INDIRECT("'GRD-"&amp;EL$11&amp;"'!B:R"),15,FALSE),"")</f>
        <v/>
      </c>
      <c r="EM93" s="96">
        <f>IFERROR(VLOOKUP($B93,INDIRECT("'GRD-"&amp;EM$11&amp;"'!B:R"),15,FALSE),"")</f>
        <v/>
      </c>
      <c r="EN93" s="96">
        <f>IFERROR(VLOOKUP($B93,INDIRECT("'GRD-"&amp;EN$11&amp;"'!B:R"),15,FALSE),"")</f>
        <v/>
      </c>
      <c r="EO93" s="96">
        <f>IFERROR(VLOOKUP($B93,INDIRECT("'GRD-"&amp;EO$11&amp;"'!B:R"),15,FALSE),"")</f>
        <v/>
      </c>
      <c r="EP93" s="96">
        <f>IFERROR(VLOOKUP($B93,INDIRECT("'GRD-"&amp;EP$11&amp;"'!B:R"),15,FALSE),"")</f>
        <v/>
      </c>
      <c r="EQ93" s="96">
        <f>IFERROR(VLOOKUP($B93,INDIRECT("'GRD-"&amp;EQ$11&amp;"'!B:R"),15,FALSE),"")</f>
        <v/>
      </c>
      <c r="ER93" s="96">
        <f>IFERROR(VLOOKUP($B93,INDIRECT("'GRD-"&amp;ER$11&amp;"'!B:R"),15,FALSE),"")</f>
        <v/>
      </c>
      <c r="ES93" s="96">
        <f>IFERROR(VLOOKUP($B93,INDIRECT("'GRD-"&amp;ES$11&amp;"'!B:R"),15,FALSE),"")</f>
        <v/>
      </c>
      <c r="ET93" s="96">
        <f>IFERROR(VLOOKUP($B93,INDIRECT("'GRD-"&amp;ET$11&amp;"'!B:R"),15,FALSE),"")</f>
        <v/>
      </c>
      <c r="EU93" s="96">
        <f>IFERROR(VLOOKUP($B93,INDIRECT("'GRD-"&amp;EU$11&amp;"'!B:R"),15,FALSE),"")</f>
        <v/>
      </c>
      <c r="EV93" s="96">
        <f>IFERROR(VLOOKUP($B93,INDIRECT("'GRD-"&amp;EV$11&amp;"'!B:R"),15,FALSE),"")</f>
        <v/>
      </c>
      <c r="EW93" s="96">
        <f>IFERROR(VLOOKUP($B93,INDIRECT("'GRD-"&amp;EW$11&amp;"'!B:R"),15,FALSE),"")</f>
        <v/>
      </c>
      <c r="EX93" s="96">
        <f>IFERROR(VLOOKUP($B93,INDIRECT("'GRD-"&amp;EX$11&amp;"'!B:R"),15,FALSE),"")</f>
        <v/>
      </c>
      <c r="EY93" s="96">
        <f>IFERROR(VLOOKUP($B93,INDIRECT("'GRD-"&amp;EY$11&amp;"'!B:R"),15,FALSE),"")</f>
        <v/>
      </c>
      <c r="EZ93" s="96">
        <f>IFERROR(VLOOKUP($B93,INDIRECT("'GRD-"&amp;EZ$11&amp;"'!B:R"),15,FALSE),"")</f>
        <v/>
      </c>
      <c r="FA93" s="96">
        <f>IFERROR(VLOOKUP($B93,INDIRECT("'GRD-"&amp;FA$11&amp;"'!B:R"),15,FALSE),"")</f>
        <v/>
      </c>
      <c r="FB93" s="96">
        <f>IFERROR(VLOOKUP($B93,INDIRECT("'GRD-"&amp;FB$11&amp;"'!B:R"),15,FALSE),"")</f>
        <v/>
      </c>
      <c r="FC93" s="96">
        <f>IFERROR(VLOOKUP($B93,INDIRECT("'GRD-"&amp;FC$11&amp;"'!B:R"),15,FALSE),"")</f>
        <v/>
      </c>
      <c r="FD93" s="96">
        <f>IFERROR(VLOOKUP($B93,INDIRECT("'GRD-"&amp;FD$11&amp;"'!B:R"),15,FALSE),"")</f>
        <v/>
      </c>
      <c r="FE93" s="96">
        <f>IFERROR(VLOOKUP($B93,INDIRECT("'GRD-"&amp;FE$11&amp;"'!B:R"),15,FALSE),"")</f>
        <v/>
      </c>
      <c r="FF93" s="96">
        <f>IFERROR(VLOOKUP($B93,INDIRECT("'GRD-"&amp;FF$11&amp;"'!B:R"),15,FALSE),"")</f>
        <v/>
      </c>
      <c r="FG93" s="96">
        <f>IFERROR(VLOOKUP($B93,INDIRECT("'GRD-"&amp;FG$11&amp;"'!B:R"),15,FALSE),"")</f>
        <v/>
      </c>
      <c r="FH93" s="96">
        <f>IFERROR(VLOOKUP($B93,INDIRECT("'GRD-"&amp;FH$11&amp;"'!B:R"),15,FALSE),"")</f>
        <v/>
      </c>
      <c r="FI93" s="96">
        <f>IFERROR(VLOOKUP($B93,INDIRECT("'GRD-"&amp;FI$11&amp;"'!B:R"),15,FALSE),"")</f>
        <v/>
      </c>
      <c r="FJ93" s="96">
        <f>IFERROR(VLOOKUP($B93,INDIRECT("'GRD-"&amp;FJ$11&amp;"'!B:R"),15,FALSE),"")</f>
        <v/>
      </c>
      <c r="FK93" s="96">
        <f>IFERROR(VLOOKUP($B93,INDIRECT("'GRD-"&amp;FK$11&amp;"'!B:R"),15,FALSE),"")</f>
        <v/>
      </c>
      <c r="FL93" s="96">
        <f>IFERROR(VLOOKUP($B93,INDIRECT("'GRD-"&amp;FL$11&amp;"'!B:R"),15,FALSE),"")</f>
        <v/>
      </c>
      <c r="FM93" s="96">
        <f>IFERROR(VLOOKUP($B93,INDIRECT("'GRD-"&amp;FM$11&amp;"'!B:R"),15,FALSE),"")</f>
        <v/>
      </c>
      <c r="FN93" s="96">
        <f>IFERROR(VLOOKUP($B93,INDIRECT("'GRD-"&amp;FN$11&amp;"'!B:R"),15,FALSE),"")</f>
        <v/>
      </c>
      <c r="FO93" s="96">
        <f>IFERROR(VLOOKUP($B93,INDIRECT("'GRD-"&amp;FO$11&amp;"'!B:R"),15,FALSE),"")</f>
        <v/>
      </c>
      <c r="FP93" s="96">
        <f>IFERROR(VLOOKUP($B93,INDIRECT("'GRD-"&amp;FP$11&amp;"'!B:R"),15,FALSE),"")</f>
        <v/>
      </c>
      <c r="FQ93" s="96">
        <f>IFERROR(VLOOKUP($B93,INDIRECT("'GRD-"&amp;FQ$11&amp;"'!B:R"),15,FALSE),"")</f>
        <v/>
      </c>
      <c r="FR93" s="96">
        <f>IFERROR(VLOOKUP($B93,INDIRECT("'GRD-"&amp;FR$11&amp;"'!B:R"),15,FALSE),"")</f>
        <v/>
      </c>
      <c r="FS93" s="96">
        <f>IFERROR(VLOOKUP($B93,INDIRECT("'GRD-"&amp;FS$11&amp;"'!B:R"),15,FALSE),"")</f>
        <v/>
      </c>
      <c r="FT93" s="96">
        <f>IFERROR(VLOOKUP($B93,INDIRECT("'GRD-"&amp;FT$11&amp;"'!B:R"),15,FALSE),"")</f>
        <v/>
      </c>
      <c r="FU93" s="96">
        <f>IFERROR(VLOOKUP($B93,INDIRECT("'GRD-"&amp;FU$11&amp;"'!B:R"),15,FALSE),"")</f>
        <v/>
      </c>
      <c r="FV93" s="96">
        <f>IFERROR(VLOOKUP($B93,INDIRECT("'GRD-"&amp;FV$11&amp;"'!B:R"),15,FALSE),"")</f>
        <v/>
      </c>
    </row>
    <row r="94">
      <c r="B94" s="85" t="n"/>
      <c r="C94" s="93" t="n"/>
      <c r="D94" s="73">
        <f>IF(K94="","",MAX($CA94:$FV94))</f>
        <v/>
      </c>
      <c r="E94" s="74">
        <f t="array" ref="E94">IF($K94="","",OFFSET($A$1,ROW($B94)-1,11+$D94*4,))</f>
        <v/>
      </c>
      <c r="F94" s="74">
        <f t="array" ref="F94">IF($K94="","",OFFSET($A$1,ROW($B94)-1,12+$D94*4,))</f>
        <v/>
      </c>
      <c r="G94" s="118">
        <f t="array" ref="G94">IF($K94="","",OFFSET($A$1,ROW($B94)-1,13+$D94*4,))</f>
        <v/>
      </c>
      <c r="H94" s="81" t="n"/>
      <c r="I94" s="82" t="n"/>
      <c r="J94" s="75">
        <f>IF(I94="A4",H94/8,IF(I94="A3",H94/4,IF(I94="A2",H94/2,IF(I94="A1",H94/1,IF(I94="A0",H94*2,"")))))</f>
        <v/>
      </c>
      <c r="K94" s="68">
        <f t="array" ref="K94">IFERROR(OFFSET($BZ$11,ROW($B94)-11,MATCH(K$10,$CA94:$FV94,0),),"")</f>
        <v/>
      </c>
      <c r="L94" s="85">
        <f>IF(K94="","",IF(VLOOKUP($B94,INDIRECT("'GRD-"&amp;M94&amp;"'!$B:$R"),16,FALSE)="","",VLOOKUP($B94,INDIRECT("'GRD-"&amp;M94&amp;"'!$B:$R"),16,FALSE)))</f>
        <v/>
      </c>
      <c r="M94" s="130">
        <f t="array" ref="M94">IF(K94="","",IFERROR(OFFSET($BZ$11,0,MATCH($K94,$CA94:$FV94,0),),""))</f>
        <v/>
      </c>
      <c r="N94" s="119">
        <f t="array" ref="N94">IF(K94="","",INDIRECT("'GRD-"&amp;M94&amp;"'!$L$7"))</f>
        <v/>
      </c>
      <c r="O94" s="76">
        <f t="array" ref="O94">IFERROR(OFFSET($BZ$11,ROW($B94)-11,MATCH(O$10,$CA94:$FV94,0),),"")</f>
        <v/>
      </c>
      <c r="P94" s="76">
        <f>IF(O94="","",IF(VLOOKUP($B94,INDIRECT("'GRD-"&amp;Q94&amp;"'!$B:$R"),16,FALSE)="","",VLOOKUP($B94,INDIRECT("'GRD-"&amp;Q94&amp;"'!$B:$R"),16,FALSE)))</f>
        <v/>
      </c>
      <c r="Q94" s="132">
        <f t="array" ref="Q94">IF(O94="","",IFERROR(OFFSET($BZ$11,0,MATCH($O94,$CA94:$FV94,0),),""))</f>
        <v/>
      </c>
      <c r="R94" s="121">
        <f t="array" ref="R94">IF(O94="","",INDIRECT("'GRD-"&amp;Q94&amp;"'!$L$7"))</f>
        <v/>
      </c>
      <c r="S94" s="83">
        <f t="array" ref="S94">IFERROR(OFFSET($BZ$11,ROW($B94)-11,MATCH(S$10,$CA94:$FV94,0),),"")</f>
        <v/>
      </c>
      <c r="T94" s="83">
        <f>IF(S94="","",IF(VLOOKUP($B94,INDIRECT("'GRD-"&amp;U94&amp;"'!$B:$R"),16,FALSE)="","",VLOOKUP($B94,INDIRECT("'GRD-"&amp;U94&amp;"'!$B:$R"),16,FALSE)))</f>
        <v/>
      </c>
      <c r="U94" s="128">
        <f t="array" ref="U94">IF(S94="","",IFERROR(OFFSET($BZ$11,0,MATCH($S94,$CA94:$FV94,0),),""))</f>
        <v/>
      </c>
      <c r="V94" s="133">
        <f t="array" ref="V94">IF(S94="","",INDIRECT("'GRD-"&amp;U94&amp;"'!$L$7"))</f>
        <v/>
      </c>
      <c r="W94" s="84">
        <f t="array" ref="W94">IFERROR(OFFSET($BZ$11,ROW($B94)-11,MATCH(W$10,$CA94:$FV94,0),),"")</f>
        <v/>
      </c>
      <c r="X94" s="84">
        <f>IF(W94="","",IF(VLOOKUP($B94,INDIRECT("'GRD-"&amp;Y94&amp;"'!$B:$R"),16,FALSE)="","",VLOOKUP($B94,INDIRECT("'GRD-"&amp;Y94&amp;"'!$B:$R"),16,FALSE)))</f>
        <v/>
      </c>
      <c r="Y94" s="129">
        <f t="array" ref="Y94">IF(W94="","",IFERROR(OFFSET($BZ$11,0,MATCH($W94,$CA94:$FV94,0),),""))</f>
        <v/>
      </c>
      <c r="Z94" s="134">
        <f t="array" ref="Z94">IF(W94="","",INDIRECT("'GRD-"&amp;Y94&amp;"'!$L$7"))</f>
        <v/>
      </c>
      <c r="AA94" s="85">
        <f t="array" ref="AA94">IFERROR(OFFSET($BZ$11,ROW($B94)-11,MATCH(AA$10,$CA94:$FV94,0),),"")</f>
        <v/>
      </c>
      <c r="AB94" s="85">
        <f>IF(AA94="","",IF(VLOOKUP($B94,INDIRECT("'GRD-"&amp;AC94&amp;"'!$B:$R"),16,FALSE)="","",VLOOKUP($B94,INDIRECT("'GRD-"&amp;AC94&amp;"'!$B:$R"),16,FALSE)))</f>
        <v/>
      </c>
      <c r="AC94" s="130">
        <f t="array" ref="AC94">IF(AA94="","",IFERROR(OFFSET($BZ$11,0,MATCH($AA94,$CA94:$FV94,0),),""))</f>
        <v/>
      </c>
      <c r="AD94" s="131">
        <f t="array" ref="AD94">IF(AA94="","",INDIRECT("'GRD-"&amp;AC94&amp;"'!$L$7"))</f>
        <v/>
      </c>
      <c r="AE94" s="76">
        <f t="array" ref="AE94">IFERROR(OFFSET($BZ$11,ROW($B94)-11,MATCH(AE$10,$CA94:$FV94,0),),"")</f>
        <v/>
      </c>
      <c r="AF94" s="76">
        <f>IF(AE94="","",IF(VLOOKUP($B94,INDIRECT("'GRD-"&amp;AG94&amp;"'!$B:$R"),16,FALSE)="","",VLOOKUP($B94,INDIRECT("'GRD-"&amp;AG94&amp;"'!$B:$R"),16,FALSE)))</f>
        <v/>
      </c>
      <c r="AG94" s="132">
        <f t="array" ref="AG94">IF(AE94="","",IFERROR(OFFSET($BZ$11,0,MATCH($AE94,$CA94:$FV94,0),),""))</f>
        <v/>
      </c>
      <c r="AH94" s="121">
        <f t="array" ref="AH94">IF(AE94="","",INDIRECT("'GRD-"&amp;AG94&amp;"'!$L$7"))</f>
        <v/>
      </c>
      <c r="AI94" s="83">
        <f t="array" ref="AI94">IFERROR(OFFSET($BZ$11,ROW($B94)-11,MATCH(AI$10,$CA94:$FV94,0),),"")</f>
        <v/>
      </c>
      <c r="AJ94" s="83">
        <f>IF(AI94="","",IF(VLOOKUP($B94,INDIRECT("'GRD-"&amp;AK94&amp;"'!$B:$R"),16,FALSE)="","",VLOOKUP($B94,INDIRECT("'GRD-"&amp;AK94&amp;"'!$B:$R"),16,FALSE)))</f>
        <v/>
      </c>
      <c r="AK94" s="128">
        <f t="array" ref="AK94">IF(AI94="","",IFERROR(OFFSET($BZ$11,0,MATCH($AI94,$CA94:$FV94,0),),""))</f>
        <v/>
      </c>
      <c r="AL94" s="133">
        <f t="array" ref="AL94">IF(AI94="","",INDIRECT("'GRD-"&amp;AK94&amp;"'!$L$7"))</f>
        <v/>
      </c>
      <c r="AM94" s="84">
        <f t="array" ref="AM94">IFERROR(OFFSET($BZ$11,ROW($B94)-11,MATCH(AM$10,$CA94:$FV94,0),),"")</f>
        <v/>
      </c>
      <c r="AN94" s="84">
        <f>IF(AM94="","",IF(VLOOKUP($B94,INDIRECT("'GRD-"&amp;AO94&amp;"'!$B:$R"),16,FALSE)="","",VLOOKUP($B94,INDIRECT("'GRD-"&amp;AO94&amp;"'!$B:$R"),16,FALSE)))</f>
        <v/>
      </c>
      <c r="AO94" s="129">
        <f t="array" ref="AO94">IF(AM94="","",IFERROR(OFFSET($BZ$11,0,MATCH($AM94,$CA94:$FV94,0),),""))</f>
        <v/>
      </c>
      <c r="AP94" s="134">
        <f t="array" ref="AP94">IF(AM94="","",INDIRECT("'GRD-"&amp;AO94&amp;"'!$L$7"))</f>
        <v/>
      </c>
      <c r="AQ94" s="85">
        <f t="array" ref="AQ94">IFERROR(OFFSET($BZ$11,ROW($B94)-11,MATCH(AQ$10,$CA94:$FV94,0),),"")</f>
        <v/>
      </c>
      <c r="AR94" s="85">
        <f>IF(AQ94="","",IF(VLOOKUP($B94,INDIRECT("'GRD-"&amp;AS94&amp;"'!$B:$R"),16,FALSE)="","",VLOOKUP($B94,INDIRECT("'GRD-"&amp;AS94&amp;"'!$B:$R"),16,FALSE)))</f>
        <v/>
      </c>
      <c r="AS94" s="130">
        <f t="array" ref="AS94">IF(AQ94="","",IFERROR(OFFSET($BZ$11,0,MATCH($AQ94,$CA94:$FV94,0),),""))</f>
        <v/>
      </c>
      <c r="AT94" s="131">
        <f t="array" ref="AT94">IF(AQ94="","",INDIRECT("'GRD-"&amp;AS94&amp;"'!$L$7"))</f>
        <v/>
      </c>
      <c r="AU94" s="76">
        <f t="array" ref="AU94">IFERROR(OFFSET($BZ$11,ROW($B94)-11,MATCH(AU$10,$CA94:$FV94,0),),"")</f>
        <v/>
      </c>
      <c r="AV94" s="76">
        <f>IF(AU94="","",IF(VLOOKUP($B94,INDIRECT("'GRD-"&amp;AW94&amp;"'!$B:$R"),16,FALSE)="","",VLOOKUP($B94,INDIRECT("'GRD-"&amp;AW94&amp;"'!$B:$R"),16,FALSE)))</f>
        <v/>
      </c>
      <c r="AW94" s="132">
        <f t="array" ref="AW94">IF(AU94="","",IFERROR(OFFSET($BZ$11,0,MATCH($AU94,$CA94:$FV94,0),),""))</f>
        <v/>
      </c>
      <c r="AX94" s="121">
        <f t="array" ref="AX94">IF(AU94="","",INDIRECT("'GRD-"&amp;AW94&amp;"'!$L$7"))</f>
        <v/>
      </c>
      <c r="AY94" s="83">
        <f t="array" ref="AY94">IFERROR(OFFSET($BZ$11,ROW($B94)-11,MATCH(AY$10,$CA94:$FV94,0),),"")</f>
        <v/>
      </c>
      <c r="AZ94" s="83">
        <f>IF(AY94="","",IF(VLOOKUP($B94,INDIRECT("'GRD-"&amp;BA94&amp;"'!$B:$R"),16,FALSE)="","",VLOOKUP($B94,INDIRECT("'GRD-"&amp;BA94&amp;"'!$B:$R"),16,FALSE)))</f>
        <v/>
      </c>
      <c r="BA94" s="128">
        <f t="array" ref="BA94">IF(AY94="","",IFERROR(OFFSET($BZ$11,0,MATCH($AY94,$CA94:$FV94,0),),""))</f>
        <v/>
      </c>
      <c r="BB94" s="133">
        <f t="array" ref="BB94">IF(AY94="","",INDIRECT("'GRD-"&amp;BA94&amp;"'!$L$7"))</f>
        <v/>
      </c>
      <c r="BC94" s="84">
        <f t="array" ref="BC94">IFERROR(OFFSET($BZ$11,ROW($B94)-11,MATCH(BC$10,$CA94:$FV94,0),),"")</f>
        <v/>
      </c>
      <c r="BD94" s="84">
        <f>IF(BC94="","",IF(VLOOKUP($B94,INDIRECT("'GRD-"&amp;BE94&amp;"'!$B:$R"),16,FALSE)="","",VLOOKUP($B94,INDIRECT("'GRD-"&amp;BE94&amp;"'!$B:$R"),16,FALSE)))</f>
        <v/>
      </c>
      <c r="BE94" s="129">
        <f t="array" ref="BE94">IF(BC94="","",IFERROR(OFFSET($BZ$11,0,MATCH($BC94,$CA94:$FV94,0),),""))</f>
        <v/>
      </c>
      <c r="BF94" s="134">
        <f t="array" ref="BF94">IF(BC94="","",INDIRECT("'GRD-"&amp;BE94&amp;"'!$L$7"))</f>
        <v/>
      </c>
      <c r="CA94" s="96">
        <f>IFERROR(VLOOKUP($B94,INDIRECT("'GRD-"&amp;CA$11&amp;"'!B:R"),15,FALSE),"")</f>
        <v/>
      </c>
      <c r="CB94" s="96">
        <f>IFERROR(VLOOKUP($B94,INDIRECT("'GRD-"&amp;CB$11&amp;"'!B:R"),15,FALSE),"")</f>
        <v/>
      </c>
      <c r="CC94" s="96">
        <f>IFERROR(VLOOKUP($B94,INDIRECT("'GRD-"&amp;CC$11&amp;"'!B:R"),15,FALSE),"")</f>
        <v/>
      </c>
      <c r="CD94" s="96">
        <f>IFERROR(VLOOKUP($B94,INDIRECT("'GRD-"&amp;CD$11&amp;"'!B:R"),15,FALSE),"")</f>
        <v/>
      </c>
      <c r="CE94" s="96">
        <f>IFERROR(VLOOKUP($B94,INDIRECT("'GRD-"&amp;CE$11&amp;"'!B:R"),15,FALSE),"")</f>
        <v/>
      </c>
      <c r="CF94" s="96">
        <f>IFERROR(VLOOKUP($B94,INDIRECT("'GRD-"&amp;CF$11&amp;"'!B:R"),15,FALSE),"")</f>
        <v/>
      </c>
      <c r="CG94" s="96">
        <f>IFERROR(VLOOKUP($B94,INDIRECT("'GRD-"&amp;CG$11&amp;"'!B:R"),15,FALSE),"")</f>
        <v/>
      </c>
      <c r="CH94" s="96">
        <f>IFERROR(VLOOKUP($B94,INDIRECT("'GRD-"&amp;CH$11&amp;"'!B:R"),15,FALSE),"")</f>
        <v/>
      </c>
      <c r="CI94" s="96">
        <f>IFERROR(VLOOKUP($B94,INDIRECT("'GRD-"&amp;CI$11&amp;"'!B:R"),15,FALSE),"")</f>
        <v/>
      </c>
      <c r="CJ94" s="96">
        <f>IFERROR(VLOOKUP($B94,INDIRECT("'GRD-"&amp;CJ$11&amp;"'!B:R"),15,FALSE),"")</f>
        <v/>
      </c>
      <c r="CK94" s="96">
        <f>IFERROR(VLOOKUP($B94,INDIRECT("'GRD-"&amp;CK$11&amp;"'!B:R"),15,FALSE),"")</f>
        <v/>
      </c>
      <c r="CL94" s="96">
        <f>IFERROR(VLOOKUP($B94,INDIRECT("'GRD-"&amp;CL$11&amp;"'!B:R"),15,FALSE),"")</f>
        <v/>
      </c>
      <c r="CM94" s="96">
        <f>IFERROR(VLOOKUP($B94,INDIRECT("'GRD-"&amp;CM$11&amp;"'!B:R"),15,FALSE),"")</f>
        <v/>
      </c>
      <c r="CN94" s="96">
        <f>IFERROR(VLOOKUP($B94,INDIRECT("'GRD-"&amp;CN$11&amp;"'!B:R"),15,FALSE),"")</f>
        <v/>
      </c>
      <c r="CO94" s="96">
        <f>IFERROR(VLOOKUP($B94,INDIRECT("'GRD-"&amp;CO$11&amp;"'!B:R"),15,FALSE),"")</f>
        <v/>
      </c>
      <c r="CP94" s="96">
        <f>IFERROR(VLOOKUP($B94,INDIRECT("'GRD-"&amp;CP$11&amp;"'!B:R"),15,FALSE),"")</f>
        <v/>
      </c>
      <c r="CQ94" s="96">
        <f>IFERROR(VLOOKUP($B94,INDIRECT("'GRD-"&amp;CQ$11&amp;"'!B:R"),15,FALSE),"")</f>
        <v/>
      </c>
      <c r="CR94" s="96">
        <f>IFERROR(VLOOKUP($B94,INDIRECT("'GRD-"&amp;CR$11&amp;"'!B:R"),15,FALSE),"")</f>
        <v/>
      </c>
      <c r="CS94" s="96">
        <f>IFERROR(VLOOKUP($B94,INDIRECT("'GRD-"&amp;CS$11&amp;"'!B:R"),15,FALSE),"")</f>
        <v/>
      </c>
      <c r="CT94" s="96">
        <f>IFERROR(VLOOKUP($B94,INDIRECT("'GRD-"&amp;CT$11&amp;"'!B:R"),15,FALSE),"")</f>
        <v/>
      </c>
      <c r="CU94" s="96">
        <f>IFERROR(VLOOKUP($B94,INDIRECT("'GRD-"&amp;CU$11&amp;"'!B:R"),15,FALSE),"")</f>
        <v/>
      </c>
      <c r="CV94" s="96">
        <f>IFERROR(VLOOKUP($B94,INDIRECT("'GRD-"&amp;CV$11&amp;"'!B:R"),15,FALSE),"")</f>
        <v/>
      </c>
      <c r="CW94" s="96">
        <f>IFERROR(VLOOKUP($B94,INDIRECT("'GRD-"&amp;CW$11&amp;"'!B:R"),15,FALSE),"")</f>
        <v/>
      </c>
      <c r="CX94" s="96">
        <f>IFERROR(VLOOKUP($B94,INDIRECT("'GRD-"&amp;CX$11&amp;"'!B:R"),15,FALSE),"")</f>
        <v/>
      </c>
      <c r="CY94" s="96">
        <f>IFERROR(VLOOKUP($B94,INDIRECT("'GRD-"&amp;CY$11&amp;"'!B:R"),15,FALSE),"")</f>
        <v/>
      </c>
      <c r="CZ94" s="96">
        <f>IFERROR(VLOOKUP($B94,INDIRECT("'GRD-"&amp;CZ$11&amp;"'!B:R"),15,FALSE),"")</f>
        <v/>
      </c>
      <c r="DA94" s="96">
        <f>IFERROR(VLOOKUP($B94,INDIRECT("'GRD-"&amp;DA$11&amp;"'!B:R"),15,FALSE),"")</f>
        <v/>
      </c>
      <c r="DB94" s="96">
        <f>IFERROR(VLOOKUP($B94,INDIRECT("'GRD-"&amp;DB$11&amp;"'!B:R"),15,FALSE),"")</f>
        <v/>
      </c>
      <c r="DC94" s="96">
        <f>IFERROR(VLOOKUP($B94,INDIRECT("'GRD-"&amp;DC$11&amp;"'!B:R"),15,FALSE),"")</f>
        <v/>
      </c>
      <c r="DD94" s="96">
        <f>IFERROR(VLOOKUP($B94,INDIRECT("'GRD-"&amp;DD$11&amp;"'!B:R"),15,FALSE),"")</f>
        <v/>
      </c>
      <c r="DE94" s="96">
        <f>IFERROR(VLOOKUP($B94,INDIRECT("'GRD-"&amp;DE$11&amp;"'!B:R"),15,FALSE),"")</f>
        <v/>
      </c>
      <c r="DF94" s="96">
        <f>IFERROR(VLOOKUP($B94,INDIRECT("'GRD-"&amp;DF$11&amp;"'!B:R"),15,FALSE),"")</f>
        <v/>
      </c>
      <c r="DG94" s="96">
        <f>IFERROR(VLOOKUP($B94,INDIRECT("'GRD-"&amp;DG$11&amp;"'!B:R"),15,FALSE),"")</f>
        <v/>
      </c>
      <c r="DH94" s="96">
        <f>IFERROR(VLOOKUP($B94,INDIRECT("'GRD-"&amp;DH$11&amp;"'!B:R"),15,FALSE),"")</f>
        <v/>
      </c>
      <c r="DI94" s="96">
        <f>IFERROR(VLOOKUP($B94,INDIRECT("'GRD-"&amp;DI$11&amp;"'!B:R"),15,FALSE),"")</f>
        <v/>
      </c>
      <c r="DJ94" s="96">
        <f>IFERROR(VLOOKUP($B94,INDIRECT("'GRD-"&amp;DJ$11&amp;"'!B:R"),15,FALSE),"")</f>
        <v/>
      </c>
      <c r="DK94" s="96">
        <f>IFERROR(VLOOKUP($B94,INDIRECT("'GRD-"&amp;DK$11&amp;"'!B:R"),15,FALSE),"")</f>
        <v/>
      </c>
      <c r="DL94" s="96">
        <f>IFERROR(VLOOKUP($B94,INDIRECT("'GRD-"&amp;DL$11&amp;"'!B:R"),15,FALSE),"")</f>
        <v/>
      </c>
      <c r="DM94" s="96">
        <f>IFERROR(VLOOKUP($B94,INDIRECT("'GRD-"&amp;DM$11&amp;"'!B:R"),15,FALSE),"")</f>
        <v/>
      </c>
      <c r="DN94" s="96">
        <f>IFERROR(VLOOKUP($B94,INDIRECT("'GRD-"&amp;DN$11&amp;"'!B:R"),15,FALSE),"")</f>
        <v/>
      </c>
      <c r="DO94" s="96">
        <f>IFERROR(VLOOKUP($B94,INDIRECT("'GRD-"&amp;DO$11&amp;"'!B:R"),15,FALSE),"")</f>
        <v/>
      </c>
      <c r="DP94" s="96">
        <f>IFERROR(VLOOKUP($B94,INDIRECT("'GRD-"&amp;DP$11&amp;"'!B:R"),15,FALSE),"")</f>
        <v/>
      </c>
      <c r="DQ94" s="96">
        <f>IFERROR(VLOOKUP($B94,INDIRECT("'GRD-"&amp;DQ$11&amp;"'!B:R"),15,FALSE),"")</f>
        <v/>
      </c>
      <c r="DR94" s="96">
        <f>IFERROR(VLOOKUP($B94,INDIRECT("'GRD-"&amp;DR$11&amp;"'!B:R"),15,FALSE),"")</f>
        <v/>
      </c>
      <c r="DS94" s="96">
        <f>IFERROR(VLOOKUP($B94,INDIRECT("'GRD-"&amp;DS$11&amp;"'!B:R"),15,FALSE),"")</f>
        <v/>
      </c>
      <c r="DT94" s="96">
        <f>IFERROR(VLOOKUP($B94,INDIRECT("'GRD-"&amp;DT$11&amp;"'!B:R"),15,FALSE),"")</f>
        <v/>
      </c>
      <c r="DU94" s="96">
        <f>IFERROR(VLOOKUP($B94,INDIRECT("'GRD-"&amp;DU$11&amp;"'!B:R"),15,FALSE),"")</f>
        <v/>
      </c>
      <c r="DV94" s="96">
        <f>IFERROR(VLOOKUP($B94,INDIRECT("'GRD-"&amp;DV$11&amp;"'!B:R"),15,FALSE),"")</f>
        <v/>
      </c>
      <c r="DW94" s="96">
        <f>IFERROR(VLOOKUP($B94,INDIRECT("'GRD-"&amp;DW$11&amp;"'!B:R"),15,FALSE),"")</f>
        <v/>
      </c>
      <c r="DX94" s="96">
        <f>IFERROR(VLOOKUP($B94,INDIRECT("'GRD-"&amp;DX$11&amp;"'!B:R"),15,FALSE),"")</f>
        <v/>
      </c>
      <c r="DY94" s="96">
        <f>IFERROR(VLOOKUP($B94,INDIRECT("'GRD-"&amp;DY$11&amp;"'!B:R"),15,FALSE),"")</f>
        <v/>
      </c>
      <c r="DZ94" s="96">
        <f>IFERROR(VLOOKUP($B94,INDIRECT("'GRD-"&amp;DZ$11&amp;"'!B:R"),15,FALSE),"")</f>
        <v/>
      </c>
      <c r="EA94" s="96">
        <f>IFERROR(VLOOKUP($B94,INDIRECT("'GRD-"&amp;EA$11&amp;"'!B:R"),15,FALSE),"")</f>
        <v/>
      </c>
      <c r="EB94" s="96">
        <f>IFERROR(VLOOKUP($B94,INDIRECT("'GRD-"&amp;EB$11&amp;"'!B:R"),15,FALSE),"")</f>
        <v/>
      </c>
      <c r="EC94" s="96">
        <f>IFERROR(VLOOKUP($B94,INDIRECT("'GRD-"&amp;EC$11&amp;"'!B:R"),15,FALSE),"")</f>
        <v/>
      </c>
      <c r="ED94" s="96">
        <f>IFERROR(VLOOKUP($B94,INDIRECT("'GRD-"&amp;ED$11&amp;"'!B:R"),15,FALSE),"")</f>
        <v/>
      </c>
      <c r="EE94" s="96">
        <f>IFERROR(VLOOKUP($B94,INDIRECT("'GRD-"&amp;EE$11&amp;"'!B:R"),15,FALSE),"")</f>
        <v/>
      </c>
      <c r="EF94" s="96">
        <f>IFERROR(VLOOKUP($B94,INDIRECT("'GRD-"&amp;EF$11&amp;"'!B:R"),15,FALSE),"")</f>
        <v/>
      </c>
      <c r="EG94" s="96">
        <f>IFERROR(VLOOKUP($B94,INDIRECT("'GRD-"&amp;EG$11&amp;"'!B:R"),15,FALSE),"")</f>
        <v/>
      </c>
      <c r="EH94" s="96">
        <f>IFERROR(VLOOKUP($B94,INDIRECT("'GRD-"&amp;EH$11&amp;"'!B:R"),15,FALSE),"")</f>
        <v/>
      </c>
      <c r="EI94" s="96">
        <f>IFERROR(VLOOKUP($B94,INDIRECT("'GRD-"&amp;EI$11&amp;"'!B:R"),15,FALSE),"")</f>
        <v/>
      </c>
      <c r="EJ94" s="96">
        <f>IFERROR(VLOOKUP($B94,INDIRECT("'GRD-"&amp;EJ$11&amp;"'!B:R"),15,FALSE),"")</f>
        <v/>
      </c>
      <c r="EK94" s="96">
        <f>IFERROR(VLOOKUP($B94,INDIRECT("'GRD-"&amp;EK$11&amp;"'!B:R"),15,FALSE),"")</f>
        <v/>
      </c>
      <c r="EL94" s="96">
        <f>IFERROR(VLOOKUP($B94,INDIRECT("'GRD-"&amp;EL$11&amp;"'!B:R"),15,FALSE),"")</f>
        <v/>
      </c>
      <c r="EM94" s="96">
        <f>IFERROR(VLOOKUP($B94,INDIRECT("'GRD-"&amp;EM$11&amp;"'!B:R"),15,FALSE),"")</f>
        <v/>
      </c>
      <c r="EN94" s="96">
        <f>IFERROR(VLOOKUP($B94,INDIRECT("'GRD-"&amp;EN$11&amp;"'!B:R"),15,FALSE),"")</f>
        <v/>
      </c>
      <c r="EO94" s="96">
        <f>IFERROR(VLOOKUP($B94,INDIRECT("'GRD-"&amp;EO$11&amp;"'!B:R"),15,FALSE),"")</f>
        <v/>
      </c>
      <c r="EP94" s="96">
        <f>IFERROR(VLOOKUP($B94,INDIRECT("'GRD-"&amp;EP$11&amp;"'!B:R"),15,FALSE),"")</f>
        <v/>
      </c>
      <c r="EQ94" s="96">
        <f>IFERROR(VLOOKUP($B94,INDIRECT("'GRD-"&amp;EQ$11&amp;"'!B:R"),15,FALSE),"")</f>
        <v/>
      </c>
      <c r="ER94" s="96">
        <f>IFERROR(VLOOKUP($B94,INDIRECT("'GRD-"&amp;ER$11&amp;"'!B:R"),15,FALSE),"")</f>
        <v/>
      </c>
      <c r="ES94" s="96">
        <f>IFERROR(VLOOKUP($B94,INDIRECT("'GRD-"&amp;ES$11&amp;"'!B:R"),15,FALSE),"")</f>
        <v/>
      </c>
      <c r="ET94" s="96">
        <f>IFERROR(VLOOKUP($B94,INDIRECT("'GRD-"&amp;ET$11&amp;"'!B:R"),15,FALSE),"")</f>
        <v/>
      </c>
      <c r="EU94" s="96">
        <f>IFERROR(VLOOKUP($B94,INDIRECT("'GRD-"&amp;EU$11&amp;"'!B:R"),15,FALSE),"")</f>
        <v/>
      </c>
      <c r="EV94" s="96">
        <f>IFERROR(VLOOKUP($B94,INDIRECT("'GRD-"&amp;EV$11&amp;"'!B:R"),15,FALSE),"")</f>
        <v/>
      </c>
      <c r="EW94" s="96">
        <f>IFERROR(VLOOKUP($B94,INDIRECT("'GRD-"&amp;EW$11&amp;"'!B:R"),15,FALSE),"")</f>
        <v/>
      </c>
      <c r="EX94" s="96">
        <f>IFERROR(VLOOKUP($B94,INDIRECT("'GRD-"&amp;EX$11&amp;"'!B:R"),15,FALSE),"")</f>
        <v/>
      </c>
      <c r="EY94" s="96">
        <f>IFERROR(VLOOKUP($B94,INDIRECT("'GRD-"&amp;EY$11&amp;"'!B:R"),15,FALSE),"")</f>
        <v/>
      </c>
      <c r="EZ94" s="96">
        <f>IFERROR(VLOOKUP($B94,INDIRECT("'GRD-"&amp;EZ$11&amp;"'!B:R"),15,FALSE),"")</f>
        <v/>
      </c>
      <c r="FA94" s="96">
        <f>IFERROR(VLOOKUP($B94,INDIRECT("'GRD-"&amp;FA$11&amp;"'!B:R"),15,FALSE),"")</f>
        <v/>
      </c>
      <c r="FB94" s="96">
        <f>IFERROR(VLOOKUP($B94,INDIRECT("'GRD-"&amp;FB$11&amp;"'!B:R"),15,FALSE),"")</f>
        <v/>
      </c>
      <c r="FC94" s="96">
        <f>IFERROR(VLOOKUP($B94,INDIRECT("'GRD-"&amp;FC$11&amp;"'!B:R"),15,FALSE),"")</f>
        <v/>
      </c>
      <c r="FD94" s="96">
        <f>IFERROR(VLOOKUP($B94,INDIRECT("'GRD-"&amp;FD$11&amp;"'!B:R"),15,FALSE),"")</f>
        <v/>
      </c>
      <c r="FE94" s="96">
        <f>IFERROR(VLOOKUP($B94,INDIRECT("'GRD-"&amp;FE$11&amp;"'!B:R"),15,FALSE),"")</f>
        <v/>
      </c>
      <c r="FF94" s="96">
        <f>IFERROR(VLOOKUP($B94,INDIRECT("'GRD-"&amp;FF$11&amp;"'!B:R"),15,FALSE),"")</f>
        <v/>
      </c>
      <c r="FG94" s="96">
        <f>IFERROR(VLOOKUP($B94,INDIRECT("'GRD-"&amp;FG$11&amp;"'!B:R"),15,FALSE),"")</f>
        <v/>
      </c>
      <c r="FH94" s="96">
        <f>IFERROR(VLOOKUP($B94,INDIRECT("'GRD-"&amp;FH$11&amp;"'!B:R"),15,FALSE),"")</f>
        <v/>
      </c>
      <c r="FI94" s="96">
        <f>IFERROR(VLOOKUP($B94,INDIRECT("'GRD-"&amp;FI$11&amp;"'!B:R"),15,FALSE),"")</f>
        <v/>
      </c>
      <c r="FJ94" s="96">
        <f>IFERROR(VLOOKUP($B94,INDIRECT("'GRD-"&amp;FJ$11&amp;"'!B:R"),15,FALSE),"")</f>
        <v/>
      </c>
      <c r="FK94" s="96">
        <f>IFERROR(VLOOKUP($B94,INDIRECT("'GRD-"&amp;FK$11&amp;"'!B:R"),15,FALSE),"")</f>
        <v/>
      </c>
      <c r="FL94" s="96">
        <f>IFERROR(VLOOKUP($B94,INDIRECT("'GRD-"&amp;FL$11&amp;"'!B:R"),15,FALSE),"")</f>
        <v/>
      </c>
      <c r="FM94" s="96">
        <f>IFERROR(VLOOKUP($B94,INDIRECT("'GRD-"&amp;FM$11&amp;"'!B:R"),15,FALSE),"")</f>
        <v/>
      </c>
      <c r="FN94" s="96">
        <f>IFERROR(VLOOKUP($B94,INDIRECT("'GRD-"&amp;FN$11&amp;"'!B:R"),15,FALSE),"")</f>
        <v/>
      </c>
      <c r="FO94" s="96">
        <f>IFERROR(VLOOKUP($B94,INDIRECT("'GRD-"&amp;FO$11&amp;"'!B:R"),15,FALSE),"")</f>
        <v/>
      </c>
      <c r="FP94" s="96">
        <f>IFERROR(VLOOKUP($B94,INDIRECT("'GRD-"&amp;FP$11&amp;"'!B:R"),15,FALSE),"")</f>
        <v/>
      </c>
      <c r="FQ94" s="96">
        <f>IFERROR(VLOOKUP($B94,INDIRECT("'GRD-"&amp;FQ$11&amp;"'!B:R"),15,FALSE),"")</f>
        <v/>
      </c>
      <c r="FR94" s="96">
        <f>IFERROR(VLOOKUP($B94,INDIRECT("'GRD-"&amp;FR$11&amp;"'!B:R"),15,FALSE),"")</f>
        <v/>
      </c>
      <c r="FS94" s="96">
        <f>IFERROR(VLOOKUP($B94,INDIRECT("'GRD-"&amp;FS$11&amp;"'!B:R"),15,FALSE),"")</f>
        <v/>
      </c>
      <c r="FT94" s="96">
        <f>IFERROR(VLOOKUP($B94,INDIRECT("'GRD-"&amp;FT$11&amp;"'!B:R"),15,FALSE),"")</f>
        <v/>
      </c>
      <c r="FU94" s="96">
        <f>IFERROR(VLOOKUP($B94,INDIRECT("'GRD-"&amp;FU$11&amp;"'!B:R"),15,FALSE),"")</f>
        <v/>
      </c>
      <c r="FV94" s="96">
        <f>IFERROR(VLOOKUP($B94,INDIRECT("'GRD-"&amp;FV$11&amp;"'!B:R"),15,FALSE),"")</f>
        <v/>
      </c>
    </row>
    <row r="95">
      <c r="B95" s="85" t="n"/>
      <c r="C95" s="93" t="n"/>
      <c r="D95" s="73">
        <f>IF(K95="","",MAX($CA95:$FV95))</f>
        <v/>
      </c>
      <c r="E95" s="74">
        <f t="array" ref="E95">IF($K95="","",OFFSET($A$1,ROW($B95)-1,11+$D95*4,))</f>
        <v/>
      </c>
      <c r="F95" s="74">
        <f t="array" ref="F95">IF($K95="","",OFFSET($A$1,ROW($B95)-1,12+$D95*4,))</f>
        <v/>
      </c>
      <c r="G95" s="118">
        <f t="array" ref="G95">IF($K95="","",OFFSET($A$1,ROW($B95)-1,13+$D95*4,))</f>
        <v/>
      </c>
      <c r="H95" s="81" t="n"/>
      <c r="I95" s="82" t="n"/>
      <c r="J95" s="75">
        <f>IF(I95="A4",H95/8,IF(I95="A3",H95/4,IF(I95="A2",H95/2,IF(I95="A1",H95/1,IF(I95="A0",H95*2,"")))))</f>
        <v/>
      </c>
      <c r="K95" s="68">
        <f t="array" ref="K95">IFERROR(OFFSET($BZ$11,ROW($B95)-11,MATCH(K$10,$CA95:$FV95,0),),"")</f>
        <v/>
      </c>
      <c r="L95" s="85">
        <f>IF(K95="","",IF(VLOOKUP($B95,INDIRECT("'GRD-"&amp;M95&amp;"'!$B:$R"),16,FALSE)="","",VLOOKUP($B95,INDIRECT("'GRD-"&amp;M95&amp;"'!$B:$R"),16,FALSE)))</f>
        <v/>
      </c>
      <c r="M95" s="130">
        <f t="array" ref="M95">IF(K95="","",IFERROR(OFFSET($BZ$11,0,MATCH($K95,$CA95:$FV95,0),),""))</f>
        <v/>
      </c>
      <c r="N95" s="119">
        <f t="array" ref="N95">IF(K95="","",INDIRECT("'GRD-"&amp;M95&amp;"'!$L$7"))</f>
        <v/>
      </c>
      <c r="O95" s="76">
        <f t="array" ref="O95">IFERROR(OFFSET($BZ$11,ROW($B95)-11,MATCH(O$10,$CA95:$FV95,0),),"")</f>
        <v/>
      </c>
      <c r="P95" s="76">
        <f>IF(O95="","",IF(VLOOKUP($B95,INDIRECT("'GRD-"&amp;Q95&amp;"'!$B:$R"),16,FALSE)="","",VLOOKUP($B95,INDIRECT("'GRD-"&amp;Q95&amp;"'!$B:$R"),16,FALSE)))</f>
        <v/>
      </c>
      <c r="Q95" s="132">
        <f t="array" ref="Q95">IF(O95="","",IFERROR(OFFSET($BZ$11,0,MATCH($O95,$CA95:$FV95,0),),""))</f>
        <v/>
      </c>
      <c r="R95" s="121">
        <f t="array" ref="R95">IF(O95="","",INDIRECT("'GRD-"&amp;Q95&amp;"'!$L$7"))</f>
        <v/>
      </c>
      <c r="S95" s="83">
        <f t="array" ref="S95">IFERROR(OFFSET($BZ$11,ROW($B95)-11,MATCH(S$10,$CA95:$FV95,0),),"")</f>
        <v/>
      </c>
      <c r="T95" s="83">
        <f>IF(S95="","",IF(VLOOKUP($B95,INDIRECT("'GRD-"&amp;U95&amp;"'!$B:$R"),16,FALSE)="","",VLOOKUP($B95,INDIRECT("'GRD-"&amp;U95&amp;"'!$B:$R"),16,FALSE)))</f>
        <v/>
      </c>
      <c r="U95" s="128">
        <f t="array" ref="U95">IF(S95="","",IFERROR(OFFSET($BZ$11,0,MATCH($S95,$CA95:$FV95,0),),""))</f>
        <v/>
      </c>
      <c r="V95" s="133">
        <f t="array" ref="V95">IF(S95="","",INDIRECT("'GRD-"&amp;U95&amp;"'!$L$7"))</f>
        <v/>
      </c>
      <c r="W95" s="84">
        <f t="array" ref="W95">IFERROR(OFFSET($BZ$11,ROW($B95)-11,MATCH(W$10,$CA95:$FV95,0),),"")</f>
        <v/>
      </c>
      <c r="X95" s="84">
        <f>IF(W95="","",IF(VLOOKUP($B95,INDIRECT("'GRD-"&amp;Y95&amp;"'!$B:$R"),16,FALSE)="","",VLOOKUP($B95,INDIRECT("'GRD-"&amp;Y95&amp;"'!$B:$R"),16,FALSE)))</f>
        <v/>
      </c>
      <c r="Y95" s="129">
        <f t="array" ref="Y95">IF(W95="","",IFERROR(OFFSET($BZ$11,0,MATCH($W95,$CA95:$FV95,0),),""))</f>
        <v/>
      </c>
      <c r="Z95" s="134">
        <f t="array" ref="Z95">IF(W95="","",INDIRECT("'GRD-"&amp;Y95&amp;"'!$L$7"))</f>
        <v/>
      </c>
      <c r="AA95" s="85">
        <f t="array" ref="AA95">IFERROR(OFFSET($BZ$11,ROW($B95)-11,MATCH(AA$10,$CA95:$FV95,0),),"")</f>
        <v/>
      </c>
      <c r="AB95" s="85">
        <f>IF(AA95="","",IF(VLOOKUP($B95,INDIRECT("'GRD-"&amp;AC95&amp;"'!$B:$R"),16,FALSE)="","",VLOOKUP($B95,INDIRECT("'GRD-"&amp;AC95&amp;"'!$B:$R"),16,FALSE)))</f>
        <v/>
      </c>
      <c r="AC95" s="130">
        <f t="array" ref="AC95">IF(AA95="","",IFERROR(OFFSET($BZ$11,0,MATCH($AA95,$CA95:$FV95,0),),""))</f>
        <v/>
      </c>
      <c r="AD95" s="131">
        <f t="array" ref="AD95">IF(AA95="","",INDIRECT("'GRD-"&amp;AC95&amp;"'!$L$7"))</f>
        <v/>
      </c>
      <c r="AE95" s="76">
        <f t="array" ref="AE95">IFERROR(OFFSET($BZ$11,ROW($B95)-11,MATCH(AE$10,$CA95:$FV95,0),),"")</f>
        <v/>
      </c>
      <c r="AF95" s="76">
        <f>IF(AE95="","",IF(VLOOKUP($B95,INDIRECT("'GRD-"&amp;AG95&amp;"'!$B:$R"),16,FALSE)="","",VLOOKUP($B95,INDIRECT("'GRD-"&amp;AG95&amp;"'!$B:$R"),16,FALSE)))</f>
        <v/>
      </c>
      <c r="AG95" s="132">
        <f t="array" ref="AG95">IF(AE95="","",IFERROR(OFFSET($BZ$11,0,MATCH($AE95,$CA95:$FV95,0),),""))</f>
        <v/>
      </c>
      <c r="AH95" s="121">
        <f t="array" ref="AH95">IF(AE95="","",INDIRECT("'GRD-"&amp;AG95&amp;"'!$L$7"))</f>
        <v/>
      </c>
      <c r="AI95" s="83">
        <f t="array" ref="AI95">IFERROR(OFFSET($BZ$11,ROW($B95)-11,MATCH(AI$10,$CA95:$FV95,0),),"")</f>
        <v/>
      </c>
      <c r="AJ95" s="83">
        <f>IF(AI95="","",IF(VLOOKUP($B95,INDIRECT("'GRD-"&amp;AK95&amp;"'!$B:$R"),16,FALSE)="","",VLOOKUP($B95,INDIRECT("'GRD-"&amp;AK95&amp;"'!$B:$R"),16,FALSE)))</f>
        <v/>
      </c>
      <c r="AK95" s="128">
        <f t="array" ref="AK95">IF(AI95="","",IFERROR(OFFSET($BZ$11,0,MATCH($AI95,$CA95:$FV95,0),),""))</f>
        <v/>
      </c>
      <c r="AL95" s="133">
        <f t="array" ref="AL95">IF(AI95="","",INDIRECT("'GRD-"&amp;AK95&amp;"'!$L$7"))</f>
        <v/>
      </c>
      <c r="AM95" s="84">
        <f t="array" ref="AM95">IFERROR(OFFSET($BZ$11,ROW($B95)-11,MATCH(AM$10,$CA95:$FV95,0),),"")</f>
        <v/>
      </c>
      <c r="AN95" s="84">
        <f>IF(AM95="","",IF(VLOOKUP($B95,INDIRECT("'GRD-"&amp;AO95&amp;"'!$B:$R"),16,FALSE)="","",VLOOKUP($B95,INDIRECT("'GRD-"&amp;AO95&amp;"'!$B:$R"),16,FALSE)))</f>
        <v/>
      </c>
      <c r="AO95" s="129">
        <f t="array" ref="AO95">IF(AM95="","",IFERROR(OFFSET($BZ$11,0,MATCH($AM95,$CA95:$FV95,0),),""))</f>
        <v/>
      </c>
      <c r="AP95" s="134">
        <f t="array" ref="AP95">IF(AM95="","",INDIRECT("'GRD-"&amp;AO95&amp;"'!$L$7"))</f>
        <v/>
      </c>
      <c r="AQ95" s="85">
        <f t="array" ref="AQ95">IFERROR(OFFSET($BZ$11,ROW($B95)-11,MATCH(AQ$10,$CA95:$FV95,0),),"")</f>
        <v/>
      </c>
      <c r="AR95" s="85">
        <f>IF(AQ95="","",IF(VLOOKUP($B95,INDIRECT("'GRD-"&amp;AS95&amp;"'!$B:$R"),16,FALSE)="","",VLOOKUP($B95,INDIRECT("'GRD-"&amp;AS95&amp;"'!$B:$R"),16,FALSE)))</f>
        <v/>
      </c>
      <c r="AS95" s="130">
        <f t="array" ref="AS95">IF(AQ95="","",IFERROR(OFFSET($BZ$11,0,MATCH($AQ95,$CA95:$FV95,0),),""))</f>
        <v/>
      </c>
      <c r="AT95" s="131">
        <f t="array" ref="AT95">IF(AQ95="","",INDIRECT("'GRD-"&amp;AS95&amp;"'!$L$7"))</f>
        <v/>
      </c>
      <c r="AU95" s="76">
        <f t="array" ref="AU95">IFERROR(OFFSET($BZ$11,ROW($B95)-11,MATCH(AU$10,$CA95:$FV95,0),),"")</f>
        <v/>
      </c>
      <c r="AV95" s="76">
        <f>IF(AU95="","",IF(VLOOKUP($B95,INDIRECT("'GRD-"&amp;AW95&amp;"'!$B:$R"),16,FALSE)="","",VLOOKUP($B95,INDIRECT("'GRD-"&amp;AW95&amp;"'!$B:$R"),16,FALSE)))</f>
        <v/>
      </c>
      <c r="AW95" s="132">
        <f t="array" ref="AW95">IF(AU95="","",IFERROR(OFFSET($BZ$11,0,MATCH($AU95,$CA95:$FV95,0),),""))</f>
        <v/>
      </c>
      <c r="AX95" s="121">
        <f t="array" ref="AX95">IF(AU95="","",INDIRECT("'GRD-"&amp;AW95&amp;"'!$L$7"))</f>
        <v/>
      </c>
      <c r="AY95" s="83">
        <f t="array" ref="AY95">IFERROR(OFFSET($BZ$11,ROW($B95)-11,MATCH(AY$10,$CA95:$FV95,0),),"")</f>
        <v/>
      </c>
      <c r="AZ95" s="83">
        <f>IF(AY95="","",IF(VLOOKUP($B95,INDIRECT("'GRD-"&amp;BA95&amp;"'!$B:$R"),16,FALSE)="","",VLOOKUP($B95,INDIRECT("'GRD-"&amp;BA95&amp;"'!$B:$R"),16,FALSE)))</f>
        <v/>
      </c>
      <c r="BA95" s="128">
        <f t="array" ref="BA95">IF(AY95="","",IFERROR(OFFSET($BZ$11,0,MATCH($AY95,$CA95:$FV95,0),),""))</f>
        <v/>
      </c>
      <c r="BB95" s="133">
        <f t="array" ref="BB95">IF(AY95="","",INDIRECT("'GRD-"&amp;BA95&amp;"'!$L$7"))</f>
        <v/>
      </c>
      <c r="BC95" s="84">
        <f t="array" ref="BC95">IFERROR(OFFSET($BZ$11,ROW($B95)-11,MATCH(BC$10,$CA95:$FV95,0),),"")</f>
        <v/>
      </c>
      <c r="BD95" s="84">
        <f>IF(BC95="","",IF(VLOOKUP($B95,INDIRECT("'GRD-"&amp;BE95&amp;"'!$B:$R"),16,FALSE)="","",VLOOKUP($B95,INDIRECT("'GRD-"&amp;BE95&amp;"'!$B:$R"),16,FALSE)))</f>
        <v/>
      </c>
      <c r="BE95" s="129">
        <f t="array" ref="BE95">IF(BC95="","",IFERROR(OFFSET($BZ$11,0,MATCH($BC95,$CA95:$FV95,0),),""))</f>
        <v/>
      </c>
      <c r="BF95" s="134">
        <f t="array" ref="BF95">IF(BC95="","",INDIRECT("'GRD-"&amp;BE95&amp;"'!$L$7"))</f>
        <v/>
      </c>
      <c r="CA95" s="96">
        <f>IFERROR(VLOOKUP($B95,INDIRECT("'GRD-"&amp;CA$11&amp;"'!B:R"),15,FALSE),"")</f>
        <v/>
      </c>
      <c r="CB95" s="96">
        <f>IFERROR(VLOOKUP($B95,INDIRECT("'GRD-"&amp;CB$11&amp;"'!B:R"),15,FALSE),"")</f>
        <v/>
      </c>
      <c r="CC95" s="96">
        <f>IFERROR(VLOOKUP($B95,INDIRECT("'GRD-"&amp;CC$11&amp;"'!B:R"),15,FALSE),"")</f>
        <v/>
      </c>
      <c r="CD95" s="96">
        <f>IFERROR(VLOOKUP($B95,INDIRECT("'GRD-"&amp;CD$11&amp;"'!B:R"),15,FALSE),"")</f>
        <v/>
      </c>
      <c r="CE95" s="96">
        <f>IFERROR(VLOOKUP($B95,INDIRECT("'GRD-"&amp;CE$11&amp;"'!B:R"),15,FALSE),"")</f>
        <v/>
      </c>
      <c r="CF95" s="96">
        <f>IFERROR(VLOOKUP($B95,INDIRECT("'GRD-"&amp;CF$11&amp;"'!B:R"),15,FALSE),"")</f>
        <v/>
      </c>
      <c r="CG95" s="96">
        <f>IFERROR(VLOOKUP($B95,INDIRECT("'GRD-"&amp;CG$11&amp;"'!B:R"),15,FALSE),"")</f>
        <v/>
      </c>
      <c r="CH95" s="96">
        <f>IFERROR(VLOOKUP($B95,INDIRECT("'GRD-"&amp;CH$11&amp;"'!B:R"),15,FALSE),"")</f>
        <v/>
      </c>
      <c r="CI95" s="96">
        <f>IFERROR(VLOOKUP($B95,INDIRECT("'GRD-"&amp;CI$11&amp;"'!B:R"),15,FALSE),"")</f>
        <v/>
      </c>
      <c r="CJ95" s="96">
        <f>IFERROR(VLOOKUP($B95,INDIRECT("'GRD-"&amp;CJ$11&amp;"'!B:R"),15,FALSE),"")</f>
        <v/>
      </c>
      <c r="CK95" s="96">
        <f>IFERROR(VLOOKUP($B95,INDIRECT("'GRD-"&amp;CK$11&amp;"'!B:R"),15,FALSE),"")</f>
        <v/>
      </c>
      <c r="CL95" s="96">
        <f>IFERROR(VLOOKUP($B95,INDIRECT("'GRD-"&amp;CL$11&amp;"'!B:R"),15,FALSE),"")</f>
        <v/>
      </c>
      <c r="CM95" s="96">
        <f>IFERROR(VLOOKUP($B95,INDIRECT("'GRD-"&amp;CM$11&amp;"'!B:R"),15,FALSE),"")</f>
        <v/>
      </c>
      <c r="CN95" s="96">
        <f>IFERROR(VLOOKUP($B95,INDIRECT("'GRD-"&amp;CN$11&amp;"'!B:R"),15,FALSE),"")</f>
        <v/>
      </c>
      <c r="CO95" s="96">
        <f>IFERROR(VLOOKUP($B95,INDIRECT("'GRD-"&amp;CO$11&amp;"'!B:R"),15,FALSE),"")</f>
        <v/>
      </c>
      <c r="CP95" s="96">
        <f>IFERROR(VLOOKUP($B95,INDIRECT("'GRD-"&amp;CP$11&amp;"'!B:R"),15,FALSE),"")</f>
        <v/>
      </c>
      <c r="CQ95" s="96">
        <f>IFERROR(VLOOKUP($B95,INDIRECT("'GRD-"&amp;CQ$11&amp;"'!B:R"),15,FALSE),"")</f>
        <v/>
      </c>
      <c r="CR95" s="96">
        <f>IFERROR(VLOOKUP($B95,INDIRECT("'GRD-"&amp;CR$11&amp;"'!B:R"),15,FALSE),"")</f>
        <v/>
      </c>
      <c r="CS95" s="96">
        <f>IFERROR(VLOOKUP($B95,INDIRECT("'GRD-"&amp;CS$11&amp;"'!B:R"),15,FALSE),"")</f>
        <v/>
      </c>
      <c r="CT95" s="96">
        <f>IFERROR(VLOOKUP($B95,INDIRECT("'GRD-"&amp;CT$11&amp;"'!B:R"),15,FALSE),"")</f>
        <v/>
      </c>
      <c r="CU95" s="96">
        <f>IFERROR(VLOOKUP($B95,INDIRECT("'GRD-"&amp;CU$11&amp;"'!B:R"),15,FALSE),"")</f>
        <v/>
      </c>
      <c r="CV95" s="96">
        <f>IFERROR(VLOOKUP($B95,INDIRECT("'GRD-"&amp;CV$11&amp;"'!B:R"),15,FALSE),"")</f>
        <v/>
      </c>
      <c r="CW95" s="96">
        <f>IFERROR(VLOOKUP($B95,INDIRECT("'GRD-"&amp;CW$11&amp;"'!B:R"),15,FALSE),"")</f>
        <v/>
      </c>
      <c r="CX95" s="96">
        <f>IFERROR(VLOOKUP($B95,INDIRECT("'GRD-"&amp;CX$11&amp;"'!B:R"),15,FALSE),"")</f>
        <v/>
      </c>
      <c r="CY95" s="96">
        <f>IFERROR(VLOOKUP($B95,INDIRECT("'GRD-"&amp;CY$11&amp;"'!B:R"),15,FALSE),"")</f>
        <v/>
      </c>
      <c r="CZ95" s="96">
        <f>IFERROR(VLOOKUP($B95,INDIRECT("'GRD-"&amp;CZ$11&amp;"'!B:R"),15,FALSE),"")</f>
        <v/>
      </c>
      <c r="DA95" s="96">
        <f>IFERROR(VLOOKUP($B95,INDIRECT("'GRD-"&amp;DA$11&amp;"'!B:R"),15,FALSE),"")</f>
        <v/>
      </c>
      <c r="DB95" s="96">
        <f>IFERROR(VLOOKUP($B95,INDIRECT("'GRD-"&amp;DB$11&amp;"'!B:R"),15,FALSE),"")</f>
        <v/>
      </c>
      <c r="DC95" s="96">
        <f>IFERROR(VLOOKUP($B95,INDIRECT("'GRD-"&amp;DC$11&amp;"'!B:R"),15,FALSE),"")</f>
        <v/>
      </c>
      <c r="DD95" s="96">
        <f>IFERROR(VLOOKUP($B95,INDIRECT("'GRD-"&amp;DD$11&amp;"'!B:R"),15,FALSE),"")</f>
        <v/>
      </c>
      <c r="DE95" s="96">
        <f>IFERROR(VLOOKUP($B95,INDIRECT("'GRD-"&amp;DE$11&amp;"'!B:R"),15,FALSE),"")</f>
        <v/>
      </c>
      <c r="DF95" s="96">
        <f>IFERROR(VLOOKUP($B95,INDIRECT("'GRD-"&amp;DF$11&amp;"'!B:R"),15,FALSE),"")</f>
        <v/>
      </c>
      <c r="DG95" s="96">
        <f>IFERROR(VLOOKUP($B95,INDIRECT("'GRD-"&amp;DG$11&amp;"'!B:R"),15,FALSE),"")</f>
        <v/>
      </c>
      <c r="DH95" s="96">
        <f>IFERROR(VLOOKUP($B95,INDIRECT("'GRD-"&amp;DH$11&amp;"'!B:R"),15,FALSE),"")</f>
        <v/>
      </c>
      <c r="DI95" s="96">
        <f>IFERROR(VLOOKUP($B95,INDIRECT("'GRD-"&amp;DI$11&amp;"'!B:R"),15,FALSE),"")</f>
        <v/>
      </c>
      <c r="DJ95" s="96">
        <f>IFERROR(VLOOKUP($B95,INDIRECT("'GRD-"&amp;DJ$11&amp;"'!B:R"),15,FALSE),"")</f>
        <v/>
      </c>
      <c r="DK95" s="96">
        <f>IFERROR(VLOOKUP($B95,INDIRECT("'GRD-"&amp;DK$11&amp;"'!B:R"),15,FALSE),"")</f>
        <v/>
      </c>
      <c r="DL95" s="96">
        <f>IFERROR(VLOOKUP($B95,INDIRECT("'GRD-"&amp;DL$11&amp;"'!B:R"),15,FALSE),"")</f>
        <v/>
      </c>
      <c r="DM95" s="96">
        <f>IFERROR(VLOOKUP($B95,INDIRECT("'GRD-"&amp;DM$11&amp;"'!B:R"),15,FALSE),"")</f>
        <v/>
      </c>
      <c r="DN95" s="96">
        <f>IFERROR(VLOOKUP($B95,INDIRECT("'GRD-"&amp;DN$11&amp;"'!B:R"),15,FALSE),"")</f>
        <v/>
      </c>
      <c r="DO95" s="96">
        <f>IFERROR(VLOOKUP($B95,INDIRECT("'GRD-"&amp;DO$11&amp;"'!B:R"),15,FALSE),"")</f>
        <v/>
      </c>
      <c r="DP95" s="96">
        <f>IFERROR(VLOOKUP($B95,INDIRECT("'GRD-"&amp;DP$11&amp;"'!B:R"),15,FALSE),"")</f>
        <v/>
      </c>
      <c r="DQ95" s="96">
        <f>IFERROR(VLOOKUP($B95,INDIRECT("'GRD-"&amp;DQ$11&amp;"'!B:R"),15,FALSE),"")</f>
        <v/>
      </c>
      <c r="DR95" s="96">
        <f>IFERROR(VLOOKUP($B95,INDIRECT("'GRD-"&amp;DR$11&amp;"'!B:R"),15,FALSE),"")</f>
        <v/>
      </c>
      <c r="DS95" s="96">
        <f>IFERROR(VLOOKUP($B95,INDIRECT("'GRD-"&amp;DS$11&amp;"'!B:R"),15,FALSE),"")</f>
        <v/>
      </c>
      <c r="DT95" s="96">
        <f>IFERROR(VLOOKUP($B95,INDIRECT("'GRD-"&amp;DT$11&amp;"'!B:R"),15,FALSE),"")</f>
        <v/>
      </c>
      <c r="DU95" s="96">
        <f>IFERROR(VLOOKUP($B95,INDIRECT("'GRD-"&amp;DU$11&amp;"'!B:R"),15,FALSE),"")</f>
        <v/>
      </c>
      <c r="DV95" s="96">
        <f>IFERROR(VLOOKUP($B95,INDIRECT("'GRD-"&amp;DV$11&amp;"'!B:R"),15,FALSE),"")</f>
        <v/>
      </c>
      <c r="DW95" s="96">
        <f>IFERROR(VLOOKUP($B95,INDIRECT("'GRD-"&amp;DW$11&amp;"'!B:R"),15,FALSE),"")</f>
        <v/>
      </c>
      <c r="DX95" s="96">
        <f>IFERROR(VLOOKUP($B95,INDIRECT("'GRD-"&amp;DX$11&amp;"'!B:R"),15,FALSE),"")</f>
        <v/>
      </c>
      <c r="DY95" s="96">
        <f>IFERROR(VLOOKUP($B95,INDIRECT("'GRD-"&amp;DY$11&amp;"'!B:R"),15,FALSE),"")</f>
        <v/>
      </c>
      <c r="DZ95" s="96">
        <f>IFERROR(VLOOKUP($B95,INDIRECT("'GRD-"&amp;DZ$11&amp;"'!B:R"),15,FALSE),"")</f>
        <v/>
      </c>
      <c r="EA95" s="96">
        <f>IFERROR(VLOOKUP($B95,INDIRECT("'GRD-"&amp;EA$11&amp;"'!B:R"),15,FALSE),"")</f>
        <v/>
      </c>
      <c r="EB95" s="96">
        <f>IFERROR(VLOOKUP($B95,INDIRECT("'GRD-"&amp;EB$11&amp;"'!B:R"),15,FALSE),"")</f>
        <v/>
      </c>
      <c r="EC95" s="96">
        <f>IFERROR(VLOOKUP($B95,INDIRECT("'GRD-"&amp;EC$11&amp;"'!B:R"),15,FALSE),"")</f>
        <v/>
      </c>
      <c r="ED95" s="96">
        <f>IFERROR(VLOOKUP($B95,INDIRECT("'GRD-"&amp;ED$11&amp;"'!B:R"),15,FALSE),"")</f>
        <v/>
      </c>
      <c r="EE95" s="96">
        <f>IFERROR(VLOOKUP($B95,INDIRECT("'GRD-"&amp;EE$11&amp;"'!B:R"),15,FALSE),"")</f>
        <v/>
      </c>
      <c r="EF95" s="96">
        <f>IFERROR(VLOOKUP($B95,INDIRECT("'GRD-"&amp;EF$11&amp;"'!B:R"),15,FALSE),"")</f>
        <v/>
      </c>
      <c r="EG95" s="96">
        <f>IFERROR(VLOOKUP($B95,INDIRECT("'GRD-"&amp;EG$11&amp;"'!B:R"),15,FALSE),"")</f>
        <v/>
      </c>
      <c r="EH95" s="96">
        <f>IFERROR(VLOOKUP($B95,INDIRECT("'GRD-"&amp;EH$11&amp;"'!B:R"),15,FALSE),"")</f>
        <v/>
      </c>
      <c r="EI95" s="96">
        <f>IFERROR(VLOOKUP($B95,INDIRECT("'GRD-"&amp;EI$11&amp;"'!B:R"),15,FALSE),"")</f>
        <v/>
      </c>
      <c r="EJ95" s="96">
        <f>IFERROR(VLOOKUP($B95,INDIRECT("'GRD-"&amp;EJ$11&amp;"'!B:R"),15,FALSE),"")</f>
        <v/>
      </c>
      <c r="EK95" s="96">
        <f>IFERROR(VLOOKUP($B95,INDIRECT("'GRD-"&amp;EK$11&amp;"'!B:R"),15,FALSE),"")</f>
        <v/>
      </c>
      <c r="EL95" s="96">
        <f>IFERROR(VLOOKUP($B95,INDIRECT("'GRD-"&amp;EL$11&amp;"'!B:R"),15,FALSE),"")</f>
        <v/>
      </c>
      <c r="EM95" s="96">
        <f>IFERROR(VLOOKUP($B95,INDIRECT("'GRD-"&amp;EM$11&amp;"'!B:R"),15,FALSE),"")</f>
        <v/>
      </c>
      <c r="EN95" s="96">
        <f>IFERROR(VLOOKUP($B95,INDIRECT("'GRD-"&amp;EN$11&amp;"'!B:R"),15,FALSE),"")</f>
        <v/>
      </c>
      <c r="EO95" s="96">
        <f>IFERROR(VLOOKUP($B95,INDIRECT("'GRD-"&amp;EO$11&amp;"'!B:R"),15,FALSE),"")</f>
        <v/>
      </c>
      <c r="EP95" s="96">
        <f>IFERROR(VLOOKUP($B95,INDIRECT("'GRD-"&amp;EP$11&amp;"'!B:R"),15,FALSE),"")</f>
        <v/>
      </c>
      <c r="EQ95" s="96">
        <f>IFERROR(VLOOKUP($B95,INDIRECT("'GRD-"&amp;EQ$11&amp;"'!B:R"),15,FALSE),"")</f>
        <v/>
      </c>
      <c r="ER95" s="96">
        <f>IFERROR(VLOOKUP($B95,INDIRECT("'GRD-"&amp;ER$11&amp;"'!B:R"),15,FALSE),"")</f>
        <v/>
      </c>
      <c r="ES95" s="96">
        <f>IFERROR(VLOOKUP($B95,INDIRECT("'GRD-"&amp;ES$11&amp;"'!B:R"),15,FALSE),"")</f>
        <v/>
      </c>
      <c r="ET95" s="96">
        <f>IFERROR(VLOOKUP($B95,INDIRECT("'GRD-"&amp;ET$11&amp;"'!B:R"),15,FALSE),"")</f>
        <v/>
      </c>
      <c r="EU95" s="96">
        <f>IFERROR(VLOOKUP($B95,INDIRECT("'GRD-"&amp;EU$11&amp;"'!B:R"),15,FALSE),"")</f>
        <v/>
      </c>
      <c r="EV95" s="96">
        <f>IFERROR(VLOOKUP($B95,INDIRECT("'GRD-"&amp;EV$11&amp;"'!B:R"),15,FALSE),"")</f>
        <v/>
      </c>
      <c r="EW95" s="96">
        <f>IFERROR(VLOOKUP($B95,INDIRECT("'GRD-"&amp;EW$11&amp;"'!B:R"),15,FALSE),"")</f>
        <v/>
      </c>
      <c r="EX95" s="96">
        <f>IFERROR(VLOOKUP($B95,INDIRECT("'GRD-"&amp;EX$11&amp;"'!B:R"),15,FALSE),"")</f>
        <v/>
      </c>
      <c r="EY95" s="96">
        <f>IFERROR(VLOOKUP($B95,INDIRECT("'GRD-"&amp;EY$11&amp;"'!B:R"),15,FALSE),"")</f>
        <v/>
      </c>
      <c r="EZ95" s="96">
        <f>IFERROR(VLOOKUP($B95,INDIRECT("'GRD-"&amp;EZ$11&amp;"'!B:R"),15,FALSE),"")</f>
        <v/>
      </c>
      <c r="FA95" s="96">
        <f>IFERROR(VLOOKUP($B95,INDIRECT("'GRD-"&amp;FA$11&amp;"'!B:R"),15,FALSE),"")</f>
        <v/>
      </c>
      <c r="FB95" s="96">
        <f>IFERROR(VLOOKUP($B95,INDIRECT("'GRD-"&amp;FB$11&amp;"'!B:R"),15,FALSE),"")</f>
        <v/>
      </c>
      <c r="FC95" s="96">
        <f>IFERROR(VLOOKUP($B95,INDIRECT("'GRD-"&amp;FC$11&amp;"'!B:R"),15,FALSE),"")</f>
        <v/>
      </c>
      <c r="FD95" s="96">
        <f>IFERROR(VLOOKUP($B95,INDIRECT("'GRD-"&amp;FD$11&amp;"'!B:R"),15,FALSE),"")</f>
        <v/>
      </c>
      <c r="FE95" s="96">
        <f>IFERROR(VLOOKUP($B95,INDIRECT("'GRD-"&amp;FE$11&amp;"'!B:R"),15,FALSE),"")</f>
        <v/>
      </c>
      <c r="FF95" s="96">
        <f>IFERROR(VLOOKUP($B95,INDIRECT("'GRD-"&amp;FF$11&amp;"'!B:R"),15,FALSE),"")</f>
        <v/>
      </c>
      <c r="FG95" s="96">
        <f>IFERROR(VLOOKUP($B95,INDIRECT("'GRD-"&amp;FG$11&amp;"'!B:R"),15,FALSE),"")</f>
        <v/>
      </c>
      <c r="FH95" s="96">
        <f>IFERROR(VLOOKUP($B95,INDIRECT("'GRD-"&amp;FH$11&amp;"'!B:R"),15,FALSE),"")</f>
        <v/>
      </c>
      <c r="FI95" s="96">
        <f>IFERROR(VLOOKUP($B95,INDIRECT("'GRD-"&amp;FI$11&amp;"'!B:R"),15,FALSE),"")</f>
        <v/>
      </c>
      <c r="FJ95" s="96">
        <f>IFERROR(VLOOKUP($B95,INDIRECT("'GRD-"&amp;FJ$11&amp;"'!B:R"),15,FALSE),"")</f>
        <v/>
      </c>
      <c r="FK95" s="96">
        <f>IFERROR(VLOOKUP($B95,INDIRECT("'GRD-"&amp;FK$11&amp;"'!B:R"),15,FALSE),"")</f>
        <v/>
      </c>
      <c r="FL95" s="96">
        <f>IFERROR(VLOOKUP($B95,INDIRECT("'GRD-"&amp;FL$11&amp;"'!B:R"),15,FALSE),"")</f>
        <v/>
      </c>
      <c r="FM95" s="96">
        <f>IFERROR(VLOOKUP($B95,INDIRECT("'GRD-"&amp;FM$11&amp;"'!B:R"),15,FALSE),"")</f>
        <v/>
      </c>
      <c r="FN95" s="96">
        <f>IFERROR(VLOOKUP($B95,INDIRECT("'GRD-"&amp;FN$11&amp;"'!B:R"),15,FALSE),"")</f>
        <v/>
      </c>
      <c r="FO95" s="96">
        <f>IFERROR(VLOOKUP($B95,INDIRECT("'GRD-"&amp;FO$11&amp;"'!B:R"),15,FALSE),"")</f>
        <v/>
      </c>
      <c r="FP95" s="96">
        <f>IFERROR(VLOOKUP($B95,INDIRECT("'GRD-"&amp;FP$11&amp;"'!B:R"),15,FALSE),"")</f>
        <v/>
      </c>
      <c r="FQ95" s="96">
        <f>IFERROR(VLOOKUP($B95,INDIRECT("'GRD-"&amp;FQ$11&amp;"'!B:R"),15,FALSE),"")</f>
        <v/>
      </c>
      <c r="FR95" s="96">
        <f>IFERROR(VLOOKUP($B95,INDIRECT("'GRD-"&amp;FR$11&amp;"'!B:R"),15,FALSE),"")</f>
        <v/>
      </c>
      <c r="FS95" s="96">
        <f>IFERROR(VLOOKUP($B95,INDIRECT("'GRD-"&amp;FS$11&amp;"'!B:R"),15,FALSE),"")</f>
        <v/>
      </c>
      <c r="FT95" s="96">
        <f>IFERROR(VLOOKUP($B95,INDIRECT("'GRD-"&amp;FT$11&amp;"'!B:R"),15,FALSE),"")</f>
        <v/>
      </c>
      <c r="FU95" s="96">
        <f>IFERROR(VLOOKUP($B95,INDIRECT("'GRD-"&amp;FU$11&amp;"'!B:R"),15,FALSE),"")</f>
        <v/>
      </c>
      <c r="FV95" s="96">
        <f>IFERROR(VLOOKUP($B95,INDIRECT("'GRD-"&amp;FV$11&amp;"'!B:R"),15,FALSE),"")</f>
        <v/>
      </c>
    </row>
    <row r="96">
      <c r="B96" s="85" t="n"/>
      <c r="C96" s="93" t="n"/>
      <c r="D96" s="73">
        <f>IF(K96="","",MAX($CA96:$FV96))</f>
        <v/>
      </c>
      <c r="E96" s="74">
        <f t="array" ref="E96">IF($K96="","",OFFSET($A$1,ROW($B96)-1,11+$D96*4,))</f>
        <v/>
      </c>
      <c r="F96" s="74">
        <f t="array" ref="F96">IF($K96="","",OFFSET($A$1,ROW($B96)-1,12+$D96*4,))</f>
        <v/>
      </c>
      <c r="G96" s="118">
        <f t="array" ref="G96">IF($K96="","",OFFSET($A$1,ROW($B96)-1,13+$D96*4,))</f>
        <v/>
      </c>
      <c r="H96" s="81" t="n"/>
      <c r="I96" s="82" t="n"/>
      <c r="J96" s="75">
        <f>IF(I96="A4",H96/8,IF(I96="A3",H96/4,IF(I96="A2",H96/2,IF(I96="A1",H96/1,IF(I96="A0",H96*2,"")))))</f>
        <v/>
      </c>
      <c r="K96" s="68">
        <f t="array" ref="K96">IFERROR(OFFSET($BZ$11,ROW($B96)-11,MATCH(K$10,$CA96:$FV96,0),),"")</f>
        <v/>
      </c>
      <c r="L96" s="85">
        <f>IF(K96="","",IF(VLOOKUP($B96,INDIRECT("'GRD-"&amp;M96&amp;"'!$B:$R"),16,FALSE)="","",VLOOKUP($B96,INDIRECT("'GRD-"&amp;M96&amp;"'!$B:$R"),16,FALSE)))</f>
        <v/>
      </c>
      <c r="M96" s="130">
        <f t="array" ref="M96">IF(K96="","",IFERROR(OFFSET($BZ$11,0,MATCH($K96,$CA96:$FV96,0),),""))</f>
        <v/>
      </c>
      <c r="N96" s="119">
        <f t="array" ref="N96">IF(K96="","",INDIRECT("'GRD-"&amp;M96&amp;"'!$L$7"))</f>
        <v/>
      </c>
      <c r="O96" s="76">
        <f t="array" ref="O96">IFERROR(OFFSET($BZ$11,ROW($B96)-11,MATCH(O$10,$CA96:$FV96,0),),"")</f>
        <v/>
      </c>
      <c r="P96" s="76">
        <f>IF(O96="","",IF(VLOOKUP($B96,INDIRECT("'GRD-"&amp;Q96&amp;"'!$B:$R"),16,FALSE)="","",VLOOKUP($B96,INDIRECT("'GRD-"&amp;Q96&amp;"'!$B:$R"),16,FALSE)))</f>
        <v/>
      </c>
      <c r="Q96" s="132">
        <f t="array" ref="Q96">IF(O96="","",IFERROR(OFFSET($BZ$11,0,MATCH($O96,$CA96:$FV96,0),),""))</f>
        <v/>
      </c>
      <c r="R96" s="121">
        <f t="array" ref="R96">IF(O96="","",INDIRECT("'GRD-"&amp;Q96&amp;"'!$L$7"))</f>
        <v/>
      </c>
      <c r="S96" s="83">
        <f t="array" ref="S96">IFERROR(OFFSET($BZ$11,ROW($B96)-11,MATCH(S$10,$CA96:$FV96,0),),"")</f>
        <v/>
      </c>
      <c r="T96" s="83">
        <f>IF(S96="","",IF(VLOOKUP($B96,INDIRECT("'GRD-"&amp;U96&amp;"'!$B:$R"),16,FALSE)="","",VLOOKUP($B96,INDIRECT("'GRD-"&amp;U96&amp;"'!$B:$R"),16,FALSE)))</f>
        <v/>
      </c>
      <c r="U96" s="128">
        <f t="array" ref="U96">IF(S96="","",IFERROR(OFFSET($BZ$11,0,MATCH($S96,$CA96:$FV96,0),),""))</f>
        <v/>
      </c>
      <c r="V96" s="133">
        <f t="array" ref="V96">IF(S96="","",INDIRECT("'GRD-"&amp;U96&amp;"'!$L$7"))</f>
        <v/>
      </c>
      <c r="W96" s="84">
        <f t="array" ref="W96">IFERROR(OFFSET($BZ$11,ROW($B96)-11,MATCH(W$10,$CA96:$FV96,0),),"")</f>
        <v/>
      </c>
      <c r="X96" s="84">
        <f>IF(W96="","",IF(VLOOKUP($B96,INDIRECT("'GRD-"&amp;Y96&amp;"'!$B:$R"),16,FALSE)="","",VLOOKUP($B96,INDIRECT("'GRD-"&amp;Y96&amp;"'!$B:$R"),16,FALSE)))</f>
        <v/>
      </c>
      <c r="Y96" s="129">
        <f t="array" ref="Y96">IF(W96="","",IFERROR(OFFSET($BZ$11,0,MATCH($W96,$CA96:$FV96,0),),""))</f>
        <v/>
      </c>
      <c r="Z96" s="134">
        <f t="array" ref="Z96">IF(W96="","",INDIRECT("'GRD-"&amp;Y96&amp;"'!$L$7"))</f>
        <v/>
      </c>
      <c r="AA96" s="85">
        <f t="array" ref="AA96">IFERROR(OFFSET($BZ$11,ROW($B96)-11,MATCH(AA$10,$CA96:$FV96,0),),"")</f>
        <v/>
      </c>
      <c r="AB96" s="85">
        <f>IF(AA96="","",IF(VLOOKUP($B96,INDIRECT("'GRD-"&amp;AC96&amp;"'!$B:$R"),16,FALSE)="","",VLOOKUP($B96,INDIRECT("'GRD-"&amp;AC96&amp;"'!$B:$R"),16,FALSE)))</f>
        <v/>
      </c>
      <c r="AC96" s="130">
        <f t="array" ref="AC96">IF(AA96="","",IFERROR(OFFSET($BZ$11,0,MATCH($AA96,$CA96:$FV96,0),),""))</f>
        <v/>
      </c>
      <c r="AD96" s="131">
        <f t="array" ref="AD96">IF(AA96="","",INDIRECT("'GRD-"&amp;AC96&amp;"'!$L$7"))</f>
        <v/>
      </c>
      <c r="AE96" s="76">
        <f t="array" ref="AE96">IFERROR(OFFSET($BZ$11,ROW($B96)-11,MATCH(AE$10,$CA96:$FV96,0),),"")</f>
        <v/>
      </c>
      <c r="AF96" s="76">
        <f>IF(AE96="","",IF(VLOOKUP($B96,INDIRECT("'GRD-"&amp;AG96&amp;"'!$B:$R"),16,FALSE)="","",VLOOKUP($B96,INDIRECT("'GRD-"&amp;AG96&amp;"'!$B:$R"),16,FALSE)))</f>
        <v/>
      </c>
      <c r="AG96" s="132">
        <f t="array" ref="AG96">IF(AE96="","",IFERROR(OFFSET($BZ$11,0,MATCH($AE96,$CA96:$FV96,0),),""))</f>
        <v/>
      </c>
      <c r="AH96" s="121">
        <f t="array" ref="AH96">IF(AE96="","",INDIRECT("'GRD-"&amp;AG96&amp;"'!$L$7"))</f>
        <v/>
      </c>
      <c r="AI96" s="83">
        <f t="array" ref="AI96">IFERROR(OFFSET($BZ$11,ROW($B96)-11,MATCH(AI$10,$CA96:$FV96,0),),"")</f>
        <v/>
      </c>
      <c r="AJ96" s="83">
        <f>IF(AI96="","",IF(VLOOKUP($B96,INDIRECT("'GRD-"&amp;AK96&amp;"'!$B:$R"),16,FALSE)="","",VLOOKUP($B96,INDIRECT("'GRD-"&amp;AK96&amp;"'!$B:$R"),16,FALSE)))</f>
        <v/>
      </c>
      <c r="AK96" s="128">
        <f t="array" ref="AK96">IF(AI96="","",IFERROR(OFFSET($BZ$11,0,MATCH($AI96,$CA96:$FV96,0),),""))</f>
        <v/>
      </c>
      <c r="AL96" s="133">
        <f t="array" ref="AL96">IF(AI96="","",INDIRECT("'GRD-"&amp;AK96&amp;"'!$L$7"))</f>
        <v/>
      </c>
      <c r="AM96" s="84">
        <f t="array" ref="AM96">IFERROR(OFFSET($BZ$11,ROW($B96)-11,MATCH(AM$10,$CA96:$FV96,0),),"")</f>
        <v/>
      </c>
      <c r="AN96" s="84">
        <f>IF(AM96="","",IF(VLOOKUP($B96,INDIRECT("'GRD-"&amp;AO96&amp;"'!$B:$R"),16,FALSE)="","",VLOOKUP($B96,INDIRECT("'GRD-"&amp;AO96&amp;"'!$B:$R"),16,FALSE)))</f>
        <v/>
      </c>
      <c r="AO96" s="129">
        <f t="array" ref="AO96">IF(AM96="","",IFERROR(OFFSET($BZ$11,0,MATCH($AM96,$CA96:$FV96,0),),""))</f>
        <v/>
      </c>
      <c r="AP96" s="134">
        <f t="array" ref="AP96">IF(AM96="","",INDIRECT("'GRD-"&amp;AO96&amp;"'!$L$7"))</f>
        <v/>
      </c>
      <c r="AQ96" s="85">
        <f t="array" ref="AQ96">IFERROR(OFFSET($BZ$11,ROW($B96)-11,MATCH(AQ$10,$CA96:$FV96,0),),"")</f>
        <v/>
      </c>
      <c r="AR96" s="85">
        <f>IF(AQ96="","",IF(VLOOKUP($B96,INDIRECT("'GRD-"&amp;AS96&amp;"'!$B:$R"),16,FALSE)="","",VLOOKUP($B96,INDIRECT("'GRD-"&amp;AS96&amp;"'!$B:$R"),16,FALSE)))</f>
        <v/>
      </c>
      <c r="AS96" s="130">
        <f t="array" ref="AS96">IF(AQ96="","",IFERROR(OFFSET($BZ$11,0,MATCH($AQ96,$CA96:$FV96,0),),""))</f>
        <v/>
      </c>
      <c r="AT96" s="131">
        <f t="array" ref="AT96">IF(AQ96="","",INDIRECT("'GRD-"&amp;AS96&amp;"'!$L$7"))</f>
        <v/>
      </c>
      <c r="AU96" s="76">
        <f t="array" ref="AU96">IFERROR(OFFSET($BZ$11,ROW($B96)-11,MATCH(AU$10,$CA96:$FV96,0),),"")</f>
        <v/>
      </c>
      <c r="AV96" s="76">
        <f>IF(AU96="","",IF(VLOOKUP($B96,INDIRECT("'GRD-"&amp;AW96&amp;"'!$B:$R"),16,FALSE)="","",VLOOKUP($B96,INDIRECT("'GRD-"&amp;AW96&amp;"'!$B:$R"),16,FALSE)))</f>
        <v/>
      </c>
      <c r="AW96" s="132">
        <f t="array" ref="AW96">IF(AU96="","",IFERROR(OFFSET($BZ$11,0,MATCH($AU96,$CA96:$FV96,0),),""))</f>
        <v/>
      </c>
      <c r="AX96" s="121">
        <f t="array" ref="AX96">IF(AU96="","",INDIRECT("'GRD-"&amp;AW96&amp;"'!$L$7"))</f>
        <v/>
      </c>
      <c r="AY96" s="83">
        <f t="array" ref="AY96">IFERROR(OFFSET($BZ$11,ROW($B96)-11,MATCH(AY$10,$CA96:$FV96,0),),"")</f>
        <v/>
      </c>
      <c r="AZ96" s="83">
        <f>IF(AY96="","",IF(VLOOKUP($B96,INDIRECT("'GRD-"&amp;BA96&amp;"'!$B:$R"),16,FALSE)="","",VLOOKUP($B96,INDIRECT("'GRD-"&amp;BA96&amp;"'!$B:$R"),16,FALSE)))</f>
        <v/>
      </c>
      <c r="BA96" s="128">
        <f t="array" ref="BA96">IF(AY96="","",IFERROR(OFFSET($BZ$11,0,MATCH($AY96,$CA96:$FV96,0),),""))</f>
        <v/>
      </c>
      <c r="BB96" s="133">
        <f t="array" ref="BB96">IF(AY96="","",INDIRECT("'GRD-"&amp;BA96&amp;"'!$L$7"))</f>
        <v/>
      </c>
      <c r="BC96" s="84">
        <f t="array" ref="BC96">IFERROR(OFFSET($BZ$11,ROW($B96)-11,MATCH(BC$10,$CA96:$FV96,0),),"")</f>
        <v/>
      </c>
      <c r="BD96" s="84">
        <f>IF(BC96="","",IF(VLOOKUP($B96,INDIRECT("'GRD-"&amp;BE96&amp;"'!$B:$R"),16,FALSE)="","",VLOOKUP($B96,INDIRECT("'GRD-"&amp;BE96&amp;"'!$B:$R"),16,FALSE)))</f>
        <v/>
      </c>
      <c r="BE96" s="129">
        <f t="array" ref="BE96">IF(BC96="","",IFERROR(OFFSET($BZ$11,0,MATCH($BC96,$CA96:$FV96,0),),""))</f>
        <v/>
      </c>
      <c r="BF96" s="134">
        <f t="array" ref="BF96">IF(BC96="","",INDIRECT("'GRD-"&amp;BE96&amp;"'!$L$7"))</f>
        <v/>
      </c>
      <c r="CA96" s="96">
        <f>IFERROR(VLOOKUP($B96,INDIRECT("'GRD-"&amp;CA$11&amp;"'!B:R"),15,FALSE),"")</f>
        <v/>
      </c>
      <c r="CB96" s="96">
        <f>IFERROR(VLOOKUP($B96,INDIRECT("'GRD-"&amp;CB$11&amp;"'!B:R"),15,FALSE),"")</f>
        <v/>
      </c>
      <c r="CC96" s="96">
        <f>IFERROR(VLOOKUP($B96,INDIRECT("'GRD-"&amp;CC$11&amp;"'!B:R"),15,FALSE),"")</f>
        <v/>
      </c>
      <c r="CD96" s="96">
        <f>IFERROR(VLOOKUP($B96,INDIRECT("'GRD-"&amp;CD$11&amp;"'!B:R"),15,FALSE),"")</f>
        <v/>
      </c>
      <c r="CE96" s="96">
        <f>IFERROR(VLOOKUP($B96,INDIRECT("'GRD-"&amp;CE$11&amp;"'!B:R"),15,FALSE),"")</f>
        <v/>
      </c>
      <c r="CF96" s="96">
        <f>IFERROR(VLOOKUP($B96,INDIRECT("'GRD-"&amp;CF$11&amp;"'!B:R"),15,FALSE),"")</f>
        <v/>
      </c>
      <c r="CG96" s="96">
        <f>IFERROR(VLOOKUP($B96,INDIRECT("'GRD-"&amp;CG$11&amp;"'!B:R"),15,FALSE),"")</f>
        <v/>
      </c>
      <c r="CH96" s="96">
        <f>IFERROR(VLOOKUP($B96,INDIRECT("'GRD-"&amp;CH$11&amp;"'!B:R"),15,FALSE),"")</f>
        <v/>
      </c>
      <c r="CI96" s="96">
        <f>IFERROR(VLOOKUP($B96,INDIRECT("'GRD-"&amp;CI$11&amp;"'!B:R"),15,FALSE),"")</f>
        <v/>
      </c>
      <c r="CJ96" s="96">
        <f>IFERROR(VLOOKUP($B96,INDIRECT("'GRD-"&amp;CJ$11&amp;"'!B:R"),15,FALSE),"")</f>
        <v/>
      </c>
      <c r="CK96" s="96">
        <f>IFERROR(VLOOKUP($B96,INDIRECT("'GRD-"&amp;CK$11&amp;"'!B:R"),15,FALSE),"")</f>
        <v/>
      </c>
      <c r="CL96" s="96">
        <f>IFERROR(VLOOKUP($B96,INDIRECT("'GRD-"&amp;CL$11&amp;"'!B:R"),15,FALSE),"")</f>
        <v/>
      </c>
      <c r="CM96" s="96">
        <f>IFERROR(VLOOKUP($B96,INDIRECT("'GRD-"&amp;CM$11&amp;"'!B:R"),15,FALSE),"")</f>
        <v/>
      </c>
      <c r="CN96" s="96">
        <f>IFERROR(VLOOKUP($B96,INDIRECT("'GRD-"&amp;CN$11&amp;"'!B:R"),15,FALSE),"")</f>
        <v/>
      </c>
      <c r="CO96" s="96">
        <f>IFERROR(VLOOKUP($B96,INDIRECT("'GRD-"&amp;CO$11&amp;"'!B:R"),15,FALSE),"")</f>
        <v/>
      </c>
      <c r="CP96" s="96">
        <f>IFERROR(VLOOKUP($B96,INDIRECT("'GRD-"&amp;CP$11&amp;"'!B:R"),15,FALSE),"")</f>
        <v/>
      </c>
      <c r="CQ96" s="96">
        <f>IFERROR(VLOOKUP($B96,INDIRECT("'GRD-"&amp;CQ$11&amp;"'!B:R"),15,FALSE),"")</f>
        <v/>
      </c>
      <c r="CR96" s="96">
        <f>IFERROR(VLOOKUP($B96,INDIRECT("'GRD-"&amp;CR$11&amp;"'!B:R"),15,FALSE),"")</f>
        <v/>
      </c>
      <c r="CS96" s="96">
        <f>IFERROR(VLOOKUP($B96,INDIRECT("'GRD-"&amp;CS$11&amp;"'!B:R"),15,FALSE),"")</f>
        <v/>
      </c>
      <c r="CT96" s="96">
        <f>IFERROR(VLOOKUP($B96,INDIRECT("'GRD-"&amp;CT$11&amp;"'!B:R"),15,FALSE),"")</f>
        <v/>
      </c>
      <c r="CU96" s="96">
        <f>IFERROR(VLOOKUP($B96,INDIRECT("'GRD-"&amp;CU$11&amp;"'!B:R"),15,FALSE),"")</f>
        <v/>
      </c>
      <c r="CV96" s="96">
        <f>IFERROR(VLOOKUP($B96,INDIRECT("'GRD-"&amp;CV$11&amp;"'!B:R"),15,FALSE),"")</f>
        <v/>
      </c>
      <c r="CW96" s="96">
        <f>IFERROR(VLOOKUP($B96,INDIRECT("'GRD-"&amp;CW$11&amp;"'!B:R"),15,FALSE),"")</f>
        <v/>
      </c>
      <c r="CX96" s="96">
        <f>IFERROR(VLOOKUP($B96,INDIRECT("'GRD-"&amp;CX$11&amp;"'!B:R"),15,FALSE),"")</f>
        <v/>
      </c>
      <c r="CY96" s="96">
        <f>IFERROR(VLOOKUP($B96,INDIRECT("'GRD-"&amp;CY$11&amp;"'!B:R"),15,FALSE),"")</f>
        <v/>
      </c>
      <c r="CZ96" s="96">
        <f>IFERROR(VLOOKUP($B96,INDIRECT("'GRD-"&amp;CZ$11&amp;"'!B:R"),15,FALSE),"")</f>
        <v/>
      </c>
      <c r="DA96" s="96">
        <f>IFERROR(VLOOKUP($B96,INDIRECT("'GRD-"&amp;DA$11&amp;"'!B:R"),15,FALSE),"")</f>
        <v/>
      </c>
      <c r="DB96" s="96">
        <f>IFERROR(VLOOKUP($B96,INDIRECT("'GRD-"&amp;DB$11&amp;"'!B:R"),15,FALSE),"")</f>
        <v/>
      </c>
      <c r="DC96" s="96">
        <f>IFERROR(VLOOKUP($B96,INDIRECT("'GRD-"&amp;DC$11&amp;"'!B:R"),15,FALSE),"")</f>
        <v/>
      </c>
      <c r="DD96" s="96">
        <f>IFERROR(VLOOKUP($B96,INDIRECT("'GRD-"&amp;DD$11&amp;"'!B:R"),15,FALSE),"")</f>
        <v/>
      </c>
      <c r="DE96" s="96">
        <f>IFERROR(VLOOKUP($B96,INDIRECT("'GRD-"&amp;DE$11&amp;"'!B:R"),15,FALSE),"")</f>
        <v/>
      </c>
      <c r="DF96" s="96">
        <f>IFERROR(VLOOKUP($B96,INDIRECT("'GRD-"&amp;DF$11&amp;"'!B:R"),15,FALSE),"")</f>
        <v/>
      </c>
      <c r="DG96" s="96">
        <f>IFERROR(VLOOKUP($B96,INDIRECT("'GRD-"&amp;DG$11&amp;"'!B:R"),15,FALSE),"")</f>
        <v/>
      </c>
      <c r="DH96" s="96">
        <f>IFERROR(VLOOKUP($B96,INDIRECT("'GRD-"&amp;DH$11&amp;"'!B:R"),15,FALSE),"")</f>
        <v/>
      </c>
      <c r="DI96" s="96">
        <f>IFERROR(VLOOKUP($B96,INDIRECT("'GRD-"&amp;DI$11&amp;"'!B:R"),15,FALSE),"")</f>
        <v/>
      </c>
      <c r="DJ96" s="96">
        <f>IFERROR(VLOOKUP($B96,INDIRECT("'GRD-"&amp;DJ$11&amp;"'!B:R"),15,FALSE),"")</f>
        <v/>
      </c>
      <c r="DK96" s="96">
        <f>IFERROR(VLOOKUP($B96,INDIRECT("'GRD-"&amp;DK$11&amp;"'!B:R"),15,FALSE),"")</f>
        <v/>
      </c>
      <c r="DL96" s="96">
        <f>IFERROR(VLOOKUP($B96,INDIRECT("'GRD-"&amp;DL$11&amp;"'!B:R"),15,FALSE),"")</f>
        <v/>
      </c>
      <c r="DM96" s="96">
        <f>IFERROR(VLOOKUP($B96,INDIRECT("'GRD-"&amp;DM$11&amp;"'!B:R"),15,FALSE),"")</f>
        <v/>
      </c>
      <c r="DN96" s="96">
        <f>IFERROR(VLOOKUP($B96,INDIRECT("'GRD-"&amp;DN$11&amp;"'!B:R"),15,FALSE),"")</f>
        <v/>
      </c>
      <c r="DO96" s="96">
        <f>IFERROR(VLOOKUP($B96,INDIRECT("'GRD-"&amp;DO$11&amp;"'!B:R"),15,FALSE),"")</f>
        <v/>
      </c>
      <c r="DP96" s="96">
        <f>IFERROR(VLOOKUP($B96,INDIRECT("'GRD-"&amp;DP$11&amp;"'!B:R"),15,FALSE),"")</f>
        <v/>
      </c>
      <c r="DQ96" s="96">
        <f>IFERROR(VLOOKUP($B96,INDIRECT("'GRD-"&amp;DQ$11&amp;"'!B:R"),15,FALSE),"")</f>
        <v/>
      </c>
      <c r="DR96" s="96">
        <f>IFERROR(VLOOKUP($B96,INDIRECT("'GRD-"&amp;DR$11&amp;"'!B:R"),15,FALSE),"")</f>
        <v/>
      </c>
      <c r="DS96" s="96">
        <f>IFERROR(VLOOKUP($B96,INDIRECT("'GRD-"&amp;DS$11&amp;"'!B:R"),15,FALSE),"")</f>
        <v/>
      </c>
      <c r="DT96" s="96">
        <f>IFERROR(VLOOKUP($B96,INDIRECT("'GRD-"&amp;DT$11&amp;"'!B:R"),15,FALSE),"")</f>
        <v/>
      </c>
      <c r="DU96" s="96">
        <f>IFERROR(VLOOKUP($B96,INDIRECT("'GRD-"&amp;DU$11&amp;"'!B:R"),15,FALSE),"")</f>
        <v/>
      </c>
      <c r="DV96" s="96">
        <f>IFERROR(VLOOKUP($B96,INDIRECT("'GRD-"&amp;DV$11&amp;"'!B:R"),15,FALSE),"")</f>
        <v/>
      </c>
      <c r="DW96" s="96">
        <f>IFERROR(VLOOKUP($B96,INDIRECT("'GRD-"&amp;DW$11&amp;"'!B:R"),15,FALSE),"")</f>
        <v/>
      </c>
      <c r="DX96" s="96">
        <f>IFERROR(VLOOKUP($B96,INDIRECT("'GRD-"&amp;DX$11&amp;"'!B:R"),15,FALSE),"")</f>
        <v/>
      </c>
      <c r="DY96" s="96">
        <f>IFERROR(VLOOKUP($B96,INDIRECT("'GRD-"&amp;DY$11&amp;"'!B:R"),15,FALSE),"")</f>
        <v/>
      </c>
      <c r="DZ96" s="96">
        <f>IFERROR(VLOOKUP($B96,INDIRECT("'GRD-"&amp;DZ$11&amp;"'!B:R"),15,FALSE),"")</f>
        <v/>
      </c>
      <c r="EA96" s="96">
        <f>IFERROR(VLOOKUP($B96,INDIRECT("'GRD-"&amp;EA$11&amp;"'!B:R"),15,FALSE),"")</f>
        <v/>
      </c>
      <c r="EB96" s="96">
        <f>IFERROR(VLOOKUP($B96,INDIRECT("'GRD-"&amp;EB$11&amp;"'!B:R"),15,FALSE),"")</f>
        <v/>
      </c>
      <c r="EC96" s="96">
        <f>IFERROR(VLOOKUP($B96,INDIRECT("'GRD-"&amp;EC$11&amp;"'!B:R"),15,FALSE),"")</f>
        <v/>
      </c>
      <c r="ED96" s="96">
        <f>IFERROR(VLOOKUP($B96,INDIRECT("'GRD-"&amp;ED$11&amp;"'!B:R"),15,FALSE),"")</f>
        <v/>
      </c>
      <c r="EE96" s="96">
        <f>IFERROR(VLOOKUP($B96,INDIRECT("'GRD-"&amp;EE$11&amp;"'!B:R"),15,FALSE),"")</f>
        <v/>
      </c>
      <c r="EF96" s="96">
        <f>IFERROR(VLOOKUP($B96,INDIRECT("'GRD-"&amp;EF$11&amp;"'!B:R"),15,FALSE),"")</f>
        <v/>
      </c>
      <c r="EG96" s="96">
        <f>IFERROR(VLOOKUP($B96,INDIRECT("'GRD-"&amp;EG$11&amp;"'!B:R"),15,FALSE),"")</f>
        <v/>
      </c>
      <c r="EH96" s="96">
        <f>IFERROR(VLOOKUP($B96,INDIRECT("'GRD-"&amp;EH$11&amp;"'!B:R"),15,FALSE),"")</f>
        <v/>
      </c>
      <c r="EI96" s="96">
        <f>IFERROR(VLOOKUP($B96,INDIRECT("'GRD-"&amp;EI$11&amp;"'!B:R"),15,FALSE),"")</f>
        <v/>
      </c>
      <c r="EJ96" s="96">
        <f>IFERROR(VLOOKUP($B96,INDIRECT("'GRD-"&amp;EJ$11&amp;"'!B:R"),15,FALSE),"")</f>
        <v/>
      </c>
      <c r="EK96" s="96">
        <f>IFERROR(VLOOKUP($B96,INDIRECT("'GRD-"&amp;EK$11&amp;"'!B:R"),15,FALSE),"")</f>
        <v/>
      </c>
      <c r="EL96" s="96">
        <f>IFERROR(VLOOKUP($B96,INDIRECT("'GRD-"&amp;EL$11&amp;"'!B:R"),15,FALSE),"")</f>
        <v/>
      </c>
      <c r="EM96" s="96">
        <f>IFERROR(VLOOKUP($B96,INDIRECT("'GRD-"&amp;EM$11&amp;"'!B:R"),15,FALSE),"")</f>
        <v/>
      </c>
      <c r="EN96" s="96">
        <f>IFERROR(VLOOKUP($B96,INDIRECT("'GRD-"&amp;EN$11&amp;"'!B:R"),15,FALSE),"")</f>
        <v/>
      </c>
      <c r="EO96" s="96">
        <f>IFERROR(VLOOKUP($B96,INDIRECT("'GRD-"&amp;EO$11&amp;"'!B:R"),15,FALSE),"")</f>
        <v/>
      </c>
      <c r="EP96" s="96">
        <f>IFERROR(VLOOKUP($B96,INDIRECT("'GRD-"&amp;EP$11&amp;"'!B:R"),15,FALSE),"")</f>
        <v/>
      </c>
      <c r="EQ96" s="96">
        <f>IFERROR(VLOOKUP($B96,INDIRECT("'GRD-"&amp;EQ$11&amp;"'!B:R"),15,FALSE),"")</f>
        <v/>
      </c>
      <c r="ER96" s="96">
        <f>IFERROR(VLOOKUP($B96,INDIRECT("'GRD-"&amp;ER$11&amp;"'!B:R"),15,FALSE),"")</f>
        <v/>
      </c>
      <c r="ES96" s="96">
        <f>IFERROR(VLOOKUP($B96,INDIRECT("'GRD-"&amp;ES$11&amp;"'!B:R"),15,FALSE),"")</f>
        <v/>
      </c>
      <c r="ET96" s="96">
        <f>IFERROR(VLOOKUP($B96,INDIRECT("'GRD-"&amp;ET$11&amp;"'!B:R"),15,FALSE),"")</f>
        <v/>
      </c>
      <c r="EU96" s="96">
        <f>IFERROR(VLOOKUP($B96,INDIRECT("'GRD-"&amp;EU$11&amp;"'!B:R"),15,FALSE),"")</f>
        <v/>
      </c>
      <c r="EV96" s="96">
        <f>IFERROR(VLOOKUP($B96,INDIRECT("'GRD-"&amp;EV$11&amp;"'!B:R"),15,FALSE),"")</f>
        <v/>
      </c>
      <c r="EW96" s="96">
        <f>IFERROR(VLOOKUP($B96,INDIRECT("'GRD-"&amp;EW$11&amp;"'!B:R"),15,FALSE),"")</f>
        <v/>
      </c>
      <c r="EX96" s="96">
        <f>IFERROR(VLOOKUP($B96,INDIRECT("'GRD-"&amp;EX$11&amp;"'!B:R"),15,FALSE),"")</f>
        <v/>
      </c>
      <c r="EY96" s="96">
        <f>IFERROR(VLOOKUP($B96,INDIRECT("'GRD-"&amp;EY$11&amp;"'!B:R"),15,FALSE),"")</f>
        <v/>
      </c>
      <c r="EZ96" s="96">
        <f>IFERROR(VLOOKUP($B96,INDIRECT("'GRD-"&amp;EZ$11&amp;"'!B:R"),15,FALSE),"")</f>
        <v/>
      </c>
      <c r="FA96" s="96">
        <f>IFERROR(VLOOKUP($B96,INDIRECT("'GRD-"&amp;FA$11&amp;"'!B:R"),15,FALSE),"")</f>
        <v/>
      </c>
      <c r="FB96" s="96">
        <f>IFERROR(VLOOKUP($B96,INDIRECT("'GRD-"&amp;FB$11&amp;"'!B:R"),15,FALSE),"")</f>
        <v/>
      </c>
      <c r="FC96" s="96">
        <f>IFERROR(VLOOKUP($B96,INDIRECT("'GRD-"&amp;FC$11&amp;"'!B:R"),15,FALSE),"")</f>
        <v/>
      </c>
      <c r="FD96" s="96">
        <f>IFERROR(VLOOKUP($B96,INDIRECT("'GRD-"&amp;FD$11&amp;"'!B:R"),15,FALSE),"")</f>
        <v/>
      </c>
      <c r="FE96" s="96">
        <f>IFERROR(VLOOKUP($B96,INDIRECT("'GRD-"&amp;FE$11&amp;"'!B:R"),15,FALSE),"")</f>
        <v/>
      </c>
      <c r="FF96" s="96">
        <f>IFERROR(VLOOKUP($B96,INDIRECT("'GRD-"&amp;FF$11&amp;"'!B:R"),15,FALSE),"")</f>
        <v/>
      </c>
      <c r="FG96" s="96">
        <f>IFERROR(VLOOKUP($B96,INDIRECT("'GRD-"&amp;FG$11&amp;"'!B:R"),15,FALSE),"")</f>
        <v/>
      </c>
      <c r="FH96" s="96">
        <f>IFERROR(VLOOKUP($B96,INDIRECT("'GRD-"&amp;FH$11&amp;"'!B:R"),15,FALSE),"")</f>
        <v/>
      </c>
      <c r="FI96" s="96">
        <f>IFERROR(VLOOKUP($B96,INDIRECT("'GRD-"&amp;FI$11&amp;"'!B:R"),15,FALSE),"")</f>
        <v/>
      </c>
      <c r="FJ96" s="96">
        <f>IFERROR(VLOOKUP($B96,INDIRECT("'GRD-"&amp;FJ$11&amp;"'!B:R"),15,FALSE),"")</f>
        <v/>
      </c>
      <c r="FK96" s="96">
        <f>IFERROR(VLOOKUP($B96,INDIRECT("'GRD-"&amp;FK$11&amp;"'!B:R"),15,FALSE),"")</f>
        <v/>
      </c>
      <c r="FL96" s="96">
        <f>IFERROR(VLOOKUP($B96,INDIRECT("'GRD-"&amp;FL$11&amp;"'!B:R"),15,FALSE),"")</f>
        <v/>
      </c>
      <c r="FM96" s="96">
        <f>IFERROR(VLOOKUP($B96,INDIRECT("'GRD-"&amp;FM$11&amp;"'!B:R"),15,FALSE),"")</f>
        <v/>
      </c>
      <c r="FN96" s="96">
        <f>IFERROR(VLOOKUP($B96,INDIRECT("'GRD-"&amp;FN$11&amp;"'!B:R"),15,FALSE),"")</f>
        <v/>
      </c>
      <c r="FO96" s="96">
        <f>IFERROR(VLOOKUP($B96,INDIRECT("'GRD-"&amp;FO$11&amp;"'!B:R"),15,FALSE),"")</f>
        <v/>
      </c>
      <c r="FP96" s="96">
        <f>IFERROR(VLOOKUP($B96,INDIRECT("'GRD-"&amp;FP$11&amp;"'!B:R"),15,FALSE),"")</f>
        <v/>
      </c>
      <c r="FQ96" s="96">
        <f>IFERROR(VLOOKUP($B96,INDIRECT("'GRD-"&amp;FQ$11&amp;"'!B:R"),15,FALSE),"")</f>
        <v/>
      </c>
      <c r="FR96" s="96">
        <f>IFERROR(VLOOKUP($B96,INDIRECT("'GRD-"&amp;FR$11&amp;"'!B:R"),15,FALSE),"")</f>
        <v/>
      </c>
      <c r="FS96" s="96">
        <f>IFERROR(VLOOKUP($B96,INDIRECT("'GRD-"&amp;FS$11&amp;"'!B:R"),15,FALSE),"")</f>
        <v/>
      </c>
      <c r="FT96" s="96">
        <f>IFERROR(VLOOKUP($B96,INDIRECT("'GRD-"&amp;FT$11&amp;"'!B:R"),15,FALSE),"")</f>
        <v/>
      </c>
      <c r="FU96" s="96">
        <f>IFERROR(VLOOKUP($B96,INDIRECT("'GRD-"&amp;FU$11&amp;"'!B:R"),15,FALSE),"")</f>
        <v/>
      </c>
      <c r="FV96" s="96">
        <f>IFERROR(VLOOKUP($B96,INDIRECT("'GRD-"&amp;FV$11&amp;"'!B:R"),15,FALSE),"")</f>
        <v/>
      </c>
    </row>
    <row r="97">
      <c r="B97" s="85" t="n"/>
      <c r="C97" s="93" t="n"/>
      <c r="D97" s="73">
        <f>IF(K97="","",MAX($CA97:$FV97))</f>
        <v/>
      </c>
      <c r="E97" s="74">
        <f t="array" ref="E97">IF($K97="","",OFFSET($A$1,ROW($B97)-1,11+$D97*4,))</f>
        <v/>
      </c>
      <c r="F97" s="74">
        <f t="array" ref="F97">IF($K97="","",OFFSET($A$1,ROW($B97)-1,12+$D97*4,))</f>
        <v/>
      </c>
      <c r="G97" s="118">
        <f t="array" ref="G97">IF($K97="","",OFFSET($A$1,ROW($B97)-1,13+$D97*4,))</f>
        <v/>
      </c>
      <c r="H97" s="81" t="n"/>
      <c r="I97" s="82" t="n"/>
      <c r="J97" s="75">
        <f>IF(I97="A4",H97/8,IF(I97="A3",H97/4,IF(I97="A2",H97/2,IF(I97="A1",H97/1,IF(I97="A0",H97*2,"")))))</f>
        <v/>
      </c>
      <c r="K97" s="68">
        <f t="array" ref="K97">IFERROR(OFFSET($BZ$11,ROW($B97)-11,MATCH(K$10,$CA97:$FV97,0),),"")</f>
        <v/>
      </c>
      <c r="L97" s="85">
        <f>IF(K97="","",IF(VLOOKUP($B97,INDIRECT("'GRD-"&amp;M97&amp;"'!$B:$R"),16,FALSE)="","",VLOOKUP($B97,INDIRECT("'GRD-"&amp;M97&amp;"'!$B:$R"),16,FALSE)))</f>
        <v/>
      </c>
      <c r="M97" s="130">
        <f t="array" ref="M97">IF(K97="","",IFERROR(OFFSET($BZ$11,0,MATCH($K97,$CA97:$FV97,0),),""))</f>
        <v/>
      </c>
      <c r="N97" s="119">
        <f t="array" ref="N97">IF(K97="","",INDIRECT("'GRD-"&amp;M97&amp;"'!$L$7"))</f>
        <v/>
      </c>
      <c r="O97" s="76">
        <f t="array" ref="O97">IFERROR(OFFSET($BZ$11,ROW($B97)-11,MATCH(O$10,$CA97:$FV97,0),),"")</f>
        <v/>
      </c>
      <c r="P97" s="76">
        <f>IF(O97="","",IF(VLOOKUP($B97,INDIRECT("'GRD-"&amp;Q97&amp;"'!$B:$R"),16,FALSE)="","",VLOOKUP($B97,INDIRECT("'GRD-"&amp;Q97&amp;"'!$B:$R"),16,FALSE)))</f>
        <v/>
      </c>
      <c r="Q97" s="132">
        <f t="array" ref="Q97">IF(O97="","",IFERROR(OFFSET($BZ$11,0,MATCH($O97,$CA97:$FV97,0),),""))</f>
        <v/>
      </c>
      <c r="R97" s="121">
        <f t="array" ref="R97">IF(O97="","",INDIRECT("'GRD-"&amp;Q97&amp;"'!$L$7"))</f>
        <v/>
      </c>
      <c r="S97" s="83">
        <f t="array" ref="S97">IFERROR(OFFSET($BZ$11,ROW($B97)-11,MATCH(S$10,$CA97:$FV97,0),),"")</f>
        <v/>
      </c>
      <c r="T97" s="83">
        <f>IF(S97="","",IF(VLOOKUP($B97,INDIRECT("'GRD-"&amp;U97&amp;"'!$B:$R"),16,FALSE)="","",VLOOKUP($B97,INDIRECT("'GRD-"&amp;U97&amp;"'!$B:$R"),16,FALSE)))</f>
        <v/>
      </c>
      <c r="U97" s="128">
        <f t="array" ref="U97">IF(S97="","",IFERROR(OFFSET($BZ$11,0,MATCH($S97,$CA97:$FV97,0),),""))</f>
        <v/>
      </c>
      <c r="V97" s="133">
        <f t="array" ref="V97">IF(S97="","",INDIRECT("'GRD-"&amp;U97&amp;"'!$L$7"))</f>
        <v/>
      </c>
      <c r="W97" s="84">
        <f t="array" ref="W97">IFERROR(OFFSET($BZ$11,ROW($B97)-11,MATCH(W$10,$CA97:$FV97,0),),"")</f>
        <v/>
      </c>
      <c r="X97" s="84">
        <f>IF(W97="","",IF(VLOOKUP($B97,INDIRECT("'GRD-"&amp;Y97&amp;"'!$B:$R"),16,FALSE)="","",VLOOKUP($B97,INDIRECT("'GRD-"&amp;Y97&amp;"'!$B:$R"),16,FALSE)))</f>
        <v/>
      </c>
      <c r="Y97" s="129">
        <f t="array" ref="Y97">IF(W97="","",IFERROR(OFFSET($BZ$11,0,MATCH($W97,$CA97:$FV97,0),),""))</f>
        <v/>
      </c>
      <c r="Z97" s="134">
        <f t="array" ref="Z97">IF(W97="","",INDIRECT("'GRD-"&amp;Y97&amp;"'!$L$7"))</f>
        <v/>
      </c>
      <c r="AA97" s="85">
        <f t="array" ref="AA97">IFERROR(OFFSET($BZ$11,ROW($B97)-11,MATCH(AA$10,$CA97:$FV97,0),),"")</f>
        <v/>
      </c>
      <c r="AB97" s="85">
        <f>IF(AA97="","",IF(VLOOKUP($B97,INDIRECT("'GRD-"&amp;AC97&amp;"'!$B:$R"),16,FALSE)="","",VLOOKUP($B97,INDIRECT("'GRD-"&amp;AC97&amp;"'!$B:$R"),16,FALSE)))</f>
        <v/>
      </c>
      <c r="AC97" s="130">
        <f t="array" ref="AC97">IF(AA97="","",IFERROR(OFFSET($BZ$11,0,MATCH($AA97,$CA97:$FV97,0),),""))</f>
        <v/>
      </c>
      <c r="AD97" s="131">
        <f t="array" ref="AD97">IF(AA97="","",INDIRECT("'GRD-"&amp;AC97&amp;"'!$L$7"))</f>
        <v/>
      </c>
      <c r="AE97" s="76">
        <f t="array" ref="AE97">IFERROR(OFFSET($BZ$11,ROW($B97)-11,MATCH(AE$10,$CA97:$FV97,0),),"")</f>
        <v/>
      </c>
      <c r="AF97" s="76">
        <f>IF(AE97="","",IF(VLOOKUP($B97,INDIRECT("'GRD-"&amp;AG97&amp;"'!$B:$R"),16,FALSE)="","",VLOOKUP($B97,INDIRECT("'GRD-"&amp;AG97&amp;"'!$B:$R"),16,FALSE)))</f>
        <v/>
      </c>
      <c r="AG97" s="132">
        <f t="array" ref="AG97">IF(AE97="","",IFERROR(OFFSET($BZ$11,0,MATCH($AE97,$CA97:$FV97,0),),""))</f>
        <v/>
      </c>
      <c r="AH97" s="121">
        <f t="array" ref="AH97">IF(AE97="","",INDIRECT("'GRD-"&amp;AG97&amp;"'!$L$7"))</f>
        <v/>
      </c>
      <c r="AI97" s="83">
        <f t="array" ref="AI97">IFERROR(OFFSET($BZ$11,ROW($B97)-11,MATCH(AI$10,$CA97:$FV97,0),),"")</f>
        <v/>
      </c>
      <c r="AJ97" s="83">
        <f>IF(AI97="","",IF(VLOOKUP($B97,INDIRECT("'GRD-"&amp;AK97&amp;"'!$B:$R"),16,FALSE)="","",VLOOKUP($B97,INDIRECT("'GRD-"&amp;AK97&amp;"'!$B:$R"),16,FALSE)))</f>
        <v/>
      </c>
      <c r="AK97" s="128">
        <f t="array" ref="AK97">IF(AI97="","",IFERROR(OFFSET($BZ$11,0,MATCH($AI97,$CA97:$FV97,0),),""))</f>
        <v/>
      </c>
      <c r="AL97" s="133">
        <f t="array" ref="AL97">IF(AI97="","",INDIRECT("'GRD-"&amp;AK97&amp;"'!$L$7"))</f>
        <v/>
      </c>
      <c r="AM97" s="84">
        <f t="array" ref="AM97">IFERROR(OFFSET($BZ$11,ROW($B97)-11,MATCH(AM$10,$CA97:$FV97,0),),"")</f>
        <v/>
      </c>
      <c r="AN97" s="84">
        <f>IF(AM97="","",IF(VLOOKUP($B97,INDIRECT("'GRD-"&amp;AO97&amp;"'!$B:$R"),16,FALSE)="","",VLOOKUP($B97,INDIRECT("'GRD-"&amp;AO97&amp;"'!$B:$R"),16,FALSE)))</f>
        <v/>
      </c>
      <c r="AO97" s="129">
        <f t="array" ref="AO97">IF(AM97="","",IFERROR(OFFSET($BZ$11,0,MATCH($AM97,$CA97:$FV97,0),),""))</f>
        <v/>
      </c>
      <c r="AP97" s="134">
        <f t="array" ref="AP97">IF(AM97="","",INDIRECT("'GRD-"&amp;AO97&amp;"'!$L$7"))</f>
        <v/>
      </c>
      <c r="AQ97" s="85">
        <f t="array" ref="AQ97">IFERROR(OFFSET($BZ$11,ROW($B97)-11,MATCH(AQ$10,$CA97:$FV97,0),),"")</f>
        <v/>
      </c>
      <c r="AR97" s="85">
        <f>IF(AQ97="","",IF(VLOOKUP($B97,INDIRECT("'GRD-"&amp;AS97&amp;"'!$B:$R"),16,FALSE)="","",VLOOKUP($B97,INDIRECT("'GRD-"&amp;AS97&amp;"'!$B:$R"),16,FALSE)))</f>
        <v/>
      </c>
      <c r="AS97" s="130">
        <f t="array" ref="AS97">IF(AQ97="","",IFERROR(OFFSET($BZ$11,0,MATCH($AQ97,$CA97:$FV97,0),),""))</f>
        <v/>
      </c>
      <c r="AT97" s="131">
        <f t="array" ref="AT97">IF(AQ97="","",INDIRECT("'GRD-"&amp;AS97&amp;"'!$L$7"))</f>
        <v/>
      </c>
      <c r="AU97" s="76">
        <f t="array" ref="AU97">IFERROR(OFFSET($BZ$11,ROW($B97)-11,MATCH(AU$10,$CA97:$FV97,0),),"")</f>
        <v/>
      </c>
      <c r="AV97" s="76">
        <f>IF(AU97="","",IF(VLOOKUP($B97,INDIRECT("'GRD-"&amp;AW97&amp;"'!$B:$R"),16,FALSE)="","",VLOOKUP($B97,INDIRECT("'GRD-"&amp;AW97&amp;"'!$B:$R"),16,FALSE)))</f>
        <v/>
      </c>
      <c r="AW97" s="132">
        <f t="array" ref="AW97">IF(AU97="","",IFERROR(OFFSET($BZ$11,0,MATCH($AU97,$CA97:$FV97,0),),""))</f>
        <v/>
      </c>
      <c r="AX97" s="121">
        <f t="array" ref="AX97">IF(AU97="","",INDIRECT("'GRD-"&amp;AW97&amp;"'!$L$7"))</f>
        <v/>
      </c>
      <c r="AY97" s="83">
        <f t="array" ref="AY97">IFERROR(OFFSET($BZ$11,ROW($B97)-11,MATCH(AY$10,$CA97:$FV97,0),),"")</f>
        <v/>
      </c>
      <c r="AZ97" s="83">
        <f>IF(AY97="","",IF(VLOOKUP($B97,INDIRECT("'GRD-"&amp;BA97&amp;"'!$B:$R"),16,FALSE)="","",VLOOKUP($B97,INDIRECT("'GRD-"&amp;BA97&amp;"'!$B:$R"),16,FALSE)))</f>
        <v/>
      </c>
      <c r="BA97" s="128">
        <f t="array" ref="BA97">IF(AY97="","",IFERROR(OFFSET($BZ$11,0,MATCH($AY97,$CA97:$FV97,0),),""))</f>
        <v/>
      </c>
      <c r="BB97" s="133">
        <f t="array" ref="BB97">IF(AY97="","",INDIRECT("'GRD-"&amp;BA97&amp;"'!$L$7"))</f>
        <v/>
      </c>
      <c r="BC97" s="84">
        <f t="array" ref="BC97">IFERROR(OFFSET($BZ$11,ROW($B97)-11,MATCH(BC$10,$CA97:$FV97,0),),"")</f>
        <v/>
      </c>
      <c r="BD97" s="84">
        <f>IF(BC97="","",IF(VLOOKUP($B97,INDIRECT("'GRD-"&amp;BE97&amp;"'!$B:$R"),16,FALSE)="","",VLOOKUP($B97,INDIRECT("'GRD-"&amp;BE97&amp;"'!$B:$R"),16,FALSE)))</f>
        <v/>
      </c>
      <c r="BE97" s="129">
        <f t="array" ref="BE97">IF(BC97="","",IFERROR(OFFSET($BZ$11,0,MATCH($BC97,$CA97:$FV97,0),),""))</f>
        <v/>
      </c>
      <c r="BF97" s="134">
        <f t="array" ref="BF97">IF(BC97="","",INDIRECT("'GRD-"&amp;BE97&amp;"'!$L$7"))</f>
        <v/>
      </c>
      <c r="CA97" s="96">
        <f>IFERROR(VLOOKUP($B97,INDIRECT("'GRD-"&amp;CA$11&amp;"'!B:R"),15,FALSE),"")</f>
        <v/>
      </c>
      <c r="CB97" s="96">
        <f>IFERROR(VLOOKUP($B97,INDIRECT("'GRD-"&amp;CB$11&amp;"'!B:R"),15,FALSE),"")</f>
        <v/>
      </c>
      <c r="CC97" s="96">
        <f>IFERROR(VLOOKUP($B97,INDIRECT("'GRD-"&amp;CC$11&amp;"'!B:R"),15,FALSE),"")</f>
        <v/>
      </c>
      <c r="CD97" s="96">
        <f>IFERROR(VLOOKUP($B97,INDIRECT("'GRD-"&amp;CD$11&amp;"'!B:R"),15,FALSE),"")</f>
        <v/>
      </c>
      <c r="CE97" s="96">
        <f>IFERROR(VLOOKUP($B97,INDIRECT("'GRD-"&amp;CE$11&amp;"'!B:R"),15,FALSE),"")</f>
        <v/>
      </c>
      <c r="CF97" s="96">
        <f>IFERROR(VLOOKUP($B97,INDIRECT("'GRD-"&amp;CF$11&amp;"'!B:R"),15,FALSE),"")</f>
        <v/>
      </c>
      <c r="CG97" s="96">
        <f>IFERROR(VLOOKUP($B97,INDIRECT("'GRD-"&amp;CG$11&amp;"'!B:R"),15,FALSE),"")</f>
        <v/>
      </c>
      <c r="CH97" s="96">
        <f>IFERROR(VLOOKUP($B97,INDIRECT("'GRD-"&amp;CH$11&amp;"'!B:R"),15,FALSE),"")</f>
        <v/>
      </c>
      <c r="CI97" s="96">
        <f>IFERROR(VLOOKUP($B97,INDIRECT("'GRD-"&amp;CI$11&amp;"'!B:R"),15,FALSE),"")</f>
        <v/>
      </c>
      <c r="CJ97" s="96">
        <f>IFERROR(VLOOKUP($B97,INDIRECT("'GRD-"&amp;CJ$11&amp;"'!B:R"),15,FALSE),"")</f>
        <v/>
      </c>
      <c r="CK97" s="96">
        <f>IFERROR(VLOOKUP($B97,INDIRECT("'GRD-"&amp;CK$11&amp;"'!B:R"),15,FALSE),"")</f>
        <v/>
      </c>
      <c r="CL97" s="96">
        <f>IFERROR(VLOOKUP($B97,INDIRECT("'GRD-"&amp;CL$11&amp;"'!B:R"),15,FALSE),"")</f>
        <v/>
      </c>
      <c r="CM97" s="96">
        <f>IFERROR(VLOOKUP($B97,INDIRECT("'GRD-"&amp;CM$11&amp;"'!B:R"),15,FALSE),"")</f>
        <v/>
      </c>
      <c r="CN97" s="96">
        <f>IFERROR(VLOOKUP($B97,INDIRECT("'GRD-"&amp;CN$11&amp;"'!B:R"),15,FALSE),"")</f>
        <v/>
      </c>
      <c r="CO97" s="96">
        <f>IFERROR(VLOOKUP($B97,INDIRECT("'GRD-"&amp;CO$11&amp;"'!B:R"),15,FALSE),"")</f>
        <v/>
      </c>
      <c r="CP97" s="96">
        <f>IFERROR(VLOOKUP($B97,INDIRECT("'GRD-"&amp;CP$11&amp;"'!B:R"),15,FALSE),"")</f>
        <v/>
      </c>
      <c r="CQ97" s="96">
        <f>IFERROR(VLOOKUP($B97,INDIRECT("'GRD-"&amp;CQ$11&amp;"'!B:R"),15,FALSE),"")</f>
        <v/>
      </c>
      <c r="CR97" s="96">
        <f>IFERROR(VLOOKUP($B97,INDIRECT("'GRD-"&amp;CR$11&amp;"'!B:R"),15,FALSE),"")</f>
        <v/>
      </c>
      <c r="CS97" s="96">
        <f>IFERROR(VLOOKUP($B97,INDIRECT("'GRD-"&amp;CS$11&amp;"'!B:R"),15,FALSE),"")</f>
        <v/>
      </c>
      <c r="CT97" s="96">
        <f>IFERROR(VLOOKUP($B97,INDIRECT("'GRD-"&amp;CT$11&amp;"'!B:R"),15,FALSE),"")</f>
        <v/>
      </c>
      <c r="CU97" s="96">
        <f>IFERROR(VLOOKUP($B97,INDIRECT("'GRD-"&amp;CU$11&amp;"'!B:R"),15,FALSE),"")</f>
        <v/>
      </c>
      <c r="CV97" s="96">
        <f>IFERROR(VLOOKUP($B97,INDIRECT("'GRD-"&amp;CV$11&amp;"'!B:R"),15,FALSE),"")</f>
        <v/>
      </c>
      <c r="CW97" s="96">
        <f>IFERROR(VLOOKUP($B97,INDIRECT("'GRD-"&amp;CW$11&amp;"'!B:R"),15,FALSE),"")</f>
        <v/>
      </c>
      <c r="CX97" s="96">
        <f>IFERROR(VLOOKUP($B97,INDIRECT("'GRD-"&amp;CX$11&amp;"'!B:R"),15,FALSE),"")</f>
        <v/>
      </c>
      <c r="CY97" s="96">
        <f>IFERROR(VLOOKUP($B97,INDIRECT("'GRD-"&amp;CY$11&amp;"'!B:R"),15,FALSE),"")</f>
        <v/>
      </c>
      <c r="CZ97" s="96">
        <f>IFERROR(VLOOKUP($B97,INDIRECT("'GRD-"&amp;CZ$11&amp;"'!B:R"),15,FALSE),"")</f>
        <v/>
      </c>
      <c r="DA97" s="96">
        <f>IFERROR(VLOOKUP($B97,INDIRECT("'GRD-"&amp;DA$11&amp;"'!B:R"),15,FALSE),"")</f>
        <v/>
      </c>
      <c r="DB97" s="96">
        <f>IFERROR(VLOOKUP($B97,INDIRECT("'GRD-"&amp;DB$11&amp;"'!B:R"),15,FALSE),"")</f>
        <v/>
      </c>
      <c r="DC97" s="96">
        <f>IFERROR(VLOOKUP($B97,INDIRECT("'GRD-"&amp;DC$11&amp;"'!B:R"),15,FALSE),"")</f>
        <v/>
      </c>
      <c r="DD97" s="96">
        <f>IFERROR(VLOOKUP($B97,INDIRECT("'GRD-"&amp;DD$11&amp;"'!B:R"),15,FALSE),"")</f>
        <v/>
      </c>
      <c r="DE97" s="96">
        <f>IFERROR(VLOOKUP($B97,INDIRECT("'GRD-"&amp;DE$11&amp;"'!B:R"),15,FALSE),"")</f>
        <v/>
      </c>
      <c r="DF97" s="96">
        <f>IFERROR(VLOOKUP($B97,INDIRECT("'GRD-"&amp;DF$11&amp;"'!B:R"),15,FALSE),"")</f>
        <v/>
      </c>
      <c r="DG97" s="96">
        <f>IFERROR(VLOOKUP($B97,INDIRECT("'GRD-"&amp;DG$11&amp;"'!B:R"),15,FALSE),"")</f>
        <v/>
      </c>
      <c r="DH97" s="96">
        <f>IFERROR(VLOOKUP($B97,INDIRECT("'GRD-"&amp;DH$11&amp;"'!B:R"),15,FALSE),"")</f>
        <v/>
      </c>
      <c r="DI97" s="96">
        <f>IFERROR(VLOOKUP($B97,INDIRECT("'GRD-"&amp;DI$11&amp;"'!B:R"),15,FALSE),"")</f>
        <v/>
      </c>
      <c r="DJ97" s="96">
        <f>IFERROR(VLOOKUP($B97,INDIRECT("'GRD-"&amp;DJ$11&amp;"'!B:R"),15,FALSE),"")</f>
        <v/>
      </c>
      <c r="DK97" s="96">
        <f>IFERROR(VLOOKUP($B97,INDIRECT("'GRD-"&amp;DK$11&amp;"'!B:R"),15,FALSE),"")</f>
        <v/>
      </c>
      <c r="DL97" s="96">
        <f>IFERROR(VLOOKUP($B97,INDIRECT("'GRD-"&amp;DL$11&amp;"'!B:R"),15,FALSE),"")</f>
        <v/>
      </c>
      <c r="DM97" s="96">
        <f>IFERROR(VLOOKUP($B97,INDIRECT("'GRD-"&amp;DM$11&amp;"'!B:R"),15,FALSE),"")</f>
        <v/>
      </c>
      <c r="DN97" s="96">
        <f>IFERROR(VLOOKUP($B97,INDIRECT("'GRD-"&amp;DN$11&amp;"'!B:R"),15,FALSE),"")</f>
        <v/>
      </c>
      <c r="DO97" s="96">
        <f>IFERROR(VLOOKUP($B97,INDIRECT("'GRD-"&amp;DO$11&amp;"'!B:R"),15,FALSE),"")</f>
        <v/>
      </c>
      <c r="DP97" s="96">
        <f>IFERROR(VLOOKUP($B97,INDIRECT("'GRD-"&amp;DP$11&amp;"'!B:R"),15,FALSE),"")</f>
        <v/>
      </c>
      <c r="DQ97" s="96">
        <f>IFERROR(VLOOKUP($B97,INDIRECT("'GRD-"&amp;DQ$11&amp;"'!B:R"),15,FALSE),"")</f>
        <v/>
      </c>
      <c r="DR97" s="96">
        <f>IFERROR(VLOOKUP($B97,INDIRECT("'GRD-"&amp;DR$11&amp;"'!B:R"),15,FALSE),"")</f>
        <v/>
      </c>
      <c r="DS97" s="96">
        <f>IFERROR(VLOOKUP($B97,INDIRECT("'GRD-"&amp;DS$11&amp;"'!B:R"),15,FALSE),"")</f>
        <v/>
      </c>
      <c r="DT97" s="96">
        <f>IFERROR(VLOOKUP($B97,INDIRECT("'GRD-"&amp;DT$11&amp;"'!B:R"),15,FALSE),"")</f>
        <v/>
      </c>
      <c r="DU97" s="96">
        <f>IFERROR(VLOOKUP($B97,INDIRECT("'GRD-"&amp;DU$11&amp;"'!B:R"),15,FALSE),"")</f>
        <v/>
      </c>
      <c r="DV97" s="96">
        <f>IFERROR(VLOOKUP($B97,INDIRECT("'GRD-"&amp;DV$11&amp;"'!B:R"),15,FALSE),"")</f>
        <v/>
      </c>
      <c r="DW97" s="96">
        <f>IFERROR(VLOOKUP($B97,INDIRECT("'GRD-"&amp;DW$11&amp;"'!B:R"),15,FALSE),"")</f>
        <v/>
      </c>
      <c r="DX97" s="96">
        <f>IFERROR(VLOOKUP($B97,INDIRECT("'GRD-"&amp;DX$11&amp;"'!B:R"),15,FALSE),"")</f>
        <v/>
      </c>
      <c r="DY97" s="96">
        <f>IFERROR(VLOOKUP($B97,INDIRECT("'GRD-"&amp;DY$11&amp;"'!B:R"),15,FALSE),"")</f>
        <v/>
      </c>
      <c r="DZ97" s="96">
        <f>IFERROR(VLOOKUP($B97,INDIRECT("'GRD-"&amp;DZ$11&amp;"'!B:R"),15,FALSE),"")</f>
        <v/>
      </c>
      <c r="EA97" s="96">
        <f>IFERROR(VLOOKUP($B97,INDIRECT("'GRD-"&amp;EA$11&amp;"'!B:R"),15,FALSE),"")</f>
        <v/>
      </c>
      <c r="EB97" s="96">
        <f>IFERROR(VLOOKUP($B97,INDIRECT("'GRD-"&amp;EB$11&amp;"'!B:R"),15,FALSE),"")</f>
        <v/>
      </c>
      <c r="EC97" s="96">
        <f>IFERROR(VLOOKUP($B97,INDIRECT("'GRD-"&amp;EC$11&amp;"'!B:R"),15,FALSE),"")</f>
        <v/>
      </c>
      <c r="ED97" s="96">
        <f>IFERROR(VLOOKUP($B97,INDIRECT("'GRD-"&amp;ED$11&amp;"'!B:R"),15,FALSE),"")</f>
        <v/>
      </c>
      <c r="EE97" s="96">
        <f>IFERROR(VLOOKUP($B97,INDIRECT("'GRD-"&amp;EE$11&amp;"'!B:R"),15,FALSE),"")</f>
        <v/>
      </c>
      <c r="EF97" s="96">
        <f>IFERROR(VLOOKUP($B97,INDIRECT("'GRD-"&amp;EF$11&amp;"'!B:R"),15,FALSE),"")</f>
        <v/>
      </c>
      <c r="EG97" s="96">
        <f>IFERROR(VLOOKUP($B97,INDIRECT("'GRD-"&amp;EG$11&amp;"'!B:R"),15,FALSE),"")</f>
        <v/>
      </c>
      <c r="EH97" s="96">
        <f>IFERROR(VLOOKUP($B97,INDIRECT("'GRD-"&amp;EH$11&amp;"'!B:R"),15,FALSE),"")</f>
        <v/>
      </c>
      <c r="EI97" s="96">
        <f>IFERROR(VLOOKUP($B97,INDIRECT("'GRD-"&amp;EI$11&amp;"'!B:R"),15,FALSE),"")</f>
        <v/>
      </c>
      <c r="EJ97" s="96">
        <f>IFERROR(VLOOKUP($B97,INDIRECT("'GRD-"&amp;EJ$11&amp;"'!B:R"),15,FALSE),"")</f>
        <v/>
      </c>
      <c r="EK97" s="96">
        <f>IFERROR(VLOOKUP($B97,INDIRECT("'GRD-"&amp;EK$11&amp;"'!B:R"),15,FALSE),"")</f>
        <v/>
      </c>
      <c r="EL97" s="96">
        <f>IFERROR(VLOOKUP($B97,INDIRECT("'GRD-"&amp;EL$11&amp;"'!B:R"),15,FALSE),"")</f>
        <v/>
      </c>
      <c r="EM97" s="96">
        <f>IFERROR(VLOOKUP($B97,INDIRECT("'GRD-"&amp;EM$11&amp;"'!B:R"),15,FALSE),"")</f>
        <v/>
      </c>
      <c r="EN97" s="96">
        <f>IFERROR(VLOOKUP($B97,INDIRECT("'GRD-"&amp;EN$11&amp;"'!B:R"),15,FALSE),"")</f>
        <v/>
      </c>
      <c r="EO97" s="96">
        <f>IFERROR(VLOOKUP($B97,INDIRECT("'GRD-"&amp;EO$11&amp;"'!B:R"),15,FALSE),"")</f>
        <v/>
      </c>
      <c r="EP97" s="96">
        <f>IFERROR(VLOOKUP($B97,INDIRECT("'GRD-"&amp;EP$11&amp;"'!B:R"),15,FALSE),"")</f>
        <v/>
      </c>
      <c r="EQ97" s="96">
        <f>IFERROR(VLOOKUP($B97,INDIRECT("'GRD-"&amp;EQ$11&amp;"'!B:R"),15,FALSE),"")</f>
        <v/>
      </c>
      <c r="ER97" s="96">
        <f>IFERROR(VLOOKUP($B97,INDIRECT("'GRD-"&amp;ER$11&amp;"'!B:R"),15,FALSE),"")</f>
        <v/>
      </c>
      <c r="ES97" s="96">
        <f>IFERROR(VLOOKUP($B97,INDIRECT("'GRD-"&amp;ES$11&amp;"'!B:R"),15,FALSE),"")</f>
        <v/>
      </c>
      <c r="ET97" s="96">
        <f>IFERROR(VLOOKUP($B97,INDIRECT("'GRD-"&amp;ET$11&amp;"'!B:R"),15,FALSE),"")</f>
        <v/>
      </c>
      <c r="EU97" s="96">
        <f>IFERROR(VLOOKUP($B97,INDIRECT("'GRD-"&amp;EU$11&amp;"'!B:R"),15,FALSE),"")</f>
        <v/>
      </c>
      <c r="EV97" s="96">
        <f>IFERROR(VLOOKUP($B97,INDIRECT("'GRD-"&amp;EV$11&amp;"'!B:R"),15,FALSE),"")</f>
        <v/>
      </c>
      <c r="EW97" s="96">
        <f>IFERROR(VLOOKUP($B97,INDIRECT("'GRD-"&amp;EW$11&amp;"'!B:R"),15,FALSE),"")</f>
        <v/>
      </c>
      <c r="EX97" s="96">
        <f>IFERROR(VLOOKUP($B97,INDIRECT("'GRD-"&amp;EX$11&amp;"'!B:R"),15,FALSE),"")</f>
        <v/>
      </c>
      <c r="EY97" s="96">
        <f>IFERROR(VLOOKUP($B97,INDIRECT("'GRD-"&amp;EY$11&amp;"'!B:R"),15,FALSE),"")</f>
        <v/>
      </c>
      <c r="EZ97" s="96">
        <f>IFERROR(VLOOKUP($B97,INDIRECT("'GRD-"&amp;EZ$11&amp;"'!B:R"),15,FALSE),"")</f>
        <v/>
      </c>
      <c r="FA97" s="96">
        <f>IFERROR(VLOOKUP($B97,INDIRECT("'GRD-"&amp;FA$11&amp;"'!B:R"),15,FALSE),"")</f>
        <v/>
      </c>
      <c r="FB97" s="96">
        <f>IFERROR(VLOOKUP($B97,INDIRECT("'GRD-"&amp;FB$11&amp;"'!B:R"),15,FALSE),"")</f>
        <v/>
      </c>
      <c r="FC97" s="96">
        <f>IFERROR(VLOOKUP($B97,INDIRECT("'GRD-"&amp;FC$11&amp;"'!B:R"),15,FALSE),"")</f>
        <v/>
      </c>
      <c r="FD97" s="96">
        <f>IFERROR(VLOOKUP($B97,INDIRECT("'GRD-"&amp;FD$11&amp;"'!B:R"),15,FALSE),"")</f>
        <v/>
      </c>
      <c r="FE97" s="96">
        <f>IFERROR(VLOOKUP($B97,INDIRECT("'GRD-"&amp;FE$11&amp;"'!B:R"),15,FALSE),"")</f>
        <v/>
      </c>
      <c r="FF97" s="96">
        <f>IFERROR(VLOOKUP($B97,INDIRECT("'GRD-"&amp;FF$11&amp;"'!B:R"),15,FALSE),"")</f>
        <v/>
      </c>
      <c r="FG97" s="96">
        <f>IFERROR(VLOOKUP($B97,INDIRECT("'GRD-"&amp;FG$11&amp;"'!B:R"),15,FALSE),"")</f>
        <v/>
      </c>
      <c r="FH97" s="96">
        <f>IFERROR(VLOOKUP($B97,INDIRECT("'GRD-"&amp;FH$11&amp;"'!B:R"),15,FALSE),"")</f>
        <v/>
      </c>
      <c r="FI97" s="96">
        <f>IFERROR(VLOOKUP($B97,INDIRECT("'GRD-"&amp;FI$11&amp;"'!B:R"),15,FALSE),"")</f>
        <v/>
      </c>
      <c r="FJ97" s="96">
        <f>IFERROR(VLOOKUP($B97,INDIRECT("'GRD-"&amp;FJ$11&amp;"'!B:R"),15,FALSE),"")</f>
        <v/>
      </c>
      <c r="FK97" s="96">
        <f>IFERROR(VLOOKUP($B97,INDIRECT("'GRD-"&amp;FK$11&amp;"'!B:R"),15,FALSE),"")</f>
        <v/>
      </c>
      <c r="FL97" s="96">
        <f>IFERROR(VLOOKUP($B97,INDIRECT("'GRD-"&amp;FL$11&amp;"'!B:R"),15,FALSE),"")</f>
        <v/>
      </c>
      <c r="FM97" s="96">
        <f>IFERROR(VLOOKUP($B97,INDIRECT("'GRD-"&amp;FM$11&amp;"'!B:R"),15,FALSE),"")</f>
        <v/>
      </c>
      <c r="FN97" s="96">
        <f>IFERROR(VLOOKUP($B97,INDIRECT("'GRD-"&amp;FN$11&amp;"'!B:R"),15,FALSE),"")</f>
        <v/>
      </c>
      <c r="FO97" s="96">
        <f>IFERROR(VLOOKUP($B97,INDIRECT("'GRD-"&amp;FO$11&amp;"'!B:R"),15,FALSE),"")</f>
        <v/>
      </c>
      <c r="FP97" s="96">
        <f>IFERROR(VLOOKUP($B97,INDIRECT("'GRD-"&amp;FP$11&amp;"'!B:R"),15,FALSE),"")</f>
        <v/>
      </c>
      <c r="FQ97" s="96">
        <f>IFERROR(VLOOKUP($B97,INDIRECT("'GRD-"&amp;FQ$11&amp;"'!B:R"),15,FALSE),"")</f>
        <v/>
      </c>
      <c r="FR97" s="96">
        <f>IFERROR(VLOOKUP($B97,INDIRECT("'GRD-"&amp;FR$11&amp;"'!B:R"),15,FALSE),"")</f>
        <v/>
      </c>
      <c r="FS97" s="96">
        <f>IFERROR(VLOOKUP($B97,INDIRECT("'GRD-"&amp;FS$11&amp;"'!B:R"),15,FALSE),"")</f>
        <v/>
      </c>
      <c r="FT97" s="96">
        <f>IFERROR(VLOOKUP($B97,INDIRECT("'GRD-"&amp;FT$11&amp;"'!B:R"),15,FALSE),"")</f>
        <v/>
      </c>
      <c r="FU97" s="96">
        <f>IFERROR(VLOOKUP($B97,INDIRECT("'GRD-"&amp;FU$11&amp;"'!B:R"),15,FALSE),"")</f>
        <v/>
      </c>
      <c r="FV97" s="96">
        <f>IFERROR(VLOOKUP($B97,INDIRECT("'GRD-"&amp;FV$11&amp;"'!B:R"),15,FALSE),"")</f>
        <v/>
      </c>
    </row>
    <row r="98">
      <c r="B98" s="85" t="n"/>
      <c r="C98" s="93" t="n"/>
      <c r="D98" s="73">
        <f>IF(K98="","",MAX($CA98:$FV98))</f>
        <v/>
      </c>
      <c r="E98" s="74">
        <f t="array" ref="E98">IF($K98="","",OFFSET($A$1,ROW($B98)-1,11+$D98*4,))</f>
        <v/>
      </c>
      <c r="F98" s="74">
        <f t="array" ref="F98">IF($K98="","",OFFSET($A$1,ROW($B98)-1,12+$D98*4,))</f>
        <v/>
      </c>
      <c r="G98" s="118">
        <f t="array" ref="G98">IF($K98="","",OFFSET($A$1,ROW($B98)-1,13+$D98*4,))</f>
        <v/>
      </c>
      <c r="H98" s="81" t="n"/>
      <c r="I98" s="82" t="n"/>
      <c r="J98" s="75">
        <f>IF(I98="A4",H98/8,IF(I98="A3",H98/4,IF(I98="A2",H98/2,IF(I98="A1",H98/1,IF(I98="A0",H98*2,"")))))</f>
        <v/>
      </c>
      <c r="K98" s="68">
        <f t="array" ref="K98">IFERROR(OFFSET($BZ$11,ROW($B98)-11,MATCH(K$10,$CA98:$FV98,0),),"")</f>
        <v/>
      </c>
      <c r="L98" s="85">
        <f>IF(K98="","",IF(VLOOKUP($B98,INDIRECT("'GRD-"&amp;M98&amp;"'!$B:$R"),16,FALSE)="","",VLOOKUP($B98,INDIRECT("'GRD-"&amp;M98&amp;"'!$B:$R"),16,FALSE)))</f>
        <v/>
      </c>
      <c r="M98" s="130">
        <f t="array" ref="M98">IF(K98="","",IFERROR(OFFSET($BZ$11,0,MATCH($K98,$CA98:$FV98,0),),""))</f>
        <v/>
      </c>
      <c r="N98" s="119">
        <f t="array" ref="N98">IF(K98="","",INDIRECT("'GRD-"&amp;M98&amp;"'!$L$7"))</f>
        <v/>
      </c>
      <c r="O98" s="76">
        <f t="array" ref="O98">IFERROR(OFFSET($BZ$11,ROW($B98)-11,MATCH(O$10,$CA98:$FV98,0),),"")</f>
        <v/>
      </c>
      <c r="P98" s="76">
        <f>IF(O98="","",IF(VLOOKUP($B98,INDIRECT("'GRD-"&amp;Q98&amp;"'!$B:$R"),16,FALSE)="","",VLOOKUP($B98,INDIRECT("'GRD-"&amp;Q98&amp;"'!$B:$R"),16,FALSE)))</f>
        <v/>
      </c>
      <c r="Q98" s="132">
        <f t="array" ref="Q98">IF(O98="","",IFERROR(OFFSET($BZ$11,0,MATCH($O98,$CA98:$FV98,0),),""))</f>
        <v/>
      </c>
      <c r="R98" s="121">
        <f t="array" ref="R98">IF(O98="","",INDIRECT("'GRD-"&amp;Q98&amp;"'!$L$7"))</f>
        <v/>
      </c>
      <c r="S98" s="83">
        <f t="array" ref="S98">IFERROR(OFFSET($BZ$11,ROW($B98)-11,MATCH(S$10,$CA98:$FV98,0),),"")</f>
        <v/>
      </c>
      <c r="T98" s="83">
        <f>IF(S98="","",IF(VLOOKUP($B98,INDIRECT("'GRD-"&amp;U98&amp;"'!$B:$R"),16,FALSE)="","",VLOOKUP($B98,INDIRECT("'GRD-"&amp;U98&amp;"'!$B:$R"),16,FALSE)))</f>
        <v/>
      </c>
      <c r="U98" s="128">
        <f t="array" ref="U98">IF(S98="","",IFERROR(OFFSET($BZ$11,0,MATCH($S98,$CA98:$FV98,0),),""))</f>
        <v/>
      </c>
      <c r="V98" s="133">
        <f t="array" ref="V98">IF(S98="","",INDIRECT("'GRD-"&amp;U98&amp;"'!$L$7"))</f>
        <v/>
      </c>
      <c r="W98" s="84">
        <f t="array" ref="W98">IFERROR(OFFSET($BZ$11,ROW($B98)-11,MATCH(W$10,$CA98:$FV98,0),),"")</f>
        <v/>
      </c>
      <c r="X98" s="84">
        <f>IF(W98="","",IF(VLOOKUP($B98,INDIRECT("'GRD-"&amp;Y98&amp;"'!$B:$R"),16,FALSE)="","",VLOOKUP($B98,INDIRECT("'GRD-"&amp;Y98&amp;"'!$B:$R"),16,FALSE)))</f>
        <v/>
      </c>
      <c r="Y98" s="129">
        <f t="array" ref="Y98">IF(W98="","",IFERROR(OFFSET($BZ$11,0,MATCH($W98,$CA98:$FV98,0),),""))</f>
        <v/>
      </c>
      <c r="Z98" s="134">
        <f t="array" ref="Z98">IF(W98="","",INDIRECT("'GRD-"&amp;Y98&amp;"'!$L$7"))</f>
        <v/>
      </c>
      <c r="AA98" s="85">
        <f t="array" ref="AA98">IFERROR(OFFSET($BZ$11,ROW($B98)-11,MATCH(AA$10,$CA98:$FV98,0),),"")</f>
        <v/>
      </c>
      <c r="AB98" s="85">
        <f>IF(AA98="","",IF(VLOOKUP($B98,INDIRECT("'GRD-"&amp;AC98&amp;"'!$B:$R"),16,FALSE)="","",VLOOKUP($B98,INDIRECT("'GRD-"&amp;AC98&amp;"'!$B:$R"),16,FALSE)))</f>
        <v/>
      </c>
      <c r="AC98" s="130">
        <f t="array" ref="AC98">IF(AA98="","",IFERROR(OFFSET($BZ$11,0,MATCH($AA98,$CA98:$FV98,0),),""))</f>
        <v/>
      </c>
      <c r="AD98" s="131">
        <f t="array" ref="AD98">IF(AA98="","",INDIRECT("'GRD-"&amp;AC98&amp;"'!$L$7"))</f>
        <v/>
      </c>
      <c r="AE98" s="76">
        <f t="array" ref="AE98">IFERROR(OFFSET($BZ$11,ROW($B98)-11,MATCH(AE$10,$CA98:$FV98,0),),"")</f>
        <v/>
      </c>
      <c r="AF98" s="76">
        <f>IF(AE98="","",IF(VLOOKUP($B98,INDIRECT("'GRD-"&amp;AG98&amp;"'!$B:$R"),16,FALSE)="","",VLOOKUP($B98,INDIRECT("'GRD-"&amp;AG98&amp;"'!$B:$R"),16,FALSE)))</f>
        <v/>
      </c>
      <c r="AG98" s="132">
        <f t="array" ref="AG98">IF(AE98="","",IFERROR(OFFSET($BZ$11,0,MATCH($AE98,$CA98:$FV98,0),),""))</f>
        <v/>
      </c>
      <c r="AH98" s="121">
        <f t="array" ref="AH98">IF(AE98="","",INDIRECT("'GRD-"&amp;AG98&amp;"'!$L$7"))</f>
        <v/>
      </c>
      <c r="AI98" s="83">
        <f t="array" ref="AI98">IFERROR(OFFSET($BZ$11,ROW($B98)-11,MATCH(AI$10,$CA98:$FV98,0),),"")</f>
        <v/>
      </c>
      <c r="AJ98" s="83">
        <f>IF(AI98="","",IF(VLOOKUP($B98,INDIRECT("'GRD-"&amp;AK98&amp;"'!$B:$R"),16,FALSE)="","",VLOOKUP($B98,INDIRECT("'GRD-"&amp;AK98&amp;"'!$B:$R"),16,FALSE)))</f>
        <v/>
      </c>
      <c r="AK98" s="128">
        <f t="array" ref="AK98">IF(AI98="","",IFERROR(OFFSET($BZ$11,0,MATCH($AI98,$CA98:$FV98,0),),""))</f>
        <v/>
      </c>
      <c r="AL98" s="133">
        <f t="array" ref="AL98">IF(AI98="","",INDIRECT("'GRD-"&amp;AK98&amp;"'!$L$7"))</f>
        <v/>
      </c>
      <c r="AM98" s="84">
        <f t="array" ref="AM98">IFERROR(OFFSET($BZ$11,ROW($B98)-11,MATCH(AM$10,$CA98:$FV98,0),),"")</f>
        <v/>
      </c>
      <c r="AN98" s="84">
        <f>IF(AM98="","",IF(VLOOKUP($B98,INDIRECT("'GRD-"&amp;AO98&amp;"'!$B:$R"),16,FALSE)="","",VLOOKUP($B98,INDIRECT("'GRD-"&amp;AO98&amp;"'!$B:$R"),16,FALSE)))</f>
        <v/>
      </c>
      <c r="AO98" s="129">
        <f t="array" ref="AO98">IF(AM98="","",IFERROR(OFFSET($BZ$11,0,MATCH($AM98,$CA98:$FV98,0),),""))</f>
        <v/>
      </c>
      <c r="AP98" s="134">
        <f t="array" ref="AP98">IF(AM98="","",INDIRECT("'GRD-"&amp;AO98&amp;"'!$L$7"))</f>
        <v/>
      </c>
      <c r="AQ98" s="85">
        <f t="array" ref="AQ98">IFERROR(OFFSET($BZ$11,ROW($B98)-11,MATCH(AQ$10,$CA98:$FV98,0),),"")</f>
        <v/>
      </c>
      <c r="AR98" s="85">
        <f>IF(AQ98="","",IF(VLOOKUP($B98,INDIRECT("'GRD-"&amp;AS98&amp;"'!$B:$R"),16,FALSE)="","",VLOOKUP($B98,INDIRECT("'GRD-"&amp;AS98&amp;"'!$B:$R"),16,FALSE)))</f>
        <v/>
      </c>
      <c r="AS98" s="130">
        <f t="array" ref="AS98">IF(AQ98="","",IFERROR(OFFSET($BZ$11,0,MATCH($AQ98,$CA98:$FV98,0),),""))</f>
        <v/>
      </c>
      <c r="AT98" s="131">
        <f t="array" ref="AT98">IF(AQ98="","",INDIRECT("'GRD-"&amp;AS98&amp;"'!$L$7"))</f>
        <v/>
      </c>
      <c r="AU98" s="76">
        <f t="array" ref="AU98">IFERROR(OFFSET($BZ$11,ROW($B98)-11,MATCH(AU$10,$CA98:$FV98,0),),"")</f>
        <v/>
      </c>
      <c r="AV98" s="76">
        <f>IF(AU98="","",IF(VLOOKUP($B98,INDIRECT("'GRD-"&amp;AW98&amp;"'!$B:$R"),16,FALSE)="","",VLOOKUP($B98,INDIRECT("'GRD-"&amp;AW98&amp;"'!$B:$R"),16,FALSE)))</f>
        <v/>
      </c>
      <c r="AW98" s="132">
        <f t="array" ref="AW98">IF(AU98="","",IFERROR(OFFSET($BZ$11,0,MATCH($AU98,$CA98:$FV98,0),),""))</f>
        <v/>
      </c>
      <c r="AX98" s="121">
        <f t="array" ref="AX98">IF(AU98="","",INDIRECT("'GRD-"&amp;AW98&amp;"'!$L$7"))</f>
        <v/>
      </c>
      <c r="AY98" s="83">
        <f t="array" ref="AY98">IFERROR(OFFSET($BZ$11,ROW($B98)-11,MATCH(AY$10,$CA98:$FV98,0),),"")</f>
        <v/>
      </c>
      <c r="AZ98" s="83">
        <f>IF(AY98="","",IF(VLOOKUP($B98,INDIRECT("'GRD-"&amp;BA98&amp;"'!$B:$R"),16,FALSE)="","",VLOOKUP($B98,INDIRECT("'GRD-"&amp;BA98&amp;"'!$B:$R"),16,FALSE)))</f>
        <v/>
      </c>
      <c r="BA98" s="128">
        <f t="array" ref="BA98">IF(AY98="","",IFERROR(OFFSET($BZ$11,0,MATCH($AY98,$CA98:$FV98,0),),""))</f>
        <v/>
      </c>
      <c r="BB98" s="133">
        <f t="array" ref="BB98">IF(AY98="","",INDIRECT("'GRD-"&amp;BA98&amp;"'!$L$7"))</f>
        <v/>
      </c>
      <c r="BC98" s="84">
        <f t="array" ref="BC98">IFERROR(OFFSET($BZ$11,ROW($B98)-11,MATCH(BC$10,$CA98:$FV98,0),),"")</f>
        <v/>
      </c>
      <c r="BD98" s="84">
        <f>IF(BC98="","",IF(VLOOKUP($B98,INDIRECT("'GRD-"&amp;BE98&amp;"'!$B:$R"),16,FALSE)="","",VLOOKUP($B98,INDIRECT("'GRD-"&amp;BE98&amp;"'!$B:$R"),16,FALSE)))</f>
        <v/>
      </c>
      <c r="BE98" s="129">
        <f t="array" ref="BE98">IF(BC98="","",IFERROR(OFFSET($BZ$11,0,MATCH($BC98,$CA98:$FV98,0),),""))</f>
        <v/>
      </c>
      <c r="BF98" s="134">
        <f t="array" ref="BF98">IF(BC98="","",INDIRECT("'GRD-"&amp;BE98&amp;"'!$L$7"))</f>
        <v/>
      </c>
      <c r="CA98" s="96">
        <f>IFERROR(VLOOKUP($B98,INDIRECT("'GRD-"&amp;CA$11&amp;"'!B:R"),15,FALSE),"")</f>
        <v/>
      </c>
      <c r="CB98" s="96">
        <f>IFERROR(VLOOKUP($B98,INDIRECT("'GRD-"&amp;CB$11&amp;"'!B:R"),15,FALSE),"")</f>
        <v/>
      </c>
      <c r="CC98" s="96">
        <f>IFERROR(VLOOKUP($B98,INDIRECT("'GRD-"&amp;CC$11&amp;"'!B:R"),15,FALSE),"")</f>
        <v/>
      </c>
      <c r="CD98" s="96">
        <f>IFERROR(VLOOKUP($B98,INDIRECT("'GRD-"&amp;CD$11&amp;"'!B:R"),15,FALSE),"")</f>
        <v/>
      </c>
      <c r="CE98" s="96">
        <f>IFERROR(VLOOKUP($B98,INDIRECT("'GRD-"&amp;CE$11&amp;"'!B:R"),15,FALSE),"")</f>
        <v/>
      </c>
      <c r="CF98" s="96">
        <f>IFERROR(VLOOKUP($B98,INDIRECT("'GRD-"&amp;CF$11&amp;"'!B:R"),15,FALSE),"")</f>
        <v/>
      </c>
      <c r="CG98" s="96">
        <f>IFERROR(VLOOKUP($B98,INDIRECT("'GRD-"&amp;CG$11&amp;"'!B:R"),15,FALSE),"")</f>
        <v/>
      </c>
      <c r="CH98" s="96">
        <f>IFERROR(VLOOKUP($B98,INDIRECT("'GRD-"&amp;CH$11&amp;"'!B:R"),15,FALSE),"")</f>
        <v/>
      </c>
      <c r="CI98" s="96">
        <f>IFERROR(VLOOKUP($B98,INDIRECT("'GRD-"&amp;CI$11&amp;"'!B:R"),15,FALSE),"")</f>
        <v/>
      </c>
      <c r="CJ98" s="96">
        <f>IFERROR(VLOOKUP($B98,INDIRECT("'GRD-"&amp;CJ$11&amp;"'!B:R"),15,FALSE),"")</f>
        <v/>
      </c>
      <c r="CK98" s="96">
        <f>IFERROR(VLOOKUP($B98,INDIRECT("'GRD-"&amp;CK$11&amp;"'!B:R"),15,FALSE),"")</f>
        <v/>
      </c>
      <c r="CL98" s="96">
        <f>IFERROR(VLOOKUP($B98,INDIRECT("'GRD-"&amp;CL$11&amp;"'!B:R"),15,FALSE),"")</f>
        <v/>
      </c>
      <c r="CM98" s="96">
        <f>IFERROR(VLOOKUP($B98,INDIRECT("'GRD-"&amp;CM$11&amp;"'!B:R"),15,FALSE),"")</f>
        <v/>
      </c>
      <c r="CN98" s="96">
        <f>IFERROR(VLOOKUP($B98,INDIRECT("'GRD-"&amp;CN$11&amp;"'!B:R"),15,FALSE),"")</f>
        <v/>
      </c>
      <c r="CO98" s="96">
        <f>IFERROR(VLOOKUP($B98,INDIRECT("'GRD-"&amp;CO$11&amp;"'!B:R"),15,FALSE),"")</f>
        <v/>
      </c>
      <c r="CP98" s="96">
        <f>IFERROR(VLOOKUP($B98,INDIRECT("'GRD-"&amp;CP$11&amp;"'!B:R"),15,FALSE),"")</f>
        <v/>
      </c>
      <c r="CQ98" s="96">
        <f>IFERROR(VLOOKUP($B98,INDIRECT("'GRD-"&amp;CQ$11&amp;"'!B:R"),15,FALSE),"")</f>
        <v/>
      </c>
      <c r="CR98" s="96">
        <f>IFERROR(VLOOKUP($B98,INDIRECT("'GRD-"&amp;CR$11&amp;"'!B:R"),15,FALSE),"")</f>
        <v/>
      </c>
      <c r="CS98" s="96">
        <f>IFERROR(VLOOKUP($B98,INDIRECT("'GRD-"&amp;CS$11&amp;"'!B:R"),15,FALSE),"")</f>
        <v/>
      </c>
      <c r="CT98" s="96">
        <f>IFERROR(VLOOKUP($B98,INDIRECT("'GRD-"&amp;CT$11&amp;"'!B:R"),15,FALSE),"")</f>
        <v/>
      </c>
      <c r="CU98" s="96">
        <f>IFERROR(VLOOKUP($B98,INDIRECT("'GRD-"&amp;CU$11&amp;"'!B:R"),15,FALSE),"")</f>
        <v/>
      </c>
      <c r="CV98" s="96">
        <f>IFERROR(VLOOKUP($B98,INDIRECT("'GRD-"&amp;CV$11&amp;"'!B:R"),15,FALSE),"")</f>
        <v/>
      </c>
      <c r="CW98" s="96">
        <f>IFERROR(VLOOKUP($B98,INDIRECT("'GRD-"&amp;CW$11&amp;"'!B:R"),15,FALSE),"")</f>
        <v/>
      </c>
      <c r="CX98" s="96">
        <f>IFERROR(VLOOKUP($B98,INDIRECT("'GRD-"&amp;CX$11&amp;"'!B:R"),15,FALSE),"")</f>
        <v/>
      </c>
      <c r="CY98" s="96">
        <f>IFERROR(VLOOKUP($B98,INDIRECT("'GRD-"&amp;CY$11&amp;"'!B:R"),15,FALSE),"")</f>
        <v/>
      </c>
      <c r="CZ98" s="96">
        <f>IFERROR(VLOOKUP($B98,INDIRECT("'GRD-"&amp;CZ$11&amp;"'!B:R"),15,FALSE),"")</f>
        <v/>
      </c>
      <c r="DA98" s="96">
        <f>IFERROR(VLOOKUP($B98,INDIRECT("'GRD-"&amp;DA$11&amp;"'!B:R"),15,FALSE),"")</f>
        <v/>
      </c>
      <c r="DB98" s="96">
        <f>IFERROR(VLOOKUP($B98,INDIRECT("'GRD-"&amp;DB$11&amp;"'!B:R"),15,FALSE),"")</f>
        <v/>
      </c>
      <c r="DC98" s="96">
        <f>IFERROR(VLOOKUP($B98,INDIRECT("'GRD-"&amp;DC$11&amp;"'!B:R"),15,FALSE),"")</f>
        <v/>
      </c>
      <c r="DD98" s="96">
        <f>IFERROR(VLOOKUP($B98,INDIRECT("'GRD-"&amp;DD$11&amp;"'!B:R"),15,FALSE),"")</f>
        <v/>
      </c>
      <c r="DE98" s="96">
        <f>IFERROR(VLOOKUP($B98,INDIRECT("'GRD-"&amp;DE$11&amp;"'!B:R"),15,FALSE),"")</f>
        <v/>
      </c>
      <c r="DF98" s="96">
        <f>IFERROR(VLOOKUP($B98,INDIRECT("'GRD-"&amp;DF$11&amp;"'!B:R"),15,FALSE),"")</f>
        <v/>
      </c>
      <c r="DG98" s="96">
        <f>IFERROR(VLOOKUP($B98,INDIRECT("'GRD-"&amp;DG$11&amp;"'!B:R"),15,FALSE),"")</f>
        <v/>
      </c>
      <c r="DH98" s="96">
        <f>IFERROR(VLOOKUP($B98,INDIRECT("'GRD-"&amp;DH$11&amp;"'!B:R"),15,FALSE),"")</f>
        <v/>
      </c>
      <c r="DI98" s="96">
        <f>IFERROR(VLOOKUP($B98,INDIRECT("'GRD-"&amp;DI$11&amp;"'!B:R"),15,FALSE),"")</f>
        <v/>
      </c>
      <c r="DJ98" s="96">
        <f>IFERROR(VLOOKUP($B98,INDIRECT("'GRD-"&amp;DJ$11&amp;"'!B:R"),15,FALSE),"")</f>
        <v/>
      </c>
      <c r="DK98" s="96">
        <f>IFERROR(VLOOKUP($B98,INDIRECT("'GRD-"&amp;DK$11&amp;"'!B:R"),15,FALSE),"")</f>
        <v/>
      </c>
      <c r="DL98" s="96">
        <f>IFERROR(VLOOKUP($B98,INDIRECT("'GRD-"&amp;DL$11&amp;"'!B:R"),15,FALSE),"")</f>
        <v/>
      </c>
      <c r="DM98" s="96">
        <f>IFERROR(VLOOKUP($B98,INDIRECT("'GRD-"&amp;DM$11&amp;"'!B:R"),15,FALSE),"")</f>
        <v/>
      </c>
      <c r="DN98" s="96">
        <f>IFERROR(VLOOKUP($B98,INDIRECT("'GRD-"&amp;DN$11&amp;"'!B:R"),15,FALSE),"")</f>
        <v/>
      </c>
      <c r="DO98" s="96">
        <f>IFERROR(VLOOKUP($B98,INDIRECT("'GRD-"&amp;DO$11&amp;"'!B:R"),15,FALSE),"")</f>
        <v/>
      </c>
      <c r="DP98" s="96">
        <f>IFERROR(VLOOKUP($B98,INDIRECT("'GRD-"&amp;DP$11&amp;"'!B:R"),15,FALSE),"")</f>
        <v/>
      </c>
      <c r="DQ98" s="96">
        <f>IFERROR(VLOOKUP($B98,INDIRECT("'GRD-"&amp;DQ$11&amp;"'!B:R"),15,FALSE),"")</f>
        <v/>
      </c>
      <c r="DR98" s="96">
        <f>IFERROR(VLOOKUP($B98,INDIRECT("'GRD-"&amp;DR$11&amp;"'!B:R"),15,FALSE),"")</f>
        <v/>
      </c>
      <c r="DS98" s="96">
        <f>IFERROR(VLOOKUP($B98,INDIRECT("'GRD-"&amp;DS$11&amp;"'!B:R"),15,FALSE),"")</f>
        <v/>
      </c>
      <c r="DT98" s="96">
        <f>IFERROR(VLOOKUP($B98,INDIRECT("'GRD-"&amp;DT$11&amp;"'!B:R"),15,FALSE),"")</f>
        <v/>
      </c>
      <c r="DU98" s="96">
        <f>IFERROR(VLOOKUP($B98,INDIRECT("'GRD-"&amp;DU$11&amp;"'!B:R"),15,FALSE),"")</f>
        <v/>
      </c>
      <c r="DV98" s="96">
        <f>IFERROR(VLOOKUP($B98,INDIRECT("'GRD-"&amp;DV$11&amp;"'!B:R"),15,FALSE),"")</f>
        <v/>
      </c>
      <c r="DW98" s="96">
        <f>IFERROR(VLOOKUP($B98,INDIRECT("'GRD-"&amp;DW$11&amp;"'!B:R"),15,FALSE),"")</f>
        <v/>
      </c>
      <c r="DX98" s="96">
        <f>IFERROR(VLOOKUP($B98,INDIRECT("'GRD-"&amp;DX$11&amp;"'!B:R"),15,FALSE),"")</f>
        <v/>
      </c>
      <c r="DY98" s="96">
        <f>IFERROR(VLOOKUP($B98,INDIRECT("'GRD-"&amp;DY$11&amp;"'!B:R"),15,FALSE),"")</f>
        <v/>
      </c>
      <c r="DZ98" s="96">
        <f>IFERROR(VLOOKUP($B98,INDIRECT("'GRD-"&amp;DZ$11&amp;"'!B:R"),15,FALSE),"")</f>
        <v/>
      </c>
      <c r="EA98" s="96">
        <f>IFERROR(VLOOKUP($B98,INDIRECT("'GRD-"&amp;EA$11&amp;"'!B:R"),15,FALSE),"")</f>
        <v/>
      </c>
      <c r="EB98" s="96">
        <f>IFERROR(VLOOKUP($B98,INDIRECT("'GRD-"&amp;EB$11&amp;"'!B:R"),15,FALSE),"")</f>
        <v/>
      </c>
      <c r="EC98" s="96">
        <f>IFERROR(VLOOKUP($B98,INDIRECT("'GRD-"&amp;EC$11&amp;"'!B:R"),15,FALSE),"")</f>
        <v/>
      </c>
      <c r="ED98" s="96">
        <f>IFERROR(VLOOKUP($B98,INDIRECT("'GRD-"&amp;ED$11&amp;"'!B:R"),15,FALSE),"")</f>
        <v/>
      </c>
      <c r="EE98" s="96">
        <f>IFERROR(VLOOKUP($B98,INDIRECT("'GRD-"&amp;EE$11&amp;"'!B:R"),15,FALSE),"")</f>
        <v/>
      </c>
      <c r="EF98" s="96">
        <f>IFERROR(VLOOKUP($B98,INDIRECT("'GRD-"&amp;EF$11&amp;"'!B:R"),15,FALSE),"")</f>
        <v/>
      </c>
      <c r="EG98" s="96">
        <f>IFERROR(VLOOKUP($B98,INDIRECT("'GRD-"&amp;EG$11&amp;"'!B:R"),15,FALSE),"")</f>
        <v/>
      </c>
      <c r="EH98" s="96">
        <f>IFERROR(VLOOKUP($B98,INDIRECT("'GRD-"&amp;EH$11&amp;"'!B:R"),15,FALSE),"")</f>
        <v/>
      </c>
      <c r="EI98" s="96">
        <f>IFERROR(VLOOKUP($B98,INDIRECT("'GRD-"&amp;EI$11&amp;"'!B:R"),15,FALSE),"")</f>
        <v/>
      </c>
      <c r="EJ98" s="96">
        <f>IFERROR(VLOOKUP($B98,INDIRECT("'GRD-"&amp;EJ$11&amp;"'!B:R"),15,FALSE),"")</f>
        <v/>
      </c>
      <c r="EK98" s="96">
        <f>IFERROR(VLOOKUP($B98,INDIRECT("'GRD-"&amp;EK$11&amp;"'!B:R"),15,FALSE),"")</f>
        <v/>
      </c>
      <c r="EL98" s="96">
        <f>IFERROR(VLOOKUP($B98,INDIRECT("'GRD-"&amp;EL$11&amp;"'!B:R"),15,FALSE),"")</f>
        <v/>
      </c>
      <c r="EM98" s="96">
        <f>IFERROR(VLOOKUP($B98,INDIRECT("'GRD-"&amp;EM$11&amp;"'!B:R"),15,FALSE),"")</f>
        <v/>
      </c>
      <c r="EN98" s="96">
        <f>IFERROR(VLOOKUP($B98,INDIRECT("'GRD-"&amp;EN$11&amp;"'!B:R"),15,FALSE),"")</f>
        <v/>
      </c>
      <c r="EO98" s="96">
        <f>IFERROR(VLOOKUP($B98,INDIRECT("'GRD-"&amp;EO$11&amp;"'!B:R"),15,FALSE),"")</f>
        <v/>
      </c>
      <c r="EP98" s="96">
        <f>IFERROR(VLOOKUP($B98,INDIRECT("'GRD-"&amp;EP$11&amp;"'!B:R"),15,FALSE),"")</f>
        <v/>
      </c>
      <c r="EQ98" s="96">
        <f>IFERROR(VLOOKUP($B98,INDIRECT("'GRD-"&amp;EQ$11&amp;"'!B:R"),15,FALSE),"")</f>
        <v/>
      </c>
      <c r="ER98" s="96">
        <f>IFERROR(VLOOKUP($B98,INDIRECT("'GRD-"&amp;ER$11&amp;"'!B:R"),15,FALSE),"")</f>
        <v/>
      </c>
      <c r="ES98" s="96">
        <f>IFERROR(VLOOKUP($B98,INDIRECT("'GRD-"&amp;ES$11&amp;"'!B:R"),15,FALSE),"")</f>
        <v/>
      </c>
      <c r="ET98" s="96">
        <f>IFERROR(VLOOKUP($B98,INDIRECT("'GRD-"&amp;ET$11&amp;"'!B:R"),15,FALSE),"")</f>
        <v/>
      </c>
      <c r="EU98" s="96">
        <f>IFERROR(VLOOKUP($B98,INDIRECT("'GRD-"&amp;EU$11&amp;"'!B:R"),15,FALSE),"")</f>
        <v/>
      </c>
      <c r="EV98" s="96">
        <f>IFERROR(VLOOKUP($B98,INDIRECT("'GRD-"&amp;EV$11&amp;"'!B:R"),15,FALSE),"")</f>
        <v/>
      </c>
      <c r="EW98" s="96">
        <f>IFERROR(VLOOKUP($B98,INDIRECT("'GRD-"&amp;EW$11&amp;"'!B:R"),15,FALSE),"")</f>
        <v/>
      </c>
      <c r="EX98" s="96">
        <f>IFERROR(VLOOKUP($B98,INDIRECT("'GRD-"&amp;EX$11&amp;"'!B:R"),15,FALSE),"")</f>
        <v/>
      </c>
      <c r="EY98" s="96">
        <f>IFERROR(VLOOKUP($B98,INDIRECT("'GRD-"&amp;EY$11&amp;"'!B:R"),15,FALSE),"")</f>
        <v/>
      </c>
      <c r="EZ98" s="96">
        <f>IFERROR(VLOOKUP($B98,INDIRECT("'GRD-"&amp;EZ$11&amp;"'!B:R"),15,FALSE),"")</f>
        <v/>
      </c>
      <c r="FA98" s="96">
        <f>IFERROR(VLOOKUP($B98,INDIRECT("'GRD-"&amp;FA$11&amp;"'!B:R"),15,FALSE),"")</f>
        <v/>
      </c>
      <c r="FB98" s="96">
        <f>IFERROR(VLOOKUP($B98,INDIRECT("'GRD-"&amp;FB$11&amp;"'!B:R"),15,FALSE),"")</f>
        <v/>
      </c>
      <c r="FC98" s="96">
        <f>IFERROR(VLOOKUP($B98,INDIRECT("'GRD-"&amp;FC$11&amp;"'!B:R"),15,FALSE),"")</f>
        <v/>
      </c>
      <c r="FD98" s="96">
        <f>IFERROR(VLOOKUP($B98,INDIRECT("'GRD-"&amp;FD$11&amp;"'!B:R"),15,FALSE),"")</f>
        <v/>
      </c>
      <c r="FE98" s="96">
        <f>IFERROR(VLOOKUP($B98,INDIRECT("'GRD-"&amp;FE$11&amp;"'!B:R"),15,FALSE),"")</f>
        <v/>
      </c>
      <c r="FF98" s="96">
        <f>IFERROR(VLOOKUP($B98,INDIRECT("'GRD-"&amp;FF$11&amp;"'!B:R"),15,FALSE),"")</f>
        <v/>
      </c>
      <c r="FG98" s="96">
        <f>IFERROR(VLOOKUP($B98,INDIRECT("'GRD-"&amp;FG$11&amp;"'!B:R"),15,FALSE),"")</f>
        <v/>
      </c>
      <c r="FH98" s="96">
        <f>IFERROR(VLOOKUP($B98,INDIRECT("'GRD-"&amp;FH$11&amp;"'!B:R"),15,FALSE),"")</f>
        <v/>
      </c>
      <c r="FI98" s="96">
        <f>IFERROR(VLOOKUP($B98,INDIRECT("'GRD-"&amp;FI$11&amp;"'!B:R"),15,FALSE),"")</f>
        <v/>
      </c>
      <c r="FJ98" s="96">
        <f>IFERROR(VLOOKUP($B98,INDIRECT("'GRD-"&amp;FJ$11&amp;"'!B:R"),15,FALSE),"")</f>
        <v/>
      </c>
      <c r="FK98" s="96">
        <f>IFERROR(VLOOKUP($B98,INDIRECT("'GRD-"&amp;FK$11&amp;"'!B:R"),15,FALSE),"")</f>
        <v/>
      </c>
      <c r="FL98" s="96">
        <f>IFERROR(VLOOKUP($B98,INDIRECT("'GRD-"&amp;FL$11&amp;"'!B:R"),15,FALSE),"")</f>
        <v/>
      </c>
      <c r="FM98" s="96">
        <f>IFERROR(VLOOKUP($B98,INDIRECT("'GRD-"&amp;FM$11&amp;"'!B:R"),15,FALSE),"")</f>
        <v/>
      </c>
      <c r="FN98" s="96">
        <f>IFERROR(VLOOKUP($B98,INDIRECT("'GRD-"&amp;FN$11&amp;"'!B:R"),15,FALSE),"")</f>
        <v/>
      </c>
      <c r="FO98" s="96">
        <f>IFERROR(VLOOKUP($B98,INDIRECT("'GRD-"&amp;FO$11&amp;"'!B:R"),15,FALSE),"")</f>
        <v/>
      </c>
      <c r="FP98" s="96">
        <f>IFERROR(VLOOKUP($B98,INDIRECT("'GRD-"&amp;FP$11&amp;"'!B:R"),15,FALSE),"")</f>
        <v/>
      </c>
      <c r="FQ98" s="96">
        <f>IFERROR(VLOOKUP($B98,INDIRECT("'GRD-"&amp;FQ$11&amp;"'!B:R"),15,FALSE),"")</f>
        <v/>
      </c>
      <c r="FR98" s="96">
        <f>IFERROR(VLOOKUP($B98,INDIRECT("'GRD-"&amp;FR$11&amp;"'!B:R"),15,FALSE),"")</f>
        <v/>
      </c>
      <c r="FS98" s="96">
        <f>IFERROR(VLOOKUP($B98,INDIRECT("'GRD-"&amp;FS$11&amp;"'!B:R"),15,FALSE),"")</f>
        <v/>
      </c>
      <c r="FT98" s="96">
        <f>IFERROR(VLOOKUP($B98,INDIRECT("'GRD-"&amp;FT$11&amp;"'!B:R"),15,FALSE),"")</f>
        <v/>
      </c>
      <c r="FU98" s="96">
        <f>IFERROR(VLOOKUP($B98,INDIRECT("'GRD-"&amp;FU$11&amp;"'!B:R"),15,FALSE),"")</f>
        <v/>
      </c>
      <c r="FV98" s="96">
        <f>IFERROR(VLOOKUP($B98,INDIRECT("'GRD-"&amp;FV$11&amp;"'!B:R"),15,FALSE),"")</f>
        <v/>
      </c>
    </row>
    <row r="99">
      <c r="B99" s="85" t="n"/>
      <c r="C99" s="93" t="n"/>
      <c r="D99" s="73">
        <f>IF(K99="","",MAX($CA99:$FV99))</f>
        <v/>
      </c>
      <c r="E99" s="74">
        <f t="array" ref="E99">IF($K99="","",OFFSET($A$1,ROW($B99)-1,11+$D99*4,))</f>
        <v/>
      </c>
      <c r="F99" s="74">
        <f t="array" ref="F99">IF($K99="","",OFFSET($A$1,ROW($B99)-1,12+$D99*4,))</f>
        <v/>
      </c>
      <c r="G99" s="118">
        <f t="array" ref="G99">IF($K99="","",OFFSET($A$1,ROW($B99)-1,13+$D99*4,))</f>
        <v/>
      </c>
      <c r="H99" s="81" t="n"/>
      <c r="I99" s="82" t="n"/>
      <c r="J99" s="75">
        <f>IF(I99="A4",H99/8,IF(I99="A3",H99/4,IF(I99="A2",H99/2,IF(I99="A1",H99/1,IF(I99="A0",H99*2,"")))))</f>
        <v/>
      </c>
      <c r="K99" s="68">
        <f t="array" ref="K99">IFERROR(OFFSET($BZ$11,ROW($B99)-11,MATCH(K$10,$CA99:$FV99,0),),"")</f>
        <v/>
      </c>
      <c r="L99" s="85">
        <f>IF(K99="","",IF(VLOOKUP($B99,INDIRECT("'GRD-"&amp;M99&amp;"'!$B:$R"),16,FALSE)="","",VLOOKUP($B99,INDIRECT("'GRD-"&amp;M99&amp;"'!$B:$R"),16,FALSE)))</f>
        <v/>
      </c>
      <c r="M99" s="130">
        <f t="array" ref="M99">IF(K99="","",IFERROR(OFFSET($BZ$11,0,MATCH($K99,$CA99:$FV99,0),),""))</f>
        <v/>
      </c>
      <c r="N99" s="119">
        <f t="array" ref="N99">IF(K99="","",INDIRECT("'GRD-"&amp;M99&amp;"'!$L$7"))</f>
        <v/>
      </c>
      <c r="O99" s="76">
        <f t="array" ref="O99">IFERROR(OFFSET($BZ$11,ROW($B99)-11,MATCH(O$10,$CA99:$FV99,0),),"")</f>
        <v/>
      </c>
      <c r="P99" s="76">
        <f>IF(O99="","",IF(VLOOKUP($B99,INDIRECT("'GRD-"&amp;Q99&amp;"'!$B:$R"),16,FALSE)="","",VLOOKUP($B99,INDIRECT("'GRD-"&amp;Q99&amp;"'!$B:$R"),16,FALSE)))</f>
        <v/>
      </c>
      <c r="Q99" s="132">
        <f t="array" ref="Q99">IF(O99="","",IFERROR(OFFSET($BZ$11,0,MATCH($O99,$CA99:$FV99,0),),""))</f>
        <v/>
      </c>
      <c r="R99" s="121">
        <f t="array" ref="R99">IF(O99="","",INDIRECT("'GRD-"&amp;Q99&amp;"'!$L$7"))</f>
        <v/>
      </c>
      <c r="S99" s="83">
        <f t="array" ref="S99">IFERROR(OFFSET($BZ$11,ROW($B99)-11,MATCH(S$10,$CA99:$FV99,0),),"")</f>
        <v/>
      </c>
      <c r="T99" s="83">
        <f>IF(S99="","",IF(VLOOKUP($B99,INDIRECT("'GRD-"&amp;U99&amp;"'!$B:$R"),16,FALSE)="","",VLOOKUP($B99,INDIRECT("'GRD-"&amp;U99&amp;"'!$B:$R"),16,FALSE)))</f>
        <v/>
      </c>
      <c r="U99" s="128">
        <f t="array" ref="U99">IF(S99="","",IFERROR(OFFSET($BZ$11,0,MATCH($S99,$CA99:$FV99,0),),""))</f>
        <v/>
      </c>
      <c r="V99" s="133">
        <f t="array" ref="V99">IF(S99="","",INDIRECT("'GRD-"&amp;U99&amp;"'!$L$7"))</f>
        <v/>
      </c>
      <c r="W99" s="84">
        <f t="array" ref="W99">IFERROR(OFFSET($BZ$11,ROW($B99)-11,MATCH(W$10,$CA99:$FV99,0),),"")</f>
        <v/>
      </c>
      <c r="X99" s="84">
        <f>IF(W99="","",IF(VLOOKUP($B99,INDIRECT("'GRD-"&amp;Y99&amp;"'!$B:$R"),16,FALSE)="","",VLOOKUP($B99,INDIRECT("'GRD-"&amp;Y99&amp;"'!$B:$R"),16,FALSE)))</f>
        <v/>
      </c>
      <c r="Y99" s="129">
        <f t="array" ref="Y99">IF(W99="","",IFERROR(OFFSET($BZ$11,0,MATCH($W99,$CA99:$FV99,0),),""))</f>
        <v/>
      </c>
      <c r="Z99" s="134">
        <f t="array" ref="Z99">IF(W99="","",INDIRECT("'GRD-"&amp;Y99&amp;"'!$L$7"))</f>
        <v/>
      </c>
      <c r="AA99" s="85">
        <f t="array" ref="AA99">IFERROR(OFFSET($BZ$11,ROW($B99)-11,MATCH(AA$10,$CA99:$FV99,0),),"")</f>
        <v/>
      </c>
      <c r="AB99" s="85">
        <f>IF(AA99="","",IF(VLOOKUP($B99,INDIRECT("'GRD-"&amp;AC99&amp;"'!$B:$R"),16,FALSE)="","",VLOOKUP($B99,INDIRECT("'GRD-"&amp;AC99&amp;"'!$B:$R"),16,FALSE)))</f>
        <v/>
      </c>
      <c r="AC99" s="130">
        <f t="array" ref="AC99">IF(AA99="","",IFERROR(OFFSET($BZ$11,0,MATCH($AA99,$CA99:$FV99,0),),""))</f>
        <v/>
      </c>
      <c r="AD99" s="131">
        <f t="array" ref="AD99">IF(AA99="","",INDIRECT("'GRD-"&amp;AC99&amp;"'!$L$7"))</f>
        <v/>
      </c>
      <c r="AE99" s="76">
        <f t="array" ref="AE99">IFERROR(OFFSET($BZ$11,ROW($B99)-11,MATCH(AE$10,$CA99:$FV99,0),),"")</f>
        <v/>
      </c>
      <c r="AF99" s="76">
        <f>IF(AE99="","",IF(VLOOKUP($B99,INDIRECT("'GRD-"&amp;AG99&amp;"'!$B:$R"),16,FALSE)="","",VLOOKUP($B99,INDIRECT("'GRD-"&amp;AG99&amp;"'!$B:$R"),16,FALSE)))</f>
        <v/>
      </c>
      <c r="AG99" s="132">
        <f t="array" ref="AG99">IF(AE99="","",IFERROR(OFFSET($BZ$11,0,MATCH($AE99,$CA99:$FV99,0),),""))</f>
        <v/>
      </c>
      <c r="AH99" s="121">
        <f t="array" ref="AH99">IF(AE99="","",INDIRECT("'GRD-"&amp;AG99&amp;"'!$L$7"))</f>
        <v/>
      </c>
      <c r="AI99" s="83">
        <f t="array" ref="AI99">IFERROR(OFFSET($BZ$11,ROW($B99)-11,MATCH(AI$10,$CA99:$FV99,0),),"")</f>
        <v/>
      </c>
      <c r="AJ99" s="83">
        <f>IF(AI99="","",IF(VLOOKUP($B99,INDIRECT("'GRD-"&amp;AK99&amp;"'!$B:$R"),16,FALSE)="","",VLOOKUP($B99,INDIRECT("'GRD-"&amp;AK99&amp;"'!$B:$R"),16,FALSE)))</f>
        <v/>
      </c>
      <c r="AK99" s="128">
        <f t="array" ref="AK99">IF(AI99="","",IFERROR(OFFSET($BZ$11,0,MATCH($AI99,$CA99:$FV99,0),),""))</f>
        <v/>
      </c>
      <c r="AL99" s="133">
        <f t="array" ref="AL99">IF(AI99="","",INDIRECT("'GRD-"&amp;AK99&amp;"'!$L$7"))</f>
        <v/>
      </c>
      <c r="AM99" s="84">
        <f t="array" ref="AM99">IFERROR(OFFSET($BZ$11,ROW($B99)-11,MATCH(AM$10,$CA99:$FV99,0),),"")</f>
        <v/>
      </c>
      <c r="AN99" s="84">
        <f>IF(AM99="","",IF(VLOOKUP($B99,INDIRECT("'GRD-"&amp;AO99&amp;"'!$B:$R"),16,FALSE)="","",VLOOKUP($B99,INDIRECT("'GRD-"&amp;AO99&amp;"'!$B:$R"),16,FALSE)))</f>
        <v/>
      </c>
      <c r="AO99" s="129">
        <f t="array" ref="AO99">IF(AM99="","",IFERROR(OFFSET($BZ$11,0,MATCH($AM99,$CA99:$FV99,0),),""))</f>
        <v/>
      </c>
      <c r="AP99" s="134">
        <f t="array" ref="AP99">IF(AM99="","",INDIRECT("'GRD-"&amp;AO99&amp;"'!$L$7"))</f>
        <v/>
      </c>
      <c r="AQ99" s="85">
        <f t="array" ref="AQ99">IFERROR(OFFSET($BZ$11,ROW($B99)-11,MATCH(AQ$10,$CA99:$FV99,0),),"")</f>
        <v/>
      </c>
      <c r="AR99" s="85">
        <f>IF(AQ99="","",IF(VLOOKUP($B99,INDIRECT("'GRD-"&amp;AS99&amp;"'!$B:$R"),16,FALSE)="","",VLOOKUP($B99,INDIRECT("'GRD-"&amp;AS99&amp;"'!$B:$R"),16,FALSE)))</f>
        <v/>
      </c>
      <c r="AS99" s="130">
        <f t="array" ref="AS99">IF(AQ99="","",IFERROR(OFFSET($BZ$11,0,MATCH($AQ99,$CA99:$FV99,0),),""))</f>
        <v/>
      </c>
      <c r="AT99" s="131">
        <f t="array" ref="AT99">IF(AQ99="","",INDIRECT("'GRD-"&amp;AS99&amp;"'!$L$7"))</f>
        <v/>
      </c>
      <c r="AU99" s="76">
        <f t="array" ref="AU99">IFERROR(OFFSET($BZ$11,ROW($B99)-11,MATCH(AU$10,$CA99:$FV99,0),),"")</f>
        <v/>
      </c>
      <c r="AV99" s="76">
        <f>IF(AU99="","",IF(VLOOKUP($B99,INDIRECT("'GRD-"&amp;AW99&amp;"'!$B:$R"),16,FALSE)="","",VLOOKUP($B99,INDIRECT("'GRD-"&amp;AW99&amp;"'!$B:$R"),16,FALSE)))</f>
        <v/>
      </c>
      <c r="AW99" s="132">
        <f t="array" ref="AW99">IF(AU99="","",IFERROR(OFFSET($BZ$11,0,MATCH($AU99,$CA99:$FV99,0),),""))</f>
        <v/>
      </c>
      <c r="AX99" s="121">
        <f t="array" ref="AX99">IF(AU99="","",INDIRECT("'GRD-"&amp;AW99&amp;"'!$L$7"))</f>
        <v/>
      </c>
      <c r="AY99" s="83">
        <f t="array" ref="AY99">IFERROR(OFFSET($BZ$11,ROW($B99)-11,MATCH(AY$10,$CA99:$FV99,0),),"")</f>
        <v/>
      </c>
      <c r="AZ99" s="83">
        <f>IF(AY99="","",IF(VLOOKUP($B99,INDIRECT("'GRD-"&amp;BA99&amp;"'!$B:$R"),16,FALSE)="","",VLOOKUP($B99,INDIRECT("'GRD-"&amp;BA99&amp;"'!$B:$R"),16,FALSE)))</f>
        <v/>
      </c>
      <c r="BA99" s="128">
        <f t="array" ref="BA99">IF(AY99="","",IFERROR(OFFSET($BZ$11,0,MATCH($AY99,$CA99:$FV99,0),),""))</f>
        <v/>
      </c>
      <c r="BB99" s="133">
        <f t="array" ref="BB99">IF(AY99="","",INDIRECT("'GRD-"&amp;BA99&amp;"'!$L$7"))</f>
        <v/>
      </c>
      <c r="BC99" s="84">
        <f t="array" ref="BC99">IFERROR(OFFSET($BZ$11,ROW($B99)-11,MATCH(BC$10,$CA99:$FV99,0),),"")</f>
        <v/>
      </c>
      <c r="BD99" s="84">
        <f>IF(BC99="","",IF(VLOOKUP($B99,INDIRECT("'GRD-"&amp;BE99&amp;"'!$B:$R"),16,FALSE)="","",VLOOKUP($B99,INDIRECT("'GRD-"&amp;BE99&amp;"'!$B:$R"),16,FALSE)))</f>
        <v/>
      </c>
      <c r="BE99" s="129">
        <f t="array" ref="BE99">IF(BC99="","",IFERROR(OFFSET($BZ$11,0,MATCH($BC99,$CA99:$FV99,0),),""))</f>
        <v/>
      </c>
      <c r="BF99" s="134">
        <f t="array" ref="BF99">IF(BC99="","",INDIRECT("'GRD-"&amp;BE99&amp;"'!$L$7"))</f>
        <v/>
      </c>
      <c r="CA99" s="96">
        <f>IFERROR(VLOOKUP($B99,INDIRECT("'GRD-"&amp;CA$11&amp;"'!B:R"),15,FALSE),"")</f>
        <v/>
      </c>
      <c r="CB99" s="96">
        <f>IFERROR(VLOOKUP($B99,INDIRECT("'GRD-"&amp;CB$11&amp;"'!B:R"),15,FALSE),"")</f>
        <v/>
      </c>
      <c r="CC99" s="96">
        <f>IFERROR(VLOOKUP($B99,INDIRECT("'GRD-"&amp;CC$11&amp;"'!B:R"),15,FALSE),"")</f>
        <v/>
      </c>
      <c r="CD99" s="96">
        <f>IFERROR(VLOOKUP($B99,INDIRECT("'GRD-"&amp;CD$11&amp;"'!B:R"),15,FALSE),"")</f>
        <v/>
      </c>
      <c r="CE99" s="96">
        <f>IFERROR(VLOOKUP($B99,INDIRECT("'GRD-"&amp;CE$11&amp;"'!B:R"),15,FALSE),"")</f>
        <v/>
      </c>
      <c r="CF99" s="96">
        <f>IFERROR(VLOOKUP($B99,INDIRECT("'GRD-"&amp;CF$11&amp;"'!B:R"),15,FALSE),"")</f>
        <v/>
      </c>
      <c r="CG99" s="96">
        <f>IFERROR(VLOOKUP($B99,INDIRECT("'GRD-"&amp;CG$11&amp;"'!B:R"),15,FALSE),"")</f>
        <v/>
      </c>
      <c r="CH99" s="96">
        <f>IFERROR(VLOOKUP($B99,INDIRECT("'GRD-"&amp;CH$11&amp;"'!B:R"),15,FALSE),"")</f>
        <v/>
      </c>
      <c r="CI99" s="96">
        <f>IFERROR(VLOOKUP($B99,INDIRECT("'GRD-"&amp;CI$11&amp;"'!B:R"),15,FALSE),"")</f>
        <v/>
      </c>
      <c r="CJ99" s="96">
        <f>IFERROR(VLOOKUP($B99,INDIRECT("'GRD-"&amp;CJ$11&amp;"'!B:R"),15,FALSE),"")</f>
        <v/>
      </c>
      <c r="CK99" s="96">
        <f>IFERROR(VLOOKUP($B99,INDIRECT("'GRD-"&amp;CK$11&amp;"'!B:R"),15,FALSE),"")</f>
        <v/>
      </c>
      <c r="CL99" s="96">
        <f>IFERROR(VLOOKUP($B99,INDIRECT("'GRD-"&amp;CL$11&amp;"'!B:R"),15,FALSE),"")</f>
        <v/>
      </c>
      <c r="CM99" s="96">
        <f>IFERROR(VLOOKUP($B99,INDIRECT("'GRD-"&amp;CM$11&amp;"'!B:R"),15,FALSE),"")</f>
        <v/>
      </c>
      <c r="CN99" s="96">
        <f>IFERROR(VLOOKUP($B99,INDIRECT("'GRD-"&amp;CN$11&amp;"'!B:R"),15,FALSE),"")</f>
        <v/>
      </c>
      <c r="CO99" s="96">
        <f>IFERROR(VLOOKUP($B99,INDIRECT("'GRD-"&amp;CO$11&amp;"'!B:R"),15,FALSE),"")</f>
        <v/>
      </c>
      <c r="CP99" s="96">
        <f>IFERROR(VLOOKUP($B99,INDIRECT("'GRD-"&amp;CP$11&amp;"'!B:R"),15,FALSE),"")</f>
        <v/>
      </c>
      <c r="CQ99" s="96">
        <f>IFERROR(VLOOKUP($B99,INDIRECT("'GRD-"&amp;CQ$11&amp;"'!B:R"),15,FALSE),"")</f>
        <v/>
      </c>
      <c r="CR99" s="96">
        <f>IFERROR(VLOOKUP($B99,INDIRECT("'GRD-"&amp;CR$11&amp;"'!B:R"),15,FALSE),"")</f>
        <v/>
      </c>
      <c r="CS99" s="96">
        <f>IFERROR(VLOOKUP($B99,INDIRECT("'GRD-"&amp;CS$11&amp;"'!B:R"),15,FALSE),"")</f>
        <v/>
      </c>
      <c r="CT99" s="96">
        <f>IFERROR(VLOOKUP($B99,INDIRECT("'GRD-"&amp;CT$11&amp;"'!B:R"),15,FALSE),"")</f>
        <v/>
      </c>
      <c r="CU99" s="96">
        <f>IFERROR(VLOOKUP($B99,INDIRECT("'GRD-"&amp;CU$11&amp;"'!B:R"),15,FALSE),"")</f>
        <v/>
      </c>
      <c r="CV99" s="96">
        <f>IFERROR(VLOOKUP($B99,INDIRECT("'GRD-"&amp;CV$11&amp;"'!B:R"),15,FALSE),"")</f>
        <v/>
      </c>
      <c r="CW99" s="96">
        <f>IFERROR(VLOOKUP($B99,INDIRECT("'GRD-"&amp;CW$11&amp;"'!B:R"),15,FALSE),"")</f>
        <v/>
      </c>
      <c r="CX99" s="96">
        <f>IFERROR(VLOOKUP($B99,INDIRECT("'GRD-"&amp;CX$11&amp;"'!B:R"),15,FALSE),"")</f>
        <v/>
      </c>
      <c r="CY99" s="96">
        <f>IFERROR(VLOOKUP($B99,INDIRECT("'GRD-"&amp;CY$11&amp;"'!B:R"),15,FALSE),"")</f>
        <v/>
      </c>
      <c r="CZ99" s="96">
        <f>IFERROR(VLOOKUP($B99,INDIRECT("'GRD-"&amp;CZ$11&amp;"'!B:R"),15,FALSE),"")</f>
        <v/>
      </c>
      <c r="DA99" s="96">
        <f>IFERROR(VLOOKUP($B99,INDIRECT("'GRD-"&amp;DA$11&amp;"'!B:R"),15,FALSE),"")</f>
        <v/>
      </c>
      <c r="DB99" s="96">
        <f>IFERROR(VLOOKUP($B99,INDIRECT("'GRD-"&amp;DB$11&amp;"'!B:R"),15,FALSE),"")</f>
        <v/>
      </c>
      <c r="DC99" s="96">
        <f>IFERROR(VLOOKUP($B99,INDIRECT("'GRD-"&amp;DC$11&amp;"'!B:R"),15,FALSE),"")</f>
        <v/>
      </c>
      <c r="DD99" s="96">
        <f>IFERROR(VLOOKUP($B99,INDIRECT("'GRD-"&amp;DD$11&amp;"'!B:R"),15,FALSE),"")</f>
        <v/>
      </c>
      <c r="DE99" s="96">
        <f>IFERROR(VLOOKUP($B99,INDIRECT("'GRD-"&amp;DE$11&amp;"'!B:R"),15,FALSE),"")</f>
        <v/>
      </c>
      <c r="DF99" s="96">
        <f>IFERROR(VLOOKUP($B99,INDIRECT("'GRD-"&amp;DF$11&amp;"'!B:R"),15,FALSE),"")</f>
        <v/>
      </c>
      <c r="DG99" s="96">
        <f>IFERROR(VLOOKUP($B99,INDIRECT("'GRD-"&amp;DG$11&amp;"'!B:R"),15,FALSE),"")</f>
        <v/>
      </c>
      <c r="DH99" s="96">
        <f>IFERROR(VLOOKUP($B99,INDIRECT("'GRD-"&amp;DH$11&amp;"'!B:R"),15,FALSE),"")</f>
        <v/>
      </c>
      <c r="DI99" s="96">
        <f>IFERROR(VLOOKUP($B99,INDIRECT("'GRD-"&amp;DI$11&amp;"'!B:R"),15,FALSE),"")</f>
        <v/>
      </c>
      <c r="DJ99" s="96">
        <f>IFERROR(VLOOKUP($B99,INDIRECT("'GRD-"&amp;DJ$11&amp;"'!B:R"),15,FALSE),"")</f>
        <v/>
      </c>
      <c r="DK99" s="96">
        <f>IFERROR(VLOOKUP($B99,INDIRECT("'GRD-"&amp;DK$11&amp;"'!B:R"),15,FALSE),"")</f>
        <v/>
      </c>
      <c r="DL99" s="96">
        <f>IFERROR(VLOOKUP($B99,INDIRECT("'GRD-"&amp;DL$11&amp;"'!B:R"),15,FALSE),"")</f>
        <v/>
      </c>
      <c r="DM99" s="96">
        <f>IFERROR(VLOOKUP($B99,INDIRECT("'GRD-"&amp;DM$11&amp;"'!B:R"),15,FALSE),"")</f>
        <v/>
      </c>
      <c r="DN99" s="96">
        <f>IFERROR(VLOOKUP($B99,INDIRECT("'GRD-"&amp;DN$11&amp;"'!B:R"),15,FALSE),"")</f>
        <v/>
      </c>
      <c r="DO99" s="96">
        <f>IFERROR(VLOOKUP($B99,INDIRECT("'GRD-"&amp;DO$11&amp;"'!B:R"),15,FALSE),"")</f>
        <v/>
      </c>
      <c r="DP99" s="96">
        <f>IFERROR(VLOOKUP($B99,INDIRECT("'GRD-"&amp;DP$11&amp;"'!B:R"),15,FALSE),"")</f>
        <v/>
      </c>
      <c r="DQ99" s="96">
        <f>IFERROR(VLOOKUP($B99,INDIRECT("'GRD-"&amp;DQ$11&amp;"'!B:R"),15,FALSE),"")</f>
        <v/>
      </c>
      <c r="DR99" s="96">
        <f>IFERROR(VLOOKUP($B99,INDIRECT("'GRD-"&amp;DR$11&amp;"'!B:R"),15,FALSE),"")</f>
        <v/>
      </c>
      <c r="DS99" s="96">
        <f>IFERROR(VLOOKUP($B99,INDIRECT("'GRD-"&amp;DS$11&amp;"'!B:R"),15,FALSE),"")</f>
        <v/>
      </c>
      <c r="DT99" s="96">
        <f>IFERROR(VLOOKUP($B99,INDIRECT("'GRD-"&amp;DT$11&amp;"'!B:R"),15,FALSE),"")</f>
        <v/>
      </c>
      <c r="DU99" s="96">
        <f>IFERROR(VLOOKUP($B99,INDIRECT("'GRD-"&amp;DU$11&amp;"'!B:R"),15,FALSE),"")</f>
        <v/>
      </c>
      <c r="DV99" s="96">
        <f>IFERROR(VLOOKUP($B99,INDIRECT("'GRD-"&amp;DV$11&amp;"'!B:R"),15,FALSE),"")</f>
        <v/>
      </c>
      <c r="DW99" s="96">
        <f>IFERROR(VLOOKUP($B99,INDIRECT("'GRD-"&amp;DW$11&amp;"'!B:R"),15,FALSE),"")</f>
        <v/>
      </c>
      <c r="DX99" s="96">
        <f>IFERROR(VLOOKUP($B99,INDIRECT("'GRD-"&amp;DX$11&amp;"'!B:R"),15,FALSE),"")</f>
        <v/>
      </c>
      <c r="DY99" s="96">
        <f>IFERROR(VLOOKUP($B99,INDIRECT("'GRD-"&amp;DY$11&amp;"'!B:R"),15,FALSE),"")</f>
        <v/>
      </c>
      <c r="DZ99" s="96">
        <f>IFERROR(VLOOKUP($B99,INDIRECT("'GRD-"&amp;DZ$11&amp;"'!B:R"),15,FALSE),"")</f>
        <v/>
      </c>
      <c r="EA99" s="96">
        <f>IFERROR(VLOOKUP($B99,INDIRECT("'GRD-"&amp;EA$11&amp;"'!B:R"),15,FALSE),"")</f>
        <v/>
      </c>
      <c r="EB99" s="96">
        <f>IFERROR(VLOOKUP($B99,INDIRECT("'GRD-"&amp;EB$11&amp;"'!B:R"),15,FALSE),"")</f>
        <v/>
      </c>
      <c r="EC99" s="96">
        <f>IFERROR(VLOOKUP($B99,INDIRECT("'GRD-"&amp;EC$11&amp;"'!B:R"),15,FALSE),"")</f>
        <v/>
      </c>
      <c r="ED99" s="96">
        <f>IFERROR(VLOOKUP($B99,INDIRECT("'GRD-"&amp;ED$11&amp;"'!B:R"),15,FALSE),"")</f>
        <v/>
      </c>
      <c r="EE99" s="96">
        <f>IFERROR(VLOOKUP($B99,INDIRECT("'GRD-"&amp;EE$11&amp;"'!B:R"),15,FALSE),"")</f>
        <v/>
      </c>
      <c r="EF99" s="96">
        <f>IFERROR(VLOOKUP($B99,INDIRECT("'GRD-"&amp;EF$11&amp;"'!B:R"),15,FALSE),"")</f>
        <v/>
      </c>
      <c r="EG99" s="96">
        <f>IFERROR(VLOOKUP($B99,INDIRECT("'GRD-"&amp;EG$11&amp;"'!B:R"),15,FALSE),"")</f>
        <v/>
      </c>
      <c r="EH99" s="96">
        <f>IFERROR(VLOOKUP($B99,INDIRECT("'GRD-"&amp;EH$11&amp;"'!B:R"),15,FALSE),"")</f>
        <v/>
      </c>
      <c r="EI99" s="96">
        <f>IFERROR(VLOOKUP($B99,INDIRECT("'GRD-"&amp;EI$11&amp;"'!B:R"),15,FALSE),"")</f>
        <v/>
      </c>
      <c r="EJ99" s="96">
        <f>IFERROR(VLOOKUP($B99,INDIRECT("'GRD-"&amp;EJ$11&amp;"'!B:R"),15,FALSE),"")</f>
        <v/>
      </c>
      <c r="EK99" s="96">
        <f>IFERROR(VLOOKUP($B99,INDIRECT("'GRD-"&amp;EK$11&amp;"'!B:R"),15,FALSE),"")</f>
        <v/>
      </c>
      <c r="EL99" s="96">
        <f>IFERROR(VLOOKUP($B99,INDIRECT("'GRD-"&amp;EL$11&amp;"'!B:R"),15,FALSE),"")</f>
        <v/>
      </c>
      <c r="EM99" s="96">
        <f>IFERROR(VLOOKUP($B99,INDIRECT("'GRD-"&amp;EM$11&amp;"'!B:R"),15,FALSE),"")</f>
        <v/>
      </c>
      <c r="EN99" s="96">
        <f>IFERROR(VLOOKUP($B99,INDIRECT("'GRD-"&amp;EN$11&amp;"'!B:R"),15,FALSE),"")</f>
        <v/>
      </c>
      <c r="EO99" s="96">
        <f>IFERROR(VLOOKUP($B99,INDIRECT("'GRD-"&amp;EO$11&amp;"'!B:R"),15,FALSE),"")</f>
        <v/>
      </c>
      <c r="EP99" s="96">
        <f>IFERROR(VLOOKUP($B99,INDIRECT("'GRD-"&amp;EP$11&amp;"'!B:R"),15,FALSE),"")</f>
        <v/>
      </c>
      <c r="EQ99" s="96">
        <f>IFERROR(VLOOKUP($B99,INDIRECT("'GRD-"&amp;EQ$11&amp;"'!B:R"),15,FALSE),"")</f>
        <v/>
      </c>
      <c r="ER99" s="96">
        <f>IFERROR(VLOOKUP($B99,INDIRECT("'GRD-"&amp;ER$11&amp;"'!B:R"),15,FALSE),"")</f>
        <v/>
      </c>
      <c r="ES99" s="96">
        <f>IFERROR(VLOOKUP($B99,INDIRECT("'GRD-"&amp;ES$11&amp;"'!B:R"),15,FALSE),"")</f>
        <v/>
      </c>
      <c r="ET99" s="96">
        <f>IFERROR(VLOOKUP($B99,INDIRECT("'GRD-"&amp;ET$11&amp;"'!B:R"),15,FALSE),"")</f>
        <v/>
      </c>
      <c r="EU99" s="96">
        <f>IFERROR(VLOOKUP($B99,INDIRECT("'GRD-"&amp;EU$11&amp;"'!B:R"),15,FALSE),"")</f>
        <v/>
      </c>
      <c r="EV99" s="96">
        <f>IFERROR(VLOOKUP($B99,INDIRECT("'GRD-"&amp;EV$11&amp;"'!B:R"),15,FALSE),"")</f>
        <v/>
      </c>
      <c r="EW99" s="96">
        <f>IFERROR(VLOOKUP($B99,INDIRECT("'GRD-"&amp;EW$11&amp;"'!B:R"),15,FALSE),"")</f>
        <v/>
      </c>
      <c r="EX99" s="96">
        <f>IFERROR(VLOOKUP($B99,INDIRECT("'GRD-"&amp;EX$11&amp;"'!B:R"),15,FALSE),"")</f>
        <v/>
      </c>
      <c r="EY99" s="96">
        <f>IFERROR(VLOOKUP($B99,INDIRECT("'GRD-"&amp;EY$11&amp;"'!B:R"),15,FALSE),"")</f>
        <v/>
      </c>
      <c r="EZ99" s="96">
        <f>IFERROR(VLOOKUP($B99,INDIRECT("'GRD-"&amp;EZ$11&amp;"'!B:R"),15,FALSE),"")</f>
        <v/>
      </c>
      <c r="FA99" s="96">
        <f>IFERROR(VLOOKUP($B99,INDIRECT("'GRD-"&amp;FA$11&amp;"'!B:R"),15,FALSE),"")</f>
        <v/>
      </c>
      <c r="FB99" s="96">
        <f>IFERROR(VLOOKUP($B99,INDIRECT("'GRD-"&amp;FB$11&amp;"'!B:R"),15,FALSE),"")</f>
        <v/>
      </c>
      <c r="FC99" s="96">
        <f>IFERROR(VLOOKUP($B99,INDIRECT("'GRD-"&amp;FC$11&amp;"'!B:R"),15,FALSE),"")</f>
        <v/>
      </c>
      <c r="FD99" s="96">
        <f>IFERROR(VLOOKUP($B99,INDIRECT("'GRD-"&amp;FD$11&amp;"'!B:R"),15,FALSE),"")</f>
        <v/>
      </c>
      <c r="FE99" s="96">
        <f>IFERROR(VLOOKUP($B99,INDIRECT("'GRD-"&amp;FE$11&amp;"'!B:R"),15,FALSE),"")</f>
        <v/>
      </c>
      <c r="FF99" s="96">
        <f>IFERROR(VLOOKUP($B99,INDIRECT("'GRD-"&amp;FF$11&amp;"'!B:R"),15,FALSE),"")</f>
        <v/>
      </c>
      <c r="FG99" s="96">
        <f>IFERROR(VLOOKUP($B99,INDIRECT("'GRD-"&amp;FG$11&amp;"'!B:R"),15,FALSE),"")</f>
        <v/>
      </c>
      <c r="FH99" s="96">
        <f>IFERROR(VLOOKUP($B99,INDIRECT("'GRD-"&amp;FH$11&amp;"'!B:R"),15,FALSE),"")</f>
        <v/>
      </c>
      <c r="FI99" s="96">
        <f>IFERROR(VLOOKUP($B99,INDIRECT("'GRD-"&amp;FI$11&amp;"'!B:R"),15,FALSE),"")</f>
        <v/>
      </c>
      <c r="FJ99" s="96">
        <f>IFERROR(VLOOKUP($B99,INDIRECT("'GRD-"&amp;FJ$11&amp;"'!B:R"),15,FALSE),"")</f>
        <v/>
      </c>
      <c r="FK99" s="96">
        <f>IFERROR(VLOOKUP($B99,INDIRECT("'GRD-"&amp;FK$11&amp;"'!B:R"),15,FALSE),"")</f>
        <v/>
      </c>
      <c r="FL99" s="96">
        <f>IFERROR(VLOOKUP($B99,INDIRECT("'GRD-"&amp;FL$11&amp;"'!B:R"),15,FALSE),"")</f>
        <v/>
      </c>
      <c r="FM99" s="96">
        <f>IFERROR(VLOOKUP($B99,INDIRECT("'GRD-"&amp;FM$11&amp;"'!B:R"),15,FALSE),"")</f>
        <v/>
      </c>
      <c r="FN99" s="96">
        <f>IFERROR(VLOOKUP($B99,INDIRECT("'GRD-"&amp;FN$11&amp;"'!B:R"),15,FALSE),"")</f>
        <v/>
      </c>
      <c r="FO99" s="96">
        <f>IFERROR(VLOOKUP($B99,INDIRECT("'GRD-"&amp;FO$11&amp;"'!B:R"),15,FALSE),"")</f>
        <v/>
      </c>
      <c r="FP99" s="96">
        <f>IFERROR(VLOOKUP($B99,INDIRECT("'GRD-"&amp;FP$11&amp;"'!B:R"),15,FALSE),"")</f>
        <v/>
      </c>
      <c r="FQ99" s="96">
        <f>IFERROR(VLOOKUP($B99,INDIRECT("'GRD-"&amp;FQ$11&amp;"'!B:R"),15,FALSE),"")</f>
        <v/>
      </c>
      <c r="FR99" s="96">
        <f>IFERROR(VLOOKUP($B99,INDIRECT("'GRD-"&amp;FR$11&amp;"'!B:R"),15,FALSE),"")</f>
        <v/>
      </c>
      <c r="FS99" s="96">
        <f>IFERROR(VLOOKUP($B99,INDIRECT("'GRD-"&amp;FS$11&amp;"'!B:R"),15,FALSE),"")</f>
        <v/>
      </c>
      <c r="FT99" s="96">
        <f>IFERROR(VLOOKUP($B99,INDIRECT("'GRD-"&amp;FT$11&amp;"'!B:R"),15,FALSE),"")</f>
        <v/>
      </c>
      <c r="FU99" s="96">
        <f>IFERROR(VLOOKUP($B99,INDIRECT("'GRD-"&amp;FU$11&amp;"'!B:R"),15,FALSE),"")</f>
        <v/>
      </c>
      <c r="FV99" s="96">
        <f>IFERROR(VLOOKUP($B99,INDIRECT("'GRD-"&amp;FV$11&amp;"'!B:R"),15,FALSE),"")</f>
        <v/>
      </c>
    </row>
    <row r="100">
      <c r="B100" s="85" t="n"/>
      <c r="C100" s="93" t="n"/>
      <c r="D100" s="73">
        <f>IF(K100="","",MAX($CA100:$FV100))</f>
        <v/>
      </c>
      <c r="E100" s="74">
        <f t="array" ref="E100">IF($K100="","",OFFSET($A$1,ROW($B100)-1,11+$D100*4,))</f>
        <v/>
      </c>
      <c r="F100" s="74">
        <f t="array" ref="F100">IF($K100="","",OFFSET($A$1,ROW($B100)-1,12+$D100*4,))</f>
        <v/>
      </c>
      <c r="G100" s="118">
        <f t="array" ref="G100">IF($K100="","",OFFSET($A$1,ROW($B100)-1,13+$D100*4,))</f>
        <v/>
      </c>
      <c r="H100" s="81" t="n"/>
      <c r="I100" s="82" t="n"/>
      <c r="J100" s="75">
        <f>IF(I100="A4",H100/8,IF(I100="A3",H100/4,IF(I100="A2",H100/2,IF(I100="A1",H100/1,IF(I100="A0",H100*2,"")))))</f>
        <v/>
      </c>
      <c r="K100" s="68">
        <f t="array" ref="K100">IFERROR(OFFSET($BZ$11,ROW($B100)-11,MATCH(K$10,$CA100:$FV100,0),),"")</f>
        <v/>
      </c>
      <c r="L100" s="85">
        <f>IF(K100="","",IF(VLOOKUP($B100,INDIRECT("'GRD-"&amp;M100&amp;"'!$B:$R"),16,FALSE)="","",VLOOKUP($B100,INDIRECT("'GRD-"&amp;M100&amp;"'!$B:$R"),16,FALSE)))</f>
        <v/>
      </c>
      <c r="M100" s="130">
        <f t="array" ref="M100">IF(K100="","",IFERROR(OFFSET($BZ$11,0,MATCH($K100,$CA100:$FV100,0),),""))</f>
        <v/>
      </c>
      <c r="N100" s="119">
        <f t="array" ref="N100">IF(K100="","",INDIRECT("'GRD-"&amp;M100&amp;"'!$L$7"))</f>
        <v/>
      </c>
      <c r="O100" s="76">
        <f t="array" ref="O100">IFERROR(OFFSET($BZ$11,ROW($B100)-11,MATCH(O$10,$CA100:$FV100,0),),"")</f>
        <v/>
      </c>
      <c r="P100" s="76">
        <f>IF(O100="","",IF(VLOOKUP($B100,INDIRECT("'GRD-"&amp;Q100&amp;"'!$B:$R"),16,FALSE)="","",VLOOKUP($B100,INDIRECT("'GRD-"&amp;Q100&amp;"'!$B:$R"),16,FALSE)))</f>
        <v/>
      </c>
      <c r="Q100" s="132">
        <f t="array" ref="Q100">IF(O100="","",IFERROR(OFFSET($BZ$11,0,MATCH($O100,$CA100:$FV100,0),),""))</f>
        <v/>
      </c>
      <c r="R100" s="121">
        <f t="array" ref="R100">IF(O100="","",INDIRECT("'GRD-"&amp;Q100&amp;"'!$L$7"))</f>
        <v/>
      </c>
      <c r="S100" s="83">
        <f t="array" ref="S100">IFERROR(OFFSET($BZ$11,ROW($B100)-11,MATCH(S$10,$CA100:$FV100,0),),"")</f>
        <v/>
      </c>
      <c r="T100" s="83">
        <f>IF(S100="","",IF(VLOOKUP($B100,INDIRECT("'GRD-"&amp;U100&amp;"'!$B:$R"),16,FALSE)="","",VLOOKUP($B100,INDIRECT("'GRD-"&amp;U100&amp;"'!$B:$R"),16,FALSE)))</f>
        <v/>
      </c>
      <c r="U100" s="128">
        <f t="array" ref="U100">IF(S100="","",IFERROR(OFFSET($BZ$11,0,MATCH($S100,$CA100:$FV100,0),),""))</f>
        <v/>
      </c>
      <c r="V100" s="133">
        <f t="array" ref="V100">IF(S100="","",INDIRECT("'GRD-"&amp;U100&amp;"'!$L$7"))</f>
        <v/>
      </c>
      <c r="W100" s="84">
        <f t="array" ref="W100">IFERROR(OFFSET($BZ$11,ROW($B100)-11,MATCH(W$10,$CA100:$FV100,0),),"")</f>
        <v/>
      </c>
      <c r="X100" s="84">
        <f>IF(W100="","",IF(VLOOKUP($B100,INDIRECT("'GRD-"&amp;Y100&amp;"'!$B:$R"),16,FALSE)="","",VLOOKUP($B100,INDIRECT("'GRD-"&amp;Y100&amp;"'!$B:$R"),16,FALSE)))</f>
        <v/>
      </c>
      <c r="Y100" s="129">
        <f t="array" ref="Y100">IF(W100="","",IFERROR(OFFSET($BZ$11,0,MATCH($W100,$CA100:$FV100,0),),""))</f>
        <v/>
      </c>
      <c r="Z100" s="134">
        <f t="array" ref="Z100">IF(W100="","",INDIRECT("'GRD-"&amp;Y100&amp;"'!$L$7"))</f>
        <v/>
      </c>
      <c r="AA100" s="85">
        <f t="array" ref="AA100">IFERROR(OFFSET($BZ$11,ROW($B100)-11,MATCH(AA$10,$CA100:$FV100,0),),"")</f>
        <v/>
      </c>
      <c r="AB100" s="85">
        <f>IF(AA100="","",IF(VLOOKUP($B100,INDIRECT("'GRD-"&amp;AC100&amp;"'!$B:$R"),16,FALSE)="","",VLOOKUP($B100,INDIRECT("'GRD-"&amp;AC100&amp;"'!$B:$R"),16,FALSE)))</f>
        <v/>
      </c>
      <c r="AC100" s="130">
        <f t="array" ref="AC100">IF(AA100="","",IFERROR(OFFSET($BZ$11,0,MATCH($AA100,$CA100:$FV100,0),),""))</f>
        <v/>
      </c>
      <c r="AD100" s="131">
        <f t="array" ref="AD100">IF(AA100="","",INDIRECT("'GRD-"&amp;AC100&amp;"'!$L$7"))</f>
        <v/>
      </c>
      <c r="AE100" s="76">
        <f t="array" ref="AE100">IFERROR(OFFSET($BZ$11,ROW($B100)-11,MATCH(AE$10,$CA100:$FV100,0),),"")</f>
        <v/>
      </c>
      <c r="AF100" s="76">
        <f>IF(AE100="","",IF(VLOOKUP($B100,INDIRECT("'GRD-"&amp;AG100&amp;"'!$B:$R"),16,FALSE)="","",VLOOKUP($B100,INDIRECT("'GRD-"&amp;AG100&amp;"'!$B:$R"),16,FALSE)))</f>
        <v/>
      </c>
      <c r="AG100" s="132">
        <f t="array" ref="AG100">IF(AE100="","",IFERROR(OFFSET($BZ$11,0,MATCH($AE100,$CA100:$FV100,0),),""))</f>
        <v/>
      </c>
      <c r="AH100" s="121">
        <f t="array" ref="AH100">IF(AE100="","",INDIRECT("'GRD-"&amp;AG100&amp;"'!$L$7"))</f>
        <v/>
      </c>
      <c r="AI100" s="83">
        <f t="array" ref="AI100">IFERROR(OFFSET($BZ$11,ROW($B100)-11,MATCH(AI$10,$CA100:$FV100,0),),"")</f>
        <v/>
      </c>
      <c r="AJ100" s="83">
        <f>IF(AI100="","",IF(VLOOKUP($B100,INDIRECT("'GRD-"&amp;AK100&amp;"'!$B:$R"),16,FALSE)="","",VLOOKUP($B100,INDIRECT("'GRD-"&amp;AK100&amp;"'!$B:$R"),16,FALSE)))</f>
        <v/>
      </c>
      <c r="AK100" s="128">
        <f t="array" ref="AK100">IF(AI100="","",IFERROR(OFFSET($BZ$11,0,MATCH($AI100,$CA100:$FV100,0),),""))</f>
        <v/>
      </c>
      <c r="AL100" s="133">
        <f t="array" ref="AL100">IF(AI100="","",INDIRECT("'GRD-"&amp;AK100&amp;"'!$L$7"))</f>
        <v/>
      </c>
      <c r="AM100" s="84">
        <f t="array" ref="AM100">IFERROR(OFFSET($BZ$11,ROW($B100)-11,MATCH(AM$10,$CA100:$FV100,0),),"")</f>
        <v/>
      </c>
      <c r="AN100" s="84">
        <f>IF(AM100="","",IF(VLOOKUP($B100,INDIRECT("'GRD-"&amp;AO100&amp;"'!$B:$R"),16,FALSE)="","",VLOOKUP($B100,INDIRECT("'GRD-"&amp;AO100&amp;"'!$B:$R"),16,FALSE)))</f>
        <v/>
      </c>
      <c r="AO100" s="129">
        <f t="array" ref="AO100">IF(AM100="","",IFERROR(OFFSET($BZ$11,0,MATCH($AM100,$CA100:$FV100,0),),""))</f>
        <v/>
      </c>
      <c r="AP100" s="134">
        <f t="array" ref="AP100">IF(AM100="","",INDIRECT("'GRD-"&amp;AO100&amp;"'!$L$7"))</f>
        <v/>
      </c>
      <c r="AQ100" s="85">
        <f t="array" ref="AQ100">IFERROR(OFFSET($BZ$11,ROW($B100)-11,MATCH(AQ$10,$CA100:$FV100,0),),"")</f>
        <v/>
      </c>
      <c r="AR100" s="85">
        <f>IF(AQ100="","",IF(VLOOKUP($B100,INDIRECT("'GRD-"&amp;AS100&amp;"'!$B:$R"),16,FALSE)="","",VLOOKUP($B100,INDIRECT("'GRD-"&amp;AS100&amp;"'!$B:$R"),16,FALSE)))</f>
        <v/>
      </c>
      <c r="AS100" s="130">
        <f t="array" ref="AS100">IF(AQ100="","",IFERROR(OFFSET($BZ$11,0,MATCH($AQ100,$CA100:$FV100,0),),""))</f>
        <v/>
      </c>
      <c r="AT100" s="131">
        <f t="array" ref="AT100">IF(AQ100="","",INDIRECT("'GRD-"&amp;AS100&amp;"'!$L$7"))</f>
        <v/>
      </c>
      <c r="AU100" s="76">
        <f t="array" ref="AU100">IFERROR(OFFSET($BZ$11,ROW($B100)-11,MATCH(AU$10,$CA100:$FV100,0),),"")</f>
        <v/>
      </c>
      <c r="AV100" s="76">
        <f>IF(AU100="","",IF(VLOOKUP($B100,INDIRECT("'GRD-"&amp;AW100&amp;"'!$B:$R"),16,FALSE)="","",VLOOKUP($B100,INDIRECT("'GRD-"&amp;AW100&amp;"'!$B:$R"),16,FALSE)))</f>
        <v/>
      </c>
      <c r="AW100" s="132">
        <f t="array" ref="AW100">IF(AU100="","",IFERROR(OFFSET($BZ$11,0,MATCH($AU100,$CA100:$FV100,0),),""))</f>
        <v/>
      </c>
      <c r="AX100" s="121">
        <f t="array" ref="AX100">IF(AU100="","",INDIRECT("'GRD-"&amp;AW100&amp;"'!$L$7"))</f>
        <v/>
      </c>
      <c r="AY100" s="83">
        <f t="array" ref="AY100">IFERROR(OFFSET($BZ$11,ROW($B100)-11,MATCH(AY$10,$CA100:$FV100,0),),"")</f>
        <v/>
      </c>
      <c r="AZ100" s="83">
        <f>IF(AY100="","",IF(VLOOKUP($B100,INDIRECT("'GRD-"&amp;BA100&amp;"'!$B:$R"),16,FALSE)="","",VLOOKUP($B100,INDIRECT("'GRD-"&amp;BA100&amp;"'!$B:$R"),16,FALSE)))</f>
        <v/>
      </c>
      <c r="BA100" s="128">
        <f t="array" ref="BA100">IF(AY100="","",IFERROR(OFFSET($BZ$11,0,MATCH($AY100,$CA100:$FV100,0),),""))</f>
        <v/>
      </c>
      <c r="BB100" s="133">
        <f t="array" ref="BB100">IF(AY100="","",INDIRECT("'GRD-"&amp;BA100&amp;"'!$L$7"))</f>
        <v/>
      </c>
      <c r="BC100" s="84">
        <f t="array" ref="BC100">IFERROR(OFFSET($BZ$11,ROW($B100)-11,MATCH(BC$10,$CA100:$FV100,0),),"")</f>
        <v/>
      </c>
      <c r="BD100" s="84">
        <f>IF(BC100="","",IF(VLOOKUP($B100,INDIRECT("'GRD-"&amp;BE100&amp;"'!$B:$R"),16,FALSE)="","",VLOOKUP($B100,INDIRECT("'GRD-"&amp;BE100&amp;"'!$B:$R"),16,FALSE)))</f>
        <v/>
      </c>
      <c r="BE100" s="129">
        <f t="array" ref="BE100">IF(BC100="","",IFERROR(OFFSET($BZ$11,0,MATCH($BC100,$CA100:$FV100,0),),""))</f>
        <v/>
      </c>
      <c r="BF100" s="134">
        <f t="array" ref="BF100">IF(BC100="","",INDIRECT("'GRD-"&amp;BE100&amp;"'!$L$7"))</f>
        <v/>
      </c>
      <c r="CA100" s="96">
        <f>IFERROR(VLOOKUP($B100,INDIRECT("'GRD-"&amp;CA$11&amp;"'!B:R"),15,FALSE),"")</f>
        <v/>
      </c>
      <c r="CB100" s="96">
        <f>IFERROR(VLOOKUP($B100,INDIRECT("'GRD-"&amp;CB$11&amp;"'!B:R"),15,FALSE),"")</f>
        <v/>
      </c>
      <c r="CC100" s="96">
        <f>IFERROR(VLOOKUP($B100,INDIRECT("'GRD-"&amp;CC$11&amp;"'!B:R"),15,FALSE),"")</f>
        <v/>
      </c>
      <c r="CD100" s="96">
        <f>IFERROR(VLOOKUP($B100,INDIRECT("'GRD-"&amp;CD$11&amp;"'!B:R"),15,FALSE),"")</f>
        <v/>
      </c>
      <c r="CE100" s="96">
        <f>IFERROR(VLOOKUP($B100,INDIRECT("'GRD-"&amp;CE$11&amp;"'!B:R"),15,FALSE),"")</f>
        <v/>
      </c>
      <c r="CF100" s="96">
        <f>IFERROR(VLOOKUP($B100,INDIRECT("'GRD-"&amp;CF$11&amp;"'!B:R"),15,FALSE),"")</f>
        <v/>
      </c>
      <c r="CG100" s="96">
        <f>IFERROR(VLOOKUP($B100,INDIRECT("'GRD-"&amp;CG$11&amp;"'!B:R"),15,FALSE),"")</f>
        <v/>
      </c>
      <c r="CH100" s="96">
        <f>IFERROR(VLOOKUP($B100,INDIRECT("'GRD-"&amp;CH$11&amp;"'!B:R"),15,FALSE),"")</f>
        <v/>
      </c>
      <c r="CI100" s="96">
        <f>IFERROR(VLOOKUP($B100,INDIRECT("'GRD-"&amp;CI$11&amp;"'!B:R"),15,FALSE),"")</f>
        <v/>
      </c>
      <c r="CJ100" s="96">
        <f>IFERROR(VLOOKUP($B100,INDIRECT("'GRD-"&amp;CJ$11&amp;"'!B:R"),15,FALSE),"")</f>
        <v/>
      </c>
      <c r="CK100" s="96">
        <f>IFERROR(VLOOKUP($B100,INDIRECT("'GRD-"&amp;CK$11&amp;"'!B:R"),15,FALSE),"")</f>
        <v/>
      </c>
      <c r="CL100" s="96">
        <f>IFERROR(VLOOKUP($B100,INDIRECT("'GRD-"&amp;CL$11&amp;"'!B:R"),15,FALSE),"")</f>
        <v/>
      </c>
      <c r="CM100" s="96">
        <f>IFERROR(VLOOKUP($B100,INDIRECT("'GRD-"&amp;CM$11&amp;"'!B:R"),15,FALSE),"")</f>
        <v/>
      </c>
      <c r="CN100" s="96">
        <f>IFERROR(VLOOKUP($B100,INDIRECT("'GRD-"&amp;CN$11&amp;"'!B:R"),15,FALSE),"")</f>
        <v/>
      </c>
      <c r="CO100" s="96">
        <f>IFERROR(VLOOKUP($B100,INDIRECT("'GRD-"&amp;CO$11&amp;"'!B:R"),15,FALSE),"")</f>
        <v/>
      </c>
      <c r="CP100" s="96">
        <f>IFERROR(VLOOKUP($B100,INDIRECT("'GRD-"&amp;CP$11&amp;"'!B:R"),15,FALSE),"")</f>
        <v/>
      </c>
      <c r="CQ100" s="96">
        <f>IFERROR(VLOOKUP($B100,INDIRECT("'GRD-"&amp;CQ$11&amp;"'!B:R"),15,FALSE),"")</f>
        <v/>
      </c>
      <c r="CR100" s="96">
        <f>IFERROR(VLOOKUP($B100,INDIRECT("'GRD-"&amp;CR$11&amp;"'!B:R"),15,FALSE),"")</f>
        <v/>
      </c>
      <c r="CS100" s="96">
        <f>IFERROR(VLOOKUP($B100,INDIRECT("'GRD-"&amp;CS$11&amp;"'!B:R"),15,FALSE),"")</f>
        <v/>
      </c>
      <c r="CT100" s="96">
        <f>IFERROR(VLOOKUP($B100,INDIRECT("'GRD-"&amp;CT$11&amp;"'!B:R"),15,FALSE),"")</f>
        <v/>
      </c>
      <c r="CU100" s="96">
        <f>IFERROR(VLOOKUP($B100,INDIRECT("'GRD-"&amp;CU$11&amp;"'!B:R"),15,FALSE),"")</f>
        <v/>
      </c>
      <c r="CV100" s="96">
        <f>IFERROR(VLOOKUP($B100,INDIRECT("'GRD-"&amp;CV$11&amp;"'!B:R"),15,FALSE),"")</f>
        <v/>
      </c>
      <c r="CW100" s="96">
        <f>IFERROR(VLOOKUP($B100,INDIRECT("'GRD-"&amp;CW$11&amp;"'!B:R"),15,FALSE),"")</f>
        <v/>
      </c>
      <c r="CX100" s="96">
        <f>IFERROR(VLOOKUP($B100,INDIRECT("'GRD-"&amp;CX$11&amp;"'!B:R"),15,FALSE),"")</f>
        <v/>
      </c>
      <c r="CY100" s="96">
        <f>IFERROR(VLOOKUP($B100,INDIRECT("'GRD-"&amp;CY$11&amp;"'!B:R"),15,FALSE),"")</f>
        <v/>
      </c>
      <c r="CZ100" s="96">
        <f>IFERROR(VLOOKUP($B100,INDIRECT("'GRD-"&amp;CZ$11&amp;"'!B:R"),15,FALSE),"")</f>
        <v/>
      </c>
      <c r="DA100" s="96">
        <f>IFERROR(VLOOKUP($B100,INDIRECT("'GRD-"&amp;DA$11&amp;"'!B:R"),15,FALSE),"")</f>
        <v/>
      </c>
      <c r="DB100" s="96">
        <f>IFERROR(VLOOKUP($B100,INDIRECT("'GRD-"&amp;DB$11&amp;"'!B:R"),15,FALSE),"")</f>
        <v/>
      </c>
      <c r="DC100" s="96">
        <f>IFERROR(VLOOKUP($B100,INDIRECT("'GRD-"&amp;DC$11&amp;"'!B:R"),15,FALSE),"")</f>
        <v/>
      </c>
      <c r="DD100" s="96">
        <f>IFERROR(VLOOKUP($B100,INDIRECT("'GRD-"&amp;DD$11&amp;"'!B:R"),15,FALSE),"")</f>
        <v/>
      </c>
      <c r="DE100" s="96">
        <f>IFERROR(VLOOKUP($B100,INDIRECT("'GRD-"&amp;DE$11&amp;"'!B:R"),15,FALSE),"")</f>
        <v/>
      </c>
      <c r="DF100" s="96">
        <f>IFERROR(VLOOKUP($B100,INDIRECT("'GRD-"&amp;DF$11&amp;"'!B:R"),15,FALSE),"")</f>
        <v/>
      </c>
      <c r="DG100" s="96">
        <f>IFERROR(VLOOKUP($B100,INDIRECT("'GRD-"&amp;DG$11&amp;"'!B:R"),15,FALSE),"")</f>
        <v/>
      </c>
      <c r="DH100" s="96">
        <f>IFERROR(VLOOKUP($B100,INDIRECT("'GRD-"&amp;DH$11&amp;"'!B:R"),15,FALSE),"")</f>
        <v/>
      </c>
      <c r="DI100" s="96">
        <f>IFERROR(VLOOKUP($B100,INDIRECT("'GRD-"&amp;DI$11&amp;"'!B:R"),15,FALSE),"")</f>
        <v/>
      </c>
      <c r="DJ100" s="96">
        <f>IFERROR(VLOOKUP($B100,INDIRECT("'GRD-"&amp;DJ$11&amp;"'!B:R"),15,FALSE),"")</f>
        <v/>
      </c>
      <c r="DK100" s="96">
        <f>IFERROR(VLOOKUP($B100,INDIRECT("'GRD-"&amp;DK$11&amp;"'!B:R"),15,FALSE),"")</f>
        <v/>
      </c>
      <c r="DL100" s="96">
        <f>IFERROR(VLOOKUP($B100,INDIRECT("'GRD-"&amp;DL$11&amp;"'!B:R"),15,FALSE),"")</f>
        <v/>
      </c>
      <c r="DM100" s="96">
        <f>IFERROR(VLOOKUP($B100,INDIRECT("'GRD-"&amp;DM$11&amp;"'!B:R"),15,FALSE),"")</f>
        <v/>
      </c>
      <c r="DN100" s="96">
        <f>IFERROR(VLOOKUP($B100,INDIRECT("'GRD-"&amp;DN$11&amp;"'!B:R"),15,FALSE),"")</f>
        <v/>
      </c>
      <c r="DO100" s="96">
        <f>IFERROR(VLOOKUP($B100,INDIRECT("'GRD-"&amp;DO$11&amp;"'!B:R"),15,FALSE),"")</f>
        <v/>
      </c>
      <c r="DP100" s="96">
        <f>IFERROR(VLOOKUP($B100,INDIRECT("'GRD-"&amp;DP$11&amp;"'!B:R"),15,FALSE),"")</f>
        <v/>
      </c>
      <c r="DQ100" s="96">
        <f>IFERROR(VLOOKUP($B100,INDIRECT("'GRD-"&amp;DQ$11&amp;"'!B:R"),15,FALSE),"")</f>
        <v/>
      </c>
      <c r="DR100" s="96">
        <f>IFERROR(VLOOKUP($B100,INDIRECT("'GRD-"&amp;DR$11&amp;"'!B:R"),15,FALSE),"")</f>
        <v/>
      </c>
      <c r="DS100" s="96">
        <f>IFERROR(VLOOKUP($B100,INDIRECT("'GRD-"&amp;DS$11&amp;"'!B:R"),15,FALSE),"")</f>
        <v/>
      </c>
      <c r="DT100" s="96">
        <f>IFERROR(VLOOKUP($B100,INDIRECT("'GRD-"&amp;DT$11&amp;"'!B:R"),15,FALSE),"")</f>
        <v/>
      </c>
      <c r="DU100" s="96">
        <f>IFERROR(VLOOKUP($B100,INDIRECT("'GRD-"&amp;DU$11&amp;"'!B:R"),15,FALSE),"")</f>
        <v/>
      </c>
      <c r="DV100" s="96">
        <f>IFERROR(VLOOKUP($B100,INDIRECT("'GRD-"&amp;DV$11&amp;"'!B:R"),15,FALSE),"")</f>
        <v/>
      </c>
      <c r="DW100" s="96">
        <f>IFERROR(VLOOKUP($B100,INDIRECT("'GRD-"&amp;DW$11&amp;"'!B:R"),15,FALSE),"")</f>
        <v/>
      </c>
      <c r="DX100" s="96">
        <f>IFERROR(VLOOKUP($B100,INDIRECT("'GRD-"&amp;DX$11&amp;"'!B:R"),15,FALSE),"")</f>
        <v/>
      </c>
      <c r="DY100" s="96">
        <f>IFERROR(VLOOKUP($B100,INDIRECT("'GRD-"&amp;DY$11&amp;"'!B:R"),15,FALSE),"")</f>
        <v/>
      </c>
      <c r="DZ100" s="96">
        <f>IFERROR(VLOOKUP($B100,INDIRECT("'GRD-"&amp;DZ$11&amp;"'!B:R"),15,FALSE),"")</f>
        <v/>
      </c>
      <c r="EA100" s="96">
        <f>IFERROR(VLOOKUP($B100,INDIRECT("'GRD-"&amp;EA$11&amp;"'!B:R"),15,FALSE),"")</f>
        <v/>
      </c>
      <c r="EB100" s="96">
        <f>IFERROR(VLOOKUP($B100,INDIRECT("'GRD-"&amp;EB$11&amp;"'!B:R"),15,FALSE),"")</f>
        <v/>
      </c>
      <c r="EC100" s="96">
        <f>IFERROR(VLOOKUP($B100,INDIRECT("'GRD-"&amp;EC$11&amp;"'!B:R"),15,FALSE),"")</f>
        <v/>
      </c>
      <c r="ED100" s="96">
        <f>IFERROR(VLOOKUP($B100,INDIRECT("'GRD-"&amp;ED$11&amp;"'!B:R"),15,FALSE),"")</f>
        <v/>
      </c>
      <c r="EE100" s="96">
        <f>IFERROR(VLOOKUP($B100,INDIRECT("'GRD-"&amp;EE$11&amp;"'!B:R"),15,FALSE),"")</f>
        <v/>
      </c>
      <c r="EF100" s="96">
        <f>IFERROR(VLOOKUP($B100,INDIRECT("'GRD-"&amp;EF$11&amp;"'!B:R"),15,FALSE),"")</f>
        <v/>
      </c>
      <c r="EG100" s="96">
        <f>IFERROR(VLOOKUP($B100,INDIRECT("'GRD-"&amp;EG$11&amp;"'!B:R"),15,FALSE),"")</f>
        <v/>
      </c>
      <c r="EH100" s="96">
        <f>IFERROR(VLOOKUP($B100,INDIRECT("'GRD-"&amp;EH$11&amp;"'!B:R"),15,FALSE),"")</f>
        <v/>
      </c>
      <c r="EI100" s="96">
        <f>IFERROR(VLOOKUP($B100,INDIRECT("'GRD-"&amp;EI$11&amp;"'!B:R"),15,FALSE),"")</f>
        <v/>
      </c>
      <c r="EJ100" s="96">
        <f>IFERROR(VLOOKUP($B100,INDIRECT("'GRD-"&amp;EJ$11&amp;"'!B:R"),15,FALSE),"")</f>
        <v/>
      </c>
      <c r="EK100" s="96">
        <f>IFERROR(VLOOKUP($B100,INDIRECT("'GRD-"&amp;EK$11&amp;"'!B:R"),15,FALSE),"")</f>
        <v/>
      </c>
      <c r="EL100" s="96">
        <f>IFERROR(VLOOKUP($B100,INDIRECT("'GRD-"&amp;EL$11&amp;"'!B:R"),15,FALSE),"")</f>
        <v/>
      </c>
      <c r="EM100" s="96">
        <f>IFERROR(VLOOKUP($B100,INDIRECT("'GRD-"&amp;EM$11&amp;"'!B:R"),15,FALSE),"")</f>
        <v/>
      </c>
      <c r="EN100" s="96">
        <f>IFERROR(VLOOKUP($B100,INDIRECT("'GRD-"&amp;EN$11&amp;"'!B:R"),15,FALSE),"")</f>
        <v/>
      </c>
      <c r="EO100" s="96">
        <f>IFERROR(VLOOKUP($B100,INDIRECT("'GRD-"&amp;EO$11&amp;"'!B:R"),15,FALSE),"")</f>
        <v/>
      </c>
      <c r="EP100" s="96">
        <f>IFERROR(VLOOKUP($B100,INDIRECT("'GRD-"&amp;EP$11&amp;"'!B:R"),15,FALSE),"")</f>
        <v/>
      </c>
      <c r="EQ100" s="96">
        <f>IFERROR(VLOOKUP($B100,INDIRECT("'GRD-"&amp;EQ$11&amp;"'!B:R"),15,FALSE),"")</f>
        <v/>
      </c>
      <c r="ER100" s="96">
        <f>IFERROR(VLOOKUP($B100,INDIRECT("'GRD-"&amp;ER$11&amp;"'!B:R"),15,FALSE),"")</f>
        <v/>
      </c>
      <c r="ES100" s="96">
        <f>IFERROR(VLOOKUP($B100,INDIRECT("'GRD-"&amp;ES$11&amp;"'!B:R"),15,FALSE),"")</f>
        <v/>
      </c>
      <c r="ET100" s="96">
        <f>IFERROR(VLOOKUP($B100,INDIRECT("'GRD-"&amp;ET$11&amp;"'!B:R"),15,FALSE),"")</f>
        <v/>
      </c>
      <c r="EU100" s="96">
        <f>IFERROR(VLOOKUP($B100,INDIRECT("'GRD-"&amp;EU$11&amp;"'!B:R"),15,FALSE),"")</f>
        <v/>
      </c>
      <c r="EV100" s="96">
        <f>IFERROR(VLOOKUP($B100,INDIRECT("'GRD-"&amp;EV$11&amp;"'!B:R"),15,FALSE),"")</f>
        <v/>
      </c>
      <c r="EW100" s="96">
        <f>IFERROR(VLOOKUP($B100,INDIRECT("'GRD-"&amp;EW$11&amp;"'!B:R"),15,FALSE),"")</f>
        <v/>
      </c>
      <c r="EX100" s="96">
        <f>IFERROR(VLOOKUP($B100,INDIRECT("'GRD-"&amp;EX$11&amp;"'!B:R"),15,FALSE),"")</f>
        <v/>
      </c>
      <c r="EY100" s="96">
        <f>IFERROR(VLOOKUP($B100,INDIRECT("'GRD-"&amp;EY$11&amp;"'!B:R"),15,FALSE),"")</f>
        <v/>
      </c>
      <c r="EZ100" s="96">
        <f>IFERROR(VLOOKUP($B100,INDIRECT("'GRD-"&amp;EZ$11&amp;"'!B:R"),15,FALSE),"")</f>
        <v/>
      </c>
      <c r="FA100" s="96">
        <f>IFERROR(VLOOKUP($B100,INDIRECT("'GRD-"&amp;FA$11&amp;"'!B:R"),15,FALSE),"")</f>
        <v/>
      </c>
      <c r="FB100" s="96">
        <f>IFERROR(VLOOKUP($B100,INDIRECT("'GRD-"&amp;FB$11&amp;"'!B:R"),15,FALSE),"")</f>
        <v/>
      </c>
      <c r="FC100" s="96">
        <f>IFERROR(VLOOKUP($B100,INDIRECT("'GRD-"&amp;FC$11&amp;"'!B:R"),15,FALSE),"")</f>
        <v/>
      </c>
      <c r="FD100" s="96">
        <f>IFERROR(VLOOKUP($B100,INDIRECT("'GRD-"&amp;FD$11&amp;"'!B:R"),15,FALSE),"")</f>
        <v/>
      </c>
      <c r="FE100" s="96">
        <f>IFERROR(VLOOKUP($B100,INDIRECT("'GRD-"&amp;FE$11&amp;"'!B:R"),15,FALSE),"")</f>
        <v/>
      </c>
      <c r="FF100" s="96">
        <f>IFERROR(VLOOKUP($B100,INDIRECT("'GRD-"&amp;FF$11&amp;"'!B:R"),15,FALSE),"")</f>
        <v/>
      </c>
      <c r="FG100" s="96">
        <f>IFERROR(VLOOKUP($B100,INDIRECT("'GRD-"&amp;FG$11&amp;"'!B:R"),15,FALSE),"")</f>
        <v/>
      </c>
      <c r="FH100" s="96">
        <f>IFERROR(VLOOKUP($B100,INDIRECT("'GRD-"&amp;FH$11&amp;"'!B:R"),15,FALSE),"")</f>
        <v/>
      </c>
      <c r="FI100" s="96">
        <f>IFERROR(VLOOKUP($B100,INDIRECT("'GRD-"&amp;FI$11&amp;"'!B:R"),15,FALSE),"")</f>
        <v/>
      </c>
      <c r="FJ100" s="96">
        <f>IFERROR(VLOOKUP($B100,INDIRECT("'GRD-"&amp;FJ$11&amp;"'!B:R"),15,FALSE),"")</f>
        <v/>
      </c>
      <c r="FK100" s="96">
        <f>IFERROR(VLOOKUP($B100,INDIRECT("'GRD-"&amp;FK$11&amp;"'!B:R"),15,FALSE),"")</f>
        <v/>
      </c>
      <c r="FL100" s="96">
        <f>IFERROR(VLOOKUP($B100,INDIRECT("'GRD-"&amp;FL$11&amp;"'!B:R"),15,FALSE),"")</f>
        <v/>
      </c>
      <c r="FM100" s="96">
        <f>IFERROR(VLOOKUP($B100,INDIRECT("'GRD-"&amp;FM$11&amp;"'!B:R"),15,FALSE),"")</f>
        <v/>
      </c>
      <c r="FN100" s="96">
        <f>IFERROR(VLOOKUP($B100,INDIRECT("'GRD-"&amp;FN$11&amp;"'!B:R"),15,FALSE),"")</f>
        <v/>
      </c>
      <c r="FO100" s="96">
        <f>IFERROR(VLOOKUP($B100,INDIRECT("'GRD-"&amp;FO$11&amp;"'!B:R"),15,FALSE),"")</f>
        <v/>
      </c>
      <c r="FP100" s="96">
        <f>IFERROR(VLOOKUP($B100,INDIRECT("'GRD-"&amp;FP$11&amp;"'!B:R"),15,FALSE),"")</f>
        <v/>
      </c>
      <c r="FQ100" s="96">
        <f>IFERROR(VLOOKUP($B100,INDIRECT("'GRD-"&amp;FQ$11&amp;"'!B:R"),15,FALSE),"")</f>
        <v/>
      </c>
      <c r="FR100" s="96">
        <f>IFERROR(VLOOKUP($B100,INDIRECT("'GRD-"&amp;FR$11&amp;"'!B:R"),15,FALSE),"")</f>
        <v/>
      </c>
      <c r="FS100" s="96">
        <f>IFERROR(VLOOKUP($B100,INDIRECT("'GRD-"&amp;FS$11&amp;"'!B:R"),15,FALSE),"")</f>
        <v/>
      </c>
      <c r="FT100" s="96">
        <f>IFERROR(VLOOKUP($B100,INDIRECT("'GRD-"&amp;FT$11&amp;"'!B:R"),15,FALSE),"")</f>
        <v/>
      </c>
      <c r="FU100" s="96">
        <f>IFERROR(VLOOKUP($B100,INDIRECT("'GRD-"&amp;FU$11&amp;"'!B:R"),15,FALSE),"")</f>
        <v/>
      </c>
      <c r="FV100" s="96">
        <f>IFERROR(VLOOKUP($B100,INDIRECT("'GRD-"&amp;FV$11&amp;"'!B:R"),15,FALSE),"")</f>
        <v/>
      </c>
    </row>
    <row r="101">
      <c r="B101" s="85" t="n"/>
      <c r="C101" s="93" t="n"/>
      <c r="D101" s="73">
        <f>IF(K101="","",MAX($CA101:$FV101))</f>
        <v/>
      </c>
      <c r="E101" s="74">
        <f t="array" ref="E101">IF($K101="","",OFFSET($A$1,ROW($B101)-1,11+$D101*4,))</f>
        <v/>
      </c>
      <c r="F101" s="74">
        <f t="array" ref="F101">IF($K101="","",OFFSET($A$1,ROW($B101)-1,12+$D101*4,))</f>
        <v/>
      </c>
      <c r="G101" s="118">
        <f t="array" ref="G101">IF($K101="","",OFFSET($A$1,ROW($B101)-1,13+$D101*4,))</f>
        <v/>
      </c>
      <c r="H101" s="81" t="n"/>
      <c r="I101" s="82" t="n"/>
      <c r="J101" s="75">
        <f>IF(I101="A4",H101/8,IF(I101="A3",H101/4,IF(I101="A2",H101/2,IF(I101="A1",H101/1,IF(I101="A0",H101*2,"")))))</f>
        <v/>
      </c>
      <c r="K101" s="68">
        <f t="array" ref="K101">IFERROR(OFFSET($BZ$11,ROW($B101)-11,MATCH(K$10,$CA101:$FV101,0),),"")</f>
        <v/>
      </c>
      <c r="L101" s="85">
        <f>IF(K101="","",IF(VLOOKUP($B101,INDIRECT("'GRD-"&amp;M101&amp;"'!$B:$R"),16,FALSE)="","",VLOOKUP($B101,INDIRECT("'GRD-"&amp;M101&amp;"'!$B:$R"),16,FALSE)))</f>
        <v/>
      </c>
      <c r="M101" s="130">
        <f t="array" ref="M101">IF(K101="","",IFERROR(OFFSET($BZ$11,0,MATCH($K101,$CA101:$FV101,0),),""))</f>
        <v/>
      </c>
      <c r="N101" s="119">
        <f t="array" ref="N101">IF(K101="","",INDIRECT("'GRD-"&amp;M101&amp;"'!$L$7"))</f>
        <v/>
      </c>
      <c r="O101" s="76">
        <f t="array" ref="O101">IFERROR(OFFSET($BZ$11,ROW($B101)-11,MATCH(O$10,$CA101:$FV101,0),),"")</f>
        <v/>
      </c>
      <c r="P101" s="76">
        <f>IF(O101="","",IF(VLOOKUP($B101,INDIRECT("'GRD-"&amp;Q101&amp;"'!$B:$R"),16,FALSE)="","",VLOOKUP($B101,INDIRECT("'GRD-"&amp;Q101&amp;"'!$B:$R"),16,FALSE)))</f>
        <v/>
      </c>
      <c r="Q101" s="132">
        <f t="array" ref="Q101">IF(O101="","",IFERROR(OFFSET($BZ$11,0,MATCH($O101,$CA101:$FV101,0),),""))</f>
        <v/>
      </c>
      <c r="R101" s="121">
        <f t="array" ref="R101">IF(O101="","",INDIRECT("'GRD-"&amp;Q101&amp;"'!$L$7"))</f>
        <v/>
      </c>
      <c r="S101" s="83">
        <f t="array" ref="S101">IFERROR(OFFSET($BZ$11,ROW($B101)-11,MATCH(S$10,$CA101:$FV101,0),),"")</f>
        <v/>
      </c>
      <c r="T101" s="83">
        <f>IF(S101="","",IF(VLOOKUP($B101,INDIRECT("'GRD-"&amp;U101&amp;"'!$B:$R"),16,FALSE)="","",VLOOKUP($B101,INDIRECT("'GRD-"&amp;U101&amp;"'!$B:$R"),16,FALSE)))</f>
        <v/>
      </c>
      <c r="U101" s="128">
        <f t="array" ref="U101">IF(S101="","",IFERROR(OFFSET($BZ$11,0,MATCH($S101,$CA101:$FV101,0),),""))</f>
        <v/>
      </c>
      <c r="V101" s="133">
        <f t="array" ref="V101">IF(S101="","",INDIRECT("'GRD-"&amp;U101&amp;"'!$L$7"))</f>
        <v/>
      </c>
      <c r="W101" s="84">
        <f t="array" ref="W101">IFERROR(OFFSET($BZ$11,ROW($B101)-11,MATCH(W$10,$CA101:$FV101,0),),"")</f>
        <v/>
      </c>
      <c r="X101" s="84">
        <f>IF(W101="","",IF(VLOOKUP($B101,INDIRECT("'GRD-"&amp;Y101&amp;"'!$B:$R"),16,FALSE)="","",VLOOKUP($B101,INDIRECT("'GRD-"&amp;Y101&amp;"'!$B:$R"),16,FALSE)))</f>
        <v/>
      </c>
      <c r="Y101" s="129">
        <f t="array" ref="Y101">IF(W101="","",IFERROR(OFFSET($BZ$11,0,MATCH($W101,$CA101:$FV101,0),),""))</f>
        <v/>
      </c>
      <c r="Z101" s="134">
        <f t="array" ref="Z101">IF(W101="","",INDIRECT("'GRD-"&amp;Y101&amp;"'!$L$7"))</f>
        <v/>
      </c>
      <c r="AA101" s="85">
        <f t="array" ref="AA101">IFERROR(OFFSET($BZ$11,ROW($B101)-11,MATCH(AA$10,$CA101:$FV101,0),),"")</f>
        <v/>
      </c>
      <c r="AB101" s="85">
        <f>IF(AA101="","",IF(VLOOKUP($B101,INDIRECT("'GRD-"&amp;AC101&amp;"'!$B:$R"),16,FALSE)="","",VLOOKUP($B101,INDIRECT("'GRD-"&amp;AC101&amp;"'!$B:$R"),16,FALSE)))</f>
        <v/>
      </c>
      <c r="AC101" s="130">
        <f t="array" ref="AC101">IF(AA101="","",IFERROR(OFFSET($BZ$11,0,MATCH($AA101,$CA101:$FV101,0),),""))</f>
        <v/>
      </c>
      <c r="AD101" s="131">
        <f t="array" ref="AD101">IF(AA101="","",INDIRECT("'GRD-"&amp;AC101&amp;"'!$L$7"))</f>
        <v/>
      </c>
      <c r="AE101" s="76">
        <f t="array" ref="AE101">IFERROR(OFFSET($BZ$11,ROW($B101)-11,MATCH(AE$10,$CA101:$FV101,0),),"")</f>
        <v/>
      </c>
      <c r="AF101" s="76">
        <f>IF(AE101="","",IF(VLOOKUP($B101,INDIRECT("'GRD-"&amp;AG101&amp;"'!$B:$R"),16,FALSE)="","",VLOOKUP($B101,INDIRECT("'GRD-"&amp;AG101&amp;"'!$B:$R"),16,FALSE)))</f>
        <v/>
      </c>
      <c r="AG101" s="132">
        <f t="array" ref="AG101">IF(AE101="","",IFERROR(OFFSET($BZ$11,0,MATCH($AE101,$CA101:$FV101,0),),""))</f>
        <v/>
      </c>
      <c r="AH101" s="121">
        <f t="array" ref="AH101">IF(AE101="","",INDIRECT("'GRD-"&amp;AG101&amp;"'!$L$7"))</f>
        <v/>
      </c>
      <c r="AI101" s="83">
        <f t="array" ref="AI101">IFERROR(OFFSET($BZ$11,ROW($B101)-11,MATCH(AI$10,$CA101:$FV101,0),),"")</f>
        <v/>
      </c>
      <c r="AJ101" s="83">
        <f>IF(AI101="","",IF(VLOOKUP($B101,INDIRECT("'GRD-"&amp;AK101&amp;"'!$B:$R"),16,FALSE)="","",VLOOKUP($B101,INDIRECT("'GRD-"&amp;AK101&amp;"'!$B:$R"),16,FALSE)))</f>
        <v/>
      </c>
      <c r="AK101" s="128">
        <f t="array" ref="AK101">IF(AI101="","",IFERROR(OFFSET($BZ$11,0,MATCH($AI101,$CA101:$FV101,0),),""))</f>
        <v/>
      </c>
      <c r="AL101" s="133">
        <f t="array" ref="AL101">IF(AI101="","",INDIRECT("'GRD-"&amp;AK101&amp;"'!$L$7"))</f>
        <v/>
      </c>
      <c r="AM101" s="84">
        <f t="array" ref="AM101">IFERROR(OFFSET($BZ$11,ROW($B101)-11,MATCH(AM$10,$CA101:$FV101,0),),"")</f>
        <v/>
      </c>
      <c r="AN101" s="84">
        <f>IF(AM101="","",IF(VLOOKUP($B101,INDIRECT("'GRD-"&amp;AO101&amp;"'!$B:$R"),16,FALSE)="","",VLOOKUP($B101,INDIRECT("'GRD-"&amp;AO101&amp;"'!$B:$R"),16,FALSE)))</f>
        <v/>
      </c>
      <c r="AO101" s="129">
        <f t="array" ref="AO101">IF(AM101="","",IFERROR(OFFSET($BZ$11,0,MATCH($AM101,$CA101:$FV101,0),),""))</f>
        <v/>
      </c>
      <c r="AP101" s="134">
        <f t="array" ref="AP101">IF(AM101="","",INDIRECT("'GRD-"&amp;AO101&amp;"'!$L$7"))</f>
        <v/>
      </c>
      <c r="AQ101" s="85">
        <f t="array" ref="AQ101">IFERROR(OFFSET($BZ$11,ROW($B101)-11,MATCH(AQ$10,$CA101:$FV101,0),),"")</f>
        <v/>
      </c>
      <c r="AR101" s="85">
        <f>IF(AQ101="","",IF(VLOOKUP($B101,INDIRECT("'GRD-"&amp;AS101&amp;"'!$B:$R"),16,FALSE)="","",VLOOKUP($B101,INDIRECT("'GRD-"&amp;AS101&amp;"'!$B:$R"),16,FALSE)))</f>
        <v/>
      </c>
      <c r="AS101" s="130">
        <f t="array" ref="AS101">IF(AQ101="","",IFERROR(OFFSET($BZ$11,0,MATCH($AQ101,$CA101:$FV101,0),),""))</f>
        <v/>
      </c>
      <c r="AT101" s="131">
        <f t="array" ref="AT101">IF(AQ101="","",INDIRECT("'GRD-"&amp;AS101&amp;"'!$L$7"))</f>
        <v/>
      </c>
      <c r="AU101" s="76">
        <f t="array" ref="AU101">IFERROR(OFFSET($BZ$11,ROW($B101)-11,MATCH(AU$10,$CA101:$FV101,0),),"")</f>
        <v/>
      </c>
      <c r="AV101" s="76">
        <f>IF(AU101="","",IF(VLOOKUP($B101,INDIRECT("'GRD-"&amp;AW101&amp;"'!$B:$R"),16,FALSE)="","",VLOOKUP($B101,INDIRECT("'GRD-"&amp;AW101&amp;"'!$B:$R"),16,FALSE)))</f>
        <v/>
      </c>
      <c r="AW101" s="132">
        <f t="array" ref="AW101">IF(AU101="","",IFERROR(OFFSET($BZ$11,0,MATCH($AU101,$CA101:$FV101,0),),""))</f>
        <v/>
      </c>
      <c r="AX101" s="121">
        <f t="array" ref="AX101">IF(AU101="","",INDIRECT("'GRD-"&amp;AW101&amp;"'!$L$7"))</f>
        <v/>
      </c>
      <c r="AY101" s="83">
        <f t="array" ref="AY101">IFERROR(OFFSET($BZ$11,ROW($B101)-11,MATCH(AY$10,$CA101:$FV101,0),),"")</f>
        <v/>
      </c>
      <c r="AZ101" s="83">
        <f>IF(AY101="","",IF(VLOOKUP($B101,INDIRECT("'GRD-"&amp;BA101&amp;"'!$B:$R"),16,FALSE)="","",VLOOKUP($B101,INDIRECT("'GRD-"&amp;BA101&amp;"'!$B:$R"),16,FALSE)))</f>
        <v/>
      </c>
      <c r="BA101" s="128">
        <f t="array" ref="BA101">IF(AY101="","",IFERROR(OFFSET($BZ$11,0,MATCH($AY101,$CA101:$FV101,0),),""))</f>
        <v/>
      </c>
      <c r="BB101" s="133">
        <f t="array" ref="BB101">IF(AY101="","",INDIRECT("'GRD-"&amp;BA101&amp;"'!$L$7"))</f>
        <v/>
      </c>
      <c r="BC101" s="84">
        <f t="array" ref="BC101">IFERROR(OFFSET($BZ$11,ROW($B101)-11,MATCH(BC$10,$CA101:$FV101,0),),"")</f>
        <v/>
      </c>
      <c r="BD101" s="84">
        <f>IF(BC101="","",IF(VLOOKUP($B101,INDIRECT("'GRD-"&amp;BE101&amp;"'!$B:$R"),16,FALSE)="","",VLOOKUP($B101,INDIRECT("'GRD-"&amp;BE101&amp;"'!$B:$R"),16,FALSE)))</f>
        <v/>
      </c>
      <c r="BE101" s="129">
        <f t="array" ref="BE101">IF(BC101="","",IFERROR(OFFSET($BZ$11,0,MATCH($BC101,$CA101:$FV101,0),),""))</f>
        <v/>
      </c>
      <c r="BF101" s="134">
        <f t="array" ref="BF101">IF(BC101="","",INDIRECT("'GRD-"&amp;BE101&amp;"'!$L$7"))</f>
        <v/>
      </c>
      <c r="CA101" s="96">
        <f>IFERROR(VLOOKUP($B101,INDIRECT("'GRD-"&amp;CA$11&amp;"'!B:R"),15,FALSE),"")</f>
        <v/>
      </c>
      <c r="CB101" s="96">
        <f>IFERROR(VLOOKUP($B101,INDIRECT("'GRD-"&amp;CB$11&amp;"'!B:R"),15,FALSE),"")</f>
        <v/>
      </c>
      <c r="CC101" s="96">
        <f>IFERROR(VLOOKUP($B101,INDIRECT("'GRD-"&amp;CC$11&amp;"'!B:R"),15,FALSE),"")</f>
        <v/>
      </c>
      <c r="CD101" s="96">
        <f>IFERROR(VLOOKUP($B101,INDIRECT("'GRD-"&amp;CD$11&amp;"'!B:R"),15,FALSE),"")</f>
        <v/>
      </c>
      <c r="CE101" s="96">
        <f>IFERROR(VLOOKUP($B101,INDIRECT("'GRD-"&amp;CE$11&amp;"'!B:R"),15,FALSE),"")</f>
        <v/>
      </c>
      <c r="CF101" s="96">
        <f>IFERROR(VLOOKUP($B101,INDIRECT("'GRD-"&amp;CF$11&amp;"'!B:R"),15,FALSE),"")</f>
        <v/>
      </c>
      <c r="CG101" s="96">
        <f>IFERROR(VLOOKUP($B101,INDIRECT("'GRD-"&amp;CG$11&amp;"'!B:R"),15,FALSE),"")</f>
        <v/>
      </c>
      <c r="CH101" s="96">
        <f>IFERROR(VLOOKUP($B101,INDIRECT("'GRD-"&amp;CH$11&amp;"'!B:R"),15,FALSE),"")</f>
        <v/>
      </c>
      <c r="CI101" s="96">
        <f>IFERROR(VLOOKUP($B101,INDIRECT("'GRD-"&amp;CI$11&amp;"'!B:R"),15,FALSE),"")</f>
        <v/>
      </c>
      <c r="CJ101" s="96">
        <f>IFERROR(VLOOKUP($B101,INDIRECT("'GRD-"&amp;CJ$11&amp;"'!B:R"),15,FALSE),"")</f>
        <v/>
      </c>
      <c r="CK101" s="96">
        <f>IFERROR(VLOOKUP($B101,INDIRECT("'GRD-"&amp;CK$11&amp;"'!B:R"),15,FALSE),"")</f>
        <v/>
      </c>
      <c r="CL101" s="96">
        <f>IFERROR(VLOOKUP($B101,INDIRECT("'GRD-"&amp;CL$11&amp;"'!B:R"),15,FALSE),"")</f>
        <v/>
      </c>
      <c r="CM101" s="96">
        <f>IFERROR(VLOOKUP($B101,INDIRECT("'GRD-"&amp;CM$11&amp;"'!B:R"),15,FALSE),"")</f>
        <v/>
      </c>
      <c r="CN101" s="96">
        <f>IFERROR(VLOOKUP($B101,INDIRECT("'GRD-"&amp;CN$11&amp;"'!B:R"),15,FALSE),"")</f>
        <v/>
      </c>
      <c r="CO101" s="96">
        <f>IFERROR(VLOOKUP($B101,INDIRECT("'GRD-"&amp;CO$11&amp;"'!B:R"),15,FALSE),"")</f>
        <v/>
      </c>
      <c r="CP101" s="96">
        <f>IFERROR(VLOOKUP($B101,INDIRECT("'GRD-"&amp;CP$11&amp;"'!B:R"),15,FALSE),"")</f>
        <v/>
      </c>
      <c r="CQ101" s="96">
        <f>IFERROR(VLOOKUP($B101,INDIRECT("'GRD-"&amp;CQ$11&amp;"'!B:R"),15,FALSE),"")</f>
        <v/>
      </c>
      <c r="CR101" s="96">
        <f>IFERROR(VLOOKUP($B101,INDIRECT("'GRD-"&amp;CR$11&amp;"'!B:R"),15,FALSE),"")</f>
        <v/>
      </c>
      <c r="CS101" s="96">
        <f>IFERROR(VLOOKUP($B101,INDIRECT("'GRD-"&amp;CS$11&amp;"'!B:R"),15,FALSE),"")</f>
        <v/>
      </c>
      <c r="CT101" s="96">
        <f>IFERROR(VLOOKUP($B101,INDIRECT("'GRD-"&amp;CT$11&amp;"'!B:R"),15,FALSE),"")</f>
        <v/>
      </c>
      <c r="CU101" s="96">
        <f>IFERROR(VLOOKUP($B101,INDIRECT("'GRD-"&amp;CU$11&amp;"'!B:R"),15,FALSE),"")</f>
        <v/>
      </c>
      <c r="CV101" s="96">
        <f>IFERROR(VLOOKUP($B101,INDIRECT("'GRD-"&amp;CV$11&amp;"'!B:R"),15,FALSE),"")</f>
        <v/>
      </c>
      <c r="CW101" s="96">
        <f>IFERROR(VLOOKUP($B101,INDIRECT("'GRD-"&amp;CW$11&amp;"'!B:R"),15,FALSE),"")</f>
        <v/>
      </c>
      <c r="CX101" s="96">
        <f>IFERROR(VLOOKUP($B101,INDIRECT("'GRD-"&amp;CX$11&amp;"'!B:R"),15,FALSE),"")</f>
        <v/>
      </c>
      <c r="CY101" s="96">
        <f>IFERROR(VLOOKUP($B101,INDIRECT("'GRD-"&amp;CY$11&amp;"'!B:R"),15,FALSE),"")</f>
        <v/>
      </c>
      <c r="CZ101" s="96">
        <f>IFERROR(VLOOKUP($B101,INDIRECT("'GRD-"&amp;CZ$11&amp;"'!B:R"),15,FALSE),"")</f>
        <v/>
      </c>
      <c r="DA101" s="96">
        <f>IFERROR(VLOOKUP($B101,INDIRECT("'GRD-"&amp;DA$11&amp;"'!B:R"),15,FALSE),"")</f>
        <v/>
      </c>
      <c r="DB101" s="96">
        <f>IFERROR(VLOOKUP($B101,INDIRECT("'GRD-"&amp;DB$11&amp;"'!B:R"),15,FALSE),"")</f>
        <v/>
      </c>
      <c r="DC101" s="96">
        <f>IFERROR(VLOOKUP($B101,INDIRECT("'GRD-"&amp;DC$11&amp;"'!B:R"),15,FALSE),"")</f>
        <v/>
      </c>
      <c r="DD101" s="96">
        <f>IFERROR(VLOOKUP($B101,INDIRECT("'GRD-"&amp;DD$11&amp;"'!B:R"),15,FALSE),"")</f>
        <v/>
      </c>
      <c r="DE101" s="96">
        <f>IFERROR(VLOOKUP($B101,INDIRECT("'GRD-"&amp;DE$11&amp;"'!B:R"),15,FALSE),"")</f>
        <v/>
      </c>
      <c r="DF101" s="96">
        <f>IFERROR(VLOOKUP($B101,INDIRECT("'GRD-"&amp;DF$11&amp;"'!B:R"),15,FALSE),"")</f>
        <v/>
      </c>
      <c r="DG101" s="96">
        <f>IFERROR(VLOOKUP($B101,INDIRECT("'GRD-"&amp;DG$11&amp;"'!B:R"),15,FALSE),"")</f>
        <v/>
      </c>
      <c r="DH101" s="96">
        <f>IFERROR(VLOOKUP($B101,INDIRECT("'GRD-"&amp;DH$11&amp;"'!B:R"),15,FALSE),"")</f>
        <v/>
      </c>
      <c r="DI101" s="96">
        <f>IFERROR(VLOOKUP($B101,INDIRECT("'GRD-"&amp;DI$11&amp;"'!B:R"),15,FALSE),"")</f>
        <v/>
      </c>
      <c r="DJ101" s="96">
        <f>IFERROR(VLOOKUP($B101,INDIRECT("'GRD-"&amp;DJ$11&amp;"'!B:R"),15,FALSE),"")</f>
        <v/>
      </c>
      <c r="DK101" s="96">
        <f>IFERROR(VLOOKUP($B101,INDIRECT("'GRD-"&amp;DK$11&amp;"'!B:R"),15,FALSE),"")</f>
        <v/>
      </c>
      <c r="DL101" s="96">
        <f>IFERROR(VLOOKUP($B101,INDIRECT("'GRD-"&amp;DL$11&amp;"'!B:R"),15,FALSE),"")</f>
        <v/>
      </c>
      <c r="DM101" s="96">
        <f>IFERROR(VLOOKUP($B101,INDIRECT("'GRD-"&amp;DM$11&amp;"'!B:R"),15,FALSE),"")</f>
        <v/>
      </c>
      <c r="DN101" s="96">
        <f>IFERROR(VLOOKUP($B101,INDIRECT("'GRD-"&amp;DN$11&amp;"'!B:R"),15,FALSE),"")</f>
        <v/>
      </c>
      <c r="DO101" s="96">
        <f>IFERROR(VLOOKUP($B101,INDIRECT("'GRD-"&amp;DO$11&amp;"'!B:R"),15,FALSE),"")</f>
        <v/>
      </c>
      <c r="DP101" s="96">
        <f>IFERROR(VLOOKUP($B101,INDIRECT("'GRD-"&amp;DP$11&amp;"'!B:R"),15,FALSE),"")</f>
        <v/>
      </c>
      <c r="DQ101" s="96">
        <f>IFERROR(VLOOKUP($B101,INDIRECT("'GRD-"&amp;DQ$11&amp;"'!B:R"),15,FALSE),"")</f>
        <v/>
      </c>
      <c r="DR101" s="96">
        <f>IFERROR(VLOOKUP($B101,INDIRECT("'GRD-"&amp;DR$11&amp;"'!B:R"),15,FALSE),"")</f>
        <v/>
      </c>
      <c r="DS101" s="96">
        <f>IFERROR(VLOOKUP($B101,INDIRECT("'GRD-"&amp;DS$11&amp;"'!B:R"),15,FALSE),"")</f>
        <v/>
      </c>
      <c r="DT101" s="96">
        <f>IFERROR(VLOOKUP($B101,INDIRECT("'GRD-"&amp;DT$11&amp;"'!B:R"),15,FALSE),"")</f>
        <v/>
      </c>
      <c r="DU101" s="96">
        <f>IFERROR(VLOOKUP($B101,INDIRECT("'GRD-"&amp;DU$11&amp;"'!B:R"),15,FALSE),"")</f>
        <v/>
      </c>
      <c r="DV101" s="96">
        <f>IFERROR(VLOOKUP($B101,INDIRECT("'GRD-"&amp;DV$11&amp;"'!B:R"),15,FALSE),"")</f>
        <v/>
      </c>
      <c r="DW101" s="96">
        <f>IFERROR(VLOOKUP($B101,INDIRECT("'GRD-"&amp;DW$11&amp;"'!B:R"),15,FALSE),"")</f>
        <v/>
      </c>
      <c r="DX101" s="96">
        <f>IFERROR(VLOOKUP($B101,INDIRECT("'GRD-"&amp;DX$11&amp;"'!B:R"),15,FALSE),"")</f>
        <v/>
      </c>
      <c r="DY101" s="96">
        <f>IFERROR(VLOOKUP($B101,INDIRECT("'GRD-"&amp;DY$11&amp;"'!B:R"),15,FALSE),"")</f>
        <v/>
      </c>
      <c r="DZ101" s="96">
        <f>IFERROR(VLOOKUP($B101,INDIRECT("'GRD-"&amp;DZ$11&amp;"'!B:R"),15,FALSE),"")</f>
        <v/>
      </c>
      <c r="EA101" s="96">
        <f>IFERROR(VLOOKUP($B101,INDIRECT("'GRD-"&amp;EA$11&amp;"'!B:R"),15,FALSE),"")</f>
        <v/>
      </c>
      <c r="EB101" s="96">
        <f>IFERROR(VLOOKUP($B101,INDIRECT("'GRD-"&amp;EB$11&amp;"'!B:R"),15,FALSE),"")</f>
        <v/>
      </c>
      <c r="EC101" s="96">
        <f>IFERROR(VLOOKUP($B101,INDIRECT("'GRD-"&amp;EC$11&amp;"'!B:R"),15,FALSE),"")</f>
        <v/>
      </c>
      <c r="ED101" s="96">
        <f>IFERROR(VLOOKUP($B101,INDIRECT("'GRD-"&amp;ED$11&amp;"'!B:R"),15,FALSE),"")</f>
        <v/>
      </c>
      <c r="EE101" s="96">
        <f>IFERROR(VLOOKUP($B101,INDIRECT("'GRD-"&amp;EE$11&amp;"'!B:R"),15,FALSE),"")</f>
        <v/>
      </c>
      <c r="EF101" s="96">
        <f>IFERROR(VLOOKUP($B101,INDIRECT("'GRD-"&amp;EF$11&amp;"'!B:R"),15,FALSE),"")</f>
        <v/>
      </c>
      <c r="EG101" s="96">
        <f>IFERROR(VLOOKUP($B101,INDIRECT("'GRD-"&amp;EG$11&amp;"'!B:R"),15,FALSE),"")</f>
        <v/>
      </c>
      <c r="EH101" s="96">
        <f>IFERROR(VLOOKUP($B101,INDIRECT("'GRD-"&amp;EH$11&amp;"'!B:R"),15,FALSE),"")</f>
        <v/>
      </c>
      <c r="EI101" s="96">
        <f>IFERROR(VLOOKUP($B101,INDIRECT("'GRD-"&amp;EI$11&amp;"'!B:R"),15,FALSE),"")</f>
        <v/>
      </c>
      <c r="EJ101" s="96">
        <f>IFERROR(VLOOKUP($B101,INDIRECT("'GRD-"&amp;EJ$11&amp;"'!B:R"),15,FALSE),"")</f>
        <v/>
      </c>
      <c r="EK101" s="96">
        <f>IFERROR(VLOOKUP($B101,INDIRECT("'GRD-"&amp;EK$11&amp;"'!B:R"),15,FALSE),"")</f>
        <v/>
      </c>
      <c r="EL101" s="96">
        <f>IFERROR(VLOOKUP($B101,INDIRECT("'GRD-"&amp;EL$11&amp;"'!B:R"),15,FALSE),"")</f>
        <v/>
      </c>
      <c r="EM101" s="96">
        <f>IFERROR(VLOOKUP($B101,INDIRECT("'GRD-"&amp;EM$11&amp;"'!B:R"),15,FALSE),"")</f>
        <v/>
      </c>
      <c r="EN101" s="96">
        <f>IFERROR(VLOOKUP($B101,INDIRECT("'GRD-"&amp;EN$11&amp;"'!B:R"),15,FALSE),"")</f>
        <v/>
      </c>
      <c r="EO101" s="96">
        <f>IFERROR(VLOOKUP($B101,INDIRECT("'GRD-"&amp;EO$11&amp;"'!B:R"),15,FALSE),"")</f>
        <v/>
      </c>
      <c r="EP101" s="96">
        <f>IFERROR(VLOOKUP($B101,INDIRECT("'GRD-"&amp;EP$11&amp;"'!B:R"),15,FALSE),"")</f>
        <v/>
      </c>
      <c r="EQ101" s="96">
        <f>IFERROR(VLOOKUP($B101,INDIRECT("'GRD-"&amp;EQ$11&amp;"'!B:R"),15,FALSE),"")</f>
        <v/>
      </c>
      <c r="ER101" s="96">
        <f>IFERROR(VLOOKUP($B101,INDIRECT("'GRD-"&amp;ER$11&amp;"'!B:R"),15,FALSE),"")</f>
        <v/>
      </c>
      <c r="ES101" s="96">
        <f>IFERROR(VLOOKUP($B101,INDIRECT("'GRD-"&amp;ES$11&amp;"'!B:R"),15,FALSE),"")</f>
        <v/>
      </c>
      <c r="ET101" s="96">
        <f>IFERROR(VLOOKUP($B101,INDIRECT("'GRD-"&amp;ET$11&amp;"'!B:R"),15,FALSE),"")</f>
        <v/>
      </c>
      <c r="EU101" s="96">
        <f>IFERROR(VLOOKUP($B101,INDIRECT("'GRD-"&amp;EU$11&amp;"'!B:R"),15,FALSE),"")</f>
        <v/>
      </c>
      <c r="EV101" s="96">
        <f>IFERROR(VLOOKUP($B101,INDIRECT("'GRD-"&amp;EV$11&amp;"'!B:R"),15,FALSE),"")</f>
        <v/>
      </c>
      <c r="EW101" s="96">
        <f>IFERROR(VLOOKUP($B101,INDIRECT("'GRD-"&amp;EW$11&amp;"'!B:R"),15,FALSE),"")</f>
        <v/>
      </c>
      <c r="EX101" s="96">
        <f>IFERROR(VLOOKUP($B101,INDIRECT("'GRD-"&amp;EX$11&amp;"'!B:R"),15,FALSE),"")</f>
        <v/>
      </c>
      <c r="EY101" s="96">
        <f>IFERROR(VLOOKUP($B101,INDIRECT("'GRD-"&amp;EY$11&amp;"'!B:R"),15,FALSE),"")</f>
        <v/>
      </c>
      <c r="EZ101" s="96">
        <f>IFERROR(VLOOKUP($B101,INDIRECT("'GRD-"&amp;EZ$11&amp;"'!B:R"),15,FALSE),"")</f>
        <v/>
      </c>
      <c r="FA101" s="96">
        <f>IFERROR(VLOOKUP($B101,INDIRECT("'GRD-"&amp;FA$11&amp;"'!B:R"),15,FALSE),"")</f>
        <v/>
      </c>
      <c r="FB101" s="96">
        <f>IFERROR(VLOOKUP($B101,INDIRECT("'GRD-"&amp;FB$11&amp;"'!B:R"),15,FALSE),"")</f>
        <v/>
      </c>
      <c r="FC101" s="96">
        <f>IFERROR(VLOOKUP($B101,INDIRECT("'GRD-"&amp;FC$11&amp;"'!B:R"),15,FALSE),"")</f>
        <v/>
      </c>
      <c r="FD101" s="96">
        <f>IFERROR(VLOOKUP($B101,INDIRECT("'GRD-"&amp;FD$11&amp;"'!B:R"),15,FALSE),"")</f>
        <v/>
      </c>
      <c r="FE101" s="96">
        <f>IFERROR(VLOOKUP($B101,INDIRECT("'GRD-"&amp;FE$11&amp;"'!B:R"),15,FALSE),"")</f>
        <v/>
      </c>
      <c r="FF101" s="96">
        <f>IFERROR(VLOOKUP($B101,INDIRECT("'GRD-"&amp;FF$11&amp;"'!B:R"),15,FALSE),"")</f>
        <v/>
      </c>
      <c r="FG101" s="96">
        <f>IFERROR(VLOOKUP($B101,INDIRECT("'GRD-"&amp;FG$11&amp;"'!B:R"),15,FALSE),"")</f>
        <v/>
      </c>
      <c r="FH101" s="96">
        <f>IFERROR(VLOOKUP($B101,INDIRECT("'GRD-"&amp;FH$11&amp;"'!B:R"),15,FALSE),"")</f>
        <v/>
      </c>
      <c r="FI101" s="96">
        <f>IFERROR(VLOOKUP($B101,INDIRECT("'GRD-"&amp;FI$11&amp;"'!B:R"),15,FALSE),"")</f>
        <v/>
      </c>
      <c r="FJ101" s="96">
        <f>IFERROR(VLOOKUP($B101,INDIRECT("'GRD-"&amp;FJ$11&amp;"'!B:R"),15,FALSE),"")</f>
        <v/>
      </c>
      <c r="FK101" s="96">
        <f>IFERROR(VLOOKUP($B101,INDIRECT("'GRD-"&amp;FK$11&amp;"'!B:R"),15,FALSE),"")</f>
        <v/>
      </c>
      <c r="FL101" s="96">
        <f>IFERROR(VLOOKUP($B101,INDIRECT("'GRD-"&amp;FL$11&amp;"'!B:R"),15,FALSE),"")</f>
        <v/>
      </c>
      <c r="FM101" s="96">
        <f>IFERROR(VLOOKUP($B101,INDIRECT("'GRD-"&amp;FM$11&amp;"'!B:R"),15,FALSE),"")</f>
        <v/>
      </c>
      <c r="FN101" s="96">
        <f>IFERROR(VLOOKUP($B101,INDIRECT("'GRD-"&amp;FN$11&amp;"'!B:R"),15,FALSE),"")</f>
        <v/>
      </c>
      <c r="FO101" s="96">
        <f>IFERROR(VLOOKUP($B101,INDIRECT("'GRD-"&amp;FO$11&amp;"'!B:R"),15,FALSE),"")</f>
        <v/>
      </c>
      <c r="FP101" s="96">
        <f>IFERROR(VLOOKUP($B101,INDIRECT("'GRD-"&amp;FP$11&amp;"'!B:R"),15,FALSE),"")</f>
        <v/>
      </c>
      <c r="FQ101" s="96">
        <f>IFERROR(VLOOKUP($B101,INDIRECT("'GRD-"&amp;FQ$11&amp;"'!B:R"),15,FALSE),"")</f>
        <v/>
      </c>
      <c r="FR101" s="96">
        <f>IFERROR(VLOOKUP($B101,INDIRECT("'GRD-"&amp;FR$11&amp;"'!B:R"),15,FALSE),"")</f>
        <v/>
      </c>
      <c r="FS101" s="96">
        <f>IFERROR(VLOOKUP($B101,INDIRECT("'GRD-"&amp;FS$11&amp;"'!B:R"),15,FALSE),"")</f>
        <v/>
      </c>
      <c r="FT101" s="96">
        <f>IFERROR(VLOOKUP($B101,INDIRECT("'GRD-"&amp;FT$11&amp;"'!B:R"),15,FALSE),"")</f>
        <v/>
      </c>
      <c r="FU101" s="96">
        <f>IFERROR(VLOOKUP($B101,INDIRECT("'GRD-"&amp;FU$11&amp;"'!B:R"),15,FALSE),"")</f>
        <v/>
      </c>
      <c r="FV101" s="96">
        <f>IFERROR(VLOOKUP($B101,INDIRECT("'GRD-"&amp;FV$11&amp;"'!B:R"),15,FALSE),"")</f>
        <v/>
      </c>
    </row>
    <row r="102">
      <c r="B102" s="85" t="n"/>
      <c r="C102" s="93" t="n"/>
      <c r="D102" s="73">
        <f>IF(K102="","",MAX($CA102:$FV102))</f>
        <v/>
      </c>
      <c r="E102" s="74">
        <f t="array" ref="E102">IF($K102="","",OFFSET($A$1,ROW($B102)-1,11+$D102*4,))</f>
        <v/>
      </c>
      <c r="F102" s="74">
        <f t="array" ref="F102">IF($K102="","",OFFSET($A$1,ROW($B102)-1,12+$D102*4,))</f>
        <v/>
      </c>
      <c r="G102" s="118">
        <f t="array" ref="G102">IF($K102="","",OFFSET($A$1,ROW($B102)-1,13+$D102*4,))</f>
        <v/>
      </c>
      <c r="H102" s="81" t="n"/>
      <c r="I102" s="82" t="n"/>
      <c r="J102" s="75">
        <f>IF(I102="A4",H102/8,IF(I102="A3",H102/4,IF(I102="A2",H102/2,IF(I102="A1",H102/1,IF(I102="A0",H102*2,"")))))</f>
        <v/>
      </c>
      <c r="K102" s="68">
        <f t="array" ref="K102">IFERROR(OFFSET($BZ$11,ROW($B102)-11,MATCH(K$10,$CA102:$FV102,0),),"")</f>
        <v/>
      </c>
      <c r="L102" s="85">
        <f>IF(K102="","",IF(VLOOKUP($B102,INDIRECT("'GRD-"&amp;M102&amp;"'!$B:$R"),16,FALSE)="","",VLOOKUP($B102,INDIRECT("'GRD-"&amp;M102&amp;"'!$B:$R"),16,FALSE)))</f>
        <v/>
      </c>
      <c r="M102" s="130">
        <f t="array" ref="M102">IF(K102="","",IFERROR(OFFSET($BZ$11,0,MATCH($K102,$CA102:$FV102,0),),""))</f>
        <v/>
      </c>
      <c r="N102" s="119">
        <f t="array" ref="N102">IF(K102="","",INDIRECT("'GRD-"&amp;M102&amp;"'!$L$7"))</f>
        <v/>
      </c>
      <c r="O102" s="76">
        <f t="array" ref="O102">IFERROR(OFFSET($BZ$11,ROW($B102)-11,MATCH(O$10,$CA102:$FV102,0),),"")</f>
        <v/>
      </c>
      <c r="P102" s="76">
        <f>IF(O102="","",IF(VLOOKUP($B102,INDIRECT("'GRD-"&amp;Q102&amp;"'!$B:$R"),16,FALSE)="","",VLOOKUP($B102,INDIRECT("'GRD-"&amp;Q102&amp;"'!$B:$R"),16,FALSE)))</f>
        <v/>
      </c>
      <c r="Q102" s="132">
        <f t="array" ref="Q102">IF(O102="","",IFERROR(OFFSET($BZ$11,0,MATCH($O102,$CA102:$FV102,0),),""))</f>
        <v/>
      </c>
      <c r="R102" s="121">
        <f t="array" ref="R102">IF(O102="","",INDIRECT("'GRD-"&amp;Q102&amp;"'!$L$7"))</f>
        <v/>
      </c>
      <c r="S102" s="83">
        <f t="array" ref="S102">IFERROR(OFFSET($BZ$11,ROW($B102)-11,MATCH(S$10,$CA102:$FV102,0),),"")</f>
        <v/>
      </c>
      <c r="T102" s="83">
        <f>IF(S102="","",IF(VLOOKUP($B102,INDIRECT("'GRD-"&amp;U102&amp;"'!$B:$R"),16,FALSE)="","",VLOOKUP($B102,INDIRECT("'GRD-"&amp;U102&amp;"'!$B:$R"),16,FALSE)))</f>
        <v/>
      </c>
      <c r="U102" s="128">
        <f t="array" ref="U102">IF(S102="","",IFERROR(OFFSET($BZ$11,0,MATCH($S102,$CA102:$FV102,0),),""))</f>
        <v/>
      </c>
      <c r="V102" s="133">
        <f t="array" ref="V102">IF(S102="","",INDIRECT("'GRD-"&amp;U102&amp;"'!$L$7"))</f>
        <v/>
      </c>
      <c r="W102" s="84">
        <f t="array" ref="W102">IFERROR(OFFSET($BZ$11,ROW($B102)-11,MATCH(W$10,$CA102:$FV102,0),),"")</f>
        <v/>
      </c>
      <c r="X102" s="84">
        <f>IF(W102="","",IF(VLOOKUP($B102,INDIRECT("'GRD-"&amp;Y102&amp;"'!$B:$R"),16,FALSE)="","",VLOOKUP($B102,INDIRECT("'GRD-"&amp;Y102&amp;"'!$B:$R"),16,FALSE)))</f>
        <v/>
      </c>
      <c r="Y102" s="129">
        <f t="array" ref="Y102">IF(W102="","",IFERROR(OFFSET($BZ$11,0,MATCH($W102,$CA102:$FV102,0),),""))</f>
        <v/>
      </c>
      <c r="Z102" s="134">
        <f t="array" ref="Z102">IF(W102="","",INDIRECT("'GRD-"&amp;Y102&amp;"'!$L$7"))</f>
        <v/>
      </c>
      <c r="AA102" s="85">
        <f t="array" ref="AA102">IFERROR(OFFSET($BZ$11,ROW($B102)-11,MATCH(AA$10,$CA102:$FV102,0),),"")</f>
        <v/>
      </c>
      <c r="AB102" s="85">
        <f>IF(AA102="","",IF(VLOOKUP($B102,INDIRECT("'GRD-"&amp;AC102&amp;"'!$B:$R"),16,FALSE)="","",VLOOKUP($B102,INDIRECT("'GRD-"&amp;AC102&amp;"'!$B:$R"),16,FALSE)))</f>
        <v/>
      </c>
      <c r="AC102" s="130">
        <f t="array" ref="AC102">IF(AA102="","",IFERROR(OFFSET($BZ$11,0,MATCH($AA102,$CA102:$FV102,0),),""))</f>
        <v/>
      </c>
      <c r="AD102" s="131">
        <f t="array" ref="AD102">IF(AA102="","",INDIRECT("'GRD-"&amp;AC102&amp;"'!$L$7"))</f>
        <v/>
      </c>
      <c r="AE102" s="76">
        <f t="array" ref="AE102">IFERROR(OFFSET($BZ$11,ROW($B102)-11,MATCH(AE$10,$CA102:$FV102,0),),"")</f>
        <v/>
      </c>
      <c r="AF102" s="76">
        <f>IF(AE102="","",IF(VLOOKUP($B102,INDIRECT("'GRD-"&amp;AG102&amp;"'!$B:$R"),16,FALSE)="","",VLOOKUP($B102,INDIRECT("'GRD-"&amp;AG102&amp;"'!$B:$R"),16,FALSE)))</f>
        <v/>
      </c>
      <c r="AG102" s="132">
        <f t="array" ref="AG102">IF(AE102="","",IFERROR(OFFSET($BZ$11,0,MATCH($AE102,$CA102:$FV102,0),),""))</f>
        <v/>
      </c>
      <c r="AH102" s="121">
        <f t="array" ref="AH102">IF(AE102="","",INDIRECT("'GRD-"&amp;AG102&amp;"'!$L$7"))</f>
        <v/>
      </c>
      <c r="AI102" s="83">
        <f t="array" ref="AI102">IFERROR(OFFSET($BZ$11,ROW($B102)-11,MATCH(AI$10,$CA102:$FV102,0),),"")</f>
        <v/>
      </c>
      <c r="AJ102" s="83">
        <f>IF(AI102="","",IF(VLOOKUP($B102,INDIRECT("'GRD-"&amp;AK102&amp;"'!$B:$R"),16,FALSE)="","",VLOOKUP($B102,INDIRECT("'GRD-"&amp;AK102&amp;"'!$B:$R"),16,FALSE)))</f>
        <v/>
      </c>
      <c r="AK102" s="128">
        <f t="array" ref="AK102">IF(AI102="","",IFERROR(OFFSET($BZ$11,0,MATCH($AI102,$CA102:$FV102,0),),""))</f>
        <v/>
      </c>
      <c r="AL102" s="133">
        <f t="array" ref="AL102">IF(AI102="","",INDIRECT("'GRD-"&amp;AK102&amp;"'!$L$7"))</f>
        <v/>
      </c>
      <c r="AM102" s="84">
        <f t="array" ref="AM102">IFERROR(OFFSET($BZ$11,ROW($B102)-11,MATCH(AM$10,$CA102:$FV102,0),),"")</f>
        <v/>
      </c>
      <c r="AN102" s="84">
        <f>IF(AM102="","",IF(VLOOKUP($B102,INDIRECT("'GRD-"&amp;AO102&amp;"'!$B:$R"),16,FALSE)="","",VLOOKUP($B102,INDIRECT("'GRD-"&amp;AO102&amp;"'!$B:$R"),16,FALSE)))</f>
        <v/>
      </c>
      <c r="AO102" s="129">
        <f t="array" ref="AO102">IF(AM102="","",IFERROR(OFFSET($BZ$11,0,MATCH($AM102,$CA102:$FV102,0),),""))</f>
        <v/>
      </c>
      <c r="AP102" s="134">
        <f t="array" ref="AP102">IF(AM102="","",INDIRECT("'GRD-"&amp;AO102&amp;"'!$L$7"))</f>
        <v/>
      </c>
      <c r="AQ102" s="85">
        <f t="array" ref="AQ102">IFERROR(OFFSET($BZ$11,ROW($B102)-11,MATCH(AQ$10,$CA102:$FV102,0),),"")</f>
        <v/>
      </c>
      <c r="AR102" s="85">
        <f>IF(AQ102="","",IF(VLOOKUP($B102,INDIRECT("'GRD-"&amp;AS102&amp;"'!$B:$R"),16,FALSE)="","",VLOOKUP($B102,INDIRECT("'GRD-"&amp;AS102&amp;"'!$B:$R"),16,FALSE)))</f>
        <v/>
      </c>
      <c r="AS102" s="130">
        <f t="array" ref="AS102">IF(AQ102="","",IFERROR(OFFSET($BZ$11,0,MATCH($AQ102,$CA102:$FV102,0),),""))</f>
        <v/>
      </c>
      <c r="AT102" s="131">
        <f t="array" ref="AT102">IF(AQ102="","",INDIRECT("'GRD-"&amp;AS102&amp;"'!$L$7"))</f>
        <v/>
      </c>
      <c r="AU102" s="76">
        <f t="array" ref="AU102">IFERROR(OFFSET($BZ$11,ROW($B102)-11,MATCH(AU$10,$CA102:$FV102,0),),"")</f>
        <v/>
      </c>
      <c r="AV102" s="76">
        <f>IF(AU102="","",IF(VLOOKUP($B102,INDIRECT("'GRD-"&amp;AW102&amp;"'!$B:$R"),16,FALSE)="","",VLOOKUP($B102,INDIRECT("'GRD-"&amp;AW102&amp;"'!$B:$R"),16,FALSE)))</f>
        <v/>
      </c>
      <c r="AW102" s="132">
        <f t="array" ref="AW102">IF(AU102="","",IFERROR(OFFSET($BZ$11,0,MATCH($AU102,$CA102:$FV102,0),),""))</f>
        <v/>
      </c>
      <c r="AX102" s="121">
        <f t="array" ref="AX102">IF(AU102="","",INDIRECT("'GRD-"&amp;AW102&amp;"'!$L$7"))</f>
        <v/>
      </c>
      <c r="AY102" s="83">
        <f t="array" ref="AY102">IFERROR(OFFSET($BZ$11,ROW($B102)-11,MATCH(AY$10,$CA102:$FV102,0),),"")</f>
        <v/>
      </c>
      <c r="AZ102" s="83">
        <f>IF(AY102="","",IF(VLOOKUP($B102,INDIRECT("'GRD-"&amp;BA102&amp;"'!$B:$R"),16,FALSE)="","",VLOOKUP($B102,INDIRECT("'GRD-"&amp;BA102&amp;"'!$B:$R"),16,FALSE)))</f>
        <v/>
      </c>
      <c r="BA102" s="128">
        <f t="array" ref="BA102">IF(AY102="","",IFERROR(OFFSET($BZ$11,0,MATCH($AY102,$CA102:$FV102,0),),""))</f>
        <v/>
      </c>
      <c r="BB102" s="133">
        <f t="array" ref="BB102">IF(AY102="","",INDIRECT("'GRD-"&amp;BA102&amp;"'!$L$7"))</f>
        <v/>
      </c>
      <c r="BC102" s="84">
        <f t="array" ref="BC102">IFERROR(OFFSET($BZ$11,ROW($B102)-11,MATCH(BC$10,$CA102:$FV102,0),),"")</f>
        <v/>
      </c>
      <c r="BD102" s="84">
        <f>IF(BC102="","",IF(VLOOKUP($B102,INDIRECT("'GRD-"&amp;BE102&amp;"'!$B:$R"),16,FALSE)="","",VLOOKUP($B102,INDIRECT("'GRD-"&amp;BE102&amp;"'!$B:$R"),16,FALSE)))</f>
        <v/>
      </c>
      <c r="BE102" s="129">
        <f t="array" ref="BE102">IF(BC102="","",IFERROR(OFFSET($BZ$11,0,MATCH($BC102,$CA102:$FV102,0),),""))</f>
        <v/>
      </c>
      <c r="BF102" s="134">
        <f t="array" ref="BF102">IF(BC102="","",INDIRECT("'GRD-"&amp;BE102&amp;"'!$L$7"))</f>
        <v/>
      </c>
      <c r="CA102" s="96">
        <f>IFERROR(VLOOKUP($B102,INDIRECT("'GRD-"&amp;CA$11&amp;"'!B:R"),15,FALSE),"")</f>
        <v/>
      </c>
      <c r="CB102" s="96">
        <f>IFERROR(VLOOKUP($B102,INDIRECT("'GRD-"&amp;CB$11&amp;"'!B:R"),15,FALSE),"")</f>
        <v/>
      </c>
      <c r="CC102" s="96">
        <f>IFERROR(VLOOKUP($B102,INDIRECT("'GRD-"&amp;CC$11&amp;"'!B:R"),15,FALSE),"")</f>
        <v/>
      </c>
      <c r="CD102" s="96">
        <f>IFERROR(VLOOKUP($B102,INDIRECT("'GRD-"&amp;CD$11&amp;"'!B:R"),15,FALSE),"")</f>
        <v/>
      </c>
      <c r="CE102" s="96">
        <f>IFERROR(VLOOKUP($B102,INDIRECT("'GRD-"&amp;CE$11&amp;"'!B:R"),15,FALSE),"")</f>
        <v/>
      </c>
      <c r="CF102" s="96">
        <f>IFERROR(VLOOKUP($B102,INDIRECT("'GRD-"&amp;CF$11&amp;"'!B:R"),15,FALSE),"")</f>
        <v/>
      </c>
      <c r="CG102" s="96">
        <f>IFERROR(VLOOKUP($B102,INDIRECT("'GRD-"&amp;CG$11&amp;"'!B:R"),15,FALSE),"")</f>
        <v/>
      </c>
      <c r="CH102" s="96">
        <f>IFERROR(VLOOKUP($B102,INDIRECT("'GRD-"&amp;CH$11&amp;"'!B:R"),15,FALSE),"")</f>
        <v/>
      </c>
      <c r="CI102" s="96">
        <f>IFERROR(VLOOKUP($B102,INDIRECT("'GRD-"&amp;CI$11&amp;"'!B:R"),15,FALSE),"")</f>
        <v/>
      </c>
      <c r="CJ102" s="96">
        <f>IFERROR(VLOOKUP($B102,INDIRECT("'GRD-"&amp;CJ$11&amp;"'!B:R"),15,FALSE),"")</f>
        <v/>
      </c>
      <c r="CK102" s="96">
        <f>IFERROR(VLOOKUP($B102,INDIRECT("'GRD-"&amp;CK$11&amp;"'!B:R"),15,FALSE),"")</f>
        <v/>
      </c>
      <c r="CL102" s="96">
        <f>IFERROR(VLOOKUP($B102,INDIRECT("'GRD-"&amp;CL$11&amp;"'!B:R"),15,FALSE),"")</f>
        <v/>
      </c>
      <c r="CM102" s="96">
        <f>IFERROR(VLOOKUP($B102,INDIRECT("'GRD-"&amp;CM$11&amp;"'!B:R"),15,FALSE),"")</f>
        <v/>
      </c>
      <c r="CN102" s="96">
        <f>IFERROR(VLOOKUP($B102,INDIRECT("'GRD-"&amp;CN$11&amp;"'!B:R"),15,FALSE),"")</f>
        <v/>
      </c>
      <c r="CO102" s="96">
        <f>IFERROR(VLOOKUP($B102,INDIRECT("'GRD-"&amp;CO$11&amp;"'!B:R"),15,FALSE),"")</f>
        <v/>
      </c>
      <c r="CP102" s="96">
        <f>IFERROR(VLOOKUP($B102,INDIRECT("'GRD-"&amp;CP$11&amp;"'!B:R"),15,FALSE),"")</f>
        <v/>
      </c>
      <c r="CQ102" s="96">
        <f>IFERROR(VLOOKUP($B102,INDIRECT("'GRD-"&amp;CQ$11&amp;"'!B:R"),15,FALSE),"")</f>
        <v/>
      </c>
      <c r="CR102" s="96">
        <f>IFERROR(VLOOKUP($B102,INDIRECT("'GRD-"&amp;CR$11&amp;"'!B:R"),15,FALSE),"")</f>
        <v/>
      </c>
      <c r="CS102" s="96">
        <f>IFERROR(VLOOKUP($B102,INDIRECT("'GRD-"&amp;CS$11&amp;"'!B:R"),15,FALSE),"")</f>
        <v/>
      </c>
      <c r="CT102" s="96">
        <f>IFERROR(VLOOKUP($B102,INDIRECT("'GRD-"&amp;CT$11&amp;"'!B:R"),15,FALSE),"")</f>
        <v/>
      </c>
      <c r="CU102" s="96">
        <f>IFERROR(VLOOKUP($B102,INDIRECT("'GRD-"&amp;CU$11&amp;"'!B:R"),15,FALSE),"")</f>
        <v/>
      </c>
      <c r="CV102" s="96">
        <f>IFERROR(VLOOKUP($B102,INDIRECT("'GRD-"&amp;CV$11&amp;"'!B:R"),15,FALSE),"")</f>
        <v/>
      </c>
      <c r="CW102" s="96">
        <f>IFERROR(VLOOKUP($B102,INDIRECT("'GRD-"&amp;CW$11&amp;"'!B:R"),15,FALSE),"")</f>
        <v/>
      </c>
      <c r="CX102" s="96">
        <f>IFERROR(VLOOKUP($B102,INDIRECT("'GRD-"&amp;CX$11&amp;"'!B:R"),15,FALSE),"")</f>
        <v/>
      </c>
      <c r="CY102" s="96">
        <f>IFERROR(VLOOKUP($B102,INDIRECT("'GRD-"&amp;CY$11&amp;"'!B:R"),15,FALSE),"")</f>
        <v/>
      </c>
      <c r="CZ102" s="96">
        <f>IFERROR(VLOOKUP($B102,INDIRECT("'GRD-"&amp;CZ$11&amp;"'!B:R"),15,FALSE),"")</f>
        <v/>
      </c>
      <c r="DA102" s="96">
        <f>IFERROR(VLOOKUP($B102,INDIRECT("'GRD-"&amp;DA$11&amp;"'!B:R"),15,FALSE),"")</f>
        <v/>
      </c>
      <c r="DB102" s="96">
        <f>IFERROR(VLOOKUP($B102,INDIRECT("'GRD-"&amp;DB$11&amp;"'!B:R"),15,FALSE),"")</f>
        <v/>
      </c>
      <c r="DC102" s="96">
        <f>IFERROR(VLOOKUP($B102,INDIRECT("'GRD-"&amp;DC$11&amp;"'!B:R"),15,FALSE),"")</f>
        <v/>
      </c>
      <c r="DD102" s="96">
        <f>IFERROR(VLOOKUP($B102,INDIRECT("'GRD-"&amp;DD$11&amp;"'!B:R"),15,FALSE),"")</f>
        <v/>
      </c>
      <c r="DE102" s="96">
        <f>IFERROR(VLOOKUP($B102,INDIRECT("'GRD-"&amp;DE$11&amp;"'!B:R"),15,FALSE),"")</f>
        <v/>
      </c>
      <c r="DF102" s="96">
        <f>IFERROR(VLOOKUP($B102,INDIRECT("'GRD-"&amp;DF$11&amp;"'!B:R"),15,FALSE),"")</f>
        <v/>
      </c>
      <c r="DG102" s="96">
        <f>IFERROR(VLOOKUP($B102,INDIRECT("'GRD-"&amp;DG$11&amp;"'!B:R"),15,FALSE),"")</f>
        <v/>
      </c>
      <c r="DH102" s="96">
        <f>IFERROR(VLOOKUP($B102,INDIRECT("'GRD-"&amp;DH$11&amp;"'!B:R"),15,FALSE),"")</f>
        <v/>
      </c>
      <c r="DI102" s="96">
        <f>IFERROR(VLOOKUP($B102,INDIRECT("'GRD-"&amp;DI$11&amp;"'!B:R"),15,FALSE),"")</f>
        <v/>
      </c>
      <c r="DJ102" s="96">
        <f>IFERROR(VLOOKUP($B102,INDIRECT("'GRD-"&amp;DJ$11&amp;"'!B:R"),15,FALSE),"")</f>
        <v/>
      </c>
      <c r="DK102" s="96">
        <f>IFERROR(VLOOKUP($B102,INDIRECT("'GRD-"&amp;DK$11&amp;"'!B:R"),15,FALSE),"")</f>
        <v/>
      </c>
      <c r="DL102" s="96">
        <f>IFERROR(VLOOKUP($B102,INDIRECT("'GRD-"&amp;DL$11&amp;"'!B:R"),15,FALSE),"")</f>
        <v/>
      </c>
      <c r="DM102" s="96">
        <f>IFERROR(VLOOKUP($B102,INDIRECT("'GRD-"&amp;DM$11&amp;"'!B:R"),15,FALSE),"")</f>
        <v/>
      </c>
      <c r="DN102" s="96">
        <f>IFERROR(VLOOKUP($B102,INDIRECT("'GRD-"&amp;DN$11&amp;"'!B:R"),15,FALSE),"")</f>
        <v/>
      </c>
      <c r="DO102" s="96">
        <f>IFERROR(VLOOKUP($B102,INDIRECT("'GRD-"&amp;DO$11&amp;"'!B:R"),15,FALSE),"")</f>
        <v/>
      </c>
      <c r="DP102" s="96">
        <f>IFERROR(VLOOKUP($B102,INDIRECT("'GRD-"&amp;DP$11&amp;"'!B:R"),15,FALSE),"")</f>
        <v/>
      </c>
      <c r="DQ102" s="96">
        <f>IFERROR(VLOOKUP($B102,INDIRECT("'GRD-"&amp;DQ$11&amp;"'!B:R"),15,FALSE),"")</f>
        <v/>
      </c>
      <c r="DR102" s="96">
        <f>IFERROR(VLOOKUP($B102,INDIRECT("'GRD-"&amp;DR$11&amp;"'!B:R"),15,FALSE),"")</f>
        <v/>
      </c>
      <c r="DS102" s="96">
        <f>IFERROR(VLOOKUP($B102,INDIRECT("'GRD-"&amp;DS$11&amp;"'!B:R"),15,FALSE),"")</f>
        <v/>
      </c>
      <c r="DT102" s="96">
        <f>IFERROR(VLOOKUP($B102,INDIRECT("'GRD-"&amp;DT$11&amp;"'!B:R"),15,FALSE),"")</f>
        <v/>
      </c>
      <c r="DU102" s="96">
        <f>IFERROR(VLOOKUP($B102,INDIRECT("'GRD-"&amp;DU$11&amp;"'!B:R"),15,FALSE),"")</f>
        <v/>
      </c>
      <c r="DV102" s="96">
        <f>IFERROR(VLOOKUP($B102,INDIRECT("'GRD-"&amp;DV$11&amp;"'!B:R"),15,FALSE),"")</f>
        <v/>
      </c>
      <c r="DW102" s="96">
        <f>IFERROR(VLOOKUP($B102,INDIRECT("'GRD-"&amp;DW$11&amp;"'!B:R"),15,FALSE),"")</f>
        <v/>
      </c>
      <c r="DX102" s="96">
        <f>IFERROR(VLOOKUP($B102,INDIRECT("'GRD-"&amp;DX$11&amp;"'!B:R"),15,FALSE),"")</f>
        <v/>
      </c>
      <c r="DY102" s="96">
        <f>IFERROR(VLOOKUP($B102,INDIRECT("'GRD-"&amp;DY$11&amp;"'!B:R"),15,FALSE),"")</f>
        <v/>
      </c>
      <c r="DZ102" s="96">
        <f>IFERROR(VLOOKUP($B102,INDIRECT("'GRD-"&amp;DZ$11&amp;"'!B:R"),15,FALSE),"")</f>
        <v/>
      </c>
      <c r="EA102" s="96">
        <f>IFERROR(VLOOKUP($B102,INDIRECT("'GRD-"&amp;EA$11&amp;"'!B:R"),15,FALSE),"")</f>
        <v/>
      </c>
      <c r="EB102" s="96">
        <f>IFERROR(VLOOKUP($B102,INDIRECT("'GRD-"&amp;EB$11&amp;"'!B:R"),15,FALSE),"")</f>
        <v/>
      </c>
      <c r="EC102" s="96">
        <f>IFERROR(VLOOKUP($B102,INDIRECT("'GRD-"&amp;EC$11&amp;"'!B:R"),15,FALSE),"")</f>
        <v/>
      </c>
      <c r="ED102" s="96">
        <f>IFERROR(VLOOKUP($B102,INDIRECT("'GRD-"&amp;ED$11&amp;"'!B:R"),15,FALSE),"")</f>
        <v/>
      </c>
      <c r="EE102" s="96">
        <f>IFERROR(VLOOKUP($B102,INDIRECT("'GRD-"&amp;EE$11&amp;"'!B:R"),15,FALSE),"")</f>
        <v/>
      </c>
      <c r="EF102" s="96">
        <f>IFERROR(VLOOKUP($B102,INDIRECT("'GRD-"&amp;EF$11&amp;"'!B:R"),15,FALSE),"")</f>
        <v/>
      </c>
      <c r="EG102" s="96">
        <f>IFERROR(VLOOKUP($B102,INDIRECT("'GRD-"&amp;EG$11&amp;"'!B:R"),15,FALSE),"")</f>
        <v/>
      </c>
      <c r="EH102" s="96">
        <f>IFERROR(VLOOKUP($B102,INDIRECT("'GRD-"&amp;EH$11&amp;"'!B:R"),15,FALSE),"")</f>
        <v/>
      </c>
      <c r="EI102" s="96">
        <f>IFERROR(VLOOKUP($B102,INDIRECT("'GRD-"&amp;EI$11&amp;"'!B:R"),15,FALSE),"")</f>
        <v/>
      </c>
      <c r="EJ102" s="96">
        <f>IFERROR(VLOOKUP($B102,INDIRECT("'GRD-"&amp;EJ$11&amp;"'!B:R"),15,FALSE),"")</f>
        <v/>
      </c>
      <c r="EK102" s="96">
        <f>IFERROR(VLOOKUP($B102,INDIRECT("'GRD-"&amp;EK$11&amp;"'!B:R"),15,FALSE),"")</f>
        <v/>
      </c>
      <c r="EL102" s="96">
        <f>IFERROR(VLOOKUP($B102,INDIRECT("'GRD-"&amp;EL$11&amp;"'!B:R"),15,FALSE),"")</f>
        <v/>
      </c>
      <c r="EM102" s="96">
        <f>IFERROR(VLOOKUP($B102,INDIRECT("'GRD-"&amp;EM$11&amp;"'!B:R"),15,FALSE),"")</f>
        <v/>
      </c>
      <c r="EN102" s="96">
        <f>IFERROR(VLOOKUP($B102,INDIRECT("'GRD-"&amp;EN$11&amp;"'!B:R"),15,FALSE),"")</f>
        <v/>
      </c>
      <c r="EO102" s="96">
        <f>IFERROR(VLOOKUP($B102,INDIRECT("'GRD-"&amp;EO$11&amp;"'!B:R"),15,FALSE),"")</f>
        <v/>
      </c>
      <c r="EP102" s="96">
        <f>IFERROR(VLOOKUP($B102,INDIRECT("'GRD-"&amp;EP$11&amp;"'!B:R"),15,FALSE),"")</f>
        <v/>
      </c>
      <c r="EQ102" s="96">
        <f>IFERROR(VLOOKUP($B102,INDIRECT("'GRD-"&amp;EQ$11&amp;"'!B:R"),15,FALSE),"")</f>
        <v/>
      </c>
      <c r="ER102" s="96">
        <f>IFERROR(VLOOKUP($B102,INDIRECT("'GRD-"&amp;ER$11&amp;"'!B:R"),15,FALSE),"")</f>
        <v/>
      </c>
      <c r="ES102" s="96">
        <f>IFERROR(VLOOKUP($B102,INDIRECT("'GRD-"&amp;ES$11&amp;"'!B:R"),15,FALSE),"")</f>
        <v/>
      </c>
      <c r="ET102" s="96">
        <f>IFERROR(VLOOKUP($B102,INDIRECT("'GRD-"&amp;ET$11&amp;"'!B:R"),15,FALSE),"")</f>
        <v/>
      </c>
      <c r="EU102" s="96">
        <f>IFERROR(VLOOKUP($B102,INDIRECT("'GRD-"&amp;EU$11&amp;"'!B:R"),15,FALSE),"")</f>
        <v/>
      </c>
      <c r="EV102" s="96">
        <f>IFERROR(VLOOKUP($B102,INDIRECT("'GRD-"&amp;EV$11&amp;"'!B:R"),15,FALSE),"")</f>
        <v/>
      </c>
      <c r="EW102" s="96">
        <f>IFERROR(VLOOKUP($B102,INDIRECT("'GRD-"&amp;EW$11&amp;"'!B:R"),15,FALSE),"")</f>
        <v/>
      </c>
      <c r="EX102" s="96">
        <f>IFERROR(VLOOKUP($B102,INDIRECT("'GRD-"&amp;EX$11&amp;"'!B:R"),15,FALSE),"")</f>
        <v/>
      </c>
      <c r="EY102" s="96">
        <f>IFERROR(VLOOKUP($B102,INDIRECT("'GRD-"&amp;EY$11&amp;"'!B:R"),15,FALSE),"")</f>
        <v/>
      </c>
      <c r="EZ102" s="96">
        <f>IFERROR(VLOOKUP($B102,INDIRECT("'GRD-"&amp;EZ$11&amp;"'!B:R"),15,FALSE),"")</f>
        <v/>
      </c>
      <c r="FA102" s="96">
        <f>IFERROR(VLOOKUP($B102,INDIRECT("'GRD-"&amp;FA$11&amp;"'!B:R"),15,FALSE),"")</f>
        <v/>
      </c>
      <c r="FB102" s="96">
        <f>IFERROR(VLOOKUP($B102,INDIRECT("'GRD-"&amp;FB$11&amp;"'!B:R"),15,FALSE),"")</f>
        <v/>
      </c>
      <c r="FC102" s="96">
        <f>IFERROR(VLOOKUP($B102,INDIRECT("'GRD-"&amp;FC$11&amp;"'!B:R"),15,FALSE),"")</f>
        <v/>
      </c>
      <c r="FD102" s="96">
        <f>IFERROR(VLOOKUP($B102,INDIRECT("'GRD-"&amp;FD$11&amp;"'!B:R"),15,FALSE),"")</f>
        <v/>
      </c>
      <c r="FE102" s="96">
        <f>IFERROR(VLOOKUP($B102,INDIRECT("'GRD-"&amp;FE$11&amp;"'!B:R"),15,FALSE),"")</f>
        <v/>
      </c>
      <c r="FF102" s="96">
        <f>IFERROR(VLOOKUP($B102,INDIRECT("'GRD-"&amp;FF$11&amp;"'!B:R"),15,FALSE),"")</f>
        <v/>
      </c>
      <c r="FG102" s="96">
        <f>IFERROR(VLOOKUP($B102,INDIRECT("'GRD-"&amp;FG$11&amp;"'!B:R"),15,FALSE),"")</f>
        <v/>
      </c>
      <c r="FH102" s="96">
        <f>IFERROR(VLOOKUP($B102,INDIRECT("'GRD-"&amp;FH$11&amp;"'!B:R"),15,FALSE),"")</f>
        <v/>
      </c>
      <c r="FI102" s="96">
        <f>IFERROR(VLOOKUP($B102,INDIRECT("'GRD-"&amp;FI$11&amp;"'!B:R"),15,FALSE),"")</f>
        <v/>
      </c>
      <c r="FJ102" s="96">
        <f>IFERROR(VLOOKUP($B102,INDIRECT("'GRD-"&amp;FJ$11&amp;"'!B:R"),15,FALSE),"")</f>
        <v/>
      </c>
      <c r="FK102" s="96">
        <f>IFERROR(VLOOKUP($B102,INDIRECT("'GRD-"&amp;FK$11&amp;"'!B:R"),15,FALSE),"")</f>
        <v/>
      </c>
      <c r="FL102" s="96">
        <f>IFERROR(VLOOKUP($B102,INDIRECT("'GRD-"&amp;FL$11&amp;"'!B:R"),15,FALSE),"")</f>
        <v/>
      </c>
      <c r="FM102" s="96">
        <f>IFERROR(VLOOKUP($B102,INDIRECT("'GRD-"&amp;FM$11&amp;"'!B:R"),15,FALSE),"")</f>
        <v/>
      </c>
      <c r="FN102" s="96">
        <f>IFERROR(VLOOKUP($B102,INDIRECT("'GRD-"&amp;FN$11&amp;"'!B:R"),15,FALSE),"")</f>
        <v/>
      </c>
      <c r="FO102" s="96">
        <f>IFERROR(VLOOKUP($B102,INDIRECT("'GRD-"&amp;FO$11&amp;"'!B:R"),15,FALSE),"")</f>
        <v/>
      </c>
      <c r="FP102" s="96">
        <f>IFERROR(VLOOKUP($B102,INDIRECT("'GRD-"&amp;FP$11&amp;"'!B:R"),15,FALSE),"")</f>
        <v/>
      </c>
      <c r="FQ102" s="96">
        <f>IFERROR(VLOOKUP($B102,INDIRECT("'GRD-"&amp;FQ$11&amp;"'!B:R"),15,FALSE),"")</f>
        <v/>
      </c>
      <c r="FR102" s="96">
        <f>IFERROR(VLOOKUP($B102,INDIRECT("'GRD-"&amp;FR$11&amp;"'!B:R"),15,FALSE),"")</f>
        <v/>
      </c>
      <c r="FS102" s="96">
        <f>IFERROR(VLOOKUP($B102,INDIRECT("'GRD-"&amp;FS$11&amp;"'!B:R"),15,FALSE),"")</f>
        <v/>
      </c>
      <c r="FT102" s="96">
        <f>IFERROR(VLOOKUP($B102,INDIRECT("'GRD-"&amp;FT$11&amp;"'!B:R"),15,FALSE),"")</f>
        <v/>
      </c>
      <c r="FU102" s="96">
        <f>IFERROR(VLOOKUP($B102,INDIRECT("'GRD-"&amp;FU$11&amp;"'!B:R"),15,FALSE),"")</f>
        <v/>
      </c>
      <c r="FV102" s="96">
        <f>IFERROR(VLOOKUP($B102,INDIRECT("'GRD-"&amp;FV$11&amp;"'!B:R"),15,FALSE),"")</f>
        <v/>
      </c>
    </row>
    <row r="103">
      <c r="B103" s="85" t="n"/>
      <c r="C103" s="93" t="n"/>
      <c r="D103" s="73">
        <f>IF(K103="","",MAX($CA103:$FV103))</f>
        <v/>
      </c>
      <c r="E103" s="74">
        <f t="array" ref="E103">IF($K103="","",OFFSET($A$1,ROW($B103)-1,11+$D103*4,))</f>
        <v/>
      </c>
      <c r="F103" s="74">
        <f t="array" ref="F103">IF($K103="","",OFFSET($A$1,ROW($B103)-1,12+$D103*4,))</f>
        <v/>
      </c>
      <c r="G103" s="118">
        <f t="array" ref="G103">IF($K103="","",OFFSET($A$1,ROW($B103)-1,13+$D103*4,))</f>
        <v/>
      </c>
      <c r="H103" s="81" t="n"/>
      <c r="I103" s="82" t="n"/>
      <c r="J103" s="75">
        <f>IF(I103="A4",H103/8,IF(I103="A3",H103/4,IF(I103="A2",H103/2,IF(I103="A1",H103/1,IF(I103="A0",H103*2,"")))))</f>
        <v/>
      </c>
      <c r="K103" s="68">
        <f t="array" ref="K103">IFERROR(OFFSET($BZ$11,ROW($B103)-11,MATCH(K$10,$CA103:$FV103,0),),"")</f>
        <v/>
      </c>
      <c r="L103" s="85">
        <f>IF(K103="","",IF(VLOOKUP($B103,INDIRECT("'GRD-"&amp;M103&amp;"'!$B:$R"),16,FALSE)="","",VLOOKUP($B103,INDIRECT("'GRD-"&amp;M103&amp;"'!$B:$R"),16,FALSE)))</f>
        <v/>
      </c>
      <c r="M103" s="130">
        <f t="array" ref="M103">IF(K103="","",IFERROR(OFFSET($BZ$11,0,MATCH($K103,$CA103:$FV103,0),),""))</f>
        <v/>
      </c>
      <c r="N103" s="119">
        <f t="array" ref="N103">IF(K103="","",INDIRECT("'GRD-"&amp;M103&amp;"'!$L$7"))</f>
        <v/>
      </c>
      <c r="O103" s="76">
        <f t="array" ref="O103">IFERROR(OFFSET($BZ$11,ROW($B103)-11,MATCH(O$10,$CA103:$FV103,0),),"")</f>
        <v/>
      </c>
      <c r="P103" s="76">
        <f>IF(O103="","",IF(VLOOKUP($B103,INDIRECT("'GRD-"&amp;Q103&amp;"'!$B:$R"),16,FALSE)="","",VLOOKUP($B103,INDIRECT("'GRD-"&amp;Q103&amp;"'!$B:$R"),16,FALSE)))</f>
        <v/>
      </c>
      <c r="Q103" s="132">
        <f t="array" ref="Q103">IF(O103="","",IFERROR(OFFSET($BZ$11,0,MATCH($O103,$CA103:$FV103,0),),""))</f>
        <v/>
      </c>
      <c r="R103" s="121">
        <f t="array" ref="R103">IF(O103="","",INDIRECT("'GRD-"&amp;Q103&amp;"'!$L$7"))</f>
        <v/>
      </c>
      <c r="S103" s="83">
        <f t="array" ref="S103">IFERROR(OFFSET($BZ$11,ROW($B103)-11,MATCH(S$10,$CA103:$FV103,0),),"")</f>
        <v/>
      </c>
      <c r="T103" s="83">
        <f>IF(S103="","",IF(VLOOKUP($B103,INDIRECT("'GRD-"&amp;U103&amp;"'!$B:$R"),16,FALSE)="","",VLOOKUP($B103,INDIRECT("'GRD-"&amp;U103&amp;"'!$B:$R"),16,FALSE)))</f>
        <v/>
      </c>
      <c r="U103" s="128">
        <f t="array" ref="U103">IF(S103="","",IFERROR(OFFSET($BZ$11,0,MATCH($S103,$CA103:$FV103,0),),""))</f>
        <v/>
      </c>
      <c r="V103" s="133">
        <f t="array" ref="V103">IF(S103="","",INDIRECT("'GRD-"&amp;U103&amp;"'!$L$7"))</f>
        <v/>
      </c>
      <c r="W103" s="84">
        <f t="array" ref="W103">IFERROR(OFFSET($BZ$11,ROW($B103)-11,MATCH(W$10,$CA103:$FV103,0),),"")</f>
        <v/>
      </c>
      <c r="X103" s="84">
        <f>IF(W103="","",IF(VLOOKUP($B103,INDIRECT("'GRD-"&amp;Y103&amp;"'!$B:$R"),16,FALSE)="","",VLOOKUP($B103,INDIRECT("'GRD-"&amp;Y103&amp;"'!$B:$R"),16,FALSE)))</f>
        <v/>
      </c>
      <c r="Y103" s="129">
        <f t="array" ref="Y103">IF(W103="","",IFERROR(OFFSET($BZ$11,0,MATCH($W103,$CA103:$FV103,0),),""))</f>
        <v/>
      </c>
      <c r="Z103" s="134">
        <f t="array" ref="Z103">IF(W103="","",INDIRECT("'GRD-"&amp;Y103&amp;"'!$L$7"))</f>
        <v/>
      </c>
      <c r="AA103" s="85">
        <f t="array" ref="AA103">IFERROR(OFFSET($BZ$11,ROW($B103)-11,MATCH(AA$10,$CA103:$FV103,0),),"")</f>
        <v/>
      </c>
      <c r="AB103" s="85">
        <f>IF(AA103="","",IF(VLOOKUP($B103,INDIRECT("'GRD-"&amp;AC103&amp;"'!$B:$R"),16,FALSE)="","",VLOOKUP($B103,INDIRECT("'GRD-"&amp;AC103&amp;"'!$B:$R"),16,FALSE)))</f>
        <v/>
      </c>
      <c r="AC103" s="130">
        <f t="array" ref="AC103">IF(AA103="","",IFERROR(OFFSET($BZ$11,0,MATCH($AA103,$CA103:$FV103,0),),""))</f>
        <v/>
      </c>
      <c r="AD103" s="131">
        <f t="array" ref="AD103">IF(AA103="","",INDIRECT("'GRD-"&amp;AC103&amp;"'!$L$7"))</f>
        <v/>
      </c>
      <c r="AE103" s="76">
        <f t="array" ref="AE103">IFERROR(OFFSET($BZ$11,ROW($B103)-11,MATCH(AE$10,$CA103:$FV103,0),),"")</f>
        <v/>
      </c>
      <c r="AF103" s="76">
        <f>IF(AE103="","",IF(VLOOKUP($B103,INDIRECT("'GRD-"&amp;AG103&amp;"'!$B:$R"),16,FALSE)="","",VLOOKUP($B103,INDIRECT("'GRD-"&amp;AG103&amp;"'!$B:$R"),16,FALSE)))</f>
        <v/>
      </c>
      <c r="AG103" s="132">
        <f t="array" ref="AG103">IF(AE103="","",IFERROR(OFFSET($BZ$11,0,MATCH($AE103,$CA103:$FV103,0),),""))</f>
        <v/>
      </c>
      <c r="AH103" s="121">
        <f t="array" ref="AH103">IF(AE103="","",INDIRECT("'GRD-"&amp;AG103&amp;"'!$L$7"))</f>
        <v/>
      </c>
      <c r="AI103" s="83">
        <f t="array" ref="AI103">IFERROR(OFFSET($BZ$11,ROW($B103)-11,MATCH(AI$10,$CA103:$FV103,0),),"")</f>
        <v/>
      </c>
      <c r="AJ103" s="83">
        <f>IF(AI103="","",IF(VLOOKUP($B103,INDIRECT("'GRD-"&amp;AK103&amp;"'!$B:$R"),16,FALSE)="","",VLOOKUP($B103,INDIRECT("'GRD-"&amp;AK103&amp;"'!$B:$R"),16,FALSE)))</f>
        <v/>
      </c>
      <c r="AK103" s="128">
        <f t="array" ref="AK103">IF(AI103="","",IFERROR(OFFSET($BZ$11,0,MATCH($AI103,$CA103:$FV103,0),),""))</f>
        <v/>
      </c>
      <c r="AL103" s="133">
        <f t="array" ref="AL103">IF(AI103="","",INDIRECT("'GRD-"&amp;AK103&amp;"'!$L$7"))</f>
        <v/>
      </c>
      <c r="AM103" s="84">
        <f t="array" ref="AM103">IFERROR(OFFSET($BZ$11,ROW($B103)-11,MATCH(AM$10,$CA103:$FV103,0),),"")</f>
        <v/>
      </c>
      <c r="AN103" s="84">
        <f>IF(AM103="","",IF(VLOOKUP($B103,INDIRECT("'GRD-"&amp;AO103&amp;"'!$B:$R"),16,FALSE)="","",VLOOKUP($B103,INDIRECT("'GRD-"&amp;AO103&amp;"'!$B:$R"),16,FALSE)))</f>
        <v/>
      </c>
      <c r="AO103" s="129">
        <f t="array" ref="AO103">IF(AM103="","",IFERROR(OFFSET($BZ$11,0,MATCH($AM103,$CA103:$FV103,0),),""))</f>
        <v/>
      </c>
      <c r="AP103" s="134">
        <f t="array" ref="AP103">IF(AM103="","",INDIRECT("'GRD-"&amp;AO103&amp;"'!$L$7"))</f>
        <v/>
      </c>
      <c r="AQ103" s="85">
        <f t="array" ref="AQ103">IFERROR(OFFSET($BZ$11,ROW($B103)-11,MATCH(AQ$10,$CA103:$FV103,0),),"")</f>
        <v/>
      </c>
      <c r="AR103" s="85">
        <f>IF(AQ103="","",IF(VLOOKUP($B103,INDIRECT("'GRD-"&amp;AS103&amp;"'!$B:$R"),16,FALSE)="","",VLOOKUP($B103,INDIRECT("'GRD-"&amp;AS103&amp;"'!$B:$R"),16,FALSE)))</f>
        <v/>
      </c>
      <c r="AS103" s="130">
        <f t="array" ref="AS103">IF(AQ103="","",IFERROR(OFFSET($BZ$11,0,MATCH($AQ103,$CA103:$FV103,0),),""))</f>
        <v/>
      </c>
      <c r="AT103" s="131">
        <f t="array" ref="AT103">IF(AQ103="","",INDIRECT("'GRD-"&amp;AS103&amp;"'!$L$7"))</f>
        <v/>
      </c>
      <c r="AU103" s="76">
        <f t="array" ref="AU103">IFERROR(OFFSET($BZ$11,ROW($B103)-11,MATCH(AU$10,$CA103:$FV103,0),),"")</f>
        <v/>
      </c>
      <c r="AV103" s="76">
        <f>IF(AU103="","",IF(VLOOKUP($B103,INDIRECT("'GRD-"&amp;AW103&amp;"'!$B:$R"),16,FALSE)="","",VLOOKUP($B103,INDIRECT("'GRD-"&amp;AW103&amp;"'!$B:$R"),16,FALSE)))</f>
        <v/>
      </c>
      <c r="AW103" s="132">
        <f t="array" ref="AW103">IF(AU103="","",IFERROR(OFFSET($BZ$11,0,MATCH($AU103,$CA103:$FV103,0),),""))</f>
        <v/>
      </c>
      <c r="AX103" s="121">
        <f t="array" ref="AX103">IF(AU103="","",INDIRECT("'GRD-"&amp;AW103&amp;"'!$L$7"))</f>
        <v/>
      </c>
      <c r="AY103" s="83">
        <f t="array" ref="AY103">IFERROR(OFFSET($BZ$11,ROW($B103)-11,MATCH(AY$10,$CA103:$FV103,0),),"")</f>
        <v/>
      </c>
      <c r="AZ103" s="83">
        <f>IF(AY103="","",IF(VLOOKUP($B103,INDIRECT("'GRD-"&amp;BA103&amp;"'!$B:$R"),16,FALSE)="","",VLOOKUP($B103,INDIRECT("'GRD-"&amp;BA103&amp;"'!$B:$R"),16,FALSE)))</f>
        <v/>
      </c>
      <c r="BA103" s="128">
        <f t="array" ref="BA103">IF(AY103="","",IFERROR(OFFSET($BZ$11,0,MATCH($AY103,$CA103:$FV103,0),),""))</f>
        <v/>
      </c>
      <c r="BB103" s="133">
        <f t="array" ref="BB103">IF(AY103="","",INDIRECT("'GRD-"&amp;BA103&amp;"'!$L$7"))</f>
        <v/>
      </c>
      <c r="BC103" s="84">
        <f t="array" ref="BC103">IFERROR(OFFSET($BZ$11,ROW($B103)-11,MATCH(BC$10,$CA103:$FV103,0),),"")</f>
        <v/>
      </c>
      <c r="BD103" s="84">
        <f>IF(BC103="","",IF(VLOOKUP($B103,INDIRECT("'GRD-"&amp;BE103&amp;"'!$B:$R"),16,FALSE)="","",VLOOKUP($B103,INDIRECT("'GRD-"&amp;BE103&amp;"'!$B:$R"),16,FALSE)))</f>
        <v/>
      </c>
      <c r="BE103" s="129">
        <f t="array" ref="BE103">IF(BC103="","",IFERROR(OFFSET($BZ$11,0,MATCH($BC103,$CA103:$FV103,0),),""))</f>
        <v/>
      </c>
      <c r="BF103" s="134">
        <f t="array" ref="BF103">IF(BC103="","",INDIRECT("'GRD-"&amp;BE103&amp;"'!$L$7"))</f>
        <v/>
      </c>
      <c r="CA103" s="96">
        <f>IFERROR(VLOOKUP($B103,INDIRECT("'GRD-"&amp;CA$11&amp;"'!B:R"),15,FALSE),"")</f>
        <v/>
      </c>
      <c r="CB103" s="96">
        <f>IFERROR(VLOOKUP($B103,INDIRECT("'GRD-"&amp;CB$11&amp;"'!B:R"),15,FALSE),"")</f>
        <v/>
      </c>
      <c r="CC103" s="96">
        <f>IFERROR(VLOOKUP($B103,INDIRECT("'GRD-"&amp;CC$11&amp;"'!B:R"),15,FALSE),"")</f>
        <v/>
      </c>
      <c r="CD103" s="96">
        <f>IFERROR(VLOOKUP($B103,INDIRECT("'GRD-"&amp;CD$11&amp;"'!B:R"),15,FALSE),"")</f>
        <v/>
      </c>
      <c r="CE103" s="96">
        <f>IFERROR(VLOOKUP($B103,INDIRECT("'GRD-"&amp;CE$11&amp;"'!B:R"),15,FALSE),"")</f>
        <v/>
      </c>
      <c r="CF103" s="96">
        <f>IFERROR(VLOOKUP($B103,INDIRECT("'GRD-"&amp;CF$11&amp;"'!B:R"),15,FALSE),"")</f>
        <v/>
      </c>
      <c r="CG103" s="96">
        <f>IFERROR(VLOOKUP($B103,INDIRECT("'GRD-"&amp;CG$11&amp;"'!B:R"),15,FALSE),"")</f>
        <v/>
      </c>
      <c r="CH103" s="96">
        <f>IFERROR(VLOOKUP($B103,INDIRECT("'GRD-"&amp;CH$11&amp;"'!B:R"),15,FALSE),"")</f>
        <v/>
      </c>
      <c r="CI103" s="96">
        <f>IFERROR(VLOOKUP($B103,INDIRECT("'GRD-"&amp;CI$11&amp;"'!B:R"),15,FALSE),"")</f>
        <v/>
      </c>
      <c r="CJ103" s="96">
        <f>IFERROR(VLOOKUP($B103,INDIRECT("'GRD-"&amp;CJ$11&amp;"'!B:R"),15,FALSE),"")</f>
        <v/>
      </c>
      <c r="CK103" s="96">
        <f>IFERROR(VLOOKUP($B103,INDIRECT("'GRD-"&amp;CK$11&amp;"'!B:R"),15,FALSE),"")</f>
        <v/>
      </c>
      <c r="CL103" s="96">
        <f>IFERROR(VLOOKUP($B103,INDIRECT("'GRD-"&amp;CL$11&amp;"'!B:R"),15,FALSE),"")</f>
        <v/>
      </c>
      <c r="CM103" s="96">
        <f>IFERROR(VLOOKUP($B103,INDIRECT("'GRD-"&amp;CM$11&amp;"'!B:R"),15,FALSE),"")</f>
        <v/>
      </c>
      <c r="CN103" s="96">
        <f>IFERROR(VLOOKUP($B103,INDIRECT("'GRD-"&amp;CN$11&amp;"'!B:R"),15,FALSE),"")</f>
        <v/>
      </c>
      <c r="CO103" s="96">
        <f>IFERROR(VLOOKUP($B103,INDIRECT("'GRD-"&amp;CO$11&amp;"'!B:R"),15,FALSE),"")</f>
        <v/>
      </c>
      <c r="CP103" s="96">
        <f>IFERROR(VLOOKUP($B103,INDIRECT("'GRD-"&amp;CP$11&amp;"'!B:R"),15,FALSE),"")</f>
        <v/>
      </c>
      <c r="CQ103" s="96">
        <f>IFERROR(VLOOKUP($B103,INDIRECT("'GRD-"&amp;CQ$11&amp;"'!B:R"),15,FALSE),"")</f>
        <v/>
      </c>
      <c r="CR103" s="96">
        <f>IFERROR(VLOOKUP($B103,INDIRECT("'GRD-"&amp;CR$11&amp;"'!B:R"),15,FALSE),"")</f>
        <v/>
      </c>
      <c r="CS103" s="96">
        <f>IFERROR(VLOOKUP($B103,INDIRECT("'GRD-"&amp;CS$11&amp;"'!B:R"),15,FALSE),"")</f>
        <v/>
      </c>
      <c r="CT103" s="96">
        <f>IFERROR(VLOOKUP($B103,INDIRECT("'GRD-"&amp;CT$11&amp;"'!B:R"),15,FALSE),"")</f>
        <v/>
      </c>
      <c r="CU103" s="96">
        <f>IFERROR(VLOOKUP($B103,INDIRECT("'GRD-"&amp;CU$11&amp;"'!B:R"),15,FALSE),"")</f>
        <v/>
      </c>
      <c r="CV103" s="96">
        <f>IFERROR(VLOOKUP($B103,INDIRECT("'GRD-"&amp;CV$11&amp;"'!B:R"),15,FALSE),"")</f>
        <v/>
      </c>
      <c r="CW103" s="96">
        <f>IFERROR(VLOOKUP($B103,INDIRECT("'GRD-"&amp;CW$11&amp;"'!B:R"),15,FALSE),"")</f>
        <v/>
      </c>
      <c r="CX103" s="96">
        <f>IFERROR(VLOOKUP($B103,INDIRECT("'GRD-"&amp;CX$11&amp;"'!B:R"),15,FALSE),"")</f>
        <v/>
      </c>
      <c r="CY103" s="96">
        <f>IFERROR(VLOOKUP($B103,INDIRECT("'GRD-"&amp;CY$11&amp;"'!B:R"),15,FALSE),"")</f>
        <v/>
      </c>
      <c r="CZ103" s="96">
        <f>IFERROR(VLOOKUP($B103,INDIRECT("'GRD-"&amp;CZ$11&amp;"'!B:R"),15,FALSE),"")</f>
        <v/>
      </c>
      <c r="DA103" s="96">
        <f>IFERROR(VLOOKUP($B103,INDIRECT("'GRD-"&amp;DA$11&amp;"'!B:R"),15,FALSE),"")</f>
        <v/>
      </c>
      <c r="DB103" s="96">
        <f>IFERROR(VLOOKUP($B103,INDIRECT("'GRD-"&amp;DB$11&amp;"'!B:R"),15,FALSE),"")</f>
        <v/>
      </c>
      <c r="DC103" s="96">
        <f>IFERROR(VLOOKUP($B103,INDIRECT("'GRD-"&amp;DC$11&amp;"'!B:R"),15,FALSE),"")</f>
        <v/>
      </c>
      <c r="DD103" s="96">
        <f>IFERROR(VLOOKUP($B103,INDIRECT("'GRD-"&amp;DD$11&amp;"'!B:R"),15,FALSE),"")</f>
        <v/>
      </c>
      <c r="DE103" s="96">
        <f>IFERROR(VLOOKUP($B103,INDIRECT("'GRD-"&amp;DE$11&amp;"'!B:R"),15,FALSE),"")</f>
        <v/>
      </c>
      <c r="DF103" s="96">
        <f>IFERROR(VLOOKUP($B103,INDIRECT("'GRD-"&amp;DF$11&amp;"'!B:R"),15,FALSE),"")</f>
        <v/>
      </c>
      <c r="DG103" s="96">
        <f>IFERROR(VLOOKUP($B103,INDIRECT("'GRD-"&amp;DG$11&amp;"'!B:R"),15,FALSE),"")</f>
        <v/>
      </c>
      <c r="DH103" s="96">
        <f>IFERROR(VLOOKUP($B103,INDIRECT("'GRD-"&amp;DH$11&amp;"'!B:R"),15,FALSE),"")</f>
        <v/>
      </c>
      <c r="DI103" s="96">
        <f>IFERROR(VLOOKUP($B103,INDIRECT("'GRD-"&amp;DI$11&amp;"'!B:R"),15,FALSE),"")</f>
        <v/>
      </c>
      <c r="DJ103" s="96">
        <f>IFERROR(VLOOKUP($B103,INDIRECT("'GRD-"&amp;DJ$11&amp;"'!B:R"),15,FALSE),"")</f>
        <v/>
      </c>
      <c r="DK103" s="96">
        <f>IFERROR(VLOOKUP($B103,INDIRECT("'GRD-"&amp;DK$11&amp;"'!B:R"),15,FALSE),"")</f>
        <v/>
      </c>
      <c r="DL103" s="96">
        <f>IFERROR(VLOOKUP($B103,INDIRECT("'GRD-"&amp;DL$11&amp;"'!B:R"),15,FALSE),"")</f>
        <v/>
      </c>
      <c r="DM103" s="96">
        <f>IFERROR(VLOOKUP($B103,INDIRECT("'GRD-"&amp;DM$11&amp;"'!B:R"),15,FALSE),"")</f>
        <v/>
      </c>
      <c r="DN103" s="96">
        <f>IFERROR(VLOOKUP($B103,INDIRECT("'GRD-"&amp;DN$11&amp;"'!B:R"),15,FALSE),"")</f>
        <v/>
      </c>
      <c r="DO103" s="96">
        <f>IFERROR(VLOOKUP($B103,INDIRECT("'GRD-"&amp;DO$11&amp;"'!B:R"),15,FALSE),"")</f>
        <v/>
      </c>
      <c r="DP103" s="96">
        <f>IFERROR(VLOOKUP($B103,INDIRECT("'GRD-"&amp;DP$11&amp;"'!B:R"),15,FALSE),"")</f>
        <v/>
      </c>
      <c r="DQ103" s="96">
        <f>IFERROR(VLOOKUP($B103,INDIRECT("'GRD-"&amp;DQ$11&amp;"'!B:R"),15,FALSE),"")</f>
        <v/>
      </c>
      <c r="DR103" s="96">
        <f>IFERROR(VLOOKUP($B103,INDIRECT("'GRD-"&amp;DR$11&amp;"'!B:R"),15,FALSE),"")</f>
        <v/>
      </c>
      <c r="DS103" s="96">
        <f>IFERROR(VLOOKUP($B103,INDIRECT("'GRD-"&amp;DS$11&amp;"'!B:R"),15,FALSE),"")</f>
        <v/>
      </c>
      <c r="DT103" s="96">
        <f>IFERROR(VLOOKUP($B103,INDIRECT("'GRD-"&amp;DT$11&amp;"'!B:R"),15,FALSE),"")</f>
        <v/>
      </c>
      <c r="DU103" s="96">
        <f>IFERROR(VLOOKUP($B103,INDIRECT("'GRD-"&amp;DU$11&amp;"'!B:R"),15,FALSE),"")</f>
        <v/>
      </c>
      <c r="DV103" s="96">
        <f>IFERROR(VLOOKUP($B103,INDIRECT("'GRD-"&amp;DV$11&amp;"'!B:R"),15,FALSE),"")</f>
        <v/>
      </c>
      <c r="DW103" s="96">
        <f>IFERROR(VLOOKUP($B103,INDIRECT("'GRD-"&amp;DW$11&amp;"'!B:R"),15,FALSE),"")</f>
        <v/>
      </c>
      <c r="DX103" s="96">
        <f>IFERROR(VLOOKUP($B103,INDIRECT("'GRD-"&amp;DX$11&amp;"'!B:R"),15,FALSE),"")</f>
        <v/>
      </c>
      <c r="DY103" s="96">
        <f>IFERROR(VLOOKUP($B103,INDIRECT("'GRD-"&amp;DY$11&amp;"'!B:R"),15,FALSE),"")</f>
        <v/>
      </c>
      <c r="DZ103" s="96">
        <f>IFERROR(VLOOKUP($B103,INDIRECT("'GRD-"&amp;DZ$11&amp;"'!B:R"),15,FALSE),"")</f>
        <v/>
      </c>
      <c r="EA103" s="96">
        <f>IFERROR(VLOOKUP($B103,INDIRECT("'GRD-"&amp;EA$11&amp;"'!B:R"),15,FALSE),"")</f>
        <v/>
      </c>
      <c r="EB103" s="96">
        <f>IFERROR(VLOOKUP($B103,INDIRECT("'GRD-"&amp;EB$11&amp;"'!B:R"),15,FALSE),"")</f>
        <v/>
      </c>
      <c r="EC103" s="96">
        <f>IFERROR(VLOOKUP($B103,INDIRECT("'GRD-"&amp;EC$11&amp;"'!B:R"),15,FALSE),"")</f>
        <v/>
      </c>
      <c r="ED103" s="96">
        <f>IFERROR(VLOOKUP($B103,INDIRECT("'GRD-"&amp;ED$11&amp;"'!B:R"),15,FALSE),"")</f>
        <v/>
      </c>
      <c r="EE103" s="96">
        <f>IFERROR(VLOOKUP($B103,INDIRECT("'GRD-"&amp;EE$11&amp;"'!B:R"),15,FALSE),"")</f>
        <v/>
      </c>
      <c r="EF103" s="96">
        <f>IFERROR(VLOOKUP($B103,INDIRECT("'GRD-"&amp;EF$11&amp;"'!B:R"),15,FALSE),"")</f>
        <v/>
      </c>
      <c r="EG103" s="96">
        <f>IFERROR(VLOOKUP($B103,INDIRECT("'GRD-"&amp;EG$11&amp;"'!B:R"),15,FALSE),"")</f>
        <v/>
      </c>
      <c r="EH103" s="96">
        <f>IFERROR(VLOOKUP($B103,INDIRECT("'GRD-"&amp;EH$11&amp;"'!B:R"),15,FALSE),"")</f>
        <v/>
      </c>
      <c r="EI103" s="96">
        <f>IFERROR(VLOOKUP($B103,INDIRECT("'GRD-"&amp;EI$11&amp;"'!B:R"),15,FALSE),"")</f>
        <v/>
      </c>
      <c r="EJ103" s="96">
        <f>IFERROR(VLOOKUP($B103,INDIRECT("'GRD-"&amp;EJ$11&amp;"'!B:R"),15,FALSE),"")</f>
        <v/>
      </c>
      <c r="EK103" s="96">
        <f>IFERROR(VLOOKUP($B103,INDIRECT("'GRD-"&amp;EK$11&amp;"'!B:R"),15,FALSE),"")</f>
        <v/>
      </c>
      <c r="EL103" s="96">
        <f>IFERROR(VLOOKUP($B103,INDIRECT("'GRD-"&amp;EL$11&amp;"'!B:R"),15,FALSE),"")</f>
        <v/>
      </c>
      <c r="EM103" s="96">
        <f>IFERROR(VLOOKUP($B103,INDIRECT("'GRD-"&amp;EM$11&amp;"'!B:R"),15,FALSE),"")</f>
        <v/>
      </c>
      <c r="EN103" s="96">
        <f>IFERROR(VLOOKUP($B103,INDIRECT("'GRD-"&amp;EN$11&amp;"'!B:R"),15,FALSE),"")</f>
        <v/>
      </c>
      <c r="EO103" s="96">
        <f>IFERROR(VLOOKUP($B103,INDIRECT("'GRD-"&amp;EO$11&amp;"'!B:R"),15,FALSE),"")</f>
        <v/>
      </c>
      <c r="EP103" s="96">
        <f>IFERROR(VLOOKUP($B103,INDIRECT("'GRD-"&amp;EP$11&amp;"'!B:R"),15,FALSE),"")</f>
        <v/>
      </c>
      <c r="EQ103" s="96">
        <f>IFERROR(VLOOKUP($B103,INDIRECT("'GRD-"&amp;EQ$11&amp;"'!B:R"),15,FALSE),"")</f>
        <v/>
      </c>
      <c r="ER103" s="96">
        <f>IFERROR(VLOOKUP($B103,INDIRECT("'GRD-"&amp;ER$11&amp;"'!B:R"),15,FALSE),"")</f>
        <v/>
      </c>
      <c r="ES103" s="96">
        <f>IFERROR(VLOOKUP($B103,INDIRECT("'GRD-"&amp;ES$11&amp;"'!B:R"),15,FALSE),"")</f>
        <v/>
      </c>
      <c r="ET103" s="96">
        <f>IFERROR(VLOOKUP($B103,INDIRECT("'GRD-"&amp;ET$11&amp;"'!B:R"),15,FALSE),"")</f>
        <v/>
      </c>
      <c r="EU103" s="96">
        <f>IFERROR(VLOOKUP($B103,INDIRECT("'GRD-"&amp;EU$11&amp;"'!B:R"),15,FALSE),"")</f>
        <v/>
      </c>
      <c r="EV103" s="96">
        <f>IFERROR(VLOOKUP($B103,INDIRECT("'GRD-"&amp;EV$11&amp;"'!B:R"),15,FALSE),"")</f>
        <v/>
      </c>
      <c r="EW103" s="96">
        <f>IFERROR(VLOOKUP($B103,INDIRECT("'GRD-"&amp;EW$11&amp;"'!B:R"),15,FALSE),"")</f>
        <v/>
      </c>
      <c r="EX103" s="96">
        <f>IFERROR(VLOOKUP($B103,INDIRECT("'GRD-"&amp;EX$11&amp;"'!B:R"),15,FALSE),"")</f>
        <v/>
      </c>
      <c r="EY103" s="96">
        <f>IFERROR(VLOOKUP($B103,INDIRECT("'GRD-"&amp;EY$11&amp;"'!B:R"),15,FALSE),"")</f>
        <v/>
      </c>
      <c r="EZ103" s="96">
        <f>IFERROR(VLOOKUP($B103,INDIRECT("'GRD-"&amp;EZ$11&amp;"'!B:R"),15,FALSE),"")</f>
        <v/>
      </c>
      <c r="FA103" s="96">
        <f>IFERROR(VLOOKUP($B103,INDIRECT("'GRD-"&amp;FA$11&amp;"'!B:R"),15,FALSE),"")</f>
        <v/>
      </c>
      <c r="FB103" s="96">
        <f>IFERROR(VLOOKUP($B103,INDIRECT("'GRD-"&amp;FB$11&amp;"'!B:R"),15,FALSE),"")</f>
        <v/>
      </c>
      <c r="FC103" s="96">
        <f>IFERROR(VLOOKUP($B103,INDIRECT("'GRD-"&amp;FC$11&amp;"'!B:R"),15,FALSE),"")</f>
        <v/>
      </c>
      <c r="FD103" s="96">
        <f>IFERROR(VLOOKUP($B103,INDIRECT("'GRD-"&amp;FD$11&amp;"'!B:R"),15,FALSE),"")</f>
        <v/>
      </c>
      <c r="FE103" s="96">
        <f>IFERROR(VLOOKUP($B103,INDIRECT("'GRD-"&amp;FE$11&amp;"'!B:R"),15,FALSE),"")</f>
        <v/>
      </c>
      <c r="FF103" s="96">
        <f>IFERROR(VLOOKUP($B103,INDIRECT("'GRD-"&amp;FF$11&amp;"'!B:R"),15,FALSE),"")</f>
        <v/>
      </c>
      <c r="FG103" s="96">
        <f>IFERROR(VLOOKUP($B103,INDIRECT("'GRD-"&amp;FG$11&amp;"'!B:R"),15,FALSE),"")</f>
        <v/>
      </c>
      <c r="FH103" s="96">
        <f>IFERROR(VLOOKUP($B103,INDIRECT("'GRD-"&amp;FH$11&amp;"'!B:R"),15,FALSE),"")</f>
        <v/>
      </c>
      <c r="FI103" s="96">
        <f>IFERROR(VLOOKUP($B103,INDIRECT("'GRD-"&amp;FI$11&amp;"'!B:R"),15,FALSE),"")</f>
        <v/>
      </c>
      <c r="FJ103" s="96">
        <f>IFERROR(VLOOKUP($B103,INDIRECT("'GRD-"&amp;FJ$11&amp;"'!B:R"),15,FALSE),"")</f>
        <v/>
      </c>
      <c r="FK103" s="96">
        <f>IFERROR(VLOOKUP($B103,INDIRECT("'GRD-"&amp;FK$11&amp;"'!B:R"),15,FALSE),"")</f>
        <v/>
      </c>
      <c r="FL103" s="96">
        <f>IFERROR(VLOOKUP($B103,INDIRECT("'GRD-"&amp;FL$11&amp;"'!B:R"),15,FALSE),"")</f>
        <v/>
      </c>
      <c r="FM103" s="96">
        <f>IFERROR(VLOOKUP($B103,INDIRECT("'GRD-"&amp;FM$11&amp;"'!B:R"),15,FALSE),"")</f>
        <v/>
      </c>
      <c r="FN103" s="96">
        <f>IFERROR(VLOOKUP($B103,INDIRECT("'GRD-"&amp;FN$11&amp;"'!B:R"),15,FALSE),"")</f>
        <v/>
      </c>
      <c r="FO103" s="96">
        <f>IFERROR(VLOOKUP($B103,INDIRECT("'GRD-"&amp;FO$11&amp;"'!B:R"),15,FALSE),"")</f>
        <v/>
      </c>
      <c r="FP103" s="96">
        <f>IFERROR(VLOOKUP($B103,INDIRECT("'GRD-"&amp;FP$11&amp;"'!B:R"),15,FALSE),"")</f>
        <v/>
      </c>
      <c r="FQ103" s="96">
        <f>IFERROR(VLOOKUP($B103,INDIRECT("'GRD-"&amp;FQ$11&amp;"'!B:R"),15,FALSE),"")</f>
        <v/>
      </c>
      <c r="FR103" s="96">
        <f>IFERROR(VLOOKUP($B103,INDIRECT("'GRD-"&amp;FR$11&amp;"'!B:R"),15,FALSE),"")</f>
        <v/>
      </c>
      <c r="FS103" s="96">
        <f>IFERROR(VLOOKUP($B103,INDIRECT("'GRD-"&amp;FS$11&amp;"'!B:R"),15,FALSE),"")</f>
        <v/>
      </c>
      <c r="FT103" s="96">
        <f>IFERROR(VLOOKUP($B103,INDIRECT("'GRD-"&amp;FT$11&amp;"'!B:R"),15,FALSE),"")</f>
        <v/>
      </c>
      <c r="FU103" s="96">
        <f>IFERROR(VLOOKUP($B103,INDIRECT("'GRD-"&amp;FU$11&amp;"'!B:R"),15,FALSE),"")</f>
        <v/>
      </c>
      <c r="FV103" s="96">
        <f>IFERROR(VLOOKUP($B103,INDIRECT("'GRD-"&amp;FV$11&amp;"'!B:R"),15,FALSE),"")</f>
        <v/>
      </c>
    </row>
    <row r="104">
      <c r="B104" s="85" t="n"/>
      <c r="C104" s="93" t="n"/>
      <c r="D104" s="73">
        <f>IF(K104="","",MAX($CA104:$FV104))</f>
        <v/>
      </c>
      <c r="E104" s="74">
        <f t="array" ref="E104">IF($K104="","",OFFSET($A$1,ROW($B104)-1,11+$D104*4,))</f>
        <v/>
      </c>
      <c r="F104" s="74">
        <f t="array" ref="F104">IF($K104="","",OFFSET($A$1,ROW($B104)-1,12+$D104*4,))</f>
        <v/>
      </c>
      <c r="G104" s="118">
        <f t="array" ref="G104">IF($K104="","",OFFSET($A$1,ROW($B104)-1,13+$D104*4,))</f>
        <v/>
      </c>
      <c r="H104" s="81" t="n"/>
      <c r="I104" s="82" t="n"/>
      <c r="J104" s="75">
        <f>IF(I104="A4",H104/8,IF(I104="A3",H104/4,IF(I104="A2",H104/2,IF(I104="A1",H104/1,IF(I104="A0",H104*2,"")))))</f>
        <v/>
      </c>
      <c r="K104" s="68">
        <f t="array" ref="K104">IFERROR(OFFSET($BZ$11,ROW($B104)-11,MATCH(K$10,$CA104:$FV104,0),),"")</f>
        <v/>
      </c>
      <c r="L104" s="85">
        <f>IF(K104="","",IF(VLOOKUP($B104,INDIRECT("'GRD-"&amp;M104&amp;"'!$B:$R"),16,FALSE)="","",VLOOKUP($B104,INDIRECT("'GRD-"&amp;M104&amp;"'!$B:$R"),16,FALSE)))</f>
        <v/>
      </c>
      <c r="M104" s="130">
        <f t="array" ref="M104">IF(K104="","",IFERROR(OFFSET($BZ$11,0,MATCH($K104,$CA104:$FV104,0),),""))</f>
        <v/>
      </c>
      <c r="N104" s="119">
        <f t="array" ref="N104">IF(K104="","",INDIRECT("'GRD-"&amp;M104&amp;"'!$L$7"))</f>
        <v/>
      </c>
      <c r="O104" s="76">
        <f t="array" ref="O104">IFERROR(OFFSET($BZ$11,ROW($B104)-11,MATCH(O$10,$CA104:$FV104,0),),"")</f>
        <v/>
      </c>
      <c r="P104" s="76">
        <f>IF(O104="","",IF(VLOOKUP($B104,INDIRECT("'GRD-"&amp;Q104&amp;"'!$B:$R"),16,FALSE)="","",VLOOKUP($B104,INDIRECT("'GRD-"&amp;Q104&amp;"'!$B:$R"),16,FALSE)))</f>
        <v/>
      </c>
      <c r="Q104" s="132">
        <f t="array" ref="Q104">IF(O104="","",IFERROR(OFFSET($BZ$11,0,MATCH($O104,$CA104:$FV104,0),),""))</f>
        <v/>
      </c>
      <c r="R104" s="121">
        <f t="array" ref="R104">IF(O104="","",INDIRECT("'GRD-"&amp;Q104&amp;"'!$L$7"))</f>
        <v/>
      </c>
      <c r="S104" s="83">
        <f t="array" ref="S104">IFERROR(OFFSET($BZ$11,ROW($B104)-11,MATCH(S$10,$CA104:$FV104,0),),"")</f>
        <v/>
      </c>
      <c r="T104" s="83">
        <f>IF(S104="","",IF(VLOOKUP($B104,INDIRECT("'GRD-"&amp;U104&amp;"'!$B:$R"),16,FALSE)="","",VLOOKUP($B104,INDIRECT("'GRD-"&amp;U104&amp;"'!$B:$R"),16,FALSE)))</f>
        <v/>
      </c>
      <c r="U104" s="128">
        <f t="array" ref="U104">IF(S104="","",IFERROR(OFFSET($BZ$11,0,MATCH($S104,$CA104:$FV104,0),),""))</f>
        <v/>
      </c>
      <c r="V104" s="133">
        <f t="array" ref="V104">IF(S104="","",INDIRECT("'GRD-"&amp;U104&amp;"'!$L$7"))</f>
        <v/>
      </c>
      <c r="W104" s="84">
        <f t="array" ref="W104">IFERROR(OFFSET($BZ$11,ROW($B104)-11,MATCH(W$10,$CA104:$FV104,0),),"")</f>
        <v/>
      </c>
      <c r="X104" s="84">
        <f>IF(W104="","",IF(VLOOKUP($B104,INDIRECT("'GRD-"&amp;Y104&amp;"'!$B:$R"),16,FALSE)="","",VLOOKUP($B104,INDIRECT("'GRD-"&amp;Y104&amp;"'!$B:$R"),16,FALSE)))</f>
        <v/>
      </c>
      <c r="Y104" s="129">
        <f t="array" ref="Y104">IF(W104="","",IFERROR(OFFSET($BZ$11,0,MATCH($W104,$CA104:$FV104,0),),""))</f>
        <v/>
      </c>
      <c r="Z104" s="134">
        <f t="array" ref="Z104">IF(W104="","",INDIRECT("'GRD-"&amp;Y104&amp;"'!$L$7"))</f>
        <v/>
      </c>
      <c r="AA104" s="85">
        <f t="array" ref="AA104">IFERROR(OFFSET($BZ$11,ROW($B104)-11,MATCH(AA$10,$CA104:$FV104,0),),"")</f>
        <v/>
      </c>
      <c r="AB104" s="85">
        <f>IF(AA104="","",IF(VLOOKUP($B104,INDIRECT("'GRD-"&amp;AC104&amp;"'!$B:$R"),16,FALSE)="","",VLOOKUP($B104,INDIRECT("'GRD-"&amp;AC104&amp;"'!$B:$R"),16,FALSE)))</f>
        <v/>
      </c>
      <c r="AC104" s="130">
        <f t="array" ref="AC104">IF(AA104="","",IFERROR(OFFSET($BZ$11,0,MATCH($AA104,$CA104:$FV104,0),),""))</f>
        <v/>
      </c>
      <c r="AD104" s="131">
        <f t="array" ref="AD104">IF(AA104="","",INDIRECT("'GRD-"&amp;AC104&amp;"'!$L$7"))</f>
        <v/>
      </c>
      <c r="AE104" s="76">
        <f t="array" ref="AE104">IFERROR(OFFSET($BZ$11,ROW($B104)-11,MATCH(AE$10,$CA104:$FV104,0),),"")</f>
        <v/>
      </c>
      <c r="AF104" s="76">
        <f>IF(AE104="","",IF(VLOOKUP($B104,INDIRECT("'GRD-"&amp;AG104&amp;"'!$B:$R"),16,FALSE)="","",VLOOKUP($B104,INDIRECT("'GRD-"&amp;AG104&amp;"'!$B:$R"),16,FALSE)))</f>
        <v/>
      </c>
      <c r="AG104" s="132">
        <f t="array" ref="AG104">IF(AE104="","",IFERROR(OFFSET($BZ$11,0,MATCH($AE104,$CA104:$FV104,0),),""))</f>
        <v/>
      </c>
      <c r="AH104" s="121">
        <f t="array" ref="AH104">IF(AE104="","",INDIRECT("'GRD-"&amp;AG104&amp;"'!$L$7"))</f>
        <v/>
      </c>
      <c r="AI104" s="83">
        <f t="array" ref="AI104">IFERROR(OFFSET($BZ$11,ROW($B104)-11,MATCH(AI$10,$CA104:$FV104,0),),"")</f>
        <v/>
      </c>
      <c r="AJ104" s="83">
        <f>IF(AI104="","",IF(VLOOKUP($B104,INDIRECT("'GRD-"&amp;AK104&amp;"'!$B:$R"),16,FALSE)="","",VLOOKUP($B104,INDIRECT("'GRD-"&amp;AK104&amp;"'!$B:$R"),16,FALSE)))</f>
        <v/>
      </c>
      <c r="AK104" s="128">
        <f t="array" ref="AK104">IF(AI104="","",IFERROR(OFFSET($BZ$11,0,MATCH($AI104,$CA104:$FV104,0),),""))</f>
        <v/>
      </c>
      <c r="AL104" s="133">
        <f t="array" ref="AL104">IF(AI104="","",INDIRECT("'GRD-"&amp;AK104&amp;"'!$L$7"))</f>
        <v/>
      </c>
      <c r="AM104" s="84">
        <f t="array" ref="AM104">IFERROR(OFFSET($BZ$11,ROW($B104)-11,MATCH(AM$10,$CA104:$FV104,0),),"")</f>
        <v/>
      </c>
      <c r="AN104" s="84">
        <f>IF(AM104="","",IF(VLOOKUP($B104,INDIRECT("'GRD-"&amp;AO104&amp;"'!$B:$R"),16,FALSE)="","",VLOOKUP($B104,INDIRECT("'GRD-"&amp;AO104&amp;"'!$B:$R"),16,FALSE)))</f>
        <v/>
      </c>
      <c r="AO104" s="129">
        <f t="array" ref="AO104">IF(AM104="","",IFERROR(OFFSET($BZ$11,0,MATCH($AM104,$CA104:$FV104,0),),""))</f>
        <v/>
      </c>
      <c r="AP104" s="134">
        <f t="array" ref="AP104">IF(AM104="","",INDIRECT("'GRD-"&amp;AO104&amp;"'!$L$7"))</f>
        <v/>
      </c>
      <c r="AQ104" s="85">
        <f t="array" ref="AQ104">IFERROR(OFFSET($BZ$11,ROW($B104)-11,MATCH(AQ$10,$CA104:$FV104,0),),"")</f>
        <v/>
      </c>
      <c r="AR104" s="85">
        <f>IF(AQ104="","",IF(VLOOKUP($B104,INDIRECT("'GRD-"&amp;AS104&amp;"'!$B:$R"),16,FALSE)="","",VLOOKUP($B104,INDIRECT("'GRD-"&amp;AS104&amp;"'!$B:$R"),16,FALSE)))</f>
        <v/>
      </c>
      <c r="AS104" s="130">
        <f t="array" ref="AS104">IF(AQ104="","",IFERROR(OFFSET($BZ$11,0,MATCH($AQ104,$CA104:$FV104,0),),""))</f>
        <v/>
      </c>
      <c r="AT104" s="131">
        <f t="array" ref="AT104">IF(AQ104="","",INDIRECT("'GRD-"&amp;AS104&amp;"'!$L$7"))</f>
        <v/>
      </c>
      <c r="AU104" s="76">
        <f t="array" ref="AU104">IFERROR(OFFSET($BZ$11,ROW($B104)-11,MATCH(AU$10,$CA104:$FV104,0),),"")</f>
        <v/>
      </c>
      <c r="AV104" s="76">
        <f>IF(AU104="","",IF(VLOOKUP($B104,INDIRECT("'GRD-"&amp;AW104&amp;"'!$B:$R"),16,FALSE)="","",VLOOKUP($B104,INDIRECT("'GRD-"&amp;AW104&amp;"'!$B:$R"),16,FALSE)))</f>
        <v/>
      </c>
      <c r="AW104" s="132">
        <f t="array" ref="AW104">IF(AU104="","",IFERROR(OFFSET($BZ$11,0,MATCH($AU104,$CA104:$FV104,0),),""))</f>
        <v/>
      </c>
      <c r="AX104" s="121">
        <f t="array" ref="AX104">IF(AU104="","",INDIRECT("'GRD-"&amp;AW104&amp;"'!$L$7"))</f>
        <v/>
      </c>
      <c r="AY104" s="83">
        <f t="array" ref="AY104">IFERROR(OFFSET($BZ$11,ROW($B104)-11,MATCH(AY$10,$CA104:$FV104,0),),"")</f>
        <v/>
      </c>
      <c r="AZ104" s="83">
        <f>IF(AY104="","",IF(VLOOKUP($B104,INDIRECT("'GRD-"&amp;BA104&amp;"'!$B:$R"),16,FALSE)="","",VLOOKUP($B104,INDIRECT("'GRD-"&amp;BA104&amp;"'!$B:$R"),16,FALSE)))</f>
        <v/>
      </c>
      <c r="BA104" s="128">
        <f t="array" ref="BA104">IF(AY104="","",IFERROR(OFFSET($BZ$11,0,MATCH($AY104,$CA104:$FV104,0),),""))</f>
        <v/>
      </c>
      <c r="BB104" s="133">
        <f t="array" ref="BB104">IF(AY104="","",INDIRECT("'GRD-"&amp;BA104&amp;"'!$L$7"))</f>
        <v/>
      </c>
      <c r="BC104" s="84">
        <f t="array" ref="BC104">IFERROR(OFFSET($BZ$11,ROW($B104)-11,MATCH(BC$10,$CA104:$FV104,0),),"")</f>
        <v/>
      </c>
      <c r="BD104" s="84">
        <f>IF(BC104="","",IF(VLOOKUP($B104,INDIRECT("'GRD-"&amp;BE104&amp;"'!$B:$R"),16,FALSE)="","",VLOOKUP($B104,INDIRECT("'GRD-"&amp;BE104&amp;"'!$B:$R"),16,FALSE)))</f>
        <v/>
      </c>
      <c r="BE104" s="129">
        <f t="array" ref="BE104">IF(BC104="","",IFERROR(OFFSET($BZ$11,0,MATCH($BC104,$CA104:$FV104,0),),""))</f>
        <v/>
      </c>
      <c r="BF104" s="134">
        <f t="array" ref="BF104">IF(BC104="","",INDIRECT("'GRD-"&amp;BE104&amp;"'!$L$7"))</f>
        <v/>
      </c>
      <c r="CA104" s="96">
        <f>IFERROR(VLOOKUP($B104,INDIRECT("'GRD-"&amp;CA$11&amp;"'!B:R"),15,FALSE),"")</f>
        <v/>
      </c>
      <c r="CB104" s="96">
        <f>IFERROR(VLOOKUP($B104,INDIRECT("'GRD-"&amp;CB$11&amp;"'!B:R"),15,FALSE),"")</f>
        <v/>
      </c>
      <c r="CC104" s="96">
        <f>IFERROR(VLOOKUP($B104,INDIRECT("'GRD-"&amp;CC$11&amp;"'!B:R"),15,FALSE),"")</f>
        <v/>
      </c>
      <c r="CD104" s="96">
        <f>IFERROR(VLOOKUP($B104,INDIRECT("'GRD-"&amp;CD$11&amp;"'!B:R"),15,FALSE),"")</f>
        <v/>
      </c>
      <c r="CE104" s="96">
        <f>IFERROR(VLOOKUP($B104,INDIRECT("'GRD-"&amp;CE$11&amp;"'!B:R"),15,FALSE),"")</f>
        <v/>
      </c>
      <c r="CF104" s="96">
        <f>IFERROR(VLOOKUP($B104,INDIRECT("'GRD-"&amp;CF$11&amp;"'!B:R"),15,FALSE),"")</f>
        <v/>
      </c>
      <c r="CG104" s="96">
        <f>IFERROR(VLOOKUP($B104,INDIRECT("'GRD-"&amp;CG$11&amp;"'!B:R"),15,FALSE),"")</f>
        <v/>
      </c>
      <c r="CH104" s="96">
        <f>IFERROR(VLOOKUP($B104,INDIRECT("'GRD-"&amp;CH$11&amp;"'!B:R"),15,FALSE),"")</f>
        <v/>
      </c>
      <c r="CI104" s="96">
        <f>IFERROR(VLOOKUP($B104,INDIRECT("'GRD-"&amp;CI$11&amp;"'!B:R"),15,FALSE),"")</f>
        <v/>
      </c>
      <c r="CJ104" s="96">
        <f>IFERROR(VLOOKUP($B104,INDIRECT("'GRD-"&amp;CJ$11&amp;"'!B:R"),15,FALSE),"")</f>
        <v/>
      </c>
      <c r="CK104" s="96">
        <f>IFERROR(VLOOKUP($B104,INDIRECT("'GRD-"&amp;CK$11&amp;"'!B:R"),15,FALSE),"")</f>
        <v/>
      </c>
      <c r="CL104" s="96">
        <f>IFERROR(VLOOKUP($B104,INDIRECT("'GRD-"&amp;CL$11&amp;"'!B:R"),15,FALSE),"")</f>
        <v/>
      </c>
      <c r="CM104" s="96">
        <f>IFERROR(VLOOKUP($B104,INDIRECT("'GRD-"&amp;CM$11&amp;"'!B:R"),15,FALSE),"")</f>
        <v/>
      </c>
      <c r="CN104" s="96">
        <f>IFERROR(VLOOKUP($B104,INDIRECT("'GRD-"&amp;CN$11&amp;"'!B:R"),15,FALSE),"")</f>
        <v/>
      </c>
      <c r="CO104" s="96">
        <f>IFERROR(VLOOKUP($B104,INDIRECT("'GRD-"&amp;CO$11&amp;"'!B:R"),15,FALSE),"")</f>
        <v/>
      </c>
      <c r="CP104" s="96">
        <f>IFERROR(VLOOKUP($B104,INDIRECT("'GRD-"&amp;CP$11&amp;"'!B:R"),15,FALSE),"")</f>
        <v/>
      </c>
      <c r="CQ104" s="96">
        <f>IFERROR(VLOOKUP($B104,INDIRECT("'GRD-"&amp;CQ$11&amp;"'!B:R"),15,FALSE),"")</f>
        <v/>
      </c>
      <c r="CR104" s="96">
        <f>IFERROR(VLOOKUP($B104,INDIRECT("'GRD-"&amp;CR$11&amp;"'!B:R"),15,FALSE),"")</f>
        <v/>
      </c>
      <c r="CS104" s="96">
        <f>IFERROR(VLOOKUP($B104,INDIRECT("'GRD-"&amp;CS$11&amp;"'!B:R"),15,FALSE),"")</f>
        <v/>
      </c>
      <c r="CT104" s="96">
        <f>IFERROR(VLOOKUP($B104,INDIRECT("'GRD-"&amp;CT$11&amp;"'!B:R"),15,FALSE),"")</f>
        <v/>
      </c>
      <c r="CU104" s="96">
        <f>IFERROR(VLOOKUP($B104,INDIRECT("'GRD-"&amp;CU$11&amp;"'!B:R"),15,FALSE),"")</f>
        <v/>
      </c>
      <c r="CV104" s="96">
        <f>IFERROR(VLOOKUP($B104,INDIRECT("'GRD-"&amp;CV$11&amp;"'!B:R"),15,FALSE),"")</f>
        <v/>
      </c>
      <c r="CW104" s="96">
        <f>IFERROR(VLOOKUP($B104,INDIRECT("'GRD-"&amp;CW$11&amp;"'!B:R"),15,FALSE),"")</f>
        <v/>
      </c>
      <c r="CX104" s="96">
        <f>IFERROR(VLOOKUP($B104,INDIRECT("'GRD-"&amp;CX$11&amp;"'!B:R"),15,FALSE),"")</f>
        <v/>
      </c>
      <c r="CY104" s="96">
        <f>IFERROR(VLOOKUP($B104,INDIRECT("'GRD-"&amp;CY$11&amp;"'!B:R"),15,FALSE),"")</f>
        <v/>
      </c>
      <c r="CZ104" s="96">
        <f>IFERROR(VLOOKUP($B104,INDIRECT("'GRD-"&amp;CZ$11&amp;"'!B:R"),15,FALSE),"")</f>
        <v/>
      </c>
      <c r="DA104" s="96">
        <f>IFERROR(VLOOKUP($B104,INDIRECT("'GRD-"&amp;DA$11&amp;"'!B:R"),15,FALSE),"")</f>
        <v/>
      </c>
      <c r="DB104" s="96">
        <f>IFERROR(VLOOKUP($B104,INDIRECT("'GRD-"&amp;DB$11&amp;"'!B:R"),15,FALSE),"")</f>
        <v/>
      </c>
      <c r="DC104" s="96">
        <f>IFERROR(VLOOKUP($B104,INDIRECT("'GRD-"&amp;DC$11&amp;"'!B:R"),15,FALSE),"")</f>
        <v/>
      </c>
      <c r="DD104" s="96">
        <f>IFERROR(VLOOKUP($B104,INDIRECT("'GRD-"&amp;DD$11&amp;"'!B:R"),15,FALSE),"")</f>
        <v/>
      </c>
      <c r="DE104" s="96">
        <f>IFERROR(VLOOKUP($B104,INDIRECT("'GRD-"&amp;DE$11&amp;"'!B:R"),15,FALSE),"")</f>
        <v/>
      </c>
      <c r="DF104" s="96">
        <f>IFERROR(VLOOKUP($B104,INDIRECT("'GRD-"&amp;DF$11&amp;"'!B:R"),15,FALSE),"")</f>
        <v/>
      </c>
      <c r="DG104" s="96">
        <f>IFERROR(VLOOKUP($B104,INDIRECT("'GRD-"&amp;DG$11&amp;"'!B:R"),15,FALSE),"")</f>
        <v/>
      </c>
      <c r="DH104" s="96">
        <f>IFERROR(VLOOKUP($B104,INDIRECT("'GRD-"&amp;DH$11&amp;"'!B:R"),15,FALSE),"")</f>
        <v/>
      </c>
      <c r="DI104" s="96">
        <f>IFERROR(VLOOKUP($B104,INDIRECT("'GRD-"&amp;DI$11&amp;"'!B:R"),15,FALSE),"")</f>
        <v/>
      </c>
      <c r="DJ104" s="96">
        <f>IFERROR(VLOOKUP($B104,INDIRECT("'GRD-"&amp;DJ$11&amp;"'!B:R"),15,FALSE),"")</f>
        <v/>
      </c>
      <c r="DK104" s="96">
        <f>IFERROR(VLOOKUP($B104,INDIRECT("'GRD-"&amp;DK$11&amp;"'!B:R"),15,FALSE),"")</f>
        <v/>
      </c>
      <c r="DL104" s="96">
        <f>IFERROR(VLOOKUP($B104,INDIRECT("'GRD-"&amp;DL$11&amp;"'!B:R"),15,FALSE),"")</f>
        <v/>
      </c>
      <c r="DM104" s="96">
        <f>IFERROR(VLOOKUP($B104,INDIRECT("'GRD-"&amp;DM$11&amp;"'!B:R"),15,FALSE),"")</f>
        <v/>
      </c>
      <c r="DN104" s="96">
        <f>IFERROR(VLOOKUP($B104,INDIRECT("'GRD-"&amp;DN$11&amp;"'!B:R"),15,FALSE),"")</f>
        <v/>
      </c>
      <c r="DO104" s="96">
        <f>IFERROR(VLOOKUP($B104,INDIRECT("'GRD-"&amp;DO$11&amp;"'!B:R"),15,FALSE),"")</f>
        <v/>
      </c>
      <c r="DP104" s="96">
        <f>IFERROR(VLOOKUP($B104,INDIRECT("'GRD-"&amp;DP$11&amp;"'!B:R"),15,FALSE),"")</f>
        <v/>
      </c>
      <c r="DQ104" s="96">
        <f>IFERROR(VLOOKUP($B104,INDIRECT("'GRD-"&amp;DQ$11&amp;"'!B:R"),15,FALSE),"")</f>
        <v/>
      </c>
      <c r="DR104" s="96">
        <f>IFERROR(VLOOKUP($B104,INDIRECT("'GRD-"&amp;DR$11&amp;"'!B:R"),15,FALSE),"")</f>
        <v/>
      </c>
      <c r="DS104" s="96">
        <f>IFERROR(VLOOKUP($B104,INDIRECT("'GRD-"&amp;DS$11&amp;"'!B:R"),15,FALSE),"")</f>
        <v/>
      </c>
      <c r="DT104" s="96">
        <f>IFERROR(VLOOKUP($B104,INDIRECT("'GRD-"&amp;DT$11&amp;"'!B:R"),15,FALSE),"")</f>
        <v/>
      </c>
      <c r="DU104" s="96">
        <f>IFERROR(VLOOKUP($B104,INDIRECT("'GRD-"&amp;DU$11&amp;"'!B:R"),15,FALSE),"")</f>
        <v/>
      </c>
      <c r="DV104" s="96">
        <f>IFERROR(VLOOKUP($B104,INDIRECT("'GRD-"&amp;DV$11&amp;"'!B:R"),15,FALSE),"")</f>
        <v/>
      </c>
      <c r="DW104" s="96">
        <f>IFERROR(VLOOKUP($B104,INDIRECT("'GRD-"&amp;DW$11&amp;"'!B:R"),15,FALSE),"")</f>
        <v/>
      </c>
      <c r="DX104" s="96">
        <f>IFERROR(VLOOKUP($B104,INDIRECT("'GRD-"&amp;DX$11&amp;"'!B:R"),15,FALSE),"")</f>
        <v/>
      </c>
      <c r="DY104" s="96">
        <f>IFERROR(VLOOKUP($B104,INDIRECT("'GRD-"&amp;DY$11&amp;"'!B:R"),15,FALSE),"")</f>
        <v/>
      </c>
      <c r="DZ104" s="96">
        <f>IFERROR(VLOOKUP($B104,INDIRECT("'GRD-"&amp;DZ$11&amp;"'!B:R"),15,FALSE),"")</f>
        <v/>
      </c>
      <c r="EA104" s="96">
        <f>IFERROR(VLOOKUP($B104,INDIRECT("'GRD-"&amp;EA$11&amp;"'!B:R"),15,FALSE),"")</f>
        <v/>
      </c>
      <c r="EB104" s="96">
        <f>IFERROR(VLOOKUP($B104,INDIRECT("'GRD-"&amp;EB$11&amp;"'!B:R"),15,FALSE),"")</f>
        <v/>
      </c>
      <c r="EC104" s="96">
        <f>IFERROR(VLOOKUP($B104,INDIRECT("'GRD-"&amp;EC$11&amp;"'!B:R"),15,FALSE),"")</f>
        <v/>
      </c>
      <c r="ED104" s="96">
        <f>IFERROR(VLOOKUP($B104,INDIRECT("'GRD-"&amp;ED$11&amp;"'!B:R"),15,FALSE),"")</f>
        <v/>
      </c>
      <c r="EE104" s="96">
        <f>IFERROR(VLOOKUP($B104,INDIRECT("'GRD-"&amp;EE$11&amp;"'!B:R"),15,FALSE),"")</f>
        <v/>
      </c>
      <c r="EF104" s="96">
        <f>IFERROR(VLOOKUP($B104,INDIRECT("'GRD-"&amp;EF$11&amp;"'!B:R"),15,FALSE),"")</f>
        <v/>
      </c>
      <c r="EG104" s="96">
        <f>IFERROR(VLOOKUP($B104,INDIRECT("'GRD-"&amp;EG$11&amp;"'!B:R"),15,FALSE),"")</f>
        <v/>
      </c>
      <c r="EH104" s="96">
        <f>IFERROR(VLOOKUP($B104,INDIRECT("'GRD-"&amp;EH$11&amp;"'!B:R"),15,FALSE),"")</f>
        <v/>
      </c>
      <c r="EI104" s="96">
        <f>IFERROR(VLOOKUP($B104,INDIRECT("'GRD-"&amp;EI$11&amp;"'!B:R"),15,FALSE),"")</f>
        <v/>
      </c>
      <c r="EJ104" s="96">
        <f>IFERROR(VLOOKUP($B104,INDIRECT("'GRD-"&amp;EJ$11&amp;"'!B:R"),15,FALSE),"")</f>
        <v/>
      </c>
      <c r="EK104" s="96">
        <f>IFERROR(VLOOKUP($B104,INDIRECT("'GRD-"&amp;EK$11&amp;"'!B:R"),15,FALSE),"")</f>
        <v/>
      </c>
      <c r="EL104" s="96">
        <f>IFERROR(VLOOKUP($B104,INDIRECT("'GRD-"&amp;EL$11&amp;"'!B:R"),15,FALSE),"")</f>
        <v/>
      </c>
      <c r="EM104" s="96">
        <f>IFERROR(VLOOKUP($B104,INDIRECT("'GRD-"&amp;EM$11&amp;"'!B:R"),15,FALSE),"")</f>
        <v/>
      </c>
      <c r="EN104" s="96">
        <f>IFERROR(VLOOKUP($B104,INDIRECT("'GRD-"&amp;EN$11&amp;"'!B:R"),15,FALSE),"")</f>
        <v/>
      </c>
      <c r="EO104" s="96">
        <f>IFERROR(VLOOKUP($B104,INDIRECT("'GRD-"&amp;EO$11&amp;"'!B:R"),15,FALSE),"")</f>
        <v/>
      </c>
      <c r="EP104" s="96">
        <f>IFERROR(VLOOKUP($B104,INDIRECT("'GRD-"&amp;EP$11&amp;"'!B:R"),15,FALSE),"")</f>
        <v/>
      </c>
      <c r="EQ104" s="96">
        <f>IFERROR(VLOOKUP($B104,INDIRECT("'GRD-"&amp;EQ$11&amp;"'!B:R"),15,FALSE),"")</f>
        <v/>
      </c>
      <c r="ER104" s="96">
        <f>IFERROR(VLOOKUP($B104,INDIRECT("'GRD-"&amp;ER$11&amp;"'!B:R"),15,FALSE),"")</f>
        <v/>
      </c>
      <c r="ES104" s="96">
        <f>IFERROR(VLOOKUP($B104,INDIRECT("'GRD-"&amp;ES$11&amp;"'!B:R"),15,FALSE),"")</f>
        <v/>
      </c>
      <c r="ET104" s="96">
        <f>IFERROR(VLOOKUP($B104,INDIRECT("'GRD-"&amp;ET$11&amp;"'!B:R"),15,FALSE),"")</f>
        <v/>
      </c>
      <c r="EU104" s="96">
        <f>IFERROR(VLOOKUP($B104,INDIRECT("'GRD-"&amp;EU$11&amp;"'!B:R"),15,FALSE),"")</f>
        <v/>
      </c>
      <c r="EV104" s="96">
        <f>IFERROR(VLOOKUP($B104,INDIRECT("'GRD-"&amp;EV$11&amp;"'!B:R"),15,FALSE),"")</f>
        <v/>
      </c>
      <c r="EW104" s="96">
        <f>IFERROR(VLOOKUP($B104,INDIRECT("'GRD-"&amp;EW$11&amp;"'!B:R"),15,FALSE),"")</f>
        <v/>
      </c>
      <c r="EX104" s="96">
        <f>IFERROR(VLOOKUP($B104,INDIRECT("'GRD-"&amp;EX$11&amp;"'!B:R"),15,FALSE),"")</f>
        <v/>
      </c>
      <c r="EY104" s="96">
        <f>IFERROR(VLOOKUP($B104,INDIRECT("'GRD-"&amp;EY$11&amp;"'!B:R"),15,FALSE),"")</f>
        <v/>
      </c>
      <c r="EZ104" s="96">
        <f>IFERROR(VLOOKUP($B104,INDIRECT("'GRD-"&amp;EZ$11&amp;"'!B:R"),15,FALSE),"")</f>
        <v/>
      </c>
      <c r="FA104" s="96">
        <f>IFERROR(VLOOKUP($B104,INDIRECT("'GRD-"&amp;FA$11&amp;"'!B:R"),15,FALSE),"")</f>
        <v/>
      </c>
      <c r="FB104" s="96">
        <f>IFERROR(VLOOKUP($B104,INDIRECT("'GRD-"&amp;FB$11&amp;"'!B:R"),15,FALSE),"")</f>
        <v/>
      </c>
      <c r="FC104" s="96">
        <f>IFERROR(VLOOKUP($B104,INDIRECT("'GRD-"&amp;FC$11&amp;"'!B:R"),15,FALSE),"")</f>
        <v/>
      </c>
      <c r="FD104" s="96">
        <f>IFERROR(VLOOKUP($B104,INDIRECT("'GRD-"&amp;FD$11&amp;"'!B:R"),15,FALSE),"")</f>
        <v/>
      </c>
      <c r="FE104" s="96">
        <f>IFERROR(VLOOKUP($B104,INDIRECT("'GRD-"&amp;FE$11&amp;"'!B:R"),15,FALSE),"")</f>
        <v/>
      </c>
      <c r="FF104" s="96">
        <f>IFERROR(VLOOKUP($B104,INDIRECT("'GRD-"&amp;FF$11&amp;"'!B:R"),15,FALSE),"")</f>
        <v/>
      </c>
      <c r="FG104" s="96">
        <f>IFERROR(VLOOKUP($B104,INDIRECT("'GRD-"&amp;FG$11&amp;"'!B:R"),15,FALSE),"")</f>
        <v/>
      </c>
      <c r="FH104" s="96">
        <f>IFERROR(VLOOKUP($B104,INDIRECT("'GRD-"&amp;FH$11&amp;"'!B:R"),15,FALSE),"")</f>
        <v/>
      </c>
      <c r="FI104" s="96">
        <f>IFERROR(VLOOKUP($B104,INDIRECT("'GRD-"&amp;FI$11&amp;"'!B:R"),15,FALSE),"")</f>
        <v/>
      </c>
      <c r="FJ104" s="96">
        <f>IFERROR(VLOOKUP($B104,INDIRECT("'GRD-"&amp;FJ$11&amp;"'!B:R"),15,FALSE),"")</f>
        <v/>
      </c>
      <c r="FK104" s="96">
        <f>IFERROR(VLOOKUP($B104,INDIRECT("'GRD-"&amp;FK$11&amp;"'!B:R"),15,FALSE),"")</f>
        <v/>
      </c>
      <c r="FL104" s="96">
        <f>IFERROR(VLOOKUP($B104,INDIRECT("'GRD-"&amp;FL$11&amp;"'!B:R"),15,FALSE),"")</f>
        <v/>
      </c>
      <c r="FM104" s="96">
        <f>IFERROR(VLOOKUP($B104,INDIRECT("'GRD-"&amp;FM$11&amp;"'!B:R"),15,FALSE),"")</f>
        <v/>
      </c>
      <c r="FN104" s="96">
        <f>IFERROR(VLOOKUP($B104,INDIRECT("'GRD-"&amp;FN$11&amp;"'!B:R"),15,FALSE),"")</f>
        <v/>
      </c>
      <c r="FO104" s="96">
        <f>IFERROR(VLOOKUP($B104,INDIRECT("'GRD-"&amp;FO$11&amp;"'!B:R"),15,FALSE),"")</f>
        <v/>
      </c>
      <c r="FP104" s="96">
        <f>IFERROR(VLOOKUP($B104,INDIRECT("'GRD-"&amp;FP$11&amp;"'!B:R"),15,FALSE),"")</f>
        <v/>
      </c>
      <c r="FQ104" s="96">
        <f>IFERROR(VLOOKUP($B104,INDIRECT("'GRD-"&amp;FQ$11&amp;"'!B:R"),15,FALSE),"")</f>
        <v/>
      </c>
      <c r="FR104" s="96">
        <f>IFERROR(VLOOKUP($B104,INDIRECT("'GRD-"&amp;FR$11&amp;"'!B:R"),15,FALSE),"")</f>
        <v/>
      </c>
      <c r="FS104" s="96">
        <f>IFERROR(VLOOKUP($B104,INDIRECT("'GRD-"&amp;FS$11&amp;"'!B:R"),15,FALSE),"")</f>
        <v/>
      </c>
      <c r="FT104" s="96">
        <f>IFERROR(VLOOKUP($B104,INDIRECT("'GRD-"&amp;FT$11&amp;"'!B:R"),15,FALSE),"")</f>
        <v/>
      </c>
      <c r="FU104" s="96">
        <f>IFERROR(VLOOKUP($B104,INDIRECT("'GRD-"&amp;FU$11&amp;"'!B:R"),15,FALSE),"")</f>
        <v/>
      </c>
      <c r="FV104" s="96">
        <f>IFERROR(VLOOKUP($B104,INDIRECT("'GRD-"&amp;FV$11&amp;"'!B:R"),15,FALSE),"")</f>
        <v/>
      </c>
    </row>
    <row r="105">
      <c r="B105" s="85" t="n"/>
      <c r="C105" s="93" t="n"/>
      <c r="D105" s="73">
        <f>IF(K105="","",MAX($CA105:$FV105))</f>
        <v/>
      </c>
      <c r="E105" s="74">
        <f t="array" ref="E105">IF($K105="","",OFFSET($A$1,ROW($B105)-1,11+$D105*4,))</f>
        <v/>
      </c>
      <c r="F105" s="74">
        <f t="array" ref="F105">IF($K105="","",OFFSET($A$1,ROW($B105)-1,12+$D105*4,))</f>
        <v/>
      </c>
      <c r="G105" s="118">
        <f t="array" ref="G105">IF($K105="","",OFFSET($A$1,ROW($B105)-1,13+$D105*4,))</f>
        <v/>
      </c>
      <c r="H105" s="81" t="n"/>
      <c r="I105" s="82" t="n"/>
      <c r="J105" s="75">
        <f>IF(I105="A4",H105/8,IF(I105="A3",H105/4,IF(I105="A2",H105/2,IF(I105="A1",H105/1,IF(I105="A0",H105*2,"")))))</f>
        <v/>
      </c>
      <c r="K105" s="68">
        <f t="array" ref="K105">IFERROR(OFFSET($BZ$11,ROW($B105)-11,MATCH(K$10,$CA105:$FV105,0),),"")</f>
        <v/>
      </c>
      <c r="L105" s="85">
        <f>IF(K105="","",IF(VLOOKUP($B105,INDIRECT("'GRD-"&amp;M105&amp;"'!$B:$R"),16,FALSE)="","",VLOOKUP($B105,INDIRECT("'GRD-"&amp;M105&amp;"'!$B:$R"),16,FALSE)))</f>
        <v/>
      </c>
      <c r="M105" s="130">
        <f t="array" ref="M105">IF(K105="","",IFERROR(OFFSET($BZ$11,0,MATCH($K105,$CA105:$FV105,0),),""))</f>
        <v/>
      </c>
      <c r="N105" s="119">
        <f t="array" ref="N105">IF(K105="","",INDIRECT("'GRD-"&amp;M105&amp;"'!$L$7"))</f>
        <v/>
      </c>
      <c r="O105" s="76">
        <f t="array" ref="O105">IFERROR(OFFSET($BZ$11,ROW($B105)-11,MATCH(O$10,$CA105:$FV105,0),),"")</f>
        <v/>
      </c>
      <c r="P105" s="76">
        <f>IF(O105="","",IF(VLOOKUP($B105,INDIRECT("'GRD-"&amp;Q105&amp;"'!$B:$R"),16,FALSE)="","",VLOOKUP($B105,INDIRECT("'GRD-"&amp;Q105&amp;"'!$B:$R"),16,FALSE)))</f>
        <v/>
      </c>
      <c r="Q105" s="132">
        <f t="array" ref="Q105">IF(O105="","",IFERROR(OFFSET($BZ$11,0,MATCH($O105,$CA105:$FV105,0),),""))</f>
        <v/>
      </c>
      <c r="R105" s="121">
        <f t="array" ref="R105">IF(O105="","",INDIRECT("'GRD-"&amp;Q105&amp;"'!$L$7"))</f>
        <v/>
      </c>
      <c r="S105" s="83">
        <f t="array" ref="S105">IFERROR(OFFSET($BZ$11,ROW($B105)-11,MATCH(S$10,$CA105:$FV105,0),),"")</f>
        <v/>
      </c>
      <c r="T105" s="83">
        <f>IF(S105="","",IF(VLOOKUP($B105,INDIRECT("'GRD-"&amp;U105&amp;"'!$B:$R"),16,FALSE)="","",VLOOKUP($B105,INDIRECT("'GRD-"&amp;U105&amp;"'!$B:$R"),16,FALSE)))</f>
        <v/>
      </c>
      <c r="U105" s="128">
        <f t="array" ref="U105">IF(S105="","",IFERROR(OFFSET($BZ$11,0,MATCH($S105,$CA105:$FV105,0),),""))</f>
        <v/>
      </c>
      <c r="V105" s="133">
        <f t="array" ref="V105">IF(S105="","",INDIRECT("'GRD-"&amp;U105&amp;"'!$L$7"))</f>
        <v/>
      </c>
      <c r="W105" s="84">
        <f t="array" ref="W105">IFERROR(OFFSET($BZ$11,ROW($B105)-11,MATCH(W$10,$CA105:$FV105,0),),"")</f>
        <v/>
      </c>
      <c r="X105" s="84">
        <f>IF(W105="","",IF(VLOOKUP($B105,INDIRECT("'GRD-"&amp;Y105&amp;"'!$B:$R"),16,FALSE)="","",VLOOKUP($B105,INDIRECT("'GRD-"&amp;Y105&amp;"'!$B:$R"),16,FALSE)))</f>
        <v/>
      </c>
      <c r="Y105" s="129">
        <f t="array" ref="Y105">IF(W105="","",IFERROR(OFFSET($BZ$11,0,MATCH($W105,$CA105:$FV105,0),),""))</f>
        <v/>
      </c>
      <c r="Z105" s="134">
        <f t="array" ref="Z105">IF(W105="","",INDIRECT("'GRD-"&amp;Y105&amp;"'!$L$7"))</f>
        <v/>
      </c>
      <c r="AA105" s="85">
        <f t="array" ref="AA105">IFERROR(OFFSET($BZ$11,ROW($B105)-11,MATCH(AA$10,$CA105:$FV105,0),),"")</f>
        <v/>
      </c>
      <c r="AB105" s="85">
        <f>IF(AA105="","",IF(VLOOKUP($B105,INDIRECT("'GRD-"&amp;AC105&amp;"'!$B:$R"),16,FALSE)="","",VLOOKUP($B105,INDIRECT("'GRD-"&amp;AC105&amp;"'!$B:$R"),16,FALSE)))</f>
        <v/>
      </c>
      <c r="AC105" s="130">
        <f t="array" ref="AC105">IF(AA105="","",IFERROR(OFFSET($BZ$11,0,MATCH($AA105,$CA105:$FV105,0),),""))</f>
        <v/>
      </c>
      <c r="AD105" s="131">
        <f t="array" ref="AD105">IF(AA105="","",INDIRECT("'GRD-"&amp;AC105&amp;"'!$L$7"))</f>
        <v/>
      </c>
      <c r="AE105" s="76">
        <f t="array" ref="AE105">IFERROR(OFFSET($BZ$11,ROW($B105)-11,MATCH(AE$10,$CA105:$FV105,0),),"")</f>
        <v/>
      </c>
      <c r="AF105" s="76">
        <f>IF(AE105="","",IF(VLOOKUP($B105,INDIRECT("'GRD-"&amp;AG105&amp;"'!$B:$R"),16,FALSE)="","",VLOOKUP($B105,INDIRECT("'GRD-"&amp;AG105&amp;"'!$B:$R"),16,FALSE)))</f>
        <v/>
      </c>
      <c r="AG105" s="132">
        <f t="array" ref="AG105">IF(AE105="","",IFERROR(OFFSET($BZ$11,0,MATCH($AE105,$CA105:$FV105,0),),""))</f>
        <v/>
      </c>
      <c r="AH105" s="121">
        <f t="array" ref="AH105">IF(AE105="","",INDIRECT("'GRD-"&amp;AG105&amp;"'!$L$7"))</f>
        <v/>
      </c>
      <c r="AI105" s="83">
        <f t="array" ref="AI105">IFERROR(OFFSET($BZ$11,ROW($B105)-11,MATCH(AI$10,$CA105:$FV105,0),),"")</f>
        <v/>
      </c>
      <c r="AJ105" s="83">
        <f>IF(AI105="","",IF(VLOOKUP($B105,INDIRECT("'GRD-"&amp;AK105&amp;"'!$B:$R"),16,FALSE)="","",VLOOKUP($B105,INDIRECT("'GRD-"&amp;AK105&amp;"'!$B:$R"),16,FALSE)))</f>
        <v/>
      </c>
      <c r="AK105" s="128">
        <f t="array" ref="AK105">IF(AI105="","",IFERROR(OFFSET($BZ$11,0,MATCH($AI105,$CA105:$FV105,0),),""))</f>
        <v/>
      </c>
      <c r="AL105" s="133">
        <f t="array" ref="AL105">IF(AI105="","",INDIRECT("'GRD-"&amp;AK105&amp;"'!$L$7"))</f>
        <v/>
      </c>
      <c r="AM105" s="84">
        <f t="array" ref="AM105">IFERROR(OFFSET($BZ$11,ROW($B105)-11,MATCH(AM$10,$CA105:$FV105,0),),"")</f>
        <v/>
      </c>
      <c r="AN105" s="84">
        <f>IF(AM105="","",IF(VLOOKUP($B105,INDIRECT("'GRD-"&amp;AO105&amp;"'!$B:$R"),16,FALSE)="","",VLOOKUP($B105,INDIRECT("'GRD-"&amp;AO105&amp;"'!$B:$R"),16,FALSE)))</f>
        <v/>
      </c>
      <c r="AO105" s="129">
        <f t="array" ref="AO105">IF(AM105="","",IFERROR(OFFSET($BZ$11,0,MATCH($AM105,$CA105:$FV105,0),),""))</f>
        <v/>
      </c>
      <c r="AP105" s="134">
        <f t="array" ref="AP105">IF(AM105="","",INDIRECT("'GRD-"&amp;AO105&amp;"'!$L$7"))</f>
        <v/>
      </c>
      <c r="AQ105" s="85">
        <f t="array" ref="AQ105">IFERROR(OFFSET($BZ$11,ROW($B105)-11,MATCH(AQ$10,$CA105:$FV105,0),),"")</f>
        <v/>
      </c>
      <c r="AR105" s="85">
        <f>IF(AQ105="","",IF(VLOOKUP($B105,INDIRECT("'GRD-"&amp;AS105&amp;"'!$B:$R"),16,FALSE)="","",VLOOKUP($B105,INDIRECT("'GRD-"&amp;AS105&amp;"'!$B:$R"),16,FALSE)))</f>
        <v/>
      </c>
      <c r="AS105" s="130">
        <f t="array" ref="AS105">IF(AQ105="","",IFERROR(OFFSET($BZ$11,0,MATCH($AQ105,$CA105:$FV105,0),),""))</f>
        <v/>
      </c>
      <c r="AT105" s="131">
        <f t="array" ref="AT105">IF(AQ105="","",INDIRECT("'GRD-"&amp;AS105&amp;"'!$L$7"))</f>
        <v/>
      </c>
      <c r="AU105" s="76">
        <f t="array" ref="AU105">IFERROR(OFFSET($BZ$11,ROW($B105)-11,MATCH(AU$10,$CA105:$FV105,0),),"")</f>
        <v/>
      </c>
      <c r="AV105" s="76">
        <f>IF(AU105="","",IF(VLOOKUP($B105,INDIRECT("'GRD-"&amp;AW105&amp;"'!$B:$R"),16,FALSE)="","",VLOOKUP($B105,INDIRECT("'GRD-"&amp;AW105&amp;"'!$B:$R"),16,FALSE)))</f>
        <v/>
      </c>
      <c r="AW105" s="132">
        <f t="array" ref="AW105">IF(AU105="","",IFERROR(OFFSET($BZ$11,0,MATCH($AU105,$CA105:$FV105,0),),""))</f>
        <v/>
      </c>
      <c r="AX105" s="121">
        <f t="array" ref="AX105">IF(AU105="","",INDIRECT("'GRD-"&amp;AW105&amp;"'!$L$7"))</f>
        <v/>
      </c>
      <c r="AY105" s="83">
        <f t="array" ref="AY105">IFERROR(OFFSET($BZ$11,ROW($B105)-11,MATCH(AY$10,$CA105:$FV105,0),),"")</f>
        <v/>
      </c>
      <c r="AZ105" s="83">
        <f>IF(AY105="","",IF(VLOOKUP($B105,INDIRECT("'GRD-"&amp;BA105&amp;"'!$B:$R"),16,FALSE)="","",VLOOKUP($B105,INDIRECT("'GRD-"&amp;BA105&amp;"'!$B:$R"),16,FALSE)))</f>
        <v/>
      </c>
      <c r="BA105" s="128">
        <f t="array" ref="BA105">IF(AY105="","",IFERROR(OFFSET($BZ$11,0,MATCH($AY105,$CA105:$FV105,0),),""))</f>
        <v/>
      </c>
      <c r="BB105" s="133">
        <f t="array" ref="BB105">IF(AY105="","",INDIRECT("'GRD-"&amp;BA105&amp;"'!$L$7"))</f>
        <v/>
      </c>
      <c r="BC105" s="84">
        <f t="array" ref="BC105">IFERROR(OFFSET($BZ$11,ROW($B105)-11,MATCH(BC$10,$CA105:$FV105,0),),"")</f>
        <v/>
      </c>
      <c r="BD105" s="84">
        <f>IF(BC105="","",IF(VLOOKUP($B105,INDIRECT("'GRD-"&amp;BE105&amp;"'!$B:$R"),16,FALSE)="","",VLOOKUP($B105,INDIRECT("'GRD-"&amp;BE105&amp;"'!$B:$R"),16,FALSE)))</f>
        <v/>
      </c>
      <c r="BE105" s="129">
        <f t="array" ref="BE105">IF(BC105="","",IFERROR(OFFSET($BZ$11,0,MATCH($BC105,$CA105:$FV105,0),),""))</f>
        <v/>
      </c>
      <c r="BF105" s="134">
        <f t="array" ref="BF105">IF(BC105="","",INDIRECT("'GRD-"&amp;BE105&amp;"'!$L$7"))</f>
        <v/>
      </c>
      <c r="CA105" s="96">
        <f>IFERROR(VLOOKUP($B105,INDIRECT("'GRD-"&amp;CA$11&amp;"'!B:R"),15,FALSE),"")</f>
        <v/>
      </c>
      <c r="CB105" s="96">
        <f>IFERROR(VLOOKUP($B105,INDIRECT("'GRD-"&amp;CB$11&amp;"'!B:R"),15,FALSE),"")</f>
        <v/>
      </c>
      <c r="CC105" s="96">
        <f>IFERROR(VLOOKUP($B105,INDIRECT("'GRD-"&amp;CC$11&amp;"'!B:R"),15,FALSE),"")</f>
        <v/>
      </c>
      <c r="CD105" s="96">
        <f>IFERROR(VLOOKUP($B105,INDIRECT("'GRD-"&amp;CD$11&amp;"'!B:R"),15,FALSE),"")</f>
        <v/>
      </c>
      <c r="CE105" s="96">
        <f>IFERROR(VLOOKUP($B105,INDIRECT("'GRD-"&amp;CE$11&amp;"'!B:R"),15,FALSE),"")</f>
        <v/>
      </c>
      <c r="CF105" s="96">
        <f>IFERROR(VLOOKUP($B105,INDIRECT("'GRD-"&amp;CF$11&amp;"'!B:R"),15,FALSE),"")</f>
        <v/>
      </c>
      <c r="CG105" s="96">
        <f>IFERROR(VLOOKUP($B105,INDIRECT("'GRD-"&amp;CG$11&amp;"'!B:R"),15,FALSE),"")</f>
        <v/>
      </c>
      <c r="CH105" s="96">
        <f>IFERROR(VLOOKUP($B105,INDIRECT("'GRD-"&amp;CH$11&amp;"'!B:R"),15,FALSE),"")</f>
        <v/>
      </c>
      <c r="CI105" s="96">
        <f>IFERROR(VLOOKUP($B105,INDIRECT("'GRD-"&amp;CI$11&amp;"'!B:R"),15,FALSE),"")</f>
        <v/>
      </c>
      <c r="CJ105" s="96">
        <f>IFERROR(VLOOKUP($B105,INDIRECT("'GRD-"&amp;CJ$11&amp;"'!B:R"),15,FALSE),"")</f>
        <v/>
      </c>
      <c r="CK105" s="96">
        <f>IFERROR(VLOOKUP($B105,INDIRECT("'GRD-"&amp;CK$11&amp;"'!B:R"),15,FALSE),"")</f>
        <v/>
      </c>
      <c r="CL105" s="96">
        <f>IFERROR(VLOOKUP($B105,INDIRECT("'GRD-"&amp;CL$11&amp;"'!B:R"),15,FALSE),"")</f>
        <v/>
      </c>
      <c r="CM105" s="96">
        <f>IFERROR(VLOOKUP($B105,INDIRECT("'GRD-"&amp;CM$11&amp;"'!B:R"),15,FALSE),"")</f>
        <v/>
      </c>
      <c r="CN105" s="96">
        <f>IFERROR(VLOOKUP($B105,INDIRECT("'GRD-"&amp;CN$11&amp;"'!B:R"),15,FALSE),"")</f>
        <v/>
      </c>
      <c r="CO105" s="96">
        <f>IFERROR(VLOOKUP($B105,INDIRECT("'GRD-"&amp;CO$11&amp;"'!B:R"),15,FALSE),"")</f>
        <v/>
      </c>
      <c r="CP105" s="96">
        <f>IFERROR(VLOOKUP($B105,INDIRECT("'GRD-"&amp;CP$11&amp;"'!B:R"),15,FALSE),"")</f>
        <v/>
      </c>
      <c r="CQ105" s="96">
        <f>IFERROR(VLOOKUP($B105,INDIRECT("'GRD-"&amp;CQ$11&amp;"'!B:R"),15,FALSE),"")</f>
        <v/>
      </c>
      <c r="CR105" s="96">
        <f>IFERROR(VLOOKUP($B105,INDIRECT("'GRD-"&amp;CR$11&amp;"'!B:R"),15,FALSE),"")</f>
        <v/>
      </c>
      <c r="CS105" s="96">
        <f>IFERROR(VLOOKUP($B105,INDIRECT("'GRD-"&amp;CS$11&amp;"'!B:R"),15,FALSE),"")</f>
        <v/>
      </c>
      <c r="CT105" s="96">
        <f>IFERROR(VLOOKUP($B105,INDIRECT("'GRD-"&amp;CT$11&amp;"'!B:R"),15,FALSE),"")</f>
        <v/>
      </c>
      <c r="CU105" s="96">
        <f>IFERROR(VLOOKUP($B105,INDIRECT("'GRD-"&amp;CU$11&amp;"'!B:R"),15,FALSE),"")</f>
        <v/>
      </c>
      <c r="CV105" s="96">
        <f>IFERROR(VLOOKUP($B105,INDIRECT("'GRD-"&amp;CV$11&amp;"'!B:R"),15,FALSE),"")</f>
        <v/>
      </c>
      <c r="CW105" s="96">
        <f>IFERROR(VLOOKUP($B105,INDIRECT("'GRD-"&amp;CW$11&amp;"'!B:R"),15,FALSE),"")</f>
        <v/>
      </c>
      <c r="CX105" s="96">
        <f>IFERROR(VLOOKUP($B105,INDIRECT("'GRD-"&amp;CX$11&amp;"'!B:R"),15,FALSE),"")</f>
        <v/>
      </c>
      <c r="CY105" s="96">
        <f>IFERROR(VLOOKUP($B105,INDIRECT("'GRD-"&amp;CY$11&amp;"'!B:R"),15,FALSE),"")</f>
        <v/>
      </c>
      <c r="CZ105" s="96">
        <f>IFERROR(VLOOKUP($B105,INDIRECT("'GRD-"&amp;CZ$11&amp;"'!B:R"),15,FALSE),"")</f>
        <v/>
      </c>
      <c r="DA105" s="96">
        <f>IFERROR(VLOOKUP($B105,INDIRECT("'GRD-"&amp;DA$11&amp;"'!B:R"),15,FALSE),"")</f>
        <v/>
      </c>
      <c r="DB105" s="96">
        <f>IFERROR(VLOOKUP($B105,INDIRECT("'GRD-"&amp;DB$11&amp;"'!B:R"),15,FALSE),"")</f>
        <v/>
      </c>
      <c r="DC105" s="96">
        <f>IFERROR(VLOOKUP($B105,INDIRECT("'GRD-"&amp;DC$11&amp;"'!B:R"),15,FALSE),"")</f>
        <v/>
      </c>
      <c r="DD105" s="96">
        <f>IFERROR(VLOOKUP($B105,INDIRECT("'GRD-"&amp;DD$11&amp;"'!B:R"),15,FALSE),"")</f>
        <v/>
      </c>
      <c r="DE105" s="96">
        <f>IFERROR(VLOOKUP($B105,INDIRECT("'GRD-"&amp;DE$11&amp;"'!B:R"),15,FALSE),"")</f>
        <v/>
      </c>
      <c r="DF105" s="96">
        <f>IFERROR(VLOOKUP($B105,INDIRECT("'GRD-"&amp;DF$11&amp;"'!B:R"),15,FALSE),"")</f>
        <v/>
      </c>
      <c r="DG105" s="96">
        <f>IFERROR(VLOOKUP($B105,INDIRECT("'GRD-"&amp;DG$11&amp;"'!B:R"),15,FALSE),"")</f>
        <v/>
      </c>
      <c r="DH105" s="96">
        <f>IFERROR(VLOOKUP($B105,INDIRECT("'GRD-"&amp;DH$11&amp;"'!B:R"),15,FALSE),"")</f>
        <v/>
      </c>
      <c r="DI105" s="96">
        <f>IFERROR(VLOOKUP($B105,INDIRECT("'GRD-"&amp;DI$11&amp;"'!B:R"),15,FALSE),"")</f>
        <v/>
      </c>
      <c r="DJ105" s="96">
        <f>IFERROR(VLOOKUP($B105,INDIRECT("'GRD-"&amp;DJ$11&amp;"'!B:R"),15,FALSE),"")</f>
        <v/>
      </c>
      <c r="DK105" s="96">
        <f>IFERROR(VLOOKUP($B105,INDIRECT("'GRD-"&amp;DK$11&amp;"'!B:R"),15,FALSE),"")</f>
        <v/>
      </c>
      <c r="DL105" s="96">
        <f>IFERROR(VLOOKUP($B105,INDIRECT("'GRD-"&amp;DL$11&amp;"'!B:R"),15,FALSE),"")</f>
        <v/>
      </c>
      <c r="DM105" s="96">
        <f>IFERROR(VLOOKUP($B105,INDIRECT("'GRD-"&amp;DM$11&amp;"'!B:R"),15,FALSE),"")</f>
        <v/>
      </c>
      <c r="DN105" s="96">
        <f>IFERROR(VLOOKUP($B105,INDIRECT("'GRD-"&amp;DN$11&amp;"'!B:R"),15,FALSE),"")</f>
        <v/>
      </c>
      <c r="DO105" s="96">
        <f>IFERROR(VLOOKUP($B105,INDIRECT("'GRD-"&amp;DO$11&amp;"'!B:R"),15,FALSE),"")</f>
        <v/>
      </c>
      <c r="DP105" s="96">
        <f>IFERROR(VLOOKUP($B105,INDIRECT("'GRD-"&amp;DP$11&amp;"'!B:R"),15,FALSE),"")</f>
        <v/>
      </c>
      <c r="DQ105" s="96">
        <f>IFERROR(VLOOKUP($B105,INDIRECT("'GRD-"&amp;DQ$11&amp;"'!B:R"),15,FALSE),"")</f>
        <v/>
      </c>
      <c r="DR105" s="96">
        <f>IFERROR(VLOOKUP($B105,INDIRECT("'GRD-"&amp;DR$11&amp;"'!B:R"),15,FALSE),"")</f>
        <v/>
      </c>
      <c r="DS105" s="96">
        <f>IFERROR(VLOOKUP($B105,INDIRECT("'GRD-"&amp;DS$11&amp;"'!B:R"),15,FALSE),"")</f>
        <v/>
      </c>
      <c r="DT105" s="96">
        <f>IFERROR(VLOOKUP($B105,INDIRECT("'GRD-"&amp;DT$11&amp;"'!B:R"),15,FALSE),"")</f>
        <v/>
      </c>
      <c r="DU105" s="96">
        <f>IFERROR(VLOOKUP($B105,INDIRECT("'GRD-"&amp;DU$11&amp;"'!B:R"),15,FALSE),"")</f>
        <v/>
      </c>
      <c r="DV105" s="96">
        <f>IFERROR(VLOOKUP($B105,INDIRECT("'GRD-"&amp;DV$11&amp;"'!B:R"),15,FALSE),"")</f>
        <v/>
      </c>
      <c r="DW105" s="96">
        <f>IFERROR(VLOOKUP($B105,INDIRECT("'GRD-"&amp;DW$11&amp;"'!B:R"),15,FALSE),"")</f>
        <v/>
      </c>
      <c r="DX105" s="96">
        <f>IFERROR(VLOOKUP($B105,INDIRECT("'GRD-"&amp;DX$11&amp;"'!B:R"),15,FALSE),"")</f>
        <v/>
      </c>
      <c r="DY105" s="96">
        <f>IFERROR(VLOOKUP($B105,INDIRECT("'GRD-"&amp;DY$11&amp;"'!B:R"),15,FALSE),"")</f>
        <v/>
      </c>
      <c r="DZ105" s="96">
        <f>IFERROR(VLOOKUP($B105,INDIRECT("'GRD-"&amp;DZ$11&amp;"'!B:R"),15,FALSE),"")</f>
        <v/>
      </c>
      <c r="EA105" s="96">
        <f>IFERROR(VLOOKUP($B105,INDIRECT("'GRD-"&amp;EA$11&amp;"'!B:R"),15,FALSE),"")</f>
        <v/>
      </c>
      <c r="EB105" s="96">
        <f>IFERROR(VLOOKUP($B105,INDIRECT("'GRD-"&amp;EB$11&amp;"'!B:R"),15,FALSE),"")</f>
        <v/>
      </c>
      <c r="EC105" s="96">
        <f>IFERROR(VLOOKUP($B105,INDIRECT("'GRD-"&amp;EC$11&amp;"'!B:R"),15,FALSE),"")</f>
        <v/>
      </c>
      <c r="ED105" s="96">
        <f>IFERROR(VLOOKUP($B105,INDIRECT("'GRD-"&amp;ED$11&amp;"'!B:R"),15,FALSE),"")</f>
        <v/>
      </c>
      <c r="EE105" s="96">
        <f>IFERROR(VLOOKUP($B105,INDIRECT("'GRD-"&amp;EE$11&amp;"'!B:R"),15,FALSE),"")</f>
        <v/>
      </c>
      <c r="EF105" s="96">
        <f>IFERROR(VLOOKUP($B105,INDIRECT("'GRD-"&amp;EF$11&amp;"'!B:R"),15,FALSE),"")</f>
        <v/>
      </c>
      <c r="EG105" s="96">
        <f>IFERROR(VLOOKUP($B105,INDIRECT("'GRD-"&amp;EG$11&amp;"'!B:R"),15,FALSE),"")</f>
        <v/>
      </c>
      <c r="EH105" s="96">
        <f>IFERROR(VLOOKUP($B105,INDIRECT("'GRD-"&amp;EH$11&amp;"'!B:R"),15,FALSE),"")</f>
        <v/>
      </c>
      <c r="EI105" s="96">
        <f>IFERROR(VLOOKUP($B105,INDIRECT("'GRD-"&amp;EI$11&amp;"'!B:R"),15,FALSE),"")</f>
        <v/>
      </c>
      <c r="EJ105" s="96">
        <f>IFERROR(VLOOKUP($B105,INDIRECT("'GRD-"&amp;EJ$11&amp;"'!B:R"),15,FALSE),"")</f>
        <v/>
      </c>
      <c r="EK105" s="96">
        <f>IFERROR(VLOOKUP($B105,INDIRECT("'GRD-"&amp;EK$11&amp;"'!B:R"),15,FALSE),"")</f>
        <v/>
      </c>
      <c r="EL105" s="96">
        <f>IFERROR(VLOOKUP($B105,INDIRECT("'GRD-"&amp;EL$11&amp;"'!B:R"),15,FALSE),"")</f>
        <v/>
      </c>
      <c r="EM105" s="96">
        <f>IFERROR(VLOOKUP($B105,INDIRECT("'GRD-"&amp;EM$11&amp;"'!B:R"),15,FALSE),"")</f>
        <v/>
      </c>
      <c r="EN105" s="96">
        <f>IFERROR(VLOOKUP($B105,INDIRECT("'GRD-"&amp;EN$11&amp;"'!B:R"),15,FALSE),"")</f>
        <v/>
      </c>
      <c r="EO105" s="96">
        <f>IFERROR(VLOOKUP($B105,INDIRECT("'GRD-"&amp;EO$11&amp;"'!B:R"),15,FALSE),"")</f>
        <v/>
      </c>
      <c r="EP105" s="96">
        <f>IFERROR(VLOOKUP($B105,INDIRECT("'GRD-"&amp;EP$11&amp;"'!B:R"),15,FALSE),"")</f>
        <v/>
      </c>
      <c r="EQ105" s="96">
        <f>IFERROR(VLOOKUP($B105,INDIRECT("'GRD-"&amp;EQ$11&amp;"'!B:R"),15,FALSE),"")</f>
        <v/>
      </c>
      <c r="ER105" s="96">
        <f>IFERROR(VLOOKUP($B105,INDIRECT("'GRD-"&amp;ER$11&amp;"'!B:R"),15,FALSE),"")</f>
        <v/>
      </c>
      <c r="ES105" s="96">
        <f>IFERROR(VLOOKUP($B105,INDIRECT("'GRD-"&amp;ES$11&amp;"'!B:R"),15,FALSE),"")</f>
        <v/>
      </c>
      <c r="ET105" s="96">
        <f>IFERROR(VLOOKUP($B105,INDIRECT("'GRD-"&amp;ET$11&amp;"'!B:R"),15,FALSE),"")</f>
        <v/>
      </c>
      <c r="EU105" s="96">
        <f>IFERROR(VLOOKUP($B105,INDIRECT("'GRD-"&amp;EU$11&amp;"'!B:R"),15,FALSE),"")</f>
        <v/>
      </c>
      <c r="EV105" s="96">
        <f>IFERROR(VLOOKUP($B105,INDIRECT("'GRD-"&amp;EV$11&amp;"'!B:R"),15,FALSE),"")</f>
        <v/>
      </c>
      <c r="EW105" s="96">
        <f>IFERROR(VLOOKUP($B105,INDIRECT("'GRD-"&amp;EW$11&amp;"'!B:R"),15,FALSE),"")</f>
        <v/>
      </c>
      <c r="EX105" s="96">
        <f>IFERROR(VLOOKUP($B105,INDIRECT("'GRD-"&amp;EX$11&amp;"'!B:R"),15,FALSE),"")</f>
        <v/>
      </c>
      <c r="EY105" s="96">
        <f>IFERROR(VLOOKUP($B105,INDIRECT("'GRD-"&amp;EY$11&amp;"'!B:R"),15,FALSE),"")</f>
        <v/>
      </c>
      <c r="EZ105" s="96">
        <f>IFERROR(VLOOKUP($B105,INDIRECT("'GRD-"&amp;EZ$11&amp;"'!B:R"),15,FALSE),"")</f>
        <v/>
      </c>
      <c r="FA105" s="96">
        <f>IFERROR(VLOOKUP($B105,INDIRECT("'GRD-"&amp;FA$11&amp;"'!B:R"),15,FALSE),"")</f>
        <v/>
      </c>
      <c r="FB105" s="96">
        <f>IFERROR(VLOOKUP($B105,INDIRECT("'GRD-"&amp;FB$11&amp;"'!B:R"),15,FALSE),"")</f>
        <v/>
      </c>
      <c r="FC105" s="96">
        <f>IFERROR(VLOOKUP($B105,INDIRECT("'GRD-"&amp;FC$11&amp;"'!B:R"),15,FALSE),"")</f>
        <v/>
      </c>
      <c r="FD105" s="96">
        <f>IFERROR(VLOOKUP($B105,INDIRECT("'GRD-"&amp;FD$11&amp;"'!B:R"),15,FALSE),"")</f>
        <v/>
      </c>
      <c r="FE105" s="96">
        <f>IFERROR(VLOOKUP($B105,INDIRECT("'GRD-"&amp;FE$11&amp;"'!B:R"),15,FALSE),"")</f>
        <v/>
      </c>
      <c r="FF105" s="96">
        <f>IFERROR(VLOOKUP($B105,INDIRECT("'GRD-"&amp;FF$11&amp;"'!B:R"),15,FALSE),"")</f>
        <v/>
      </c>
      <c r="FG105" s="96">
        <f>IFERROR(VLOOKUP($B105,INDIRECT("'GRD-"&amp;FG$11&amp;"'!B:R"),15,FALSE),"")</f>
        <v/>
      </c>
      <c r="FH105" s="96">
        <f>IFERROR(VLOOKUP($B105,INDIRECT("'GRD-"&amp;FH$11&amp;"'!B:R"),15,FALSE),"")</f>
        <v/>
      </c>
      <c r="FI105" s="96">
        <f>IFERROR(VLOOKUP($B105,INDIRECT("'GRD-"&amp;FI$11&amp;"'!B:R"),15,FALSE),"")</f>
        <v/>
      </c>
      <c r="FJ105" s="96">
        <f>IFERROR(VLOOKUP($B105,INDIRECT("'GRD-"&amp;FJ$11&amp;"'!B:R"),15,FALSE),"")</f>
        <v/>
      </c>
      <c r="FK105" s="96">
        <f>IFERROR(VLOOKUP($B105,INDIRECT("'GRD-"&amp;FK$11&amp;"'!B:R"),15,FALSE),"")</f>
        <v/>
      </c>
      <c r="FL105" s="96">
        <f>IFERROR(VLOOKUP($B105,INDIRECT("'GRD-"&amp;FL$11&amp;"'!B:R"),15,FALSE),"")</f>
        <v/>
      </c>
      <c r="FM105" s="96">
        <f>IFERROR(VLOOKUP($B105,INDIRECT("'GRD-"&amp;FM$11&amp;"'!B:R"),15,FALSE),"")</f>
        <v/>
      </c>
      <c r="FN105" s="96">
        <f>IFERROR(VLOOKUP($B105,INDIRECT("'GRD-"&amp;FN$11&amp;"'!B:R"),15,FALSE),"")</f>
        <v/>
      </c>
      <c r="FO105" s="96">
        <f>IFERROR(VLOOKUP($B105,INDIRECT("'GRD-"&amp;FO$11&amp;"'!B:R"),15,FALSE),"")</f>
        <v/>
      </c>
      <c r="FP105" s="96">
        <f>IFERROR(VLOOKUP($B105,INDIRECT("'GRD-"&amp;FP$11&amp;"'!B:R"),15,FALSE),"")</f>
        <v/>
      </c>
      <c r="FQ105" s="96">
        <f>IFERROR(VLOOKUP($B105,INDIRECT("'GRD-"&amp;FQ$11&amp;"'!B:R"),15,FALSE),"")</f>
        <v/>
      </c>
      <c r="FR105" s="96">
        <f>IFERROR(VLOOKUP($B105,INDIRECT("'GRD-"&amp;FR$11&amp;"'!B:R"),15,FALSE),"")</f>
        <v/>
      </c>
      <c r="FS105" s="96">
        <f>IFERROR(VLOOKUP($B105,INDIRECT("'GRD-"&amp;FS$11&amp;"'!B:R"),15,FALSE),"")</f>
        <v/>
      </c>
      <c r="FT105" s="96">
        <f>IFERROR(VLOOKUP($B105,INDIRECT("'GRD-"&amp;FT$11&amp;"'!B:R"),15,FALSE),"")</f>
        <v/>
      </c>
      <c r="FU105" s="96">
        <f>IFERROR(VLOOKUP($B105,INDIRECT("'GRD-"&amp;FU$11&amp;"'!B:R"),15,FALSE),"")</f>
        <v/>
      </c>
      <c r="FV105" s="96">
        <f>IFERROR(VLOOKUP($B105,INDIRECT("'GRD-"&amp;FV$11&amp;"'!B:R"),15,FALSE),"")</f>
        <v/>
      </c>
    </row>
    <row r="106">
      <c r="B106" s="85" t="n"/>
      <c r="C106" s="93" t="n"/>
      <c r="D106" s="73">
        <f>IF(K106="","",MAX($CA106:$FV106))</f>
        <v/>
      </c>
      <c r="E106" s="74">
        <f t="array" ref="E106">IF($K106="","",OFFSET($A$1,ROW($B106)-1,11+$D106*4,))</f>
        <v/>
      </c>
      <c r="F106" s="74">
        <f t="array" ref="F106">IF($K106="","",OFFSET($A$1,ROW($B106)-1,12+$D106*4,))</f>
        <v/>
      </c>
      <c r="G106" s="118">
        <f t="array" ref="G106">IF($K106="","",OFFSET($A$1,ROW($B106)-1,13+$D106*4,))</f>
        <v/>
      </c>
      <c r="H106" s="81" t="n"/>
      <c r="I106" s="82" t="n"/>
      <c r="J106" s="75">
        <f>IF(I106="A4",H106/8,IF(I106="A3",H106/4,IF(I106="A2",H106/2,IF(I106="A1",H106/1,IF(I106="A0",H106*2,"")))))</f>
        <v/>
      </c>
      <c r="K106" s="68">
        <f t="array" ref="K106">IFERROR(OFFSET($BZ$11,ROW($B106)-11,MATCH(K$10,$CA106:$FV106,0),),"")</f>
        <v/>
      </c>
      <c r="L106" s="85">
        <f>IF(K106="","",IF(VLOOKUP($B106,INDIRECT("'GRD-"&amp;M106&amp;"'!$B:$R"),16,FALSE)="","",VLOOKUP($B106,INDIRECT("'GRD-"&amp;M106&amp;"'!$B:$R"),16,FALSE)))</f>
        <v/>
      </c>
      <c r="M106" s="130">
        <f t="array" ref="M106">IF(K106="","",IFERROR(OFFSET($BZ$11,0,MATCH($K106,$CA106:$FV106,0),),""))</f>
        <v/>
      </c>
      <c r="N106" s="119">
        <f t="array" ref="N106">IF(K106="","",INDIRECT("'GRD-"&amp;M106&amp;"'!$L$7"))</f>
        <v/>
      </c>
      <c r="O106" s="76">
        <f t="array" ref="O106">IFERROR(OFFSET($BZ$11,ROW($B106)-11,MATCH(O$10,$CA106:$FV106,0),),"")</f>
        <v/>
      </c>
      <c r="P106" s="76">
        <f>IF(O106="","",IF(VLOOKUP($B106,INDIRECT("'GRD-"&amp;Q106&amp;"'!$B:$R"),16,FALSE)="","",VLOOKUP($B106,INDIRECT("'GRD-"&amp;Q106&amp;"'!$B:$R"),16,FALSE)))</f>
        <v/>
      </c>
      <c r="Q106" s="132">
        <f t="array" ref="Q106">IF(O106="","",IFERROR(OFFSET($BZ$11,0,MATCH($O106,$CA106:$FV106,0),),""))</f>
        <v/>
      </c>
      <c r="R106" s="121">
        <f t="array" ref="R106">IF(O106="","",INDIRECT("'GRD-"&amp;Q106&amp;"'!$L$7"))</f>
        <v/>
      </c>
      <c r="S106" s="83">
        <f t="array" ref="S106">IFERROR(OFFSET($BZ$11,ROW($B106)-11,MATCH(S$10,$CA106:$FV106,0),),"")</f>
        <v/>
      </c>
      <c r="T106" s="83">
        <f>IF(S106="","",IF(VLOOKUP($B106,INDIRECT("'GRD-"&amp;U106&amp;"'!$B:$R"),16,FALSE)="","",VLOOKUP($B106,INDIRECT("'GRD-"&amp;U106&amp;"'!$B:$R"),16,FALSE)))</f>
        <v/>
      </c>
      <c r="U106" s="128">
        <f t="array" ref="U106">IF(S106="","",IFERROR(OFFSET($BZ$11,0,MATCH($S106,$CA106:$FV106,0),),""))</f>
        <v/>
      </c>
      <c r="V106" s="133">
        <f t="array" ref="V106">IF(S106="","",INDIRECT("'GRD-"&amp;U106&amp;"'!$L$7"))</f>
        <v/>
      </c>
      <c r="W106" s="84">
        <f t="array" ref="W106">IFERROR(OFFSET($BZ$11,ROW($B106)-11,MATCH(W$10,$CA106:$FV106,0),),"")</f>
        <v/>
      </c>
      <c r="X106" s="84">
        <f>IF(W106="","",IF(VLOOKUP($B106,INDIRECT("'GRD-"&amp;Y106&amp;"'!$B:$R"),16,FALSE)="","",VLOOKUP($B106,INDIRECT("'GRD-"&amp;Y106&amp;"'!$B:$R"),16,FALSE)))</f>
        <v/>
      </c>
      <c r="Y106" s="129">
        <f t="array" ref="Y106">IF(W106="","",IFERROR(OFFSET($BZ$11,0,MATCH($W106,$CA106:$FV106,0),),""))</f>
        <v/>
      </c>
      <c r="Z106" s="134">
        <f t="array" ref="Z106">IF(W106="","",INDIRECT("'GRD-"&amp;Y106&amp;"'!$L$7"))</f>
        <v/>
      </c>
      <c r="AA106" s="85">
        <f t="array" ref="AA106">IFERROR(OFFSET($BZ$11,ROW($B106)-11,MATCH(AA$10,$CA106:$FV106,0),),"")</f>
        <v/>
      </c>
      <c r="AB106" s="85">
        <f>IF(AA106="","",IF(VLOOKUP($B106,INDIRECT("'GRD-"&amp;AC106&amp;"'!$B:$R"),16,FALSE)="","",VLOOKUP($B106,INDIRECT("'GRD-"&amp;AC106&amp;"'!$B:$R"),16,FALSE)))</f>
        <v/>
      </c>
      <c r="AC106" s="130">
        <f t="array" ref="AC106">IF(AA106="","",IFERROR(OFFSET($BZ$11,0,MATCH($AA106,$CA106:$FV106,0),),""))</f>
        <v/>
      </c>
      <c r="AD106" s="131">
        <f t="array" ref="AD106">IF(AA106="","",INDIRECT("'GRD-"&amp;AC106&amp;"'!$L$7"))</f>
        <v/>
      </c>
      <c r="AE106" s="76">
        <f t="array" ref="AE106">IFERROR(OFFSET($BZ$11,ROW($B106)-11,MATCH(AE$10,$CA106:$FV106,0),),"")</f>
        <v/>
      </c>
      <c r="AF106" s="76">
        <f>IF(AE106="","",IF(VLOOKUP($B106,INDIRECT("'GRD-"&amp;AG106&amp;"'!$B:$R"),16,FALSE)="","",VLOOKUP($B106,INDIRECT("'GRD-"&amp;AG106&amp;"'!$B:$R"),16,FALSE)))</f>
        <v/>
      </c>
      <c r="AG106" s="132">
        <f t="array" ref="AG106">IF(AE106="","",IFERROR(OFFSET($BZ$11,0,MATCH($AE106,$CA106:$FV106,0),),""))</f>
        <v/>
      </c>
      <c r="AH106" s="121">
        <f t="array" ref="AH106">IF(AE106="","",INDIRECT("'GRD-"&amp;AG106&amp;"'!$L$7"))</f>
        <v/>
      </c>
      <c r="AI106" s="83">
        <f t="array" ref="AI106">IFERROR(OFFSET($BZ$11,ROW($B106)-11,MATCH(AI$10,$CA106:$FV106,0),),"")</f>
        <v/>
      </c>
      <c r="AJ106" s="83">
        <f>IF(AI106="","",IF(VLOOKUP($B106,INDIRECT("'GRD-"&amp;AK106&amp;"'!$B:$R"),16,FALSE)="","",VLOOKUP($B106,INDIRECT("'GRD-"&amp;AK106&amp;"'!$B:$R"),16,FALSE)))</f>
        <v/>
      </c>
      <c r="AK106" s="128">
        <f t="array" ref="AK106">IF(AI106="","",IFERROR(OFFSET($BZ$11,0,MATCH($AI106,$CA106:$FV106,0),),""))</f>
        <v/>
      </c>
      <c r="AL106" s="133">
        <f t="array" ref="AL106">IF(AI106="","",INDIRECT("'GRD-"&amp;AK106&amp;"'!$L$7"))</f>
        <v/>
      </c>
      <c r="AM106" s="84">
        <f t="array" ref="AM106">IFERROR(OFFSET($BZ$11,ROW($B106)-11,MATCH(AM$10,$CA106:$FV106,0),),"")</f>
        <v/>
      </c>
      <c r="AN106" s="84">
        <f>IF(AM106="","",IF(VLOOKUP($B106,INDIRECT("'GRD-"&amp;AO106&amp;"'!$B:$R"),16,FALSE)="","",VLOOKUP($B106,INDIRECT("'GRD-"&amp;AO106&amp;"'!$B:$R"),16,FALSE)))</f>
        <v/>
      </c>
      <c r="AO106" s="129">
        <f t="array" ref="AO106">IF(AM106="","",IFERROR(OFFSET($BZ$11,0,MATCH($AM106,$CA106:$FV106,0),),""))</f>
        <v/>
      </c>
      <c r="AP106" s="134">
        <f t="array" ref="AP106">IF(AM106="","",INDIRECT("'GRD-"&amp;AO106&amp;"'!$L$7"))</f>
        <v/>
      </c>
      <c r="AQ106" s="85">
        <f t="array" ref="AQ106">IFERROR(OFFSET($BZ$11,ROW($B106)-11,MATCH(AQ$10,$CA106:$FV106,0),),"")</f>
        <v/>
      </c>
      <c r="AR106" s="85">
        <f>IF(AQ106="","",IF(VLOOKUP($B106,INDIRECT("'GRD-"&amp;AS106&amp;"'!$B:$R"),16,FALSE)="","",VLOOKUP($B106,INDIRECT("'GRD-"&amp;AS106&amp;"'!$B:$R"),16,FALSE)))</f>
        <v/>
      </c>
      <c r="AS106" s="130">
        <f t="array" ref="AS106">IF(AQ106="","",IFERROR(OFFSET($BZ$11,0,MATCH($AQ106,$CA106:$FV106,0),),""))</f>
        <v/>
      </c>
      <c r="AT106" s="131">
        <f t="array" ref="AT106">IF(AQ106="","",INDIRECT("'GRD-"&amp;AS106&amp;"'!$L$7"))</f>
        <v/>
      </c>
      <c r="AU106" s="76">
        <f t="array" ref="AU106">IFERROR(OFFSET($BZ$11,ROW($B106)-11,MATCH(AU$10,$CA106:$FV106,0),),"")</f>
        <v/>
      </c>
      <c r="AV106" s="76">
        <f>IF(AU106="","",IF(VLOOKUP($B106,INDIRECT("'GRD-"&amp;AW106&amp;"'!$B:$R"),16,FALSE)="","",VLOOKUP($B106,INDIRECT("'GRD-"&amp;AW106&amp;"'!$B:$R"),16,FALSE)))</f>
        <v/>
      </c>
      <c r="AW106" s="132">
        <f t="array" ref="AW106">IF(AU106="","",IFERROR(OFFSET($BZ$11,0,MATCH($AU106,$CA106:$FV106,0),),""))</f>
        <v/>
      </c>
      <c r="AX106" s="121">
        <f t="array" ref="AX106">IF(AU106="","",INDIRECT("'GRD-"&amp;AW106&amp;"'!$L$7"))</f>
        <v/>
      </c>
      <c r="AY106" s="83">
        <f t="array" ref="AY106">IFERROR(OFFSET($BZ$11,ROW($B106)-11,MATCH(AY$10,$CA106:$FV106,0),),"")</f>
        <v/>
      </c>
      <c r="AZ106" s="83">
        <f>IF(AY106="","",IF(VLOOKUP($B106,INDIRECT("'GRD-"&amp;BA106&amp;"'!$B:$R"),16,FALSE)="","",VLOOKUP($B106,INDIRECT("'GRD-"&amp;BA106&amp;"'!$B:$R"),16,FALSE)))</f>
        <v/>
      </c>
      <c r="BA106" s="128">
        <f t="array" ref="BA106">IF(AY106="","",IFERROR(OFFSET($BZ$11,0,MATCH($AY106,$CA106:$FV106,0),),""))</f>
        <v/>
      </c>
      <c r="BB106" s="133">
        <f t="array" ref="BB106">IF(AY106="","",INDIRECT("'GRD-"&amp;BA106&amp;"'!$L$7"))</f>
        <v/>
      </c>
      <c r="BC106" s="84">
        <f t="array" ref="BC106">IFERROR(OFFSET($BZ$11,ROW($B106)-11,MATCH(BC$10,$CA106:$FV106,0),),"")</f>
        <v/>
      </c>
      <c r="BD106" s="84">
        <f>IF(BC106="","",IF(VLOOKUP($B106,INDIRECT("'GRD-"&amp;BE106&amp;"'!$B:$R"),16,FALSE)="","",VLOOKUP($B106,INDIRECT("'GRD-"&amp;BE106&amp;"'!$B:$R"),16,FALSE)))</f>
        <v/>
      </c>
      <c r="BE106" s="129">
        <f t="array" ref="BE106">IF(BC106="","",IFERROR(OFFSET($BZ$11,0,MATCH($BC106,$CA106:$FV106,0),),""))</f>
        <v/>
      </c>
      <c r="BF106" s="134">
        <f t="array" ref="BF106">IF(BC106="","",INDIRECT("'GRD-"&amp;BE106&amp;"'!$L$7"))</f>
        <v/>
      </c>
      <c r="CA106" s="96">
        <f>IFERROR(VLOOKUP($B106,INDIRECT("'GRD-"&amp;CA$11&amp;"'!B:R"),15,FALSE),"")</f>
        <v/>
      </c>
      <c r="CB106" s="96">
        <f>IFERROR(VLOOKUP($B106,INDIRECT("'GRD-"&amp;CB$11&amp;"'!B:R"),15,FALSE),"")</f>
        <v/>
      </c>
      <c r="CC106" s="96">
        <f>IFERROR(VLOOKUP($B106,INDIRECT("'GRD-"&amp;CC$11&amp;"'!B:R"),15,FALSE),"")</f>
        <v/>
      </c>
      <c r="CD106" s="96">
        <f>IFERROR(VLOOKUP($B106,INDIRECT("'GRD-"&amp;CD$11&amp;"'!B:R"),15,FALSE),"")</f>
        <v/>
      </c>
      <c r="CE106" s="96">
        <f>IFERROR(VLOOKUP($B106,INDIRECT("'GRD-"&amp;CE$11&amp;"'!B:R"),15,FALSE),"")</f>
        <v/>
      </c>
      <c r="CF106" s="96">
        <f>IFERROR(VLOOKUP($B106,INDIRECT("'GRD-"&amp;CF$11&amp;"'!B:R"),15,FALSE),"")</f>
        <v/>
      </c>
      <c r="CG106" s="96">
        <f>IFERROR(VLOOKUP($B106,INDIRECT("'GRD-"&amp;CG$11&amp;"'!B:R"),15,FALSE),"")</f>
        <v/>
      </c>
      <c r="CH106" s="96">
        <f>IFERROR(VLOOKUP($B106,INDIRECT("'GRD-"&amp;CH$11&amp;"'!B:R"),15,FALSE),"")</f>
        <v/>
      </c>
      <c r="CI106" s="96">
        <f>IFERROR(VLOOKUP($B106,INDIRECT("'GRD-"&amp;CI$11&amp;"'!B:R"),15,FALSE),"")</f>
        <v/>
      </c>
      <c r="CJ106" s="96">
        <f>IFERROR(VLOOKUP($B106,INDIRECT("'GRD-"&amp;CJ$11&amp;"'!B:R"),15,FALSE),"")</f>
        <v/>
      </c>
      <c r="CK106" s="96">
        <f>IFERROR(VLOOKUP($B106,INDIRECT("'GRD-"&amp;CK$11&amp;"'!B:R"),15,FALSE),"")</f>
        <v/>
      </c>
      <c r="CL106" s="96">
        <f>IFERROR(VLOOKUP($B106,INDIRECT("'GRD-"&amp;CL$11&amp;"'!B:R"),15,FALSE),"")</f>
        <v/>
      </c>
      <c r="CM106" s="96">
        <f>IFERROR(VLOOKUP($B106,INDIRECT("'GRD-"&amp;CM$11&amp;"'!B:R"),15,FALSE),"")</f>
        <v/>
      </c>
      <c r="CN106" s="96">
        <f>IFERROR(VLOOKUP($B106,INDIRECT("'GRD-"&amp;CN$11&amp;"'!B:R"),15,FALSE),"")</f>
        <v/>
      </c>
      <c r="CO106" s="96">
        <f>IFERROR(VLOOKUP($B106,INDIRECT("'GRD-"&amp;CO$11&amp;"'!B:R"),15,FALSE),"")</f>
        <v/>
      </c>
      <c r="CP106" s="96">
        <f>IFERROR(VLOOKUP($B106,INDIRECT("'GRD-"&amp;CP$11&amp;"'!B:R"),15,FALSE),"")</f>
        <v/>
      </c>
      <c r="CQ106" s="96">
        <f>IFERROR(VLOOKUP($B106,INDIRECT("'GRD-"&amp;CQ$11&amp;"'!B:R"),15,FALSE),"")</f>
        <v/>
      </c>
      <c r="CR106" s="96">
        <f>IFERROR(VLOOKUP($B106,INDIRECT("'GRD-"&amp;CR$11&amp;"'!B:R"),15,FALSE),"")</f>
        <v/>
      </c>
      <c r="CS106" s="96">
        <f>IFERROR(VLOOKUP($B106,INDIRECT("'GRD-"&amp;CS$11&amp;"'!B:R"),15,FALSE),"")</f>
        <v/>
      </c>
      <c r="CT106" s="96">
        <f>IFERROR(VLOOKUP($B106,INDIRECT("'GRD-"&amp;CT$11&amp;"'!B:R"),15,FALSE),"")</f>
        <v/>
      </c>
      <c r="CU106" s="96">
        <f>IFERROR(VLOOKUP($B106,INDIRECT("'GRD-"&amp;CU$11&amp;"'!B:R"),15,FALSE),"")</f>
        <v/>
      </c>
      <c r="CV106" s="96">
        <f>IFERROR(VLOOKUP($B106,INDIRECT("'GRD-"&amp;CV$11&amp;"'!B:R"),15,FALSE),"")</f>
        <v/>
      </c>
      <c r="CW106" s="96">
        <f>IFERROR(VLOOKUP($B106,INDIRECT("'GRD-"&amp;CW$11&amp;"'!B:R"),15,FALSE),"")</f>
        <v/>
      </c>
      <c r="CX106" s="96">
        <f>IFERROR(VLOOKUP($B106,INDIRECT("'GRD-"&amp;CX$11&amp;"'!B:R"),15,FALSE),"")</f>
        <v/>
      </c>
      <c r="CY106" s="96">
        <f>IFERROR(VLOOKUP($B106,INDIRECT("'GRD-"&amp;CY$11&amp;"'!B:R"),15,FALSE),"")</f>
        <v/>
      </c>
      <c r="CZ106" s="96">
        <f>IFERROR(VLOOKUP($B106,INDIRECT("'GRD-"&amp;CZ$11&amp;"'!B:R"),15,FALSE),"")</f>
        <v/>
      </c>
      <c r="DA106" s="96">
        <f>IFERROR(VLOOKUP($B106,INDIRECT("'GRD-"&amp;DA$11&amp;"'!B:R"),15,FALSE),"")</f>
        <v/>
      </c>
      <c r="DB106" s="96">
        <f>IFERROR(VLOOKUP($B106,INDIRECT("'GRD-"&amp;DB$11&amp;"'!B:R"),15,FALSE),"")</f>
        <v/>
      </c>
      <c r="DC106" s="96">
        <f>IFERROR(VLOOKUP($B106,INDIRECT("'GRD-"&amp;DC$11&amp;"'!B:R"),15,FALSE),"")</f>
        <v/>
      </c>
      <c r="DD106" s="96">
        <f>IFERROR(VLOOKUP($B106,INDIRECT("'GRD-"&amp;DD$11&amp;"'!B:R"),15,FALSE),"")</f>
        <v/>
      </c>
      <c r="DE106" s="96">
        <f>IFERROR(VLOOKUP($B106,INDIRECT("'GRD-"&amp;DE$11&amp;"'!B:R"),15,FALSE),"")</f>
        <v/>
      </c>
      <c r="DF106" s="96">
        <f>IFERROR(VLOOKUP($B106,INDIRECT("'GRD-"&amp;DF$11&amp;"'!B:R"),15,FALSE),"")</f>
        <v/>
      </c>
      <c r="DG106" s="96">
        <f>IFERROR(VLOOKUP($B106,INDIRECT("'GRD-"&amp;DG$11&amp;"'!B:R"),15,FALSE),"")</f>
        <v/>
      </c>
      <c r="DH106" s="96">
        <f>IFERROR(VLOOKUP($B106,INDIRECT("'GRD-"&amp;DH$11&amp;"'!B:R"),15,FALSE),"")</f>
        <v/>
      </c>
      <c r="DI106" s="96">
        <f>IFERROR(VLOOKUP($B106,INDIRECT("'GRD-"&amp;DI$11&amp;"'!B:R"),15,FALSE),"")</f>
        <v/>
      </c>
      <c r="DJ106" s="96">
        <f>IFERROR(VLOOKUP($B106,INDIRECT("'GRD-"&amp;DJ$11&amp;"'!B:R"),15,FALSE),"")</f>
        <v/>
      </c>
      <c r="DK106" s="96">
        <f>IFERROR(VLOOKUP($B106,INDIRECT("'GRD-"&amp;DK$11&amp;"'!B:R"),15,FALSE),"")</f>
        <v/>
      </c>
      <c r="DL106" s="96">
        <f>IFERROR(VLOOKUP($B106,INDIRECT("'GRD-"&amp;DL$11&amp;"'!B:R"),15,FALSE),"")</f>
        <v/>
      </c>
      <c r="DM106" s="96">
        <f>IFERROR(VLOOKUP($B106,INDIRECT("'GRD-"&amp;DM$11&amp;"'!B:R"),15,FALSE),"")</f>
        <v/>
      </c>
      <c r="DN106" s="96">
        <f>IFERROR(VLOOKUP($B106,INDIRECT("'GRD-"&amp;DN$11&amp;"'!B:R"),15,FALSE),"")</f>
        <v/>
      </c>
      <c r="DO106" s="96">
        <f>IFERROR(VLOOKUP($B106,INDIRECT("'GRD-"&amp;DO$11&amp;"'!B:R"),15,FALSE),"")</f>
        <v/>
      </c>
      <c r="DP106" s="96">
        <f>IFERROR(VLOOKUP($B106,INDIRECT("'GRD-"&amp;DP$11&amp;"'!B:R"),15,FALSE),"")</f>
        <v/>
      </c>
      <c r="DQ106" s="96">
        <f>IFERROR(VLOOKUP($B106,INDIRECT("'GRD-"&amp;DQ$11&amp;"'!B:R"),15,FALSE),"")</f>
        <v/>
      </c>
      <c r="DR106" s="96">
        <f>IFERROR(VLOOKUP($B106,INDIRECT("'GRD-"&amp;DR$11&amp;"'!B:R"),15,FALSE),"")</f>
        <v/>
      </c>
      <c r="DS106" s="96">
        <f>IFERROR(VLOOKUP($B106,INDIRECT("'GRD-"&amp;DS$11&amp;"'!B:R"),15,FALSE),"")</f>
        <v/>
      </c>
      <c r="DT106" s="96">
        <f>IFERROR(VLOOKUP($B106,INDIRECT("'GRD-"&amp;DT$11&amp;"'!B:R"),15,FALSE),"")</f>
        <v/>
      </c>
      <c r="DU106" s="96">
        <f>IFERROR(VLOOKUP($B106,INDIRECT("'GRD-"&amp;DU$11&amp;"'!B:R"),15,FALSE),"")</f>
        <v/>
      </c>
      <c r="DV106" s="96">
        <f>IFERROR(VLOOKUP($B106,INDIRECT("'GRD-"&amp;DV$11&amp;"'!B:R"),15,FALSE),"")</f>
        <v/>
      </c>
      <c r="DW106" s="96">
        <f>IFERROR(VLOOKUP($B106,INDIRECT("'GRD-"&amp;DW$11&amp;"'!B:R"),15,FALSE),"")</f>
        <v/>
      </c>
      <c r="DX106" s="96">
        <f>IFERROR(VLOOKUP($B106,INDIRECT("'GRD-"&amp;DX$11&amp;"'!B:R"),15,FALSE),"")</f>
        <v/>
      </c>
      <c r="DY106" s="96">
        <f>IFERROR(VLOOKUP($B106,INDIRECT("'GRD-"&amp;DY$11&amp;"'!B:R"),15,FALSE),"")</f>
        <v/>
      </c>
      <c r="DZ106" s="96">
        <f>IFERROR(VLOOKUP($B106,INDIRECT("'GRD-"&amp;DZ$11&amp;"'!B:R"),15,FALSE),"")</f>
        <v/>
      </c>
      <c r="EA106" s="96">
        <f>IFERROR(VLOOKUP($B106,INDIRECT("'GRD-"&amp;EA$11&amp;"'!B:R"),15,FALSE),"")</f>
        <v/>
      </c>
      <c r="EB106" s="96">
        <f>IFERROR(VLOOKUP($B106,INDIRECT("'GRD-"&amp;EB$11&amp;"'!B:R"),15,FALSE),"")</f>
        <v/>
      </c>
      <c r="EC106" s="96">
        <f>IFERROR(VLOOKUP($B106,INDIRECT("'GRD-"&amp;EC$11&amp;"'!B:R"),15,FALSE),"")</f>
        <v/>
      </c>
      <c r="ED106" s="96">
        <f>IFERROR(VLOOKUP($B106,INDIRECT("'GRD-"&amp;ED$11&amp;"'!B:R"),15,FALSE),"")</f>
        <v/>
      </c>
      <c r="EE106" s="96">
        <f>IFERROR(VLOOKUP($B106,INDIRECT("'GRD-"&amp;EE$11&amp;"'!B:R"),15,FALSE),"")</f>
        <v/>
      </c>
      <c r="EF106" s="96">
        <f>IFERROR(VLOOKUP($B106,INDIRECT("'GRD-"&amp;EF$11&amp;"'!B:R"),15,FALSE),"")</f>
        <v/>
      </c>
      <c r="EG106" s="96">
        <f>IFERROR(VLOOKUP($B106,INDIRECT("'GRD-"&amp;EG$11&amp;"'!B:R"),15,FALSE),"")</f>
        <v/>
      </c>
      <c r="EH106" s="96">
        <f>IFERROR(VLOOKUP($B106,INDIRECT("'GRD-"&amp;EH$11&amp;"'!B:R"),15,FALSE),"")</f>
        <v/>
      </c>
      <c r="EI106" s="96">
        <f>IFERROR(VLOOKUP($B106,INDIRECT("'GRD-"&amp;EI$11&amp;"'!B:R"),15,FALSE),"")</f>
        <v/>
      </c>
      <c r="EJ106" s="96">
        <f>IFERROR(VLOOKUP($B106,INDIRECT("'GRD-"&amp;EJ$11&amp;"'!B:R"),15,FALSE),"")</f>
        <v/>
      </c>
      <c r="EK106" s="96">
        <f>IFERROR(VLOOKUP($B106,INDIRECT("'GRD-"&amp;EK$11&amp;"'!B:R"),15,FALSE),"")</f>
        <v/>
      </c>
      <c r="EL106" s="96">
        <f>IFERROR(VLOOKUP($B106,INDIRECT("'GRD-"&amp;EL$11&amp;"'!B:R"),15,FALSE),"")</f>
        <v/>
      </c>
      <c r="EM106" s="96">
        <f>IFERROR(VLOOKUP($B106,INDIRECT("'GRD-"&amp;EM$11&amp;"'!B:R"),15,FALSE),"")</f>
        <v/>
      </c>
      <c r="EN106" s="96">
        <f>IFERROR(VLOOKUP($B106,INDIRECT("'GRD-"&amp;EN$11&amp;"'!B:R"),15,FALSE),"")</f>
        <v/>
      </c>
      <c r="EO106" s="96">
        <f>IFERROR(VLOOKUP($B106,INDIRECT("'GRD-"&amp;EO$11&amp;"'!B:R"),15,FALSE),"")</f>
        <v/>
      </c>
      <c r="EP106" s="96">
        <f>IFERROR(VLOOKUP($B106,INDIRECT("'GRD-"&amp;EP$11&amp;"'!B:R"),15,FALSE),"")</f>
        <v/>
      </c>
      <c r="EQ106" s="96">
        <f>IFERROR(VLOOKUP($B106,INDIRECT("'GRD-"&amp;EQ$11&amp;"'!B:R"),15,FALSE),"")</f>
        <v/>
      </c>
      <c r="ER106" s="96">
        <f>IFERROR(VLOOKUP($B106,INDIRECT("'GRD-"&amp;ER$11&amp;"'!B:R"),15,FALSE),"")</f>
        <v/>
      </c>
      <c r="ES106" s="96">
        <f>IFERROR(VLOOKUP($B106,INDIRECT("'GRD-"&amp;ES$11&amp;"'!B:R"),15,FALSE),"")</f>
        <v/>
      </c>
      <c r="ET106" s="96">
        <f>IFERROR(VLOOKUP($B106,INDIRECT("'GRD-"&amp;ET$11&amp;"'!B:R"),15,FALSE),"")</f>
        <v/>
      </c>
      <c r="EU106" s="96">
        <f>IFERROR(VLOOKUP($B106,INDIRECT("'GRD-"&amp;EU$11&amp;"'!B:R"),15,FALSE),"")</f>
        <v/>
      </c>
      <c r="EV106" s="96">
        <f>IFERROR(VLOOKUP($B106,INDIRECT("'GRD-"&amp;EV$11&amp;"'!B:R"),15,FALSE),"")</f>
        <v/>
      </c>
      <c r="EW106" s="96">
        <f>IFERROR(VLOOKUP($B106,INDIRECT("'GRD-"&amp;EW$11&amp;"'!B:R"),15,FALSE),"")</f>
        <v/>
      </c>
      <c r="EX106" s="96">
        <f>IFERROR(VLOOKUP($B106,INDIRECT("'GRD-"&amp;EX$11&amp;"'!B:R"),15,FALSE),"")</f>
        <v/>
      </c>
      <c r="EY106" s="96">
        <f>IFERROR(VLOOKUP($B106,INDIRECT("'GRD-"&amp;EY$11&amp;"'!B:R"),15,FALSE),"")</f>
        <v/>
      </c>
      <c r="EZ106" s="96">
        <f>IFERROR(VLOOKUP($B106,INDIRECT("'GRD-"&amp;EZ$11&amp;"'!B:R"),15,FALSE),"")</f>
        <v/>
      </c>
      <c r="FA106" s="96">
        <f>IFERROR(VLOOKUP($B106,INDIRECT("'GRD-"&amp;FA$11&amp;"'!B:R"),15,FALSE),"")</f>
        <v/>
      </c>
      <c r="FB106" s="96">
        <f>IFERROR(VLOOKUP($B106,INDIRECT("'GRD-"&amp;FB$11&amp;"'!B:R"),15,FALSE),"")</f>
        <v/>
      </c>
      <c r="FC106" s="96">
        <f>IFERROR(VLOOKUP($B106,INDIRECT("'GRD-"&amp;FC$11&amp;"'!B:R"),15,FALSE),"")</f>
        <v/>
      </c>
      <c r="FD106" s="96">
        <f>IFERROR(VLOOKUP($B106,INDIRECT("'GRD-"&amp;FD$11&amp;"'!B:R"),15,FALSE),"")</f>
        <v/>
      </c>
      <c r="FE106" s="96">
        <f>IFERROR(VLOOKUP($B106,INDIRECT("'GRD-"&amp;FE$11&amp;"'!B:R"),15,FALSE),"")</f>
        <v/>
      </c>
      <c r="FF106" s="96">
        <f>IFERROR(VLOOKUP($B106,INDIRECT("'GRD-"&amp;FF$11&amp;"'!B:R"),15,FALSE),"")</f>
        <v/>
      </c>
      <c r="FG106" s="96">
        <f>IFERROR(VLOOKUP($B106,INDIRECT("'GRD-"&amp;FG$11&amp;"'!B:R"),15,FALSE),"")</f>
        <v/>
      </c>
      <c r="FH106" s="96">
        <f>IFERROR(VLOOKUP($B106,INDIRECT("'GRD-"&amp;FH$11&amp;"'!B:R"),15,FALSE),"")</f>
        <v/>
      </c>
      <c r="FI106" s="96">
        <f>IFERROR(VLOOKUP($B106,INDIRECT("'GRD-"&amp;FI$11&amp;"'!B:R"),15,FALSE),"")</f>
        <v/>
      </c>
      <c r="FJ106" s="96">
        <f>IFERROR(VLOOKUP($B106,INDIRECT("'GRD-"&amp;FJ$11&amp;"'!B:R"),15,FALSE),"")</f>
        <v/>
      </c>
      <c r="FK106" s="96">
        <f>IFERROR(VLOOKUP($B106,INDIRECT("'GRD-"&amp;FK$11&amp;"'!B:R"),15,FALSE),"")</f>
        <v/>
      </c>
      <c r="FL106" s="96">
        <f>IFERROR(VLOOKUP($B106,INDIRECT("'GRD-"&amp;FL$11&amp;"'!B:R"),15,FALSE),"")</f>
        <v/>
      </c>
      <c r="FM106" s="96">
        <f>IFERROR(VLOOKUP($B106,INDIRECT("'GRD-"&amp;FM$11&amp;"'!B:R"),15,FALSE),"")</f>
        <v/>
      </c>
      <c r="FN106" s="96">
        <f>IFERROR(VLOOKUP($B106,INDIRECT("'GRD-"&amp;FN$11&amp;"'!B:R"),15,FALSE),"")</f>
        <v/>
      </c>
      <c r="FO106" s="96">
        <f>IFERROR(VLOOKUP($B106,INDIRECT("'GRD-"&amp;FO$11&amp;"'!B:R"),15,FALSE),"")</f>
        <v/>
      </c>
      <c r="FP106" s="96">
        <f>IFERROR(VLOOKUP($B106,INDIRECT("'GRD-"&amp;FP$11&amp;"'!B:R"),15,FALSE),"")</f>
        <v/>
      </c>
      <c r="FQ106" s="96">
        <f>IFERROR(VLOOKUP($B106,INDIRECT("'GRD-"&amp;FQ$11&amp;"'!B:R"),15,FALSE),"")</f>
        <v/>
      </c>
      <c r="FR106" s="96">
        <f>IFERROR(VLOOKUP($B106,INDIRECT("'GRD-"&amp;FR$11&amp;"'!B:R"),15,FALSE),"")</f>
        <v/>
      </c>
      <c r="FS106" s="96">
        <f>IFERROR(VLOOKUP($B106,INDIRECT("'GRD-"&amp;FS$11&amp;"'!B:R"),15,FALSE),"")</f>
        <v/>
      </c>
      <c r="FT106" s="96">
        <f>IFERROR(VLOOKUP($B106,INDIRECT("'GRD-"&amp;FT$11&amp;"'!B:R"),15,FALSE),"")</f>
        <v/>
      </c>
      <c r="FU106" s="96">
        <f>IFERROR(VLOOKUP($B106,INDIRECT("'GRD-"&amp;FU$11&amp;"'!B:R"),15,FALSE),"")</f>
        <v/>
      </c>
      <c r="FV106" s="96">
        <f>IFERROR(VLOOKUP($B106,INDIRECT("'GRD-"&amp;FV$11&amp;"'!B:R"),15,FALSE),"")</f>
        <v/>
      </c>
    </row>
    <row r="107">
      <c r="B107" s="85" t="n"/>
      <c r="C107" s="93" t="n"/>
      <c r="D107" s="73">
        <f>IF(K107="","",MAX($CA107:$FV107))</f>
        <v/>
      </c>
      <c r="E107" s="74">
        <f t="array" ref="E107">IF($K107="","",OFFSET($A$1,ROW($B107)-1,11+$D107*4,))</f>
        <v/>
      </c>
      <c r="F107" s="74">
        <f t="array" ref="F107">IF($K107="","",OFFSET($A$1,ROW($B107)-1,12+$D107*4,))</f>
        <v/>
      </c>
      <c r="G107" s="118">
        <f t="array" ref="G107">IF($K107="","",OFFSET($A$1,ROW($B107)-1,13+$D107*4,))</f>
        <v/>
      </c>
      <c r="H107" s="81" t="n"/>
      <c r="I107" s="82" t="n"/>
      <c r="J107" s="75">
        <f>IF(I107="A4",H107/8,IF(I107="A3",H107/4,IF(I107="A2",H107/2,IF(I107="A1",H107/1,IF(I107="A0",H107*2,"")))))</f>
        <v/>
      </c>
      <c r="K107" s="68">
        <f t="array" ref="K107">IFERROR(OFFSET($BZ$11,ROW($B107)-11,MATCH(K$10,$CA107:$FV107,0),),"")</f>
        <v/>
      </c>
      <c r="L107" s="85">
        <f>IF(K107="","",IF(VLOOKUP($B107,INDIRECT("'GRD-"&amp;M107&amp;"'!$B:$R"),16,FALSE)="","",VLOOKUP($B107,INDIRECT("'GRD-"&amp;M107&amp;"'!$B:$R"),16,FALSE)))</f>
        <v/>
      </c>
      <c r="M107" s="130">
        <f t="array" ref="M107">IF(K107="","",IFERROR(OFFSET($BZ$11,0,MATCH($K107,$CA107:$FV107,0),),""))</f>
        <v/>
      </c>
      <c r="N107" s="119">
        <f t="array" ref="N107">IF(K107="","",INDIRECT("'GRD-"&amp;M107&amp;"'!$L$7"))</f>
        <v/>
      </c>
      <c r="O107" s="76">
        <f t="array" ref="O107">IFERROR(OFFSET($BZ$11,ROW($B107)-11,MATCH(O$10,$CA107:$FV107,0),),"")</f>
        <v/>
      </c>
      <c r="P107" s="76">
        <f>IF(O107="","",IF(VLOOKUP($B107,INDIRECT("'GRD-"&amp;Q107&amp;"'!$B:$R"),16,FALSE)="","",VLOOKUP($B107,INDIRECT("'GRD-"&amp;Q107&amp;"'!$B:$R"),16,FALSE)))</f>
        <v/>
      </c>
      <c r="Q107" s="132">
        <f t="array" ref="Q107">IF(O107="","",IFERROR(OFFSET($BZ$11,0,MATCH($O107,$CA107:$FV107,0),),""))</f>
        <v/>
      </c>
      <c r="R107" s="121">
        <f t="array" ref="R107">IF(O107="","",INDIRECT("'GRD-"&amp;Q107&amp;"'!$L$7"))</f>
        <v/>
      </c>
      <c r="S107" s="83">
        <f t="array" ref="S107">IFERROR(OFFSET($BZ$11,ROW($B107)-11,MATCH(S$10,$CA107:$FV107,0),),"")</f>
        <v/>
      </c>
      <c r="T107" s="83">
        <f>IF(S107="","",IF(VLOOKUP($B107,INDIRECT("'GRD-"&amp;U107&amp;"'!$B:$R"),16,FALSE)="","",VLOOKUP($B107,INDIRECT("'GRD-"&amp;U107&amp;"'!$B:$R"),16,FALSE)))</f>
        <v/>
      </c>
      <c r="U107" s="128">
        <f t="array" ref="U107">IF(S107="","",IFERROR(OFFSET($BZ$11,0,MATCH($S107,$CA107:$FV107,0),),""))</f>
        <v/>
      </c>
      <c r="V107" s="133">
        <f t="array" ref="V107">IF(S107="","",INDIRECT("'GRD-"&amp;U107&amp;"'!$L$7"))</f>
        <v/>
      </c>
      <c r="W107" s="84">
        <f t="array" ref="W107">IFERROR(OFFSET($BZ$11,ROW($B107)-11,MATCH(W$10,$CA107:$FV107,0),),"")</f>
        <v/>
      </c>
      <c r="X107" s="84">
        <f>IF(W107="","",IF(VLOOKUP($B107,INDIRECT("'GRD-"&amp;Y107&amp;"'!$B:$R"),16,FALSE)="","",VLOOKUP($B107,INDIRECT("'GRD-"&amp;Y107&amp;"'!$B:$R"),16,FALSE)))</f>
        <v/>
      </c>
      <c r="Y107" s="129">
        <f t="array" ref="Y107">IF(W107="","",IFERROR(OFFSET($BZ$11,0,MATCH($W107,$CA107:$FV107,0),),""))</f>
        <v/>
      </c>
      <c r="Z107" s="134">
        <f t="array" ref="Z107">IF(W107="","",INDIRECT("'GRD-"&amp;Y107&amp;"'!$L$7"))</f>
        <v/>
      </c>
      <c r="AA107" s="85">
        <f t="array" ref="AA107">IFERROR(OFFSET($BZ$11,ROW($B107)-11,MATCH(AA$10,$CA107:$FV107,0),),"")</f>
        <v/>
      </c>
      <c r="AB107" s="85">
        <f>IF(AA107="","",IF(VLOOKUP($B107,INDIRECT("'GRD-"&amp;AC107&amp;"'!$B:$R"),16,FALSE)="","",VLOOKUP($B107,INDIRECT("'GRD-"&amp;AC107&amp;"'!$B:$R"),16,FALSE)))</f>
        <v/>
      </c>
      <c r="AC107" s="130">
        <f t="array" ref="AC107">IF(AA107="","",IFERROR(OFFSET($BZ$11,0,MATCH($AA107,$CA107:$FV107,0),),""))</f>
        <v/>
      </c>
      <c r="AD107" s="131">
        <f t="array" ref="AD107">IF(AA107="","",INDIRECT("'GRD-"&amp;AC107&amp;"'!$L$7"))</f>
        <v/>
      </c>
      <c r="AE107" s="76">
        <f t="array" ref="AE107">IFERROR(OFFSET($BZ$11,ROW($B107)-11,MATCH(AE$10,$CA107:$FV107,0),),"")</f>
        <v/>
      </c>
      <c r="AF107" s="76">
        <f>IF(AE107="","",IF(VLOOKUP($B107,INDIRECT("'GRD-"&amp;AG107&amp;"'!$B:$R"),16,FALSE)="","",VLOOKUP($B107,INDIRECT("'GRD-"&amp;AG107&amp;"'!$B:$R"),16,FALSE)))</f>
        <v/>
      </c>
      <c r="AG107" s="132">
        <f t="array" ref="AG107">IF(AE107="","",IFERROR(OFFSET($BZ$11,0,MATCH($AE107,$CA107:$FV107,0),),""))</f>
        <v/>
      </c>
      <c r="AH107" s="121">
        <f t="array" ref="AH107">IF(AE107="","",INDIRECT("'GRD-"&amp;AG107&amp;"'!$L$7"))</f>
        <v/>
      </c>
      <c r="AI107" s="83">
        <f t="array" ref="AI107">IFERROR(OFFSET($BZ$11,ROW($B107)-11,MATCH(AI$10,$CA107:$FV107,0),),"")</f>
        <v/>
      </c>
      <c r="AJ107" s="83">
        <f>IF(AI107="","",IF(VLOOKUP($B107,INDIRECT("'GRD-"&amp;AK107&amp;"'!$B:$R"),16,FALSE)="","",VLOOKUP($B107,INDIRECT("'GRD-"&amp;AK107&amp;"'!$B:$R"),16,FALSE)))</f>
        <v/>
      </c>
      <c r="AK107" s="128">
        <f t="array" ref="AK107">IF(AI107="","",IFERROR(OFFSET($BZ$11,0,MATCH($AI107,$CA107:$FV107,0),),""))</f>
        <v/>
      </c>
      <c r="AL107" s="133">
        <f t="array" ref="AL107">IF(AI107="","",INDIRECT("'GRD-"&amp;AK107&amp;"'!$L$7"))</f>
        <v/>
      </c>
      <c r="AM107" s="84">
        <f t="array" ref="AM107">IFERROR(OFFSET($BZ$11,ROW($B107)-11,MATCH(AM$10,$CA107:$FV107,0),),"")</f>
        <v/>
      </c>
      <c r="AN107" s="84">
        <f>IF(AM107="","",IF(VLOOKUP($B107,INDIRECT("'GRD-"&amp;AO107&amp;"'!$B:$R"),16,FALSE)="","",VLOOKUP($B107,INDIRECT("'GRD-"&amp;AO107&amp;"'!$B:$R"),16,FALSE)))</f>
        <v/>
      </c>
      <c r="AO107" s="129">
        <f t="array" ref="AO107">IF(AM107="","",IFERROR(OFFSET($BZ$11,0,MATCH($AM107,$CA107:$FV107,0),),""))</f>
        <v/>
      </c>
      <c r="AP107" s="134">
        <f t="array" ref="AP107">IF(AM107="","",INDIRECT("'GRD-"&amp;AO107&amp;"'!$L$7"))</f>
        <v/>
      </c>
      <c r="AQ107" s="85">
        <f t="array" ref="AQ107">IFERROR(OFFSET($BZ$11,ROW($B107)-11,MATCH(AQ$10,$CA107:$FV107,0),),"")</f>
        <v/>
      </c>
      <c r="AR107" s="85">
        <f>IF(AQ107="","",IF(VLOOKUP($B107,INDIRECT("'GRD-"&amp;AS107&amp;"'!$B:$R"),16,FALSE)="","",VLOOKUP($B107,INDIRECT("'GRD-"&amp;AS107&amp;"'!$B:$R"),16,FALSE)))</f>
        <v/>
      </c>
      <c r="AS107" s="130">
        <f t="array" ref="AS107">IF(AQ107="","",IFERROR(OFFSET($BZ$11,0,MATCH($AQ107,$CA107:$FV107,0),),""))</f>
        <v/>
      </c>
      <c r="AT107" s="131">
        <f t="array" ref="AT107">IF(AQ107="","",INDIRECT("'GRD-"&amp;AS107&amp;"'!$L$7"))</f>
        <v/>
      </c>
      <c r="AU107" s="76">
        <f t="array" ref="AU107">IFERROR(OFFSET($BZ$11,ROW($B107)-11,MATCH(AU$10,$CA107:$FV107,0),),"")</f>
        <v/>
      </c>
      <c r="AV107" s="76">
        <f>IF(AU107="","",IF(VLOOKUP($B107,INDIRECT("'GRD-"&amp;AW107&amp;"'!$B:$R"),16,FALSE)="","",VLOOKUP($B107,INDIRECT("'GRD-"&amp;AW107&amp;"'!$B:$R"),16,FALSE)))</f>
        <v/>
      </c>
      <c r="AW107" s="132">
        <f t="array" ref="AW107">IF(AU107="","",IFERROR(OFFSET($BZ$11,0,MATCH($AU107,$CA107:$FV107,0),),""))</f>
        <v/>
      </c>
      <c r="AX107" s="121">
        <f t="array" ref="AX107">IF(AU107="","",INDIRECT("'GRD-"&amp;AW107&amp;"'!$L$7"))</f>
        <v/>
      </c>
      <c r="AY107" s="83">
        <f t="array" ref="AY107">IFERROR(OFFSET($BZ$11,ROW($B107)-11,MATCH(AY$10,$CA107:$FV107,0),),"")</f>
        <v/>
      </c>
      <c r="AZ107" s="83">
        <f>IF(AY107="","",IF(VLOOKUP($B107,INDIRECT("'GRD-"&amp;BA107&amp;"'!$B:$R"),16,FALSE)="","",VLOOKUP($B107,INDIRECT("'GRD-"&amp;BA107&amp;"'!$B:$R"),16,FALSE)))</f>
        <v/>
      </c>
      <c r="BA107" s="128">
        <f t="array" ref="BA107">IF(AY107="","",IFERROR(OFFSET($BZ$11,0,MATCH($AY107,$CA107:$FV107,0),),""))</f>
        <v/>
      </c>
      <c r="BB107" s="133">
        <f t="array" ref="BB107">IF(AY107="","",INDIRECT("'GRD-"&amp;BA107&amp;"'!$L$7"))</f>
        <v/>
      </c>
      <c r="BC107" s="84">
        <f t="array" ref="BC107">IFERROR(OFFSET($BZ$11,ROW($B107)-11,MATCH(BC$10,$CA107:$FV107,0),),"")</f>
        <v/>
      </c>
      <c r="BD107" s="84">
        <f>IF(BC107="","",IF(VLOOKUP($B107,INDIRECT("'GRD-"&amp;BE107&amp;"'!$B:$R"),16,FALSE)="","",VLOOKUP($B107,INDIRECT("'GRD-"&amp;BE107&amp;"'!$B:$R"),16,FALSE)))</f>
        <v/>
      </c>
      <c r="BE107" s="129">
        <f t="array" ref="BE107">IF(BC107="","",IFERROR(OFFSET($BZ$11,0,MATCH($BC107,$CA107:$FV107,0),),""))</f>
        <v/>
      </c>
      <c r="BF107" s="134">
        <f t="array" ref="BF107">IF(BC107="","",INDIRECT("'GRD-"&amp;BE107&amp;"'!$L$7"))</f>
        <v/>
      </c>
      <c r="CA107" s="96">
        <f>IFERROR(VLOOKUP($B107,INDIRECT("'GRD-"&amp;CA$11&amp;"'!B:R"),15,FALSE),"")</f>
        <v/>
      </c>
      <c r="CB107" s="96">
        <f>IFERROR(VLOOKUP($B107,INDIRECT("'GRD-"&amp;CB$11&amp;"'!B:R"),15,FALSE),"")</f>
        <v/>
      </c>
      <c r="CC107" s="96">
        <f>IFERROR(VLOOKUP($B107,INDIRECT("'GRD-"&amp;CC$11&amp;"'!B:R"),15,FALSE),"")</f>
        <v/>
      </c>
      <c r="CD107" s="96">
        <f>IFERROR(VLOOKUP($B107,INDIRECT("'GRD-"&amp;CD$11&amp;"'!B:R"),15,FALSE),"")</f>
        <v/>
      </c>
      <c r="CE107" s="96">
        <f>IFERROR(VLOOKUP($B107,INDIRECT("'GRD-"&amp;CE$11&amp;"'!B:R"),15,FALSE),"")</f>
        <v/>
      </c>
      <c r="CF107" s="96">
        <f>IFERROR(VLOOKUP($B107,INDIRECT("'GRD-"&amp;CF$11&amp;"'!B:R"),15,FALSE),"")</f>
        <v/>
      </c>
      <c r="CG107" s="96">
        <f>IFERROR(VLOOKUP($B107,INDIRECT("'GRD-"&amp;CG$11&amp;"'!B:R"),15,FALSE),"")</f>
        <v/>
      </c>
      <c r="CH107" s="96">
        <f>IFERROR(VLOOKUP($B107,INDIRECT("'GRD-"&amp;CH$11&amp;"'!B:R"),15,FALSE),"")</f>
        <v/>
      </c>
      <c r="CI107" s="96">
        <f>IFERROR(VLOOKUP($B107,INDIRECT("'GRD-"&amp;CI$11&amp;"'!B:R"),15,FALSE),"")</f>
        <v/>
      </c>
      <c r="CJ107" s="96">
        <f>IFERROR(VLOOKUP($B107,INDIRECT("'GRD-"&amp;CJ$11&amp;"'!B:R"),15,FALSE),"")</f>
        <v/>
      </c>
      <c r="CK107" s="96">
        <f>IFERROR(VLOOKUP($B107,INDIRECT("'GRD-"&amp;CK$11&amp;"'!B:R"),15,FALSE),"")</f>
        <v/>
      </c>
      <c r="CL107" s="96">
        <f>IFERROR(VLOOKUP($B107,INDIRECT("'GRD-"&amp;CL$11&amp;"'!B:R"),15,FALSE),"")</f>
        <v/>
      </c>
      <c r="CM107" s="96">
        <f>IFERROR(VLOOKUP($B107,INDIRECT("'GRD-"&amp;CM$11&amp;"'!B:R"),15,FALSE),"")</f>
        <v/>
      </c>
      <c r="CN107" s="96">
        <f>IFERROR(VLOOKUP($B107,INDIRECT("'GRD-"&amp;CN$11&amp;"'!B:R"),15,FALSE),"")</f>
        <v/>
      </c>
      <c r="CO107" s="96">
        <f>IFERROR(VLOOKUP($B107,INDIRECT("'GRD-"&amp;CO$11&amp;"'!B:R"),15,FALSE),"")</f>
        <v/>
      </c>
      <c r="CP107" s="96">
        <f>IFERROR(VLOOKUP($B107,INDIRECT("'GRD-"&amp;CP$11&amp;"'!B:R"),15,FALSE),"")</f>
        <v/>
      </c>
      <c r="CQ107" s="96">
        <f>IFERROR(VLOOKUP($B107,INDIRECT("'GRD-"&amp;CQ$11&amp;"'!B:R"),15,FALSE),"")</f>
        <v/>
      </c>
      <c r="CR107" s="96">
        <f>IFERROR(VLOOKUP($B107,INDIRECT("'GRD-"&amp;CR$11&amp;"'!B:R"),15,FALSE),"")</f>
        <v/>
      </c>
      <c r="CS107" s="96">
        <f>IFERROR(VLOOKUP($B107,INDIRECT("'GRD-"&amp;CS$11&amp;"'!B:R"),15,FALSE),"")</f>
        <v/>
      </c>
      <c r="CT107" s="96">
        <f>IFERROR(VLOOKUP($B107,INDIRECT("'GRD-"&amp;CT$11&amp;"'!B:R"),15,FALSE),"")</f>
        <v/>
      </c>
      <c r="CU107" s="96">
        <f>IFERROR(VLOOKUP($B107,INDIRECT("'GRD-"&amp;CU$11&amp;"'!B:R"),15,FALSE),"")</f>
        <v/>
      </c>
      <c r="CV107" s="96">
        <f>IFERROR(VLOOKUP($B107,INDIRECT("'GRD-"&amp;CV$11&amp;"'!B:R"),15,FALSE),"")</f>
        <v/>
      </c>
      <c r="CW107" s="96">
        <f>IFERROR(VLOOKUP($B107,INDIRECT("'GRD-"&amp;CW$11&amp;"'!B:R"),15,FALSE),"")</f>
        <v/>
      </c>
      <c r="CX107" s="96">
        <f>IFERROR(VLOOKUP($B107,INDIRECT("'GRD-"&amp;CX$11&amp;"'!B:R"),15,FALSE),"")</f>
        <v/>
      </c>
      <c r="CY107" s="96">
        <f>IFERROR(VLOOKUP($B107,INDIRECT("'GRD-"&amp;CY$11&amp;"'!B:R"),15,FALSE),"")</f>
        <v/>
      </c>
      <c r="CZ107" s="96">
        <f>IFERROR(VLOOKUP($B107,INDIRECT("'GRD-"&amp;CZ$11&amp;"'!B:R"),15,FALSE),"")</f>
        <v/>
      </c>
      <c r="DA107" s="96">
        <f>IFERROR(VLOOKUP($B107,INDIRECT("'GRD-"&amp;DA$11&amp;"'!B:R"),15,FALSE),"")</f>
        <v/>
      </c>
      <c r="DB107" s="96">
        <f>IFERROR(VLOOKUP($B107,INDIRECT("'GRD-"&amp;DB$11&amp;"'!B:R"),15,FALSE),"")</f>
        <v/>
      </c>
      <c r="DC107" s="96">
        <f>IFERROR(VLOOKUP($B107,INDIRECT("'GRD-"&amp;DC$11&amp;"'!B:R"),15,FALSE),"")</f>
        <v/>
      </c>
      <c r="DD107" s="96">
        <f>IFERROR(VLOOKUP($B107,INDIRECT("'GRD-"&amp;DD$11&amp;"'!B:R"),15,FALSE),"")</f>
        <v/>
      </c>
      <c r="DE107" s="96">
        <f>IFERROR(VLOOKUP($B107,INDIRECT("'GRD-"&amp;DE$11&amp;"'!B:R"),15,FALSE),"")</f>
        <v/>
      </c>
      <c r="DF107" s="96">
        <f>IFERROR(VLOOKUP($B107,INDIRECT("'GRD-"&amp;DF$11&amp;"'!B:R"),15,FALSE),"")</f>
        <v/>
      </c>
      <c r="DG107" s="96">
        <f>IFERROR(VLOOKUP($B107,INDIRECT("'GRD-"&amp;DG$11&amp;"'!B:R"),15,FALSE),"")</f>
        <v/>
      </c>
      <c r="DH107" s="96">
        <f>IFERROR(VLOOKUP($B107,INDIRECT("'GRD-"&amp;DH$11&amp;"'!B:R"),15,FALSE),"")</f>
        <v/>
      </c>
      <c r="DI107" s="96">
        <f>IFERROR(VLOOKUP($B107,INDIRECT("'GRD-"&amp;DI$11&amp;"'!B:R"),15,FALSE),"")</f>
        <v/>
      </c>
      <c r="DJ107" s="96">
        <f>IFERROR(VLOOKUP($B107,INDIRECT("'GRD-"&amp;DJ$11&amp;"'!B:R"),15,FALSE),"")</f>
        <v/>
      </c>
      <c r="DK107" s="96">
        <f>IFERROR(VLOOKUP($B107,INDIRECT("'GRD-"&amp;DK$11&amp;"'!B:R"),15,FALSE),"")</f>
        <v/>
      </c>
      <c r="DL107" s="96">
        <f>IFERROR(VLOOKUP($B107,INDIRECT("'GRD-"&amp;DL$11&amp;"'!B:R"),15,FALSE),"")</f>
        <v/>
      </c>
      <c r="DM107" s="96">
        <f>IFERROR(VLOOKUP($B107,INDIRECT("'GRD-"&amp;DM$11&amp;"'!B:R"),15,FALSE),"")</f>
        <v/>
      </c>
      <c r="DN107" s="96">
        <f>IFERROR(VLOOKUP($B107,INDIRECT("'GRD-"&amp;DN$11&amp;"'!B:R"),15,FALSE),"")</f>
        <v/>
      </c>
      <c r="DO107" s="96">
        <f>IFERROR(VLOOKUP($B107,INDIRECT("'GRD-"&amp;DO$11&amp;"'!B:R"),15,FALSE),"")</f>
        <v/>
      </c>
      <c r="DP107" s="96">
        <f>IFERROR(VLOOKUP($B107,INDIRECT("'GRD-"&amp;DP$11&amp;"'!B:R"),15,FALSE),"")</f>
        <v/>
      </c>
      <c r="DQ107" s="96">
        <f>IFERROR(VLOOKUP($B107,INDIRECT("'GRD-"&amp;DQ$11&amp;"'!B:R"),15,FALSE),"")</f>
        <v/>
      </c>
      <c r="DR107" s="96">
        <f>IFERROR(VLOOKUP($B107,INDIRECT("'GRD-"&amp;DR$11&amp;"'!B:R"),15,FALSE),"")</f>
        <v/>
      </c>
      <c r="DS107" s="96">
        <f>IFERROR(VLOOKUP($B107,INDIRECT("'GRD-"&amp;DS$11&amp;"'!B:R"),15,FALSE),"")</f>
        <v/>
      </c>
      <c r="DT107" s="96">
        <f>IFERROR(VLOOKUP($B107,INDIRECT("'GRD-"&amp;DT$11&amp;"'!B:R"),15,FALSE),"")</f>
        <v/>
      </c>
      <c r="DU107" s="96">
        <f>IFERROR(VLOOKUP($B107,INDIRECT("'GRD-"&amp;DU$11&amp;"'!B:R"),15,FALSE),"")</f>
        <v/>
      </c>
      <c r="DV107" s="96">
        <f>IFERROR(VLOOKUP($B107,INDIRECT("'GRD-"&amp;DV$11&amp;"'!B:R"),15,FALSE),"")</f>
        <v/>
      </c>
      <c r="DW107" s="96">
        <f>IFERROR(VLOOKUP($B107,INDIRECT("'GRD-"&amp;DW$11&amp;"'!B:R"),15,FALSE),"")</f>
        <v/>
      </c>
      <c r="DX107" s="96">
        <f>IFERROR(VLOOKUP($B107,INDIRECT("'GRD-"&amp;DX$11&amp;"'!B:R"),15,FALSE),"")</f>
        <v/>
      </c>
      <c r="DY107" s="96">
        <f>IFERROR(VLOOKUP($B107,INDIRECT("'GRD-"&amp;DY$11&amp;"'!B:R"),15,FALSE),"")</f>
        <v/>
      </c>
      <c r="DZ107" s="96">
        <f>IFERROR(VLOOKUP($B107,INDIRECT("'GRD-"&amp;DZ$11&amp;"'!B:R"),15,FALSE),"")</f>
        <v/>
      </c>
      <c r="EA107" s="96">
        <f>IFERROR(VLOOKUP($B107,INDIRECT("'GRD-"&amp;EA$11&amp;"'!B:R"),15,FALSE),"")</f>
        <v/>
      </c>
      <c r="EB107" s="96">
        <f>IFERROR(VLOOKUP($B107,INDIRECT("'GRD-"&amp;EB$11&amp;"'!B:R"),15,FALSE),"")</f>
        <v/>
      </c>
      <c r="EC107" s="96">
        <f>IFERROR(VLOOKUP($B107,INDIRECT("'GRD-"&amp;EC$11&amp;"'!B:R"),15,FALSE),"")</f>
        <v/>
      </c>
      <c r="ED107" s="96">
        <f>IFERROR(VLOOKUP($B107,INDIRECT("'GRD-"&amp;ED$11&amp;"'!B:R"),15,FALSE),"")</f>
        <v/>
      </c>
      <c r="EE107" s="96">
        <f>IFERROR(VLOOKUP($B107,INDIRECT("'GRD-"&amp;EE$11&amp;"'!B:R"),15,FALSE),"")</f>
        <v/>
      </c>
      <c r="EF107" s="96">
        <f>IFERROR(VLOOKUP($B107,INDIRECT("'GRD-"&amp;EF$11&amp;"'!B:R"),15,FALSE),"")</f>
        <v/>
      </c>
      <c r="EG107" s="96">
        <f>IFERROR(VLOOKUP($B107,INDIRECT("'GRD-"&amp;EG$11&amp;"'!B:R"),15,FALSE),"")</f>
        <v/>
      </c>
      <c r="EH107" s="96">
        <f>IFERROR(VLOOKUP($B107,INDIRECT("'GRD-"&amp;EH$11&amp;"'!B:R"),15,FALSE),"")</f>
        <v/>
      </c>
      <c r="EI107" s="96">
        <f>IFERROR(VLOOKUP($B107,INDIRECT("'GRD-"&amp;EI$11&amp;"'!B:R"),15,FALSE),"")</f>
        <v/>
      </c>
      <c r="EJ107" s="96">
        <f>IFERROR(VLOOKUP($B107,INDIRECT("'GRD-"&amp;EJ$11&amp;"'!B:R"),15,FALSE),"")</f>
        <v/>
      </c>
      <c r="EK107" s="96">
        <f>IFERROR(VLOOKUP($B107,INDIRECT("'GRD-"&amp;EK$11&amp;"'!B:R"),15,FALSE),"")</f>
        <v/>
      </c>
      <c r="EL107" s="96">
        <f>IFERROR(VLOOKUP($B107,INDIRECT("'GRD-"&amp;EL$11&amp;"'!B:R"),15,FALSE),"")</f>
        <v/>
      </c>
      <c r="EM107" s="96">
        <f>IFERROR(VLOOKUP($B107,INDIRECT("'GRD-"&amp;EM$11&amp;"'!B:R"),15,FALSE),"")</f>
        <v/>
      </c>
      <c r="EN107" s="96">
        <f>IFERROR(VLOOKUP($B107,INDIRECT("'GRD-"&amp;EN$11&amp;"'!B:R"),15,FALSE),"")</f>
        <v/>
      </c>
      <c r="EO107" s="96">
        <f>IFERROR(VLOOKUP($B107,INDIRECT("'GRD-"&amp;EO$11&amp;"'!B:R"),15,FALSE),"")</f>
        <v/>
      </c>
      <c r="EP107" s="96">
        <f>IFERROR(VLOOKUP($B107,INDIRECT("'GRD-"&amp;EP$11&amp;"'!B:R"),15,FALSE),"")</f>
        <v/>
      </c>
      <c r="EQ107" s="96">
        <f>IFERROR(VLOOKUP($B107,INDIRECT("'GRD-"&amp;EQ$11&amp;"'!B:R"),15,FALSE),"")</f>
        <v/>
      </c>
      <c r="ER107" s="96">
        <f>IFERROR(VLOOKUP($B107,INDIRECT("'GRD-"&amp;ER$11&amp;"'!B:R"),15,FALSE),"")</f>
        <v/>
      </c>
      <c r="ES107" s="96">
        <f>IFERROR(VLOOKUP($B107,INDIRECT("'GRD-"&amp;ES$11&amp;"'!B:R"),15,FALSE),"")</f>
        <v/>
      </c>
      <c r="ET107" s="96">
        <f>IFERROR(VLOOKUP($B107,INDIRECT("'GRD-"&amp;ET$11&amp;"'!B:R"),15,FALSE),"")</f>
        <v/>
      </c>
      <c r="EU107" s="96">
        <f>IFERROR(VLOOKUP($B107,INDIRECT("'GRD-"&amp;EU$11&amp;"'!B:R"),15,FALSE),"")</f>
        <v/>
      </c>
      <c r="EV107" s="96">
        <f>IFERROR(VLOOKUP($B107,INDIRECT("'GRD-"&amp;EV$11&amp;"'!B:R"),15,FALSE),"")</f>
        <v/>
      </c>
      <c r="EW107" s="96">
        <f>IFERROR(VLOOKUP($B107,INDIRECT("'GRD-"&amp;EW$11&amp;"'!B:R"),15,FALSE),"")</f>
        <v/>
      </c>
      <c r="EX107" s="96">
        <f>IFERROR(VLOOKUP($B107,INDIRECT("'GRD-"&amp;EX$11&amp;"'!B:R"),15,FALSE),"")</f>
        <v/>
      </c>
      <c r="EY107" s="96">
        <f>IFERROR(VLOOKUP($B107,INDIRECT("'GRD-"&amp;EY$11&amp;"'!B:R"),15,FALSE),"")</f>
        <v/>
      </c>
      <c r="EZ107" s="96">
        <f>IFERROR(VLOOKUP($B107,INDIRECT("'GRD-"&amp;EZ$11&amp;"'!B:R"),15,FALSE),"")</f>
        <v/>
      </c>
      <c r="FA107" s="96">
        <f>IFERROR(VLOOKUP($B107,INDIRECT("'GRD-"&amp;FA$11&amp;"'!B:R"),15,FALSE),"")</f>
        <v/>
      </c>
      <c r="FB107" s="96">
        <f>IFERROR(VLOOKUP($B107,INDIRECT("'GRD-"&amp;FB$11&amp;"'!B:R"),15,FALSE),"")</f>
        <v/>
      </c>
      <c r="FC107" s="96">
        <f>IFERROR(VLOOKUP($B107,INDIRECT("'GRD-"&amp;FC$11&amp;"'!B:R"),15,FALSE),"")</f>
        <v/>
      </c>
      <c r="FD107" s="96">
        <f>IFERROR(VLOOKUP($B107,INDIRECT("'GRD-"&amp;FD$11&amp;"'!B:R"),15,FALSE),"")</f>
        <v/>
      </c>
      <c r="FE107" s="96">
        <f>IFERROR(VLOOKUP($B107,INDIRECT("'GRD-"&amp;FE$11&amp;"'!B:R"),15,FALSE),"")</f>
        <v/>
      </c>
      <c r="FF107" s="96">
        <f>IFERROR(VLOOKUP($B107,INDIRECT("'GRD-"&amp;FF$11&amp;"'!B:R"),15,FALSE),"")</f>
        <v/>
      </c>
      <c r="FG107" s="96">
        <f>IFERROR(VLOOKUP($B107,INDIRECT("'GRD-"&amp;FG$11&amp;"'!B:R"),15,FALSE),"")</f>
        <v/>
      </c>
      <c r="FH107" s="96">
        <f>IFERROR(VLOOKUP($B107,INDIRECT("'GRD-"&amp;FH$11&amp;"'!B:R"),15,FALSE),"")</f>
        <v/>
      </c>
      <c r="FI107" s="96">
        <f>IFERROR(VLOOKUP($B107,INDIRECT("'GRD-"&amp;FI$11&amp;"'!B:R"),15,FALSE),"")</f>
        <v/>
      </c>
      <c r="FJ107" s="96">
        <f>IFERROR(VLOOKUP($B107,INDIRECT("'GRD-"&amp;FJ$11&amp;"'!B:R"),15,FALSE),"")</f>
        <v/>
      </c>
      <c r="FK107" s="96">
        <f>IFERROR(VLOOKUP($B107,INDIRECT("'GRD-"&amp;FK$11&amp;"'!B:R"),15,FALSE),"")</f>
        <v/>
      </c>
      <c r="FL107" s="96">
        <f>IFERROR(VLOOKUP($B107,INDIRECT("'GRD-"&amp;FL$11&amp;"'!B:R"),15,FALSE),"")</f>
        <v/>
      </c>
      <c r="FM107" s="96">
        <f>IFERROR(VLOOKUP($B107,INDIRECT("'GRD-"&amp;FM$11&amp;"'!B:R"),15,FALSE),"")</f>
        <v/>
      </c>
      <c r="FN107" s="96">
        <f>IFERROR(VLOOKUP($B107,INDIRECT("'GRD-"&amp;FN$11&amp;"'!B:R"),15,FALSE),"")</f>
        <v/>
      </c>
      <c r="FO107" s="96">
        <f>IFERROR(VLOOKUP($B107,INDIRECT("'GRD-"&amp;FO$11&amp;"'!B:R"),15,FALSE),"")</f>
        <v/>
      </c>
      <c r="FP107" s="96">
        <f>IFERROR(VLOOKUP($B107,INDIRECT("'GRD-"&amp;FP$11&amp;"'!B:R"),15,FALSE),"")</f>
        <v/>
      </c>
      <c r="FQ107" s="96">
        <f>IFERROR(VLOOKUP($B107,INDIRECT("'GRD-"&amp;FQ$11&amp;"'!B:R"),15,FALSE),"")</f>
        <v/>
      </c>
      <c r="FR107" s="96">
        <f>IFERROR(VLOOKUP($B107,INDIRECT("'GRD-"&amp;FR$11&amp;"'!B:R"),15,FALSE),"")</f>
        <v/>
      </c>
      <c r="FS107" s="96">
        <f>IFERROR(VLOOKUP($B107,INDIRECT("'GRD-"&amp;FS$11&amp;"'!B:R"),15,FALSE),"")</f>
        <v/>
      </c>
      <c r="FT107" s="96">
        <f>IFERROR(VLOOKUP($B107,INDIRECT("'GRD-"&amp;FT$11&amp;"'!B:R"),15,FALSE),"")</f>
        <v/>
      </c>
      <c r="FU107" s="96">
        <f>IFERROR(VLOOKUP($B107,INDIRECT("'GRD-"&amp;FU$11&amp;"'!B:R"),15,FALSE),"")</f>
        <v/>
      </c>
      <c r="FV107" s="96">
        <f>IFERROR(VLOOKUP($B107,INDIRECT("'GRD-"&amp;FV$11&amp;"'!B:R"),15,FALSE),"")</f>
        <v/>
      </c>
    </row>
    <row r="108">
      <c r="B108" s="85" t="n"/>
      <c r="C108" s="93" t="n"/>
      <c r="D108" s="73">
        <f>IF(K108="","",MAX($CA108:$FV108))</f>
        <v/>
      </c>
      <c r="E108" s="74">
        <f t="array" ref="E108">IF($K108="","",OFFSET($A$1,ROW($B108)-1,11+$D108*4,))</f>
        <v/>
      </c>
      <c r="F108" s="74">
        <f t="array" ref="F108">IF($K108="","",OFFSET($A$1,ROW($B108)-1,12+$D108*4,))</f>
        <v/>
      </c>
      <c r="G108" s="118">
        <f t="array" ref="G108">IF($K108="","",OFFSET($A$1,ROW($B108)-1,13+$D108*4,))</f>
        <v/>
      </c>
      <c r="H108" s="81" t="n"/>
      <c r="I108" s="82" t="n"/>
      <c r="J108" s="75">
        <f>IF(I108="A4",H108/8,IF(I108="A3",H108/4,IF(I108="A2",H108/2,IF(I108="A1",H108/1,IF(I108="A0",H108*2,"")))))</f>
        <v/>
      </c>
      <c r="K108" s="68">
        <f t="array" ref="K108">IFERROR(OFFSET($BZ$11,ROW($B108)-11,MATCH(K$10,$CA108:$FV108,0),),"")</f>
        <v/>
      </c>
      <c r="L108" s="85">
        <f>IF(K108="","",IF(VLOOKUP($B108,INDIRECT("'GRD-"&amp;M108&amp;"'!$B:$R"),16,FALSE)="","",VLOOKUP($B108,INDIRECT("'GRD-"&amp;M108&amp;"'!$B:$R"),16,FALSE)))</f>
        <v/>
      </c>
      <c r="M108" s="130">
        <f t="array" ref="M108">IF(K108="","",IFERROR(OFFSET($BZ$11,0,MATCH($K108,$CA108:$FV108,0),),""))</f>
        <v/>
      </c>
      <c r="N108" s="119">
        <f t="array" ref="N108">IF(K108="","",INDIRECT("'GRD-"&amp;M108&amp;"'!$L$7"))</f>
        <v/>
      </c>
      <c r="O108" s="76">
        <f t="array" ref="O108">IFERROR(OFFSET($BZ$11,ROW($B108)-11,MATCH(O$10,$CA108:$FV108,0),),"")</f>
        <v/>
      </c>
      <c r="P108" s="76">
        <f>IF(O108="","",IF(VLOOKUP($B108,INDIRECT("'GRD-"&amp;Q108&amp;"'!$B:$R"),16,FALSE)="","",VLOOKUP($B108,INDIRECT("'GRD-"&amp;Q108&amp;"'!$B:$R"),16,FALSE)))</f>
        <v/>
      </c>
      <c r="Q108" s="132">
        <f t="array" ref="Q108">IF(O108="","",IFERROR(OFFSET($BZ$11,0,MATCH($O108,$CA108:$FV108,0),),""))</f>
        <v/>
      </c>
      <c r="R108" s="121">
        <f t="array" ref="R108">IF(O108="","",INDIRECT("'GRD-"&amp;Q108&amp;"'!$L$7"))</f>
        <v/>
      </c>
      <c r="S108" s="83">
        <f t="array" ref="S108">IFERROR(OFFSET($BZ$11,ROW($B108)-11,MATCH(S$10,$CA108:$FV108,0),),"")</f>
        <v/>
      </c>
      <c r="T108" s="83">
        <f>IF(S108="","",IF(VLOOKUP($B108,INDIRECT("'GRD-"&amp;U108&amp;"'!$B:$R"),16,FALSE)="","",VLOOKUP($B108,INDIRECT("'GRD-"&amp;U108&amp;"'!$B:$R"),16,FALSE)))</f>
        <v/>
      </c>
      <c r="U108" s="128">
        <f t="array" ref="U108">IF(S108="","",IFERROR(OFFSET($BZ$11,0,MATCH($S108,$CA108:$FV108,0),),""))</f>
        <v/>
      </c>
      <c r="V108" s="133">
        <f t="array" ref="V108">IF(S108="","",INDIRECT("'GRD-"&amp;U108&amp;"'!$L$7"))</f>
        <v/>
      </c>
      <c r="W108" s="84">
        <f t="array" ref="W108">IFERROR(OFFSET($BZ$11,ROW($B108)-11,MATCH(W$10,$CA108:$FV108,0),),"")</f>
        <v/>
      </c>
      <c r="X108" s="84">
        <f>IF(W108="","",IF(VLOOKUP($B108,INDIRECT("'GRD-"&amp;Y108&amp;"'!$B:$R"),16,FALSE)="","",VLOOKUP($B108,INDIRECT("'GRD-"&amp;Y108&amp;"'!$B:$R"),16,FALSE)))</f>
        <v/>
      </c>
      <c r="Y108" s="129">
        <f t="array" ref="Y108">IF(W108="","",IFERROR(OFFSET($BZ$11,0,MATCH($W108,$CA108:$FV108,0),),""))</f>
        <v/>
      </c>
      <c r="Z108" s="134">
        <f t="array" ref="Z108">IF(W108="","",INDIRECT("'GRD-"&amp;Y108&amp;"'!$L$7"))</f>
        <v/>
      </c>
      <c r="AA108" s="85">
        <f t="array" ref="AA108">IFERROR(OFFSET($BZ$11,ROW($B108)-11,MATCH(AA$10,$CA108:$FV108,0),),"")</f>
        <v/>
      </c>
      <c r="AB108" s="85">
        <f>IF(AA108="","",IF(VLOOKUP($B108,INDIRECT("'GRD-"&amp;AC108&amp;"'!$B:$R"),16,FALSE)="","",VLOOKUP($B108,INDIRECT("'GRD-"&amp;AC108&amp;"'!$B:$R"),16,FALSE)))</f>
        <v/>
      </c>
      <c r="AC108" s="130">
        <f t="array" ref="AC108">IF(AA108="","",IFERROR(OFFSET($BZ$11,0,MATCH($AA108,$CA108:$FV108,0),),""))</f>
        <v/>
      </c>
      <c r="AD108" s="131">
        <f t="array" ref="AD108">IF(AA108="","",INDIRECT("'GRD-"&amp;AC108&amp;"'!$L$7"))</f>
        <v/>
      </c>
      <c r="AE108" s="76">
        <f t="array" ref="AE108">IFERROR(OFFSET($BZ$11,ROW($B108)-11,MATCH(AE$10,$CA108:$FV108,0),),"")</f>
        <v/>
      </c>
      <c r="AF108" s="76">
        <f>IF(AE108="","",IF(VLOOKUP($B108,INDIRECT("'GRD-"&amp;AG108&amp;"'!$B:$R"),16,FALSE)="","",VLOOKUP($B108,INDIRECT("'GRD-"&amp;AG108&amp;"'!$B:$R"),16,FALSE)))</f>
        <v/>
      </c>
      <c r="AG108" s="132">
        <f t="array" ref="AG108">IF(AE108="","",IFERROR(OFFSET($BZ$11,0,MATCH($AE108,$CA108:$FV108,0),),""))</f>
        <v/>
      </c>
      <c r="AH108" s="121">
        <f t="array" ref="AH108">IF(AE108="","",INDIRECT("'GRD-"&amp;AG108&amp;"'!$L$7"))</f>
        <v/>
      </c>
      <c r="AI108" s="83">
        <f t="array" ref="AI108">IFERROR(OFFSET($BZ$11,ROW($B108)-11,MATCH(AI$10,$CA108:$FV108,0),),"")</f>
        <v/>
      </c>
      <c r="AJ108" s="83">
        <f>IF(AI108="","",IF(VLOOKUP($B108,INDIRECT("'GRD-"&amp;AK108&amp;"'!$B:$R"),16,FALSE)="","",VLOOKUP($B108,INDIRECT("'GRD-"&amp;AK108&amp;"'!$B:$R"),16,FALSE)))</f>
        <v/>
      </c>
      <c r="AK108" s="128">
        <f t="array" ref="AK108">IF(AI108="","",IFERROR(OFFSET($BZ$11,0,MATCH($AI108,$CA108:$FV108,0),),""))</f>
        <v/>
      </c>
      <c r="AL108" s="133">
        <f t="array" ref="AL108">IF(AI108="","",INDIRECT("'GRD-"&amp;AK108&amp;"'!$L$7"))</f>
        <v/>
      </c>
      <c r="AM108" s="84">
        <f t="array" ref="AM108">IFERROR(OFFSET($BZ$11,ROW($B108)-11,MATCH(AM$10,$CA108:$FV108,0),),"")</f>
        <v/>
      </c>
      <c r="AN108" s="84">
        <f>IF(AM108="","",IF(VLOOKUP($B108,INDIRECT("'GRD-"&amp;AO108&amp;"'!$B:$R"),16,FALSE)="","",VLOOKUP($B108,INDIRECT("'GRD-"&amp;AO108&amp;"'!$B:$R"),16,FALSE)))</f>
        <v/>
      </c>
      <c r="AO108" s="129">
        <f t="array" ref="AO108">IF(AM108="","",IFERROR(OFFSET($BZ$11,0,MATCH($AM108,$CA108:$FV108,0),),""))</f>
        <v/>
      </c>
      <c r="AP108" s="134">
        <f t="array" ref="AP108">IF(AM108="","",INDIRECT("'GRD-"&amp;AO108&amp;"'!$L$7"))</f>
        <v/>
      </c>
      <c r="AQ108" s="85">
        <f t="array" ref="AQ108">IFERROR(OFFSET($BZ$11,ROW($B108)-11,MATCH(AQ$10,$CA108:$FV108,0),),"")</f>
        <v/>
      </c>
      <c r="AR108" s="85">
        <f>IF(AQ108="","",IF(VLOOKUP($B108,INDIRECT("'GRD-"&amp;AS108&amp;"'!$B:$R"),16,FALSE)="","",VLOOKUP($B108,INDIRECT("'GRD-"&amp;AS108&amp;"'!$B:$R"),16,FALSE)))</f>
        <v/>
      </c>
      <c r="AS108" s="130">
        <f t="array" ref="AS108">IF(AQ108="","",IFERROR(OFFSET($BZ$11,0,MATCH($AQ108,$CA108:$FV108,0),),""))</f>
        <v/>
      </c>
      <c r="AT108" s="131">
        <f t="array" ref="AT108">IF(AQ108="","",INDIRECT("'GRD-"&amp;AS108&amp;"'!$L$7"))</f>
        <v/>
      </c>
      <c r="AU108" s="76">
        <f t="array" ref="AU108">IFERROR(OFFSET($BZ$11,ROW($B108)-11,MATCH(AU$10,$CA108:$FV108,0),),"")</f>
        <v/>
      </c>
      <c r="AV108" s="76">
        <f>IF(AU108="","",IF(VLOOKUP($B108,INDIRECT("'GRD-"&amp;AW108&amp;"'!$B:$R"),16,FALSE)="","",VLOOKUP($B108,INDIRECT("'GRD-"&amp;AW108&amp;"'!$B:$R"),16,FALSE)))</f>
        <v/>
      </c>
      <c r="AW108" s="132">
        <f t="array" ref="AW108">IF(AU108="","",IFERROR(OFFSET($BZ$11,0,MATCH($AU108,$CA108:$FV108,0),),""))</f>
        <v/>
      </c>
      <c r="AX108" s="121">
        <f t="array" ref="AX108">IF(AU108="","",INDIRECT("'GRD-"&amp;AW108&amp;"'!$L$7"))</f>
        <v/>
      </c>
      <c r="AY108" s="83">
        <f t="array" ref="AY108">IFERROR(OFFSET($BZ$11,ROW($B108)-11,MATCH(AY$10,$CA108:$FV108,0),),"")</f>
        <v/>
      </c>
      <c r="AZ108" s="83">
        <f>IF(AY108="","",IF(VLOOKUP($B108,INDIRECT("'GRD-"&amp;BA108&amp;"'!$B:$R"),16,FALSE)="","",VLOOKUP($B108,INDIRECT("'GRD-"&amp;BA108&amp;"'!$B:$R"),16,FALSE)))</f>
        <v/>
      </c>
      <c r="BA108" s="128">
        <f t="array" ref="BA108">IF(AY108="","",IFERROR(OFFSET($BZ$11,0,MATCH($AY108,$CA108:$FV108,0),),""))</f>
        <v/>
      </c>
      <c r="BB108" s="133">
        <f t="array" ref="BB108">IF(AY108="","",INDIRECT("'GRD-"&amp;BA108&amp;"'!$L$7"))</f>
        <v/>
      </c>
      <c r="BC108" s="84">
        <f t="array" ref="BC108">IFERROR(OFFSET($BZ$11,ROW($B108)-11,MATCH(BC$10,$CA108:$FV108,0),),"")</f>
        <v/>
      </c>
      <c r="BD108" s="84">
        <f>IF(BC108="","",IF(VLOOKUP($B108,INDIRECT("'GRD-"&amp;BE108&amp;"'!$B:$R"),16,FALSE)="","",VLOOKUP($B108,INDIRECT("'GRD-"&amp;BE108&amp;"'!$B:$R"),16,FALSE)))</f>
        <v/>
      </c>
      <c r="BE108" s="129">
        <f t="array" ref="BE108">IF(BC108="","",IFERROR(OFFSET($BZ$11,0,MATCH($BC108,$CA108:$FV108,0),),""))</f>
        <v/>
      </c>
      <c r="BF108" s="134">
        <f t="array" ref="BF108">IF(BC108="","",INDIRECT("'GRD-"&amp;BE108&amp;"'!$L$7"))</f>
        <v/>
      </c>
      <c r="CA108" s="96">
        <f>IFERROR(VLOOKUP($B108,INDIRECT("'GRD-"&amp;CA$11&amp;"'!B:R"),15,FALSE),"")</f>
        <v/>
      </c>
      <c r="CB108" s="96">
        <f>IFERROR(VLOOKUP($B108,INDIRECT("'GRD-"&amp;CB$11&amp;"'!B:R"),15,FALSE),"")</f>
        <v/>
      </c>
      <c r="CC108" s="96">
        <f>IFERROR(VLOOKUP($B108,INDIRECT("'GRD-"&amp;CC$11&amp;"'!B:R"),15,FALSE),"")</f>
        <v/>
      </c>
      <c r="CD108" s="96">
        <f>IFERROR(VLOOKUP($B108,INDIRECT("'GRD-"&amp;CD$11&amp;"'!B:R"),15,FALSE),"")</f>
        <v/>
      </c>
      <c r="CE108" s="96">
        <f>IFERROR(VLOOKUP($B108,INDIRECT("'GRD-"&amp;CE$11&amp;"'!B:R"),15,FALSE),"")</f>
        <v/>
      </c>
      <c r="CF108" s="96">
        <f>IFERROR(VLOOKUP($B108,INDIRECT("'GRD-"&amp;CF$11&amp;"'!B:R"),15,FALSE),"")</f>
        <v/>
      </c>
      <c r="CG108" s="96">
        <f>IFERROR(VLOOKUP($B108,INDIRECT("'GRD-"&amp;CG$11&amp;"'!B:R"),15,FALSE),"")</f>
        <v/>
      </c>
      <c r="CH108" s="96">
        <f>IFERROR(VLOOKUP($B108,INDIRECT("'GRD-"&amp;CH$11&amp;"'!B:R"),15,FALSE),"")</f>
        <v/>
      </c>
      <c r="CI108" s="96">
        <f>IFERROR(VLOOKUP($B108,INDIRECT("'GRD-"&amp;CI$11&amp;"'!B:R"),15,FALSE),"")</f>
        <v/>
      </c>
      <c r="CJ108" s="96">
        <f>IFERROR(VLOOKUP($B108,INDIRECT("'GRD-"&amp;CJ$11&amp;"'!B:R"),15,FALSE),"")</f>
        <v/>
      </c>
      <c r="CK108" s="96">
        <f>IFERROR(VLOOKUP($B108,INDIRECT("'GRD-"&amp;CK$11&amp;"'!B:R"),15,FALSE),"")</f>
        <v/>
      </c>
      <c r="CL108" s="96">
        <f>IFERROR(VLOOKUP($B108,INDIRECT("'GRD-"&amp;CL$11&amp;"'!B:R"),15,FALSE),"")</f>
        <v/>
      </c>
      <c r="CM108" s="96">
        <f>IFERROR(VLOOKUP($B108,INDIRECT("'GRD-"&amp;CM$11&amp;"'!B:R"),15,FALSE),"")</f>
        <v/>
      </c>
      <c r="CN108" s="96">
        <f>IFERROR(VLOOKUP($B108,INDIRECT("'GRD-"&amp;CN$11&amp;"'!B:R"),15,FALSE),"")</f>
        <v/>
      </c>
      <c r="CO108" s="96">
        <f>IFERROR(VLOOKUP($B108,INDIRECT("'GRD-"&amp;CO$11&amp;"'!B:R"),15,FALSE),"")</f>
        <v/>
      </c>
      <c r="CP108" s="96">
        <f>IFERROR(VLOOKUP($B108,INDIRECT("'GRD-"&amp;CP$11&amp;"'!B:R"),15,FALSE),"")</f>
        <v/>
      </c>
      <c r="CQ108" s="96">
        <f>IFERROR(VLOOKUP($B108,INDIRECT("'GRD-"&amp;CQ$11&amp;"'!B:R"),15,FALSE),"")</f>
        <v/>
      </c>
      <c r="CR108" s="96">
        <f>IFERROR(VLOOKUP($B108,INDIRECT("'GRD-"&amp;CR$11&amp;"'!B:R"),15,FALSE),"")</f>
        <v/>
      </c>
      <c r="CS108" s="96">
        <f>IFERROR(VLOOKUP($B108,INDIRECT("'GRD-"&amp;CS$11&amp;"'!B:R"),15,FALSE),"")</f>
        <v/>
      </c>
      <c r="CT108" s="96">
        <f>IFERROR(VLOOKUP($B108,INDIRECT("'GRD-"&amp;CT$11&amp;"'!B:R"),15,FALSE),"")</f>
        <v/>
      </c>
      <c r="CU108" s="96">
        <f>IFERROR(VLOOKUP($B108,INDIRECT("'GRD-"&amp;CU$11&amp;"'!B:R"),15,FALSE),"")</f>
        <v/>
      </c>
      <c r="CV108" s="96">
        <f>IFERROR(VLOOKUP($B108,INDIRECT("'GRD-"&amp;CV$11&amp;"'!B:R"),15,FALSE),"")</f>
        <v/>
      </c>
      <c r="CW108" s="96">
        <f>IFERROR(VLOOKUP($B108,INDIRECT("'GRD-"&amp;CW$11&amp;"'!B:R"),15,FALSE),"")</f>
        <v/>
      </c>
      <c r="CX108" s="96">
        <f>IFERROR(VLOOKUP($B108,INDIRECT("'GRD-"&amp;CX$11&amp;"'!B:R"),15,FALSE),"")</f>
        <v/>
      </c>
      <c r="CY108" s="96">
        <f>IFERROR(VLOOKUP($B108,INDIRECT("'GRD-"&amp;CY$11&amp;"'!B:R"),15,FALSE),"")</f>
        <v/>
      </c>
      <c r="CZ108" s="96">
        <f>IFERROR(VLOOKUP($B108,INDIRECT("'GRD-"&amp;CZ$11&amp;"'!B:R"),15,FALSE),"")</f>
        <v/>
      </c>
      <c r="DA108" s="96">
        <f>IFERROR(VLOOKUP($B108,INDIRECT("'GRD-"&amp;DA$11&amp;"'!B:R"),15,FALSE),"")</f>
        <v/>
      </c>
      <c r="DB108" s="96">
        <f>IFERROR(VLOOKUP($B108,INDIRECT("'GRD-"&amp;DB$11&amp;"'!B:R"),15,FALSE),"")</f>
        <v/>
      </c>
      <c r="DC108" s="96">
        <f>IFERROR(VLOOKUP($B108,INDIRECT("'GRD-"&amp;DC$11&amp;"'!B:R"),15,FALSE),"")</f>
        <v/>
      </c>
      <c r="DD108" s="96">
        <f>IFERROR(VLOOKUP($B108,INDIRECT("'GRD-"&amp;DD$11&amp;"'!B:R"),15,FALSE),"")</f>
        <v/>
      </c>
      <c r="DE108" s="96">
        <f>IFERROR(VLOOKUP($B108,INDIRECT("'GRD-"&amp;DE$11&amp;"'!B:R"),15,FALSE),"")</f>
        <v/>
      </c>
      <c r="DF108" s="96">
        <f>IFERROR(VLOOKUP($B108,INDIRECT("'GRD-"&amp;DF$11&amp;"'!B:R"),15,FALSE),"")</f>
        <v/>
      </c>
      <c r="DG108" s="96">
        <f>IFERROR(VLOOKUP($B108,INDIRECT("'GRD-"&amp;DG$11&amp;"'!B:R"),15,FALSE),"")</f>
        <v/>
      </c>
      <c r="DH108" s="96">
        <f>IFERROR(VLOOKUP($B108,INDIRECT("'GRD-"&amp;DH$11&amp;"'!B:R"),15,FALSE),"")</f>
        <v/>
      </c>
      <c r="DI108" s="96">
        <f>IFERROR(VLOOKUP($B108,INDIRECT("'GRD-"&amp;DI$11&amp;"'!B:R"),15,FALSE),"")</f>
        <v/>
      </c>
      <c r="DJ108" s="96">
        <f>IFERROR(VLOOKUP($B108,INDIRECT("'GRD-"&amp;DJ$11&amp;"'!B:R"),15,FALSE),"")</f>
        <v/>
      </c>
      <c r="DK108" s="96">
        <f>IFERROR(VLOOKUP($B108,INDIRECT("'GRD-"&amp;DK$11&amp;"'!B:R"),15,FALSE),"")</f>
        <v/>
      </c>
      <c r="DL108" s="96">
        <f>IFERROR(VLOOKUP($B108,INDIRECT("'GRD-"&amp;DL$11&amp;"'!B:R"),15,FALSE),"")</f>
        <v/>
      </c>
      <c r="DM108" s="96">
        <f>IFERROR(VLOOKUP($B108,INDIRECT("'GRD-"&amp;DM$11&amp;"'!B:R"),15,FALSE),"")</f>
        <v/>
      </c>
      <c r="DN108" s="96">
        <f>IFERROR(VLOOKUP($B108,INDIRECT("'GRD-"&amp;DN$11&amp;"'!B:R"),15,FALSE),"")</f>
        <v/>
      </c>
      <c r="DO108" s="96">
        <f>IFERROR(VLOOKUP($B108,INDIRECT("'GRD-"&amp;DO$11&amp;"'!B:R"),15,FALSE),"")</f>
        <v/>
      </c>
      <c r="DP108" s="96">
        <f>IFERROR(VLOOKUP($B108,INDIRECT("'GRD-"&amp;DP$11&amp;"'!B:R"),15,FALSE),"")</f>
        <v/>
      </c>
      <c r="DQ108" s="96">
        <f>IFERROR(VLOOKUP($B108,INDIRECT("'GRD-"&amp;DQ$11&amp;"'!B:R"),15,FALSE),"")</f>
        <v/>
      </c>
      <c r="DR108" s="96">
        <f>IFERROR(VLOOKUP($B108,INDIRECT("'GRD-"&amp;DR$11&amp;"'!B:R"),15,FALSE),"")</f>
        <v/>
      </c>
      <c r="DS108" s="96">
        <f>IFERROR(VLOOKUP($B108,INDIRECT("'GRD-"&amp;DS$11&amp;"'!B:R"),15,FALSE),"")</f>
        <v/>
      </c>
      <c r="DT108" s="96">
        <f>IFERROR(VLOOKUP($B108,INDIRECT("'GRD-"&amp;DT$11&amp;"'!B:R"),15,FALSE),"")</f>
        <v/>
      </c>
      <c r="DU108" s="96">
        <f>IFERROR(VLOOKUP($B108,INDIRECT("'GRD-"&amp;DU$11&amp;"'!B:R"),15,FALSE),"")</f>
        <v/>
      </c>
      <c r="DV108" s="96">
        <f>IFERROR(VLOOKUP($B108,INDIRECT("'GRD-"&amp;DV$11&amp;"'!B:R"),15,FALSE),"")</f>
        <v/>
      </c>
      <c r="DW108" s="96">
        <f>IFERROR(VLOOKUP($B108,INDIRECT("'GRD-"&amp;DW$11&amp;"'!B:R"),15,FALSE),"")</f>
        <v/>
      </c>
      <c r="DX108" s="96">
        <f>IFERROR(VLOOKUP($B108,INDIRECT("'GRD-"&amp;DX$11&amp;"'!B:R"),15,FALSE),"")</f>
        <v/>
      </c>
      <c r="DY108" s="96">
        <f>IFERROR(VLOOKUP($B108,INDIRECT("'GRD-"&amp;DY$11&amp;"'!B:R"),15,FALSE),"")</f>
        <v/>
      </c>
      <c r="DZ108" s="96">
        <f>IFERROR(VLOOKUP($B108,INDIRECT("'GRD-"&amp;DZ$11&amp;"'!B:R"),15,FALSE),"")</f>
        <v/>
      </c>
      <c r="EA108" s="96">
        <f>IFERROR(VLOOKUP($B108,INDIRECT("'GRD-"&amp;EA$11&amp;"'!B:R"),15,FALSE),"")</f>
        <v/>
      </c>
      <c r="EB108" s="96">
        <f>IFERROR(VLOOKUP($B108,INDIRECT("'GRD-"&amp;EB$11&amp;"'!B:R"),15,FALSE),"")</f>
        <v/>
      </c>
      <c r="EC108" s="96">
        <f>IFERROR(VLOOKUP($B108,INDIRECT("'GRD-"&amp;EC$11&amp;"'!B:R"),15,FALSE),"")</f>
        <v/>
      </c>
      <c r="ED108" s="96">
        <f>IFERROR(VLOOKUP($B108,INDIRECT("'GRD-"&amp;ED$11&amp;"'!B:R"),15,FALSE),"")</f>
        <v/>
      </c>
      <c r="EE108" s="96">
        <f>IFERROR(VLOOKUP($B108,INDIRECT("'GRD-"&amp;EE$11&amp;"'!B:R"),15,FALSE),"")</f>
        <v/>
      </c>
      <c r="EF108" s="96">
        <f>IFERROR(VLOOKUP($B108,INDIRECT("'GRD-"&amp;EF$11&amp;"'!B:R"),15,FALSE),"")</f>
        <v/>
      </c>
      <c r="EG108" s="96">
        <f>IFERROR(VLOOKUP($B108,INDIRECT("'GRD-"&amp;EG$11&amp;"'!B:R"),15,FALSE),"")</f>
        <v/>
      </c>
      <c r="EH108" s="96">
        <f>IFERROR(VLOOKUP($B108,INDIRECT("'GRD-"&amp;EH$11&amp;"'!B:R"),15,FALSE),"")</f>
        <v/>
      </c>
      <c r="EI108" s="96">
        <f>IFERROR(VLOOKUP($B108,INDIRECT("'GRD-"&amp;EI$11&amp;"'!B:R"),15,FALSE),"")</f>
        <v/>
      </c>
      <c r="EJ108" s="96">
        <f>IFERROR(VLOOKUP($B108,INDIRECT("'GRD-"&amp;EJ$11&amp;"'!B:R"),15,FALSE),"")</f>
        <v/>
      </c>
      <c r="EK108" s="96">
        <f>IFERROR(VLOOKUP($B108,INDIRECT("'GRD-"&amp;EK$11&amp;"'!B:R"),15,FALSE),"")</f>
        <v/>
      </c>
      <c r="EL108" s="96">
        <f>IFERROR(VLOOKUP($B108,INDIRECT("'GRD-"&amp;EL$11&amp;"'!B:R"),15,FALSE),"")</f>
        <v/>
      </c>
      <c r="EM108" s="96">
        <f>IFERROR(VLOOKUP($B108,INDIRECT("'GRD-"&amp;EM$11&amp;"'!B:R"),15,FALSE),"")</f>
        <v/>
      </c>
      <c r="EN108" s="96">
        <f>IFERROR(VLOOKUP($B108,INDIRECT("'GRD-"&amp;EN$11&amp;"'!B:R"),15,FALSE),"")</f>
        <v/>
      </c>
      <c r="EO108" s="96">
        <f>IFERROR(VLOOKUP($B108,INDIRECT("'GRD-"&amp;EO$11&amp;"'!B:R"),15,FALSE),"")</f>
        <v/>
      </c>
      <c r="EP108" s="96">
        <f>IFERROR(VLOOKUP($B108,INDIRECT("'GRD-"&amp;EP$11&amp;"'!B:R"),15,FALSE),"")</f>
        <v/>
      </c>
      <c r="EQ108" s="96">
        <f>IFERROR(VLOOKUP($B108,INDIRECT("'GRD-"&amp;EQ$11&amp;"'!B:R"),15,FALSE),"")</f>
        <v/>
      </c>
      <c r="ER108" s="96">
        <f>IFERROR(VLOOKUP($B108,INDIRECT("'GRD-"&amp;ER$11&amp;"'!B:R"),15,FALSE),"")</f>
        <v/>
      </c>
      <c r="ES108" s="96">
        <f>IFERROR(VLOOKUP($B108,INDIRECT("'GRD-"&amp;ES$11&amp;"'!B:R"),15,FALSE),"")</f>
        <v/>
      </c>
      <c r="ET108" s="96">
        <f>IFERROR(VLOOKUP($B108,INDIRECT("'GRD-"&amp;ET$11&amp;"'!B:R"),15,FALSE),"")</f>
        <v/>
      </c>
      <c r="EU108" s="96">
        <f>IFERROR(VLOOKUP($B108,INDIRECT("'GRD-"&amp;EU$11&amp;"'!B:R"),15,FALSE),"")</f>
        <v/>
      </c>
      <c r="EV108" s="96">
        <f>IFERROR(VLOOKUP($B108,INDIRECT("'GRD-"&amp;EV$11&amp;"'!B:R"),15,FALSE),"")</f>
        <v/>
      </c>
      <c r="EW108" s="96">
        <f>IFERROR(VLOOKUP($B108,INDIRECT("'GRD-"&amp;EW$11&amp;"'!B:R"),15,FALSE),"")</f>
        <v/>
      </c>
      <c r="EX108" s="96">
        <f>IFERROR(VLOOKUP($B108,INDIRECT("'GRD-"&amp;EX$11&amp;"'!B:R"),15,FALSE),"")</f>
        <v/>
      </c>
      <c r="EY108" s="96">
        <f>IFERROR(VLOOKUP($B108,INDIRECT("'GRD-"&amp;EY$11&amp;"'!B:R"),15,FALSE),"")</f>
        <v/>
      </c>
      <c r="EZ108" s="96">
        <f>IFERROR(VLOOKUP($B108,INDIRECT("'GRD-"&amp;EZ$11&amp;"'!B:R"),15,FALSE),"")</f>
        <v/>
      </c>
      <c r="FA108" s="96">
        <f>IFERROR(VLOOKUP($B108,INDIRECT("'GRD-"&amp;FA$11&amp;"'!B:R"),15,FALSE),"")</f>
        <v/>
      </c>
      <c r="FB108" s="96">
        <f>IFERROR(VLOOKUP($B108,INDIRECT("'GRD-"&amp;FB$11&amp;"'!B:R"),15,FALSE),"")</f>
        <v/>
      </c>
      <c r="FC108" s="96">
        <f>IFERROR(VLOOKUP($B108,INDIRECT("'GRD-"&amp;FC$11&amp;"'!B:R"),15,FALSE),"")</f>
        <v/>
      </c>
      <c r="FD108" s="96">
        <f>IFERROR(VLOOKUP($B108,INDIRECT("'GRD-"&amp;FD$11&amp;"'!B:R"),15,FALSE),"")</f>
        <v/>
      </c>
      <c r="FE108" s="96">
        <f>IFERROR(VLOOKUP($B108,INDIRECT("'GRD-"&amp;FE$11&amp;"'!B:R"),15,FALSE),"")</f>
        <v/>
      </c>
      <c r="FF108" s="96">
        <f>IFERROR(VLOOKUP($B108,INDIRECT("'GRD-"&amp;FF$11&amp;"'!B:R"),15,FALSE),"")</f>
        <v/>
      </c>
      <c r="FG108" s="96">
        <f>IFERROR(VLOOKUP($B108,INDIRECT("'GRD-"&amp;FG$11&amp;"'!B:R"),15,FALSE),"")</f>
        <v/>
      </c>
      <c r="FH108" s="96">
        <f>IFERROR(VLOOKUP($B108,INDIRECT("'GRD-"&amp;FH$11&amp;"'!B:R"),15,FALSE),"")</f>
        <v/>
      </c>
      <c r="FI108" s="96">
        <f>IFERROR(VLOOKUP($B108,INDIRECT("'GRD-"&amp;FI$11&amp;"'!B:R"),15,FALSE),"")</f>
        <v/>
      </c>
      <c r="FJ108" s="96">
        <f>IFERROR(VLOOKUP($B108,INDIRECT("'GRD-"&amp;FJ$11&amp;"'!B:R"),15,FALSE),"")</f>
        <v/>
      </c>
      <c r="FK108" s="96">
        <f>IFERROR(VLOOKUP($B108,INDIRECT("'GRD-"&amp;FK$11&amp;"'!B:R"),15,FALSE),"")</f>
        <v/>
      </c>
      <c r="FL108" s="96">
        <f>IFERROR(VLOOKUP($B108,INDIRECT("'GRD-"&amp;FL$11&amp;"'!B:R"),15,FALSE),"")</f>
        <v/>
      </c>
      <c r="FM108" s="96">
        <f>IFERROR(VLOOKUP($B108,INDIRECT("'GRD-"&amp;FM$11&amp;"'!B:R"),15,FALSE),"")</f>
        <v/>
      </c>
      <c r="FN108" s="96">
        <f>IFERROR(VLOOKUP($B108,INDIRECT("'GRD-"&amp;FN$11&amp;"'!B:R"),15,FALSE),"")</f>
        <v/>
      </c>
      <c r="FO108" s="96">
        <f>IFERROR(VLOOKUP($B108,INDIRECT("'GRD-"&amp;FO$11&amp;"'!B:R"),15,FALSE),"")</f>
        <v/>
      </c>
      <c r="FP108" s="96">
        <f>IFERROR(VLOOKUP($B108,INDIRECT("'GRD-"&amp;FP$11&amp;"'!B:R"),15,FALSE),"")</f>
        <v/>
      </c>
      <c r="FQ108" s="96">
        <f>IFERROR(VLOOKUP($B108,INDIRECT("'GRD-"&amp;FQ$11&amp;"'!B:R"),15,FALSE),"")</f>
        <v/>
      </c>
      <c r="FR108" s="96">
        <f>IFERROR(VLOOKUP($B108,INDIRECT("'GRD-"&amp;FR$11&amp;"'!B:R"),15,FALSE),"")</f>
        <v/>
      </c>
      <c r="FS108" s="96">
        <f>IFERROR(VLOOKUP($B108,INDIRECT("'GRD-"&amp;FS$11&amp;"'!B:R"),15,FALSE),"")</f>
        <v/>
      </c>
      <c r="FT108" s="96">
        <f>IFERROR(VLOOKUP($B108,INDIRECT("'GRD-"&amp;FT$11&amp;"'!B:R"),15,FALSE),"")</f>
        <v/>
      </c>
      <c r="FU108" s="96">
        <f>IFERROR(VLOOKUP($B108,INDIRECT("'GRD-"&amp;FU$11&amp;"'!B:R"),15,FALSE),"")</f>
        <v/>
      </c>
      <c r="FV108" s="96">
        <f>IFERROR(VLOOKUP($B108,INDIRECT("'GRD-"&amp;FV$11&amp;"'!B:R"),15,FALSE),"")</f>
        <v/>
      </c>
    </row>
    <row r="109">
      <c r="B109" s="85" t="n"/>
      <c r="C109" s="93" t="n"/>
      <c r="D109" s="73">
        <f>IF(K109="","",MAX($CA109:$FV109))</f>
        <v/>
      </c>
      <c r="E109" s="74">
        <f t="array" ref="E109">IF($K109="","",OFFSET($A$1,ROW($B109)-1,11+$D109*4,))</f>
        <v/>
      </c>
      <c r="F109" s="74">
        <f t="array" ref="F109">IF($K109="","",OFFSET($A$1,ROW($B109)-1,12+$D109*4,))</f>
        <v/>
      </c>
      <c r="G109" s="118">
        <f t="array" ref="G109">IF($K109="","",OFFSET($A$1,ROW($B109)-1,13+$D109*4,))</f>
        <v/>
      </c>
      <c r="H109" s="81" t="n"/>
      <c r="I109" s="82" t="n"/>
      <c r="J109" s="75">
        <f>IF(I109="A4",H109/8,IF(I109="A3",H109/4,IF(I109="A2",H109/2,IF(I109="A1",H109/1,IF(I109="A0",H109*2,"")))))</f>
        <v/>
      </c>
      <c r="K109" s="68">
        <f t="array" ref="K109">IFERROR(OFFSET($BZ$11,ROW($B109)-11,MATCH(K$10,$CA109:$FV109,0),),"")</f>
        <v/>
      </c>
      <c r="L109" s="85">
        <f>IF(K109="","",IF(VLOOKUP($B109,INDIRECT("'GRD-"&amp;M109&amp;"'!$B:$R"),16,FALSE)="","",VLOOKUP($B109,INDIRECT("'GRD-"&amp;M109&amp;"'!$B:$R"),16,FALSE)))</f>
        <v/>
      </c>
      <c r="M109" s="130">
        <f t="array" ref="M109">IF(K109="","",IFERROR(OFFSET($BZ$11,0,MATCH($K109,$CA109:$FV109,0),),""))</f>
        <v/>
      </c>
      <c r="N109" s="119">
        <f t="array" ref="N109">IF(K109="","",INDIRECT("'GRD-"&amp;M109&amp;"'!$L$7"))</f>
        <v/>
      </c>
      <c r="O109" s="76">
        <f t="array" ref="O109">IFERROR(OFFSET($BZ$11,ROW($B109)-11,MATCH(O$10,$CA109:$FV109,0),),"")</f>
        <v/>
      </c>
      <c r="P109" s="76">
        <f>IF(O109="","",IF(VLOOKUP($B109,INDIRECT("'GRD-"&amp;Q109&amp;"'!$B:$R"),16,FALSE)="","",VLOOKUP($B109,INDIRECT("'GRD-"&amp;Q109&amp;"'!$B:$R"),16,FALSE)))</f>
        <v/>
      </c>
      <c r="Q109" s="132">
        <f t="array" ref="Q109">IF(O109="","",IFERROR(OFFSET($BZ$11,0,MATCH($O109,$CA109:$FV109,0),),""))</f>
        <v/>
      </c>
      <c r="R109" s="121">
        <f t="array" ref="R109">IF(O109="","",INDIRECT("'GRD-"&amp;Q109&amp;"'!$L$7"))</f>
        <v/>
      </c>
      <c r="S109" s="83">
        <f t="array" ref="S109">IFERROR(OFFSET($BZ$11,ROW($B109)-11,MATCH(S$10,$CA109:$FV109,0),),"")</f>
        <v/>
      </c>
      <c r="T109" s="83">
        <f>IF(S109="","",IF(VLOOKUP($B109,INDIRECT("'GRD-"&amp;U109&amp;"'!$B:$R"),16,FALSE)="","",VLOOKUP($B109,INDIRECT("'GRD-"&amp;U109&amp;"'!$B:$R"),16,FALSE)))</f>
        <v/>
      </c>
      <c r="U109" s="128">
        <f t="array" ref="U109">IF(S109="","",IFERROR(OFFSET($BZ$11,0,MATCH($S109,$CA109:$FV109,0),),""))</f>
        <v/>
      </c>
      <c r="V109" s="133">
        <f t="array" ref="V109">IF(S109="","",INDIRECT("'GRD-"&amp;U109&amp;"'!$L$7"))</f>
        <v/>
      </c>
      <c r="W109" s="84">
        <f t="array" ref="W109">IFERROR(OFFSET($BZ$11,ROW($B109)-11,MATCH(W$10,$CA109:$FV109,0),),"")</f>
        <v/>
      </c>
      <c r="X109" s="84">
        <f>IF(W109="","",IF(VLOOKUP($B109,INDIRECT("'GRD-"&amp;Y109&amp;"'!$B:$R"),16,FALSE)="","",VLOOKUP($B109,INDIRECT("'GRD-"&amp;Y109&amp;"'!$B:$R"),16,FALSE)))</f>
        <v/>
      </c>
      <c r="Y109" s="129">
        <f t="array" ref="Y109">IF(W109="","",IFERROR(OFFSET($BZ$11,0,MATCH($W109,$CA109:$FV109,0),),""))</f>
        <v/>
      </c>
      <c r="Z109" s="134">
        <f t="array" ref="Z109">IF(W109="","",INDIRECT("'GRD-"&amp;Y109&amp;"'!$L$7"))</f>
        <v/>
      </c>
      <c r="AA109" s="85">
        <f t="array" ref="AA109">IFERROR(OFFSET($BZ$11,ROW($B109)-11,MATCH(AA$10,$CA109:$FV109,0),),"")</f>
        <v/>
      </c>
      <c r="AB109" s="85">
        <f>IF(AA109="","",IF(VLOOKUP($B109,INDIRECT("'GRD-"&amp;AC109&amp;"'!$B:$R"),16,FALSE)="","",VLOOKUP($B109,INDIRECT("'GRD-"&amp;AC109&amp;"'!$B:$R"),16,FALSE)))</f>
        <v/>
      </c>
      <c r="AC109" s="130">
        <f t="array" ref="AC109">IF(AA109="","",IFERROR(OFFSET($BZ$11,0,MATCH($AA109,$CA109:$FV109,0),),""))</f>
        <v/>
      </c>
      <c r="AD109" s="131">
        <f t="array" ref="AD109">IF(AA109="","",INDIRECT("'GRD-"&amp;AC109&amp;"'!$L$7"))</f>
        <v/>
      </c>
      <c r="AE109" s="76">
        <f t="array" ref="AE109">IFERROR(OFFSET($BZ$11,ROW($B109)-11,MATCH(AE$10,$CA109:$FV109,0),),"")</f>
        <v/>
      </c>
      <c r="AF109" s="76">
        <f>IF(AE109="","",IF(VLOOKUP($B109,INDIRECT("'GRD-"&amp;AG109&amp;"'!$B:$R"),16,FALSE)="","",VLOOKUP($B109,INDIRECT("'GRD-"&amp;AG109&amp;"'!$B:$R"),16,FALSE)))</f>
        <v/>
      </c>
      <c r="AG109" s="132">
        <f t="array" ref="AG109">IF(AE109="","",IFERROR(OFFSET($BZ$11,0,MATCH($AE109,$CA109:$FV109,0),),""))</f>
        <v/>
      </c>
      <c r="AH109" s="121">
        <f t="array" ref="AH109">IF(AE109="","",INDIRECT("'GRD-"&amp;AG109&amp;"'!$L$7"))</f>
        <v/>
      </c>
      <c r="AI109" s="83">
        <f t="array" ref="AI109">IFERROR(OFFSET($BZ$11,ROW($B109)-11,MATCH(AI$10,$CA109:$FV109,0),),"")</f>
        <v/>
      </c>
      <c r="AJ109" s="83">
        <f>IF(AI109="","",IF(VLOOKUP($B109,INDIRECT("'GRD-"&amp;AK109&amp;"'!$B:$R"),16,FALSE)="","",VLOOKUP($B109,INDIRECT("'GRD-"&amp;AK109&amp;"'!$B:$R"),16,FALSE)))</f>
        <v/>
      </c>
      <c r="AK109" s="128">
        <f t="array" ref="AK109">IF(AI109="","",IFERROR(OFFSET($BZ$11,0,MATCH($AI109,$CA109:$FV109,0),),""))</f>
        <v/>
      </c>
      <c r="AL109" s="133">
        <f t="array" ref="AL109">IF(AI109="","",INDIRECT("'GRD-"&amp;AK109&amp;"'!$L$7"))</f>
        <v/>
      </c>
      <c r="AM109" s="84">
        <f t="array" ref="AM109">IFERROR(OFFSET($BZ$11,ROW($B109)-11,MATCH(AM$10,$CA109:$FV109,0),),"")</f>
        <v/>
      </c>
      <c r="AN109" s="84">
        <f>IF(AM109="","",IF(VLOOKUP($B109,INDIRECT("'GRD-"&amp;AO109&amp;"'!$B:$R"),16,FALSE)="","",VLOOKUP($B109,INDIRECT("'GRD-"&amp;AO109&amp;"'!$B:$R"),16,FALSE)))</f>
        <v/>
      </c>
      <c r="AO109" s="129">
        <f t="array" ref="AO109">IF(AM109="","",IFERROR(OFFSET($BZ$11,0,MATCH($AM109,$CA109:$FV109,0),),""))</f>
        <v/>
      </c>
      <c r="AP109" s="134">
        <f t="array" ref="AP109">IF(AM109="","",INDIRECT("'GRD-"&amp;AO109&amp;"'!$L$7"))</f>
        <v/>
      </c>
      <c r="AQ109" s="85">
        <f t="array" ref="AQ109">IFERROR(OFFSET($BZ$11,ROW($B109)-11,MATCH(AQ$10,$CA109:$FV109,0),),"")</f>
        <v/>
      </c>
      <c r="AR109" s="85">
        <f>IF(AQ109="","",IF(VLOOKUP($B109,INDIRECT("'GRD-"&amp;AS109&amp;"'!$B:$R"),16,FALSE)="","",VLOOKUP($B109,INDIRECT("'GRD-"&amp;AS109&amp;"'!$B:$R"),16,FALSE)))</f>
        <v/>
      </c>
      <c r="AS109" s="130">
        <f t="array" ref="AS109">IF(AQ109="","",IFERROR(OFFSET($BZ$11,0,MATCH($AQ109,$CA109:$FV109,0),),""))</f>
        <v/>
      </c>
      <c r="AT109" s="131">
        <f t="array" ref="AT109">IF(AQ109="","",INDIRECT("'GRD-"&amp;AS109&amp;"'!$L$7"))</f>
        <v/>
      </c>
      <c r="AU109" s="76">
        <f t="array" ref="AU109">IFERROR(OFFSET($BZ$11,ROW($B109)-11,MATCH(AU$10,$CA109:$FV109,0),),"")</f>
        <v/>
      </c>
      <c r="AV109" s="76">
        <f>IF(AU109="","",IF(VLOOKUP($B109,INDIRECT("'GRD-"&amp;AW109&amp;"'!$B:$R"),16,FALSE)="","",VLOOKUP($B109,INDIRECT("'GRD-"&amp;AW109&amp;"'!$B:$R"),16,FALSE)))</f>
        <v/>
      </c>
      <c r="AW109" s="132">
        <f t="array" ref="AW109">IF(AU109="","",IFERROR(OFFSET($BZ$11,0,MATCH($AU109,$CA109:$FV109,0),),""))</f>
        <v/>
      </c>
      <c r="AX109" s="121">
        <f t="array" ref="AX109">IF(AU109="","",INDIRECT("'GRD-"&amp;AW109&amp;"'!$L$7"))</f>
        <v/>
      </c>
      <c r="AY109" s="83">
        <f t="array" ref="AY109">IFERROR(OFFSET($BZ$11,ROW($B109)-11,MATCH(AY$10,$CA109:$FV109,0),),"")</f>
        <v/>
      </c>
      <c r="AZ109" s="83">
        <f>IF(AY109="","",IF(VLOOKUP($B109,INDIRECT("'GRD-"&amp;BA109&amp;"'!$B:$R"),16,FALSE)="","",VLOOKUP($B109,INDIRECT("'GRD-"&amp;BA109&amp;"'!$B:$R"),16,FALSE)))</f>
        <v/>
      </c>
      <c r="BA109" s="128">
        <f t="array" ref="BA109">IF(AY109="","",IFERROR(OFFSET($BZ$11,0,MATCH($AY109,$CA109:$FV109,0),),""))</f>
        <v/>
      </c>
      <c r="BB109" s="133">
        <f t="array" ref="BB109">IF(AY109="","",INDIRECT("'GRD-"&amp;BA109&amp;"'!$L$7"))</f>
        <v/>
      </c>
      <c r="BC109" s="84">
        <f t="array" ref="BC109">IFERROR(OFFSET($BZ$11,ROW($B109)-11,MATCH(BC$10,$CA109:$FV109,0),),"")</f>
        <v/>
      </c>
      <c r="BD109" s="84">
        <f>IF(BC109="","",IF(VLOOKUP($B109,INDIRECT("'GRD-"&amp;BE109&amp;"'!$B:$R"),16,FALSE)="","",VLOOKUP($B109,INDIRECT("'GRD-"&amp;BE109&amp;"'!$B:$R"),16,FALSE)))</f>
        <v/>
      </c>
      <c r="BE109" s="129">
        <f t="array" ref="BE109">IF(BC109="","",IFERROR(OFFSET($BZ$11,0,MATCH($BC109,$CA109:$FV109,0),),""))</f>
        <v/>
      </c>
      <c r="BF109" s="134">
        <f t="array" ref="BF109">IF(BC109="","",INDIRECT("'GRD-"&amp;BE109&amp;"'!$L$7"))</f>
        <v/>
      </c>
      <c r="CA109" s="96">
        <f>IFERROR(VLOOKUP($B109,INDIRECT("'GRD-"&amp;CA$11&amp;"'!B:R"),15,FALSE),"")</f>
        <v/>
      </c>
      <c r="CB109" s="96">
        <f>IFERROR(VLOOKUP($B109,INDIRECT("'GRD-"&amp;CB$11&amp;"'!B:R"),15,FALSE),"")</f>
        <v/>
      </c>
      <c r="CC109" s="96">
        <f>IFERROR(VLOOKUP($B109,INDIRECT("'GRD-"&amp;CC$11&amp;"'!B:R"),15,FALSE),"")</f>
        <v/>
      </c>
      <c r="CD109" s="96">
        <f>IFERROR(VLOOKUP($B109,INDIRECT("'GRD-"&amp;CD$11&amp;"'!B:R"),15,FALSE),"")</f>
        <v/>
      </c>
      <c r="CE109" s="96">
        <f>IFERROR(VLOOKUP($B109,INDIRECT("'GRD-"&amp;CE$11&amp;"'!B:R"),15,FALSE),"")</f>
        <v/>
      </c>
      <c r="CF109" s="96">
        <f>IFERROR(VLOOKUP($B109,INDIRECT("'GRD-"&amp;CF$11&amp;"'!B:R"),15,FALSE),"")</f>
        <v/>
      </c>
      <c r="CG109" s="96">
        <f>IFERROR(VLOOKUP($B109,INDIRECT("'GRD-"&amp;CG$11&amp;"'!B:R"),15,FALSE),"")</f>
        <v/>
      </c>
      <c r="CH109" s="96">
        <f>IFERROR(VLOOKUP($B109,INDIRECT("'GRD-"&amp;CH$11&amp;"'!B:R"),15,FALSE),"")</f>
        <v/>
      </c>
      <c r="CI109" s="96">
        <f>IFERROR(VLOOKUP($B109,INDIRECT("'GRD-"&amp;CI$11&amp;"'!B:R"),15,FALSE),"")</f>
        <v/>
      </c>
      <c r="CJ109" s="96">
        <f>IFERROR(VLOOKUP($B109,INDIRECT("'GRD-"&amp;CJ$11&amp;"'!B:R"),15,FALSE),"")</f>
        <v/>
      </c>
      <c r="CK109" s="96">
        <f>IFERROR(VLOOKUP($B109,INDIRECT("'GRD-"&amp;CK$11&amp;"'!B:R"),15,FALSE),"")</f>
        <v/>
      </c>
      <c r="CL109" s="96">
        <f>IFERROR(VLOOKUP($B109,INDIRECT("'GRD-"&amp;CL$11&amp;"'!B:R"),15,FALSE),"")</f>
        <v/>
      </c>
      <c r="CM109" s="96">
        <f>IFERROR(VLOOKUP($B109,INDIRECT("'GRD-"&amp;CM$11&amp;"'!B:R"),15,FALSE),"")</f>
        <v/>
      </c>
      <c r="CN109" s="96">
        <f>IFERROR(VLOOKUP($B109,INDIRECT("'GRD-"&amp;CN$11&amp;"'!B:R"),15,FALSE),"")</f>
        <v/>
      </c>
      <c r="CO109" s="96">
        <f>IFERROR(VLOOKUP($B109,INDIRECT("'GRD-"&amp;CO$11&amp;"'!B:R"),15,FALSE),"")</f>
        <v/>
      </c>
      <c r="CP109" s="96">
        <f>IFERROR(VLOOKUP($B109,INDIRECT("'GRD-"&amp;CP$11&amp;"'!B:R"),15,FALSE),"")</f>
        <v/>
      </c>
      <c r="CQ109" s="96">
        <f>IFERROR(VLOOKUP($B109,INDIRECT("'GRD-"&amp;CQ$11&amp;"'!B:R"),15,FALSE),"")</f>
        <v/>
      </c>
      <c r="CR109" s="96">
        <f>IFERROR(VLOOKUP($B109,INDIRECT("'GRD-"&amp;CR$11&amp;"'!B:R"),15,FALSE),"")</f>
        <v/>
      </c>
      <c r="CS109" s="96">
        <f>IFERROR(VLOOKUP($B109,INDIRECT("'GRD-"&amp;CS$11&amp;"'!B:R"),15,FALSE),"")</f>
        <v/>
      </c>
      <c r="CT109" s="96">
        <f>IFERROR(VLOOKUP($B109,INDIRECT("'GRD-"&amp;CT$11&amp;"'!B:R"),15,FALSE),"")</f>
        <v/>
      </c>
      <c r="CU109" s="96">
        <f>IFERROR(VLOOKUP($B109,INDIRECT("'GRD-"&amp;CU$11&amp;"'!B:R"),15,FALSE),"")</f>
        <v/>
      </c>
      <c r="CV109" s="96">
        <f>IFERROR(VLOOKUP($B109,INDIRECT("'GRD-"&amp;CV$11&amp;"'!B:R"),15,FALSE),"")</f>
        <v/>
      </c>
      <c r="CW109" s="96">
        <f>IFERROR(VLOOKUP($B109,INDIRECT("'GRD-"&amp;CW$11&amp;"'!B:R"),15,FALSE),"")</f>
        <v/>
      </c>
      <c r="CX109" s="96">
        <f>IFERROR(VLOOKUP($B109,INDIRECT("'GRD-"&amp;CX$11&amp;"'!B:R"),15,FALSE),"")</f>
        <v/>
      </c>
      <c r="CY109" s="96">
        <f>IFERROR(VLOOKUP($B109,INDIRECT("'GRD-"&amp;CY$11&amp;"'!B:R"),15,FALSE),"")</f>
        <v/>
      </c>
      <c r="CZ109" s="96">
        <f>IFERROR(VLOOKUP($B109,INDIRECT("'GRD-"&amp;CZ$11&amp;"'!B:R"),15,FALSE),"")</f>
        <v/>
      </c>
      <c r="DA109" s="96">
        <f>IFERROR(VLOOKUP($B109,INDIRECT("'GRD-"&amp;DA$11&amp;"'!B:R"),15,FALSE),"")</f>
        <v/>
      </c>
      <c r="DB109" s="96">
        <f>IFERROR(VLOOKUP($B109,INDIRECT("'GRD-"&amp;DB$11&amp;"'!B:R"),15,FALSE),"")</f>
        <v/>
      </c>
      <c r="DC109" s="96">
        <f>IFERROR(VLOOKUP($B109,INDIRECT("'GRD-"&amp;DC$11&amp;"'!B:R"),15,FALSE),"")</f>
        <v/>
      </c>
      <c r="DD109" s="96">
        <f>IFERROR(VLOOKUP($B109,INDIRECT("'GRD-"&amp;DD$11&amp;"'!B:R"),15,FALSE),"")</f>
        <v/>
      </c>
      <c r="DE109" s="96">
        <f>IFERROR(VLOOKUP($B109,INDIRECT("'GRD-"&amp;DE$11&amp;"'!B:R"),15,FALSE),"")</f>
        <v/>
      </c>
      <c r="DF109" s="96">
        <f>IFERROR(VLOOKUP($B109,INDIRECT("'GRD-"&amp;DF$11&amp;"'!B:R"),15,FALSE),"")</f>
        <v/>
      </c>
      <c r="DG109" s="96">
        <f>IFERROR(VLOOKUP($B109,INDIRECT("'GRD-"&amp;DG$11&amp;"'!B:R"),15,FALSE),"")</f>
        <v/>
      </c>
      <c r="DH109" s="96">
        <f>IFERROR(VLOOKUP($B109,INDIRECT("'GRD-"&amp;DH$11&amp;"'!B:R"),15,FALSE),"")</f>
        <v/>
      </c>
      <c r="DI109" s="96">
        <f>IFERROR(VLOOKUP($B109,INDIRECT("'GRD-"&amp;DI$11&amp;"'!B:R"),15,FALSE),"")</f>
        <v/>
      </c>
      <c r="DJ109" s="96">
        <f>IFERROR(VLOOKUP($B109,INDIRECT("'GRD-"&amp;DJ$11&amp;"'!B:R"),15,FALSE),"")</f>
        <v/>
      </c>
      <c r="DK109" s="96">
        <f>IFERROR(VLOOKUP($B109,INDIRECT("'GRD-"&amp;DK$11&amp;"'!B:R"),15,FALSE),"")</f>
        <v/>
      </c>
      <c r="DL109" s="96">
        <f>IFERROR(VLOOKUP($B109,INDIRECT("'GRD-"&amp;DL$11&amp;"'!B:R"),15,FALSE),"")</f>
        <v/>
      </c>
      <c r="DM109" s="96">
        <f>IFERROR(VLOOKUP($B109,INDIRECT("'GRD-"&amp;DM$11&amp;"'!B:R"),15,FALSE),"")</f>
        <v/>
      </c>
      <c r="DN109" s="96">
        <f>IFERROR(VLOOKUP($B109,INDIRECT("'GRD-"&amp;DN$11&amp;"'!B:R"),15,FALSE),"")</f>
        <v/>
      </c>
      <c r="DO109" s="96">
        <f>IFERROR(VLOOKUP($B109,INDIRECT("'GRD-"&amp;DO$11&amp;"'!B:R"),15,FALSE),"")</f>
        <v/>
      </c>
      <c r="DP109" s="96">
        <f>IFERROR(VLOOKUP($B109,INDIRECT("'GRD-"&amp;DP$11&amp;"'!B:R"),15,FALSE),"")</f>
        <v/>
      </c>
      <c r="DQ109" s="96">
        <f>IFERROR(VLOOKUP($B109,INDIRECT("'GRD-"&amp;DQ$11&amp;"'!B:R"),15,FALSE),"")</f>
        <v/>
      </c>
      <c r="DR109" s="96">
        <f>IFERROR(VLOOKUP($B109,INDIRECT("'GRD-"&amp;DR$11&amp;"'!B:R"),15,FALSE),"")</f>
        <v/>
      </c>
      <c r="DS109" s="96">
        <f>IFERROR(VLOOKUP($B109,INDIRECT("'GRD-"&amp;DS$11&amp;"'!B:R"),15,FALSE),"")</f>
        <v/>
      </c>
      <c r="DT109" s="96">
        <f>IFERROR(VLOOKUP($B109,INDIRECT("'GRD-"&amp;DT$11&amp;"'!B:R"),15,FALSE),"")</f>
        <v/>
      </c>
      <c r="DU109" s="96">
        <f>IFERROR(VLOOKUP($B109,INDIRECT("'GRD-"&amp;DU$11&amp;"'!B:R"),15,FALSE),"")</f>
        <v/>
      </c>
      <c r="DV109" s="96">
        <f>IFERROR(VLOOKUP($B109,INDIRECT("'GRD-"&amp;DV$11&amp;"'!B:R"),15,FALSE),"")</f>
        <v/>
      </c>
      <c r="DW109" s="96">
        <f>IFERROR(VLOOKUP($B109,INDIRECT("'GRD-"&amp;DW$11&amp;"'!B:R"),15,FALSE),"")</f>
        <v/>
      </c>
      <c r="DX109" s="96">
        <f>IFERROR(VLOOKUP($B109,INDIRECT("'GRD-"&amp;DX$11&amp;"'!B:R"),15,FALSE),"")</f>
        <v/>
      </c>
      <c r="DY109" s="96">
        <f>IFERROR(VLOOKUP($B109,INDIRECT("'GRD-"&amp;DY$11&amp;"'!B:R"),15,FALSE),"")</f>
        <v/>
      </c>
      <c r="DZ109" s="96">
        <f>IFERROR(VLOOKUP($B109,INDIRECT("'GRD-"&amp;DZ$11&amp;"'!B:R"),15,FALSE),"")</f>
        <v/>
      </c>
      <c r="EA109" s="96">
        <f>IFERROR(VLOOKUP($B109,INDIRECT("'GRD-"&amp;EA$11&amp;"'!B:R"),15,FALSE),"")</f>
        <v/>
      </c>
      <c r="EB109" s="96">
        <f>IFERROR(VLOOKUP($B109,INDIRECT("'GRD-"&amp;EB$11&amp;"'!B:R"),15,FALSE),"")</f>
        <v/>
      </c>
      <c r="EC109" s="96">
        <f>IFERROR(VLOOKUP($B109,INDIRECT("'GRD-"&amp;EC$11&amp;"'!B:R"),15,FALSE),"")</f>
        <v/>
      </c>
      <c r="ED109" s="96">
        <f>IFERROR(VLOOKUP($B109,INDIRECT("'GRD-"&amp;ED$11&amp;"'!B:R"),15,FALSE),"")</f>
        <v/>
      </c>
      <c r="EE109" s="96">
        <f>IFERROR(VLOOKUP($B109,INDIRECT("'GRD-"&amp;EE$11&amp;"'!B:R"),15,FALSE),"")</f>
        <v/>
      </c>
      <c r="EF109" s="96">
        <f>IFERROR(VLOOKUP($B109,INDIRECT("'GRD-"&amp;EF$11&amp;"'!B:R"),15,FALSE),"")</f>
        <v/>
      </c>
      <c r="EG109" s="96">
        <f>IFERROR(VLOOKUP($B109,INDIRECT("'GRD-"&amp;EG$11&amp;"'!B:R"),15,FALSE),"")</f>
        <v/>
      </c>
      <c r="EH109" s="96">
        <f>IFERROR(VLOOKUP($B109,INDIRECT("'GRD-"&amp;EH$11&amp;"'!B:R"),15,FALSE),"")</f>
        <v/>
      </c>
      <c r="EI109" s="96">
        <f>IFERROR(VLOOKUP($B109,INDIRECT("'GRD-"&amp;EI$11&amp;"'!B:R"),15,FALSE),"")</f>
        <v/>
      </c>
      <c r="EJ109" s="96">
        <f>IFERROR(VLOOKUP($B109,INDIRECT("'GRD-"&amp;EJ$11&amp;"'!B:R"),15,FALSE),"")</f>
        <v/>
      </c>
      <c r="EK109" s="96">
        <f>IFERROR(VLOOKUP($B109,INDIRECT("'GRD-"&amp;EK$11&amp;"'!B:R"),15,FALSE),"")</f>
        <v/>
      </c>
      <c r="EL109" s="96">
        <f>IFERROR(VLOOKUP($B109,INDIRECT("'GRD-"&amp;EL$11&amp;"'!B:R"),15,FALSE),"")</f>
        <v/>
      </c>
      <c r="EM109" s="96">
        <f>IFERROR(VLOOKUP($B109,INDIRECT("'GRD-"&amp;EM$11&amp;"'!B:R"),15,FALSE),"")</f>
        <v/>
      </c>
      <c r="EN109" s="96">
        <f>IFERROR(VLOOKUP($B109,INDIRECT("'GRD-"&amp;EN$11&amp;"'!B:R"),15,FALSE),"")</f>
        <v/>
      </c>
      <c r="EO109" s="96">
        <f>IFERROR(VLOOKUP($B109,INDIRECT("'GRD-"&amp;EO$11&amp;"'!B:R"),15,FALSE),"")</f>
        <v/>
      </c>
      <c r="EP109" s="96">
        <f>IFERROR(VLOOKUP($B109,INDIRECT("'GRD-"&amp;EP$11&amp;"'!B:R"),15,FALSE),"")</f>
        <v/>
      </c>
      <c r="EQ109" s="96">
        <f>IFERROR(VLOOKUP($B109,INDIRECT("'GRD-"&amp;EQ$11&amp;"'!B:R"),15,FALSE),"")</f>
        <v/>
      </c>
      <c r="ER109" s="96">
        <f>IFERROR(VLOOKUP($B109,INDIRECT("'GRD-"&amp;ER$11&amp;"'!B:R"),15,FALSE),"")</f>
        <v/>
      </c>
      <c r="ES109" s="96">
        <f>IFERROR(VLOOKUP($B109,INDIRECT("'GRD-"&amp;ES$11&amp;"'!B:R"),15,FALSE),"")</f>
        <v/>
      </c>
      <c r="ET109" s="96">
        <f>IFERROR(VLOOKUP($B109,INDIRECT("'GRD-"&amp;ET$11&amp;"'!B:R"),15,FALSE),"")</f>
        <v/>
      </c>
      <c r="EU109" s="96">
        <f>IFERROR(VLOOKUP($B109,INDIRECT("'GRD-"&amp;EU$11&amp;"'!B:R"),15,FALSE),"")</f>
        <v/>
      </c>
      <c r="EV109" s="96">
        <f>IFERROR(VLOOKUP($B109,INDIRECT("'GRD-"&amp;EV$11&amp;"'!B:R"),15,FALSE),"")</f>
        <v/>
      </c>
      <c r="EW109" s="96">
        <f>IFERROR(VLOOKUP($B109,INDIRECT("'GRD-"&amp;EW$11&amp;"'!B:R"),15,FALSE),"")</f>
        <v/>
      </c>
      <c r="EX109" s="96">
        <f>IFERROR(VLOOKUP($B109,INDIRECT("'GRD-"&amp;EX$11&amp;"'!B:R"),15,FALSE),"")</f>
        <v/>
      </c>
      <c r="EY109" s="96">
        <f>IFERROR(VLOOKUP($B109,INDIRECT("'GRD-"&amp;EY$11&amp;"'!B:R"),15,FALSE),"")</f>
        <v/>
      </c>
      <c r="EZ109" s="96">
        <f>IFERROR(VLOOKUP($B109,INDIRECT("'GRD-"&amp;EZ$11&amp;"'!B:R"),15,FALSE),"")</f>
        <v/>
      </c>
      <c r="FA109" s="96">
        <f>IFERROR(VLOOKUP($B109,INDIRECT("'GRD-"&amp;FA$11&amp;"'!B:R"),15,FALSE),"")</f>
        <v/>
      </c>
      <c r="FB109" s="96">
        <f>IFERROR(VLOOKUP($B109,INDIRECT("'GRD-"&amp;FB$11&amp;"'!B:R"),15,FALSE),"")</f>
        <v/>
      </c>
      <c r="FC109" s="96">
        <f>IFERROR(VLOOKUP($B109,INDIRECT("'GRD-"&amp;FC$11&amp;"'!B:R"),15,FALSE),"")</f>
        <v/>
      </c>
      <c r="FD109" s="96">
        <f>IFERROR(VLOOKUP($B109,INDIRECT("'GRD-"&amp;FD$11&amp;"'!B:R"),15,FALSE),"")</f>
        <v/>
      </c>
      <c r="FE109" s="96">
        <f>IFERROR(VLOOKUP($B109,INDIRECT("'GRD-"&amp;FE$11&amp;"'!B:R"),15,FALSE),"")</f>
        <v/>
      </c>
      <c r="FF109" s="96">
        <f>IFERROR(VLOOKUP($B109,INDIRECT("'GRD-"&amp;FF$11&amp;"'!B:R"),15,FALSE),"")</f>
        <v/>
      </c>
      <c r="FG109" s="96">
        <f>IFERROR(VLOOKUP($B109,INDIRECT("'GRD-"&amp;FG$11&amp;"'!B:R"),15,FALSE),"")</f>
        <v/>
      </c>
      <c r="FH109" s="96">
        <f>IFERROR(VLOOKUP($B109,INDIRECT("'GRD-"&amp;FH$11&amp;"'!B:R"),15,FALSE),"")</f>
        <v/>
      </c>
      <c r="FI109" s="96">
        <f>IFERROR(VLOOKUP($B109,INDIRECT("'GRD-"&amp;FI$11&amp;"'!B:R"),15,FALSE),"")</f>
        <v/>
      </c>
      <c r="FJ109" s="96">
        <f>IFERROR(VLOOKUP($B109,INDIRECT("'GRD-"&amp;FJ$11&amp;"'!B:R"),15,FALSE),"")</f>
        <v/>
      </c>
      <c r="FK109" s="96">
        <f>IFERROR(VLOOKUP($B109,INDIRECT("'GRD-"&amp;FK$11&amp;"'!B:R"),15,FALSE),"")</f>
        <v/>
      </c>
      <c r="FL109" s="96">
        <f>IFERROR(VLOOKUP($B109,INDIRECT("'GRD-"&amp;FL$11&amp;"'!B:R"),15,FALSE),"")</f>
        <v/>
      </c>
      <c r="FM109" s="96">
        <f>IFERROR(VLOOKUP($B109,INDIRECT("'GRD-"&amp;FM$11&amp;"'!B:R"),15,FALSE),"")</f>
        <v/>
      </c>
      <c r="FN109" s="96">
        <f>IFERROR(VLOOKUP($B109,INDIRECT("'GRD-"&amp;FN$11&amp;"'!B:R"),15,FALSE),"")</f>
        <v/>
      </c>
      <c r="FO109" s="96">
        <f>IFERROR(VLOOKUP($B109,INDIRECT("'GRD-"&amp;FO$11&amp;"'!B:R"),15,FALSE),"")</f>
        <v/>
      </c>
      <c r="FP109" s="96">
        <f>IFERROR(VLOOKUP($B109,INDIRECT("'GRD-"&amp;FP$11&amp;"'!B:R"),15,FALSE),"")</f>
        <v/>
      </c>
      <c r="FQ109" s="96">
        <f>IFERROR(VLOOKUP($B109,INDIRECT("'GRD-"&amp;FQ$11&amp;"'!B:R"),15,FALSE),"")</f>
        <v/>
      </c>
      <c r="FR109" s="96">
        <f>IFERROR(VLOOKUP($B109,INDIRECT("'GRD-"&amp;FR$11&amp;"'!B:R"),15,FALSE),"")</f>
        <v/>
      </c>
      <c r="FS109" s="96">
        <f>IFERROR(VLOOKUP($B109,INDIRECT("'GRD-"&amp;FS$11&amp;"'!B:R"),15,FALSE),"")</f>
        <v/>
      </c>
      <c r="FT109" s="96">
        <f>IFERROR(VLOOKUP($B109,INDIRECT("'GRD-"&amp;FT$11&amp;"'!B:R"),15,FALSE),"")</f>
        <v/>
      </c>
      <c r="FU109" s="96">
        <f>IFERROR(VLOOKUP($B109,INDIRECT("'GRD-"&amp;FU$11&amp;"'!B:R"),15,FALSE),"")</f>
        <v/>
      </c>
      <c r="FV109" s="96">
        <f>IFERROR(VLOOKUP($B109,INDIRECT("'GRD-"&amp;FV$11&amp;"'!B:R"),15,FALSE),"")</f>
        <v/>
      </c>
    </row>
    <row r="110">
      <c r="B110" s="85" t="n"/>
      <c r="C110" s="93" t="n"/>
      <c r="D110" s="73">
        <f>IF(K110="","",MAX($CA110:$FV110))</f>
        <v/>
      </c>
      <c r="E110" s="74">
        <f t="array" ref="E110">IF($K110="","",OFFSET($A$1,ROW($B110)-1,11+$D110*4,))</f>
        <v/>
      </c>
      <c r="F110" s="74">
        <f t="array" ref="F110">IF($K110="","",OFFSET($A$1,ROW($B110)-1,12+$D110*4,))</f>
        <v/>
      </c>
      <c r="G110" s="118">
        <f t="array" ref="G110">IF($K110="","",OFFSET($A$1,ROW($B110)-1,13+$D110*4,))</f>
        <v/>
      </c>
      <c r="H110" s="81" t="n"/>
      <c r="I110" s="82" t="n"/>
      <c r="J110" s="75">
        <f>IF(I110="A4",H110/8,IF(I110="A3",H110/4,IF(I110="A2",H110/2,IF(I110="A1",H110/1,IF(I110="A0",H110*2,"")))))</f>
        <v/>
      </c>
      <c r="K110" s="68">
        <f t="array" ref="K110">IFERROR(OFFSET($BZ$11,ROW($B110)-11,MATCH(K$10,$CA110:$FV110,0),),"")</f>
        <v/>
      </c>
      <c r="L110" s="85">
        <f>IF(K110="","",IF(VLOOKUP($B110,INDIRECT("'GRD-"&amp;M110&amp;"'!$B:$R"),16,FALSE)="","",VLOOKUP($B110,INDIRECT("'GRD-"&amp;M110&amp;"'!$B:$R"),16,FALSE)))</f>
        <v/>
      </c>
      <c r="M110" s="130">
        <f t="array" ref="M110">IF(K110="","",IFERROR(OFFSET($BZ$11,0,MATCH($K110,$CA110:$FV110,0),),""))</f>
        <v/>
      </c>
      <c r="N110" s="119">
        <f t="array" ref="N110">IF(K110="","",INDIRECT("'GRD-"&amp;M110&amp;"'!$L$7"))</f>
        <v/>
      </c>
      <c r="O110" s="76">
        <f t="array" ref="O110">IFERROR(OFFSET($BZ$11,ROW($B110)-11,MATCH(O$10,$CA110:$FV110,0),),"")</f>
        <v/>
      </c>
      <c r="P110" s="76">
        <f>IF(O110="","",IF(VLOOKUP($B110,INDIRECT("'GRD-"&amp;Q110&amp;"'!$B:$R"),16,FALSE)="","",VLOOKUP($B110,INDIRECT("'GRD-"&amp;Q110&amp;"'!$B:$R"),16,FALSE)))</f>
        <v/>
      </c>
      <c r="Q110" s="132">
        <f t="array" ref="Q110">IF(O110="","",IFERROR(OFFSET($BZ$11,0,MATCH($O110,$CA110:$FV110,0),),""))</f>
        <v/>
      </c>
      <c r="R110" s="121">
        <f t="array" ref="R110">IF(O110="","",INDIRECT("'GRD-"&amp;Q110&amp;"'!$L$7"))</f>
        <v/>
      </c>
      <c r="S110" s="83">
        <f t="array" ref="S110">IFERROR(OFFSET($BZ$11,ROW($B110)-11,MATCH(S$10,$CA110:$FV110,0),),"")</f>
        <v/>
      </c>
      <c r="T110" s="83">
        <f>IF(S110="","",IF(VLOOKUP($B110,INDIRECT("'GRD-"&amp;U110&amp;"'!$B:$R"),16,FALSE)="","",VLOOKUP($B110,INDIRECT("'GRD-"&amp;U110&amp;"'!$B:$R"),16,FALSE)))</f>
        <v/>
      </c>
      <c r="U110" s="128">
        <f t="array" ref="U110">IF(S110="","",IFERROR(OFFSET($BZ$11,0,MATCH($S110,$CA110:$FV110,0),),""))</f>
        <v/>
      </c>
      <c r="V110" s="133">
        <f t="array" ref="V110">IF(S110="","",INDIRECT("'GRD-"&amp;U110&amp;"'!$L$7"))</f>
        <v/>
      </c>
      <c r="W110" s="84">
        <f t="array" ref="W110">IFERROR(OFFSET($BZ$11,ROW($B110)-11,MATCH(W$10,$CA110:$FV110,0),),"")</f>
        <v/>
      </c>
      <c r="X110" s="84">
        <f>IF(W110="","",IF(VLOOKUP($B110,INDIRECT("'GRD-"&amp;Y110&amp;"'!$B:$R"),16,FALSE)="","",VLOOKUP($B110,INDIRECT("'GRD-"&amp;Y110&amp;"'!$B:$R"),16,FALSE)))</f>
        <v/>
      </c>
      <c r="Y110" s="129">
        <f t="array" ref="Y110">IF(W110="","",IFERROR(OFFSET($BZ$11,0,MATCH($W110,$CA110:$FV110,0),),""))</f>
        <v/>
      </c>
      <c r="Z110" s="134">
        <f t="array" ref="Z110">IF(W110="","",INDIRECT("'GRD-"&amp;Y110&amp;"'!$L$7"))</f>
        <v/>
      </c>
      <c r="AA110" s="85">
        <f t="array" ref="AA110">IFERROR(OFFSET($BZ$11,ROW($B110)-11,MATCH(AA$10,$CA110:$FV110,0),),"")</f>
        <v/>
      </c>
      <c r="AB110" s="85">
        <f>IF(AA110="","",IF(VLOOKUP($B110,INDIRECT("'GRD-"&amp;AC110&amp;"'!$B:$R"),16,FALSE)="","",VLOOKUP($B110,INDIRECT("'GRD-"&amp;AC110&amp;"'!$B:$R"),16,FALSE)))</f>
        <v/>
      </c>
      <c r="AC110" s="130">
        <f t="array" ref="AC110">IF(AA110="","",IFERROR(OFFSET($BZ$11,0,MATCH($AA110,$CA110:$FV110,0),),""))</f>
        <v/>
      </c>
      <c r="AD110" s="131">
        <f t="array" ref="AD110">IF(AA110="","",INDIRECT("'GRD-"&amp;AC110&amp;"'!$L$7"))</f>
        <v/>
      </c>
      <c r="AE110" s="76">
        <f t="array" ref="AE110">IFERROR(OFFSET($BZ$11,ROW($B110)-11,MATCH(AE$10,$CA110:$FV110,0),),"")</f>
        <v/>
      </c>
      <c r="AF110" s="76">
        <f>IF(AE110="","",IF(VLOOKUP($B110,INDIRECT("'GRD-"&amp;AG110&amp;"'!$B:$R"),16,FALSE)="","",VLOOKUP($B110,INDIRECT("'GRD-"&amp;AG110&amp;"'!$B:$R"),16,FALSE)))</f>
        <v/>
      </c>
      <c r="AG110" s="132">
        <f t="array" ref="AG110">IF(AE110="","",IFERROR(OFFSET($BZ$11,0,MATCH($AE110,$CA110:$FV110,0),),""))</f>
        <v/>
      </c>
      <c r="AH110" s="121">
        <f t="array" ref="AH110">IF(AE110="","",INDIRECT("'GRD-"&amp;AG110&amp;"'!$L$7"))</f>
        <v/>
      </c>
      <c r="AI110" s="83">
        <f t="array" ref="AI110">IFERROR(OFFSET($BZ$11,ROW($B110)-11,MATCH(AI$10,$CA110:$FV110,0),),"")</f>
        <v/>
      </c>
      <c r="AJ110" s="83">
        <f>IF(AI110="","",IF(VLOOKUP($B110,INDIRECT("'GRD-"&amp;AK110&amp;"'!$B:$R"),16,FALSE)="","",VLOOKUP($B110,INDIRECT("'GRD-"&amp;AK110&amp;"'!$B:$R"),16,FALSE)))</f>
        <v/>
      </c>
      <c r="AK110" s="128">
        <f t="array" ref="AK110">IF(AI110="","",IFERROR(OFFSET($BZ$11,0,MATCH($AI110,$CA110:$FV110,0),),""))</f>
        <v/>
      </c>
      <c r="AL110" s="133">
        <f t="array" ref="AL110">IF(AI110="","",INDIRECT("'GRD-"&amp;AK110&amp;"'!$L$7"))</f>
        <v/>
      </c>
      <c r="AM110" s="84">
        <f t="array" ref="AM110">IFERROR(OFFSET($BZ$11,ROW($B110)-11,MATCH(AM$10,$CA110:$FV110,0),),"")</f>
        <v/>
      </c>
      <c r="AN110" s="84">
        <f>IF(AM110="","",IF(VLOOKUP($B110,INDIRECT("'GRD-"&amp;AO110&amp;"'!$B:$R"),16,FALSE)="","",VLOOKUP($B110,INDIRECT("'GRD-"&amp;AO110&amp;"'!$B:$R"),16,FALSE)))</f>
        <v/>
      </c>
      <c r="AO110" s="129">
        <f t="array" ref="AO110">IF(AM110="","",IFERROR(OFFSET($BZ$11,0,MATCH($AM110,$CA110:$FV110,0),),""))</f>
        <v/>
      </c>
      <c r="AP110" s="134">
        <f t="array" ref="AP110">IF(AM110="","",INDIRECT("'GRD-"&amp;AO110&amp;"'!$L$7"))</f>
        <v/>
      </c>
      <c r="AQ110" s="85">
        <f t="array" ref="AQ110">IFERROR(OFFSET($BZ$11,ROW($B110)-11,MATCH(AQ$10,$CA110:$FV110,0),),"")</f>
        <v/>
      </c>
      <c r="AR110" s="85">
        <f>IF(AQ110="","",IF(VLOOKUP($B110,INDIRECT("'GRD-"&amp;AS110&amp;"'!$B:$R"),16,FALSE)="","",VLOOKUP($B110,INDIRECT("'GRD-"&amp;AS110&amp;"'!$B:$R"),16,FALSE)))</f>
        <v/>
      </c>
      <c r="AS110" s="130">
        <f t="array" ref="AS110">IF(AQ110="","",IFERROR(OFFSET($BZ$11,0,MATCH($AQ110,$CA110:$FV110,0),),""))</f>
        <v/>
      </c>
      <c r="AT110" s="131">
        <f t="array" ref="AT110">IF(AQ110="","",INDIRECT("'GRD-"&amp;AS110&amp;"'!$L$7"))</f>
        <v/>
      </c>
      <c r="AU110" s="76">
        <f t="array" ref="AU110">IFERROR(OFFSET($BZ$11,ROW($B110)-11,MATCH(AU$10,$CA110:$FV110,0),),"")</f>
        <v/>
      </c>
      <c r="AV110" s="76">
        <f>IF(AU110="","",IF(VLOOKUP($B110,INDIRECT("'GRD-"&amp;AW110&amp;"'!$B:$R"),16,FALSE)="","",VLOOKUP($B110,INDIRECT("'GRD-"&amp;AW110&amp;"'!$B:$R"),16,FALSE)))</f>
        <v/>
      </c>
      <c r="AW110" s="132">
        <f t="array" ref="AW110">IF(AU110="","",IFERROR(OFFSET($BZ$11,0,MATCH($AU110,$CA110:$FV110,0),),""))</f>
        <v/>
      </c>
      <c r="AX110" s="121">
        <f t="array" ref="AX110">IF(AU110="","",INDIRECT("'GRD-"&amp;AW110&amp;"'!$L$7"))</f>
        <v/>
      </c>
      <c r="AY110" s="83">
        <f t="array" ref="AY110">IFERROR(OFFSET($BZ$11,ROW($B110)-11,MATCH(AY$10,$CA110:$FV110,0),),"")</f>
        <v/>
      </c>
      <c r="AZ110" s="83">
        <f>IF(AY110="","",IF(VLOOKUP($B110,INDIRECT("'GRD-"&amp;BA110&amp;"'!$B:$R"),16,FALSE)="","",VLOOKUP($B110,INDIRECT("'GRD-"&amp;BA110&amp;"'!$B:$R"),16,FALSE)))</f>
        <v/>
      </c>
      <c r="BA110" s="128">
        <f t="array" ref="BA110">IF(AY110="","",IFERROR(OFFSET($BZ$11,0,MATCH($AY110,$CA110:$FV110,0),),""))</f>
        <v/>
      </c>
      <c r="BB110" s="133">
        <f t="array" ref="BB110">IF(AY110="","",INDIRECT("'GRD-"&amp;BA110&amp;"'!$L$7"))</f>
        <v/>
      </c>
      <c r="BC110" s="84">
        <f t="array" ref="BC110">IFERROR(OFFSET($BZ$11,ROW($B110)-11,MATCH(BC$10,$CA110:$FV110,0),),"")</f>
        <v/>
      </c>
      <c r="BD110" s="84">
        <f>IF(BC110="","",IF(VLOOKUP($B110,INDIRECT("'GRD-"&amp;BE110&amp;"'!$B:$R"),16,FALSE)="","",VLOOKUP($B110,INDIRECT("'GRD-"&amp;BE110&amp;"'!$B:$R"),16,FALSE)))</f>
        <v/>
      </c>
      <c r="BE110" s="129">
        <f t="array" ref="BE110">IF(BC110="","",IFERROR(OFFSET($BZ$11,0,MATCH($BC110,$CA110:$FV110,0),),""))</f>
        <v/>
      </c>
      <c r="BF110" s="134">
        <f t="array" ref="BF110">IF(BC110="","",INDIRECT("'GRD-"&amp;BE110&amp;"'!$L$7"))</f>
        <v/>
      </c>
      <c r="CA110" s="96">
        <f>IFERROR(VLOOKUP($B110,INDIRECT("'GRD-"&amp;CA$11&amp;"'!B:R"),15,FALSE),"")</f>
        <v/>
      </c>
      <c r="CB110" s="96">
        <f>IFERROR(VLOOKUP($B110,INDIRECT("'GRD-"&amp;CB$11&amp;"'!B:R"),15,FALSE),"")</f>
        <v/>
      </c>
      <c r="CC110" s="96">
        <f>IFERROR(VLOOKUP($B110,INDIRECT("'GRD-"&amp;CC$11&amp;"'!B:R"),15,FALSE),"")</f>
        <v/>
      </c>
      <c r="CD110" s="96">
        <f>IFERROR(VLOOKUP($B110,INDIRECT("'GRD-"&amp;CD$11&amp;"'!B:R"),15,FALSE),"")</f>
        <v/>
      </c>
      <c r="CE110" s="96">
        <f>IFERROR(VLOOKUP($B110,INDIRECT("'GRD-"&amp;CE$11&amp;"'!B:R"),15,FALSE),"")</f>
        <v/>
      </c>
      <c r="CF110" s="96">
        <f>IFERROR(VLOOKUP($B110,INDIRECT("'GRD-"&amp;CF$11&amp;"'!B:R"),15,FALSE),"")</f>
        <v/>
      </c>
      <c r="CG110" s="96">
        <f>IFERROR(VLOOKUP($B110,INDIRECT("'GRD-"&amp;CG$11&amp;"'!B:R"),15,FALSE),"")</f>
        <v/>
      </c>
      <c r="CH110" s="96">
        <f>IFERROR(VLOOKUP($B110,INDIRECT("'GRD-"&amp;CH$11&amp;"'!B:R"),15,FALSE),"")</f>
        <v/>
      </c>
      <c r="CI110" s="96">
        <f>IFERROR(VLOOKUP($B110,INDIRECT("'GRD-"&amp;CI$11&amp;"'!B:R"),15,FALSE),"")</f>
        <v/>
      </c>
      <c r="CJ110" s="96">
        <f>IFERROR(VLOOKUP($B110,INDIRECT("'GRD-"&amp;CJ$11&amp;"'!B:R"),15,FALSE),"")</f>
        <v/>
      </c>
      <c r="CK110" s="96">
        <f>IFERROR(VLOOKUP($B110,INDIRECT("'GRD-"&amp;CK$11&amp;"'!B:R"),15,FALSE),"")</f>
        <v/>
      </c>
      <c r="CL110" s="96">
        <f>IFERROR(VLOOKUP($B110,INDIRECT("'GRD-"&amp;CL$11&amp;"'!B:R"),15,FALSE),"")</f>
        <v/>
      </c>
      <c r="CM110" s="96">
        <f>IFERROR(VLOOKUP($B110,INDIRECT("'GRD-"&amp;CM$11&amp;"'!B:R"),15,FALSE),"")</f>
        <v/>
      </c>
      <c r="CN110" s="96">
        <f>IFERROR(VLOOKUP($B110,INDIRECT("'GRD-"&amp;CN$11&amp;"'!B:R"),15,FALSE),"")</f>
        <v/>
      </c>
      <c r="CO110" s="96">
        <f>IFERROR(VLOOKUP($B110,INDIRECT("'GRD-"&amp;CO$11&amp;"'!B:R"),15,FALSE),"")</f>
        <v/>
      </c>
      <c r="CP110" s="96">
        <f>IFERROR(VLOOKUP($B110,INDIRECT("'GRD-"&amp;CP$11&amp;"'!B:R"),15,FALSE),"")</f>
        <v/>
      </c>
      <c r="CQ110" s="96">
        <f>IFERROR(VLOOKUP($B110,INDIRECT("'GRD-"&amp;CQ$11&amp;"'!B:R"),15,FALSE),"")</f>
        <v/>
      </c>
      <c r="CR110" s="96">
        <f>IFERROR(VLOOKUP($B110,INDIRECT("'GRD-"&amp;CR$11&amp;"'!B:R"),15,FALSE),"")</f>
        <v/>
      </c>
      <c r="CS110" s="96">
        <f>IFERROR(VLOOKUP($B110,INDIRECT("'GRD-"&amp;CS$11&amp;"'!B:R"),15,FALSE),"")</f>
        <v/>
      </c>
      <c r="CT110" s="96">
        <f>IFERROR(VLOOKUP($B110,INDIRECT("'GRD-"&amp;CT$11&amp;"'!B:R"),15,FALSE),"")</f>
        <v/>
      </c>
      <c r="CU110" s="96">
        <f>IFERROR(VLOOKUP($B110,INDIRECT("'GRD-"&amp;CU$11&amp;"'!B:R"),15,FALSE),"")</f>
        <v/>
      </c>
      <c r="CV110" s="96">
        <f>IFERROR(VLOOKUP($B110,INDIRECT("'GRD-"&amp;CV$11&amp;"'!B:R"),15,FALSE),"")</f>
        <v/>
      </c>
      <c r="CW110" s="96">
        <f>IFERROR(VLOOKUP($B110,INDIRECT("'GRD-"&amp;CW$11&amp;"'!B:R"),15,FALSE),"")</f>
        <v/>
      </c>
      <c r="CX110" s="96">
        <f>IFERROR(VLOOKUP($B110,INDIRECT("'GRD-"&amp;CX$11&amp;"'!B:R"),15,FALSE),"")</f>
        <v/>
      </c>
      <c r="CY110" s="96">
        <f>IFERROR(VLOOKUP($B110,INDIRECT("'GRD-"&amp;CY$11&amp;"'!B:R"),15,FALSE),"")</f>
        <v/>
      </c>
      <c r="CZ110" s="96">
        <f>IFERROR(VLOOKUP($B110,INDIRECT("'GRD-"&amp;CZ$11&amp;"'!B:R"),15,FALSE),"")</f>
        <v/>
      </c>
      <c r="DA110" s="96">
        <f>IFERROR(VLOOKUP($B110,INDIRECT("'GRD-"&amp;DA$11&amp;"'!B:R"),15,FALSE),"")</f>
        <v/>
      </c>
      <c r="DB110" s="96">
        <f>IFERROR(VLOOKUP($B110,INDIRECT("'GRD-"&amp;DB$11&amp;"'!B:R"),15,FALSE),"")</f>
        <v/>
      </c>
      <c r="DC110" s="96">
        <f>IFERROR(VLOOKUP($B110,INDIRECT("'GRD-"&amp;DC$11&amp;"'!B:R"),15,FALSE),"")</f>
        <v/>
      </c>
      <c r="DD110" s="96">
        <f>IFERROR(VLOOKUP($B110,INDIRECT("'GRD-"&amp;DD$11&amp;"'!B:R"),15,FALSE),"")</f>
        <v/>
      </c>
      <c r="DE110" s="96">
        <f>IFERROR(VLOOKUP($B110,INDIRECT("'GRD-"&amp;DE$11&amp;"'!B:R"),15,FALSE),"")</f>
        <v/>
      </c>
      <c r="DF110" s="96">
        <f>IFERROR(VLOOKUP($B110,INDIRECT("'GRD-"&amp;DF$11&amp;"'!B:R"),15,FALSE),"")</f>
        <v/>
      </c>
      <c r="DG110" s="96">
        <f>IFERROR(VLOOKUP($B110,INDIRECT("'GRD-"&amp;DG$11&amp;"'!B:R"),15,FALSE),"")</f>
        <v/>
      </c>
      <c r="DH110" s="96">
        <f>IFERROR(VLOOKUP($B110,INDIRECT("'GRD-"&amp;DH$11&amp;"'!B:R"),15,FALSE),"")</f>
        <v/>
      </c>
      <c r="DI110" s="96">
        <f>IFERROR(VLOOKUP($B110,INDIRECT("'GRD-"&amp;DI$11&amp;"'!B:R"),15,FALSE),"")</f>
        <v/>
      </c>
      <c r="DJ110" s="96">
        <f>IFERROR(VLOOKUP($B110,INDIRECT("'GRD-"&amp;DJ$11&amp;"'!B:R"),15,FALSE),"")</f>
        <v/>
      </c>
      <c r="DK110" s="96">
        <f>IFERROR(VLOOKUP($B110,INDIRECT("'GRD-"&amp;DK$11&amp;"'!B:R"),15,FALSE),"")</f>
        <v/>
      </c>
      <c r="DL110" s="96">
        <f>IFERROR(VLOOKUP($B110,INDIRECT("'GRD-"&amp;DL$11&amp;"'!B:R"),15,FALSE),"")</f>
        <v/>
      </c>
      <c r="DM110" s="96">
        <f>IFERROR(VLOOKUP($B110,INDIRECT("'GRD-"&amp;DM$11&amp;"'!B:R"),15,FALSE),"")</f>
        <v/>
      </c>
      <c r="DN110" s="96">
        <f>IFERROR(VLOOKUP($B110,INDIRECT("'GRD-"&amp;DN$11&amp;"'!B:R"),15,FALSE),"")</f>
        <v/>
      </c>
      <c r="DO110" s="96">
        <f>IFERROR(VLOOKUP($B110,INDIRECT("'GRD-"&amp;DO$11&amp;"'!B:R"),15,FALSE),"")</f>
        <v/>
      </c>
      <c r="DP110" s="96">
        <f>IFERROR(VLOOKUP($B110,INDIRECT("'GRD-"&amp;DP$11&amp;"'!B:R"),15,FALSE),"")</f>
        <v/>
      </c>
      <c r="DQ110" s="96">
        <f>IFERROR(VLOOKUP($B110,INDIRECT("'GRD-"&amp;DQ$11&amp;"'!B:R"),15,FALSE),"")</f>
        <v/>
      </c>
      <c r="DR110" s="96">
        <f>IFERROR(VLOOKUP($B110,INDIRECT("'GRD-"&amp;DR$11&amp;"'!B:R"),15,FALSE),"")</f>
        <v/>
      </c>
      <c r="DS110" s="96">
        <f>IFERROR(VLOOKUP($B110,INDIRECT("'GRD-"&amp;DS$11&amp;"'!B:R"),15,FALSE),"")</f>
        <v/>
      </c>
      <c r="DT110" s="96">
        <f>IFERROR(VLOOKUP($B110,INDIRECT("'GRD-"&amp;DT$11&amp;"'!B:R"),15,FALSE),"")</f>
        <v/>
      </c>
      <c r="DU110" s="96">
        <f>IFERROR(VLOOKUP($B110,INDIRECT("'GRD-"&amp;DU$11&amp;"'!B:R"),15,FALSE),"")</f>
        <v/>
      </c>
      <c r="DV110" s="96">
        <f>IFERROR(VLOOKUP($B110,INDIRECT("'GRD-"&amp;DV$11&amp;"'!B:R"),15,FALSE),"")</f>
        <v/>
      </c>
      <c r="DW110" s="96">
        <f>IFERROR(VLOOKUP($B110,INDIRECT("'GRD-"&amp;DW$11&amp;"'!B:R"),15,FALSE),"")</f>
        <v/>
      </c>
      <c r="DX110" s="96">
        <f>IFERROR(VLOOKUP($B110,INDIRECT("'GRD-"&amp;DX$11&amp;"'!B:R"),15,FALSE),"")</f>
        <v/>
      </c>
      <c r="DY110" s="96">
        <f>IFERROR(VLOOKUP($B110,INDIRECT("'GRD-"&amp;DY$11&amp;"'!B:R"),15,FALSE),"")</f>
        <v/>
      </c>
      <c r="DZ110" s="96">
        <f>IFERROR(VLOOKUP($B110,INDIRECT("'GRD-"&amp;DZ$11&amp;"'!B:R"),15,FALSE),"")</f>
        <v/>
      </c>
      <c r="EA110" s="96">
        <f>IFERROR(VLOOKUP($B110,INDIRECT("'GRD-"&amp;EA$11&amp;"'!B:R"),15,FALSE),"")</f>
        <v/>
      </c>
      <c r="EB110" s="96">
        <f>IFERROR(VLOOKUP($B110,INDIRECT("'GRD-"&amp;EB$11&amp;"'!B:R"),15,FALSE),"")</f>
        <v/>
      </c>
      <c r="EC110" s="96">
        <f>IFERROR(VLOOKUP($B110,INDIRECT("'GRD-"&amp;EC$11&amp;"'!B:R"),15,FALSE),"")</f>
        <v/>
      </c>
      <c r="ED110" s="96">
        <f>IFERROR(VLOOKUP($B110,INDIRECT("'GRD-"&amp;ED$11&amp;"'!B:R"),15,FALSE),"")</f>
        <v/>
      </c>
      <c r="EE110" s="96">
        <f>IFERROR(VLOOKUP($B110,INDIRECT("'GRD-"&amp;EE$11&amp;"'!B:R"),15,FALSE),"")</f>
        <v/>
      </c>
      <c r="EF110" s="96">
        <f>IFERROR(VLOOKUP($B110,INDIRECT("'GRD-"&amp;EF$11&amp;"'!B:R"),15,FALSE),"")</f>
        <v/>
      </c>
      <c r="EG110" s="96">
        <f>IFERROR(VLOOKUP($B110,INDIRECT("'GRD-"&amp;EG$11&amp;"'!B:R"),15,FALSE),"")</f>
        <v/>
      </c>
      <c r="EH110" s="96">
        <f>IFERROR(VLOOKUP($B110,INDIRECT("'GRD-"&amp;EH$11&amp;"'!B:R"),15,FALSE),"")</f>
        <v/>
      </c>
      <c r="EI110" s="96">
        <f>IFERROR(VLOOKUP($B110,INDIRECT("'GRD-"&amp;EI$11&amp;"'!B:R"),15,FALSE),"")</f>
        <v/>
      </c>
      <c r="EJ110" s="96">
        <f>IFERROR(VLOOKUP($B110,INDIRECT("'GRD-"&amp;EJ$11&amp;"'!B:R"),15,FALSE),"")</f>
        <v/>
      </c>
      <c r="EK110" s="96">
        <f>IFERROR(VLOOKUP($B110,INDIRECT("'GRD-"&amp;EK$11&amp;"'!B:R"),15,FALSE),"")</f>
        <v/>
      </c>
      <c r="EL110" s="96">
        <f>IFERROR(VLOOKUP($B110,INDIRECT("'GRD-"&amp;EL$11&amp;"'!B:R"),15,FALSE),"")</f>
        <v/>
      </c>
      <c r="EM110" s="96">
        <f>IFERROR(VLOOKUP($B110,INDIRECT("'GRD-"&amp;EM$11&amp;"'!B:R"),15,FALSE),"")</f>
        <v/>
      </c>
      <c r="EN110" s="96">
        <f>IFERROR(VLOOKUP($B110,INDIRECT("'GRD-"&amp;EN$11&amp;"'!B:R"),15,FALSE),"")</f>
        <v/>
      </c>
      <c r="EO110" s="96">
        <f>IFERROR(VLOOKUP($B110,INDIRECT("'GRD-"&amp;EO$11&amp;"'!B:R"),15,FALSE),"")</f>
        <v/>
      </c>
      <c r="EP110" s="96">
        <f>IFERROR(VLOOKUP($B110,INDIRECT("'GRD-"&amp;EP$11&amp;"'!B:R"),15,FALSE),"")</f>
        <v/>
      </c>
      <c r="EQ110" s="96">
        <f>IFERROR(VLOOKUP($B110,INDIRECT("'GRD-"&amp;EQ$11&amp;"'!B:R"),15,FALSE),"")</f>
        <v/>
      </c>
      <c r="ER110" s="96">
        <f>IFERROR(VLOOKUP($B110,INDIRECT("'GRD-"&amp;ER$11&amp;"'!B:R"),15,FALSE),"")</f>
        <v/>
      </c>
      <c r="ES110" s="96">
        <f>IFERROR(VLOOKUP($B110,INDIRECT("'GRD-"&amp;ES$11&amp;"'!B:R"),15,FALSE),"")</f>
        <v/>
      </c>
      <c r="ET110" s="96">
        <f>IFERROR(VLOOKUP($B110,INDIRECT("'GRD-"&amp;ET$11&amp;"'!B:R"),15,FALSE),"")</f>
        <v/>
      </c>
      <c r="EU110" s="96">
        <f>IFERROR(VLOOKUP($B110,INDIRECT("'GRD-"&amp;EU$11&amp;"'!B:R"),15,FALSE),"")</f>
        <v/>
      </c>
      <c r="EV110" s="96">
        <f>IFERROR(VLOOKUP($B110,INDIRECT("'GRD-"&amp;EV$11&amp;"'!B:R"),15,FALSE),"")</f>
        <v/>
      </c>
      <c r="EW110" s="96">
        <f>IFERROR(VLOOKUP($B110,INDIRECT("'GRD-"&amp;EW$11&amp;"'!B:R"),15,FALSE),"")</f>
        <v/>
      </c>
      <c r="EX110" s="96">
        <f>IFERROR(VLOOKUP($B110,INDIRECT("'GRD-"&amp;EX$11&amp;"'!B:R"),15,FALSE),"")</f>
        <v/>
      </c>
      <c r="EY110" s="96">
        <f>IFERROR(VLOOKUP($B110,INDIRECT("'GRD-"&amp;EY$11&amp;"'!B:R"),15,FALSE),"")</f>
        <v/>
      </c>
      <c r="EZ110" s="96">
        <f>IFERROR(VLOOKUP($B110,INDIRECT("'GRD-"&amp;EZ$11&amp;"'!B:R"),15,FALSE),"")</f>
        <v/>
      </c>
      <c r="FA110" s="96">
        <f>IFERROR(VLOOKUP($B110,INDIRECT("'GRD-"&amp;FA$11&amp;"'!B:R"),15,FALSE),"")</f>
        <v/>
      </c>
      <c r="FB110" s="96">
        <f>IFERROR(VLOOKUP($B110,INDIRECT("'GRD-"&amp;FB$11&amp;"'!B:R"),15,FALSE),"")</f>
        <v/>
      </c>
      <c r="FC110" s="96">
        <f>IFERROR(VLOOKUP($B110,INDIRECT("'GRD-"&amp;FC$11&amp;"'!B:R"),15,FALSE),"")</f>
        <v/>
      </c>
      <c r="FD110" s="96">
        <f>IFERROR(VLOOKUP($B110,INDIRECT("'GRD-"&amp;FD$11&amp;"'!B:R"),15,FALSE),"")</f>
        <v/>
      </c>
      <c r="FE110" s="96">
        <f>IFERROR(VLOOKUP($B110,INDIRECT("'GRD-"&amp;FE$11&amp;"'!B:R"),15,FALSE),"")</f>
        <v/>
      </c>
      <c r="FF110" s="96">
        <f>IFERROR(VLOOKUP($B110,INDIRECT("'GRD-"&amp;FF$11&amp;"'!B:R"),15,FALSE),"")</f>
        <v/>
      </c>
      <c r="FG110" s="96">
        <f>IFERROR(VLOOKUP($B110,INDIRECT("'GRD-"&amp;FG$11&amp;"'!B:R"),15,FALSE),"")</f>
        <v/>
      </c>
      <c r="FH110" s="96">
        <f>IFERROR(VLOOKUP($B110,INDIRECT("'GRD-"&amp;FH$11&amp;"'!B:R"),15,FALSE),"")</f>
        <v/>
      </c>
      <c r="FI110" s="96">
        <f>IFERROR(VLOOKUP($B110,INDIRECT("'GRD-"&amp;FI$11&amp;"'!B:R"),15,FALSE),"")</f>
        <v/>
      </c>
      <c r="FJ110" s="96">
        <f>IFERROR(VLOOKUP($B110,INDIRECT("'GRD-"&amp;FJ$11&amp;"'!B:R"),15,FALSE),"")</f>
        <v/>
      </c>
      <c r="FK110" s="96">
        <f>IFERROR(VLOOKUP($B110,INDIRECT("'GRD-"&amp;FK$11&amp;"'!B:R"),15,FALSE),"")</f>
        <v/>
      </c>
      <c r="FL110" s="96">
        <f>IFERROR(VLOOKUP($B110,INDIRECT("'GRD-"&amp;FL$11&amp;"'!B:R"),15,FALSE),"")</f>
        <v/>
      </c>
      <c r="FM110" s="96">
        <f>IFERROR(VLOOKUP($B110,INDIRECT("'GRD-"&amp;FM$11&amp;"'!B:R"),15,FALSE),"")</f>
        <v/>
      </c>
      <c r="FN110" s="96">
        <f>IFERROR(VLOOKUP($B110,INDIRECT("'GRD-"&amp;FN$11&amp;"'!B:R"),15,FALSE),"")</f>
        <v/>
      </c>
      <c r="FO110" s="96">
        <f>IFERROR(VLOOKUP($B110,INDIRECT("'GRD-"&amp;FO$11&amp;"'!B:R"),15,FALSE),"")</f>
        <v/>
      </c>
      <c r="FP110" s="96">
        <f>IFERROR(VLOOKUP($B110,INDIRECT("'GRD-"&amp;FP$11&amp;"'!B:R"),15,FALSE),"")</f>
        <v/>
      </c>
      <c r="FQ110" s="96">
        <f>IFERROR(VLOOKUP($B110,INDIRECT("'GRD-"&amp;FQ$11&amp;"'!B:R"),15,FALSE),"")</f>
        <v/>
      </c>
      <c r="FR110" s="96">
        <f>IFERROR(VLOOKUP($B110,INDIRECT("'GRD-"&amp;FR$11&amp;"'!B:R"),15,FALSE),"")</f>
        <v/>
      </c>
      <c r="FS110" s="96">
        <f>IFERROR(VLOOKUP($B110,INDIRECT("'GRD-"&amp;FS$11&amp;"'!B:R"),15,FALSE),"")</f>
        <v/>
      </c>
      <c r="FT110" s="96">
        <f>IFERROR(VLOOKUP($B110,INDIRECT("'GRD-"&amp;FT$11&amp;"'!B:R"),15,FALSE),"")</f>
        <v/>
      </c>
      <c r="FU110" s="96">
        <f>IFERROR(VLOOKUP($B110,INDIRECT("'GRD-"&amp;FU$11&amp;"'!B:R"),15,FALSE),"")</f>
        <v/>
      </c>
      <c r="FV110" s="96">
        <f>IFERROR(VLOOKUP($B110,INDIRECT("'GRD-"&amp;FV$11&amp;"'!B:R"),15,FALSE),"")</f>
        <v/>
      </c>
    </row>
    <row r="111">
      <c r="B111" s="85" t="n"/>
      <c r="C111" s="93" t="n"/>
      <c r="D111" s="73">
        <f>IF(K111="","",MAX($CA111:$FV111))</f>
        <v/>
      </c>
      <c r="E111" s="74">
        <f t="array" ref="E111">IF($K111="","",OFFSET($A$1,ROW($B111)-1,11+$D111*4,))</f>
        <v/>
      </c>
      <c r="F111" s="74">
        <f t="array" ref="F111">IF($K111="","",OFFSET($A$1,ROW($B111)-1,12+$D111*4,))</f>
        <v/>
      </c>
      <c r="G111" s="118">
        <f t="array" ref="G111">IF($K111="","",OFFSET($A$1,ROW($B111)-1,13+$D111*4,))</f>
        <v/>
      </c>
      <c r="H111" s="81" t="n"/>
      <c r="I111" s="82" t="n"/>
      <c r="J111" s="75">
        <f>IF(I111="A4",H111/8,IF(I111="A3",H111/4,IF(I111="A2",H111/2,IF(I111="A1",H111/1,IF(I111="A0",H111*2,"")))))</f>
        <v/>
      </c>
      <c r="K111" s="68">
        <f t="array" ref="K111">IFERROR(OFFSET($BZ$11,ROW($B111)-11,MATCH(K$10,$CA111:$FV111,0),),"")</f>
        <v/>
      </c>
      <c r="L111" s="85">
        <f>IF(K111="","",IF(VLOOKUP($B111,INDIRECT("'GRD-"&amp;M111&amp;"'!$B:$R"),16,FALSE)="","",VLOOKUP($B111,INDIRECT("'GRD-"&amp;M111&amp;"'!$B:$R"),16,FALSE)))</f>
        <v/>
      </c>
      <c r="M111" s="130">
        <f t="array" ref="M111">IF(K111="","",IFERROR(OFFSET($BZ$11,0,MATCH($K111,$CA111:$FV111,0),),""))</f>
        <v/>
      </c>
      <c r="N111" s="119">
        <f t="array" ref="N111">IF(K111="","",INDIRECT("'GRD-"&amp;M111&amp;"'!$L$7"))</f>
        <v/>
      </c>
      <c r="O111" s="76">
        <f t="array" ref="O111">IFERROR(OFFSET($BZ$11,ROW($B111)-11,MATCH(O$10,$CA111:$FV111,0),),"")</f>
        <v/>
      </c>
      <c r="P111" s="76">
        <f>IF(O111="","",IF(VLOOKUP($B111,INDIRECT("'GRD-"&amp;Q111&amp;"'!$B:$R"),16,FALSE)="","",VLOOKUP($B111,INDIRECT("'GRD-"&amp;Q111&amp;"'!$B:$R"),16,FALSE)))</f>
        <v/>
      </c>
      <c r="Q111" s="132">
        <f t="array" ref="Q111">IF(O111="","",IFERROR(OFFSET($BZ$11,0,MATCH($O111,$CA111:$FV111,0),),""))</f>
        <v/>
      </c>
      <c r="R111" s="121">
        <f t="array" ref="R111">IF(O111="","",INDIRECT("'GRD-"&amp;Q111&amp;"'!$L$7"))</f>
        <v/>
      </c>
      <c r="S111" s="83">
        <f t="array" ref="S111">IFERROR(OFFSET($BZ$11,ROW($B111)-11,MATCH(S$10,$CA111:$FV111,0),),"")</f>
        <v/>
      </c>
      <c r="T111" s="83">
        <f>IF(S111="","",IF(VLOOKUP($B111,INDIRECT("'GRD-"&amp;U111&amp;"'!$B:$R"),16,FALSE)="","",VLOOKUP($B111,INDIRECT("'GRD-"&amp;U111&amp;"'!$B:$R"),16,FALSE)))</f>
        <v/>
      </c>
      <c r="U111" s="128">
        <f t="array" ref="U111">IF(S111="","",IFERROR(OFFSET($BZ$11,0,MATCH($S111,$CA111:$FV111,0),),""))</f>
        <v/>
      </c>
      <c r="V111" s="133">
        <f t="array" ref="V111">IF(S111="","",INDIRECT("'GRD-"&amp;U111&amp;"'!$L$7"))</f>
        <v/>
      </c>
      <c r="W111" s="84">
        <f t="array" ref="W111">IFERROR(OFFSET($BZ$11,ROW($B111)-11,MATCH(W$10,$CA111:$FV111,0),),"")</f>
        <v/>
      </c>
      <c r="X111" s="84">
        <f>IF(W111="","",IF(VLOOKUP($B111,INDIRECT("'GRD-"&amp;Y111&amp;"'!$B:$R"),16,FALSE)="","",VLOOKUP($B111,INDIRECT("'GRD-"&amp;Y111&amp;"'!$B:$R"),16,FALSE)))</f>
        <v/>
      </c>
      <c r="Y111" s="129">
        <f t="array" ref="Y111">IF(W111="","",IFERROR(OFFSET($BZ$11,0,MATCH($W111,$CA111:$FV111,0),),""))</f>
        <v/>
      </c>
      <c r="Z111" s="134">
        <f t="array" ref="Z111">IF(W111="","",INDIRECT("'GRD-"&amp;Y111&amp;"'!$L$7"))</f>
        <v/>
      </c>
      <c r="AA111" s="85">
        <f t="array" ref="AA111">IFERROR(OFFSET($BZ$11,ROW($B111)-11,MATCH(AA$10,$CA111:$FV111,0),),"")</f>
        <v/>
      </c>
      <c r="AB111" s="85">
        <f>IF(AA111="","",IF(VLOOKUP($B111,INDIRECT("'GRD-"&amp;AC111&amp;"'!$B:$R"),16,FALSE)="","",VLOOKUP($B111,INDIRECT("'GRD-"&amp;AC111&amp;"'!$B:$R"),16,FALSE)))</f>
        <v/>
      </c>
      <c r="AC111" s="130">
        <f t="array" ref="AC111">IF(AA111="","",IFERROR(OFFSET($BZ$11,0,MATCH($AA111,$CA111:$FV111,0),),""))</f>
        <v/>
      </c>
      <c r="AD111" s="131">
        <f t="array" ref="AD111">IF(AA111="","",INDIRECT("'GRD-"&amp;AC111&amp;"'!$L$7"))</f>
        <v/>
      </c>
      <c r="AE111" s="76">
        <f t="array" ref="AE111">IFERROR(OFFSET($BZ$11,ROW($B111)-11,MATCH(AE$10,$CA111:$FV111,0),),"")</f>
        <v/>
      </c>
      <c r="AF111" s="76">
        <f>IF(AE111="","",IF(VLOOKUP($B111,INDIRECT("'GRD-"&amp;AG111&amp;"'!$B:$R"),16,FALSE)="","",VLOOKUP($B111,INDIRECT("'GRD-"&amp;AG111&amp;"'!$B:$R"),16,FALSE)))</f>
        <v/>
      </c>
      <c r="AG111" s="132">
        <f t="array" ref="AG111">IF(AE111="","",IFERROR(OFFSET($BZ$11,0,MATCH($AE111,$CA111:$FV111,0),),""))</f>
        <v/>
      </c>
      <c r="AH111" s="121">
        <f t="array" ref="AH111">IF(AE111="","",INDIRECT("'GRD-"&amp;AG111&amp;"'!$L$7"))</f>
        <v/>
      </c>
      <c r="AI111" s="83">
        <f t="array" ref="AI111">IFERROR(OFFSET($BZ$11,ROW($B111)-11,MATCH(AI$10,$CA111:$FV111,0),),"")</f>
        <v/>
      </c>
      <c r="AJ111" s="83">
        <f>IF(AI111="","",IF(VLOOKUP($B111,INDIRECT("'GRD-"&amp;AK111&amp;"'!$B:$R"),16,FALSE)="","",VLOOKUP($B111,INDIRECT("'GRD-"&amp;AK111&amp;"'!$B:$R"),16,FALSE)))</f>
        <v/>
      </c>
      <c r="AK111" s="128">
        <f t="array" ref="AK111">IF(AI111="","",IFERROR(OFFSET($BZ$11,0,MATCH($AI111,$CA111:$FV111,0),),""))</f>
        <v/>
      </c>
      <c r="AL111" s="133">
        <f t="array" ref="AL111">IF(AI111="","",INDIRECT("'GRD-"&amp;AK111&amp;"'!$L$7"))</f>
        <v/>
      </c>
      <c r="AM111" s="84">
        <f t="array" ref="AM111">IFERROR(OFFSET($BZ$11,ROW($B111)-11,MATCH(AM$10,$CA111:$FV111,0),),"")</f>
        <v/>
      </c>
      <c r="AN111" s="84">
        <f>IF(AM111="","",IF(VLOOKUP($B111,INDIRECT("'GRD-"&amp;AO111&amp;"'!$B:$R"),16,FALSE)="","",VLOOKUP($B111,INDIRECT("'GRD-"&amp;AO111&amp;"'!$B:$R"),16,FALSE)))</f>
        <v/>
      </c>
      <c r="AO111" s="129">
        <f t="array" ref="AO111">IF(AM111="","",IFERROR(OFFSET($BZ$11,0,MATCH($AM111,$CA111:$FV111,0),),""))</f>
        <v/>
      </c>
      <c r="AP111" s="134">
        <f t="array" ref="AP111">IF(AM111="","",INDIRECT("'GRD-"&amp;AO111&amp;"'!$L$7"))</f>
        <v/>
      </c>
      <c r="AQ111" s="85">
        <f t="array" ref="AQ111">IFERROR(OFFSET($BZ$11,ROW($B111)-11,MATCH(AQ$10,$CA111:$FV111,0),),"")</f>
        <v/>
      </c>
      <c r="AR111" s="85">
        <f>IF(AQ111="","",IF(VLOOKUP($B111,INDIRECT("'GRD-"&amp;AS111&amp;"'!$B:$R"),16,FALSE)="","",VLOOKUP($B111,INDIRECT("'GRD-"&amp;AS111&amp;"'!$B:$R"),16,FALSE)))</f>
        <v/>
      </c>
      <c r="AS111" s="130">
        <f t="array" ref="AS111">IF(AQ111="","",IFERROR(OFFSET($BZ$11,0,MATCH($AQ111,$CA111:$FV111,0),),""))</f>
        <v/>
      </c>
      <c r="AT111" s="131">
        <f t="array" ref="AT111">IF(AQ111="","",INDIRECT("'GRD-"&amp;AS111&amp;"'!$L$7"))</f>
        <v/>
      </c>
      <c r="AU111" s="76">
        <f t="array" ref="AU111">IFERROR(OFFSET($BZ$11,ROW($B111)-11,MATCH(AU$10,$CA111:$FV111,0),),"")</f>
        <v/>
      </c>
      <c r="AV111" s="76">
        <f>IF(AU111="","",IF(VLOOKUP($B111,INDIRECT("'GRD-"&amp;AW111&amp;"'!$B:$R"),16,FALSE)="","",VLOOKUP($B111,INDIRECT("'GRD-"&amp;AW111&amp;"'!$B:$R"),16,FALSE)))</f>
        <v/>
      </c>
      <c r="AW111" s="132">
        <f t="array" ref="AW111">IF(AU111="","",IFERROR(OFFSET($BZ$11,0,MATCH($AU111,$CA111:$FV111,0),),""))</f>
        <v/>
      </c>
      <c r="AX111" s="121">
        <f t="array" ref="AX111">IF(AU111="","",INDIRECT("'GRD-"&amp;AW111&amp;"'!$L$7"))</f>
        <v/>
      </c>
      <c r="AY111" s="83">
        <f t="array" ref="AY111">IFERROR(OFFSET($BZ$11,ROW($B111)-11,MATCH(AY$10,$CA111:$FV111,0),),"")</f>
        <v/>
      </c>
      <c r="AZ111" s="83">
        <f>IF(AY111="","",IF(VLOOKUP($B111,INDIRECT("'GRD-"&amp;BA111&amp;"'!$B:$R"),16,FALSE)="","",VLOOKUP($B111,INDIRECT("'GRD-"&amp;BA111&amp;"'!$B:$R"),16,FALSE)))</f>
        <v/>
      </c>
      <c r="BA111" s="128">
        <f t="array" ref="BA111">IF(AY111="","",IFERROR(OFFSET($BZ$11,0,MATCH($AY111,$CA111:$FV111,0),),""))</f>
        <v/>
      </c>
      <c r="BB111" s="133">
        <f t="array" ref="BB111">IF(AY111="","",INDIRECT("'GRD-"&amp;BA111&amp;"'!$L$7"))</f>
        <v/>
      </c>
      <c r="BC111" s="84">
        <f t="array" ref="BC111">IFERROR(OFFSET($BZ$11,ROW($B111)-11,MATCH(BC$10,$CA111:$FV111,0),),"")</f>
        <v/>
      </c>
      <c r="BD111" s="84">
        <f>IF(BC111="","",IF(VLOOKUP($B111,INDIRECT("'GRD-"&amp;BE111&amp;"'!$B:$R"),16,FALSE)="","",VLOOKUP($B111,INDIRECT("'GRD-"&amp;BE111&amp;"'!$B:$R"),16,FALSE)))</f>
        <v/>
      </c>
      <c r="BE111" s="129">
        <f t="array" ref="BE111">IF(BC111="","",IFERROR(OFFSET($BZ$11,0,MATCH($BC111,$CA111:$FV111,0),),""))</f>
        <v/>
      </c>
      <c r="BF111" s="134">
        <f t="array" ref="BF111">IF(BC111="","",INDIRECT("'GRD-"&amp;BE111&amp;"'!$L$7"))</f>
        <v/>
      </c>
      <c r="CA111" s="96">
        <f>IFERROR(VLOOKUP($B111,INDIRECT("'GRD-"&amp;CA$11&amp;"'!B:R"),15,FALSE),"")</f>
        <v/>
      </c>
      <c r="CB111" s="96">
        <f>IFERROR(VLOOKUP($B111,INDIRECT("'GRD-"&amp;CB$11&amp;"'!B:R"),15,FALSE),"")</f>
        <v/>
      </c>
      <c r="CC111" s="96">
        <f>IFERROR(VLOOKUP($B111,INDIRECT("'GRD-"&amp;CC$11&amp;"'!B:R"),15,FALSE),"")</f>
        <v/>
      </c>
      <c r="CD111" s="96">
        <f>IFERROR(VLOOKUP($B111,INDIRECT("'GRD-"&amp;CD$11&amp;"'!B:R"),15,FALSE),"")</f>
        <v/>
      </c>
      <c r="CE111" s="96">
        <f>IFERROR(VLOOKUP($B111,INDIRECT("'GRD-"&amp;CE$11&amp;"'!B:R"),15,FALSE),"")</f>
        <v/>
      </c>
      <c r="CF111" s="96">
        <f>IFERROR(VLOOKUP($B111,INDIRECT("'GRD-"&amp;CF$11&amp;"'!B:R"),15,FALSE),"")</f>
        <v/>
      </c>
      <c r="CG111" s="96">
        <f>IFERROR(VLOOKUP($B111,INDIRECT("'GRD-"&amp;CG$11&amp;"'!B:R"),15,FALSE),"")</f>
        <v/>
      </c>
      <c r="CH111" s="96">
        <f>IFERROR(VLOOKUP($B111,INDIRECT("'GRD-"&amp;CH$11&amp;"'!B:R"),15,FALSE),"")</f>
        <v/>
      </c>
      <c r="CI111" s="96">
        <f>IFERROR(VLOOKUP($B111,INDIRECT("'GRD-"&amp;CI$11&amp;"'!B:R"),15,FALSE),"")</f>
        <v/>
      </c>
      <c r="CJ111" s="96">
        <f>IFERROR(VLOOKUP($B111,INDIRECT("'GRD-"&amp;CJ$11&amp;"'!B:R"),15,FALSE),"")</f>
        <v/>
      </c>
      <c r="CK111" s="96">
        <f>IFERROR(VLOOKUP($B111,INDIRECT("'GRD-"&amp;CK$11&amp;"'!B:R"),15,FALSE),"")</f>
        <v/>
      </c>
      <c r="CL111" s="96">
        <f>IFERROR(VLOOKUP($B111,INDIRECT("'GRD-"&amp;CL$11&amp;"'!B:R"),15,FALSE),"")</f>
        <v/>
      </c>
      <c r="CM111" s="96">
        <f>IFERROR(VLOOKUP($B111,INDIRECT("'GRD-"&amp;CM$11&amp;"'!B:R"),15,FALSE),"")</f>
        <v/>
      </c>
      <c r="CN111" s="96">
        <f>IFERROR(VLOOKUP($B111,INDIRECT("'GRD-"&amp;CN$11&amp;"'!B:R"),15,FALSE),"")</f>
        <v/>
      </c>
      <c r="CO111" s="96">
        <f>IFERROR(VLOOKUP($B111,INDIRECT("'GRD-"&amp;CO$11&amp;"'!B:R"),15,FALSE),"")</f>
        <v/>
      </c>
      <c r="CP111" s="96">
        <f>IFERROR(VLOOKUP($B111,INDIRECT("'GRD-"&amp;CP$11&amp;"'!B:R"),15,FALSE),"")</f>
        <v/>
      </c>
      <c r="CQ111" s="96">
        <f>IFERROR(VLOOKUP($B111,INDIRECT("'GRD-"&amp;CQ$11&amp;"'!B:R"),15,FALSE),"")</f>
        <v/>
      </c>
      <c r="CR111" s="96">
        <f>IFERROR(VLOOKUP($B111,INDIRECT("'GRD-"&amp;CR$11&amp;"'!B:R"),15,FALSE),"")</f>
        <v/>
      </c>
      <c r="CS111" s="96">
        <f>IFERROR(VLOOKUP($B111,INDIRECT("'GRD-"&amp;CS$11&amp;"'!B:R"),15,FALSE),"")</f>
        <v/>
      </c>
      <c r="CT111" s="96">
        <f>IFERROR(VLOOKUP($B111,INDIRECT("'GRD-"&amp;CT$11&amp;"'!B:R"),15,FALSE),"")</f>
        <v/>
      </c>
      <c r="CU111" s="96">
        <f>IFERROR(VLOOKUP($B111,INDIRECT("'GRD-"&amp;CU$11&amp;"'!B:R"),15,FALSE),"")</f>
        <v/>
      </c>
      <c r="CV111" s="96">
        <f>IFERROR(VLOOKUP($B111,INDIRECT("'GRD-"&amp;CV$11&amp;"'!B:R"),15,FALSE),"")</f>
        <v/>
      </c>
      <c r="CW111" s="96">
        <f>IFERROR(VLOOKUP($B111,INDIRECT("'GRD-"&amp;CW$11&amp;"'!B:R"),15,FALSE),"")</f>
        <v/>
      </c>
      <c r="CX111" s="96">
        <f>IFERROR(VLOOKUP($B111,INDIRECT("'GRD-"&amp;CX$11&amp;"'!B:R"),15,FALSE),"")</f>
        <v/>
      </c>
      <c r="CY111" s="96">
        <f>IFERROR(VLOOKUP($B111,INDIRECT("'GRD-"&amp;CY$11&amp;"'!B:R"),15,FALSE),"")</f>
        <v/>
      </c>
      <c r="CZ111" s="96">
        <f>IFERROR(VLOOKUP($B111,INDIRECT("'GRD-"&amp;CZ$11&amp;"'!B:R"),15,FALSE),"")</f>
        <v/>
      </c>
      <c r="DA111" s="96">
        <f>IFERROR(VLOOKUP($B111,INDIRECT("'GRD-"&amp;DA$11&amp;"'!B:R"),15,FALSE),"")</f>
        <v/>
      </c>
      <c r="DB111" s="96">
        <f>IFERROR(VLOOKUP($B111,INDIRECT("'GRD-"&amp;DB$11&amp;"'!B:R"),15,FALSE),"")</f>
        <v/>
      </c>
      <c r="DC111" s="96">
        <f>IFERROR(VLOOKUP($B111,INDIRECT("'GRD-"&amp;DC$11&amp;"'!B:R"),15,FALSE),"")</f>
        <v/>
      </c>
      <c r="DD111" s="96">
        <f>IFERROR(VLOOKUP($B111,INDIRECT("'GRD-"&amp;DD$11&amp;"'!B:R"),15,FALSE),"")</f>
        <v/>
      </c>
      <c r="DE111" s="96">
        <f>IFERROR(VLOOKUP($B111,INDIRECT("'GRD-"&amp;DE$11&amp;"'!B:R"),15,FALSE),"")</f>
        <v/>
      </c>
      <c r="DF111" s="96">
        <f>IFERROR(VLOOKUP($B111,INDIRECT("'GRD-"&amp;DF$11&amp;"'!B:R"),15,FALSE),"")</f>
        <v/>
      </c>
      <c r="DG111" s="96">
        <f>IFERROR(VLOOKUP($B111,INDIRECT("'GRD-"&amp;DG$11&amp;"'!B:R"),15,FALSE),"")</f>
        <v/>
      </c>
      <c r="DH111" s="96">
        <f>IFERROR(VLOOKUP($B111,INDIRECT("'GRD-"&amp;DH$11&amp;"'!B:R"),15,FALSE),"")</f>
        <v/>
      </c>
      <c r="DI111" s="96">
        <f>IFERROR(VLOOKUP($B111,INDIRECT("'GRD-"&amp;DI$11&amp;"'!B:R"),15,FALSE),"")</f>
        <v/>
      </c>
      <c r="DJ111" s="96">
        <f>IFERROR(VLOOKUP($B111,INDIRECT("'GRD-"&amp;DJ$11&amp;"'!B:R"),15,FALSE),"")</f>
        <v/>
      </c>
      <c r="DK111" s="96">
        <f>IFERROR(VLOOKUP($B111,INDIRECT("'GRD-"&amp;DK$11&amp;"'!B:R"),15,FALSE),"")</f>
        <v/>
      </c>
      <c r="DL111" s="96">
        <f>IFERROR(VLOOKUP($B111,INDIRECT("'GRD-"&amp;DL$11&amp;"'!B:R"),15,FALSE),"")</f>
        <v/>
      </c>
      <c r="DM111" s="96">
        <f>IFERROR(VLOOKUP($B111,INDIRECT("'GRD-"&amp;DM$11&amp;"'!B:R"),15,FALSE),"")</f>
        <v/>
      </c>
      <c r="DN111" s="96">
        <f>IFERROR(VLOOKUP($B111,INDIRECT("'GRD-"&amp;DN$11&amp;"'!B:R"),15,FALSE),"")</f>
        <v/>
      </c>
      <c r="DO111" s="96">
        <f>IFERROR(VLOOKUP($B111,INDIRECT("'GRD-"&amp;DO$11&amp;"'!B:R"),15,FALSE),"")</f>
        <v/>
      </c>
      <c r="DP111" s="96">
        <f>IFERROR(VLOOKUP($B111,INDIRECT("'GRD-"&amp;DP$11&amp;"'!B:R"),15,FALSE),"")</f>
        <v/>
      </c>
      <c r="DQ111" s="96">
        <f>IFERROR(VLOOKUP($B111,INDIRECT("'GRD-"&amp;DQ$11&amp;"'!B:R"),15,FALSE),"")</f>
        <v/>
      </c>
      <c r="DR111" s="96">
        <f>IFERROR(VLOOKUP($B111,INDIRECT("'GRD-"&amp;DR$11&amp;"'!B:R"),15,FALSE),"")</f>
        <v/>
      </c>
      <c r="DS111" s="96">
        <f>IFERROR(VLOOKUP($B111,INDIRECT("'GRD-"&amp;DS$11&amp;"'!B:R"),15,FALSE),"")</f>
        <v/>
      </c>
      <c r="DT111" s="96">
        <f>IFERROR(VLOOKUP($B111,INDIRECT("'GRD-"&amp;DT$11&amp;"'!B:R"),15,FALSE),"")</f>
        <v/>
      </c>
      <c r="DU111" s="96">
        <f>IFERROR(VLOOKUP($B111,INDIRECT("'GRD-"&amp;DU$11&amp;"'!B:R"),15,FALSE),"")</f>
        <v/>
      </c>
      <c r="DV111" s="96">
        <f>IFERROR(VLOOKUP($B111,INDIRECT("'GRD-"&amp;DV$11&amp;"'!B:R"),15,FALSE),"")</f>
        <v/>
      </c>
      <c r="DW111" s="96">
        <f>IFERROR(VLOOKUP($B111,INDIRECT("'GRD-"&amp;DW$11&amp;"'!B:R"),15,FALSE),"")</f>
        <v/>
      </c>
      <c r="DX111" s="96">
        <f>IFERROR(VLOOKUP($B111,INDIRECT("'GRD-"&amp;DX$11&amp;"'!B:R"),15,FALSE),"")</f>
        <v/>
      </c>
      <c r="DY111" s="96">
        <f>IFERROR(VLOOKUP($B111,INDIRECT("'GRD-"&amp;DY$11&amp;"'!B:R"),15,FALSE),"")</f>
        <v/>
      </c>
      <c r="DZ111" s="96">
        <f>IFERROR(VLOOKUP($B111,INDIRECT("'GRD-"&amp;DZ$11&amp;"'!B:R"),15,FALSE),"")</f>
        <v/>
      </c>
      <c r="EA111" s="96">
        <f>IFERROR(VLOOKUP($B111,INDIRECT("'GRD-"&amp;EA$11&amp;"'!B:R"),15,FALSE),"")</f>
        <v/>
      </c>
      <c r="EB111" s="96">
        <f>IFERROR(VLOOKUP($B111,INDIRECT("'GRD-"&amp;EB$11&amp;"'!B:R"),15,FALSE),"")</f>
        <v/>
      </c>
      <c r="EC111" s="96">
        <f>IFERROR(VLOOKUP($B111,INDIRECT("'GRD-"&amp;EC$11&amp;"'!B:R"),15,FALSE),"")</f>
        <v/>
      </c>
      <c r="ED111" s="96">
        <f>IFERROR(VLOOKUP($B111,INDIRECT("'GRD-"&amp;ED$11&amp;"'!B:R"),15,FALSE),"")</f>
        <v/>
      </c>
      <c r="EE111" s="96">
        <f>IFERROR(VLOOKUP($B111,INDIRECT("'GRD-"&amp;EE$11&amp;"'!B:R"),15,FALSE),"")</f>
        <v/>
      </c>
      <c r="EF111" s="96">
        <f>IFERROR(VLOOKUP($B111,INDIRECT("'GRD-"&amp;EF$11&amp;"'!B:R"),15,FALSE),"")</f>
        <v/>
      </c>
      <c r="EG111" s="96">
        <f>IFERROR(VLOOKUP($B111,INDIRECT("'GRD-"&amp;EG$11&amp;"'!B:R"),15,FALSE),"")</f>
        <v/>
      </c>
      <c r="EH111" s="96">
        <f>IFERROR(VLOOKUP($B111,INDIRECT("'GRD-"&amp;EH$11&amp;"'!B:R"),15,FALSE),"")</f>
        <v/>
      </c>
      <c r="EI111" s="96">
        <f>IFERROR(VLOOKUP($B111,INDIRECT("'GRD-"&amp;EI$11&amp;"'!B:R"),15,FALSE),"")</f>
        <v/>
      </c>
      <c r="EJ111" s="96">
        <f>IFERROR(VLOOKUP($B111,INDIRECT("'GRD-"&amp;EJ$11&amp;"'!B:R"),15,FALSE),"")</f>
        <v/>
      </c>
      <c r="EK111" s="96">
        <f>IFERROR(VLOOKUP($B111,INDIRECT("'GRD-"&amp;EK$11&amp;"'!B:R"),15,FALSE),"")</f>
        <v/>
      </c>
      <c r="EL111" s="96">
        <f>IFERROR(VLOOKUP($B111,INDIRECT("'GRD-"&amp;EL$11&amp;"'!B:R"),15,FALSE),"")</f>
        <v/>
      </c>
      <c r="EM111" s="96">
        <f>IFERROR(VLOOKUP($B111,INDIRECT("'GRD-"&amp;EM$11&amp;"'!B:R"),15,FALSE),"")</f>
        <v/>
      </c>
      <c r="EN111" s="96">
        <f>IFERROR(VLOOKUP($B111,INDIRECT("'GRD-"&amp;EN$11&amp;"'!B:R"),15,FALSE),"")</f>
        <v/>
      </c>
      <c r="EO111" s="96">
        <f>IFERROR(VLOOKUP($B111,INDIRECT("'GRD-"&amp;EO$11&amp;"'!B:R"),15,FALSE),"")</f>
        <v/>
      </c>
      <c r="EP111" s="96">
        <f>IFERROR(VLOOKUP($B111,INDIRECT("'GRD-"&amp;EP$11&amp;"'!B:R"),15,FALSE),"")</f>
        <v/>
      </c>
      <c r="EQ111" s="96">
        <f>IFERROR(VLOOKUP($B111,INDIRECT("'GRD-"&amp;EQ$11&amp;"'!B:R"),15,FALSE),"")</f>
        <v/>
      </c>
      <c r="ER111" s="96">
        <f>IFERROR(VLOOKUP($B111,INDIRECT("'GRD-"&amp;ER$11&amp;"'!B:R"),15,FALSE),"")</f>
        <v/>
      </c>
      <c r="ES111" s="96">
        <f>IFERROR(VLOOKUP($B111,INDIRECT("'GRD-"&amp;ES$11&amp;"'!B:R"),15,FALSE),"")</f>
        <v/>
      </c>
      <c r="ET111" s="96">
        <f>IFERROR(VLOOKUP($B111,INDIRECT("'GRD-"&amp;ET$11&amp;"'!B:R"),15,FALSE),"")</f>
        <v/>
      </c>
      <c r="EU111" s="96">
        <f>IFERROR(VLOOKUP($B111,INDIRECT("'GRD-"&amp;EU$11&amp;"'!B:R"),15,FALSE),"")</f>
        <v/>
      </c>
      <c r="EV111" s="96">
        <f>IFERROR(VLOOKUP($B111,INDIRECT("'GRD-"&amp;EV$11&amp;"'!B:R"),15,FALSE),"")</f>
        <v/>
      </c>
      <c r="EW111" s="96">
        <f>IFERROR(VLOOKUP($B111,INDIRECT("'GRD-"&amp;EW$11&amp;"'!B:R"),15,FALSE),"")</f>
        <v/>
      </c>
      <c r="EX111" s="96">
        <f>IFERROR(VLOOKUP($B111,INDIRECT("'GRD-"&amp;EX$11&amp;"'!B:R"),15,FALSE),"")</f>
        <v/>
      </c>
      <c r="EY111" s="96">
        <f>IFERROR(VLOOKUP($B111,INDIRECT("'GRD-"&amp;EY$11&amp;"'!B:R"),15,FALSE),"")</f>
        <v/>
      </c>
      <c r="EZ111" s="96">
        <f>IFERROR(VLOOKUP($B111,INDIRECT("'GRD-"&amp;EZ$11&amp;"'!B:R"),15,FALSE),"")</f>
        <v/>
      </c>
      <c r="FA111" s="96">
        <f>IFERROR(VLOOKUP($B111,INDIRECT("'GRD-"&amp;FA$11&amp;"'!B:R"),15,FALSE),"")</f>
        <v/>
      </c>
      <c r="FB111" s="96">
        <f>IFERROR(VLOOKUP($B111,INDIRECT("'GRD-"&amp;FB$11&amp;"'!B:R"),15,FALSE),"")</f>
        <v/>
      </c>
      <c r="FC111" s="96">
        <f>IFERROR(VLOOKUP($B111,INDIRECT("'GRD-"&amp;FC$11&amp;"'!B:R"),15,FALSE),"")</f>
        <v/>
      </c>
      <c r="FD111" s="96">
        <f>IFERROR(VLOOKUP($B111,INDIRECT("'GRD-"&amp;FD$11&amp;"'!B:R"),15,FALSE),"")</f>
        <v/>
      </c>
      <c r="FE111" s="96">
        <f>IFERROR(VLOOKUP($B111,INDIRECT("'GRD-"&amp;FE$11&amp;"'!B:R"),15,FALSE),"")</f>
        <v/>
      </c>
      <c r="FF111" s="96">
        <f>IFERROR(VLOOKUP($B111,INDIRECT("'GRD-"&amp;FF$11&amp;"'!B:R"),15,FALSE),"")</f>
        <v/>
      </c>
      <c r="FG111" s="96">
        <f>IFERROR(VLOOKUP($B111,INDIRECT("'GRD-"&amp;FG$11&amp;"'!B:R"),15,FALSE),"")</f>
        <v/>
      </c>
      <c r="FH111" s="96">
        <f>IFERROR(VLOOKUP($B111,INDIRECT("'GRD-"&amp;FH$11&amp;"'!B:R"),15,FALSE),"")</f>
        <v/>
      </c>
      <c r="FI111" s="96">
        <f>IFERROR(VLOOKUP($B111,INDIRECT("'GRD-"&amp;FI$11&amp;"'!B:R"),15,FALSE),"")</f>
        <v/>
      </c>
      <c r="FJ111" s="96">
        <f>IFERROR(VLOOKUP($B111,INDIRECT("'GRD-"&amp;FJ$11&amp;"'!B:R"),15,FALSE),"")</f>
        <v/>
      </c>
      <c r="FK111" s="96">
        <f>IFERROR(VLOOKUP($B111,INDIRECT("'GRD-"&amp;FK$11&amp;"'!B:R"),15,FALSE),"")</f>
        <v/>
      </c>
      <c r="FL111" s="96">
        <f>IFERROR(VLOOKUP($B111,INDIRECT("'GRD-"&amp;FL$11&amp;"'!B:R"),15,FALSE),"")</f>
        <v/>
      </c>
      <c r="FM111" s="96">
        <f>IFERROR(VLOOKUP($B111,INDIRECT("'GRD-"&amp;FM$11&amp;"'!B:R"),15,FALSE),"")</f>
        <v/>
      </c>
      <c r="FN111" s="96">
        <f>IFERROR(VLOOKUP($B111,INDIRECT("'GRD-"&amp;FN$11&amp;"'!B:R"),15,FALSE),"")</f>
        <v/>
      </c>
      <c r="FO111" s="96">
        <f>IFERROR(VLOOKUP($B111,INDIRECT("'GRD-"&amp;FO$11&amp;"'!B:R"),15,FALSE),"")</f>
        <v/>
      </c>
      <c r="FP111" s="96">
        <f>IFERROR(VLOOKUP($B111,INDIRECT("'GRD-"&amp;FP$11&amp;"'!B:R"),15,FALSE),"")</f>
        <v/>
      </c>
      <c r="FQ111" s="96">
        <f>IFERROR(VLOOKUP($B111,INDIRECT("'GRD-"&amp;FQ$11&amp;"'!B:R"),15,FALSE),"")</f>
        <v/>
      </c>
      <c r="FR111" s="96">
        <f>IFERROR(VLOOKUP($B111,INDIRECT("'GRD-"&amp;FR$11&amp;"'!B:R"),15,FALSE),"")</f>
        <v/>
      </c>
      <c r="FS111" s="96">
        <f>IFERROR(VLOOKUP($B111,INDIRECT("'GRD-"&amp;FS$11&amp;"'!B:R"),15,FALSE),"")</f>
        <v/>
      </c>
      <c r="FT111" s="96">
        <f>IFERROR(VLOOKUP($B111,INDIRECT("'GRD-"&amp;FT$11&amp;"'!B:R"),15,FALSE),"")</f>
        <v/>
      </c>
      <c r="FU111" s="96">
        <f>IFERROR(VLOOKUP($B111,INDIRECT("'GRD-"&amp;FU$11&amp;"'!B:R"),15,FALSE),"")</f>
        <v/>
      </c>
      <c r="FV111" s="96">
        <f>IFERROR(VLOOKUP($B111,INDIRECT("'GRD-"&amp;FV$11&amp;"'!B:R"),15,FALSE),"")</f>
        <v/>
      </c>
    </row>
    <row r="112">
      <c r="B112" s="85" t="n"/>
      <c r="C112" s="93" t="n"/>
      <c r="D112" s="73">
        <f>IF(K112="","",MAX($CA112:$FV112))</f>
        <v/>
      </c>
      <c r="E112" s="74">
        <f t="array" ref="E112">IF($K112="","",OFFSET($A$1,ROW($B112)-1,11+$D112*4,))</f>
        <v/>
      </c>
      <c r="F112" s="74">
        <f t="array" ref="F112">IF($K112="","",OFFSET($A$1,ROW($B112)-1,12+$D112*4,))</f>
        <v/>
      </c>
      <c r="G112" s="118">
        <f t="array" ref="G112">IF($K112="","",OFFSET($A$1,ROW($B112)-1,13+$D112*4,))</f>
        <v/>
      </c>
      <c r="H112" s="81" t="n"/>
      <c r="I112" s="82" t="n"/>
      <c r="J112" s="75">
        <f>IF(I112="A4",H112/8,IF(I112="A3",H112/4,IF(I112="A2",H112/2,IF(I112="A1",H112/1,IF(I112="A0",H112*2,"")))))</f>
        <v/>
      </c>
      <c r="K112" s="68">
        <f t="array" ref="K112">IFERROR(OFFSET($BZ$11,ROW($B112)-11,MATCH(K$10,$CA112:$FV112,0),),"")</f>
        <v/>
      </c>
      <c r="L112" s="85">
        <f>IF(K112="","",IF(VLOOKUP($B112,INDIRECT("'GRD-"&amp;M112&amp;"'!$B:$R"),16,FALSE)="","",VLOOKUP($B112,INDIRECT("'GRD-"&amp;M112&amp;"'!$B:$R"),16,FALSE)))</f>
        <v/>
      </c>
      <c r="M112" s="130">
        <f t="array" ref="M112">IF(K112="","",IFERROR(OFFSET($BZ$11,0,MATCH($K112,$CA112:$FV112,0),),""))</f>
        <v/>
      </c>
      <c r="N112" s="119">
        <f t="array" ref="N112">IF(K112="","",INDIRECT("'GRD-"&amp;M112&amp;"'!$L$7"))</f>
        <v/>
      </c>
      <c r="O112" s="76">
        <f t="array" ref="O112">IFERROR(OFFSET($BZ$11,ROW($B112)-11,MATCH(O$10,$CA112:$FV112,0),),"")</f>
        <v/>
      </c>
      <c r="P112" s="76">
        <f>IF(O112="","",IF(VLOOKUP($B112,INDIRECT("'GRD-"&amp;Q112&amp;"'!$B:$R"),16,FALSE)="","",VLOOKUP($B112,INDIRECT("'GRD-"&amp;Q112&amp;"'!$B:$R"),16,FALSE)))</f>
        <v/>
      </c>
      <c r="Q112" s="132">
        <f t="array" ref="Q112">IF(O112="","",IFERROR(OFFSET($BZ$11,0,MATCH($O112,$CA112:$FV112,0),),""))</f>
        <v/>
      </c>
      <c r="R112" s="121">
        <f t="array" ref="R112">IF(O112="","",INDIRECT("'GRD-"&amp;Q112&amp;"'!$L$7"))</f>
        <v/>
      </c>
      <c r="S112" s="83">
        <f t="array" ref="S112">IFERROR(OFFSET($BZ$11,ROW($B112)-11,MATCH(S$10,$CA112:$FV112,0),),"")</f>
        <v/>
      </c>
      <c r="T112" s="83">
        <f>IF(S112="","",IF(VLOOKUP($B112,INDIRECT("'GRD-"&amp;U112&amp;"'!$B:$R"),16,FALSE)="","",VLOOKUP($B112,INDIRECT("'GRD-"&amp;U112&amp;"'!$B:$R"),16,FALSE)))</f>
        <v/>
      </c>
      <c r="U112" s="128">
        <f t="array" ref="U112">IF(S112="","",IFERROR(OFFSET($BZ$11,0,MATCH($S112,$CA112:$FV112,0),),""))</f>
        <v/>
      </c>
      <c r="V112" s="133">
        <f t="array" ref="V112">IF(S112="","",INDIRECT("'GRD-"&amp;U112&amp;"'!$L$7"))</f>
        <v/>
      </c>
      <c r="W112" s="84">
        <f t="array" ref="W112">IFERROR(OFFSET($BZ$11,ROW($B112)-11,MATCH(W$10,$CA112:$FV112,0),),"")</f>
        <v/>
      </c>
      <c r="X112" s="84">
        <f>IF(W112="","",IF(VLOOKUP($B112,INDIRECT("'GRD-"&amp;Y112&amp;"'!$B:$R"),16,FALSE)="","",VLOOKUP($B112,INDIRECT("'GRD-"&amp;Y112&amp;"'!$B:$R"),16,FALSE)))</f>
        <v/>
      </c>
      <c r="Y112" s="129">
        <f t="array" ref="Y112">IF(W112="","",IFERROR(OFFSET($BZ$11,0,MATCH($W112,$CA112:$FV112,0),),""))</f>
        <v/>
      </c>
      <c r="Z112" s="134">
        <f t="array" ref="Z112">IF(W112="","",INDIRECT("'GRD-"&amp;Y112&amp;"'!$L$7"))</f>
        <v/>
      </c>
      <c r="AA112" s="85">
        <f t="array" ref="AA112">IFERROR(OFFSET($BZ$11,ROW($B112)-11,MATCH(AA$10,$CA112:$FV112,0),),"")</f>
        <v/>
      </c>
      <c r="AB112" s="85">
        <f>IF(AA112="","",IF(VLOOKUP($B112,INDIRECT("'GRD-"&amp;AC112&amp;"'!$B:$R"),16,FALSE)="","",VLOOKUP($B112,INDIRECT("'GRD-"&amp;AC112&amp;"'!$B:$R"),16,FALSE)))</f>
        <v/>
      </c>
      <c r="AC112" s="130">
        <f t="array" ref="AC112">IF(AA112="","",IFERROR(OFFSET($BZ$11,0,MATCH($AA112,$CA112:$FV112,0),),""))</f>
        <v/>
      </c>
      <c r="AD112" s="131">
        <f t="array" ref="AD112">IF(AA112="","",INDIRECT("'GRD-"&amp;AC112&amp;"'!$L$7"))</f>
        <v/>
      </c>
      <c r="AE112" s="76">
        <f t="array" ref="AE112">IFERROR(OFFSET($BZ$11,ROW($B112)-11,MATCH(AE$10,$CA112:$FV112,0),),"")</f>
        <v/>
      </c>
      <c r="AF112" s="76">
        <f>IF(AE112="","",IF(VLOOKUP($B112,INDIRECT("'GRD-"&amp;AG112&amp;"'!$B:$R"),16,FALSE)="","",VLOOKUP($B112,INDIRECT("'GRD-"&amp;AG112&amp;"'!$B:$R"),16,FALSE)))</f>
        <v/>
      </c>
      <c r="AG112" s="132">
        <f t="array" ref="AG112">IF(AE112="","",IFERROR(OFFSET($BZ$11,0,MATCH($AE112,$CA112:$FV112,0),),""))</f>
        <v/>
      </c>
      <c r="AH112" s="121">
        <f t="array" ref="AH112">IF(AE112="","",INDIRECT("'GRD-"&amp;AG112&amp;"'!$L$7"))</f>
        <v/>
      </c>
      <c r="AI112" s="83">
        <f t="array" ref="AI112">IFERROR(OFFSET($BZ$11,ROW($B112)-11,MATCH(AI$10,$CA112:$FV112,0),),"")</f>
        <v/>
      </c>
      <c r="AJ112" s="83">
        <f>IF(AI112="","",IF(VLOOKUP($B112,INDIRECT("'GRD-"&amp;AK112&amp;"'!$B:$R"),16,FALSE)="","",VLOOKUP($B112,INDIRECT("'GRD-"&amp;AK112&amp;"'!$B:$R"),16,FALSE)))</f>
        <v/>
      </c>
      <c r="AK112" s="128">
        <f t="array" ref="AK112">IF(AI112="","",IFERROR(OFFSET($BZ$11,0,MATCH($AI112,$CA112:$FV112,0),),""))</f>
        <v/>
      </c>
      <c r="AL112" s="133">
        <f t="array" ref="AL112">IF(AI112="","",INDIRECT("'GRD-"&amp;AK112&amp;"'!$L$7"))</f>
        <v/>
      </c>
      <c r="AM112" s="84">
        <f t="array" ref="AM112">IFERROR(OFFSET($BZ$11,ROW($B112)-11,MATCH(AM$10,$CA112:$FV112,0),),"")</f>
        <v/>
      </c>
      <c r="AN112" s="84">
        <f>IF(AM112="","",IF(VLOOKUP($B112,INDIRECT("'GRD-"&amp;AO112&amp;"'!$B:$R"),16,FALSE)="","",VLOOKUP($B112,INDIRECT("'GRD-"&amp;AO112&amp;"'!$B:$R"),16,FALSE)))</f>
        <v/>
      </c>
      <c r="AO112" s="129">
        <f t="array" ref="AO112">IF(AM112="","",IFERROR(OFFSET($BZ$11,0,MATCH($AM112,$CA112:$FV112,0),),""))</f>
        <v/>
      </c>
      <c r="AP112" s="134">
        <f t="array" ref="AP112">IF(AM112="","",INDIRECT("'GRD-"&amp;AO112&amp;"'!$L$7"))</f>
        <v/>
      </c>
      <c r="AQ112" s="85">
        <f t="array" ref="AQ112">IFERROR(OFFSET($BZ$11,ROW($B112)-11,MATCH(AQ$10,$CA112:$FV112,0),),"")</f>
        <v/>
      </c>
      <c r="AR112" s="85">
        <f>IF(AQ112="","",IF(VLOOKUP($B112,INDIRECT("'GRD-"&amp;AS112&amp;"'!$B:$R"),16,FALSE)="","",VLOOKUP($B112,INDIRECT("'GRD-"&amp;AS112&amp;"'!$B:$R"),16,FALSE)))</f>
        <v/>
      </c>
      <c r="AS112" s="130">
        <f t="array" ref="AS112">IF(AQ112="","",IFERROR(OFFSET($BZ$11,0,MATCH($AQ112,$CA112:$FV112,0),),""))</f>
        <v/>
      </c>
      <c r="AT112" s="131">
        <f t="array" ref="AT112">IF(AQ112="","",INDIRECT("'GRD-"&amp;AS112&amp;"'!$L$7"))</f>
        <v/>
      </c>
      <c r="AU112" s="76">
        <f t="array" ref="AU112">IFERROR(OFFSET($BZ$11,ROW($B112)-11,MATCH(AU$10,$CA112:$FV112,0),),"")</f>
        <v/>
      </c>
      <c r="AV112" s="76">
        <f>IF(AU112="","",IF(VLOOKUP($B112,INDIRECT("'GRD-"&amp;AW112&amp;"'!$B:$R"),16,FALSE)="","",VLOOKUP($B112,INDIRECT("'GRD-"&amp;AW112&amp;"'!$B:$R"),16,FALSE)))</f>
        <v/>
      </c>
      <c r="AW112" s="132">
        <f t="array" ref="AW112">IF(AU112="","",IFERROR(OFFSET($BZ$11,0,MATCH($AU112,$CA112:$FV112,0),),""))</f>
        <v/>
      </c>
      <c r="AX112" s="121">
        <f t="array" ref="AX112">IF(AU112="","",INDIRECT("'GRD-"&amp;AW112&amp;"'!$L$7"))</f>
        <v/>
      </c>
      <c r="AY112" s="83">
        <f t="array" ref="AY112">IFERROR(OFFSET($BZ$11,ROW($B112)-11,MATCH(AY$10,$CA112:$FV112,0),),"")</f>
        <v/>
      </c>
      <c r="AZ112" s="83">
        <f>IF(AY112="","",IF(VLOOKUP($B112,INDIRECT("'GRD-"&amp;BA112&amp;"'!$B:$R"),16,FALSE)="","",VLOOKUP($B112,INDIRECT("'GRD-"&amp;BA112&amp;"'!$B:$R"),16,FALSE)))</f>
        <v/>
      </c>
      <c r="BA112" s="128">
        <f t="array" ref="BA112">IF(AY112="","",IFERROR(OFFSET($BZ$11,0,MATCH($AY112,$CA112:$FV112,0),),""))</f>
        <v/>
      </c>
      <c r="BB112" s="133">
        <f t="array" ref="BB112">IF(AY112="","",INDIRECT("'GRD-"&amp;BA112&amp;"'!$L$7"))</f>
        <v/>
      </c>
      <c r="BC112" s="84">
        <f t="array" ref="BC112">IFERROR(OFFSET($BZ$11,ROW($B112)-11,MATCH(BC$10,$CA112:$FV112,0),),"")</f>
        <v/>
      </c>
      <c r="BD112" s="84">
        <f>IF(BC112="","",IF(VLOOKUP($B112,INDIRECT("'GRD-"&amp;BE112&amp;"'!$B:$R"),16,FALSE)="","",VLOOKUP($B112,INDIRECT("'GRD-"&amp;BE112&amp;"'!$B:$R"),16,FALSE)))</f>
        <v/>
      </c>
      <c r="BE112" s="129">
        <f t="array" ref="BE112">IF(BC112="","",IFERROR(OFFSET($BZ$11,0,MATCH($BC112,$CA112:$FV112,0),),""))</f>
        <v/>
      </c>
      <c r="BF112" s="134">
        <f t="array" ref="BF112">IF(BC112="","",INDIRECT("'GRD-"&amp;BE112&amp;"'!$L$7"))</f>
        <v/>
      </c>
      <c r="CA112" s="96">
        <f>IFERROR(VLOOKUP($B112,INDIRECT("'GRD-"&amp;CA$11&amp;"'!B:R"),15,FALSE),"")</f>
        <v/>
      </c>
      <c r="CB112" s="96">
        <f>IFERROR(VLOOKUP($B112,INDIRECT("'GRD-"&amp;CB$11&amp;"'!B:R"),15,FALSE),"")</f>
        <v/>
      </c>
      <c r="CC112" s="96">
        <f>IFERROR(VLOOKUP($B112,INDIRECT("'GRD-"&amp;CC$11&amp;"'!B:R"),15,FALSE),"")</f>
        <v/>
      </c>
      <c r="CD112" s="96">
        <f>IFERROR(VLOOKUP($B112,INDIRECT("'GRD-"&amp;CD$11&amp;"'!B:R"),15,FALSE),"")</f>
        <v/>
      </c>
      <c r="CE112" s="96">
        <f>IFERROR(VLOOKUP($B112,INDIRECT("'GRD-"&amp;CE$11&amp;"'!B:R"),15,FALSE),"")</f>
        <v/>
      </c>
      <c r="CF112" s="96">
        <f>IFERROR(VLOOKUP($B112,INDIRECT("'GRD-"&amp;CF$11&amp;"'!B:R"),15,FALSE),"")</f>
        <v/>
      </c>
      <c r="CG112" s="96">
        <f>IFERROR(VLOOKUP($B112,INDIRECT("'GRD-"&amp;CG$11&amp;"'!B:R"),15,FALSE),"")</f>
        <v/>
      </c>
      <c r="CH112" s="96">
        <f>IFERROR(VLOOKUP($B112,INDIRECT("'GRD-"&amp;CH$11&amp;"'!B:R"),15,FALSE),"")</f>
        <v/>
      </c>
      <c r="CI112" s="96">
        <f>IFERROR(VLOOKUP($B112,INDIRECT("'GRD-"&amp;CI$11&amp;"'!B:R"),15,FALSE),"")</f>
        <v/>
      </c>
      <c r="CJ112" s="96">
        <f>IFERROR(VLOOKUP($B112,INDIRECT("'GRD-"&amp;CJ$11&amp;"'!B:R"),15,FALSE),"")</f>
        <v/>
      </c>
      <c r="CK112" s="96">
        <f>IFERROR(VLOOKUP($B112,INDIRECT("'GRD-"&amp;CK$11&amp;"'!B:R"),15,FALSE),"")</f>
        <v/>
      </c>
      <c r="CL112" s="96">
        <f>IFERROR(VLOOKUP($B112,INDIRECT("'GRD-"&amp;CL$11&amp;"'!B:R"),15,FALSE),"")</f>
        <v/>
      </c>
      <c r="CM112" s="96">
        <f>IFERROR(VLOOKUP($B112,INDIRECT("'GRD-"&amp;CM$11&amp;"'!B:R"),15,FALSE),"")</f>
        <v/>
      </c>
      <c r="CN112" s="96">
        <f>IFERROR(VLOOKUP($B112,INDIRECT("'GRD-"&amp;CN$11&amp;"'!B:R"),15,FALSE),"")</f>
        <v/>
      </c>
      <c r="CO112" s="96">
        <f>IFERROR(VLOOKUP($B112,INDIRECT("'GRD-"&amp;CO$11&amp;"'!B:R"),15,FALSE),"")</f>
        <v/>
      </c>
      <c r="CP112" s="96">
        <f>IFERROR(VLOOKUP($B112,INDIRECT("'GRD-"&amp;CP$11&amp;"'!B:R"),15,FALSE),"")</f>
        <v/>
      </c>
      <c r="CQ112" s="96">
        <f>IFERROR(VLOOKUP($B112,INDIRECT("'GRD-"&amp;CQ$11&amp;"'!B:R"),15,FALSE),"")</f>
        <v/>
      </c>
      <c r="CR112" s="96">
        <f>IFERROR(VLOOKUP($B112,INDIRECT("'GRD-"&amp;CR$11&amp;"'!B:R"),15,FALSE),"")</f>
        <v/>
      </c>
      <c r="CS112" s="96">
        <f>IFERROR(VLOOKUP($B112,INDIRECT("'GRD-"&amp;CS$11&amp;"'!B:R"),15,FALSE),"")</f>
        <v/>
      </c>
      <c r="CT112" s="96">
        <f>IFERROR(VLOOKUP($B112,INDIRECT("'GRD-"&amp;CT$11&amp;"'!B:R"),15,FALSE),"")</f>
        <v/>
      </c>
      <c r="CU112" s="96">
        <f>IFERROR(VLOOKUP($B112,INDIRECT("'GRD-"&amp;CU$11&amp;"'!B:R"),15,FALSE),"")</f>
        <v/>
      </c>
      <c r="CV112" s="96">
        <f>IFERROR(VLOOKUP($B112,INDIRECT("'GRD-"&amp;CV$11&amp;"'!B:R"),15,FALSE),"")</f>
        <v/>
      </c>
      <c r="CW112" s="96">
        <f>IFERROR(VLOOKUP($B112,INDIRECT("'GRD-"&amp;CW$11&amp;"'!B:R"),15,FALSE),"")</f>
        <v/>
      </c>
      <c r="CX112" s="96">
        <f>IFERROR(VLOOKUP($B112,INDIRECT("'GRD-"&amp;CX$11&amp;"'!B:R"),15,FALSE),"")</f>
        <v/>
      </c>
      <c r="CY112" s="96">
        <f>IFERROR(VLOOKUP($B112,INDIRECT("'GRD-"&amp;CY$11&amp;"'!B:R"),15,FALSE),"")</f>
        <v/>
      </c>
      <c r="CZ112" s="96">
        <f>IFERROR(VLOOKUP($B112,INDIRECT("'GRD-"&amp;CZ$11&amp;"'!B:R"),15,FALSE),"")</f>
        <v/>
      </c>
      <c r="DA112" s="96">
        <f>IFERROR(VLOOKUP($B112,INDIRECT("'GRD-"&amp;DA$11&amp;"'!B:R"),15,FALSE),"")</f>
        <v/>
      </c>
      <c r="DB112" s="96">
        <f>IFERROR(VLOOKUP($B112,INDIRECT("'GRD-"&amp;DB$11&amp;"'!B:R"),15,FALSE),"")</f>
        <v/>
      </c>
      <c r="DC112" s="96">
        <f>IFERROR(VLOOKUP($B112,INDIRECT("'GRD-"&amp;DC$11&amp;"'!B:R"),15,FALSE),"")</f>
        <v/>
      </c>
      <c r="DD112" s="96">
        <f>IFERROR(VLOOKUP($B112,INDIRECT("'GRD-"&amp;DD$11&amp;"'!B:R"),15,FALSE),"")</f>
        <v/>
      </c>
      <c r="DE112" s="96">
        <f>IFERROR(VLOOKUP($B112,INDIRECT("'GRD-"&amp;DE$11&amp;"'!B:R"),15,FALSE),"")</f>
        <v/>
      </c>
      <c r="DF112" s="96">
        <f>IFERROR(VLOOKUP($B112,INDIRECT("'GRD-"&amp;DF$11&amp;"'!B:R"),15,FALSE),"")</f>
        <v/>
      </c>
      <c r="DG112" s="96">
        <f>IFERROR(VLOOKUP($B112,INDIRECT("'GRD-"&amp;DG$11&amp;"'!B:R"),15,FALSE),"")</f>
        <v/>
      </c>
      <c r="DH112" s="96">
        <f>IFERROR(VLOOKUP($B112,INDIRECT("'GRD-"&amp;DH$11&amp;"'!B:R"),15,FALSE),"")</f>
        <v/>
      </c>
      <c r="DI112" s="96">
        <f>IFERROR(VLOOKUP($B112,INDIRECT("'GRD-"&amp;DI$11&amp;"'!B:R"),15,FALSE),"")</f>
        <v/>
      </c>
      <c r="DJ112" s="96">
        <f>IFERROR(VLOOKUP($B112,INDIRECT("'GRD-"&amp;DJ$11&amp;"'!B:R"),15,FALSE),"")</f>
        <v/>
      </c>
      <c r="DK112" s="96">
        <f>IFERROR(VLOOKUP($B112,INDIRECT("'GRD-"&amp;DK$11&amp;"'!B:R"),15,FALSE),"")</f>
        <v/>
      </c>
      <c r="DL112" s="96">
        <f>IFERROR(VLOOKUP($B112,INDIRECT("'GRD-"&amp;DL$11&amp;"'!B:R"),15,FALSE),"")</f>
        <v/>
      </c>
      <c r="DM112" s="96">
        <f>IFERROR(VLOOKUP($B112,INDIRECT("'GRD-"&amp;DM$11&amp;"'!B:R"),15,FALSE),"")</f>
        <v/>
      </c>
      <c r="DN112" s="96">
        <f>IFERROR(VLOOKUP($B112,INDIRECT("'GRD-"&amp;DN$11&amp;"'!B:R"),15,FALSE),"")</f>
        <v/>
      </c>
      <c r="DO112" s="96">
        <f>IFERROR(VLOOKUP($B112,INDIRECT("'GRD-"&amp;DO$11&amp;"'!B:R"),15,FALSE),"")</f>
        <v/>
      </c>
      <c r="DP112" s="96">
        <f>IFERROR(VLOOKUP($B112,INDIRECT("'GRD-"&amp;DP$11&amp;"'!B:R"),15,FALSE),"")</f>
        <v/>
      </c>
      <c r="DQ112" s="96">
        <f>IFERROR(VLOOKUP($B112,INDIRECT("'GRD-"&amp;DQ$11&amp;"'!B:R"),15,FALSE),"")</f>
        <v/>
      </c>
      <c r="DR112" s="96">
        <f>IFERROR(VLOOKUP($B112,INDIRECT("'GRD-"&amp;DR$11&amp;"'!B:R"),15,FALSE),"")</f>
        <v/>
      </c>
      <c r="DS112" s="96">
        <f>IFERROR(VLOOKUP($B112,INDIRECT("'GRD-"&amp;DS$11&amp;"'!B:R"),15,FALSE),"")</f>
        <v/>
      </c>
      <c r="DT112" s="96">
        <f>IFERROR(VLOOKUP($B112,INDIRECT("'GRD-"&amp;DT$11&amp;"'!B:R"),15,FALSE),"")</f>
        <v/>
      </c>
      <c r="DU112" s="96">
        <f>IFERROR(VLOOKUP($B112,INDIRECT("'GRD-"&amp;DU$11&amp;"'!B:R"),15,FALSE),"")</f>
        <v/>
      </c>
      <c r="DV112" s="96">
        <f>IFERROR(VLOOKUP($B112,INDIRECT("'GRD-"&amp;DV$11&amp;"'!B:R"),15,FALSE),"")</f>
        <v/>
      </c>
      <c r="DW112" s="96">
        <f>IFERROR(VLOOKUP($B112,INDIRECT("'GRD-"&amp;DW$11&amp;"'!B:R"),15,FALSE),"")</f>
        <v/>
      </c>
      <c r="DX112" s="96">
        <f>IFERROR(VLOOKUP($B112,INDIRECT("'GRD-"&amp;DX$11&amp;"'!B:R"),15,FALSE),"")</f>
        <v/>
      </c>
      <c r="DY112" s="96">
        <f>IFERROR(VLOOKUP($B112,INDIRECT("'GRD-"&amp;DY$11&amp;"'!B:R"),15,FALSE),"")</f>
        <v/>
      </c>
      <c r="DZ112" s="96">
        <f>IFERROR(VLOOKUP($B112,INDIRECT("'GRD-"&amp;DZ$11&amp;"'!B:R"),15,FALSE),"")</f>
        <v/>
      </c>
      <c r="EA112" s="96">
        <f>IFERROR(VLOOKUP($B112,INDIRECT("'GRD-"&amp;EA$11&amp;"'!B:R"),15,FALSE),"")</f>
        <v/>
      </c>
      <c r="EB112" s="96">
        <f>IFERROR(VLOOKUP($B112,INDIRECT("'GRD-"&amp;EB$11&amp;"'!B:R"),15,FALSE),"")</f>
        <v/>
      </c>
      <c r="EC112" s="96">
        <f>IFERROR(VLOOKUP($B112,INDIRECT("'GRD-"&amp;EC$11&amp;"'!B:R"),15,FALSE),"")</f>
        <v/>
      </c>
      <c r="ED112" s="96">
        <f>IFERROR(VLOOKUP($B112,INDIRECT("'GRD-"&amp;ED$11&amp;"'!B:R"),15,FALSE),"")</f>
        <v/>
      </c>
      <c r="EE112" s="96">
        <f>IFERROR(VLOOKUP($B112,INDIRECT("'GRD-"&amp;EE$11&amp;"'!B:R"),15,FALSE),"")</f>
        <v/>
      </c>
      <c r="EF112" s="96">
        <f>IFERROR(VLOOKUP($B112,INDIRECT("'GRD-"&amp;EF$11&amp;"'!B:R"),15,FALSE),"")</f>
        <v/>
      </c>
      <c r="EG112" s="96">
        <f>IFERROR(VLOOKUP($B112,INDIRECT("'GRD-"&amp;EG$11&amp;"'!B:R"),15,FALSE),"")</f>
        <v/>
      </c>
      <c r="EH112" s="96">
        <f>IFERROR(VLOOKUP($B112,INDIRECT("'GRD-"&amp;EH$11&amp;"'!B:R"),15,FALSE),"")</f>
        <v/>
      </c>
      <c r="EI112" s="96">
        <f>IFERROR(VLOOKUP($B112,INDIRECT("'GRD-"&amp;EI$11&amp;"'!B:R"),15,FALSE),"")</f>
        <v/>
      </c>
      <c r="EJ112" s="96">
        <f>IFERROR(VLOOKUP($B112,INDIRECT("'GRD-"&amp;EJ$11&amp;"'!B:R"),15,FALSE),"")</f>
        <v/>
      </c>
      <c r="EK112" s="96">
        <f>IFERROR(VLOOKUP($B112,INDIRECT("'GRD-"&amp;EK$11&amp;"'!B:R"),15,FALSE),"")</f>
        <v/>
      </c>
      <c r="EL112" s="96">
        <f>IFERROR(VLOOKUP($B112,INDIRECT("'GRD-"&amp;EL$11&amp;"'!B:R"),15,FALSE),"")</f>
        <v/>
      </c>
      <c r="EM112" s="96">
        <f>IFERROR(VLOOKUP($B112,INDIRECT("'GRD-"&amp;EM$11&amp;"'!B:R"),15,FALSE),"")</f>
        <v/>
      </c>
      <c r="EN112" s="96">
        <f>IFERROR(VLOOKUP($B112,INDIRECT("'GRD-"&amp;EN$11&amp;"'!B:R"),15,FALSE),"")</f>
        <v/>
      </c>
      <c r="EO112" s="96">
        <f>IFERROR(VLOOKUP($B112,INDIRECT("'GRD-"&amp;EO$11&amp;"'!B:R"),15,FALSE),"")</f>
        <v/>
      </c>
      <c r="EP112" s="96">
        <f>IFERROR(VLOOKUP($B112,INDIRECT("'GRD-"&amp;EP$11&amp;"'!B:R"),15,FALSE),"")</f>
        <v/>
      </c>
      <c r="EQ112" s="96">
        <f>IFERROR(VLOOKUP($B112,INDIRECT("'GRD-"&amp;EQ$11&amp;"'!B:R"),15,FALSE),"")</f>
        <v/>
      </c>
      <c r="ER112" s="96">
        <f>IFERROR(VLOOKUP($B112,INDIRECT("'GRD-"&amp;ER$11&amp;"'!B:R"),15,FALSE),"")</f>
        <v/>
      </c>
      <c r="ES112" s="96">
        <f>IFERROR(VLOOKUP($B112,INDIRECT("'GRD-"&amp;ES$11&amp;"'!B:R"),15,FALSE),"")</f>
        <v/>
      </c>
      <c r="ET112" s="96">
        <f>IFERROR(VLOOKUP($B112,INDIRECT("'GRD-"&amp;ET$11&amp;"'!B:R"),15,FALSE),"")</f>
        <v/>
      </c>
      <c r="EU112" s="96">
        <f>IFERROR(VLOOKUP($B112,INDIRECT("'GRD-"&amp;EU$11&amp;"'!B:R"),15,FALSE),"")</f>
        <v/>
      </c>
      <c r="EV112" s="96">
        <f>IFERROR(VLOOKUP($B112,INDIRECT("'GRD-"&amp;EV$11&amp;"'!B:R"),15,FALSE),"")</f>
        <v/>
      </c>
      <c r="EW112" s="96">
        <f>IFERROR(VLOOKUP($B112,INDIRECT("'GRD-"&amp;EW$11&amp;"'!B:R"),15,FALSE),"")</f>
        <v/>
      </c>
      <c r="EX112" s="96">
        <f>IFERROR(VLOOKUP($B112,INDIRECT("'GRD-"&amp;EX$11&amp;"'!B:R"),15,FALSE),"")</f>
        <v/>
      </c>
      <c r="EY112" s="96">
        <f>IFERROR(VLOOKUP($B112,INDIRECT("'GRD-"&amp;EY$11&amp;"'!B:R"),15,FALSE),"")</f>
        <v/>
      </c>
      <c r="EZ112" s="96">
        <f>IFERROR(VLOOKUP($B112,INDIRECT("'GRD-"&amp;EZ$11&amp;"'!B:R"),15,FALSE),"")</f>
        <v/>
      </c>
      <c r="FA112" s="96">
        <f>IFERROR(VLOOKUP($B112,INDIRECT("'GRD-"&amp;FA$11&amp;"'!B:R"),15,FALSE),"")</f>
        <v/>
      </c>
      <c r="FB112" s="96">
        <f>IFERROR(VLOOKUP($B112,INDIRECT("'GRD-"&amp;FB$11&amp;"'!B:R"),15,FALSE),"")</f>
        <v/>
      </c>
      <c r="FC112" s="96">
        <f>IFERROR(VLOOKUP($B112,INDIRECT("'GRD-"&amp;FC$11&amp;"'!B:R"),15,FALSE),"")</f>
        <v/>
      </c>
      <c r="FD112" s="96">
        <f>IFERROR(VLOOKUP($B112,INDIRECT("'GRD-"&amp;FD$11&amp;"'!B:R"),15,FALSE),"")</f>
        <v/>
      </c>
      <c r="FE112" s="96">
        <f>IFERROR(VLOOKUP($B112,INDIRECT("'GRD-"&amp;FE$11&amp;"'!B:R"),15,FALSE),"")</f>
        <v/>
      </c>
      <c r="FF112" s="96">
        <f>IFERROR(VLOOKUP($B112,INDIRECT("'GRD-"&amp;FF$11&amp;"'!B:R"),15,FALSE),"")</f>
        <v/>
      </c>
      <c r="FG112" s="96">
        <f>IFERROR(VLOOKUP($B112,INDIRECT("'GRD-"&amp;FG$11&amp;"'!B:R"),15,FALSE),"")</f>
        <v/>
      </c>
      <c r="FH112" s="96">
        <f>IFERROR(VLOOKUP($B112,INDIRECT("'GRD-"&amp;FH$11&amp;"'!B:R"),15,FALSE),"")</f>
        <v/>
      </c>
      <c r="FI112" s="96">
        <f>IFERROR(VLOOKUP($B112,INDIRECT("'GRD-"&amp;FI$11&amp;"'!B:R"),15,FALSE),"")</f>
        <v/>
      </c>
      <c r="FJ112" s="96">
        <f>IFERROR(VLOOKUP($B112,INDIRECT("'GRD-"&amp;FJ$11&amp;"'!B:R"),15,FALSE),"")</f>
        <v/>
      </c>
      <c r="FK112" s="96">
        <f>IFERROR(VLOOKUP($B112,INDIRECT("'GRD-"&amp;FK$11&amp;"'!B:R"),15,FALSE),"")</f>
        <v/>
      </c>
      <c r="FL112" s="96">
        <f>IFERROR(VLOOKUP($B112,INDIRECT("'GRD-"&amp;FL$11&amp;"'!B:R"),15,FALSE),"")</f>
        <v/>
      </c>
      <c r="FM112" s="96">
        <f>IFERROR(VLOOKUP($B112,INDIRECT("'GRD-"&amp;FM$11&amp;"'!B:R"),15,FALSE),"")</f>
        <v/>
      </c>
      <c r="FN112" s="96">
        <f>IFERROR(VLOOKUP($B112,INDIRECT("'GRD-"&amp;FN$11&amp;"'!B:R"),15,FALSE),"")</f>
        <v/>
      </c>
      <c r="FO112" s="96">
        <f>IFERROR(VLOOKUP($B112,INDIRECT("'GRD-"&amp;FO$11&amp;"'!B:R"),15,FALSE),"")</f>
        <v/>
      </c>
      <c r="FP112" s="96">
        <f>IFERROR(VLOOKUP($B112,INDIRECT("'GRD-"&amp;FP$11&amp;"'!B:R"),15,FALSE),"")</f>
        <v/>
      </c>
      <c r="FQ112" s="96">
        <f>IFERROR(VLOOKUP($B112,INDIRECT("'GRD-"&amp;FQ$11&amp;"'!B:R"),15,FALSE),"")</f>
        <v/>
      </c>
      <c r="FR112" s="96">
        <f>IFERROR(VLOOKUP($B112,INDIRECT("'GRD-"&amp;FR$11&amp;"'!B:R"),15,FALSE),"")</f>
        <v/>
      </c>
      <c r="FS112" s="96">
        <f>IFERROR(VLOOKUP($B112,INDIRECT("'GRD-"&amp;FS$11&amp;"'!B:R"),15,FALSE),"")</f>
        <v/>
      </c>
      <c r="FT112" s="96">
        <f>IFERROR(VLOOKUP($B112,INDIRECT("'GRD-"&amp;FT$11&amp;"'!B:R"),15,FALSE),"")</f>
        <v/>
      </c>
      <c r="FU112" s="96">
        <f>IFERROR(VLOOKUP($B112,INDIRECT("'GRD-"&amp;FU$11&amp;"'!B:R"),15,FALSE),"")</f>
        <v/>
      </c>
      <c r="FV112" s="96">
        <f>IFERROR(VLOOKUP($B112,INDIRECT("'GRD-"&amp;FV$11&amp;"'!B:R"),15,FALSE),"")</f>
        <v/>
      </c>
    </row>
    <row r="113">
      <c r="B113" s="85" t="n"/>
      <c r="C113" s="93" t="n"/>
      <c r="D113" s="73">
        <f>IF(K113="","",MAX($CA113:$FV113))</f>
        <v/>
      </c>
      <c r="E113" s="74">
        <f t="array" ref="E113">IF($K113="","",OFFSET($A$1,ROW($B113)-1,11+$D113*4,))</f>
        <v/>
      </c>
      <c r="F113" s="74">
        <f t="array" ref="F113">IF($K113="","",OFFSET($A$1,ROW($B113)-1,12+$D113*4,))</f>
        <v/>
      </c>
      <c r="G113" s="118">
        <f t="array" ref="G113">IF($K113="","",OFFSET($A$1,ROW($B113)-1,13+$D113*4,))</f>
        <v/>
      </c>
      <c r="H113" s="81" t="n"/>
      <c r="I113" s="82" t="n"/>
      <c r="J113" s="75">
        <f>IF(I113="A4",H113/8,IF(I113="A3",H113/4,IF(I113="A2",H113/2,IF(I113="A1",H113/1,IF(I113="A0",H113*2,"")))))</f>
        <v/>
      </c>
      <c r="K113" s="68">
        <f t="array" ref="K113">IFERROR(OFFSET($BZ$11,ROW($B113)-11,MATCH(K$10,$CA113:$FV113,0),),"")</f>
        <v/>
      </c>
      <c r="L113" s="85">
        <f>IF(K113="","",IF(VLOOKUP($B113,INDIRECT("'GRD-"&amp;M113&amp;"'!$B:$R"),16,FALSE)="","",VLOOKUP($B113,INDIRECT("'GRD-"&amp;M113&amp;"'!$B:$R"),16,FALSE)))</f>
        <v/>
      </c>
      <c r="M113" s="130">
        <f t="array" ref="M113">IF(K113="","",IFERROR(OFFSET($BZ$11,0,MATCH($K113,$CA113:$FV113,0),),""))</f>
        <v/>
      </c>
      <c r="N113" s="119">
        <f t="array" ref="N113">IF(K113="","",INDIRECT("'GRD-"&amp;M113&amp;"'!$L$7"))</f>
        <v/>
      </c>
      <c r="O113" s="76">
        <f t="array" ref="O113">IFERROR(OFFSET($BZ$11,ROW($B113)-11,MATCH(O$10,$CA113:$FV113,0),),"")</f>
        <v/>
      </c>
      <c r="P113" s="76">
        <f>IF(O113="","",IF(VLOOKUP($B113,INDIRECT("'GRD-"&amp;Q113&amp;"'!$B:$R"),16,FALSE)="","",VLOOKUP($B113,INDIRECT("'GRD-"&amp;Q113&amp;"'!$B:$R"),16,FALSE)))</f>
        <v/>
      </c>
      <c r="Q113" s="132">
        <f t="array" ref="Q113">IF(O113="","",IFERROR(OFFSET($BZ$11,0,MATCH($O113,$CA113:$FV113,0),),""))</f>
        <v/>
      </c>
      <c r="R113" s="121">
        <f t="array" ref="R113">IF(O113="","",INDIRECT("'GRD-"&amp;Q113&amp;"'!$L$7"))</f>
        <v/>
      </c>
      <c r="S113" s="83">
        <f t="array" ref="S113">IFERROR(OFFSET($BZ$11,ROW($B113)-11,MATCH(S$10,$CA113:$FV113,0),),"")</f>
        <v/>
      </c>
      <c r="T113" s="83">
        <f>IF(S113="","",IF(VLOOKUP($B113,INDIRECT("'GRD-"&amp;U113&amp;"'!$B:$R"),16,FALSE)="","",VLOOKUP($B113,INDIRECT("'GRD-"&amp;U113&amp;"'!$B:$R"),16,FALSE)))</f>
        <v/>
      </c>
      <c r="U113" s="128">
        <f t="array" ref="U113">IF(S113="","",IFERROR(OFFSET($BZ$11,0,MATCH($S113,$CA113:$FV113,0),),""))</f>
        <v/>
      </c>
      <c r="V113" s="133">
        <f t="array" ref="V113">IF(S113="","",INDIRECT("'GRD-"&amp;U113&amp;"'!$L$7"))</f>
        <v/>
      </c>
      <c r="W113" s="84">
        <f t="array" ref="W113">IFERROR(OFFSET($BZ$11,ROW($B113)-11,MATCH(W$10,$CA113:$FV113,0),),"")</f>
        <v/>
      </c>
      <c r="X113" s="84">
        <f>IF(W113="","",IF(VLOOKUP($B113,INDIRECT("'GRD-"&amp;Y113&amp;"'!$B:$R"),16,FALSE)="","",VLOOKUP($B113,INDIRECT("'GRD-"&amp;Y113&amp;"'!$B:$R"),16,FALSE)))</f>
        <v/>
      </c>
      <c r="Y113" s="129">
        <f t="array" ref="Y113">IF(W113="","",IFERROR(OFFSET($BZ$11,0,MATCH($W113,$CA113:$FV113,0),),""))</f>
        <v/>
      </c>
      <c r="Z113" s="134">
        <f t="array" ref="Z113">IF(W113="","",INDIRECT("'GRD-"&amp;Y113&amp;"'!$L$7"))</f>
        <v/>
      </c>
      <c r="AA113" s="85">
        <f t="array" ref="AA113">IFERROR(OFFSET($BZ$11,ROW($B113)-11,MATCH(AA$10,$CA113:$FV113,0),),"")</f>
        <v/>
      </c>
      <c r="AB113" s="85">
        <f>IF(AA113="","",IF(VLOOKUP($B113,INDIRECT("'GRD-"&amp;AC113&amp;"'!$B:$R"),16,FALSE)="","",VLOOKUP($B113,INDIRECT("'GRD-"&amp;AC113&amp;"'!$B:$R"),16,FALSE)))</f>
        <v/>
      </c>
      <c r="AC113" s="130">
        <f t="array" ref="AC113">IF(AA113="","",IFERROR(OFFSET($BZ$11,0,MATCH($AA113,$CA113:$FV113,0),),""))</f>
        <v/>
      </c>
      <c r="AD113" s="131">
        <f t="array" ref="AD113">IF(AA113="","",INDIRECT("'GRD-"&amp;AC113&amp;"'!$L$7"))</f>
        <v/>
      </c>
      <c r="AE113" s="76">
        <f t="array" ref="AE113">IFERROR(OFFSET($BZ$11,ROW($B113)-11,MATCH(AE$10,$CA113:$FV113,0),),"")</f>
        <v/>
      </c>
      <c r="AF113" s="76">
        <f>IF(AE113="","",IF(VLOOKUP($B113,INDIRECT("'GRD-"&amp;AG113&amp;"'!$B:$R"),16,FALSE)="","",VLOOKUP($B113,INDIRECT("'GRD-"&amp;AG113&amp;"'!$B:$R"),16,FALSE)))</f>
        <v/>
      </c>
      <c r="AG113" s="132">
        <f t="array" ref="AG113">IF(AE113="","",IFERROR(OFFSET($BZ$11,0,MATCH($AE113,$CA113:$FV113,0),),""))</f>
        <v/>
      </c>
      <c r="AH113" s="121">
        <f t="array" ref="AH113">IF(AE113="","",INDIRECT("'GRD-"&amp;AG113&amp;"'!$L$7"))</f>
        <v/>
      </c>
      <c r="AI113" s="83">
        <f t="array" ref="AI113">IFERROR(OFFSET($BZ$11,ROW($B113)-11,MATCH(AI$10,$CA113:$FV113,0),),"")</f>
        <v/>
      </c>
      <c r="AJ113" s="83">
        <f>IF(AI113="","",IF(VLOOKUP($B113,INDIRECT("'GRD-"&amp;AK113&amp;"'!$B:$R"),16,FALSE)="","",VLOOKUP($B113,INDIRECT("'GRD-"&amp;AK113&amp;"'!$B:$R"),16,FALSE)))</f>
        <v/>
      </c>
      <c r="AK113" s="128">
        <f t="array" ref="AK113">IF(AI113="","",IFERROR(OFFSET($BZ$11,0,MATCH($AI113,$CA113:$FV113,0),),""))</f>
        <v/>
      </c>
      <c r="AL113" s="133">
        <f t="array" ref="AL113">IF(AI113="","",INDIRECT("'GRD-"&amp;AK113&amp;"'!$L$7"))</f>
        <v/>
      </c>
      <c r="AM113" s="84">
        <f t="array" ref="AM113">IFERROR(OFFSET($BZ$11,ROW($B113)-11,MATCH(AM$10,$CA113:$FV113,0),),"")</f>
        <v/>
      </c>
      <c r="AN113" s="84">
        <f>IF(AM113="","",IF(VLOOKUP($B113,INDIRECT("'GRD-"&amp;AO113&amp;"'!$B:$R"),16,FALSE)="","",VLOOKUP($B113,INDIRECT("'GRD-"&amp;AO113&amp;"'!$B:$R"),16,FALSE)))</f>
        <v/>
      </c>
      <c r="AO113" s="129">
        <f t="array" ref="AO113">IF(AM113="","",IFERROR(OFFSET($BZ$11,0,MATCH($AM113,$CA113:$FV113,0),),""))</f>
        <v/>
      </c>
      <c r="AP113" s="134">
        <f t="array" ref="AP113">IF(AM113="","",INDIRECT("'GRD-"&amp;AO113&amp;"'!$L$7"))</f>
        <v/>
      </c>
      <c r="AQ113" s="85">
        <f t="array" ref="AQ113">IFERROR(OFFSET($BZ$11,ROW($B113)-11,MATCH(AQ$10,$CA113:$FV113,0),),"")</f>
        <v/>
      </c>
      <c r="AR113" s="85">
        <f>IF(AQ113="","",IF(VLOOKUP($B113,INDIRECT("'GRD-"&amp;AS113&amp;"'!$B:$R"),16,FALSE)="","",VLOOKUP($B113,INDIRECT("'GRD-"&amp;AS113&amp;"'!$B:$R"),16,FALSE)))</f>
        <v/>
      </c>
      <c r="AS113" s="130">
        <f t="array" ref="AS113">IF(AQ113="","",IFERROR(OFFSET($BZ$11,0,MATCH($AQ113,$CA113:$FV113,0),),""))</f>
        <v/>
      </c>
      <c r="AT113" s="131">
        <f t="array" ref="AT113">IF(AQ113="","",INDIRECT("'GRD-"&amp;AS113&amp;"'!$L$7"))</f>
        <v/>
      </c>
      <c r="AU113" s="76">
        <f t="array" ref="AU113">IFERROR(OFFSET($BZ$11,ROW($B113)-11,MATCH(AU$10,$CA113:$FV113,0),),"")</f>
        <v/>
      </c>
      <c r="AV113" s="76">
        <f>IF(AU113="","",IF(VLOOKUP($B113,INDIRECT("'GRD-"&amp;AW113&amp;"'!$B:$R"),16,FALSE)="","",VLOOKUP($B113,INDIRECT("'GRD-"&amp;AW113&amp;"'!$B:$R"),16,FALSE)))</f>
        <v/>
      </c>
      <c r="AW113" s="132">
        <f t="array" ref="AW113">IF(AU113="","",IFERROR(OFFSET($BZ$11,0,MATCH($AU113,$CA113:$FV113,0),),""))</f>
        <v/>
      </c>
      <c r="AX113" s="121">
        <f t="array" ref="AX113">IF(AU113="","",INDIRECT("'GRD-"&amp;AW113&amp;"'!$L$7"))</f>
        <v/>
      </c>
      <c r="AY113" s="83">
        <f t="array" ref="AY113">IFERROR(OFFSET($BZ$11,ROW($B113)-11,MATCH(AY$10,$CA113:$FV113,0),),"")</f>
        <v/>
      </c>
      <c r="AZ113" s="83">
        <f>IF(AY113="","",IF(VLOOKUP($B113,INDIRECT("'GRD-"&amp;BA113&amp;"'!$B:$R"),16,FALSE)="","",VLOOKUP($B113,INDIRECT("'GRD-"&amp;BA113&amp;"'!$B:$R"),16,FALSE)))</f>
        <v/>
      </c>
      <c r="BA113" s="128">
        <f t="array" ref="BA113">IF(AY113="","",IFERROR(OFFSET($BZ$11,0,MATCH($AY113,$CA113:$FV113,0),),""))</f>
        <v/>
      </c>
      <c r="BB113" s="133">
        <f t="array" ref="BB113">IF(AY113="","",INDIRECT("'GRD-"&amp;BA113&amp;"'!$L$7"))</f>
        <v/>
      </c>
      <c r="BC113" s="84">
        <f t="array" ref="BC113">IFERROR(OFFSET($BZ$11,ROW($B113)-11,MATCH(BC$10,$CA113:$FV113,0),),"")</f>
        <v/>
      </c>
      <c r="BD113" s="84">
        <f>IF(BC113="","",IF(VLOOKUP($B113,INDIRECT("'GRD-"&amp;BE113&amp;"'!$B:$R"),16,FALSE)="","",VLOOKUP($B113,INDIRECT("'GRD-"&amp;BE113&amp;"'!$B:$R"),16,FALSE)))</f>
        <v/>
      </c>
      <c r="BE113" s="129">
        <f t="array" ref="BE113">IF(BC113="","",IFERROR(OFFSET($BZ$11,0,MATCH($BC113,$CA113:$FV113,0),),""))</f>
        <v/>
      </c>
      <c r="BF113" s="134">
        <f t="array" ref="BF113">IF(BC113="","",INDIRECT("'GRD-"&amp;BE113&amp;"'!$L$7"))</f>
        <v/>
      </c>
      <c r="CA113" s="96">
        <f>IFERROR(VLOOKUP($B113,INDIRECT("'GRD-"&amp;CA$11&amp;"'!B:R"),15,FALSE),"")</f>
        <v/>
      </c>
      <c r="CB113" s="96">
        <f>IFERROR(VLOOKUP($B113,INDIRECT("'GRD-"&amp;CB$11&amp;"'!B:R"),15,FALSE),"")</f>
        <v/>
      </c>
      <c r="CC113" s="96">
        <f>IFERROR(VLOOKUP($B113,INDIRECT("'GRD-"&amp;CC$11&amp;"'!B:R"),15,FALSE),"")</f>
        <v/>
      </c>
      <c r="CD113" s="96">
        <f>IFERROR(VLOOKUP($B113,INDIRECT("'GRD-"&amp;CD$11&amp;"'!B:R"),15,FALSE),"")</f>
        <v/>
      </c>
      <c r="CE113" s="96">
        <f>IFERROR(VLOOKUP($B113,INDIRECT("'GRD-"&amp;CE$11&amp;"'!B:R"),15,FALSE),"")</f>
        <v/>
      </c>
      <c r="CF113" s="96">
        <f>IFERROR(VLOOKUP($B113,INDIRECT("'GRD-"&amp;CF$11&amp;"'!B:R"),15,FALSE),"")</f>
        <v/>
      </c>
      <c r="CG113" s="96">
        <f>IFERROR(VLOOKUP($B113,INDIRECT("'GRD-"&amp;CG$11&amp;"'!B:R"),15,FALSE),"")</f>
        <v/>
      </c>
      <c r="CH113" s="96">
        <f>IFERROR(VLOOKUP($B113,INDIRECT("'GRD-"&amp;CH$11&amp;"'!B:R"),15,FALSE),"")</f>
        <v/>
      </c>
      <c r="CI113" s="96">
        <f>IFERROR(VLOOKUP($B113,INDIRECT("'GRD-"&amp;CI$11&amp;"'!B:R"),15,FALSE),"")</f>
        <v/>
      </c>
      <c r="CJ113" s="96">
        <f>IFERROR(VLOOKUP($B113,INDIRECT("'GRD-"&amp;CJ$11&amp;"'!B:R"),15,FALSE),"")</f>
        <v/>
      </c>
      <c r="CK113" s="96">
        <f>IFERROR(VLOOKUP($B113,INDIRECT("'GRD-"&amp;CK$11&amp;"'!B:R"),15,FALSE),"")</f>
        <v/>
      </c>
      <c r="CL113" s="96">
        <f>IFERROR(VLOOKUP($B113,INDIRECT("'GRD-"&amp;CL$11&amp;"'!B:R"),15,FALSE),"")</f>
        <v/>
      </c>
      <c r="CM113" s="96">
        <f>IFERROR(VLOOKUP($B113,INDIRECT("'GRD-"&amp;CM$11&amp;"'!B:R"),15,FALSE),"")</f>
        <v/>
      </c>
      <c r="CN113" s="96">
        <f>IFERROR(VLOOKUP($B113,INDIRECT("'GRD-"&amp;CN$11&amp;"'!B:R"),15,FALSE),"")</f>
        <v/>
      </c>
      <c r="CO113" s="96">
        <f>IFERROR(VLOOKUP($B113,INDIRECT("'GRD-"&amp;CO$11&amp;"'!B:R"),15,FALSE),"")</f>
        <v/>
      </c>
      <c r="CP113" s="96">
        <f>IFERROR(VLOOKUP($B113,INDIRECT("'GRD-"&amp;CP$11&amp;"'!B:R"),15,FALSE),"")</f>
        <v/>
      </c>
      <c r="CQ113" s="96">
        <f>IFERROR(VLOOKUP($B113,INDIRECT("'GRD-"&amp;CQ$11&amp;"'!B:R"),15,FALSE),"")</f>
        <v/>
      </c>
      <c r="CR113" s="96">
        <f>IFERROR(VLOOKUP($B113,INDIRECT("'GRD-"&amp;CR$11&amp;"'!B:R"),15,FALSE),"")</f>
        <v/>
      </c>
      <c r="CS113" s="96">
        <f>IFERROR(VLOOKUP($B113,INDIRECT("'GRD-"&amp;CS$11&amp;"'!B:R"),15,FALSE),"")</f>
        <v/>
      </c>
      <c r="CT113" s="96">
        <f>IFERROR(VLOOKUP($B113,INDIRECT("'GRD-"&amp;CT$11&amp;"'!B:R"),15,FALSE),"")</f>
        <v/>
      </c>
      <c r="CU113" s="96">
        <f>IFERROR(VLOOKUP($B113,INDIRECT("'GRD-"&amp;CU$11&amp;"'!B:R"),15,FALSE),"")</f>
        <v/>
      </c>
      <c r="CV113" s="96">
        <f>IFERROR(VLOOKUP($B113,INDIRECT("'GRD-"&amp;CV$11&amp;"'!B:R"),15,FALSE),"")</f>
        <v/>
      </c>
      <c r="CW113" s="96">
        <f>IFERROR(VLOOKUP($B113,INDIRECT("'GRD-"&amp;CW$11&amp;"'!B:R"),15,FALSE),"")</f>
        <v/>
      </c>
      <c r="CX113" s="96">
        <f>IFERROR(VLOOKUP($B113,INDIRECT("'GRD-"&amp;CX$11&amp;"'!B:R"),15,FALSE),"")</f>
        <v/>
      </c>
      <c r="CY113" s="96">
        <f>IFERROR(VLOOKUP($B113,INDIRECT("'GRD-"&amp;CY$11&amp;"'!B:R"),15,FALSE),"")</f>
        <v/>
      </c>
      <c r="CZ113" s="96">
        <f>IFERROR(VLOOKUP($B113,INDIRECT("'GRD-"&amp;CZ$11&amp;"'!B:R"),15,FALSE),"")</f>
        <v/>
      </c>
      <c r="DA113" s="96">
        <f>IFERROR(VLOOKUP($B113,INDIRECT("'GRD-"&amp;DA$11&amp;"'!B:R"),15,FALSE),"")</f>
        <v/>
      </c>
      <c r="DB113" s="96">
        <f>IFERROR(VLOOKUP($B113,INDIRECT("'GRD-"&amp;DB$11&amp;"'!B:R"),15,FALSE),"")</f>
        <v/>
      </c>
      <c r="DC113" s="96">
        <f>IFERROR(VLOOKUP($B113,INDIRECT("'GRD-"&amp;DC$11&amp;"'!B:R"),15,FALSE),"")</f>
        <v/>
      </c>
      <c r="DD113" s="96">
        <f>IFERROR(VLOOKUP($B113,INDIRECT("'GRD-"&amp;DD$11&amp;"'!B:R"),15,FALSE),"")</f>
        <v/>
      </c>
      <c r="DE113" s="96">
        <f>IFERROR(VLOOKUP($B113,INDIRECT("'GRD-"&amp;DE$11&amp;"'!B:R"),15,FALSE),"")</f>
        <v/>
      </c>
      <c r="DF113" s="96">
        <f>IFERROR(VLOOKUP($B113,INDIRECT("'GRD-"&amp;DF$11&amp;"'!B:R"),15,FALSE),"")</f>
        <v/>
      </c>
      <c r="DG113" s="96">
        <f>IFERROR(VLOOKUP($B113,INDIRECT("'GRD-"&amp;DG$11&amp;"'!B:R"),15,FALSE),"")</f>
        <v/>
      </c>
      <c r="DH113" s="96">
        <f>IFERROR(VLOOKUP($B113,INDIRECT("'GRD-"&amp;DH$11&amp;"'!B:R"),15,FALSE),"")</f>
        <v/>
      </c>
      <c r="DI113" s="96">
        <f>IFERROR(VLOOKUP($B113,INDIRECT("'GRD-"&amp;DI$11&amp;"'!B:R"),15,FALSE),"")</f>
        <v/>
      </c>
      <c r="DJ113" s="96">
        <f>IFERROR(VLOOKUP($B113,INDIRECT("'GRD-"&amp;DJ$11&amp;"'!B:R"),15,FALSE),"")</f>
        <v/>
      </c>
      <c r="DK113" s="96">
        <f>IFERROR(VLOOKUP($B113,INDIRECT("'GRD-"&amp;DK$11&amp;"'!B:R"),15,FALSE),"")</f>
        <v/>
      </c>
      <c r="DL113" s="96">
        <f>IFERROR(VLOOKUP($B113,INDIRECT("'GRD-"&amp;DL$11&amp;"'!B:R"),15,FALSE),"")</f>
        <v/>
      </c>
      <c r="DM113" s="96">
        <f>IFERROR(VLOOKUP($B113,INDIRECT("'GRD-"&amp;DM$11&amp;"'!B:R"),15,FALSE),"")</f>
        <v/>
      </c>
      <c r="DN113" s="96">
        <f>IFERROR(VLOOKUP($B113,INDIRECT("'GRD-"&amp;DN$11&amp;"'!B:R"),15,FALSE),"")</f>
        <v/>
      </c>
      <c r="DO113" s="96">
        <f>IFERROR(VLOOKUP($B113,INDIRECT("'GRD-"&amp;DO$11&amp;"'!B:R"),15,FALSE),"")</f>
        <v/>
      </c>
      <c r="DP113" s="96">
        <f>IFERROR(VLOOKUP($B113,INDIRECT("'GRD-"&amp;DP$11&amp;"'!B:R"),15,FALSE),"")</f>
        <v/>
      </c>
      <c r="DQ113" s="96">
        <f>IFERROR(VLOOKUP($B113,INDIRECT("'GRD-"&amp;DQ$11&amp;"'!B:R"),15,FALSE),"")</f>
        <v/>
      </c>
      <c r="DR113" s="96">
        <f>IFERROR(VLOOKUP($B113,INDIRECT("'GRD-"&amp;DR$11&amp;"'!B:R"),15,FALSE),"")</f>
        <v/>
      </c>
      <c r="DS113" s="96">
        <f>IFERROR(VLOOKUP($B113,INDIRECT("'GRD-"&amp;DS$11&amp;"'!B:R"),15,FALSE),"")</f>
        <v/>
      </c>
      <c r="DT113" s="96">
        <f>IFERROR(VLOOKUP($B113,INDIRECT("'GRD-"&amp;DT$11&amp;"'!B:R"),15,FALSE),"")</f>
        <v/>
      </c>
      <c r="DU113" s="96">
        <f>IFERROR(VLOOKUP($B113,INDIRECT("'GRD-"&amp;DU$11&amp;"'!B:R"),15,FALSE),"")</f>
        <v/>
      </c>
      <c r="DV113" s="96">
        <f>IFERROR(VLOOKUP($B113,INDIRECT("'GRD-"&amp;DV$11&amp;"'!B:R"),15,FALSE),"")</f>
        <v/>
      </c>
      <c r="DW113" s="96">
        <f>IFERROR(VLOOKUP($B113,INDIRECT("'GRD-"&amp;DW$11&amp;"'!B:R"),15,FALSE),"")</f>
        <v/>
      </c>
      <c r="DX113" s="96">
        <f>IFERROR(VLOOKUP($B113,INDIRECT("'GRD-"&amp;DX$11&amp;"'!B:R"),15,FALSE),"")</f>
        <v/>
      </c>
      <c r="DY113" s="96">
        <f>IFERROR(VLOOKUP($B113,INDIRECT("'GRD-"&amp;DY$11&amp;"'!B:R"),15,FALSE),"")</f>
        <v/>
      </c>
      <c r="DZ113" s="96">
        <f>IFERROR(VLOOKUP($B113,INDIRECT("'GRD-"&amp;DZ$11&amp;"'!B:R"),15,FALSE),"")</f>
        <v/>
      </c>
      <c r="EA113" s="96">
        <f>IFERROR(VLOOKUP($B113,INDIRECT("'GRD-"&amp;EA$11&amp;"'!B:R"),15,FALSE),"")</f>
        <v/>
      </c>
      <c r="EB113" s="96">
        <f>IFERROR(VLOOKUP($B113,INDIRECT("'GRD-"&amp;EB$11&amp;"'!B:R"),15,FALSE),"")</f>
        <v/>
      </c>
      <c r="EC113" s="96">
        <f>IFERROR(VLOOKUP($B113,INDIRECT("'GRD-"&amp;EC$11&amp;"'!B:R"),15,FALSE),"")</f>
        <v/>
      </c>
      <c r="ED113" s="96">
        <f>IFERROR(VLOOKUP($B113,INDIRECT("'GRD-"&amp;ED$11&amp;"'!B:R"),15,FALSE),"")</f>
        <v/>
      </c>
      <c r="EE113" s="96">
        <f>IFERROR(VLOOKUP($B113,INDIRECT("'GRD-"&amp;EE$11&amp;"'!B:R"),15,FALSE),"")</f>
        <v/>
      </c>
      <c r="EF113" s="96">
        <f>IFERROR(VLOOKUP($B113,INDIRECT("'GRD-"&amp;EF$11&amp;"'!B:R"),15,FALSE),"")</f>
        <v/>
      </c>
      <c r="EG113" s="96">
        <f>IFERROR(VLOOKUP($B113,INDIRECT("'GRD-"&amp;EG$11&amp;"'!B:R"),15,FALSE),"")</f>
        <v/>
      </c>
      <c r="EH113" s="96">
        <f>IFERROR(VLOOKUP($B113,INDIRECT("'GRD-"&amp;EH$11&amp;"'!B:R"),15,FALSE),"")</f>
        <v/>
      </c>
      <c r="EI113" s="96">
        <f>IFERROR(VLOOKUP($B113,INDIRECT("'GRD-"&amp;EI$11&amp;"'!B:R"),15,FALSE),"")</f>
        <v/>
      </c>
      <c r="EJ113" s="96">
        <f>IFERROR(VLOOKUP($B113,INDIRECT("'GRD-"&amp;EJ$11&amp;"'!B:R"),15,FALSE),"")</f>
        <v/>
      </c>
      <c r="EK113" s="96">
        <f>IFERROR(VLOOKUP($B113,INDIRECT("'GRD-"&amp;EK$11&amp;"'!B:R"),15,FALSE),"")</f>
        <v/>
      </c>
      <c r="EL113" s="96">
        <f>IFERROR(VLOOKUP($B113,INDIRECT("'GRD-"&amp;EL$11&amp;"'!B:R"),15,FALSE),"")</f>
        <v/>
      </c>
      <c r="EM113" s="96">
        <f>IFERROR(VLOOKUP($B113,INDIRECT("'GRD-"&amp;EM$11&amp;"'!B:R"),15,FALSE),"")</f>
        <v/>
      </c>
      <c r="EN113" s="96">
        <f>IFERROR(VLOOKUP($B113,INDIRECT("'GRD-"&amp;EN$11&amp;"'!B:R"),15,FALSE),"")</f>
        <v/>
      </c>
      <c r="EO113" s="96">
        <f>IFERROR(VLOOKUP($B113,INDIRECT("'GRD-"&amp;EO$11&amp;"'!B:R"),15,FALSE),"")</f>
        <v/>
      </c>
      <c r="EP113" s="96">
        <f>IFERROR(VLOOKUP($B113,INDIRECT("'GRD-"&amp;EP$11&amp;"'!B:R"),15,FALSE),"")</f>
        <v/>
      </c>
      <c r="EQ113" s="96">
        <f>IFERROR(VLOOKUP($B113,INDIRECT("'GRD-"&amp;EQ$11&amp;"'!B:R"),15,FALSE),"")</f>
        <v/>
      </c>
      <c r="ER113" s="96">
        <f>IFERROR(VLOOKUP($B113,INDIRECT("'GRD-"&amp;ER$11&amp;"'!B:R"),15,FALSE),"")</f>
        <v/>
      </c>
      <c r="ES113" s="96">
        <f>IFERROR(VLOOKUP($B113,INDIRECT("'GRD-"&amp;ES$11&amp;"'!B:R"),15,FALSE),"")</f>
        <v/>
      </c>
      <c r="ET113" s="96">
        <f>IFERROR(VLOOKUP($B113,INDIRECT("'GRD-"&amp;ET$11&amp;"'!B:R"),15,FALSE),"")</f>
        <v/>
      </c>
      <c r="EU113" s="96">
        <f>IFERROR(VLOOKUP($B113,INDIRECT("'GRD-"&amp;EU$11&amp;"'!B:R"),15,FALSE),"")</f>
        <v/>
      </c>
      <c r="EV113" s="96">
        <f>IFERROR(VLOOKUP($B113,INDIRECT("'GRD-"&amp;EV$11&amp;"'!B:R"),15,FALSE),"")</f>
        <v/>
      </c>
      <c r="EW113" s="96">
        <f>IFERROR(VLOOKUP($B113,INDIRECT("'GRD-"&amp;EW$11&amp;"'!B:R"),15,FALSE),"")</f>
        <v/>
      </c>
      <c r="EX113" s="96">
        <f>IFERROR(VLOOKUP($B113,INDIRECT("'GRD-"&amp;EX$11&amp;"'!B:R"),15,FALSE),"")</f>
        <v/>
      </c>
      <c r="EY113" s="96">
        <f>IFERROR(VLOOKUP($B113,INDIRECT("'GRD-"&amp;EY$11&amp;"'!B:R"),15,FALSE),"")</f>
        <v/>
      </c>
      <c r="EZ113" s="96">
        <f>IFERROR(VLOOKUP($B113,INDIRECT("'GRD-"&amp;EZ$11&amp;"'!B:R"),15,FALSE),"")</f>
        <v/>
      </c>
      <c r="FA113" s="96">
        <f>IFERROR(VLOOKUP($B113,INDIRECT("'GRD-"&amp;FA$11&amp;"'!B:R"),15,FALSE),"")</f>
        <v/>
      </c>
      <c r="FB113" s="96">
        <f>IFERROR(VLOOKUP($B113,INDIRECT("'GRD-"&amp;FB$11&amp;"'!B:R"),15,FALSE),"")</f>
        <v/>
      </c>
      <c r="FC113" s="96">
        <f>IFERROR(VLOOKUP($B113,INDIRECT("'GRD-"&amp;FC$11&amp;"'!B:R"),15,FALSE),"")</f>
        <v/>
      </c>
      <c r="FD113" s="96">
        <f>IFERROR(VLOOKUP($B113,INDIRECT("'GRD-"&amp;FD$11&amp;"'!B:R"),15,FALSE),"")</f>
        <v/>
      </c>
      <c r="FE113" s="96">
        <f>IFERROR(VLOOKUP($B113,INDIRECT("'GRD-"&amp;FE$11&amp;"'!B:R"),15,FALSE),"")</f>
        <v/>
      </c>
      <c r="FF113" s="96">
        <f>IFERROR(VLOOKUP($B113,INDIRECT("'GRD-"&amp;FF$11&amp;"'!B:R"),15,FALSE),"")</f>
        <v/>
      </c>
      <c r="FG113" s="96">
        <f>IFERROR(VLOOKUP($B113,INDIRECT("'GRD-"&amp;FG$11&amp;"'!B:R"),15,FALSE),"")</f>
        <v/>
      </c>
      <c r="FH113" s="96">
        <f>IFERROR(VLOOKUP($B113,INDIRECT("'GRD-"&amp;FH$11&amp;"'!B:R"),15,FALSE),"")</f>
        <v/>
      </c>
      <c r="FI113" s="96">
        <f>IFERROR(VLOOKUP($B113,INDIRECT("'GRD-"&amp;FI$11&amp;"'!B:R"),15,FALSE),"")</f>
        <v/>
      </c>
      <c r="FJ113" s="96">
        <f>IFERROR(VLOOKUP($B113,INDIRECT("'GRD-"&amp;FJ$11&amp;"'!B:R"),15,FALSE),"")</f>
        <v/>
      </c>
      <c r="FK113" s="96">
        <f>IFERROR(VLOOKUP($B113,INDIRECT("'GRD-"&amp;FK$11&amp;"'!B:R"),15,FALSE),"")</f>
        <v/>
      </c>
      <c r="FL113" s="96">
        <f>IFERROR(VLOOKUP($B113,INDIRECT("'GRD-"&amp;FL$11&amp;"'!B:R"),15,FALSE),"")</f>
        <v/>
      </c>
      <c r="FM113" s="96">
        <f>IFERROR(VLOOKUP($B113,INDIRECT("'GRD-"&amp;FM$11&amp;"'!B:R"),15,FALSE),"")</f>
        <v/>
      </c>
      <c r="FN113" s="96">
        <f>IFERROR(VLOOKUP($B113,INDIRECT("'GRD-"&amp;FN$11&amp;"'!B:R"),15,FALSE),"")</f>
        <v/>
      </c>
      <c r="FO113" s="96">
        <f>IFERROR(VLOOKUP($B113,INDIRECT("'GRD-"&amp;FO$11&amp;"'!B:R"),15,FALSE),"")</f>
        <v/>
      </c>
      <c r="FP113" s="96">
        <f>IFERROR(VLOOKUP($B113,INDIRECT("'GRD-"&amp;FP$11&amp;"'!B:R"),15,FALSE),"")</f>
        <v/>
      </c>
      <c r="FQ113" s="96">
        <f>IFERROR(VLOOKUP($B113,INDIRECT("'GRD-"&amp;FQ$11&amp;"'!B:R"),15,FALSE),"")</f>
        <v/>
      </c>
      <c r="FR113" s="96">
        <f>IFERROR(VLOOKUP($B113,INDIRECT("'GRD-"&amp;FR$11&amp;"'!B:R"),15,FALSE),"")</f>
        <v/>
      </c>
      <c r="FS113" s="96">
        <f>IFERROR(VLOOKUP($B113,INDIRECT("'GRD-"&amp;FS$11&amp;"'!B:R"),15,FALSE),"")</f>
        <v/>
      </c>
      <c r="FT113" s="96">
        <f>IFERROR(VLOOKUP($B113,INDIRECT("'GRD-"&amp;FT$11&amp;"'!B:R"),15,FALSE),"")</f>
        <v/>
      </c>
      <c r="FU113" s="96">
        <f>IFERROR(VLOOKUP($B113,INDIRECT("'GRD-"&amp;FU$11&amp;"'!B:R"),15,FALSE),"")</f>
        <v/>
      </c>
      <c r="FV113" s="96">
        <f>IFERROR(VLOOKUP($B113,INDIRECT("'GRD-"&amp;FV$11&amp;"'!B:R"),15,FALSE),"")</f>
        <v/>
      </c>
    </row>
    <row r="114">
      <c r="B114" s="85" t="n"/>
      <c r="C114" s="93" t="n"/>
      <c r="D114" s="73">
        <f>IF(K114="","",MAX($CA114:$FV114))</f>
        <v/>
      </c>
      <c r="E114" s="74">
        <f t="array" ref="E114">IF($K114="","",OFFSET($A$1,ROW($B114)-1,11+$D114*4,))</f>
        <v/>
      </c>
      <c r="F114" s="74">
        <f t="array" ref="F114">IF($K114="","",OFFSET($A$1,ROW($B114)-1,12+$D114*4,))</f>
        <v/>
      </c>
      <c r="G114" s="118">
        <f t="array" ref="G114">IF($K114="","",OFFSET($A$1,ROW($B114)-1,13+$D114*4,))</f>
        <v/>
      </c>
      <c r="H114" s="81" t="n"/>
      <c r="I114" s="82" t="n"/>
      <c r="J114" s="75">
        <f>IF(I114="A4",H114/8,IF(I114="A3",H114/4,IF(I114="A2",H114/2,IF(I114="A1",H114/1,IF(I114="A0",H114*2,"")))))</f>
        <v/>
      </c>
      <c r="K114" s="68">
        <f t="array" ref="K114">IFERROR(OFFSET($BZ$11,ROW($B114)-11,MATCH(K$10,$CA114:$FV114,0),),"")</f>
        <v/>
      </c>
      <c r="L114" s="85">
        <f>IF(K114="","",IF(VLOOKUP($B114,INDIRECT("'GRD-"&amp;M114&amp;"'!$B:$R"),16,FALSE)="","",VLOOKUP($B114,INDIRECT("'GRD-"&amp;M114&amp;"'!$B:$R"),16,FALSE)))</f>
        <v/>
      </c>
      <c r="M114" s="130">
        <f t="array" ref="M114">IF(K114="","",IFERROR(OFFSET($BZ$11,0,MATCH($K114,$CA114:$FV114,0),),""))</f>
        <v/>
      </c>
      <c r="N114" s="119">
        <f t="array" ref="N114">IF(K114="","",INDIRECT("'GRD-"&amp;M114&amp;"'!$L$7"))</f>
        <v/>
      </c>
      <c r="O114" s="76">
        <f t="array" ref="O114">IFERROR(OFFSET($BZ$11,ROW($B114)-11,MATCH(O$10,$CA114:$FV114,0),),"")</f>
        <v/>
      </c>
      <c r="P114" s="76">
        <f>IF(O114="","",IF(VLOOKUP($B114,INDIRECT("'GRD-"&amp;Q114&amp;"'!$B:$R"),16,FALSE)="","",VLOOKUP($B114,INDIRECT("'GRD-"&amp;Q114&amp;"'!$B:$R"),16,FALSE)))</f>
        <v/>
      </c>
      <c r="Q114" s="132">
        <f t="array" ref="Q114">IF(O114="","",IFERROR(OFFSET($BZ$11,0,MATCH($O114,$CA114:$FV114,0),),""))</f>
        <v/>
      </c>
      <c r="R114" s="121">
        <f t="array" ref="R114">IF(O114="","",INDIRECT("'GRD-"&amp;Q114&amp;"'!$L$7"))</f>
        <v/>
      </c>
      <c r="S114" s="83">
        <f t="array" ref="S114">IFERROR(OFFSET($BZ$11,ROW($B114)-11,MATCH(S$10,$CA114:$FV114,0),),"")</f>
        <v/>
      </c>
      <c r="T114" s="83">
        <f>IF(S114="","",IF(VLOOKUP($B114,INDIRECT("'GRD-"&amp;U114&amp;"'!$B:$R"),16,FALSE)="","",VLOOKUP($B114,INDIRECT("'GRD-"&amp;U114&amp;"'!$B:$R"),16,FALSE)))</f>
        <v/>
      </c>
      <c r="U114" s="128">
        <f t="array" ref="U114">IF(S114="","",IFERROR(OFFSET($BZ$11,0,MATCH($S114,$CA114:$FV114,0),),""))</f>
        <v/>
      </c>
      <c r="V114" s="133">
        <f t="array" ref="V114">IF(S114="","",INDIRECT("'GRD-"&amp;U114&amp;"'!$L$7"))</f>
        <v/>
      </c>
      <c r="W114" s="84">
        <f t="array" ref="W114">IFERROR(OFFSET($BZ$11,ROW($B114)-11,MATCH(W$10,$CA114:$FV114,0),),"")</f>
        <v/>
      </c>
      <c r="X114" s="84">
        <f>IF(W114="","",IF(VLOOKUP($B114,INDIRECT("'GRD-"&amp;Y114&amp;"'!$B:$R"),16,FALSE)="","",VLOOKUP($B114,INDIRECT("'GRD-"&amp;Y114&amp;"'!$B:$R"),16,FALSE)))</f>
        <v/>
      </c>
      <c r="Y114" s="129">
        <f t="array" ref="Y114">IF(W114="","",IFERROR(OFFSET($BZ$11,0,MATCH($W114,$CA114:$FV114,0),),""))</f>
        <v/>
      </c>
      <c r="Z114" s="134">
        <f t="array" ref="Z114">IF(W114="","",INDIRECT("'GRD-"&amp;Y114&amp;"'!$L$7"))</f>
        <v/>
      </c>
      <c r="AA114" s="85">
        <f t="array" ref="AA114">IFERROR(OFFSET($BZ$11,ROW($B114)-11,MATCH(AA$10,$CA114:$FV114,0),),"")</f>
        <v/>
      </c>
      <c r="AB114" s="85">
        <f>IF(AA114="","",IF(VLOOKUP($B114,INDIRECT("'GRD-"&amp;AC114&amp;"'!$B:$R"),16,FALSE)="","",VLOOKUP($B114,INDIRECT("'GRD-"&amp;AC114&amp;"'!$B:$R"),16,FALSE)))</f>
        <v/>
      </c>
      <c r="AC114" s="130">
        <f t="array" ref="AC114">IF(AA114="","",IFERROR(OFFSET($BZ$11,0,MATCH($AA114,$CA114:$FV114,0),),""))</f>
        <v/>
      </c>
      <c r="AD114" s="131">
        <f t="array" ref="AD114">IF(AA114="","",INDIRECT("'GRD-"&amp;AC114&amp;"'!$L$7"))</f>
        <v/>
      </c>
      <c r="AE114" s="76">
        <f t="array" ref="AE114">IFERROR(OFFSET($BZ$11,ROW($B114)-11,MATCH(AE$10,$CA114:$FV114,0),),"")</f>
        <v/>
      </c>
      <c r="AF114" s="76">
        <f>IF(AE114="","",IF(VLOOKUP($B114,INDIRECT("'GRD-"&amp;AG114&amp;"'!$B:$R"),16,FALSE)="","",VLOOKUP($B114,INDIRECT("'GRD-"&amp;AG114&amp;"'!$B:$R"),16,FALSE)))</f>
        <v/>
      </c>
      <c r="AG114" s="132">
        <f t="array" ref="AG114">IF(AE114="","",IFERROR(OFFSET($BZ$11,0,MATCH($AE114,$CA114:$FV114,0),),""))</f>
        <v/>
      </c>
      <c r="AH114" s="121">
        <f t="array" ref="AH114">IF(AE114="","",INDIRECT("'GRD-"&amp;AG114&amp;"'!$L$7"))</f>
        <v/>
      </c>
      <c r="AI114" s="83">
        <f t="array" ref="AI114">IFERROR(OFFSET($BZ$11,ROW($B114)-11,MATCH(AI$10,$CA114:$FV114,0),),"")</f>
        <v/>
      </c>
      <c r="AJ114" s="83">
        <f>IF(AI114="","",IF(VLOOKUP($B114,INDIRECT("'GRD-"&amp;AK114&amp;"'!$B:$R"),16,FALSE)="","",VLOOKUP($B114,INDIRECT("'GRD-"&amp;AK114&amp;"'!$B:$R"),16,FALSE)))</f>
        <v/>
      </c>
      <c r="AK114" s="128">
        <f t="array" ref="AK114">IF(AI114="","",IFERROR(OFFSET($BZ$11,0,MATCH($AI114,$CA114:$FV114,0),),""))</f>
        <v/>
      </c>
      <c r="AL114" s="133">
        <f t="array" ref="AL114">IF(AI114="","",INDIRECT("'GRD-"&amp;AK114&amp;"'!$L$7"))</f>
        <v/>
      </c>
      <c r="AM114" s="84">
        <f t="array" ref="AM114">IFERROR(OFFSET($BZ$11,ROW($B114)-11,MATCH(AM$10,$CA114:$FV114,0),),"")</f>
        <v/>
      </c>
      <c r="AN114" s="84">
        <f>IF(AM114="","",IF(VLOOKUP($B114,INDIRECT("'GRD-"&amp;AO114&amp;"'!$B:$R"),16,FALSE)="","",VLOOKUP($B114,INDIRECT("'GRD-"&amp;AO114&amp;"'!$B:$R"),16,FALSE)))</f>
        <v/>
      </c>
      <c r="AO114" s="129">
        <f t="array" ref="AO114">IF(AM114="","",IFERROR(OFFSET($BZ$11,0,MATCH($AM114,$CA114:$FV114,0),),""))</f>
        <v/>
      </c>
      <c r="AP114" s="134">
        <f t="array" ref="AP114">IF(AM114="","",INDIRECT("'GRD-"&amp;AO114&amp;"'!$L$7"))</f>
        <v/>
      </c>
      <c r="AQ114" s="85">
        <f t="array" ref="AQ114">IFERROR(OFFSET($BZ$11,ROW($B114)-11,MATCH(AQ$10,$CA114:$FV114,0),),"")</f>
        <v/>
      </c>
      <c r="AR114" s="85">
        <f>IF(AQ114="","",IF(VLOOKUP($B114,INDIRECT("'GRD-"&amp;AS114&amp;"'!$B:$R"),16,FALSE)="","",VLOOKUP($B114,INDIRECT("'GRD-"&amp;AS114&amp;"'!$B:$R"),16,FALSE)))</f>
        <v/>
      </c>
      <c r="AS114" s="130">
        <f t="array" ref="AS114">IF(AQ114="","",IFERROR(OFFSET($BZ$11,0,MATCH($AQ114,$CA114:$FV114,0),),""))</f>
        <v/>
      </c>
      <c r="AT114" s="131">
        <f t="array" ref="AT114">IF(AQ114="","",INDIRECT("'GRD-"&amp;AS114&amp;"'!$L$7"))</f>
        <v/>
      </c>
      <c r="AU114" s="76">
        <f t="array" ref="AU114">IFERROR(OFFSET($BZ$11,ROW($B114)-11,MATCH(AU$10,$CA114:$FV114,0),),"")</f>
        <v/>
      </c>
      <c r="AV114" s="76">
        <f>IF(AU114="","",IF(VLOOKUP($B114,INDIRECT("'GRD-"&amp;AW114&amp;"'!$B:$R"),16,FALSE)="","",VLOOKUP($B114,INDIRECT("'GRD-"&amp;AW114&amp;"'!$B:$R"),16,FALSE)))</f>
        <v/>
      </c>
      <c r="AW114" s="132">
        <f t="array" ref="AW114">IF(AU114="","",IFERROR(OFFSET($BZ$11,0,MATCH($AU114,$CA114:$FV114,0),),""))</f>
        <v/>
      </c>
      <c r="AX114" s="121">
        <f t="array" ref="AX114">IF(AU114="","",INDIRECT("'GRD-"&amp;AW114&amp;"'!$L$7"))</f>
        <v/>
      </c>
      <c r="AY114" s="83">
        <f t="array" ref="AY114">IFERROR(OFFSET($BZ$11,ROW($B114)-11,MATCH(AY$10,$CA114:$FV114,0),),"")</f>
        <v/>
      </c>
      <c r="AZ114" s="83">
        <f>IF(AY114="","",IF(VLOOKUP($B114,INDIRECT("'GRD-"&amp;BA114&amp;"'!$B:$R"),16,FALSE)="","",VLOOKUP($B114,INDIRECT("'GRD-"&amp;BA114&amp;"'!$B:$R"),16,FALSE)))</f>
        <v/>
      </c>
      <c r="BA114" s="128">
        <f t="array" ref="BA114">IF(AY114="","",IFERROR(OFFSET($BZ$11,0,MATCH($AY114,$CA114:$FV114,0),),""))</f>
        <v/>
      </c>
      <c r="BB114" s="133">
        <f t="array" ref="BB114">IF(AY114="","",INDIRECT("'GRD-"&amp;BA114&amp;"'!$L$7"))</f>
        <v/>
      </c>
      <c r="BC114" s="84">
        <f t="array" ref="BC114">IFERROR(OFFSET($BZ$11,ROW($B114)-11,MATCH(BC$10,$CA114:$FV114,0),),"")</f>
        <v/>
      </c>
      <c r="BD114" s="84">
        <f>IF(BC114="","",IF(VLOOKUP($B114,INDIRECT("'GRD-"&amp;BE114&amp;"'!$B:$R"),16,FALSE)="","",VLOOKUP($B114,INDIRECT("'GRD-"&amp;BE114&amp;"'!$B:$R"),16,FALSE)))</f>
        <v/>
      </c>
      <c r="BE114" s="129">
        <f t="array" ref="BE114">IF(BC114="","",IFERROR(OFFSET($BZ$11,0,MATCH($BC114,$CA114:$FV114,0),),""))</f>
        <v/>
      </c>
      <c r="BF114" s="134">
        <f t="array" ref="BF114">IF(BC114="","",INDIRECT("'GRD-"&amp;BE114&amp;"'!$L$7"))</f>
        <v/>
      </c>
      <c r="CA114" s="96">
        <f>IFERROR(VLOOKUP($B114,INDIRECT("'GRD-"&amp;CA$11&amp;"'!B:R"),15,FALSE),"")</f>
        <v/>
      </c>
      <c r="CB114" s="96">
        <f>IFERROR(VLOOKUP($B114,INDIRECT("'GRD-"&amp;CB$11&amp;"'!B:R"),15,FALSE),"")</f>
        <v/>
      </c>
      <c r="CC114" s="96">
        <f>IFERROR(VLOOKUP($B114,INDIRECT("'GRD-"&amp;CC$11&amp;"'!B:R"),15,FALSE),"")</f>
        <v/>
      </c>
      <c r="CD114" s="96">
        <f>IFERROR(VLOOKUP($B114,INDIRECT("'GRD-"&amp;CD$11&amp;"'!B:R"),15,FALSE),"")</f>
        <v/>
      </c>
      <c r="CE114" s="96">
        <f>IFERROR(VLOOKUP($B114,INDIRECT("'GRD-"&amp;CE$11&amp;"'!B:R"),15,FALSE),"")</f>
        <v/>
      </c>
      <c r="CF114" s="96">
        <f>IFERROR(VLOOKUP($B114,INDIRECT("'GRD-"&amp;CF$11&amp;"'!B:R"),15,FALSE),"")</f>
        <v/>
      </c>
      <c r="CG114" s="96">
        <f>IFERROR(VLOOKUP($B114,INDIRECT("'GRD-"&amp;CG$11&amp;"'!B:R"),15,FALSE),"")</f>
        <v/>
      </c>
      <c r="CH114" s="96">
        <f>IFERROR(VLOOKUP($B114,INDIRECT("'GRD-"&amp;CH$11&amp;"'!B:R"),15,FALSE),"")</f>
        <v/>
      </c>
      <c r="CI114" s="96">
        <f>IFERROR(VLOOKUP($B114,INDIRECT("'GRD-"&amp;CI$11&amp;"'!B:R"),15,FALSE),"")</f>
        <v/>
      </c>
      <c r="CJ114" s="96">
        <f>IFERROR(VLOOKUP($B114,INDIRECT("'GRD-"&amp;CJ$11&amp;"'!B:R"),15,FALSE),"")</f>
        <v/>
      </c>
      <c r="CK114" s="96">
        <f>IFERROR(VLOOKUP($B114,INDIRECT("'GRD-"&amp;CK$11&amp;"'!B:R"),15,FALSE),"")</f>
        <v/>
      </c>
      <c r="CL114" s="96">
        <f>IFERROR(VLOOKUP($B114,INDIRECT("'GRD-"&amp;CL$11&amp;"'!B:R"),15,FALSE),"")</f>
        <v/>
      </c>
      <c r="CM114" s="96">
        <f>IFERROR(VLOOKUP($B114,INDIRECT("'GRD-"&amp;CM$11&amp;"'!B:R"),15,FALSE),"")</f>
        <v/>
      </c>
      <c r="CN114" s="96">
        <f>IFERROR(VLOOKUP($B114,INDIRECT("'GRD-"&amp;CN$11&amp;"'!B:R"),15,FALSE),"")</f>
        <v/>
      </c>
      <c r="CO114" s="96">
        <f>IFERROR(VLOOKUP($B114,INDIRECT("'GRD-"&amp;CO$11&amp;"'!B:R"),15,FALSE),"")</f>
        <v/>
      </c>
      <c r="CP114" s="96">
        <f>IFERROR(VLOOKUP($B114,INDIRECT("'GRD-"&amp;CP$11&amp;"'!B:R"),15,FALSE),"")</f>
        <v/>
      </c>
      <c r="CQ114" s="96">
        <f>IFERROR(VLOOKUP($B114,INDIRECT("'GRD-"&amp;CQ$11&amp;"'!B:R"),15,FALSE),"")</f>
        <v/>
      </c>
      <c r="CR114" s="96">
        <f>IFERROR(VLOOKUP($B114,INDIRECT("'GRD-"&amp;CR$11&amp;"'!B:R"),15,FALSE),"")</f>
        <v/>
      </c>
      <c r="CS114" s="96">
        <f>IFERROR(VLOOKUP($B114,INDIRECT("'GRD-"&amp;CS$11&amp;"'!B:R"),15,FALSE),"")</f>
        <v/>
      </c>
      <c r="CT114" s="96">
        <f>IFERROR(VLOOKUP($B114,INDIRECT("'GRD-"&amp;CT$11&amp;"'!B:R"),15,FALSE),"")</f>
        <v/>
      </c>
      <c r="CU114" s="96">
        <f>IFERROR(VLOOKUP($B114,INDIRECT("'GRD-"&amp;CU$11&amp;"'!B:R"),15,FALSE),"")</f>
        <v/>
      </c>
      <c r="CV114" s="96">
        <f>IFERROR(VLOOKUP($B114,INDIRECT("'GRD-"&amp;CV$11&amp;"'!B:R"),15,FALSE),"")</f>
        <v/>
      </c>
      <c r="CW114" s="96">
        <f>IFERROR(VLOOKUP($B114,INDIRECT("'GRD-"&amp;CW$11&amp;"'!B:R"),15,FALSE),"")</f>
        <v/>
      </c>
      <c r="CX114" s="96">
        <f>IFERROR(VLOOKUP($B114,INDIRECT("'GRD-"&amp;CX$11&amp;"'!B:R"),15,FALSE),"")</f>
        <v/>
      </c>
      <c r="CY114" s="96">
        <f>IFERROR(VLOOKUP($B114,INDIRECT("'GRD-"&amp;CY$11&amp;"'!B:R"),15,FALSE),"")</f>
        <v/>
      </c>
      <c r="CZ114" s="96">
        <f>IFERROR(VLOOKUP($B114,INDIRECT("'GRD-"&amp;CZ$11&amp;"'!B:R"),15,FALSE),"")</f>
        <v/>
      </c>
      <c r="DA114" s="96">
        <f>IFERROR(VLOOKUP($B114,INDIRECT("'GRD-"&amp;DA$11&amp;"'!B:R"),15,FALSE),"")</f>
        <v/>
      </c>
      <c r="DB114" s="96">
        <f>IFERROR(VLOOKUP($B114,INDIRECT("'GRD-"&amp;DB$11&amp;"'!B:R"),15,FALSE),"")</f>
        <v/>
      </c>
      <c r="DC114" s="96">
        <f>IFERROR(VLOOKUP($B114,INDIRECT("'GRD-"&amp;DC$11&amp;"'!B:R"),15,FALSE),"")</f>
        <v/>
      </c>
      <c r="DD114" s="96">
        <f>IFERROR(VLOOKUP($B114,INDIRECT("'GRD-"&amp;DD$11&amp;"'!B:R"),15,FALSE),"")</f>
        <v/>
      </c>
      <c r="DE114" s="96">
        <f>IFERROR(VLOOKUP($B114,INDIRECT("'GRD-"&amp;DE$11&amp;"'!B:R"),15,FALSE),"")</f>
        <v/>
      </c>
      <c r="DF114" s="96">
        <f>IFERROR(VLOOKUP($B114,INDIRECT("'GRD-"&amp;DF$11&amp;"'!B:R"),15,FALSE),"")</f>
        <v/>
      </c>
      <c r="DG114" s="96">
        <f>IFERROR(VLOOKUP($B114,INDIRECT("'GRD-"&amp;DG$11&amp;"'!B:R"),15,FALSE),"")</f>
        <v/>
      </c>
      <c r="DH114" s="96">
        <f>IFERROR(VLOOKUP($B114,INDIRECT("'GRD-"&amp;DH$11&amp;"'!B:R"),15,FALSE),"")</f>
        <v/>
      </c>
      <c r="DI114" s="96">
        <f>IFERROR(VLOOKUP($B114,INDIRECT("'GRD-"&amp;DI$11&amp;"'!B:R"),15,FALSE),"")</f>
        <v/>
      </c>
      <c r="DJ114" s="96">
        <f>IFERROR(VLOOKUP($B114,INDIRECT("'GRD-"&amp;DJ$11&amp;"'!B:R"),15,FALSE),"")</f>
        <v/>
      </c>
      <c r="DK114" s="96">
        <f>IFERROR(VLOOKUP($B114,INDIRECT("'GRD-"&amp;DK$11&amp;"'!B:R"),15,FALSE),"")</f>
        <v/>
      </c>
      <c r="DL114" s="96">
        <f>IFERROR(VLOOKUP($B114,INDIRECT("'GRD-"&amp;DL$11&amp;"'!B:R"),15,FALSE),"")</f>
        <v/>
      </c>
      <c r="DM114" s="96">
        <f>IFERROR(VLOOKUP($B114,INDIRECT("'GRD-"&amp;DM$11&amp;"'!B:R"),15,FALSE),"")</f>
        <v/>
      </c>
      <c r="DN114" s="96">
        <f>IFERROR(VLOOKUP($B114,INDIRECT("'GRD-"&amp;DN$11&amp;"'!B:R"),15,FALSE),"")</f>
        <v/>
      </c>
      <c r="DO114" s="96">
        <f>IFERROR(VLOOKUP($B114,INDIRECT("'GRD-"&amp;DO$11&amp;"'!B:R"),15,FALSE),"")</f>
        <v/>
      </c>
      <c r="DP114" s="96">
        <f>IFERROR(VLOOKUP($B114,INDIRECT("'GRD-"&amp;DP$11&amp;"'!B:R"),15,FALSE),"")</f>
        <v/>
      </c>
      <c r="DQ114" s="96">
        <f>IFERROR(VLOOKUP($B114,INDIRECT("'GRD-"&amp;DQ$11&amp;"'!B:R"),15,FALSE),"")</f>
        <v/>
      </c>
      <c r="DR114" s="96">
        <f>IFERROR(VLOOKUP($B114,INDIRECT("'GRD-"&amp;DR$11&amp;"'!B:R"),15,FALSE),"")</f>
        <v/>
      </c>
      <c r="DS114" s="96">
        <f>IFERROR(VLOOKUP($B114,INDIRECT("'GRD-"&amp;DS$11&amp;"'!B:R"),15,FALSE),"")</f>
        <v/>
      </c>
      <c r="DT114" s="96">
        <f>IFERROR(VLOOKUP($B114,INDIRECT("'GRD-"&amp;DT$11&amp;"'!B:R"),15,FALSE),"")</f>
        <v/>
      </c>
      <c r="DU114" s="96">
        <f>IFERROR(VLOOKUP($B114,INDIRECT("'GRD-"&amp;DU$11&amp;"'!B:R"),15,FALSE),"")</f>
        <v/>
      </c>
      <c r="DV114" s="96">
        <f>IFERROR(VLOOKUP($B114,INDIRECT("'GRD-"&amp;DV$11&amp;"'!B:R"),15,FALSE),"")</f>
        <v/>
      </c>
      <c r="DW114" s="96">
        <f>IFERROR(VLOOKUP($B114,INDIRECT("'GRD-"&amp;DW$11&amp;"'!B:R"),15,FALSE),"")</f>
        <v/>
      </c>
      <c r="DX114" s="96">
        <f>IFERROR(VLOOKUP($B114,INDIRECT("'GRD-"&amp;DX$11&amp;"'!B:R"),15,FALSE),"")</f>
        <v/>
      </c>
      <c r="DY114" s="96">
        <f>IFERROR(VLOOKUP($B114,INDIRECT("'GRD-"&amp;DY$11&amp;"'!B:R"),15,FALSE),"")</f>
        <v/>
      </c>
      <c r="DZ114" s="96">
        <f>IFERROR(VLOOKUP($B114,INDIRECT("'GRD-"&amp;DZ$11&amp;"'!B:R"),15,FALSE),"")</f>
        <v/>
      </c>
      <c r="EA114" s="96">
        <f>IFERROR(VLOOKUP($B114,INDIRECT("'GRD-"&amp;EA$11&amp;"'!B:R"),15,FALSE),"")</f>
        <v/>
      </c>
      <c r="EB114" s="96">
        <f>IFERROR(VLOOKUP($B114,INDIRECT("'GRD-"&amp;EB$11&amp;"'!B:R"),15,FALSE),"")</f>
        <v/>
      </c>
      <c r="EC114" s="96">
        <f>IFERROR(VLOOKUP($B114,INDIRECT("'GRD-"&amp;EC$11&amp;"'!B:R"),15,FALSE),"")</f>
        <v/>
      </c>
      <c r="ED114" s="96">
        <f>IFERROR(VLOOKUP($B114,INDIRECT("'GRD-"&amp;ED$11&amp;"'!B:R"),15,FALSE),"")</f>
        <v/>
      </c>
      <c r="EE114" s="96">
        <f>IFERROR(VLOOKUP($B114,INDIRECT("'GRD-"&amp;EE$11&amp;"'!B:R"),15,FALSE),"")</f>
        <v/>
      </c>
      <c r="EF114" s="96">
        <f>IFERROR(VLOOKUP($B114,INDIRECT("'GRD-"&amp;EF$11&amp;"'!B:R"),15,FALSE),"")</f>
        <v/>
      </c>
      <c r="EG114" s="96">
        <f>IFERROR(VLOOKUP($B114,INDIRECT("'GRD-"&amp;EG$11&amp;"'!B:R"),15,FALSE),"")</f>
        <v/>
      </c>
      <c r="EH114" s="96">
        <f>IFERROR(VLOOKUP($B114,INDIRECT("'GRD-"&amp;EH$11&amp;"'!B:R"),15,FALSE),"")</f>
        <v/>
      </c>
      <c r="EI114" s="96">
        <f>IFERROR(VLOOKUP($B114,INDIRECT("'GRD-"&amp;EI$11&amp;"'!B:R"),15,FALSE),"")</f>
        <v/>
      </c>
      <c r="EJ114" s="96">
        <f>IFERROR(VLOOKUP($B114,INDIRECT("'GRD-"&amp;EJ$11&amp;"'!B:R"),15,FALSE),"")</f>
        <v/>
      </c>
      <c r="EK114" s="96">
        <f>IFERROR(VLOOKUP($B114,INDIRECT("'GRD-"&amp;EK$11&amp;"'!B:R"),15,FALSE),"")</f>
        <v/>
      </c>
      <c r="EL114" s="96">
        <f>IFERROR(VLOOKUP($B114,INDIRECT("'GRD-"&amp;EL$11&amp;"'!B:R"),15,FALSE),"")</f>
        <v/>
      </c>
      <c r="EM114" s="96">
        <f>IFERROR(VLOOKUP($B114,INDIRECT("'GRD-"&amp;EM$11&amp;"'!B:R"),15,FALSE),"")</f>
        <v/>
      </c>
      <c r="EN114" s="96">
        <f>IFERROR(VLOOKUP($B114,INDIRECT("'GRD-"&amp;EN$11&amp;"'!B:R"),15,FALSE),"")</f>
        <v/>
      </c>
      <c r="EO114" s="96">
        <f>IFERROR(VLOOKUP($B114,INDIRECT("'GRD-"&amp;EO$11&amp;"'!B:R"),15,FALSE),"")</f>
        <v/>
      </c>
      <c r="EP114" s="96">
        <f>IFERROR(VLOOKUP($B114,INDIRECT("'GRD-"&amp;EP$11&amp;"'!B:R"),15,FALSE),"")</f>
        <v/>
      </c>
      <c r="EQ114" s="96">
        <f>IFERROR(VLOOKUP($B114,INDIRECT("'GRD-"&amp;EQ$11&amp;"'!B:R"),15,FALSE),"")</f>
        <v/>
      </c>
      <c r="ER114" s="96">
        <f>IFERROR(VLOOKUP($B114,INDIRECT("'GRD-"&amp;ER$11&amp;"'!B:R"),15,FALSE),"")</f>
        <v/>
      </c>
      <c r="ES114" s="96">
        <f>IFERROR(VLOOKUP($B114,INDIRECT("'GRD-"&amp;ES$11&amp;"'!B:R"),15,FALSE),"")</f>
        <v/>
      </c>
      <c r="ET114" s="96">
        <f>IFERROR(VLOOKUP($B114,INDIRECT("'GRD-"&amp;ET$11&amp;"'!B:R"),15,FALSE),"")</f>
        <v/>
      </c>
      <c r="EU114" s="96">
        <f>IFERROR(VLOOKUP($B114,INDIRECT("'GRD-"&amp;EU$11&amp;"'!B:R"),15,FALSE),"")</f>
        <v/>
      </c>
      <c r="EV114" s="96">
        <f>IFERROR(VLOOKUP($B114,INDIRECT("'GRD-"&amp;EV$11&amp;"'!B:R"),15,FALSE),"")</f>
        <v/>
      </c>
      <c r="EW114" s="96">
        <f>IFERROR(VLOOKUP($B114,INDIRECT("'GRD-"&amp;EW$11&amp;"'!B:R"),15,FALSE),"")</f>
        <v/>
      </c>
      <c r="EX114" s="96">
        <f>IFERROR(VLOOKUP($B114,INDIRECT("'GRD-"&amp;EX$11&amp;"'!B:R"),15,FALSE),"")</f>
        <v/>
      </c>
      <c r="EY114" s="96">
        <f>IFERROR(VLOOKUP($B114,INDIRECT("'GRD-"&amp;EY$11&amp;"'!B:R"),15,FALSE),"")</f>
        <v/>
      </c>
      <c r="EZ114" s="96">
        <f>IFERROR(VLOOKUP($B114,INDIRECT("'GRD-"&amp;EZ$11&amp;"'!B:R"),15,FALSE),"")</f>
        <v/>
      </c>
      <c r="FA114" s="96">
        <f>IFERROR(VLOOKUP($B114,INDIRECT("'GRD-"&amp;FA$11&amp;"'!B:R"),15,FALSE),"")</f>
        <v/>
      </c>
      <c r="FB114" s="96">
        <f>IFERROR(VLOOKUP($B114,INDIRECT("'GRD-"&amp;FB$11&amp;"'!B:R"),15,FALSE),"")</f>
        <v/>
      </c>
      <c r="FC114" s="96">
        <f>IFERROR(VLOOKUP($B114,INDIRECT("'GRD-"&amp;FC$11&amp;"'!B:R"),15,FALSE),"")</f>
        <v/>
      </c>
      <c r="FD114" s="96">
        <f>IFERROR(VLOOKUP($B114,INDIRECT("'GRD-"&amp;FD$11&amp;"'!B:R"),15,FALSE),"")</f>
        <v/>
      </c>
      <c r="FE114" s="96">
        <f>IFERROR(VLOOKUP($B114,INDIRECT("'GRD-"&amp;FE$11&amp;"'!B:R"),15,FALSE),"")</f>
        <v/>
      </c>
      <c r="FF114" s="96">
        <f>IFERROR(VLOOKUP($B114,INDIRECT("'GRD-"&amp;FF$11&amp;"'!B:R"),15,FALSE),"")</f>
        <v/>
      </c>
      <c r="FG114" s="96">
        <f>IFERROR(VLOOKUP($B114,INDIRECT("'GRD-"&amp;FG$11&amp;"'!B:R"),15,FALSE),"")</f>
        <v/>
      </c>
      <c r="FH114" s="96">
        <f>IFERROR(VLOOKUP($B114,INDIRECT("'GRD-"&amp;FH$11&amp;"'!B:R"),15,FALSE),"")</f>
        <v/>
      </c>
      <c r="FI114" s="96">
        <f>IFERROR(VLOOKUP($B114,INDIRECT("'GRD-"&amp;FI$11&amp;"'!B:R"),15,FALSE),"")</f>
        <v/>
      </c>
      <c r="FJ114" s="96">
        <f>IFERROR(VLOOKUP($B114,INDIRECT("'GRD-"&amp;FJ$11&amp;"'!B:R"),15,FALSE),"")</f>
        <v/>
      </c>
      <c r="FK114" s="96">
        <f>IFERROR(VLOOKUP($B114,INDIRECT("'GRD-"&amp;FK$11&amp;"'!B:R"),15,FALSE),"")</f>
        <v/>
      </c>
      <c r="FL114" s="96">
        <f>IFERROR(VLOOKUP($B114,INDIRECT("'GRD-"&amp;FL$11&amp;"'!B:R"),15,FALSE),"")</f>
        <v/>
      </c>
      <c r="FM114" s="96">
        <f>IFERROR(VLOOKUP($B114,INDIRECT("'GRD-"&amp;FM$11&amp;"'!B:R"),15,FALSE),"")</f>
        <v/>
      </c>
      <c r="FN114" s="96">
        <f>IFERROR(VLOOKUP($B114,INDIRECT("'GRD-"&amp;FN$11&amp;"'!B:R"),15,FALSE),"")</f>
        <v/>
      </c>
      <c r="FO114" s="96">
        <f>IFERROR(VLOOKUP($B114,INDIRECT("'GRD-"&amp;FO$11&amp;"'!B:R"),15,FALSE),"")</f>
        <v/>
      </c>
      <c r="FP114" s="96">
        <f>IFERROR(VLOOKUP($B114,INDIRECT("'GRD-"&amp;FP$11&amp;"'!B:R"),15,FALSE),"")</f>
        <v/>
      </c>
      <c r="FQ114" s="96">
        <f>IFERROR(VLOOKUP($B114,INDIRECT("'GRD-"&amp;FQ$11&amp;"'!B:R"),15,FALSE),"")</f>
        <v/>
      </c>
      <c r="FR114" s="96">
        <f>IFERROR(VLOOKUP($B114,INDIRECT("'GRD-"&amp;FR$11&amp;"'!B:R"),15,FALSE),"")</f>
        <v/>
      </c>
      <c r="FS114" s="96">
        <f>IFERROR(VLOOKUP($B114,INDIRECT("'GRD-"&amp;FS$11&amp;"'!B:R"),15,FALSE),"")</f>
        <v/>
      </c>
      <c r="FT114" s="96">
        <f>IFERROR(VLOOKUP($B114,INDIRECT("'GRD-"&amp;FT$11&amp;"'!B:R"),15,FALSE),"")</f>
        <v/>
      </c>
      <c r="FU114" s="96">
        <f>IFERROR(VLOOKUP($B114,INDIRECT("'GRD-"&amp;FU$11&amp;"'!B:R"),15,FALSE),"")</f>
        <v/>
      </c>
      <c r="FV114" s="96">
        <f>IFERROR(VLOOKUP($B114,INDIRECT("'GRD-"&amp;FV$11&amp;"'!B:R"),15,FALSE),"")</f>
        <v/>
      </c>
    </row>
    <row r="115">
      <c r="B115" s="85" t="n"/>
      <c r="C115" s="93" t="n"/>
      <c r="D115" s="73">
        <f>IF(K115="","",MAX($CA115:$FV115))</f>
        <v/>
      </c>
      <c r="E115" s="74">
        <f t="array" ref="E115">IF($K115="","",OFFSET($A$1,ROW($B115)-1,11+$D115*4,))</f>
        <v/>
      </c>
      <c r="F115" s="74">
        <f t="array" ref="F115">IF($K115="","",OFFSET($A$1,ROW($B115)-1,12+$D115*4,))</f>
        <v/>
      </c>
      <c r="G115" s="118">
        <f t="array" ref="G115">IF($K115="","",OFFSET($A$1,ROW($B115)-1,13+$D115*4,))</f>
        <v/>
      </c>
      <c r="H115" s="81" t="n"/>
      <c r="I115" s="82" t="n"/>
      <c r="J115" s="75">
        <f>IF(I115="A4",H115/8,IF(I115="A3",H115/4,IF(I115="A2",H115/2,IF(I115="A1",H115/1,IF(I115="A0",H115*2,"")))))</f>
        <v/>
      </c>
      <c r="K115" s="68">
        <f t="array" ref="K115">IFERROR(OFFSET($BZ$11,ROW($B115)-11,MATCH(K$10,$CA115:$FV115,0),),"")</f>
        <v/>
      </c>
      <c r="L115" s="85">
        <f>IF(K115="","",IF(VLOOKUP($B115,INDIRECT("'GRD-"&amp;M115&amp;"'!$B:$R"),16,FALSE)="","",VLOOKUP($B115,INDIRECT("'GRD-"&amp;M115&amp;"'!$B:$R"),16,FALSE)))</f>
        <v/>
      </c>
      <c r="M115" s="130">
        <f t="array" ref="M115">IF(K115="","",IFERROR(OFFSET($BZ$11,0,MATCH($K115,$CA115:$FV115,0),),""))</f>
        <v/>
      </c>
      <c r="N115" s="119">
        <f t="array" ref="N115">IF(K115="","",INDIRECT("'GRD-"&amp;M115&amp;"'!$L$7"))</f>
        <v/>
      </c>
      <c r="O115" s="76">
        <f t="array" ref="O115">IFERROR(OFFSET($BZ$11,ROW($B115)-11,MATCH(O$10,$CA115:$FV115,0),),"")</f>
        <v/>
      </c>
      <c r="P115" s="76">
        <f>IF(O115="","",IF(VLOOKUP($B115,INDIRECT("'GRD-"&amp;Q115&amp;"'!$B:$R"),16,FALSE)="","",VLOOKUP($B115,INDIRECT("'GRD-"&amp;Q115&amp;"'!$B:$R"),16,FALSE)))</f>
        <v/>
      </c>
      <c r="Q115" s="132">
        <f t="array" ref="Q115">IF(O115="","",IFERROR(OFFSET($BZ$11,0,MATCH($O115,$CA115:$FV115,0),),""))</f>
        <v/>
      </c>
      <c r="R115" s="121">
        <f t="array" ref="R115">IF(O115="","",INDIRECT("'GRD-"&amp;Q115&amp;"'!$L$7"))</f>
        <v/>
      </c>
      <c r="S115" s="83">
        <f t="array" ref="S115">IFERROR(OFFSET($BZ$11,ROW($B115)-11,MATCH(S$10,$CA115:$FV115,0),),"")</f>
        <v/>
      </c>
      <c r="T115" s="83">
        <f>IF(S115="","",IF(VLOOKUP($B115,INDIRECT("'GRD-"&amp;U115&amp;"'!$B:$R"),16,FALSE)="","",VLOOKUP($B115,INDIRECT("'GRD-"&amp;U115&amp;"'!$B:$R"),16,FALSE)))</f>
        <v/>
      </c>
      <c r="U115" s="128">
        <f t="array" ref="U115">IF(S115="","",IFERROR(OFFSET($BZ$11,0,MATCH($S115,$CA115:$FV115,0),),""))</f>
        <v/>
      </c>
      <c r="V115" s="133">
        <f t="array" ref="V115">IF(S115="","",INDIRECT("'GRD-"&amp;U115&amp;"'!$L$7"))</f>
        <v/>
      </c>
      <c r="W115" s="84">
        <f t="array" ref="W115">IFERROR(OFFSET($BZ$11,ROW($B115)-11,MATCH(W$10,$CA115:$FV115,0),),"")</f>
        <v/>
      </c>
      <c r="X115" s="84">
        <f>IF(W115="","",IF(VLOOKUP($B115,INDIRECT("'GRD-"&amp;Y115&amp;"'!$B:$R"),16,FALSE)="","",VLOOKUP($B115,INDIRECT("'GRD-"&amp;Y115&amp;"'!$B:$R"),16,FALSE)))</f>
        <v/>
      </c>
      <c r="Y115" s="129">
        <f t="array" ref="Y115">IF(W115="","",IFERROR(OFFSET($BZ$11,0,MATCH($W115,$CA115:$FV115,0),),""))</f>
        <v/>
      </c>
      <c r="Z115" s="134">
        <f t="array" ref="Z115">IF(W115="","",INDIRECT("'GRD-"&amp;Y115&amp;"'!$L$7"))</f>
        <v/>
      </c>
      <c r="AA115" s="85">
        <f t="array" ref="AA115">IFERROR(OFFSET($BZ$11,ROW($B115)-11,MATCH(AA$10,$CA115:$FV115,0),),"")</f>
        <v/>
      </c>
      <c r="AB115" s="85">
        <f>IF(AA115="","",IF(VLOOKUP($B115,INDIRECT("'GRD-"&amp;AC115&amp;"'!$B:$R"),16,FALSE)="","",VLOOKUP($B115,INDIRECT("'GRD-"&amp;AC115&amp;"'!$B:$R"),16,FALSE)))</f>
        <v/>
      </c>
      <c r="AC115" s="130">
        <f t="array" ref="AC115">IF(AA115="","",IFERROR(OFFSET($BZ$11,0,MATCH($AA115,$CA115:$FV115,0),),""))</f>
        <v/>
      </c>
      <c r="AD115" s="131">
        <f t="array" ref="AD115">IF(AA115="","",INDIRECT("'GRD-"&amp;AC115&amp;"'!$L$7"))</f>
        <v/>
      </c>
      <c r="AE115" s="76">
        <f t="array" ref="AE115">IFERROR(OFFSET($BZ$11,ROW($B115)-11,MATCH(AE$10,$CA115:$FV115,0),),"")</f>
        <v/>
      </c>
      <c r="AF115" s="76">
        <f>IF(AE115="","",IF(VLOOKUP($B115,INDIRECT("'GRD-"&amp;AG115&amp;"'!$B:$R"),16,FALSE)="","",VLOOKUP($B115,INDIRECT("'GRD-"&amp;AG115&amp;"'!$B:$R"),16,FALSE)))</f>
        <v/>
      </c>
      <c r="AG115" s="132">
        <f t="array" ref="AG115">IF(AE115="","",IFERROR(OFFSET($BZ$11,0,MATCH($AE115,$CA115:$FV115,0),),""))</f>
        <v/>
      </c>
      <c r="AH115" s="121">
        <f t="array" ref="AH115">IF(AE115="","",INDIRECT("'GRD-"&amp;AG115&amp;"'!$L$7"))</f>
        <v/>
      </c>
      <c r="AI115" s="83">
        <f t="array" ref="AI115">IFERROR(OFFSET($BZ$11,ROW($B115)-11,MATCH(AI$10,$CA115:$FV115,0),),"")</f>
        <v/>
      </c>
      <c r="AJ115" s="83">
        <f>IF(AI115="","",IF(VLOOKUP($B115,INDIRECT("'GRD-"&amp;AK115&amp;"'!$B:$R"),16,FALSE)="","",VLOOKUP($B115,INDIRECT("'GRD-"&amp;AK115&amp;"'!$B:$R"),16,FALSE)))</f>
        <v/>
      </c>
      <c r="AK115" s="128">
        <f t="array" ref="AK115">IF(AI115="","",IFERROR(OFFSET($BZ$11,0,MATCH($AI115,$CA115:$FV115,0),),""))</f>
        <v/>
      </c>
      <c r="AL115" s="133">
        <f t="array" ref="AL115">IF(AI115="","",INDIRECT("'GRD-"&amp;AK115&amp;"'!$L$7"))</f>
        <v/>
      </c>
      <c r="AM115" s="84">
        <f t="array" ref="AM115">IFERROR(OFFSET($BZ$11,ROW($B115)-11,MATCH(AM$10,$CA115:$FV115,0),),"")</f>
        <v/>
      </c>
      <c r="AN115" s="84">
        <f>IF(AM115="","",IF(VLOOKUP($B115,INDIRECT("'GRD-"&amp;AO115&amp;"'!$B:$R"),16,FALSE)="","",VLOOKUP($B115,INDIRECT("'GRD-"&amp;AO115&amp;"'!$B:$R"),16,FALSE)))</f>
        <v/>
      </c>
      <c r="AO115" s="129">
        <f t="array" ref="AO115">IF(AM115="","",IFERROR(OFFSET($BZ$11,0,MATCH($AM115,$CA115:$FV115,0),),""))</f>
        <v/>
      </c>
      <c r="AP115" s="134">
        <f t="array" ref="AP115">IF(AM115="","",INDIRECT("'GRD-"&amp;AO115&amp;"'!$L$7"))</f>
        <v/>
      </c>
      <c r="AQ115" s="85">
        <f t="array" ref="AQ115">IFERROR(OFFSET($BZ$11,ROW($B115)-11,MATCH(AQ$10,$CA115:$FV115,0),),"")</f>
        <v/>
      </c>
      <c r="AR115" s="85">
        <f>IF(AQ115="","",IF(VLOOKUP($B115,INDIRECT("'GRD-"&amp;AS115&amp;"'!$B:$R"),16,FALSE)="","",VLOOKUP($B115,INDIRECT("'GRD-"&amp;AS115&amp;"'!$B:$R"),16,FALSE)))</f>
        <v/>
      </c>
      <c r="AS115" s="130">
        <f t="array" ref="AS115">IF(AQ115="","",IFERROR(OFFSET($BZ$11,0,MATCH($AQ115,$CA115:$FV115,0),),""))</f>
        <v/>
      </c>
      <c r="AT115" s="131">
        <f t="array" ref="AT115">IF(AQ115="","",INDIRECT("'GRD-"&amp;AS115&amp;"'!$L$7"))</f>
        <v/>
      </c>
      <c r="AU115" s="76">
        <f t="array" ref="AU115">IFERROR(OFFSET($BZ$11,ROW($B115)-11,MATCH(AU$10,$CA115:$FV115,0),),"")</f>
        <v/>
      </c>
      <c r="AV115" s="76">
        <f>IF(AU115="","",IF(VLOOKUP($B115,INDIRECT("'GRD-"&amp;AW115&amp;"'!$B:$R"),16,FALSE)="","",VLOOKUP($B115,INDIRECT("'GRD-"&amp;AW115&amp;"'!$B:$R"),16,FALSE)))</f>
        <v/>
      </c>
      <c r="AW115" s="132">
        <f t="array" ref="AW115">IF(AU115="","",IFERROR(OFFSET($BZ$11,0,MATCH($AU115,$CA115:$FV115,0),),""))</f>
        <v/>
      </c>
      <c r="AX115" s="121">
        <f t="array" ref="AX115">IF(AU115="","",INDIRECT("'GRD-"&amp;AW115&amp;"'!$L$7"))</f>
        <v/>
      </c>
      <c r="AY115" s="83">
        <f t="array" ref="AY115">IFERROR(OFFSET($BZ$11,ROW($B115)-11,MATCH(AY$10,$CA115:$FV115,0),),"")</f>
        <v/>
      </c>
      <c r="AZ115" s="83">
        <f>IF(AY115="","",IF(VLOOKUP($B115,INDIRECT("'GRD-"&amp;BA115&amp;"'!$B:$R"),16,FALSE)="","",VLOOKUP($B115,INDIRECT("'GRD-"&amp;BA115&amp;"'!$B:$R"),16,FALSE)))</f>
        <v/>
      </c>
      <c r="BA115" s="128">
        <f t="array" ref="BA115">IF(AY115="","",IFERROR(OFFSET($BZ$11,0,MATCH($AY115,$CA115:$FV115,0),),""))</f>
        <v/>
      </c>
      <c r="BB115" s="133">
        <f t="array" ref="BB115">IF(AY115="","",INDIRECT("'GRD-"&amp;BA115&amp;"'!$L$7"))</f>
        <v/>
      </c>
      <c r="BC115" s="84">
        <f t="array" ref="BC115">IFERROR(OFFSET($BZ$11,ROW($B115)-11,MATCH(BC$10,$CA115:$FV115,0),),"")</f>
        <v/>
      </c>
      <c r="BD115" s="84">
        <f>IF(BC115="","",IF(VLOOKUP($B115,INDIRECT("'GRD-"&amp;BE115&amp;"'!$B:$R"),16,FALSE)="","",VLOOKUP($B115,INDIRECT("'GRD-"&amp;BE115&amp;"'!$B:$R"),16,FALSE)))</f>
        <v/>
      </c>
      <c r="BE115" s="129">
        <f t="array" ref="BE115">IF(BC115="","",IFERROR(OFFSET($BZ$11,0,MATCH($BC115,$CA115:$FV115,0),),""))</f>
        <v/>
      </c>
      <c r="BF115" s="134">
        <f t="array" ref="BF115">IF(BC115="","",INDIRECT("'GRD-"&amp;BE115&amp;"'!$L$7"))</f>
        <v/>
      </c>
      <c r="CA115" s="96">
        <f>IFERROR(VLOOKUP($B115,INDIRECT("'GRD-"&amp;CA$11&amp;"'!B:R"),15,FALSE),"")</f>
        <v/>
      </c>
      <c r="CB115" s="96">
        <f>IFERROR(VLOOKUP($B115,INDIRECT("'GRD-"&amp;CB$11&amp;"'!B:R"),15,FALSE),"")</f>
        <v/>
      </c>
      <c r="CC115" s="96">
        <f>IFERROR(VLOOKUP($B115,INDIRECT("'GRD-"&amp;CC$11&amp;"'!B:R"),15,FALSE),"")</f>
        <v/>
      </c>
      <c r="CD115" s="96">
        <f>IFERROR(VLOOKUP($B115,INDIRECT("'GRD-"&amp;CD$11&amp;"'!B:R"),15,FALSE),"")</f>
        <v/>
      </c>
      <c r="CE115" s="96">
        <f>IFERROR(VLOOKUP($B115,INDIRECT("'GRD-"&amp;CE$11&amp;"'!B:R"),15,FALSE),"")</f>
        <v/>
      </c>
      <c r="CF115" s="96">
        <f>IFERROR(VLOOKUP($B115,INDIRECT("'GRD-"&amp;CF$11&amp;"'!B:R"),15,FALSE),"")</f>
        <v/>
      </c>
      <c r="CG115" s="96">
        <f>IFERROR(VLOOKUP($B115,INDIRECT("'GRD-"&amp;CG$11&amp;"'!B:R"),15,FALSE),"")</f>
        <v/>
      </c>
      <c r="CH115" s="96">
        <f>IFERROR(VLOOKUP($B115,INDIRECT("'GRD-"&amp;CH$11&amp;"'!B:R"),15,FALSE),"")</f>
        <v/>
      </c>
      <c r="CI115" s="96">
        <f>IFERROR(VLOOKUP($B115,INDIRECT("'GRD-"&amp;CI$11&amp;"'!B:R"),15,FALSE),"")</f>
        <v/>
      </c>
      <c r="CJ115" s="96">
        <f>IFERROR(VLOOKUP($B115,INDIRECT("'GRD-"&amp;CJ$11&amp;"'!B:R"),15,FALSE),"")</f>
        <v/>
      </c>
      <c r="CK115" s="96">
        <f>IFERROR(VLOOKUP($B115,INDIRECT("'GRD-"&amp;CK$11&amp;"'!B:R"),15,FALSE),"")</f>
        <v/>
      </c>
      <c r="CL115" s="96">
        <f>IFERROR(VLOOKUP($B115,INDIRECT("'GRD-"&amp;CL$11&amp;"'!B:R"),15,FALSE),"")</f>
        <v/>
      </c>
      <c r="CM115" s="96">
        <f>IFERROR(VLOOKUP($B115,INDIRECT("'GRD-"&amp;CM$11&amp;"'!B:R"),15,FALSE),"")</f>
        <v/>
      </c>
      <c r="CN115" s="96">
        <f>IFERROR(VLOOKUP($B115,INDIRECT("'GRD-"&amp;CN$11&amp;"'!B:R"),15,FALSE),"")</f>
        <v/>
      </c>
      <c r="CO115" s="96">
        <f>IFERROR(VLOOKUP($B115,INDIRECT("'GRD-"&amp;CO$11&amp;"'!B:R"),15,FALSE),"")</f>
        <v/>
      </c>
      <c r="CP115" s="96">
        <f>IFERROR(VLOOKUP($B115,INDIRECT("'GRD-"&amp;CP$11&amp;"'!B:R"),15,FALSE),"")</f>
        <v/>
      </c>
      <c r="CQ115" s="96">
        <f>IFERROR(VLOOKUP($B115,INDIRECT("'GRD-"&amp;CQ$11&amp;"'!B:R"),15,FALSE),"")</f>
        <v/>
      </c>
      <c r="CR115" s="96">
        <f>IFERROR(VLOOKUP($B115,INDIRECT("'GRD-"&amp;CR$11&amp;"'!B:R"),15,FALSE),"")</f>
        <v/>
      </c>
      <c r="CS115" s="96">
        <f>IFERROR(VLOOKUP($B115,INDIRECT("'GRD-"&amp;CS$11&amp;"'!B:R"),15,FALSE),"")</f>
        <v/>
      </c>
      <c r="CT115" s="96">
        <f>IFERROR(VLOOKUP($B115,INDIRECT("'GRD-"&amp;CT$11&amp;"'!B:R"),15,FALSE),"")</f>
        <v/>
      </c>
      <c r="CU115" s="96">
        <f>IFERROR(VLOOKUP($B115,INDIRECT("'GRD-"&amp;CU$11&amp;"'!B:R"),15,FALSE),"")</f>
        <v/>
      </c>
      <c r="CV115" s="96">
        <f>IFERROR(VLOOKUP($B115,INDIRECT("'GRD-"&amp;CV$11&amp;"'!B:R"),15,FALSE),"")</f>
        <v/>
      </c>
      <c r="CW115" s="96">
        <f>IFERROR(VLOOKUP($B115,INDIRECT("'GRD-"&amp;CW$11&amp;"'!B:R"),15,FALSE),"")</f>
        <v/>
      </c>
      <c r="CX115" s="96">
        <f>IFERROR(VLOOKUP($B115,INDIRECT("'GRD-"&amp;CX$11&amp;"'!B:R"),15,FALSE),"")</f>
        <v/>
      </c>
      <c r="CY115" s="96">
        <f>IFERROR(VLOOKUP($B115,INDIRECT("'GRD-"&amp;CY$11&amp;"'!B:R"),15,FALSE),"")</f>
        <v/>
      </c>
      <c r="CZ115" s="96">
        <f>IFERROR(VLOOKUP($B115,INDIRECT("'GRD-"&amp;CZ$11&amp;"'!B:R"),15,FALSE),"")</f>
        <v/>
      </c>
      <c r="DA115" s="96">
        <f>IFERROR(VLOOKUP($B115,INDIRECT("'GRD-"&amp;DA$11&amp;"'!B:R"),15,FALSE),"")</f>
        <v/>
      </c>
      <c r="DB115" s="96">
        <f>IFERROR(VLOOKUP($B115,INDIRECT("'GRD-"&amp;DB$11&amp;"'!B:R"),15,FALSE),"")</f>
        <v/>
      </c>
      <c r="DC115" s="96">
        <f>IFERROR(VLOOKUP($B115,INDIRECT("'GRD-"&amp;DC$11&amp;"'!B:R"),15,FALSE),"")</f>
        <v/>
      </c>
      <c r="DD115" s="96">
        <f>IFERROR(VLOOKUP($B115,INDIRECT("'GRD-"&amp;DD$11&amp;"'!B:R"),15,FALSE),"")</f>
        <v/>
      </c>
      <c r="DE115" s="96">
        <f>IFERROR(VLOOKUP($B115,INDIRECT("'GRD-"&amp;DE$11&amp;"'!B:R"),15,FALSE),"")</f>
        <v/>
      </c>
      <c r="DF115" s="96">
        <f>IFERROR(VLOOKUP($B115,INDIRECT("'GRD-"&amp;DF$11&amp;"'!B:R"),15,FALSE),"")</f>
        <v/>
      </c>
      <c r="DG115" s="96">
        <f>IFERROR(VLOOKUP($B115,INDIRECT("'GRD-"&amp;DG$11&amp;"'!B:R"),15,FALSE),"")</f>
        <v/>
      </c>
      <c r="DH115" s="96">
        <f>IFERROR(VLOOKUP($B115,INDIRECT("'GRD-"&amp;DH$11&amp;"'!B:R"),15,FALSE),"")</f>
        <v/>
      </c>
      <c r="DI115" s="96">
        <f>IFERROR(VLOOKUP($B115,INDIRECT("'GRD-"&amp;DI$11&amp;"'!B:R"),15,FALSE),"")</f>
        <v/>
      </c>
      <c r="DJ115" s="96">
        <f>IFERROR(VLOOKUP($B115,INDIRECT("'GRD-"&amp;DJ$11&amp;"'!B:R"),15,FALSE),"")</f>
        <v/>
      </c>
      <c r="DK115" s="96">
        <f>IFERROR(VLOOKUP($B115,INDIRECT("'GRD-"&amp;DK$11&amp;"'!B:R"),15,FALSE),"")</f>
        <v/>
      </c>
      <c r="DL115" s="96">
        <f>IFERROR(VLOOKUP($B115,INDIRECT("'GRD-"&amp;DL$11&amp;"'!B:R"),15,FALSE),"")</f>
        <v/>
      </c>
      <c r="DM115" s="96">
        <f>IFERROR(VLOOKUP($B115,INDIRECT("'GRD-"&amp;DM$11&amp;"'!B:R"),15,FALSE),"")</f>
        <v/>
      </c>
      <c r="DN115" s="96">
        <f>IFERROR(VLOOKUP($B115,INDIRECT("'GRD-"&amp;DN$11&amp;"'!B:R"),15,FALSE),"")</f>
        <v/>
      </c>
      <c r="DO115" s="96">
        <f>IFERROR(VLOOKUP($B115,INDIRECT("'GRD-"&amp;DO$11&amp;"'!B:R"),15,FALSE),"")</f>
        <v/>
      </c>
      <c r="DP115" s="96">
        <f>IFERROR(VLOOKUP($B115,INDIRECT("'GRD-"&amp;DP$11&amp;"'!B:R"),15,FALSE),"")</f>
        <v/>
      </c>
      <c r="DQ115" s="96">
        <f>IFERROR(VLOOKUP($B115,INDIRECT("'GRD-"&amp;DQ$11&amp;"'!B:R"),15,FALSE),"")</f>
        <v/>
      </c>
      <c r="DR115" s="96">
        <f>IFERROR(VLOOKUP($B115,INDIRECT("'GRD-"&amp;DR$11&amp;"'!B:R"),15,FALSE),"")</f>
        <v/>
      </c>
      <c r="DS115" s="96">
        <f>IFERROR(VLOOKUP($B115,INDIRECT("'GRD-"&amp;DS$11&amp;"'!B:R"),15,FALSE),"")</f>
        <v/>
      </c>
      <c r="DT115" s="96">
        <f>IFERROR(VLOOKUP($B115,INDIRECT("'GRD-"&amp;DT$11&amp;"'!B:R"),15,FALSE),"")</f>
        <v/>
      </c>
      <c r="DU115" s="96">
        <f>IFERROR(VLOOKUP($B115,INDIRECT("'GRD-"&amp;DU$11&amp;"'!B:R"),15,FALSE),"")</f>
        <v/>
      </c>
      <c r="DV115" s="96">
        <f>IFERROR(VLOOKUP($B115,INDIRECT("'GRD-"&amp;DV$11&amp;"'!B:R"),15,FALSE),"")</f>
        <v/>
      </c>
      <c r="DW115" s="96">
        <f>IFERROR(VLOOKUP($B115,INDIRECT("'GRD-"&amp;DW$11&amp;"'!B:R"),15,FALSE),"")</f>
        <v/>
      </c>
      <c r="DX115" s="96">
        <f>IFERROR(VLOOKUP($B115,INDIRECT("'GRD-"&amp;DX$11&amp;"'!B:R"),15,FALSE),"")</f>
        <v/>
      </c>
      <c r="DY115" s="96">
        <f>IFERROR(VLOOKUP($B115,INDIRECT("'GRD-"&amp;DY$11&amp;"'!B:R"),15,FALSE),"")</f>
        <v/>
      </c>
      <c r="DZ115" s="96">
        <f>IFERROR(VLOOKUP($B115,INDIRECT("'GRD-"&amp;DZ$11&amp;"'!B:R"),15,FALSE),"")</f>
        <v/>
      </c>
      <c r="EA115" s="96">
        <f>IFERROR(VLOOKUP($B115,INDIRECT("'GRD-"&amp;EA$11&amp;"'!B:R"),15,FALSE),"")</f>
        <v/>
      </c>
      <c r="EB115" s="96">
        <f>IFERROR(VLOOKUP($B115,INDIRECT("'GRD-"&amp;EB$11&amp;"'!B:R"),15,FALSE),"")</f>
        <v/>
      </c>
      <c r="EC115" s="96">
        <f>IFERROR(VLOOKUP($B115,INDIRECT("'GRD-"&amp;EC$11&amp;"'!B:R"),15,FALSE),"")</f>
        <v/>
      </c>
      <c r="ED115" s="96">
        <f>IFERROR(VLOOKUP($B115,INDIRECT("'GRD-"&amp;ED$11&amp;"'!B:R"),15,FALSE),"")</f>
        <v/>
      </c>
      <c r="EE115" s="96">
        <f>IFERROR(VLOOKUP($B115,INDIRECT("'GRD-"&amp;EE$11&amp;"'!B:R"),15,FALSE),"")</f>
        <v/>
      </c>
      <c r="EF115" s="96">
        <f>IFERROR(VLOOKUP($B115,INDIRECT("'GRD-"&amp;EF$11&amp;"'!B:R"),15,FALSE),"")</f>
        <v/>
      </c>
      <c r="EG115" s="96">
        <f>IFERROR(VLOOKUP($B115,INDIRECT("'GRD-"&amp;EG$11&amp;"'!B:R"),15,FALSE),"")</f>
        <v/>
      </c>
      <c r="EH115" s="96">
        <f>IFERROR(VLOOKUP($B115,INDIRECT("'GRD-"&amp;EH$11&amp;"'!B:R"),15,FALSE),"")</f>
        <v/>
      </c>
      <c r="EI115" s="96">
        <f>IFERROR(VLOOKUP($B115,INDIRECT("'GRD-"&amp;EI$11&amp;"'!B:R"),15,FALSE),"")</f>
        <v/>
      </c>
      <c r="EJ115" s="96">
        <f>IFERROR(VLOOKUP($B115,INDIRECT("'GRD-"&amp;EJ$11&amp;"'!B:R"),15,FALSE),"")</f>
        <v/>
      </c>
      <c r="EK115" s="96">
        <f>IFERROR(VLOOKUP($B115,INDIRECT("'GRD-"&amp;EK$11&amp;"'!B:R"),15,FALSE),"")</f>
        <v/>
      </c>
      <c r="EL115" s="96">
        <f>IFERROR(VLOOKUP($B115,INDIRECT("'GRD-"&amp;EL$11&amp;"'!B:R"),15,FALSE),"")</f>
        <v/>
      </c>
      <c r="EM115" s="96">
        <f>IFERROR(VLOOKUP($B115,INDIRECT("'GRD-"&amp;EM$11&amp;"'!B:R"),15,FALSE),"")</f>
        <v/>
      </c>
      <c r="EN115" s="96">
        <f>IFERROR(VLOOKUP($B115,INDIRECT("'GRD-"&amp;EN$11&amp;"'!B:R"),15,FALSE),"")</f>
        <v/>
      </c>
      <c r="EO115" s="96">
        <f>IFERROR(VLOOKUP($B115,INDIRECT("'GRD-"&amp;EO$11&amp;"'!B:R"),15,FALSE),"")</f>
        <v/>
      </c>
      <c r="EP115" s="96">
        <f>IFERROR(VLOOKUP($B115,INDIRECT("'GRD-"&amp;EP$11&amp;"'!B:R"),15,FALSE),"")</f>
        <v/>
      </c>
      <c r="EQ115" s="96">
        <f>IFERROR(VLOOKUP($B115,INDIRECT("'GRD-"&amp;EQ$11&amp;"'!B:R"),15,FALSE),"")</f>
        <v/>
      </c>
      <c r="ER115" s="96">
        <f>IFERROR(VLOOKUP($B115,INDIRECT("'GRD-"&amp;ER$11&amp;"'!B:R"),15,FALSE),"")</f>
        <v/>
      </c>
      <c r="ES115" s="96">
        <f>IFERROR(VLOOKUP($B115,INDIRECT("'GRD-"&amp;ES$11&amp;"'!B:R"),15,FALSE),"")</f>
        <v/>
      </c>
      <c r="ET115" s="96">
        <f>IFERROR(VLOOKUP($B115,INDIRECT("'GRD-"&amp;ET$11&amp;"'!B:R"),15,FALSE),"")</f>
        <v/>
      </c>
      <c r="EU115" s="96">
        <f>IFERROR(VLOOKUP($B115,INDIRECT("'GRD-"&amp;EU$11&amp;"'!B:R"),15,FALSE),"")</f>
        <v/>
      </c>
      <c r="EV115" s="96">
        <f>IFERROR(VLOOKUP($B115,INDIRECT("'GRD-"&amp;EV$11&amp;"'!B:R"),15,FALSE),"")</f>
        <v/>
      </c>
      <c r="EW115" s="96">
        <f>IFERROR(VLOOKUP($B115,INDIRECT("'GRD-"&amp;EW$11&amp;"'!B:R"),15,FALSE),"")</f>
        <v/>
      </c>
      <c r="EX115" s="96">
        <f>IFERROR(VLOOKUP($B115,INDIRECT("'GRD-"&amp;EX$11&amp;"'!B:R"),15,FALSE),"")</f>
        <v/>
      </c>
      <c r="EY115" s="96">
        <f>IFERROR(VLOOKUP($B115,INDIRECT("'GRD-"&amp;EY$11&amp;"'!B:R"),15,FALSE),"")</f>
        <v/>
      </c>
      <c r="EZ115" s="96">
        <f>IFERROR(VLOOKUP($B115,INDIRECT("'GRD-"&amp;EZ$11&amp;"'!B:R"),15,FALSE),"")</f>
        <v/>
      </c>
      <c r="FA115" s="96">
        <f>IFERROR(VLOOKUP($B115,INDIRECT("'GRD-"&amp;FA$11&amp;"'!B:R"),15,FALSE),"")</f>
        <v/>
      </c>
      <c r="FB115" s="96">
        <f>IFERROR(VLOOKUP($B115,INDIRECT("'GRD-"&amp;FB$11&amp;"'!B:R"),15,FALSE),"")</f>
        <v/>
      </c>
      <c r="FC115" s="96">
        <f>IFERROR(VLOOKUP($B115,INDIRECT("'GRD-"&amp;FC$11&amp;"'!B:R"),15,FALSE),"")</f>
        <v/>
      </c>
      <c r="FD115" s="96">
        <f>IFERROR(VLOOKUP($B115,INDIRECT("'GRD-"&amp;FD$11&amp;"'!B:R"),15,FALSE),"")</f>
        <v/>
      </c>
      <c r="FE115" s="96">
        <f>IFERROR(VLOOKUP($B115,INDIRECT("'GRD-"&amp;FE$11&amp;"'!B:R"),15,FALSE),"")</f>
        <v/>
      </c>
      <c r="FF115" s="96">
        <f>IFERROR(VLOOKUP($B115,INDIRECT("'GRD-"&amp;FF$11&amp;"'!B:R"),15,FALSE),"")</f>
        <v/>
      </c>
      <c r="FG115" s="96">
        <f>IFERROR(VLOOKUP($B115,INDIRECT("'GRD-"&amp;FG$11&amp;"'!B:R"),15,FALSE),"")</f>
        <v/>
      </c>
      <c r="FH115" s="96">
        <f>IFERROR(VLOOKUP($B115,INDIRECT("'GRD-"&amp;FH$11&amp;"'!B:R"),15,FALSE),"")</f>
        <v/>
      </c>
      <c r="FI115" s="96">
        <f>IFERROR(VLOOKUP($B115,INDIRECT("'GRD-"&amp;FI$11&amp;"'!B:R"),15,FALSE),"")</f>
        <v/>
      </c>
      <c r="FJ115" s="96">
        <f>IFERROR(VLOOKUP($B115,INDIRECT("'GRD-"&amp;FJ$11&amp;"'!B:R"),15,FALSE),"")</f>
        <v/>
      </c>
      <c r="FK115" s="96">
        <f>IFERROR(VLOOKUP($B115,INDIRECT("'GRD-"&amp;FK$11&amp;"'!B:R"),15,FALSE),"")</f>
        <v/>
      </c>
      <c r="FL115" s="96">
        <f>IFERROR(VLOOKUP($B115,INDIRECT("'GRD-"&amp;FL$11&amp;"'!B:R"),15,FALSE),"")</f>
        <v/>
      </c>
      <c r="FM115" s="96">
        <f>IFERROR(VLOOKUP($B115,INDIRECT("'GRD-"&amp;FM$11&amp;"'!B:R"),15,FALSE),"")</f>
        <v/>
      </c>
      <c r="FN115" s="96">
        <f>IFERROR(VLOOKUP($B115,INDIRECT("'GRD-"&amp;FN$11&amp;"'!B:R"),15,FALSE),"")</f>
        <v/>
      </c>
      <c r="FO115" s="96">
        <f>IFERROR(VLOOKUP($B115,INDIRECT("'GRD-"&amp;FO$11&amp;"'!B:R"),15,FALSE),"")</f>
        <v/>
      </c>
      <c r="FP115" s="96">
        <f>IFERROR(VLOOKUP($B115,INDIRECT("'GRD-"&amp;FP$11&amp;"'!B:R"),15,FALSE),"")</f>
        <v/>
      </c>
      <c r="FQ115" s="96">
        <f>IFERROR(VLOOKUP($B115,INDIRECT("'GRD-"&amp;FQ$11&amp;"'!B:R"),15,FALSE),"")</f>
        <v/>
      </c>
      <c r="FR115" s="96">
        <f>IFERROR(VLOOKUP($B115,INDIRECT("'GRD-"&amp;FR$11&amp;"'!B:R"),15,FALSE),"")</f>
        <v/>
      </c>
      <c r="FS115" s="96">
        <f>IFERROR(VLOOKUP($B115,INDIRECT("'GRD-"&amp;FS$11&amp;"'!B:R"),15,FALSE),"")</f>
        <v/>
      </c>
      <c r="FT115" s="96">
        <f>IFERROR(VLOOKUP($B115,INDIRECT("'GRD-"&amp;FT$11&amp;"'!B:R"),15,FALSE),"")</f>
        <v/>
      </c>
      <c r="FU115" s="96">
        <f>IFERROR(VLOOKUP($B115,INDIRECT("'GRD-"&amp;FU$11&amp;"'!B:R"),15,FALSE),"")</f>
        <v/>
      </c>
      <c r="FV115" s="96">
        <f>IFERROR(VLOOKUP($B115,INDIRECT("'GRD-"&amp;FV$11&amp;"'!B:R"),15,FALSE),"")</f>
        <v/>
      </c>
    </row>
    <row r="116">
      <c r="B116" s="85" t="n"/>
      <c r="C116" s="93" t="n"/>
      <c r="D116" s="73">
        <f>IF(K116="","",MAX($CA116:$FV116))</f>
        <v/>
      </c>
      <c r="E116" s="74">
        <f t="array" ref="E116">IF($K116="","",OFFSET($A$1,ROW($B116)-1,11+$D116*4,))</f>
        <v/>
      </c>
      <c r="F116" s="74">
        <f t="array" ref="F116">IF($K116="","",OFFSET($A$1,ROW($B116)-1,12+$D116*4,))</f>
        <v/>
      </c>
      <c r="G116" s="118">
        <f t="array" ref="G116">IF($K116="","",OFFSET($A$1,ROW($B116)-1,13+$D116*4,))</f>
        <v/>
      </c>
      <c r="H116" s="81" t="n"/>
      <c r="I116" s="82" t="n"/>
      <c r="J116" s="75">
        <f>IF(I116="A4",H116/8,IF(I116="A3",H116/4,IF(I116="A2",H116/2,IF(I116="A1",H116/1,IF(I116="A0",H116*2,"")))))</f>
        <v/>
      </c>
      <c r="K116" s="68">
        <f t="array" ref="K116">IFERROR(OFFSET($BZ$11,ROW($B116)-11,MATCH(K$10,$CA116:$FV116,0),),"")</f>
        <v/>
      </c>
      <c r="L116" s="85">
        <f>IF(K116="","",IF(VLOOKUP($B116,INDIRECT("'GRD-"&amp;M116&amp;"'!$B:$R"),16,FALSE)="","",VLOOKUP($B116,INDIRECT("'GRD-"&amp;M116&amp;"'!$B:$R"),16,FALSE)))</f>
        <v/>
      </c>
      <c r="M116" s="130">
        <f t="array" ref="M116">IF(K116="","",IFERROR(OFFSET($BZ$11,0,MATCH($K116,$CA116:$FV116,0),),""))</f>
        <v/>
      </c>
      <c r="N116" s="119">
        <f t="array" ref="N116">IF(K116="","",INDIRECT("'GRD-"&amp;M116&amp;"'!$L$7"))</f>
        <v/>
      </c>
      <c r="O116" s="76">
        <f t="array" ref="O116">IFERROR(OFFSET($BZ$11,ROW($B116)-11,MATCH(O$10,$CA116:$FV116,0),),"")</f>
        <v/>
      </c>
      <c r="P116" s="76">
        <f>IF(O116="","",IF(VLOOKUP($B116,INDIRECT("'GRD-"&amp;Q116&amp;"'!$B:$R"),16,FALSE)="","",VLOOKUP($B116,INDIRECT("'GRD-"&amp;Q116&amp;"'!$B:$R"),16,FALSE)))</f>
        <v/>
      </c>
      <c r="Q116" s="132">
        <f t="array" ref="Q116">IF(O116="","",IFERROR(OFFSET($BZ$11,0,MATCH($O116,$CA116:$FV116,0),),""))</f>
        <v/>
      </c>
      <c r="R116" s="121">
        <f t="array" ref="R116">IF(O116="","",INDIRECT("'GRD-"&amp;Q116&amp;"'!$L$7"))</f>
        <v/>
      </c>
      <c r="S116" s="83">
        <f t="array" ref="S116">IFERROR(OFFSET($BZ$11,ROW($B116)-11,MATCH(S$10,$CA116:$FV116,0),),"")</f>
        <v/>
      </c>
      <c r="T116" s="83">
        <f>IF(S116="","",IF(VLOOKUP($B116,INDIRECT("'GRD-"&amp;U116&amp;"'!$B:$R"),16,FALSE)="","",VLOOKUP($B116,INDIRECT("'GRD-"&amp;U116&amp;"'!$B:$R"),16,FALSE)))</f>
        <v/>
      </c>
      <c r="U116" s="128">
        <f t="array" ref="U116">IF(S116="","",IFERROR(OFFSET($BZ$11,0,MATCH($S116,$CA116:$FV116,0),),""))</f>
        <v/>
      </c>
      <c r="V116" s="133">
        <f t="array" ref="V116">IF(S116="","",INDIRECT("'GRD-"&amp;U116&amp;"'!$L$7"))</f>
        <v/>
      </c>
      <c r="W116" s="84">
        <f t="array" ref="W116">IFERROR(OFFSET($BZ$11,ROW($B116)-11,MATCH(W$10,$CA116:$FV116,0),),"")</f>
        <v/>
      </c>
      <c r="X116" s="84">
        <f>IF(W116="","",IF(VLOOKUP($B116,INDIRECT("'GRD-"&amp;Y116&amp;"'!$B:$R"),16,FALSE)="","",VLOOKUP($B116,INDIRECT("'GRD-"&amp;Y116&amp;"'!$B:$R"),16,FALSE)))</f>
        <v/>
      </c>
      <c r="Y116" s="129">
        <f t="array" ref="Y116">IF(W116="","",IFERROR(OFFSET($BZ$11,0,MATCH($W116,$CA116:$FV116,0),),""))</f>
        <v/>
      </c>
      <c r="Z116" s="134">
        <f t="array" ref="Z116">IF(W116="","",INDIRECT("'GRD-"&amp;Y116&amp;"'!$L$7"))</f>
        <v/>
      </c>
      <c r="AA116" s="85">
        <f t="array" ref="AA116">IFERROR(OFFSET($BZ$11,ROW($B116)-11,MATCH(AA$10,$CA116:$FV116,0),),"")</f>
        <v/>
      </c>
      <c r="AB116" s="85">
        <f>IF(AA116="","",IF(VLOOKUP($B116,INDIRECT("'GRD-"&amp;AC116&amp;"'!$B:$R"),16,FALSE)="","",VLOOKUP($B116,INDIRECT("'GRD-"&amp;AC116&amp;"'!$B:$R"),16,FALSE)))</f>
        <v/>
      </c>
      <c r="AC116" s="130">
        <f t="array" ref="AC116">IF(AA116="","",IFERROR(OFFSET($BZ$11,0,MATCH($AA116,$CA116:$FV116,0),),""))</f>
        <v/>
      </c>
      <c r="AD116" s="131">
        <f t="array" ref="AD116">IF(AA116="","",INDIRECT("'GRD-"&amp;AC116&amp;"'!$L$7"))</f>
        <v/>
      </c>
      <c r="AE116" s="76">
        <f t="array" ref="AE116">IFERROR(OFFSET($BZ$11,ROW($B116)-11,MATCH(AE$10,$CA116:$FV116,0),),"")</f>
        <v/>
      </c>
      <c r="AF116" s="76">
        <f>IF(AE116="","",IF(VLOOKUP($B116,INDIRECT("'GRD-"&amp;AG116&amp;"'!$B:$R"),16,FALSE)="","",VLOOKUP($B116,INDIRECT("'GRD-"&amp;AG116&amp;"'!$B:$R"),16,FALSE)))</f>
        <v/>
      </c>
      <c r="AG116" s="132">
        <f t="array" ref="AG116">IF(AE116="","",IFERROR(OFFSET($BZ$11,0,MATCH($AE116,$CA116:$FV116,0),),""))</f>
        <v/>
      </c>
      <c r="AH116" s="121">
        <f t="array" ref="AH116">IF(AE116="","",INDIRECT("'GRD-"&amp;AG116&amp;"'!$L$7"))</f>
        <v/>
      </c>
      <c r="AI116" s="83">
        <f t="array" ref="AI116">IFERROR(OFFSET($BZ$11,ROW($B116)-11,MATCH(AI$10,$CA116:$FV116,0),),"")</f>
        <v/>
      </c>
      <c r="AJ116" s="83">
        <f>IF(AI116="","",IF(VLOOKUP($B116,INDIRECT("'GRD-"&amp;AK116&amp;"'!$B:$R"),16,FALSE)="","",VLOOKUP($B116,INDIRECT("'GRD-"&amp;AK116&amp;"'!$B:$R"),16,FALSE)))</f>
        <v/>
      </c>
      <c r="AK116" s="128">
        <f t="array" ref="AK116">IF(AI116="","",IFERROR(OFFSET($BZ$11,0,MATCH($AI116,$CA116:$FV116,0),),""))</f>
        <v/>
      </c>
      <c r="AL116" s="133">
        <f t="array" ref="AL116">IF(AI116="","",INDIRECT("'GRD-"&amp;AK116&amp;"'!$L$7"))</f>
        <v/>
      </c>
      <c r="AM116" s="84">
        <f t="array" ref="AM116">IFERROR(OFFSET($BZ$11,ROW($B116)-11,MATCH(AM$10,$CA116:$FV116,0),),"")</f>
        <v/>
      </c>
      <c r="AN116" s="84">
        <f>IF(AM116="","",IF(VLOOKUP($B116,INDIRECT("'GRD-"&amp;AO116&amp;"'!$B:$R"),16,FALSE)="","",VLOOKUP($B116,INDIRECT("'GRD-"&amp;AO116&amp;"'!$B:$R"),16,FALSE)))</f>
        <v/>
      </c>
      <c r="AO116" s="129">
        <f t="array" ref="AO116">IF(AM116="","",IFERROR(OFFSET($BZ$11,0,MATCH($AM116,$CA116:$FV116,0),),""))</f>
        <v/>
      </c>
      <c r="AP116" s="134">
        <f t="array" ref="AP116">IF(AM116="","",INDIRECT("'GRD-"&amp;AO116&amp;"'!$L$7"))</f>
        <v/>
      </c>
      <c r="AQ116" s="85">
        <f t="array" ref="AQ116">IFERROR(OFFSET($BZ$11,ROW($B116)-11,MATCH(AQ$10,$CA116:$FV116,0),),"")</f>
        <v/>
      </c>
      <c r="AR116" s="85">
        <f>IF(AQ116="","",IF(VLOOKUP($B116,INDIRECT("'GRD-"&amp;AS116&amp;"'!$B:$R"),16,FALSE)="","",VLOOKUP($B116,INDIRECT("'GRD-"&amp;AS116&amp;"'!$B:$R"),16,FALSE)))</f>
        <v/>
      </c>
      <c r="AS116" s="130">
        <f t="array" ref="AS116">IF(AQ116="","",IFERROR(OFFSET($BZ$11,0,MATCH($AQ116,$CA116:$FV116,0),),""))</f>
        <v/>
      </c>
      <c r="AT116" s="131">
        <f t="array" ref="AT116">IF(AQ116="","",INDIRECT("'GRD-"&amp;AS116&amp;"'!$L$7"))</f>
        <v/>
      </c>
      <c r="AU116" s="76">
        <f t="array" ref="AU116">IFERROR(OFFSET($BZ$11,ROW($B116)-11,MATCH(AU$10,$CA116:$FV116,0),),"")</f>
        <v/>
      </c>
      <c r="AV116" s="76">
        <f>IF(AU116="","",IF(VLOOKUP($B116,INDIRECT("'GRD-"&amp;AW116&amp;"'!$B:$R"),16,FALSE)="","",VLOOKUP($B116,INDIRECT("'GRD-"&amp;AW116&amp;"'!$B:$R"),16,FALSE)))</f>
        <v/>
      </c>
      <c r="AW116" s="132">
        <f t="array" ref="AW116">IF(AU116="","",IFERROR(OFFSET($BZ$11,0,MATCH($AU116,$CA116:$FV116,0),),""))</f>
        <v/>
      </c>
      <c r="AX116" s="121">
        <f t="array" ref="AX116">IF(AU116="","",INDIRECT("'GRD-"&amp;AW116&amp;"'!$L$7"))</f>
        <v/>
      </c>
      <c r="AY116" s="83">
        <f t="array" ref="AY116">IFERROR(OFFSET($BZ$11,ROW($B116)-11,MATCH(AY$10,$CA116:$FV116,0),),"")</f>
        <v/>
      </c>
      <c r="AZ116" s="83">
        <f>IF(AY116="","",IF(VLOOKUP($B116,INDIRECT("'GRD-"&amp;BA116&amp;"'!$B:$R"),16,FALSE)="","",VLOOKUP($B116,INDIRECT("'GRD-"&amp;BA116&amp;"'!$B:$R"),16,FALSE)))</f>
        <v/>
      </c>
      <c r="BA116" s="128">
        <f t="array" ref="BA116">IF(AY116="","",IFERROR(OFFSET($BZ$11,0,MATCH($AY116,$CA116:$FV116,0),),""))</f>
        <v/>
      </c>
      <c r="BB116" s="133">
        <f t="array" ref="BB116">IF(AY116="","",INDIRECT("'GRD-"&amp;BA116&amp;"'!$L$7"))</f>
        <v/>
      </c>
      <c r="BC116" s="84">
        <f t="array" ref="BC116">IFERROR(OFFSET($BZ$11,ROW($B116)-11,MATCH(BC$10,$CA116:$FV116,0),),"")</f>
        <v/>
      </c>
      <c r="BD116" s="84">
        <f>IF(BC116="","",IF(VLOOKUP($B116,INDIRECT("'GRD-"&amp;BE116&amp;"'!$B:$R"),16,FALSE)="","",VLOOKUP($B116,INDIRECT("'GRD-"&amp;BE116&amp;"'!$B:$R"),16,FALSE)))</f>
        <v/>
      </c>
      <c r="BE116" s="129">
        <f t="array" ref="BE116">IF(BC116="","",IFERROR(OFFSET($BZ$11,0,MATCH($BC116,$CA116:$FV116,0),),""))</f>
        <v/>
      </c>
      <c r="BF116" s="134">
        <f t="array" ref="BF116">IF(BC116="","",INDIRECT("'GRD-"&amp;BE116&amp;"'!$L$7"))</f>
        <v/>
      </c>
      <c r="CA116" s="96">
        <f>IFERROR(VLOOKUP($B116,INDIRECT("'GRD-"&amp;CA$11&amp;"'!B:R"),15,FALSE),"")</f>
        <v/>
      </c>
      <c r="CB116" s="96">
        <f>IFERROR(VLOOKUP($B116,INDIRECT("'GRD-"&amp;CB$11&amp;"'!B:R"),15,FALSE),"")</f>
        <v/>
      </c>
      <c r="CC116" s="96">
        <f>IFERROR(VLOOKUP($B116,INDIRECT("'GRD-"&amp;CC$11&amp;"'!B:R"),15,FALSE),"")</f>
        <v/>
      </c>
      <c r="CD116" s="96">
        <f>IFERROR(VLOOKUP($B116,INDIRECT("'GRD-"&amp;CD$11&amp;"'!B:R"),15,FALSE),"")</f>
        <v/>
      </c>
      <c r="CE116" s="96">
        <f>IFERROR(VLOOKUP($B116,INDIRECT("'GRD-"&amp;CE$11&amp;"'!B:R"),15,FALSE),"")</f>
        <v/>
      </c>
      <c r="CF116" s="96">
        <f>IFERROR(VLOOKUP($B116,INDIRECT("'GRD-"&amp;CF$11&amp;"'!B:R"),15,FALSE),"")</f>
        <v/>
      </c>
      <c r="CG116" s="96">
        <f>IFERROR(VLOOKUP($B116,INDIRECT("'GRD-"&amp;CG$11&amp;"'!B:R"),15,FALSE),"")</f>
        <v/>
      </c>
      <c r="CH116" s="96">
        <f>IFERROR(VLOOKUP($B116,INDIRECT("'GRD-"&amp;CH$11&amp;"'!B:R"),15,FALSE),"")</f>
        <v/>
      </c>
      <c r="CI116" s="96">
        <f>IFERROR(VLOOKUP($B116,INDIRECT("'GRD-"&amp;CI$11&amp;"'!B:R"),15,FALSE),"")</f>
        <v/>
      </c>
      <c r="CJ116" s="96">
        <f>IFERROR(VLOOKUP($B116,INDIRECT("'GRD-"&amp;CJ$11&amp;"'!B:R"),15,FALSE),"")</f>
        <v/>
      </c>
      <c r="CK116" s="96">
        <f>IFERROR(VLOOKUP($B116,INDIRECT("'GRD-"&amp;CK$11&amp;"'!B:R"),15,FALSE),"")</f>
        <v/>
      </c>
      <c r="CL116" s="96">
        <f>IFERROR(VLOOKUP($B116,INDIRECT("'GRD-"&amp;CL$11&amp;"'!B:R"),15,FALSE),"")</f>
        <v/>
      </c>
      <c r="CM116" s="96">
        <f>IFERROR(VLOOKUP($B116,INDIRECT("'GRD-"&amp;CM$11&amp;"'!B:R"),15,FALSE),"")</f>
        <v/>
      </c>
      <c r="CN116" s="96">
        <f>IFERROR(VLOOKUP($B116,INDIRECT("'GRD-"&amp;CN$11&amp;"'!B:R"),15,FALSE),"")</f>
        <v/>
      </c>
      <c r="CO116" s="96">
        <f>IFERROR(VLOOKUP($B116,INDIRECT("'GRD-"&amp;CO$11&amp;"'!B:R"),15,FALSE),"")</f>
        <v/>
      </c>
      <c r="CP116" s="96">
        <f>IFERROR(VLOOKUP($B116,INDIRECT("'GRD-"&amp;CP$11&amp;"'!B:R"),15,FALSE),"")</f>
        <v/>
      </c>
      <c r="CQ116" s="96">
        <f>IFERROR(VLOOKUP($B116,INDIRECT("'GRD-"&amp;CQ$11&amp;"'!B:R"),15,FALSE),"")</f>
        <v/>
      </c>
      <c r="CR116" s="96">
        <f>IFERROR(VLOOKUP($B116,INDIRECT("'GRD-"&amp;CR$11&amp;"'!B:R"),15,FALSE),"")</f>
        <v/>
      </c>
      <c r="CS116" s="96">
        <f>IFERROR(VLOOKUP($B116,INDIRECT("'GRD-"&amp;CS$11&amp;"'!B:R"),15,FALSE),"")</f>
        <v/>
      </c>
      <c r="CT116" s="96">
        <f>IFERROR(VLOOKUP($B116,INDIRECT("'GRD-"&amp;CT$11&amp;"'!B:R"),15,FALSE),"")</f>
        <v/>
      </c>
      <c r="CU116" s="96">
        <f>IFERROR(VLOOKUP($B116,INDIRECT("'GRD-"&amp;CU$11&amp;"'!B:R"),15,FALSE),"")</f>
        <v/>
      </c>
      <c r="CV116" s="96">
        <f>IFERROR(VLOOKUP($B116,INDIRECT("'GRD-"&amp;CV$11&amp;"'!B:R"),15,FALSE),"")</f>
        <v/>
      </c>
      <c r="CW116" s="96">
        <f>IFERROR(VLOOKUP($B116,INDIRECT("'GRD-"&amp;CW$11&amp;"'!B:R"),15,FALSE),"")</f>
        <v/>
      </c>
      <c r="CX116" s="96">
        <f>IFERROR(VLOOKUP($B116,INDIRECT("'GRD-"&amp;CX$11&amp;"'!B:R"),15,FALSE),"")</f>
        <v/>
      </c>
      <c r="CY116" s="96">
        <f>IFERROR(VLOOKUP($B116,INDIRECT("'GRD-"&amp;CY$11&amp;"'!B:R"),15,FALSE),"")</f>
        <v/>
      </c>
      <c r="CZ116" s="96">
        <f>IFERROR(VLOOKUP($B116,INDIRECT("'GRD-"&amp;CZ$11&amp;"'!B:R"),15,FALSE),"")</f>
        <v/>
      </c>
      <c r="DA116" s="96">
        <f>IFERROR(VLOOKUP($B116,INDIRECT("'GRD-"&amp;DA$11&amp;"'!B:R"),15,FALSE),"")</f>
        <v/>
      </c>
      <c r="DB116" s="96">
        <f>IFERROR(VLOOKUP($B116,INDIRECT("'GRD-"&amp;DB$11&amp;"'!B:R"),15,FALSE),"")</f>
        <v/>
      </c>
      <c r="DC116" s="96">
        <f>IFERROR(VLOOKUP($B116,INDIRECT("'GRD-"&amp;DC$11&amp;"'!B:R"),15,FALSE),"")</f>
        <v/>
      </c>
      <c r="DD116" s="96">
        <f>IFERROR(VLOOKUP($B116,INDIRECT("'GRD-"&amp;DD$11&amp;"'!B:R"),15,FALSE),"")</f>
        <v/>
      </c>
      <c r="DE116" s="96">
        <f>IFERROR(VLOOKUP($B116,INDIRECT("'GRD-"&amp;DE$11&amp;"'!B:R"),15,FALSE),"")</f>
        <v/>
      </c>
      <c r="DF116" s="96">
        <f>IFERROR(VLOOKUP($B116,INDIRECT("'GRD-"&amp;DF$11&amp;"'!B:R"),15,FALSE),"")</f>
        <v/>
      </c>
      <c r="DG116" s="96">
        <f>IFERROR(VLOOKUP($B116,INDIRECT("'GRD-"&amp;DG$11&amp;"'!B:R"),15,FALSE),"")</f>
        <v/>
      </c>
      <c r="DH116" s="96">
        <f>IFERROR(VLOOKUP($B116,INDIRECT("'GRD-"&amp;DH$11&amp;"'!B:R"),15,FALSE),"")</f>
        <v/>
      </c>
      <c r="DI116" s="96">
        <f>IFERROR(VLOOKUP($B116,INDIRECT("'GRD-"&amp;DI$11&amp;"'!B:R"),15,FALSE),"")</f>
        <v/>
      </c>
      <c r="DJ116" s="96">
        <f>IFERROR(VLOOKUP($B116,INDIRECT("'GRD-"&amp;DJ$11&amp;"'!B:R"),15,FALSE),"")</f>
        <v/>
      </c>
      <c r="DK116" s="96">
        <f>IFERROR(VLOOKUP($B116,INDIRECT("'GRD-"&amp;DK$11&amp;"'!B:R"),15,FALSE),"")</f>
        <v/>
      </c>
      <c r="DL116" s="96">
        <f>IFERROR(VLOOKUP($B116,INDIRECT("'GRD-"&amp;DL$11&amp;"'!B:R"),15,FALSE),"")</f>
        <v/>
      </c>
      <c r="DM116" s="96">
        <f>IFERROR(VLOOKUP($B116,INDIRECT("'GRD-"&amp;DM$11&amp;"'!B:R"),15,FALSE),"")</f>
        <v/>
      </c>
      <c r="DN116" s="96">
        <f>IFERROR(VLOOKUP($B116,INDIRECT("'GRD-"&amp;DN$11&amp;"'!B:R"),15,FALSE),"")</f>
        <v/>
      </c>
      <c r="DO116" s="96">
        <f>IFERROR(VLOOKUP($B116,INDIRECT("'GRD-"&amp;DO$11&amp;"'!B:R"),15,FALSE),"")</f>
        <v/>
      </c>
      <c r="DP116" s="96">
        <f>IFERROR(VLOOKUP($B116,INDIRECT("'GRD-"&amp;DP$11&amp;"'!B:R"),15,FALSE),"")</f>
        <v/>
      </c>
      <c r="DQ116" s="96">
        <f>IFERROR(VLOOKUP($B116,INDIRECT("'GRD-"&amp;DQ$11&amp;"'!B:R"),15,FALSE),"")</f>
        <v/>
      </c>
      <c r="DR116" s="96">
        <f>IFERROR(VLOOKUP($B116,INDIRECT("'GRD-"&amp;DR$11&amp;"'!B:R"),15,FALSE),"")</f>
        <v/>
      </c>
      <c r="DS116" s="96">
        <f>IFERROR(VLOOKUP($B116,INDIRECT("'GRD-"&amp;DS$11&amp;"'!B:R"),15,FALSE),"")</f>
        <v/>
      </c>
      <c r="DT116" s="96">
        <f>IFERROR(VLOOKUP($B116,INDIRECT("'GRD-"&amp;DT$11&amp;"'!B:R"),15,FALSE),"")</f>
        <v/>
      </c>
      <c r="DU116" s="96">
        <f>IFERROR(VLOOKUP($B116,INDIRECT("'GRD-"&amp;DU$11&amp;"'!B:R"),15,FALSE),"")</f>
        <v/>
      </c>
      <c r="DV116" s="96">
        <f>IFERROR(VLOOKUP($B116,INDIRECT("'GRD-"&amp;DV$11&amp;"'!B:R"),15,FALSE),"")</f>
        <v/>
      </c>
      <c r="DW116" s="96">
        <f>IFERROR(VLOOKUP($B116,INDIRECT("'GRD-"&amp;DW$11&amp;"'!B:R"),15,FALSE),"")</f>
        <v/>
      </c>
      <c r="DX116" s="96">
        <f>IFERROR(VLOOKUP($B116,INDIRECT("'GRD-"&amp;DX$11&amp;"'!B:R"),15,FALSE),"")</f>
        <v/>
      </c>
      <c r="DY116" s="96">
        <f>IFERROR(VLOOKUP($B116,INDIRECT("'GRD-"&amp;DY$11&amp;"'!B:R"),15,FALSE),"")</f>
        <v/>
      </c>
      <c r="DZ116" s="96">
        <f>IFERROR(VLOOKUP($B116,INDIRECT("'GRD-"&amp;DZ$11&amp;"'!B:R"),15,FALSE),"")</f>
        <v/>
      </c>
      <c r="EA116" s="96">
        <f>IFERROR(VLOOKUP($B116,INDIRECT("'GRD-"&amp;EA$11&amp;"'!B:R"),15,FALSE),"")</f>
        <v/>
      </c>
      <c r="EB116" s="96">
        <f>IFERROR(VLOOKUP($B116,INDIRECT("'GRD-"&amp;EB$11&amp;"'!B:R"),15,FALSE),"")</f>
        <v/>
      </c>
      <c r="EC116" s="96">
        <f>IFERROR(VLOOKUP($B116,INDIRECT("'GRD-"&amp;EC$11&amp;"'!B:R"),15,FALSE),"")</f>
        <v/>
      </c>
      <c r="ED116" s="96">
        <f>IFERROR(VLOOKUP($B116,INDIRECT("'GRD-"&amp;ED$11&amp;"'!B:R"),15,FALSE),"")</f>
        <v/>
      </c>
      <c r="EE116" s="96">
        <f>IFERROR(VLOOKUP($B116,INDIRECT("'GRD-"&amp;EE$11&amp;"'!B:R"),15,FALSE),"")</f>
        <v/>
      </c>
      <c r="EF116" s="96">
        <f>IFERROR(VLOOKUP($B116,INDIRECT("'GRD-"&amp;EF$11&amp;"'!B:R"),15,FALSE),"")</f>
        <v/>
      </c>
      <c r="EG116" s="96">
        <f>IFERROR(VLOOKUP($B116,INDIRECT("'GRD-"&amp;EG$11&amp;"'!B:R"),15,FALSE),"")</f>
        <v/>
      </c>
      <c r="EH116" s="96">
        <f>IFERROR(VLOOKUP($B116,INDIRECT("'GRD-"&amp;EH$11&amp;"'!B:R"),15,FALSE),"")</f>
        <v/>
      </c>
      <c r="EI116" s="96">
        <f>IFERROR(VLOOKUP($B116,INDIRECT("'GRD-"&amp;EI$11&amp;"'!B:R"),15,FALSE),"")</f>
        <v/>
      </c>
      <c r="EJ116" s="96">
        <f>IFERROR(VLOOKUP($B116,INDIRECT("'GRD-"&amp;EJ$11&amp;"'!B:R"),15,FALSE),"")</f>
        <v/>
      </c>
      <c r="EK116" s="96">
        <f>IFERROR(VLOOKUP($B116,INDIRECT("'GRD-"&amp;EK$11&amp;"'!B:R"),15,FALSE),"")</f>
        <v/>
      </c>
      <c r="EL116" s="96">
        <f>IFERROR(VLOOKUP($B116,INDIRECT("'GRD-"&amp;EL$11&amp;"'!B:R"),15,FALSE),"")</f>
        <v/>
      </c>
      <c r="EM116" s="96">
        <f>IFERROR(VLOOKUP($B116,INDIRECT("'GRD-"&amp;EM$11&amp;"'!B:R"),15,FALSE),"")</f>
        <v/>
      </c>
      <c r="EN116" s="96">
        <f>IFERROR(VLOOKUP($B116,INDIRECT("'GRD-"&amp;EN$11&amp;"'!B:R"),15,FALSE),"")</f>
        <v/>
      </c>
      <c r="EO116" s="96">
        <f>IFERROR(VLOOKUP($B116,INDIRECT("'GRD-"&amp;EO$11&amp;"'!B:R"),15,FALSE),"")</f>
        <v/>
      </c>
      <c r="EP116" s="96">
        <f>IFERROR(VLOOKUP($B116,INDIRECT("'GRD-"&amp;EP$11&amp;"'!B:R"),15,FALSE),"")</f>
        <v/>
      </c>
      <c r="EQ116" s="96">
        <f>IFERROR(VLOOKUP($B116,INDIRECT("'GRD-"&amp;EQ$11&amp;"'!B:R"),15,FALSE),"")</f>
        <v/>
      </c>
      <c r="ER116" s="96">
        <f>IFERROR(VLOOKUP($B116,INDIRECT("'GRD-"&amp;ER$11&amp;"'!B:R"),15,FALSE),"")</f>
        <v/>
      </c>
      <c r="ES116" s="96">
        <f>IFERROR(VLOOKUP($B116,INDIRECT("'GRD-"&amp;ES$11&amp;"'!B:R"),15,FALSE),"")</f>
        <v/>
      </c>
      <c r="ET116" s="96">
        <f>IFERROR(VLOOKUP($B116,INDIRECT("'GRD-"&amp;ET$11&amp;"'!B:R"),15,FALSE),"")</f>
        <v/>
      </c>
      <c r="EU116" s="96">
        <f>IFERROR(VLOOKUP($B116,INDIRECT("'GRD-"&amp;EU$11&amp;"'!B:R"),15,FALSE),"")</f>
        <v/>
      </c>
      <c r="EV116" s="96">
        <f>IFERROR(VLOOKUP($B116,INDIRECT("'GRD-"&amp;EV$11&amp;"'!B:R"),15,FALSE),"")</f>
        <v/>
      </c>
      <c r="EW116" s="96">
        <f>IFERROR(VLOOKUP($B116,INDIRECT("'GRD-"&amp;EW$11&amp;"'!B:R"),15,FALSE),"")</f>
        <v/>
      </c>
      <c r="EX116" s="96">
        <f>IFERROR(VLOOKUP($B116,INDIRECT("'GRD-"&amp;EX$11&amp;"'!B:R"),15,FALSE),"")</f>
        <v/>
      </c>
      <c r="EY116" s="96">
        <f>IFERROR(VLOOKUP($B116,INDIRECT("'GRD-"&amp;EY$11&amp;"'!B:R"),15,FALSE),"")</f>
        <v/>
      </c>
      <c r="EZ116" s="96">
        <f>IFERROR(VLOOKUP($B116,INDIRECT("'GRD-"&amp;EZ$11&amp;"'!B:R"),15,FALSE),"")</f>
        <v/>
      </c>
      <c r="FA116" s="96">
        <f>IFERROR(VLOOKUP($B116,INDIRECT("'GRD-"&amp;FA$11&amp;"'!B:R"),15,FALSE),"")</f>
        <v/>
      </c>
      <c r="FB116" s="96">
        <f>IFERROR(VLOOKUP($B116,INDIRECT("'GRD-"&amp;FB$11&amp;"'!B:R"),15,FALSE),"")</f>
        <v/>
      </c>
      <c r="FC116" s="96">
        <f>IFERROR(VLOOKUP($B116,INDIRECT("'GRD-"&amp;FC$11&amp;"'!B:R"),15,FALSE),"")</f>
        <v/>
      </c>
      <c r="FD116" s="96">
        <f>IFERROR(VLOOKUP($B116,INDIRECT("'GRD-"&amp;FD$11&amp;"'!B:R"),15,FALSE),"")</f>
        <v/>
      </c>
      <c r="FE116" s="96">
        <f>IFERROR(VLOOKUP($B116,INDIRECT("'GRD-"&amp;FE$11&amp;"'!B:R"),15,FALSE),"")</f>
        <v/>
      </c>
      <c r="FF116" s="96">
        <f>IFERROR(VLOOKUP($B116,INDIRECT("'GRD-"&amp;FF$11&amp;"'!B:R"),15,FALSE),"")</f>
        <v/>
      </c>
      <c r="FG116" s="96">
        <f>IFERROR(VLOOKUP($B116,INDIRECT("'GRD-"&amp;FG$11&amp;"'!B:R"),15,FALSE),"")</f>
        <v/>
      </c>
      <c r="FH116" s="96">
        <f>IFERROR(VLOOKUP($B116,INDIRECT("'GRD-"&amp;FH$11&amp;"'!B:R"),15,FALSE),"")</f>
        <v/>
      </c>
      <c r="FI116" s="96">
        <f>IFERROR(VLOOKUP($B116,INDIRECT("'GRD-"&amp;FI$11&amp;"'!B:R"),15,FALSE),"")</f>
        <v/>
      </c>
      <c r="FJ116" s="96">
        <f>IFERROR(VLOOKUP($B116,INDIRECT("'GRD-"&amp;FJ$11&amp;"'!B:R"),15,FALSE),"")</f>
        <v/>
      </c>
      <c r="FK116" s="96">
        <f>IFERROR(VLOOKUP($B116,INDIRECT("'GRD-"&amp;FK$11&amp;"'!B:R"),15,FALSE),"")</f>
        <v/>
      </c>
      <c r="FL116" s="96">
        <f>IFERROR(VLOOKUP($B116,INDIRECT("'GRD-"&amp;FL$11&amp;"'!B:R"),15,FALSE),"")</f>
        <v/>
      </c>
      <c r="FM116" s="96">
        <f>IFERROR(VLOOKUP($B116,INDIRECT("'GRD-"&amp;FM$11&amp;"'!B:R"),15,FALSE),"")</f>
        <v/>
      </c>
      <c r="FN116" s="96">
        <f>IFERROR(VLOOKUP($B116,INDIRECT("'GRD-"&amp;FN$11&amp;"'!B:R"),15,FALSE),"")</f>
        <v/>
      </c>
      <c r="FO116" s="96">
        <f>IFERROR(VLOOKUP($B116,INDIRECT("'GRD-"&amp;FO$11&amp;"'!B:R"),15,FALSE),"")</f>
        <v/>
      </c>
      <c r="FP116" s="96">
        <f>IFERROR(VLOOKUP($B116,INDIRECT("'GRD-"&amp;FP$11&amp;"'!B:R"),15,FALSE),"")</f>
        <v/>
      </c>
      <c r="FQ116" s="96">
        <f>IFERROR(VLOOKUP($B116,INDIRECT("'GRD-"&amp;FQ$11&amp;"'!B:R"),15,FALSE),"")</f>
        <v/>
      </c>
      <c r="FR116" s="96">
        <f>IFERROR(VLOOKUP($B116,INDIRECT("'GRD-"&amp;FR$11&amp;"'!B:R"),15,FALSE),"")</f>
        <v/>
      </c>
      <c r="FS116" s="96">
        <f>IFERROR(VLOOKUP($B116,INDIRECT("'GRD-"&amp;FS$11&amp;"'!B:R"),15,FALSE),"")</f>
        <v/>
      </c>
      <c r="FT116" s="96">
        <f>IFERROR(VLOOKUP($B116,INDIRECT("'GRD-"&amp;FT$11&amp;"'!B:R"),15,FALSE),"")</f>
        <v/>
      </c>
      <c r="FU116" s="96">
        <f>IFERROR(VLOOKUP($B116,INDIRECT("'GRD-"&amp;FU$11&amp;"'!B:R"),15,FALSE),"")</f>
        <v/>
      </c>
      <c r="FV116" s="96">
        <f>IFERROR(VLOOKUP($B116,INDIRECT("'GRD-"&amp;FV$11&amp;"'!B:R"),15,FALSE),"")</f>
        <v/>
      </c>
    </row>
    <row r="117">
      <c r="B117" s="85" t="n"/>
      <c r="C117" s="93" t="n"/>
      <c r="D117" s="73">
        <f>IF(K117="","",MAX($CA117:$FV117))</f>
        <v/>
      </c>
      <c r="E117" s="74">
        <f t="array" ref="E117">IF($K117="","",OFFSET($A$1,ROW($B117)-1,11+$D117*4,))</f>
        <v/>
      </c>
      <c r="F117" s="74">
        <f t="array" ref="F117">IF($K117="","",OFFSET($A$1,ROW($B117)-1,12+$D117*4,))</f>
        <v/>
      </c>
      <c r="G117" s="118">
        <f t="array" ref="G117">IF($K117="","",OFFSET($A$1,ROW($B117)-1,13+$D117*4,))</f>
        <v/>
      </c>
      <c r="H117" s="81" t="n"/>
      <c r="I117" s="82" t="n"/>
      <c r="J117" s="75">
        <f>IF(I117="A4",H117/8,IF(I117="A3",H117/4,IF(I117="A2",H117/2,IF(I117="A1",H117/1,IF(I117="A0",H117*2,"")))))</f>
        <v/>
      </c>
      <c r="K117" s="68">
        <f t="array" ref="K117">IFERROR(OFFSET($BZ$11,ROW($B117)-11,MATCH(K$10,$CA117:$FV117,0),),"")</f>
        <v/>
      </c>
      <c r="L117" s="85">
        <f>IF(K117="","",IF(VLOOKUP($B117,INDIRECT("'GRD-"&amp;M117&amp;"'!$B:$R"),16,FALSE)="","",VLOOKUP($B117,INDIRECT("'GRD-"&amp;M117&amp;"'!$B:$R"),16,FALSE)))</f>
        <v/>
      </c>
      <c r="M117" s="130">
        <f t="array" ref="M117">IF(K117="","",IFERROR(OFFSET($BZ$11,0,MATCH($K117,$CA117:$FV117,0),),""))</f>
        <v/>
      </c>
      <c r="N117" s="119">
        <f t="array" ref="N117">IF(K117="","",INDIRECT("'GRD-"&amp;M117&amp;"'!$L$7"))</f>
        <v/>
      </c>
      <c r="O117" s="76">
        <f t="array" ref="O117">IFERROR(OFFSET($BZ$11,ROW($B117)-11,MATCH(O$10,$CA117:$FV117,0),),"")</f>
        <v/>
      </c>
      <c r="P117" s="76">
        <f>IF(O117="","",IF(VLOOKUP($B117,INDIRECT("'GRD-"&amp;Q117&amp;"'!$B:$R"),16,FALSE)="","",VLOOKUP($B117,INDIRECT("'GRD-"&amp;Q117&amp;"'!$B:$R"),16,FALSE)))</f>
        <v/>
      </c>
      <c r="Q117" s="132">
        <f t="array" ref="Q117">IF(O117="","",IFERROR(OFFSET($BZ$11,0,MATCH($O117,$CA117:$FV117,0),),""))</f>
        <v/>
      </c>
      <c r="R117" s="121">
        <f t="array" ref="R117">IF(O117="","",INDIRECT("'GRD-"&amp;Q117&amp;"'!$L$7"))</f>
        <v/>
      </c>
      <c r="S117" s="83">
        <f t="array" ref="S117">IFERROR(OFFSET($BZ$11,ROW($B117)-11,MATCH(S$10,$CA117:$FV117,0),),"")</f>
        <v/>
      </c>
      <c r="T117" s="83">
        <f>IF(S117="","",IF(VLOOKUP($B117,INDIRECT("'GRD-"&amp;U117&amp;"'!$B:$R"),16,FALSE)="","",VLOOKUP($B117,INDIRECT("'GRD-"&amp;U117&amp;"'!$B:$R"),16,FALSE)))</f>
        <v/>
      </c>
      <c r="U117" s="128">
        <f t="array" ref="U117">IF(S117="","",IFERROR(OFFSET($BZ$11,0,MATCH($S117,$CA117:$FV117,0),),""))</f>
        <v/>
      </c>
      <c r="V117" s="133">
        <f t="array" ref="V117">IF(S117="","",INDIRECT("'GRD-"&amp;U117&amp;"'!$L$7"))</f>
        <v/>
      </c>
      <c r="W117" s="84">
        <f t="array" ref="W117">IFERROR(OFFSET($BZ$11,ROW($B117)-11,MATCH(W$10,$CA117:$FV117,0),),"")</f>
        <v/>
      </c>
      <c r="X117" s="84">
        <f>IF(W117="","",IF(VLOOKUP($B117,INDIRECT("'GRD-"&amp;Y117&amp;"'!$B:$R"),16,FALSE)="","",VLOOKUP($B117,INDIRECT("'GRD-"&amp;Y117&amp;"'!$B:$R"),16,FALSE)))</f>
        <v/>
      </c>
      <c r="Y117" s="129">
        <f t="array" ref="Y117">IF(W117="","",IFERROR(OFFSET($BZ$11,0,MATCH($W117,$CA117:$FV117,0),),""))</f>
        <v/>
      </c>
      <c r="Z117" s="134">
        <f t="array" ref="Z117">IF(W117="","",INDIRECT("'GRD-"&amp;Y117&amp;"'!$L$7"))</f>
        <v/>
      </c>
      <c r="AA117" s="85">
        <f t="array" ref="AA117">IFERROR(OFFSET($BZ$11,ROW($B117)-11,MATCH(AA$10,$CA117:$FV117,0),),"")</f>
        <v/>
      </c>
      <c r="AB117" s="85">
        <f>IF(AA117="","",IF(VLOOKUP($B117,INDIRECT("'GRD-"&amp;AC117&amp;"'!$B:$R"),16,FALSE)="","",VLOOKUP($B117,INDIRECT("'GRD-"&amp;AC117&amp;"'!$B:$R"),16,FALSE)))</f>
        <v/>
      </c>
      <c r="AC117" s="130">
        <f t="array" ref="AC117">IF(AA117="","",IFERROR(OFFSET($BZ$11,0,MATCH($AA117,$CA117:$FV117,0),),""))</f>
        <v/>
      </c>
      <c r="AD117" s="131">
        <f t="array" ref="AD117">IF(AA117="","",INDIRECT("'GRD-"&amp;AC117&amp;"'!$L$7"))</f>
        <v/>
      </c>
      <c r="AE117" s="76">
        <f t="array" ref="AE117">IFERROR(OFFSET($BZ$11,ROW($B117)-11,MATCH(AE$10,$CA117:$FV117,0),),"")</f>
        <v/>
      </c>
      <c r="AF117" s="76">
        <f>IF(AE117="","",IF(VLOOKUP($B117,INDIRECT("'GRD-"&amp;AG117&amp;"'!$B:$R"),16,FALSE)="","",VLOOKUP($B117,INDIRECT("'GRD-"&amp;AG117&amp;"'!$B:$R"),16,FALSE)))</f>
        <v/>
      </c>
      <c r="AG117" s="132">
        <f t="array" ref="AG117">IF(AE117="","",IFERROR(OFFSET($BZ$11,0,MATCH($AE117,$CA117:$FV117,0),),""))</f>
        <v/>
      </c>
      <c r="AH117" s="121">
        <f t="array" ref="AH117">IF(AE117="","",INDIRECT("'GRD-"&amp;AG117&amp;"'!$L$7"))</f>
        <v/>
      </c>
      <c r="AI117" s="83">
        <f t="array" ref="AI117">IFERROR(OFFSET($BZ$11,ROW($B117)-11,MATCH(AI$10,$CA117:$FV117,0),),"")</f>
        <v/>
      </c>
      <c r="AJ117" s="83">
        <f>IF(AI117="","",IF(VLOOKUP($B117,INDIRECT("'GRD-"&amp;AK117&amp;"'!$B:$R"),16,FALSE)="","",VLOOKUP($B117,INDIRECT("'GRD-"&amp;AK117&amp;"'!$B:$R"),16,FALSE)))</f>
        <v/>
      </c>
      <c r="AK117" s="128">
        <f t="array" ref="AK117">IF(AI117="","",IFERROR(OFFSET($BZ$11,0,MATCH($AI117,$CA117:$FV117,0),),""))</f>
        <v/>
      </c>
      <c r="AL117" s="133">
        <f t="array" ref="AL117">IF(AI117="","",INDIRECT("'GRD-"&amp;AK117&amp;"'!$L$7"))</f>
        <v/>
      </c>
      <c r="AM117" s="84">
        <f t="array" ref="AM117">IFERROR(OFFSET($BZ$11,ROW($B117)-11,MATCH(AM$10,$CA117:$FV117,0),),"")</f>
        <v/>
      </c>
      <c r="AN117" s="84">
        <f>IF(AM117="","",IF(VLOOKUP($B117,INDIRECT("'GRD-"&amp;AO117&amp;"'!$B:$R"),16,FALSE)="","",VLOOKUP($B117,INDIRECT("'GRD-"&amp;AO117&amp;"'!$B:$R"),16,FALSE)))</f>
        <v/>
      </c>
      <c r="AO117" s="129">
        <f t="array" ref="AO117">IF(AM117="","",IFERROR(OFFSET($BZ$11,0,MATCH($AM117,$CA117:$FV117,0),),""))</f>
        <v/>
      </c>
      <c r="AP117" s="134">
        <f t="array" ref="AP117">IF(AM117="","",INDIRECT("'GRD-"&amp;AO117&amp;"'!$L$7"))</f>
        <v/>
      </c>
      <c r="AQ117" s="85">
        <f t="array" ref="AQ117">IFERROR(OFFSET($BZ$11,ROW($B117)-11,MATCH(AQ$10,$CA117:$FV117,0),),"")</f>
        <v/>
      </c>
      <c r="AR117" s="85">
        <f>IF(AQ117="","",IF(VLOOKUP($B117,INDIRECT("'GRD-"&amp;AS117&amp;"'!$B:$R"),16,FALSE)="","",VLOOKUP($B117,INDIRECT("'GRD-"&amp;AS117&amp;"'!$B:$R"),16,FALSE)))</f>
        <v/>
      </c>
      <c r="AS117" s="130">
        <f t="array" ref="AS117">IF(AQ117="","",IFERROR(OFFSET($BZ$11,0,MATCH($AQ117,$CA117:$FV117,0),),""))</f>
        <v/>
      </c>
      <c r="AT117" s="131">
        <f t="array" ref="AT117">IF(AQ117="","",INDIRECT("'GRD-"&amp;AS117&amp;"'!$L$7"))</f>
        <v/>
      </c>
      <c r="AU117" s="76">
        <f t="array" ref="AU117">IFERROR(OFFSET($BZ$11,ROW($B117)-11,MATCH(AU$10,$CA117:$FV117,0),),"")</f>
        <v/>
      </c>
      <c r="AV117" s="76">
        <f>IF(AU117="","",IF(VLOOKUP($B117,INDIRECT("'GRD-"&amp;AW117&amp;"'!$B:$R"),16,FALSE)="","",VLOOKUP($B117,INDIRECT("'GRD-"&amp;AW117&amp;"'!$B:$R"),16,FALSE)))</f>
        <v/>
      </c>
      <c r="AW117" s="132">
        <f t="array" ref="AW117">IF(AU117="","",IFERROR(OFFSET($BZ$11,0,MATCH($AU117,$CA117:$FV117,0),),""))</f>
        <v/>
      </c>
      <c r="AX117" s="121">
        <f t="array" ref="AX117">IF(AU117="","",INDIRECT("'GRD-"&amp;AW117&amp;"'!$L$7"))</f>
        <v/>
      </c>
      <c r="AY117" s="83">
        <f t="array" ref="AY117">IFERROR(OFFSET($BZ$11,ROW($B117)-11,MATCH(AY$10,$CA117:$FV117,0),),"")</f>
        <v/>
      </c>
      <c r="AZ117" s="83">
        <f>IF(AY117="","",IF(VLOOKUP($B117,INDIRECT("'GRD-"&amp;BA117&amp;"'!$B:$R"),16,FALSE)="","",VLOOKUP($B117,INDIRECT("'GRD-"&amp;BA117&amp;"'!$B:$R"),16,FALSE)))</f>
        <v/>
      </c>
      <c r="BA117" s="128">
        <f t="array" ref="BA117">IF(AY117="","",IFERROR(OFFSET($BZ$11,0,MATCH($AY117,$CA117:$FV117,0),),""))</f>
        <v/>
      </c>
      <c r="BB117" s="133">
        <f t="array" ref="BB117">IF(AY117="","",INDIRECT("'GRD-"&amp;BA117&amp;"'!$L$7"))</f>
        <v/>
      </c>
      <c r="BC117" s="84">
        <f t="array" ref="BC117">IFERROR(OFFSET($BZ$11,ROW($B117)-11,MATCH(BC$10,$CA117:$FV117,0),),"")</f>
        <v/>
      </c>
      <c r="BD117" s="84">
        <f>IF(BC117="","",IF(VLOOKUP($B117,INDIRECT("'GRD-"&amp;BE117&amp;"'!$B:$R"),16,FALSE)="","",VLOOKUP($B117,INDIRECT("'GRD-"&amp;BE117&amp;"'!$B:$R"),16,FALSE)))</f>
        <v/>
      </c>
      <c r="BE117" s="129">
        <f t="array" ref="BE117">IF(BC117="","",IFERROR(OFFSET($BZ$11,0,MATCH($BC117,$CA117:$FV117,0),),""))</f>
        <v/>
      </c>
      <c r="BF117" s="134">
        <f t="array" ref="BF117">IF(BC117="","",INDIRECT("'GRD-"&amp;BE117&amp;"'!$L$7"))</f>
        <v/>
      </c>
      <c r="CA117" s="96">
        <f>IFERROR(VLOOKUP($B117,INDIRECT("'GRD-"&amp;CA$11&amp;"'!B:R"),15,FALSE),"")</f>
        <v/>
      </c>
      <c r="CB117" s="96">
        <f>IFERROR(VLOOKUP($B117,INDIRECT("'GRD-"&amp;CB$11&amp;"'!B:R"),15,FALSE),"")</f>
        <v/>
      </c>
      <c r="CC117" s="96">
        <f>IFERROR(VLOOKUP($B117,INDIRECT("'GRD-"&amp;CC$11&amp;"'!B:R"),15,FALSE),"")</f>
        <v/>
      </c>
      <c r="CD117" s="96">
        <f>IFERROR(VLOOKUP($B117,INDIRECT("'GRD-"&amp;CD$11&amp;"'!B:R"),15,FALSE),"")</f>
        <v/>
      </c>
      <c r="CE117" s="96">
        <f>IFERROR(VLOOKUP($B117,INDIRECT("'GRD-"&amp;CE$11&amp;"'!B:R"),15,FALSE),"")</f>
        <v/>
      </c>
      <c r="CF117" s="96">
        <f>IFERROR(VLOOKUP($B117,INDIRECT("'GRD-"&amp;CF$11&amp;"'!B:R"),15,FALSE),"")</f>
        <v/>
      </c>
      <c r="CG117" s="96">
        <f>IFERROR(VLOOKUP($B117,INDIRECT("'GRD-"&amp;CG$11&amp;"'!B:R"),15,FALSE),"")</f>
        <v/>
      </c>
      <c r="CH117" s="96">
        <f>IFERROR(VLOOKUP($B117,INDIRECT("'GRD-"&amp;CH$11&amp;"'!B:R"),15,FALSE),"")</f>
        <v/>
      </c>
      <c r="CI117" s="96">
        <f>IFERROR(VLOOKUP($B117,INDIRECT("'GRD-"&amp;CI$11&amp;"'!B:R"),15,FALSE),"")</f>
        <v/>
      </c>
      <c r="CJ117" s="96">
        <f>IFERROR(VLOOKUP($B117,INDIRECT("'GRD-"&amp;CJ$11&amp;"'!B:R"),15,FALSE),"")</f>
        <v/>
      </c>
      <c r="CK117" s="96">
        <f>IFERROR(VLOOKUP($B117,INDIRECT("'GRD-"&amp;CK$11&amp;"'!B:R"),15,FALSE),"")</f>
        <v/>
      </c>
      <c r="CL117" s="96">
        <f>IFERROR(VLOOKUP($B117,INDIRECT("'GRD-"&amp;CL$11&amp;"'!B:R"),15,FALSE),"")</f>
        <v/>
      </c>
      <c r="CM117" s="96">
        <f>IFERROR(VLOOKUP($B117,INDIRECT("'GRD-"&amp;CM$11&amp;"'!B:R"),15,FALSE),"")</f>
        <v/>
      </c>
      <c r="CN117" s="96">
        <f>IFERROR(VLOOKUP($B117,INDIRECT("'GRD-"&amp;CN$11&amp;"'!B:R"),15,FALSE),"")</f>
        <v/>
      </c>
      <c r="CO117" s="96">
        <f>IFERROR(VLOOKUP($B117,INDIRECT("'GRD-"&amp;CO$11&amp;"'!B:R"),15,FALSE),"")</f>
        <v/>
      </c>
      <c r="CP117" s="96">
        <f>IFERROR(VLOOKUP($B117,INDIRECT("'GRD-"&amp;CP$11&amp;"'!B:R"),15,FALSE),"")</f>
        <v/>
      </c>
      <c r="CQ117" s="96">
        <f>IFERROR(VLOOKUP($B117,INDIRECT("'GRD-"&amp;CQ$11&amp;"'!B:R"),15,FALSE),"")</f>
        <v/>
      </c>
      <c r="CR117" s="96">
        <f>IFERROR(VLOOKUP($B117,INDIRECT("'GRD-"&amp;CR$11&amp;"'!B:R"),15,FALSE),"")</f>
        <v/>
      </c>
      <c r="CS117" s="96">
        <f>IFERROR(VLOOKUP($B117,INDIRECT("'GRD-"&amp;CS$11&amp;"'!B:R"),15,FALSE),"")</f>
        <v/>
      </c>
      <c r="CT117" s="96">
        <f>IFERROR(VLOOKUP($B117,INDIRECT("'GRD-"&amp;CT$11&amp;"'!B:R"),15,FALSE),"")</f>
        <v/>
      </c>
      <c r="CU117" s="96">
        <f>IFERROR(VLOOKUP($B117,INDIRECT("'GRD-"&amp;CU$11&amp;"'!B:R"),15,FALSE),"")</f>
        <v/>
      </c>
      <c r="CV117" s="96">
        <f>IFERROR(VLOOKUP($B117,INDIRECT("'GRD-"&amp;CV$11&amp;"'!B:R"),15,FALSE),"")</f>
        <v/>
      </c>
      <c r="CW117" s="96">
        <f>IFERROR(VLOOKUP($B117,INDIRECT("'GRD-"&amp;CW$11&amp;"'!B:R"),15,FALSE),"")</f>
        <v/>
      </c>
      <c r="CX117" s="96">
        <f>IFERROR(VLOOKUP($B117,INDIRECT("'GRD-"&amp;CX$11&amp;"'!B:R"),15,FALSE),"")</f>
        <v/>
      </c>
      <c r="CY117" s="96">
        <f>IFERROR(VLOOKUP($B117,INDIRECT("'GRD-"&amp;CY$11&amp;"'!B:R"),15,FALSE),"")</f>
        <v/>
      </c>
      <c r="CZ117" s="96">
        <f>IFERROR(VLOOKUP($B117,INDIRECT("'GRD-"&amp;CZ$11&amp;"'!B:R"),15,FALSE),"")</f>
        <v/>
      </c>
      <c r="DA117" s="96">
        <f>IFERROR(VLOOKUP($B117,INDIRECT("'GRD-"&amp;DA$11&amp;"'!B:R"),15,FALSE),"")</f>
        <v/>
      </c>
      <c r="DB117" s="96">
        <f>IFERROR(VLOOKUP($B117,INDIRECT("'GRD-"&amp;DB$11&amp;"'!B:R"),15,FALSE),"")</f>
        <v/>
      </c>
      <c r="DC117" s="96">
        <f>IFERROR(VLOOKUP($B117,INDIRECT("'GRD-"&amp;DC$11&amp;"'!B:R"),15,FALSE),"")</f>
        <v/>
      </c>
      <c r="DD117" s="96">
        <f>IFERROR(VLOOKUP($B117,INDIRECT("'GRD-"&amp;DD$11&amp;"'!B:R"),15,FALSE),"")</f>
        <v/>
      </c>
      <c r="DE117" s="96">
        <f>IFERROR(VLOOKUP($B117,INDIRECT("'GRD-"&amp;DE$11&amp;"'!B:R"),15,FALSE),"")</f>
        <v/>
      </c>
      <c r="DF117" s="96">
        <f>IFERROR(VLOOKUP($B117,INDIRECT("'GRD-"&amp;DF$11&amp;"'!B:R"),15,FALSE),"")</f>
        <v/>
      </c>
      <c r="DG117" s="96">
        <f>IFERROR(VLOOKUP($B117,INDIRECT("'GRD-"&amp;DG$11&amp;"'!B:R"),15,FALSE),"")</f>
        <v/>
      </c>
      <c r="DH117" s="96">
        <f>IFERROR(VLOOKUP($B117,INDIRECT("'GRD-"&amp;DH$11&amp;"'!B:R"),15,FALSE),"")</f>
        <v/>
      </c>
      <c r="DI117" s="96">
        <f>IFERROR(VLOOKUP($B117,INDIRECT("'GRD-"&amp;DI$11&amp;"'!B:R"),15,FALSE),"")</f>
        <v/>
      </c>
      <c r="DJ117" s="96">
        <f>IFERROR(VLOOKUP($B117,INDIRECT("'GRD-"&amp;DJ$11&amp;"'!B:R"),15,FALSE),"")</f>
        <v/>
      </c>
      <c r="DK117" s="96">
        <f>IFERROR(VLOOKUP($B117,INDIRECT("'GRD-"&amp;DK$11&amp;"'!B:R"),15,FALSE),"")</f>
        <v/>
      </c>
      <c r="DL117" s="96">
        <f>IFERROR(VLOOKUP($B117,INDIRECT("'GRD-"&amp;DL$11&amp;"'!B:R"),15,FALSE),"")</f>
        <v/>
      </c>
      <c r="DM117" s="96">
        <f>IFERROR(VLOOKUP($B117,INDIRECT("'GRD-"&amp;DM$11&amp;"'!B:R"),15,FALSE),"")</f>
        <v/>
      </c>
      <c r="DN117" s="96">
        <f>IFERROR(VLOOKUP($B117,INDIRECT("'GRD-"&amp;DN$11&amp;"'!B:R"),15,FALSE),"")</f>
        <v/>
      </c>
      <c r="DO117" s="96">
        <f>IFERROR(VLOOKUP($B117,INDIRECT("'GRD-"&amp;DO$11&amp;"'!B:R"),15,FALSE),"")</f>
        <v/>
      </c>
      <c r="DP117" s="96">
        <f>IFERROR(VLOOKUP($B117,INDIRECT("'GRD-"&amp;DP$11&amp;"'!B:R"),15,FALSE),"")</f>
        <v/>
      </c>
      <c r="DQ117" s="96">
        <f>IFERROR(VLOOKUP($B117,INDIRECT("'GRD-"&amp;DQ$11&amp;"'!B:R"),15,FALSE),"")</f>
        <v/>
      </c>
      <c r="DR117" s="96">
        <f>IFERROR(VLOOKUP($B117,INDIRECT("'GRD-"&amp;DR$11&amp;"'!B:R"),15,FALSE),"")</f>
        <v/>
      </c>
      <c r="DS117" s="96">
        <f>IFERROR(VLOOKUP($B117,INDIRECT("'GRD-"&amp;DS$11&amp;"'!B:R"),15,FALSE),"")</f>
        <v/>
      </c>
      <c r="DT117" s="96">
        <f>IFERROR(VLOOKUP($B117,INDIRECT("'GRD-"&amp;DT$11&amp;"'!B:R"),15,FALSE),"")</f>
        <v/>
      </c>
      <c r="DU117" s="96">
        <f>IFERROR(VLOOKUP($B117,INDIRECT("'GRD-"&amp;DU$11&amp;"'!B:R"),15,FALSE),"")</f>
        <v/>
      </c>
      <c r="DV117" s="96">
        <f>IFERROR(VLOOKUP($B117,INDIRECT("'GRD-"&amp;DV$11&amp;"'!B:R"),15,FALSE),"")</f>
        <v/>
      </c>
      <c r="DW117" s="96">
        <f>IFERROR(VLOOKUP($B117,INDIRECT("'GRD-"&amp;DW$11&amp;"'!B:R"),15,FALSE),"")</f>
        <v/>
      </c>
      <c r="DX117" s="96">
        <f>IFERROR(VLOOKUP($B117,INDIRECT("'GRD-"&amp;DX$11&amp;"'!B:R"),15,FALSE),"")</f>
        <v/>
      </c>
      <c r="DY117" s="96">
        <f>IFERROR(VLOOKUP($B117,INDIRECT("'GRD-"&amp;DY$11&amp;"'!B:R"),15,FALSE),"")</f>
        <v/>
      </c>
      <c r="DZ117" s="96">
        <f>IFERROR(VLOOKUP($B117,INDIRECT("'GRD-"&amp;DZ$11&amp;"'!B:R"),15,FALSE),"")</f>
        <v/>
      </c>
      <c r="EA117" s="96">
        <f>IFERROR(VLOOKUP($B117,INDIRECT("'GRD-"&amp;EA$11&amp;"'!B:R"),15,FALSE),"")</f>
        <v/>
      </c>
      <c r="EB117" s="96">
        <f>IFERROR(VLOOKUP($B117,INDIRECT("'GRD-"&amp;EB$11&amp;"'!B:R"),15,FALSE),"")</f>
        <v/>
      </c>
      <c r="EC117" s="96">
        <f>IFERROR(VLOOKUP($B117,INDIRECT("'GRD-"&amp;EC$11&amp;"'!B:R"),15,FALSE),"")</f>
        <v/>
      </c>
      <c r="ED117" s="96">
        <f>IFERROR(VLOOKUP($B117,INDIRECT("'GRD-"&amp;ED$11&amp;"'!B:R"),15,FALSE),"")</f>
        <v/>
      </c>
      <c r="EE117" s="96">
        <f>IFERROR(VLOOKUP($B117,INDIRECT("'GRD-"&amp;EE$11&amp;"'!B:R"),15,FALSE),"")</f>
        <v/>
      </c>
      <c r="EF117" s="96">
        <f>IFERROR(VLOOKUP($B117,INDIRECT("'GRD-"&amp;EF$11&amp;"'!B:R"),15,FALSE),"")</f>
        <v/>
      </c>
      <c r="EG117" s="96">
        <f>IFERROR(VLOOKUP($B117,INDIRECT("'GRD-"&amp;EG$11&amp;"'!B:R"),15,FALSE),"")</f>
        <v/>
      </c>
      <c r="EH117" s="96">
        <f>IFERROR(VLOOKUP($B117,INDIRECT("'GRD-"&amp;EH$11&amp;"'!B:R"),15,FALSE),"")</f>
        <v/>
      </c>
      <c r="EI117" s="96">
        <f>IFERROR(VLOOKUP($B117,INDIRECT("'GRD-"&amp;EI$11&amp;"'!B:R"),15,FALSE),"")</f>
        <v/>
      </c>
      <c r="EJ117" s="96">
        <f>IFERROR(VLOOKUP($B117,INDIRECT("'GRD-"&amp;EJ$11&amp;"'!B:R"),15,FALSE),"")</f>
        <v/>
      </c>
      <c r="EK117" s="96">
        <f>IFERROR(VLOOKUP($B117,INDIRECT("'GRD-"&amp;EK$11&amp;"'!B:R"),15,FALSE),"")</f>
        <v/>
      </c>
      <c r="EL117" s="96">
        <f>IFERROR(VLOOKUP($B117,INDIRECT("'GRD-"&amp;EL$11&amp;"'!B:R"),15,FALSE),"")</f>
        <v/>
      </c>
      <c r="EM117" s="96">
        <f>IFERROR(VLOOKUP($B117,INDIRECT("'GRD-"&amp;EM$11&amp;"'!B:R"),15,FALSE),"")</f>
        <v/>
      </c>
      <c r="EN117" s="96">
        <f>IFERROR(VLOOKUP($B117,INDIRECT("'GRD-"&amp;EN$11&amp;"'!B:R"),15,FALSE),"")</f>
        <v/>
      </c>
      <c r="EO117" s="96">
        <f>IFERROR(VLOOKUP($B117,INDIRECT("'GRD-"&amp;EO$11&amp;"'!B:R"),15,FALSE),"")</f>
        <v/>
      </c>
      <c r="EP117" s="96">
        <f>IFERROR(VLOOKUP($B117,INDIRECT("'GRD-"&amp;EP$11&amp;"'!B:R"),15,FALSE),"")</f>
        <v/>
      </c>
      <c r="EQ117" s="96">
        <f>IFERROR(VLOOKUP($B117,INDIRECT("'GRD-"&amp;EQ$11&amp;"'!B:R"),15,FALSE),"")</f>
        <v/>
      </c>
      <c r="ER117" s="96">
        <f>IFERROR(VLOOKUP($B117,INDIRECT("'GRD-"&amp;ER$11&amp;"'!B:R"),15,FALSE),"")</f>
        <v/>
      </c>
      <c r="ES117" s="96">
        <f>IFERROR(VLOOKUP($B117,INDIRECT("'GRD-"&amp;ES$11&amp;"'!B:R"),15,FALSE),"")</f>
        <v/>
      </c>
      <c r="ET117" s="96">
        <f>IFERROR(VLOOKUP($B117,INDIRECT("'GRD-"&amp;ET$11&amp;"'!B:R"),15,FALSE),"")</f>
        <v/>
      </c>
      <c r="EU117" s="96">
        <f>IFERROR(VLOOKUP($B117,INDIRECT("'GRD-"&amp;EU$11&amp;"'!B:R"),15,FALSE),"")</f>
        <v/>
      </c>
      <c r="EV117" s="96">
        <f>IFERROR(VLOOKUP($B117,INDIRECT("'GRD-"&amp;EV$11&amp;"'!B:R"),15,FALSE),"")</f>
        <v/>
      </c>
      <c r="EW117" s="96">
        <f>IFERROR(VLOOKUP($B117,INDIRECT("'GRD-"&amp;EW$11&amp;"'!B:R"),15,FALSE),"")</f>
        <v/>
      </c>
      <c r="EX117" s="96">
        <f>IFERROR(VLOOKUP($B117,INDIRECT("'GRD-"&amp;EX$11&amp;"'!B:R"),15,FALSE),"")</f>
        <v/>
      </c>
      <c r="EY117" s="96">
        <f>IFERROR(VLOOKUP($B117,INDIRECT("'GRD-"&amp;EY$11&amp;"'!B:R"),15,FALSE),"")</f>
        <v/>
      </c>
      <c r="EZ117" s="96">
        <f>IFERROR(VLOOKUP($B117,INDIRECT("'GRD-"&amp;EZ$11&amp;"'!B:R"),15,FALSE),"")</f>
        <v/>
      </c>
      <c r="FA117" s="96">
        <f>IFERROR(VLOOKUP($B117,INDIRECT("'GRD-"&amp;FA$11&amp;"'!B:R"),15,FALSE),"")</f>
        <v/>
      </c>
      <c r="FB117" s="96">
        <f>IFERROR(VLOOKUP($B117,INDIRECT("'GRD-"&amp;FB$11&amp;"'!B:R"),15,FALSE),"")</f>
        <v/>
      </c>
      <c r="FC117" s="96">
        <f>IFERROR(VLOOKUP($B117,INDIRECT("'GRD-"&amp;FC$11&amp;"'!B:R"),15,FALSE),"")</f>
        <v/>
      </c>
      <c r="FD117" s="96">
        <f>IFERROR(VLOOKUP($B117,INDIRECT("'GRD-"&amp;FD$11&amp;"'!B:R"),15,FALSE),"")</f>
        <v/>
      </c>
      <c r="FE117" s="96">
        <f>IFERROR(VLOOKUP($B117,INDIRECT("'GRD-"&amp;FE$11&amp;"'!B:R"),15,FALSE),"")</f>
        <v/>
      </c>
      <c r="FF117" s="96">
        <f>IFERROR(VLOOKUP($B117,INDIRECT("'GRD-"&amp;FF$11&amp;"'!B:R"),15,FALSE),"")</f>
        <v/>
      </c>
      <c r="FG117" s="96">
        <f>IFERROR(VLOOKUP($B117,INDIRECT("'GRD-"&amp;FG$11&amp;"'!B:R"),15,FALSE),"")</f>
        <v/>
      </c>
      <c r="FH117" s="96">
        <f>IFERROR(VLOOKUP($B117,INDIRECT("'GRD-"&amp;FH$11&amp;"'!B:R"),15,FALSE),"")</f>
        <v/>
      </c>
      <c r="FI117" s="96">
        <f>IFERROR(VLOOKUP($B117,INDIRECT("'GRD-"&amp;FI$11&amp;"'!B:R"),15,FALSE),"")</f>
        <v/>
      </c>
      <c r="FJ117" s="96">
        <f>IFERROR(VLOOKUP($B117,INDIRECT("'GRD-"&amp;FJ$11&amp;"'!B:R"),15,FALSE),"")</f>
        <v/>
      </c>
      <c r="FK117" s="96">
        <f>IFERROR(VLOOKUP($B117,INDIRECT("'GRD-"&amp;FK$11&amp;"'!B:R"),15,FALSE),"")</f>
        <v/>
      </c>
      <c r="FL117" s="96">
        <f>IFERROR(VLOOKUP($B117,INDIRECT("'GRD-"&amp;FL$11&amp;"'!B:R"),15,FALSE),"")</f>
        <v/>
      </c>
      <c r="FM117" s="96">
        <f>IFERROR(VLOOKUP($B117,INDIRECT("'GRD-"&amp;FM$11&amp;"'!B:R"),15,FALSE),"")</f>
        <v/>
      </c>
      <c r="FN117" s="96">
        <f>IFERROR(VLOOKUP($B117,INDIRECT("'GRD-"&amp;FN$11&amp;"'!B:R"),15,FALSE),"")</f>
        <v/>
      </c>
      <c r="FO117" s="96">
        <f>IFERROR(VLOOKUP($B117,INDIRECT("'GRD-"&amp;FO$11&amp;"'!B:R"),15,FALSE),"")</f>
        <v/>
      </c>
      <c r="FP117" s="96">
        <f>IFERROR(VLOOKUP($B117,INDIRECT("'GRD-"&amp;FP$11&amp;"'!B:R"),15,FALSE),"")</f>
        <v/>
      </c>
      <c r="FQ117" s="96">
        <f>IFERROR(VLOOKUP($B117,INDIRECT("'GRD-"&amp;FQ$11&amp;"'!B:R"),15,FALSE),"")</f>
        <v/>
      </c>
      <c r="FR117" s="96">
        <f>IFERROR(VLOOKUP($B117,INDIRECT("'GRD-"&amp;FR$11&amp;"'!B:R"),15,FALSE),"")</f>
        <v/>
      </c>
      <c r="FS117" s="96">
        <f>IFERROR(VLOOKUP($B117,INDIRECT("'GRD-"&amp;FS$11&amp;"'!B:R"),15,FALSE),"")</f>
        <v/>
      </c>
      <c r="FT117" s="96">
        <f>IFERROR(VLOOKUP($B117,INDIRECT("'GRD-"&amp;FT$11&amp;"'!B:R"),15,FALSE),"")</f>
        <v/>
      </c>
      <c r="FU117" s="96">
        <f>IFERROR(VLOOKUP($B117,INDIRECT("'GRD-"&amp;FU$11&amp;"'!B:R"),15,FALSE),"")</f>
        <v/>
      </c>
      <c r="FV117" s="96">
        <f>IFERROR(VLOOKUP($B117,INDIRECT("'GRD-"&amp;FV$11&amp;"'!B:R"),15,FALSE),"")</f>
        <v/>
      </c>
    </row>
    <row r="118">
      <c r="B118" s="85" t="n"/>
      <c r="C118" s="93" t="n"/>
      <c r="D118" s="73">
        <f>IF(K118="","",MAX($CA118:$FV118))</f>
        <v/>
      </c>
      <c r="E118" s="74">
        <f t="array" ref="E118">IF($K118="","",OFFSET($A$1,ROW($B118)-1,11+$D118*4,))</f>
        <v/>
      </c>
      <c r="F118" s="74">
        <f t="array" ref="F118">IF($K118="","",OFFSET($A$1,ROW($B118)-1,12+$D118*4,))</f>
        <v/>
      </c>
      <c r="G118" s="118">
        <f t="array" ref="G118">IF($K118="","",OFFSET($A$1,ROW($B118)-1,13+$D118*4,))</f>
        <v/>
      </c>
      <c r="H118" s="81" t="n"/>
      <c r="I118" s="82" t="n"/>
      <c r="J118" s="75">
        <f>IF(I118="A4",H118/8,IF(I118="A3",H118/4,IF(I118="A2",H118/2,IF(I118="A1",H118/1,IF(I118="A0",H118*2,"")))))</f>
        <v/>
      </c>
      <c r="K118" s="68">
        <f t="array" ref="K118">IFERROR(OFFSET($BZ$11,ROW($B118)-11,MATCH(K$10,$CA118:$FV118,0),),"")</f>
        <v/>
      </c>
      <c r="L118" s="85">
        <f>IF(K118="","",IF(VLOOKUP($B118,INDIRECT("'GRD-"&amp;M118&amp;"'!$B:$R"),16,FALSE)="","",VLOOKUP($B118,INDIRECT("'GRD-"&amp;M118&amp;"'!$B:$R"),16,FALSE)))</f>
        <v/>
      </c>
      <c r="M118" s="130">
        <f t="array" ref="M118">IF(K118="","",IFERROR(OFFSET($BZ$11,0,MATCH($K118,$CA118:$FV118,0),),""))</f>
        <v/>
      </c>
      <c r="N118" s="119">
        <f t="array" ref="N118">IF(K118="","",INDIRECT("'GRD-"&amp;M118&amp;"'!$L$7"))</f>
        <v/>
      </c>
      <c r="O118" s="76">
        <f t="array" ref="O118">IFERROR(OFFSET($BZ$11,ROW($B118)-11,MATCH(O$10,$CA118:$FV118,0),),"")</f>
        <v/>
      </c>
      <c r="P118" s="76">
        <f>IF(O118="","",IF(VLOOKUP($B118,INDIRECT("'GRD-"&amp;Q118&amp;"'!$B:$R"),16,FALSE)="","",VLOOKUP($B118,INDIRECT("'GRD-"&amp;Q118&amp;"'!$B:$R"),16,FALSE)))</f>
        <v/>
      </c>
      <c r="Q118" s="132">
        <f t="array" ref="Q118">IF(O118="","",IFERROR(OFFSET($BZ$11,0,MATCH($O118,$CA118:$FV118,0),),""))</f>
        <v/>
      </c>
      <c r="R118" s="121">
        <f t="array" ref="R118">IF(O118="","",INDIRECT("'GRD-"&amp;Q118&amp;"'!$L$7"))</f>
        <v/>
      </c>
      <c r="S118" s="83">
        <f t="array" ref="S118">IFERROR(OFFSET($BZ$11,ROW($B118)-11,MATCH(S$10,$CA118:$FV118,0),),"")</f>
        <v/>
      </c>
      <c r="T118" s="83">
        <f>IF(S118="","",IF(VLOOKUP($B118,INDIRECT("'GRD-"&amp;U118&amp;"'!$B:$R"),16,FALSE)="","",VLOOKUP($B118,INDIRECT("'GRD-"&amp;U118&amp;"'!$B:$R"),16,FALSE)))</f>
        <v/>
      </c>
      <c r="U118" s="128">
        <f t="array" ref="U118">IF(S118="","",IFERROR(OFFSET($BZ$11,0,MATCH($S118,$CA118:$FV118,0),),""))</f>
        <v/>
      </c>
      <c r="V118" s="133">
        <f t="array" ref="V118">IF(S118="","",INDIRECT("'GRD-"&amp;U118&amp;"'!$L$7"))</f>
        <v/>
      </c>
      <c r="W118" s="84">
        <f t="array" ref="W118">IFERROR(OFFSET($BZ$11,ROW($B118)-11,MATCH(W$10,$CA118:$FV118,0),),"")</f>
        <v/>
      </c>
      <c r="X118" s="84">
        <f>IF(W118="","",IF(VLOOKUP($B118,INDIRECT("'GRD-"&amp;Y118&amp;"'!$B:$R"),16,FALSE)="","",VLOOKUP($B118,INDIRECT("'GRD-"&amp;Y118&amp;"'!$B:$R"),16,FALSE)))</f>
        <v/>
      </c>
      <c r="Y118" s="129">
        <f t="array" ref="Y118">IF(W118="","",IFERROR(OFFSET($BZ$11,0,MATCH($W118,$CA118:$FV118,0),),""))</f>
        <v/>
      </c>
      <c r="Z118" s="134">
        <f t="array" ref="Z118">IF(W118="","",INDIRECT("'GRD-"&amp;Y118&amp;"'!$L$7"))</f>
        <v/>
      </c>
      <c r="AA118" s="85">
        <f t="array" ref="AA118">IFERROR(OFFSET($BZ$11,ROW($B118)-11,MATCH(AA$10,$CA118:$FV118,0),),"")</f>
        <v/>
      </c>
      <c r="AB118" s="85">
        <f>IF(AA118="","",IF(VLOOKUP($B118,INDIRECT("'GRD-"&amp;AC118&amp;"'!$B:$R"),16,FALSE)="","",VLOOKUP($B118,INDIRECT("'GRD-"&amp;AC118&amp;"'!$B:$R"),16,FALSE)))</f>
        <v/>
      </c>
      <c r="AC118" s="130">
        <f t="array" ref="AC118">IF(AA118="","",IFERROR(OFFSET($BZ$11,0,MATCH($AA118,$CA118:$FV118,0),),""))</f>
        <v/>
      </c>
      <c r="AD118" s="131">
        <f t="array" ref="AD118">IF(AA118="","",INDIRECT("'GRD-"&amp;AC118&amp;"'!$L$7"))</f>
        <v/>
      </c>
      <c r="AE118" s="76">
        <f t="array" ref="AE118">IFERROR(OFFSET($BZ$11,ROW($B118)-11,MATCH(AE$10,$CA118:$FV118,0),),"")</f>
        <v/>
      </c>
      <c r="AF118" s="76">
        <f>IF(AE118="","",IF(VLOOKUP($B118,INDIRECT("'GRD-"&amp;AG118&amp;"'!$B:$R"),16,FALSE)="","",VLOOKUP($B118,INDIRECT("'GRD-"&amp;AG118&amp;"'!$B:$R"),16,FALSE)))</f>
        <v/>
      </c>
      <c r="AG118" s="132">
        <f t="array" ref="AG118">IF(AE118="","",IFERROR(OFFSET($BZ$11,0,MATCH($AE118,$CA118:$FV118,0),),""))</f>
        <v/>
      </c>
      <c r="AH118" s="121">
        <f t="array" ref="AH118">IF(AE118="","",INDIRECT("'GRD-"&amp;AG118&amp;"'!$L$7"))</f>
        <v/>
      </c>
      <c r="AI118" s="83">
        <f t="array" ref="AI118">IFERROR(OFFSET($BZ$11,ROW($B118)-11,MATCH(AI$10,$CA118:$FV118,0),),"")</f>
        <v/>
      </c>
      <c r="AJ118" s="83">
        <f>IF(AI118="","",IF(VLOOKUP($B118,INDIRECT("'GRD-"&amp;AK118&amp;"'!$B:$R"),16,FALSE)="","",VLOOKUP($B118,INDIRECT("'GRD-"&amp;AK118&amp;"'!$B:$R"),16,FALSE)))</f>
        <v/>
      </c>
      <c r="AK118" s="128">
        <f t="array" ref="AK118">IF(AI118="","",IFERROR(OFFSET($BZ$11,0,MATCH($AI118,$CA118:$FV118,0),),""))</f>
        <v/>
      </c>
      <c r="AL118" s="133">
        <f t="array" ref="AL118">IF(AI118="","",INDIRECT("'GRD-"&amp;AK118&amp;"'!$L$7"))</f>
        <v/>
      </c>
      <c r="AM118" s="84">
        <f t="array" ref="AM118">IFERROR(OFFSET($BZ$11,ROW($B118)-11,MATCH(AM$10,$CA118:$FV118,0),),"")</f>
        <v/>
      </c>
      <c r="AN118" s="84">
        <f>IF(AM118="","",IF(VLOOKUP($B118,INDIRECT("'GRD-"&amp;AO118&amp;"'!$B:$R"),16,FALSE)="","",VLOOKUP($B118,INDIRECT("'GRD-"&amp;AO118&amp;"'!$B:$R"),16,FALSE)))</f>
        <v/>
      </c>
      <c r="AO118" s="129">
        <f t="array" ref="AO118">IF(AM118="","",IFERROR(OFFSET($BZ$11,0,MATCH($AM118,$CA118:$FV118,0),),""))</f>
        <v/>
      </c>
      <c r="AP118" s="134">
        <f t="array" ref="AP118">IF(AM118="","",INDIRECT("'GRD-"&amp;AO118&amp;"'!$L$7"))</f>
        <v/>
      </c>
      <c r="AQ118" s="85">
        <f t="array" ref="AQ118">IFERROR(OFFSET($BZ$11,ROW($B118)-11,MATCH(AQ$10,$CA118:$FV118,0),),"")</f>
        <v/>
      </c>
      <c r="AR118" s="85">
        <f>IF(AQ118="","",IF(VLOOKUP($B118,INDIRECT("'GRD-"&amp;AS118&amp;"'!$B:$R"),16,FALSE)="","",VLOOKUP($B118,INDIRECT("'GRD-"&amp;AS118&amp;"'!$B:$R"),16,FALSE)))</f>
        <v/>
      </c>
      <c r="AS118" s="130">
        <f t="array" ref="AS118">IF(AQ118="","",IFERROR(OFFSET($BZ$11,0,MATCH($AQ118,$CA118:$FV118,0),),""))</f>
        <v/>
      </c>
      <c r="AT118" s="131">
        <f t="array" ref="AT118">IF(AQ118="","",INDIRECT("'GRD-"&amp;AS118&amp;"'!$L$7"))</f>
        <v/>
      </c>
      <c r="AU118" s="76">
        <f t="array" ref="AU118">IFERROR(OFFSET($BZ$11,ROW($B118)-11,MATCH(AU$10,$CA118:$FV118,0),),"")</f>
        <v/>
      </c>
      <c r="AV118" s="76">
        <f>IF(AU118="","",IF(VLOOKUP($B118,INDIRECT("'GRD-"&amp;AW118&amp;"'!$B:$R"),16,FALSE)="","",VLOOKUP($B118,INDIRECT("'GRD-"&amp;AW118&amp;"'!$B:$R"),16,FALSE)))</f>
        <v/>
      </c>
      <c r="AW118" s="132">
        <f t="array" ref="AW118">IF(AU118="","",IFERROR(OFFSET($BZ$11,0,MATCH($AU118,$CA118:$FV118,0),),""))</f>
        <v/>
      </c>
      <c r="AX118" s="121">
        <f t="array" ref="AX118">IF(AU118="","",INDIRECT("'GRD-"&amp;AW118&amp;"'!$L$7"))</f>
        <v/>
      </c>
      <c r="AY118" s="83">
        <f t="array" ref="AY118">IFERROR(OFFSET($BZ$11,ROW($B118)-11,MATCH(AY$10,$CA118:$FV118,0),),"")</f>
        <v/>
      </c>
      <c r="AZ118" s="83">
        <f>IF(AY118="","",IF(VLOOKUP($B118,INDIRECT("'GRD-"&amp;BA118&amp;"'!$B:$R"),16,FALSE)="","",VLOOKUP($B118,INDIRECT("'GRD-"&amp;BA118&amp;"'!$B:$R"),16,FALSE)))</f>
        <v/>
      </c>
      <c r="BA118" s="128">
        <f t="array" ref="BA118">IF(AY118="","",IFERROR(OFFSET($BZ$11,0,MATCH($AY118,$CA118:$FV118,0),),""))</f>
        <v/>
      </c>
      <c r="BB118" s="133">
        <f t="array" ref="BB118">IF(AY118="","",INDIRECT("'GRD-"&amp;BA118&amp;"'!$L$7"))</f>
        <v/>
      </c>
      <c r="BC118" s="84">
        <f t="array" ref="BC118">IFERROR(OFFSET($BZ$11,ROW($B118)-11,MATCH(BC$10,$CA118:$FV118,0),),"")</f>
        <v/>
      </c>
      <c r="BD118" s="84">
        <f>IF(BC118="","",IF(VLOOKUP($B118,INDIRECT("'GRD-"&amp;BE118&amp;"'!$B:$R"),16,FALSE)="","",VLOOKUP($B118,INDIRECT("'GRD-"&amp;BE118&amp;"'!$B:$R"),16,FALSE)))</f>
        <v/>
      </c>
      <c r="BE118" s="129">
        <f t="array" ref="BE118">IF(BC118="","",IFERROR(OFFSET($BZ$11,0,MATCH($BC118,$CA118:$FV118,0),),""))</f>
        <v/>
      </c>
      <c r="BF118" s="134">
        <f t="array" ref="BF118">IF(BC118="","",INDIRECT("'GRD-"&amp;BE118&amp;"'!$L$7"))</f>
        <v/>
      </c>
      <c r="CA118" s="96">
        <f>IFERROR(VLOOKUP($B118,INDIRECT("'GRD-"&amp;CA$11&amp;"'!B:R"),15,FALSE),"")</f>
        <v/>
      </c>
      <c r="CB118" s="96">
        <f>IFERROR(VLOOKUP($B118,INDIRECT("'GRD-"&amp;CB$11&amp;"'!B:R"),15,FALSE),"")</f>
        <v/>
      </c>
      <c r="CC118" s="96">
        <f>IFERROR(VLOOKUP($B118,INDIRECT("'GRD-"&amp;CC$11&amp;"'!B:R"),15,FALSE),"")</f>
        <v/>
      </c>
      <c r="CD118" s="96">
        <f>IFERROR(VLOOKUP($B118,INDIRECT("'GRD-"&amp;CD$11&amp;"'!B:R"),15,FALSE),"")</f>
        <v/>
      </c>
      <c r="CE118" s="96">
        <f>IFERROR(VLOOKUP($B118,INDIRECT("'GRD-"&amp;CE$11&amp;"'!B:R"),15,FALSE),"")</f>
        <v/>
      </c>
      <c r="CF118" s="96">
        <f>IFERROR(VLOOKUP($B118,INDIRECT("'GRD-"&amp;CF$11&amp;"'!B:R"),15,FALSE),"")</f>
        <v/>
      </c>
      <c r="CG118" s="96">
        <f>IFERROR(VLOOKUP($B118,INDIRECT("'GRD-"&amp;CG$11&amp;"'!B:R"),15,FALSE),"")</f>
        <v/>
      </c>
      <c r="CH118" s="96">
        <f>IFERROR(VLOOKUP($B118,INDIRECT("'GRD-"&amp;CH$11&amp;"'!B:R"),15,FALSE),"")</f>
        <v/>
      </c>
      <c r="CI118" s="96">
        <f>IFERROR(VLOOKUP($B118,INDIRECT("'GRD-"&amp;CI$11&amp;"'!B:R"),15,FALSE),"")</f>
        <v/>
      </c>
      <c r="CJ118" s="96">
        <f>IFERROR(VLOOKUP($B118,INDIRECT("'GRD-"&amp;CJ$11&amp;"'!B:R"),15,FALSE),"")</f>
        <v/>
      </c>
      <c r="CK118" s="96">
        <f>IFERROR(VLOOKUP($B118,INDIRECT("'GRD-"&amp;CK$11&amp;"'!B:R"),15,FALSE),"")</f>
        <v/>
      </c>
      <c r="CL118" s="96">
        <f>IFERROR(VLOOKUP($B118,INDIRECT("'GRD-"&amp;CL$11&amp;"'!B:R"),15,FALSE),"")</f>
        <v/>
      </c>
      <c r="CM118" s="96">
        <f>IFERROR(VLOOKUP($B118,INDIRECT("'GRD-"&amp;CM$11&amp;"'!B:R"),15,FALSE),"")</f>
        <v/>
      </c>
      <c r="CN118" s="96">
        <f>IFERROR(VLOOKUP($B118,INDIRECT("'GRD-"&amp;CN$11&amp;"'!B:R"),15,FALSE),"")</f>
        <v/>
      </c>
      <c r="CO118" s="96">
        <f>IFERROR(VLOOKUP($B118,INDIRECT("'GRD-"&amp;CO$11&amp;"'!B:R"),15,FALSE),"")</f>
        <v/>
      </c>
      <c r="CP118" s="96">
        <f>IFERROR(VLOOKUP($B118,INDIRECT("'GRD-"&amp;CP$11&amp;"'!B:R"),15,FALSE),"")</f>
        <v/>
      </c>
      <c r="CQ118" s="96">
        <f>IFERROR(VLOOKUP($B118,INDIRECT("'GRD-"&amp;CQ$11&amp;"'!B:R"),15,FALSE),"")</f>
        <v/>
      </c>
      <c r="CR118" s="96">
        <f>IFERROR(VLOOKUP($B118,INDIRECT("'GRD-"&amp;CR$11&amp;"'!B:R"),15,FALSE),"")</f>
        <v/>
      </c>
      <c r="CS118" s="96">
        <f>IFERROR(VLOOKUP($B118,INDIRECT("'GRD-"&amp;CS$11&amp;"'!B:R"),15,FALSE),"")</f>
        <v/>
      </c>
      <c r="CT118" s="96">
        <f>IFERROR(VLOOKUP($B118,INDIRECT("'GRD-"&amp;CT$11&amp;"'!B:R"),15,FALSE),"")</f>
        <v/>
      </c>
      <c r="CU118" s="96">
        <f>IFERROR(VLOOKUP($B118,INDIRECT("'GRD-"&amp;CU$11&amp;"'!B:R"),15,FALSE),"")</f>
        <v/>
      </c>
      <c r="CV118" s="96">
        <f>IFERROR(VLOOKUP($B118,INDIRECT("'GRD-"&amp;CV$11&amp;"'!B:R"),15,FALSE),"")</f>
        <v/>
      </c>
      <c r="CW118" s="96">
        <f>IFERROR(VLOOKUP($B118,INDIRECT("'GRD-"&amp;CW$11&amp;"'!B:R"),15,FALSE),"")</f>
        <v/>
      </c>
      <c r="CX118" s="96">
        <f>IFERROR(VLOOKUP($B118,INDIRECT("'GRD-"&amp;CX$11&amp;"'!B:R"),15,FALSE),"")</f>
        <v/>
      </c>
      <c r="CY118" s="96">
        <f>IFERROR(VLOOKUP($B118,INDIRECT("'GRD-"&amp;CY$11&amp;"'!B:R"),15,FALSE),"")</f>
        <v/>
      </c>
      <c r="CZ118" s="96">
        <f>IFERROR(VLOOKUP($B118,INDIRECT("'GRD-"&amp;CZ$11&amp;"'!B:R"),15,FALSE),"")</f>
        <v/>
      </c>
      <c r="DA118" s="96">
        <f>IFERROR(VLOOKUP($B118,INDIRECT("'GRD-"&amp;DA$11&amp;"'!B:R"),15,FALSE),"")</f>
        <v/>
      </c>
      <c r="DB118" s="96">
        <f>IFERROR(VLOOKUP($B118,INDIRECT("'GRD-"&amp;DB$11&amp;"'!B:R"),15,FALSE),"")</f>
        <v/>
      </c>
      <c r="DC118" s="96">
        <f>IFERROR(VLOOKUP($B118,INDIRECT("'GRD-"&amp;DC$11&amp;"'!B:R"),15,FALSE),"")</f>
        <v/>
      </c>
      <c r="DD118" s="96">
        <f>IFERROR(VLOOKUP($B118,INDIRECT("'GRD-"&amp;DD$11&amp;"'!B:R"),15,FALSE),"")</f>
        <v/>
      </c>
      <c r="DE118" s="96">
        <f>IFERROR(VLOOKUP($B118,INDIRECT("'GRD-"&amp;DE$11&amp;"'!B:R"),15,FALSE),"")</f>
        <v/>
      </c>
      <c r="DF118" s="96">
        <f>IFERROR(VLOOKUP($B118,INDIRECT("'GRD-"&amp;DF$11&amp;"'!B:R"),15,FALSE),"")</f>
        <v/>
      </c>
      <c r="DG118" s="96">
        <f>IFERROR(VLOOKUP($B118,INDIRECT("'GRD-"&amp;DG$11&amp;"'!B:R"),15,FALSE),"")</f>
        <v/>
      </c>
      <c r="DH118" s="96">
        <f>IFERROR(VLOOKUP($B118,INDIRECT("'GRD-"&amp;DH$11&amp;"'!B:R"),15,FALSE),"")</f>
        <v/>
      </c>
      <c r="DI118" s="96">
        <f>IFERROR(VLOOKUP($B118,INDIRECT("'GRD-"&amp;DI$11&amp;"'!B:R"),15,FALSE),"")</f>
        <v/>
      </c>
      <c r="DJ118" s="96">
        <f>IFERROR(VLOOKUP($B118,INDIRECT("'GRD-"&amp;DJ$11&amp;"'!B:R"),15,FALSE),"")</f>
        <v/>
      </c>
      <c r="DK118" s="96">
        <f>IFERROR(VLOOKUP($B118,INDIRECT("'GRD-"&amp;DK$11&amp;"'!B:R"),15,FALSE),"")</f>
        <v/>
      </c>
      <c r="DL118" s="96">
        <f>IFERROR(VLOOKUP($B118,INDIRECT("'GRD-"&amp;DL$11&amp;"'!B:R"),15,FALSE),"")</f>
        <v/>
      </c>
      <c r="DM118" s="96">
        <f>IFERROR(VLOOKUP($B118,INDIRECT("'GRD-"&amp;DM$11&amp;"'!B:R"),15,FALSE),"")</f>
        <v/>
      </c>
      <c r="DN118" s="96">
        <f>IFERROR(VLOOKUP($B118,INDIRECT("'GRD-"&amp;DN$11&amp;"'!B:R"),15,FALSE),"")</f>
        <v/>
      </c>
      <c r="DO118" s="96">
        <f>IFERROR(VLOOKUP($B118,INDIRECT("'GRD-"&amp;DO$11&amp;"'!B:R"),15,FALSE),"")</f>
        <v/>
      </c>
      <c r="DP118" s="96">
        <f>IFERROR(VLOOKUP($B118,INDIRECT("'GRD-"&amp;DP$11&amp;"'!B:R"),15,FALSE),"")</f>
        <v/>
      </c>
      <c r="DQ118" s="96">
        <f>IFERROR(VLOOKUP($B118,INDIRECT("'GRD-"&amp;DQ$11&amp;"'!B:R"),15,FALSE),"")</f>
        <v/>
      </c>
      <c r="DR118" s="96">
        <f>IFERROR(VLOOKUP($B118,INDIRECT("'GRD-"&amp;DR$11&amp;"'!B:R"),15,FALSE),"")</f>
        <v/>
      </c>
      <c r="DS118" s="96">
        <f>IFERROR(VLOOKUP($B118,INDIRECT("'GRD-"&amp;DS$11&amp;"'!B:R"),15,FALSE),"")</f>
        <v/>
      </c>
      <c r="DT118" s="96">
        <f>IFERROR(VLOOKUP($B118,INDIRECT("'GRD-"&amp;DT$11&amp;"'!B:R"),15,FALSE),"")</f>
        <v/>
      </c>
      <c r="DU118" s="96">
        <f>IFERROR(VLOOKUP($B118,INDIRECT("'GRD-"&amp;DU$11&amp;"'!B:R"),15,FALSE),"")</f>
        <v/>
      </c>
      <c r="DV118" s="96">
        <f>IFERROR(VLOOKUP($B118,INDIRECT("'GRD-"&amp;DV$11&amp;"'!B:R"),15,FALSE),"")</f>
        <v/>
      </c>
      <c r="DW118" s="96">
        <f>IFERROR(VLOOKUP($B118,INDIRECT("'GRD-"&amp;DW$11&amp;"'!B:R"),15,FALSE),"")</f>
        <v/>
      </c>
      <c r="DX118" s="96">
        <f>IFERROR(VLOOKUP($B118,INDIRECT("'GRD-"&amp;DX$11&amp;"'!B:R"),15,FALSE),"")</f>
        <v/>
      </c>
      <c r="DY118" s="96">
        <f>IFERROR(VLOOKUP($B118,INDIRECT("'GRD-"&amp;DY$11&amp;"'!B:R"),15,FALSE),"")</f>
        <v/>
      </c>
      <c r="DZ118" s="96">
        <f>IFERROR(VLOOKUP($B118,INDIRECT("'GRD-"&amp;DZ$11&amp;"'!B:R"),15,FALSE),"")</f>
        <v/>
      </c>
      <c r="EA118" s="96">
        <f>IFERROR(VLOOKUP($B118,INDIRECT("'GRD-"&amp;EA$11&amp;"'!B:R"),15,FALSE),"")</f>
        <v/>
      </c>
      <c r="EB118" s="96">
        <f>IFERROR(VLOOKUP($B118,INDIRECT("'GRD-"&amp;EB$11&amp;"'!B:R"),15,FALSE),"")</f>
        <v/>
      </c>
      <c r="EC118" s="96">
        <f>IFERROR(VLOOKUP($B118,INDIRECT("'GRD-"&amp;EC$11&amp;"'!B:R"),15,FALSE),"")</f>
        <v/>
      </c>
      <c r="ED118" s="96">
        <f>IFERROR(VLOOKUP($B118,INDIRECT("'GRD-"&amp;ED$11&amp;"'!B:R"),15,FALSE),"")</f>
        <v/>
      </c>
      <c r="EE118" s="96">
        <f>IFERROR(VLOOKUP($B118,INDIRECT("'GRD-"&amp;EE$11&amp;"'!B:R"),15,FALSE),"")</f>
        <v/>
      </c>
      <c r="EF118" s="96">
        <f>IFERROR(VLOOKUP($B118,INDIRECT("'GRD-"&amp;EF$11&amp;"'!B:R"),15,FALSE),"")</f>
        <v/>
      </c>
      <c r="EG118" s="96">
        <f>IFERROR(VLOOKUP($B118,INDIRECT("'GRD-"&amp;EG$11&amp;"'!B:R"),15,FALSE),"")</f>
        <v/>
      </c>
      <c r="EH118" s="96">
        <f>IFERROR(VLOOKUP($B118,INDIRECT("'GRD-"&amp;EH$11&amp;"'!B:R"),15,FALSE),"")</f>
        <v/>
      </c>
      <c r="EI118" s="96">
        <f>IFERROR(VLOOKUP($B118,INDIRECT("'GRD-"&amp;EI$11&amp;"'!B:R"),15,FALSE),"")</f>
        <v/>
      </c>
      <c r="EJ118" s="96">
        <f>IFERROR(VLOOKUP($B118,INDIRECT("'GRD-"&amp;EJ$11&amp;"'!B:R"),15,FALSE),"")</f>
        <v/>
      </c>
      <c r="EK118" s="96">
        <f>IFERROR(VLOOKUP($B118,INDIRECT("'GRD-"&amp;EK$11&amp;"'!B:R"),15,FALSE),"")</f>
        <v/>
      </c>
      <c r="EL118" s="96">
        <f>IFERROR(VLOOKUP($B118,INDIRECT("'GRD-"&amp;EL$11&amp;"'!B:R"),15,FALSE),"")</f>
        <v/>
      </c>
      <c r="EM118" s="96">
        <f>IFERROR(VLOOKUP($B118,INDIRECT("'GRD-"&amp;EM$11&amp;"'!B:R"),15,FALSE),"")</f>
        <v/>
      </c>
      <c r="EN118" s="96">
        <f>IFERROR(VLOOKUP($B118,INDIRECT("'GRD-"&amp;EN$11&amp;"'!B:R"),15,FALSE),"")</f>
        <v/>
      </c>
      <c r="EO118" s="96">
        <f>IFERROR(VLOOKUP($B118,INDIRECT("'GRD-"&amp;EO$11&amp;"'!B:R"),15,FALSE),"")</f>
        <v/>
      </c>
      <c r="EP118" s="96">
        <f>IFERROR(VLOOKUP($B118,INDIRECT("'GRD-"&amp;EP$11&amp;"'!B:R"),15,FALSE),"")</f>
        <v/>
      </c>
      <c r="EQ118" s="96">
        <f>IFERROR(VLOOKUP($B118,INDIRECT("'GRD-"&amp;EQ$11&amp;"'!B:R"),15,FALSE),"")</f>
        <v/>
      </c>
      <c r="ER118" s="96">
        <f>IFERROR(VLOOKUP($B118,INDIRECT("'GRD-"&amp;ER$11&amp;"'!B:R"),15,FALSE),"")</f>
        <v/>
      </c>
      <c r="ES118" s="96">
        <f>IFERROR(VLOOKUP($B118,INDIRECT("'GRD-"&amp;ES$11&amp;"'!B:R"),15,FALSE),"")</f>
        <v/>
      </c>
      <c r="ET118" s="96">
        <f>IFERROR(VLOOKUP($B118,INDIRECT("'GRD-"&amp;ET$11&amp;"'!B:R"),15,FALSE),"")</f>
        <v/>
      </c>
      <c r="EU118" s="96">
        <f>IFERROR(VLOOKUP($B118,INDIRECT("'GRD-"&amp;EU$11&amp;"'!B:R"),15,FALSE),"")</f>
        <v/>
      </c>
      <c r="EV118" s="96">
        <f>IFERROR(VLOOKUP($B118,INDIRECT("'GRD-"&amp;EV$11&amp;"'!B:R"),15,FALSE),"")</f>
        <v/>
      </c>
      <c r="EW118" s="96">
        <f>IFERROR(VLOOKUP($B118,INDIRECT("'GRD-"&amp;EW$11&amp;"'!B:R"),15,FALSE),"")</f>
        <v/>
      </c>
      <c r="EX118" s="96">
        <f>IFERROR(VLOOKUP($B118,INDIRECT("'GRD-"&amp;EX$11&amp;"'!B:R"),15,FALSE),"")</f>
        <v/>
      </c>
      <c r="EY118" s="96">
        <f>IFERROR(VLOOKUP($B118,INDIRECT("'GRD-"&amp;EY$11&amp;"'!B:R"),15,FALSE),"")</f>
        <v/>
      </c>
      <c r="EZ118" s="96">
        <f>IFERROR(VLOOKUP($B118,INDIRECT("'GRD-"&amp;EZ$11&amp;"'!B:R"),15,FALSE),"")</f>
        <v/>
      </c>
      <c r="FA118" s="96">
        <f>IFERROR(VLOOKUP($B118,INDIRECT("'GRD-"&amp;FA$11&amp;"'!B:R"),15,FALSE),"")</f>
        <v/>
      </c>
      <c r="FB118" s="96">
        <f>IFERROR(VLOOKUP($B118,INDIRECT("'GRD-"&amp;FB$11&amp;"'!B:R"),15,FALSE),"")</f>
        <v/>
      </c>
      <c r="FC118" s="96">
        <f>IFERROR(VLOOKUP($B118,INDIRECT("'GRD-"&amp;FC$11&amp;"'!B:R"),15,FALSE),"")</f>
        <v/>
      </c>
      <c r="FD118" s="96">
        <f>IFERROR(VLOOKUP($B118,INDIRECT("'GRD-"&amp;FD$11&amp;"'!B:R"),15,FALSE),"")</f>
        <v/>
      </c>
      <c r="FE118" s="96">
        <f>IFERROR(VLOOKUP($B118,INDIRECT("'GRD-"&amp;FE$11&amp;"'!B:R"),15,FALSE),"")</f>
        <v/>
      </c>
      <c r="FF118" s="96">
        <f>IFERROR(VLOOKUP($B118,INDIRECT("'GRD-"&amp;FF$11&amp;"'!B:R"),15,FALSE),"")</f>
        <v/>
      </c>
      <c r="FG118" s="96">
        <f>IFERROR(VLOOKUP($B118,INDIRECT("'GRD-"&amp;FG$11&amp;"'!B:R"),15,FALSE),"")</f>
        <v/>
      </c>
      <c r="FH118" s="96">
        <f>IFERROR(VLOOKUP($B118,INDIRECT("'GRD-"&amp;FH$11&amp;"'!B:R"),15,FALSE),"")</f>
        <v/>
      </c>
      <c r="FI118" s="96">
        <f>IFERROR(VLOOKUP($B118,INDIRECT("'GRD-"&amp;FI$11&amp;"'!B:R"),15,FALSE),"")</f>
        <v/>
      </c>
      <c r="FJ118" s="96">
        <f>IFERROR(VLOOKUP($B118,INDIRECT("'GRD-"&amp;FJ$11&amp;"'!B:R"),15,FALSE),"")</f>
        <v/>
      </c>
      <c r="FK118" s="96">
        <f>IFERROR(VLOOKUP($B118,INDIRECT("'GRD-"&amp;FK$11&amp;"'!B:R"),15,FALSE),"")</f>
        <v/>
      </c>
      <c r="FL118" s="96">
        <f>IFERROR(VLOOKUP($B118,INDIRECT("'GRD-"&amp;FL$11&amp;"'!B:R"),15,FALSE),"")</f>
        <v/>
      </c>
      <c r="FM118" s="96">
        <f>IFERROR(VLOOKUP($B118,INDIRECT("'GRD-"&amp;FM$11&amp;"'!B:R"),15,FALSE),"")</f>
        <v/>
      </c>
      <c r="FN118" s="96">
        <f>IFERROR(VLOOKUP($B118,INDIRECT("'GRD-"&amp;FN$11&amp;"'!B:R"),15,FALSE),"")</f>
        <v/>
      </c>
      <c r="FO118" s="96">
        <f>IFERROR(VLOOKUP($B118,INDIRECT("'GRD-"&amp;FO$11&amp;"'!B:R"),15,FALSE),"")</f>
        <v/>
      </c>
      <c r="FP118" s="96">
        <f>IFERROR(VLOOKUP($B118,INDIRECT("'GRD-"&amp;FP$11&amp;"'!B:R"),15,FALSE),"")</f>
        <v/>
      </c>
      <c r="FQ118" s="96">
        <f>IFERROR(VLOOKUP($B118,INDIRECT("'GRD-"&amp;FQ$11&amp;"'!B:R"),15,FALSE),"")</f>
        <v/>
      </c>
      <c r="FR118" s="96">
        <f>IFERROR(VLOOKUP($B118,INDIRECT("'GRD-"&amp;FR$11&amp;"'!B:R"),15,FALSE),"")</f>
        <v/>
      </c>
      <c r="FS118" s="96">
        <f>IFERROR(VLOOKUP($B118,INDIRECT("'GRD-"&amp;FS$11&amp;"'!B:R"),15,FALSE),"")</f>
        <v/>
      </c>
      <c r="FT118" s="96">
        <f>IFERROR(VLOOKUP($B118,INDIRECT("'GRD-"&amp;FT$11&amp;"'!B:R"),15,FALSE),"")</f>
        <v/>
      </c>
      <c r="FU118" s="96">
        <f>IFERROR(VLOOKUP($B118,INDIRECT("'GRD-"&amp;FU$11&amp;"'!B:R"),15,FALSE),"")</f>
        <v/>
      </c>
      <c r="FV118" s="96">
        <f>IFERROR(VLOOKUP($B118,INDIRECT("'GRD-"&amp;FV$11&amp;"'!B:R"),15,FALSE),"")</f>
        <v/>
      </c>
    </row>
    <row r="119">
      <c r="B119" s="85" t="n"/>
      <c r="C119" s="93" t="n"/>
      <c r="D119" s="73">
        <f>IF(K119="","",MAX($CA119:$FV119))</f>
        <v/>
      </c>
      <c r="E119" s="74">
        <f t="array" ref="E119">IF($K119="","",OFFSET($A$1,ROW($B119)-1,11+$D119*4,))</f>
        <v/>
      </c>
      <c r="F119" s="74">
        <f t="array" ref="F119">IF($K119="","",OFFSET($A$1,ROW($B119)-1,12+$D119*4,))</f>
        <v/>
      </c>
      <c r="G119" s="118">
        <f t="array" ref="G119">IF($K119="","",OFFSET($A$1,ROW($B119)-1,13+$D119*4,))</f>
        <v/>
      </c>
      <c r="H119" s="81" t="n"/>
      <c r="I119" s="82" t="n"/>
      <c r="J119" s="75">
        <f>IF(I119="A4",H119/8,IF(I119="A3",H119/4,IF(I119="A2",H119/2,IF(I119="A1",H119/1,IF(I119="A0",H119*2,"")))))</f>
        <v/>
      </c>
      <c r="K119" s="68">
        <f t="array" ref="K119">IFERROR(OFFSET($BZ$11,ROW($B119)-11,MATCH(K$10,$CA119:$FV119,0),),"")</f>
        <v/>
      </c>
      <c r="L119" s="85">
        <f>IF(K119="","",IF(VLOOKUP($B119,INDIRECT("'GRD-"&amp;M119&amp;"'!$B:$R"),16,FALSE)="","",VLOOKUP($B119,INDIRECT("'GRD-"&amp;M119&amp;"'!$B:$R"),16,FALSE)))</f>
        <v/>
      </c>
      <c r="M119" s="130">
        <f t="array" ref="M119">IF(K119="","",IFERROR(OFFSET($BZ$11,0,MATCH($K119,$CA119:$FV119,0),),""))</f>
        <v/>
      </c>
      <c r="N119" s="119">
        <f t="array" ref="N119">IF(K119="","",INDIRECT("'GRD-"&amp;M119&amp;"'!$L$7"))</f>
        <v/>
      </c>
      <c r="O119" s="76">
        <f t="array" ref="O119">IFERROR(OFFSET($BZ$11,ROW($B119)-11,MATCH(O$10,$CA119:$FV119,0),),"")</f>
        <v/>
      </c>
      <c r="P119" s="76">
        <f>IF(O119="","",IF(VLOOKUP($B119,INDIRECT("'GRD-"&amp;Q119&amp;"'!$B:$R"),16,FALSE)="","",VLOOKUP($B119,INDIRECT("'GRD-"&amp;Q119&amp;"'!$B:$R"),16,FALSE)))</f>
        <v/>
      </c>
      <c r="Q119" s="132">
        <f t="array" ref="Q119">IF(O119="","",IFERROR(OFFSET($BZ$11,0,MATCH($O119,$CA119:$FV119,0),),""))</f>
        <v/>
      </c>
      <c r="R119" s="121">
        <f t="array" ref="R119">IF(O119="","",INDIRECT("'GRD-"&amp;Q119&amp;"'!$L$7"))</f>
        <v/>
      </c>
      <c r="S119" s="83">
        <f t="array" ref="S119">IFERROR(OFFSET($BZ$11,ROW($B119)-11,MATCH(S$10,$CA119:$FV119,0),),"")</f>
        <v/>
      </c>
      <c r="T119" s="83">
        <f>IF(S119="","",IF(VLOOKUP($B119,INDIRECT("'GRD-"&amp;U119&amp;"'!$B:$R"),16,FALSE)="","",VLOOKUP($B119,INDIRECT("'GRD-"&amp;U119&amp;"'!$B:$R"),16,FALSE)))</f>
        <v/>
      </c>
      <c r="U119" s="128">
        <f t="array" ref="U119">IF(S119="","",IFERROR(OFFSET($BZ$11,0,MATCH($S119,$CA119:$FV119,0),),""))</f>
        <v/>
      </c>
      <c r="V119" s="133">
        <f t="array" ref="V119">IF(S119="","",INDIRECT("'GRD-"&amp;U119&amp;"'!$L$7"))</f>
        <v/>
      </c>
      <c r="W119" s="84">
        <f t="array" ref="W119">IFERROR(OFFSET($BZ$11,ROW($B119)-11,MATCH(W$10,$CA119:$FV119,0),),"")</f>
        <v/>
      </c>
      <c r="X119" s="84">
        <f>IF(W119="","",IF(VLOOKUP($B119,INDIRECT("'GRD-"&amp;Y119&amp;"'!$B:$R"),16,FALSE)="","",VLOOKUP($B119,INDIRECT("'GRD-"&amp;Y119&amp;"'!$B:$R"),16,FALSE)))</f>
        <v/>
      </c>
      <c r="Y119" s="129">
        <f t="array" ref="Y119">IF(W119="","",IFERROR(OFFSET($BZ$11,0,MATCH($W119,$CA119:$FV119,0),),""))</f>
        <v/>
      </c>
      <c r="Z119" s="134">
        <f t="array" ref="Z119">IF(W119="","",INDIRECT("'GRD-"&amp;Y119&amp;"'!$L$7"))</f>
        <v/>
      </c>
      <c r="AA119" s="85">
        <f t="array" ref="AA119">IFERROR(OFFSET($BZ$11,ROW($B119)-11,MATCH(AA$10,$CA119:$FV119,0),),"")</f>
        <v/>
      </c>
      <c r="AB119" s="85">
        <f>IF(AA119="","",IF(VLOOKUP($B119,INDIRECT("'GRD-"&amp;AC119&amp;"'!$B:$R"),16,FALSE)="","",VLOOKUP($B119,INDIRECT("'GRD-"&amp;AC119&amp;"'!$B:$R"),16,FALSE)))</f>
        <v/>
      </c>
      <c r="AC119" s="130">
        <f t="array" ref="AC119">IF(AA119="","",IFERROR(OFFSET($BZ$11,0,MATCH($AA119,$CA119:$FV119,0),),""))</f>
        <v/>
      </c>
      <c r="AD119" s="131">
        <f t="array" ref="AD119">IF(AA119="","",INDIRECT("'GRD-"&amp;AC119&amp;"'!$L$7"))</f>
        <v/>
      </c>
      <c r="AE119" s="76">
        <f t="array" ref="AE119">IFERROR(OFFSET($BZ$11,ROW($B119)-11,MATCH(AE$10,$CA119:$FV119,0),),"")</f>
        <v/>
      </c>
      <c r="AF119" s="76">
        <f>IF(AE119="","",IF(VLOOKUP($B119,INDIRECT("'GRD-"&amp;AG119&amp;"'!$B:$R"),16,FALSE)="","",VLOOKUP($B119,INDIRECT("'GRD-"&amp;AG119&amp;"'!$B:$R"),16,FALSE)))</f>
        <v/>
      </c>
      <c r="AG119" s="132">
        <f t="array" ref="AG119">IF(AE119="","",IFERROR(OFFSET($BZ$11,0,MATCH($AE119,$CA119:$FV119,0),),""))</f>
        <v/>
      </c>
      <c r="AH119" s="121">
        <f t="array" ref="AH119">IF(AE119="","",INDIRECT("'GRD-"&amp;AG119&amp;"'!$L$7"))</f>
        <v/>
      </c>
      <c r="AI119" s="83">
        <f t="array" ref="AI119">IFERROR(OFFSET($BZ$11,ROW($B119)-11,MATCH(AI$10,$CA119:$FV119,0),),"")</f>
        <v/>
      </c>
      <c r="AJ119" s="83">
        <f>IF(AI119="","",IF(VLOOKUP($B119,INDIRECT("'GRD-"&amp;AK119&amp;"'!$B:$R"),16,FALSE)="","",VLOOKUP($B119,INDIRECT("'GRD-"&amp;AK119&amp;"'!$B:$R"),16,FALSE)))</f>
        <v/>
      </c>
      <c r="AK119" s="128">
        <f t="array" ref="AK119">IF(AI119="","",IFERROR(OFFSET($BZ$11,0,MATCH($AI119,$CA119:$FV119,0),),""))</f>
        <v/>
      </c>
      <c r="AL119" s="133">
        <f t="array" ref="AL119">IF(AI119="","",INDIRECT("'GRD-"&amp;AK119&amp;"'!$L$7"))</f>
        <v/>
      </c>
      <c r="AM119" s="84">
        <f t="array" ref="AM119">IFERROR(OFFSET($BZ$11,ROW($B119)-11,MATCH(AM$10,$CA119:$FV119,0),),"")</f>
        <v/>
      </c>
      <c r="AN119" s="84">
        <f>IF(AM119="","",IF(VLOOKUP($B119,INDIRECT("'GRD-"&amp;AO119&amp;"'!$B:$R"),16,FALSE)="","",VLOOKUP($B119,INDIRECT("'GRD-"&amp;AO119&amp;"'!$B:$R"),16,FALSE)))</f>
        <v/>
      </c>
      <c r="AO119" s="129">
        <f t="array" ref="AO119">IF(AM119="","",IFERROR(OFFSET($BZ$11,0,MATCH($AM119,$CA119:$FV119,0),),""))</f>
        <v/>
      </c>
      <c r="AP119" s="134">
        <f t="array" ref="AP119">IF(AM119="","",INDIRECT("'GRD-"&amp;AO119&amp;"'!$L$7"))</f>
        <v/>
      </c>
      <c r="AQ119" s="85">
        <f t="array" ref="AQ119">IFERROR(OFFSET($BZ$11,ROW($B119)-11,MATCH(AQ$10,$CA119:$FV119,0),),"")</f>
        <v/>
      </c>
      <c r="AR119" s="85">
        <f>IF(AQ119="","",IF(VLOOKUP($B119,INDIRECT("'GRD-"&amp;AS119&amp;"'!$B:$R"),16,FALSE)="","",VLOOKUP($B119,INDIRECT("'GRD-"&amp;AS119&amp;"'!$B:$R"),16,FALSE)))</f>
        <v/>
      </c>
      <c r="AS119" s="130">
        <f t="array" ref="AS119">IF(AQ119="","",IFERROR(OFFSET($BZ$11,0,MATCH($AQ119,$CA119:$FV119,0),),""))</f>
        <v/>
      </c>
      <c r="AT119" s="131">
        <f t="array" ref="AT119">IF(AQ119="","",INDIRECT("'GRD-"&amp;AS119&amp;"'!$L$7"))</f>
        <v/>
      </c>
      <c r="AU119" s="76">
        <f t="array" ref="AU119">IFERROR(OFFSET($BZ$11,ROW($B119)-11,MATCH(AU$10,$CA119:$FV119,0),),"")</f>
        <v/>
      </c>
      <c r="AV119" s="76">
        <f>IF(AU119="","",IF(VLOOKUP($B119,INDIRECT("'GRD-"&amp;AW119&amp;"'!$B:$R"),16,FALSE)="","",VLOOKUP($B119,INDIRECT("'GRD-"&amp;AW119&amp;"'!$B:$R"),16,FALSE)))</f>
        <v/>
      </c>
      <c r="AW119" s="132">
        <f t="array" ref="AW119">IF(AU119="","",IFERROR(OFFSET($BZ$11,0,MATCH($AU119,$CA119:$FV119,0),),""))</f>
        <v/>
      </c>
      <c r="AX119" s="121">
        <f t="array" ref="AX119">IF(AU119="","",INDIRECT("'GRD-"&amp;AW119&amp;"'!$L$7"))</f>
        <v/>
      </c>
      <c r="AY119" s="83">
        <f t="array" ref="AY119">IFERROR(OFFSET($BZ$11,ROW($B119)-11,MATCH(AY$10,$CA119:$FV119,0),),"")</f>
        <v/>
      </c>
      <c r="AZ119" s="83">
        <f>IF(AY119="","",IF(VLOOKUP($B119,INDIRECT("'GRD-"&amp;BA119&amp;"'!$B:$R"),16,FALSE)="","",VLOOKUP($B119,INDIRECT("'GRD-"&amp;BA119&amp;"'!$B:$R"),16,FALSE)))</f>
        <v/>
      </c>
      <c r="BA119" s="128">
        <f t="array" ref="BA119">IF(AY119="","",IFERROR(OFFSET($BZ$11,0,MATCH($AY119,$CA119:$FV119,0),),""))</f>
        <v/>
      </c>
      <c r="BB119" s="133">
        <f t="array" ref="BB119">IF(AY119="","",INDIRECT("'GRD-"&amp;BA119&amp;"'!$L$7"))</f>
        <v/>
      </c>
      <c r="BC119" s="84">
        <f t="array" ref="BC119">IFERROR(OFFSET($BZ$11,ROW($B119)-11,MATCH(BC$10,$CA119:$FV119,0),),"")</f>
        <v/>
      </c>
      <c r="BD119" s="84">
        <f>IF(BC119="","",IF(VLOOKUP($B119,INDIRECT("'GRD-"&amp;BE119&amp;"'!$B:$R"),16,FALSE)="","",VLOOKUP($B119,INDIRECT("'GRD-"&amp;BE119&amp;"'!$B:$R"),16,FALSE)))</f>
        <v/>
      </c>
      <c r="BE119" s="129">
        <f t="array" ref="BE119">IF(BC119="","",IFERROR(OFFSET($BZ$11,0,MATCH($BC119,$CA119:$FV119,0),),""))</f>
        <v/>
      </c>
      <c r="BF119" s="134">
        <f t="array" ref="BF119">IF(BC119="","",INDIRECT("'GRD-"&amp;BE119&amp;"'!$L$7"))</f>
        <v/>
      </c>
      <c r="CA119" s="96">
        <f>IFERROR(VLOOKUP($B119,INDIRECT("'GRD-"&amp;CA$11&amp;"'!B:R"),15,FALSE),"")</f>
        <v/>
      </c>
      <c r="CB119" s="96">
        <f>IFERROR(VLOOKUP($B119,INDIRECT("'GRD-"&amp;CB$11&amp;"'!B:R"),15,FALSE),"")</f>
        <v/>
      </c>
      <c r="CC119" s="96">
        <f>IFERROR(VLOOKUP($B119,INDIRECT("'GRD-"&amp;CC$11&amp;"'!B:R"),15,FALSE),"")</f>
        <v/>
      </c>
      <c r="CD119" s="96">
        <f>IFERROR(VLOOKUP($B119,INDIRECT("'GRD-"&amp;CD$11&amp;"'!B:R"),15,FALSE),"")</f>
        <v/>
      </c>
      <c r="CE119" s="96">
        <f>IFERROR(VLOOKUP($B119,INDIRECT("'GRD-"&amp;CE$11&amp;"'!B:R"),15,FALSE),"")</f>
        <v/>
      </c>
      <c r="CF119" s="96">
        <f>IFERROR(VLOOKUP($B119,INDIRECT("'GRD-"&amp;CF$11&amp;"'!B:R"),15,FALSE),"")</f>
        <v/>
      </c>
      <c r="CG119" s="96">
        <f>IFERROR(VLOOKUP($B119,INDIRECT("'GRD-"&amp;CG$11&amp;"'!B:R"),15,FALSE),"")</f>
        <v/>
      </c>
      <c r="CH119" s="96">
        <f>IFERROR(VLOOKUP($B119,INDIRECT("'GRD-"&amp;CH$11&amp;"'!B:R"),15,FALSE),"")</f>
        <v/>
      </c>
      <c r="CI119" s="96">
        <f>IFERROR(VLOOKUP($B119,INDIRECT("'GRD-"&amp;CI$11&amp;"'!B:R"),15,FALSE),"")</f>
        <v/>
      </c>
      <c r="CJ119" s="96">
        <f>IFERROR(VLOOKUP($B119,INDIRECT("'GRD-"&amp;CJ$11&amp;"'!B:R"),15,FALSE),"")</f>
        <v/>
      </c>
      <c r="CK119" s="96">
        <f>IFERROR(VLOOKUP($B119,INDIRECT("'GRD-"&amp;CK$11&amp;"'!B:R"),15,FALSE),"")</f>
        <v/>
      </c>
      <c r="CL119" s="96">
        <f>IFERROR(VLOOKUP($B119,INDIRECT("'GRD-"&amp;CL$11&amp;"'!B:R"),15,FALSE),"")</f>
        <v/>
      </c>
      <c r="CM119" s="96">
        <f>IFERROR(VLOOKUP($B119,INDIRECT("'GRD-"&amp;CM$11&amp;"'!B:R"),15,FALSE),"")</f>
        <v/>
      </c>
      <c r="CN119" s="96">
        <f>IFERROR(VLOOKUP($B119,INDIRECT("'GRD-"&amp;CN$11&amp;"'!B:R"),15,FALSE),"")</f>
        <v/>
      </c>
      <c r="CO119" s="96">
        <f>IFERROR(VLOOKUP($B119,INDIRECT("'GRD-"&amp;CO$11&amp;"'!B:R"),15,FALSE),"")</f>
        <v/>
      </c>
      <c r="CP119" s="96">
        <f>IFERROR(VLOOKUP($B119,INDIRECT("'GRD-"&amp;CP$11&amp;"'!B:R"),15,FALSE),"")</f>
        <v/>
      </c>
      <c r="CQ119" s="96">
        <f>IFERROR(VLOOKUP($B119,INDIRECT("'GRD-"&amp;CQ$11&amp;"'!B:R"),15,FALSE),"")</f>
        <v/>
      </c>
      <c r="CR119" s="96">
        <f>IFERROR(VLOOKUP($B119,INDIRECT("'GRD-"&amp;CR$11&amp;"'!B:R"),15,FALSE),"")</f>
        <v/>
      </c>
      <c r="CS119" s="96">
        <f>IFERROR(VLOOKUP($B119,INDIRECT("'GRD-"&amp;CS$11&amp;"'!B:R"),15,FALSE),"")</f>
        <v/>
      </c>
      <c r="CT119" s="96">
        <f>IFERROR(VLOOKUP($B119,INDIRECT("'GRD-"&amp;CT$11&amp;"'!B:R"),15,FALSE),"")</f>
        <v/>
      </c>
      <c r="CU119" s="96">
        <f>IFERROR(VLOOKUP($B119,INDIRECT("'GRD-"&amp;CU$11&amp;"'!B:R"),15,FALSE),"")</f>
        <v/>
      </c>
      <c r="CV119" s="96">
        <f>IFERROR(VLOOKUP($B119,INDIRECT("'GRD-"&amp;CV$11&amp;"'!B:R"),15,FALSE),"")</f>
        <v/>
      </c>
      <c r="CW119" s="96">
        <f>IFERROR(VLOOKUP($B119,INDIRECT("'GRD-"&amp;CW$11&amp;"'!B:R"),15,FALSE),"")</f>
        <v/>
      </c>
      <c r="CX119" s="96">
        <f>IFERROR(VLOOKUP($B119,INDIRECT("'GRD-"&amp;CX$11&amp;"'!B:R"),15,FALSE),"")</f>
        <v/>
      </c>
      <c r="CY119" s="96">
        <f>IFERROR(VLOOKUP($B119,INDIRECT("'GRD-"&amp;CY$11&amp;"'!B:R"),15,FALSE),"")</f>
        <v/>
      </c>
      <c r="CZ119" s="96">
        <f>IFERROR(VLOOKUP($B119,INDIRECT("'GRD-"&amp;CZ$11&amp;"'!B:R"),15,FALSE),"")</f>
        <v/>
      </c>
      <c r="DA119" s="96">
        <f>IFERROR(VLOOKUP($B119,INDIRECT("'GRD-"&amp;DA$11&amp;"'!B:R"),15,FALSE),"")</f>
        <v/>
      </c>
      <c r="DB119" s="96">
        <f>IFERROR(VLOOKUP($B119,INDIRECT("'GRD-"&amp;DB$11&amp;"'!B:R"),15,FALSE),"")</f>
        <v/>
      </c>
      <c r="DC119" s="96">
        <f>IFERROR(VLOOKUP($B119,INDIRECT("'GRD-"&amp;DC$11&amp;"'!B:R"),15,FALSE),"")</f>
        <v/>
      </c>
      <c r="DD119" s="96">
        <f>IFERROR(VLOOKUP($B119,INDIRECT("'GRD-"&amp;DD$11&amp;"'!B:R"),15,FALSE),"")</f>
        <v/>
      </c>
      <c r="DE119" s="96">
        <f>IFERROR(VLOOKUP($B119,INDIRECT("'GRD-"&amp;DE$11&amp;"'!B:R"),15,FALSE),"")</f>
        <v/>
      </c>
      <c r="DF119" s="96">
        <f>IFERROR(VLOOKUP($B119,INDIRECT("'GRD-"&amp;DF$11&amp;"'!B:R"),15,FALSE),"")</f>
        <v/>
      </c>
      <c r="DG119" s="96">
        <f>IFERROR(VLOOKUP($B119,INDIRECT("'GRD-"&amp;DG$11&amp;"'!B:R"),15,FALSE),"")</f>
        <v/>
      </c>
      <c r="DH119" s="96">
        <f>IFERROR(VLOOKUP($B119,INDIRECT("'GRD-"&amp;DH$11&amp;"'!B:R"),15,FALSE),"")</f>
        <v/>
      </c>
      <c r="DI119" s="96">
        <f>IFERROR(VLOOKUP($B119,INDIRECT("'GRD-"&amp;DI$11&amp;"'!B:R"),15,FALSE),"")</f>
        <v/>
      </c>
      <c r="DJ119" s="96">
        <f>IFERROR(VLOOKUP($B119,INDIRECT("'GRD-"&amp;DJ$11&amp;"'!B:R"),15,FALSE),"")</f>
        <v/>
      </c>
      <c r="DK119" s="96">
        <f>IFERROR(VLOOKUP($B119,INDIRECT("'GRD-"&amp;DK$11&amp;"'!B:R"),15,FALSE),"")</f>
        <v/>
      </c>
      <c r="DL119" s="96">
        <f>IFERROR(VLOOKUP($B119,INDIRECT("'GRD-"&amp;DL$11&amp;"'!B:R"),15,FALSE),"")</f>
        <v/>
      </c>
      <c r="DM119" s="96">
        <f>IFERROR(VLOOKUP($B119,INDIRECT("'GRD-"&amp;DM$11&amp;"'!B:R"),15,FALSE),"")</f>
        <v/>
      </c>
      <c r="DN119" s="96">
        <f>IFERROR(VLOOKUP($B119,INDIRECT("'GRD-"&amp;DN$11&amp;"'!B:R"),15,FALSE),"")</f>
        <v/>
      </c>
      <c r="DO119" s="96">
        <f>IFERROR(VLOOKUP($B119,INDIRECT("'GRD-"&amp;DO$11&amp;"'!B:R"),15,FALSE),"")</f>
        <v/>
      </c>
      <c r="DP119" s="96">
        <f>IFERROR(VLOOKUP($B119,INDIRECT("'GRD-"&amp;DP$11&amp;"'!B:R"),15,FALSE),"")</f>
        <v/>
      </c>
      <c r="DQ119" s="96">
        <f>IFERROR(VLOOKUP($B119,INDIRECT("'GRD-"&amp;DQ$11&amp;"'!B:R"),15,FALSE),"")</f>
        <v/>
      </c>
      <c r="DR119" s="96">
        <f>IFERROR(VLOOKUP($B119,INDIRECT("'GRD-"&amp;DR$11&amp;"'!B:R"),15,FALSE),"")</f>
        <v/>
      </c>
      <c r="DS119" s="96">
        <f>IFERROR(VLOOKUP($B119,INDIRECT("'GRD-"&amp;DS$11&amp;"'!B:R"),15,FALSE),"")</f>
        <v/>
      </c>
      <c r="DT119" s="96">
        <f>IFERROR(VLOOKUP($B119,INDIRECT("'GRD-"&amp;DT$11&amp;"'!B:R"),15,FALSE),"")</f>
        <v/>
      </c>
      <c r="DU119" s="96">
        <f>IFERROR(VLOOKUP($B119,INDIRECT("'GRD-"&amp;DU$11&amp;"'!B:R"),15,FALSE),"")</f>
        <v/>
      </c>
      <c r="DV119" s="96">
        <f>IFERROR(VLOOKUP($B119,INDIRECT("'GRD-"&amp;DV$11&amp;"'!B:R"),15,FALSE),"")</f>
        <v/>
      </c>
      <c r="DW119" s="96">
        <f>IFERROR(VLOOKUP($B119,INDIRECT("'GRD-"&amp;DW$11&amp;"'!B:R"),15,FALSE),"")</f>
        <v/>
      </c>
      <c r="DX119" s="96">
        <f>IFERROR(VLOOKUP($B119,INDIRECT("'GRD-"&amp;DX$11&amp;"'!B:R"),15,FALSE),"")</f>
        <v/>
      </c>
      <c r="DY119" s="96">
        <f>IFERROR(VLOOKUP($B119,INDIRECT("'GRD-"&amp;DY$11&amp;"'!B:R"),15,FALSE),"")</f>
        <v/>
      </c>
      <c r="DZ119" s="96">
        <f>IFERROR(VLOOKUP($B119,INDIRECT("'GRD-"&amp;DZ$11&amp;"'!B:R"),15,FALSE),"")</f>
        <v/>
      </c>
      <c r="EA119" s="96">
        <f>IFERROR(VLOOKUP($B119,INDIRECT("'GRD-"&amp;EA$11&amp;"'!B:R"),15,FALSE),"")</f>
        <v/>
      </c>
      <c r="EB119" s="96">
        <f>IFERROR(VLOOKUP($B119,INDIRECT("'GRD-"&amp;EB$11&amp;"'!B:R"),15,FALSE),"")</f>
        <v/>
      </c>
      <c r="EC119" s="96">
        <f>IFERROR(VLOOKUP($B119,INDIRECT("'GRD-"&amp;EC$11&amp;"'!B:R"),15,FALSE),"")</f>
        <v/>
      </c>
      <c r="ED119" s="96">
        <f>IFERROR(VLOOKUP($B119,INDIRECT("'GRD-"&amp;ED$11&amp;"'!B:R"),15,FALSE),"")</f>
        <v/>
      </c>
      <c r="EE119" s="96">
        <f>IFERROR(VLOOKUP($B119,INDIRECT("'GRD-"&amp;EE$11&amp;"'!B:R"),15,FALSE),"")</f>
        <v/>
      </c>
      <c r="EF119" s="96">
        <f>IFERROR(VLOOKUP($B119,INDIRECT("'GRD-"&amp;EF$11&amp;"'!B:R"),15,FALSE),"")</f>
        <v/>
      </c>
      <c r="EG119" s="96">
        <f>IFERROR(VLOOKUP($B119,INDIRECT("'GRD-"&amp;EG$11&amp;"'!B:R"),15,FALSE),"")</f>
        <v/>
      </c>
      <c r="EH119" s="96">
        <f>IFERROR(VLOOKUP($B119,INDIRECT("'GRD-"&amp;EH$11&amp;"'!B:R"),15,FALSE),"")</f>
        <v/>
      </c>
      <c r="EI119" s="96">
        <f>IFERROR(VLOOKUP($B119,INDIRECT("'GRD-"&amp;EI$11&amp;"'!B:R"),15,FALSE),"")</f>
        <v/>
      </c>
      <c r="EJ119" s="96">
        <f>IFERROR(VLOOKUP($B119,INDIRECT("'GRD-"&amp;EJ$11&amp;"'!B:R"),15,FALSE),"")</f>
        <v/>
      </c>
      <c r="EK119" s="96">
        <f>IFERROR(VLOOKUP($B119,INDIRECT("'GRD-"&amp;EK$11&amp;"'!B:R"),15,FALSE),"")</f>
        <v/>
      </c>
      <c r="EL119" s="96">
        <f>IFERROR(VLOOKUP($B119,INDIRECT("'GRD-"&amp;EL$11&amp;"'!B:R"),15,FALSE),"")</f>
        <v/>
      </c>
      <c r="EM119" s="96">
        <f>IFERROR(VLOOKUP($B119,INDIRECT("'GRD-"&amp;EM$11&amp;"'!B:R"),15,FALSE),"")</f>
        <v/>
      </c>
      <c r="EN119" s="96">
        <f>IFERROR(VLOOKUP($B119,INDIRECT("'GRD-"&amp;EN$11&amp;"'!B:R"),15,FALSE),"")</f>
        <v/>
      </c>
      <c r="EO119" s="96">
        <f>IFERROR(VLOOKUP($B119,INDIRECT("'GRD-"&amp;EO$11&amp;"'!B:R"),15,FALSE),"")</f>
        <v/>
      </c>
      <c r="EP119" s="96">
        <f>IFERROR(VLOOKUP($B119,INDIRECT("'GRD-"&amp;EP$11&amp;"'!B:R"),15,FALSE),"")</f>
        <v/>
      </c>
      <c r="EQ119" s="96">
        <f>IFERROR(VLOOKUP($B119,INDIRECT("'GRD-"&amp;EQ$11&amp;"'!B:R"),15,FALSE),"")</f>
        <v/>
      </c>
      <c r="ER119" s="96">
        <f>IFERROR(VLOOKUP($B119,INDIRECT("'GRD-"&amp;ER$11&amp;"'!B:R"),15,FALSE),"")</f>
        <v/>
      </c>
      <c r="ES119" s="96">
        <f>IFERROR(VLOOKUP($B119,INDIRECT("'GRD-"&amp;ES$11&amp;"'!B:R"),15,FALSE),"")</f>
        <v/>
      </c>
      <c r="ET119" s="96">
        <f>IFERROR(VLOOKUP($B119,INDIRECT("'GRD-"&amp;ET$11&amp;"'!B:R"),15,FALSE),"")</f>
        <v/>
      </c>
      <c r="EU119" s="96">
        <f>IFERROR(VLOOKUP($B119,INDIRECT("'GRD-"&amp;EU$11&amp;"'!B:R"),15,FALSE),"")</f>
        <v/>
      </c>
      <c r="EV119" s="96">
        <f>IFERROR(VLOOKUP($B119,INDIRECT("'GRD-"&amp;EV$11&amp;"'!B:R"),15,FALSE),"")</f>
        <v/>
      </c>
      <c r="EW119" s="96">
        <f>IFERROR(VLOOKUP($B119,INDIRECT("'GRD-"&amp;EW$11&amp;"'!B:R"),15,FALSE),"")</f>
        <v/>
      </c>
      <c r="EX119" s="96">
        <f>IFERROR(VLOOKUP($B119,INDIRECT("'GRD-"&amp;EX$11&amp;"'!B:R"),15,FALSE),"")</f>
        <v/>
      </c>
      <c r="EY119" s="96">
        <f>IFERROR(VLOOKUP($B119,INDIRECT("'GRD-"&amp;EY$11&amp;"'!B:R"),15,FALSE),"")</f>
        <v/>
      </c>
      <c r="EZ119" s="96">
        <f>IFERROR(VLOOKUP($B119,INDIRECT("'GRD-"&amp;EZ$11&amp;"'!B:R"),15,FALSE),"")</f>
        <v/>
      </c>
      <c r="FA119" s="96">
        <f>IFERROR(VLOOKUP($B119,INDIRECT("'GRD-"&amp;FA$11&amp;"'!B:R"),15,FALSE),"")</f>
        <v/>
      </c>
      <c r="FB119" s="96">
        <f>IFERROR(VLOOKUP($B119,INDIRECT("'GRD-"&amp;FB$11&amp;"'!B:R"),15,FALSE),"")</f>
        <v/>
      </c>
      <c r="FC119" s="96">
        <f>IFERROR(VLOOKUP($B119,INDIRECT("'GRD-"&amp;FC$11&amp;"'!B:R"),15,FALSE),"")</f>
        <v/>
      </c>
      <c r="FD119" s="96">
        <f>IFERROR(VLOOKUP($B119,INDIRECT("'GRD-"&amp;FD$11&amp;"'!B:R"),15,FALSE),"")</f>
        <v/>
      </c>
      <c r="FE119" s="96">
        <f>IFERROR(VLOOKUP($B119,INDIRECT("'GRD-"&amp;FE$11&amp;"'!B:R"),15,FALSE),"")</f>
        <v/>
      </c>
      <c r="FF119" s="96">
        <f>IFERROR(VLOOKUP($B119,INDIRECT("'GRD-"&amp;FF$11&amp;"'!B:R"),15,FALSE),"")</f>
        <v/>
      </c>
      <c r="FG119" s="96">
        <f>IFERROR(VLOOKUP($B119,INDIRECT("'GRD-"&amp;FG$11&amp;"'!B:R"),15,FALSE),"")</f>
        <v/>
      </c>
      <c r="FH119" s="96">
        <f>IFERROR(VLOOKUP($B119,INDIRECT("'GRD-"&amp;FH$11&amp;"'!B:R"),15,FALSE),"")</f>
        <v/>
      </c>
      <c r="FI119" s="96">
        <f>IFERROR(VLOOKUP($B119,INDIRECT("'GRD-"&amp;FI$11&amp;"'!B:R"),15,FALSE),"")</f>
        <v/>
      </c>
      <c r="FJ119" s="96">
        <f>IFERROR(VLOOKUP($B119,INDIRECT("'GRD-"&amp;FJ$11&amp;"'!B:R"),15,FALSE),"")</f>
        <v/>
      </c>
      <c r="FK119" s="96">
        <f>IFERROR(VLOOKUP($B119,INDIRECT("'GRD-"&amp;FK$11&amp;"'!B:R"),15,FALSE),"")</f>
        <v/>
      </c>
      <c r="FL119" s="96">
        <f>IFERROR(VLOOKUP($B119,INDIRECT("'GRD-"&amp;FL$11&amp;"'!B:R"),15,FALSE),"")</f>
        <v/>
      </c>
      <c r="FM119" s="96">
        <f>IFERROR(VLOOKUP($B119,INDIRECT("'GRD-"&amp;FM$11&amp;"'!B:R"),15,FALSE),"")</f>
        <v/>
      </c>
      <c r="FN119" s="96">
        <f>IFERROR(VLOOKUP($B119,INDIRECT("'GRD-"&amp;FN$11&amp;"'!B:R"),15,FALSE),"")</f>
        <v/>
      </c>
      <c r="FO119" s="96">
        <f>IFERROR(VLOOKUP($B119,INDIRECT("'GRD-"&amp;FO$11&amp;"'!B:R"),15,FALSE),"")</f>
        <v/>
      </c>
      <c r="FP119" s="96">
        <f>IFERROR(VLOOKUP($B119,INDIRECT("'GRD-"&amp;FP$11&amp;"'!B:R"),15,FALSE),"")</f>
        <v/>
      </c>
      <c r="FQ119" s="96">
        <f>IFERROR(VLOOKUP($B119,INDIRECT("'GRD-"&amp;FQ$11&amp;"'!B:R"),15,FALSE),"")</f>
        <v/>
      </c>
      <c r="FR119" s="96">
        <f>IFERROR(VLOOKUP($B119,INDIRECT("'GRD-"&amp;FR$11&amp;"'!B:R"),15,FALSE),"")</f>
        <v/>
      </c>
      <c r="FS119" s="96">
        <f>IFERROR(VLOOKUP($B119,INDIRECT("'GRD-"&amp;FS$11&amp;"'!B:R"),15,FALSE),"")</f>
        <v/>
      </c>
      <c r="FT119" s="96">
        <f>IFERROR(VLOOKUP($B119,INDIRECT("'GRD-"&amp;FT$11&amp;"'!B:R"),15,FALSE),"")</f>
        <v/>
      </c>
      <c r="FU119" s="96">
        <f>IFERROR(VLOOKUP($B119,INDIRECT("'GRD-"&amp;FU$11&amp;"'!B:R"),15,FALSE),"")</f>
        <v/>
      </c>
      <c r="FV119" s="96">
        <f>IFERROR(VLOOKUP($B119,INDIRECT("'GRD-"&amp;FV$11&amp;"'!B:R"),15,FALSE),"")</f>
        <v/>
      </c>
    </row>
    <row r="120">
      <c r="B120" s="85" t="n"/>
      <c r="C120" s="93" t="n"/>
      <c r="D120" s="73">
        <f>IF(K120="","",MAX($CA120:$FV120))</f>
        <v/>
      </c>
      <c r="E120" s="74">
        <f t="array" ref="E120">IF($K120="","",OFFSET($A$1,ROW($B120)-1,11+$D120*4,))</f>
        <v/>
      </c>
      <c r="F120" s="74">
        <f t="array" ref="F120">IF($K120="","",OFFSET($A$1,ROW($B120)-1,12+$D120*4,))</f>
        <v/>
      </c>
      <c r="G120" s="118">
        <f t="array" ref="G120">IF($K120="","",OFFSET($A$1,ROW($B120)-1,13+$D120*4,))</f>
        <v/>
      </c>
      <c r="H120" s="81" t="n"/>
      <c r="I120" s="82" t="n"/>
      <c r="J120" s="75">
        <f>IF(I120="A4",H120/8,IF(I120="A3",H120/4,IF(I120="A2",H120/2,IF(I120="A1",H120/1,IF(I120="A0",H120*2,"")))))</f>
        <v/>
      </c>
      <c r="K120" s="68">
        <f t="array" ref="K120">IFERROR(OFFSET($BZ$11,ROW($B120)-11,MATCH(K$10,$CA120:$FV120,0),),"")</f>
        <v/>
      </c>
      <c r="L120" s="85">
        <f>IF(K120="","",IF(VLOOKUP($B120,INDIRECT("'GRD-"&amp;M120&amp;"'!$B:$R"),16,FALSE)="","",VLOOKUP($B120,INDIRECT("'GRD-"&amp;M120&amp;"'!$B:$R"),16,FALSE)))</f>
        <v/>
      </c>
      <c r="M120" s="130">
        <f t="array" ref="M120">IF(K120="","",IFERROR(OFFSET($BZ$11,0,MATCH($K120,$CA120:$FV120,0),),""))</f>
        <v/>
      </c>
      <c r="N120" s="119">
        <f t="array" ref="N120">IF(K120="","",INDIRECT("'GRD-"&amp;M120&amp;"'!$L$7"))</f>
        <v/>
      </c>
      <c r="O120" s="76">
        <f t="array" ref="O120">IFERROR(OFFSET($BZ$11,ROW($B120)-11,MATCH(O$10,$CA120:$FV120,0),),"")</f>
        <v/>
      </c>
      <c r="P120" s="76">
        <f>IF(O120="","",IF(VLOOKUP($B120,INDIRECT("'GRD-"&amp;Q120&amp;"'!$B:$R"),16,FALSE)="","",VLOOKUP($B120,INDIRECT("'GRD-"&amp;Q120&amp;"'!$B:$R"),16,FALSE)))</f>
        <v/>
      </c>
      <c r="Q120" s="132">
        <f t="array" ref="Q120">IF(O120="","",IFERROR(OFFSET($BZ$11,0,MATCH($O120,$CA120:$FV120,0),),""))</f>
        <v/>
      </c>
      <c r="R120" s="121">
        <f t="array" ref="R120">IF(O120="","",INDIRECT("'GRD-"&amp;Q120&amp;"'!$L$7"))</f>
        <v/>
      </c>
      <c r="S120" s="83">
        <f t="array" ref="S120">IFERROR(OFFSET($BZ$11,ROW($B120)-11,MATCH(S$10,$CA120:$FV120,0),),"")</f>
        <v/>
      </c>
      <c r="T120" s="83">
        <f>IF(S120="","",IF(VLOOKUP($B120,INDIRECT("'GRD-"&amp;U120&amp;"'!$B:$R"),16,FALSE)="","",VLOOKUP($B120,INDIRECT("'GRD-"&amp;U120&amp;"'!$B:$R"),16,FALSE)))</f>
        <v/>
      </c>
      <c r="U120" s="128">
        <f t="array" ref="U120">IF(S120="","",IFERROR(OFFSET($BZ$11,0,MATCH($S120,$CA120:$FV120,0),),""))</f>
        <v/>
      </c>
      <c r="V120" s="133">
        <f t="array" ref="V120">IF(S120="","",INDIRECT("'GRD-"&amp;U120&amp;"'!$L$7"))</f>
        <v/>
      </c>
      <c r="W120" s="84">
        <f t="array" ref="W120">IFERROR(OFFSET($BZ$11,ROW($B120)-11,MATCH(W$10,$CA120:$FV120,0),),"")</f>
        <v/>
      </c>
      <c r="X120" s="84">
        <f>IF(W120="","",IF(VLOOKUP($B120,INDIRECT("'GRD-"&amp;Y120&amp;"'!$B:$R"),16,FALSE)="","",VLOOKUP($B120,INDIRECT("'GRD-"&amp;Y120&amp;"'!$B:$R"),16,FALSE)))</f>
        <v/>
      </c>
      <c r="Y120" s="129">
        <f t="array" ref="Y120">IF(W120="","",IFERROR(OFFSET($BZ$11,0,MATCH($W120,$CA120:$FV120,0),),""))</f>
        <v/>
      </c>
      <c r="Z120" s="134">
        <f t="array" ref="Z120">IF(W120="","",INDIRECT("'GRD-"&amp;Y120&amp;"'!$L$7"))</f>
        <v/>
      </c>
      <c r="AA120" s="85">
        <f t="array" ref="AA120">IFERROR(OFFSET($BZ$11,ROW($B120)-11,MATCH(AA$10,$CA120:$FV120,0),),"")</f>
        <v/>
      </c>
      <c r="AB120" s="85">
        <f>IF(AA120="","",IF(VLOOKUP($B120,INDIRECT("'GRD-"&amp;AC120&amp;"'!$B:$R"),16,FALSE)="","",VLOOKUP($B120,INDIRECT("'GRD-"&amp;AC120&amp;"'!$B:$R"),16,FALSE)))</f>
        <v/>
      </c>
      <c r="AC120" s="130">
        <f t="array" ref="AC120">IF(AA120="","",IFERROR(OFFSET($BZ$11,0,MATCH($AA120,$CA120:$FV120,0),),""))</f>
        <v/>
      </c>
      <c r="AD120" s="131">
        <f t="array" ref="AD120">IF(AA120="","",INDIRECT("'GRD-"&amp;AC120&amp;"'!$L$7"))</f>
        <v/>
      </c>
      <c r="AE120" s="76">
        <f t="array" ref="AE120">IFERROR(OFFSET($BZ$11,ROW($B120)-11,MATCH(AE$10,$CA120:$FV120,0),),"")</f>
        <v/>
      </c>
      <c r="AF120" s="76">
        <f>IF(AE120="","",IF(VLOOKUP($B120,INDIRECT("'GRD-"&amp;AG120&amp;"'!$B:$R"),16,FALSE)="","",VLOOKUP($B120,INDIRECT("'GRD-"&amp;AG120&amp;"'!$B:$R"),16,FALSE)))</f>
        <v/>
      </c>
      <c r="AG120" s="132">
        <f t="array" ref="AG120">IF(AE120="","",IFERROR(OFFSET($BZ$11,0,MATCH($AE120,$CA120:$FV120,0),),""))</f>
        <v/>
      </c>
      <c r="AH120" s="121">
        <f t="array" ref="AH120">IF(AE120="","",INDIRECT("'GRD-"&amp;AG120&amp;"'!$L$7"))</f>
        <v/>
      </c>
      <c r="AI120" s="83">
        <f t="array" ref="AI120">IFERROR(OFFSET($BZ$11,ROW($B120)-11,MATCH(AI$10,$CA120:$FV120,0),),"")</f>
        <v/>
      </c>
      <c r="AJ120" s="83">
        <f>IF(AI120="","",IF(VLOOKUP($B120,INDIRECT("'GRD-"&amp;AK120&amp;"'!$B:$R"),16,FALSE)="","",VLOOKUP($B120,INDIRECT("'GRD-"&amp;AK120&amp;"'!$B:$R"),16,FALSE)))</f>
        <v/>
      </c>
      <c r="AK120" s="128">
        <f t="array" ref="AK120">IF(AI120="","",IFERROR(OFFSET($BZ$11,0,MATCH($AI120,$CA120:$FV120,0),),""))</f>
        <v/>
      </c>
      <c r="AL120" s="133">
        <f t="array" ref="AL120">IF(AI120="","",INDIRECT("'GRD-"&amp;AK120&amp;"'!$L$7"))</f>
        <v/>
      </c>
      <c r="AM120" s="84">
        <f t="array" ref="AM120">IFERROR(OFFSET($BZ$11,ROW($B120)-11,MATCH(AM$10,$CA120:$FV120,0),),"")</f>
        <v/>
      </c>
      <c r="AN120" s="84">
        <f>IF(AM120="","",IF(VLOOKUP($B120,INDIRECT("'GRD-"&amp;AO120&amp;"'!$B:$R"),16,FALSE)="","",VLOOKUP($B120,INDIRECT("'GRD-"&amp;AO120&amp;"'!$B:$R"),16,FALSE)))</f>
        <v/>
      </c>
      <c r="AO120" s="129">
        <f t="array" ref="AO120">IF(AM120="","",IFERROR(OFFSET($BZ$11,0,MATCH($AM120,$CA120:$FV120,0),),""))</f>
        <v/>
      </c>
      <c r="AP120" s="134">
        <f t="array" ref="AP120">IF(AM120="","",INDIRECT("'GRD-"&amp;AO120&amp;"'!$L$7"))</f>
        <v/>
      </c>
      <c r="AQ120" s="85">
        <f t="array" ref="AQ120">IFERROR(OFFSET($BZ$11,ROW($B120)-11,MATCH(AQ$10,$CA120:$FV120,0),),"")</f>
        <v/>
      </c>
      <c r="AR120" s="85">
        <f>IF(AQ120="","",IF(VLOOKUP($B120,INDIRECT("'GRD-"&amp;AS120&amp;"'!$B:$R"),16,FALSE)="","",VLOOKUP($B120,INDIRECT("'GRD-"&amp;AS120&amp;"'!$B:$R"),16,FALSE)))</f>
        <v/>
      </c>
      <c r="AS120" s="130">
        <f t="array" ref="AS120">IF(AQ120="","",IFERROR(OFFSET($BZ$11,0,MATCH($AQ120,$CA120:$FV120,0),),""))</f>
        <v/>
      </c>
      <c r="AT120" s="131">
        <f t="array" ref="AT120">IF(AQ120="","",INDIRECT("'GRD-"&amp;AS120&amp;"'!$L$7"))</f>
        <v/>
      </c>
      <c r="AU120" s="76">
        <f t="array" ref="AU120">IFERROR(OFFSET($BZ$11,ROW($B120)-11,MATCH(AU$10,$CA120:$FV120,0),),"")</f>
        <v/>
      </c>
      <c r="AV120" s="76">
        <f>IF(AU120="","",IF(VLOOKUP($B120,INDIRECT("'GRD-"&amp;AW120&amp;"'!$B:$R"),16,FALSE)="","",VLOOKUP($B120,INDIRECT("'GRD-"&amp;AW120&amp;"'!$B:$R"),16,FALSE)))</f>
        <v/>
      </c>
      <c r="AW120" s="132">
        <f t="array" ref="AW120">IF(AU120="","",IFERROR(OFFSET($BZ$11,0,MATCH($AU120,$CA120:$FV120,0),),""))</f>
        <v/>
      </c>
      <c r="AX120" s="121">
        <f t="array" ref="AX120">IF(AU120="","",INDIRECT("'GRD-"&amp;AW120&amp;"'!$L$7"))</f>
        <v/>
      </c>
      <c r="AY120" s="83">
        <f t="array" ref="AY120">IFERROR(OFFSET($BZ$11,ROW($B120)-11,MATCH(AY$10,$CA120:$FV120,0),),"")</f>
        <v/>
      </c>
      <c r="AZ120" s="83">
        <f>IF(AY120="","",IF(VLOOKUP($B120,INDIRECT("'GRD-"&amp;BA120&amp;"'!$B:$R"),16,FALSE)="","",VLOOKUP($B120,INDIRECT("'GRD-"&amp;BA120&amp;"'!$B:$R"),16,FALSE)))</f>
        <v/>
      </c>
      <c r="BA120" s="128">
        <f t="array" ref="BA120">IF(AY120="","",IFERROR(OFFSET($BZ$11,0,MATCH($AY120,$CA120:$FV120,0),),""))</f>
        <v/>
      </c>
      <c r="BB120" s="133">
        <f t="array" ref="BB120">IF(AY120="","",INDIRECT("'GRD-"&amp;BA120&amp;"'!$L$7"))</f>
        <v/>
      </c>
      <c r="BC120" s="84">
        <f t="array" ref="BC120">IFERROR(OFFSET($BZ$11,ROW($B120)-11,MATCH(BC$10,$CA120:$FV120,0),),"")</f>
        <v/>
      </c>
      <c r="BD120" s="84">
        <f>IF(BC120="","",IF(VLOOKUP($B120,INDIRECT("'GRD-"&amp;BE120&amp;"'!$B:$R"),16,FALSE)="","",VLOOKUP($B120,INDIRECT("'GRD-"&amp;BE120&amp;"'!$B:$R"),16,FALSE)))</f>
        <v/>
      </c>
      <c r="BE120" s="129">
        <f t="array" ref="BE120">IF(BC120="","",IFERROR(OFFSET($BZ$11,0,MATCH($BC120,$CA120:$FV120,0),),""))</f>
        <v/>
      </c>
      <c r="BF120" s="134">
        <f t="array" ref="BF120">IF(BC120="","",INDIRECT("'GRD-"&amp;BE120&amp;"'!$L$7"))</f>
        <v/>
      </c>
      <c r="CA120" s="96">
        <f>IFERROR(VLOOKUP($B120,INDIRECT("'GRD-"&amp;CA$11&amp;"'!B:R"),15,FALSE),"")</f>
        <v/>
      </c>
      <c r="CB120" s="96">
        <f>IFERROR(VLOOKUP($B120,INDIRECT("'GRD-"&amp;CB$11&amp;"'!B:R"),15,FALSE),"")</f>
        <v/>
      </c>
      <c r="CC120" s="96">
        <f>IFERROR(VLOOKUP($B120,INDIRECT("'GRD-"&amp;CC$11&amp;"'!B:R"),15,FALSE),"")</f>
        <v/>
      </c>
      <c r="CD120" s="96">
        <f>IFERROR(VLOOKUP($B120,INDIRECT("'GRD-"&amp;CD$11&amp;"'!B:R"),15,FALSE),"")</f>
        <v/>
      </c>
      <c r="CE120" s="96">
        <f>IFERROR(VLOOKUP($B120,INDIRECT("'GRD-"&amp;CE$11&amp;"'!B:R"),15,FALSE),"")</f>
        <v/>
      </c>
      <c r="CF120" s="96">
        <f>IFERROR(VLOOKUP($B120,INDIRECT("'GRD-"&amp;CF$11&amp;"'!B:R"),15,FALSE),"")</f>
        <v/>
      </c>
      <c r="CG120" s="96">
        <f>IFERROR(VLOOKUP($B120,INDIRECT("'GRD-"&amp;CG$11&amp;"'!B:R"),15,FALSE),"")</f>
        <v/>
      </c>
      <c r="CH120" s="96">
        <f>IFERROR(VLOOKUP($B120,INDIRECT("'GRD-"&amp;CH$11&amp;"'!B:R"),15,FALSE),"")</f>
        <v/>
      </c>
      <c r="CI120" s="96">
        <f>IFERROR(VLOOKUP($B120,INDIRECT("'GRD-"&amp;CI$11&amp;"'!B:R"),15,FALSE),"")</f>
        <v/>
      </c>
      <c r="CJ120" s="96">
        <f>IFERROR(VLOOKUP($B120,INDIRECT("'GRD-"&amp;CJ$11&amp;"'!B:R"),15,FALSE),"")</f>
        <v/>
      </c>
      <c r="CK120" s="96">
        <f>IFERROR(VLOOKUP($B120,INDIRECT("'GRD-"&amp;CK$11&amp;"'!B:R"),15,FALSE),"")</f>
        <v/>
      </c>
      <c r="CL120" s="96">
        <f>IFERROR(VLOOKUP($B120,INDIRECT("'GRD-"&amp;CL$11&amp;"'!B:R"),15,FALSE),"")</f>
        <v/>
      </c>
      <c r="CM120" s="96">
        <f>IFERROR(VLOOKUP($B120,INDIRECT("'GRD-"&amp;CM$11&amp;"'!B:R"),15,FALSE),"")</f>
        <v/>
      </c>
      <c r="CN120" s="96">
        <f>IFERROR(VLOOKUP($B120,INDIRECT("'GRD-"&amp;CN$11&amp;"'!B:R"),15,FALSE),"")</f>
        <v/>
      </c>
      <c r="CO120" s="96">
        <f>IFERROR(VLOOKUP($B120,INDIRECT("'GRD-"&amp;CO$11&amp;"'!B:R"),15,FALSE),"")</f>
        <v/>
      </c>
      <c r="CP120" s="96">
        <f>IFERROR(VLOOKUP($B120,INDIRECT("'GRD-"&amp;CP$11&amp;"'!B:R"),15,FALSE),"")</f>
        <v/>
      </c>
      <c r="CQ120" s="96">
        <f>IFERROR(VLOOKUP($B120,INDIRECT("'GRD-"&amp;CQ$11&amp;"'!B:R"),15,FALSE),"")</f>
        <v/>
      </c>
      <c r="CR120" s="96">
        <f>IFERROR(VLOOKUP($B120,INDIRECT("'GRD-"&amp;CR$11&amp;"'!B:R"),15,FALSE),"")</f>
        <v/>
      </c>
      <c r="CS120" s="96">
        <f>IFERROR(VLOOKUP($B120,INDIRECT("'GRD-"&amp;CS$11&amp;"'!B:R"),15,FALSE),"")</f>
        <v/>
      </c>
      <c r="CT120" s="96">
        <f>IFERROR(VLOOKUP($B120,INDIRECT("'GRD-"&amp;CT$11&amp;"'!B:R"),15,FALSE),"")</f>
        <v/>
      </c>
      <c r="CU120" s="96">
        <f>IFERROR(VLOOKUP($B120,INDIRECT("'GRD-"&amp;CU$11&amp;"'!B:R"),15,FALSE),"")</f>
        <v/>
      </c>
      <c r="CV120" s="96">
        <f>IFERROR(VLOOKUP($B120,INDIRECT("'GRD-"&amp;CV$11&amp;"'!B:R"),15,FALSE),"")</f>
        <v/>
      </c>
      <c r="CW120" s="96">
        <f>IFERROR(VLOOKUP($B120,INDIRECT("'GRD-"&amp;CW$11&amp;"'!B:R"),15,FALSE),"")</f>
        <v/>
      </c>
      <c r="CX120" s="96">
        <f>IFERROR(VLOOKUP($B120,INDIRECT("'GRD-"&amp;CX$11&amp;"'!B:R"),15,FALSE),"")</f>
        <v/>
      </c>
      <c r="CY120" s="96">
        <f>IFERROR(VLOOKUP($B120,INDIRECT("'GRD-"&amp;CY$11&amp;"'!B:R"),15,FALSE),"")</f>
        <v/>
      </c>
      <c r="CZ120" s="96">
        <f>IFERROR(VLOOKUP($B120,INDIRECT("'GRD-"&amp;CZ$11&amp;"'!B:R"),15,FALSE),"")</f>
        <v/>
      </c>
      <c r="DA120" s="96">
        <f>IFERROR(VLOOKUP($B120,INDIRECT("'GRD-"&amp;DA$11&amp;"'!B:R"),15,FALSE),"")</f>
        <v/>
      </c>
      <c r="DB120" s="96">
        <f>IFERROR(VLOOKUP($B120,INDIRECT("'GRD-"&amp;DB$11&amp;"'!B:R"),15,FALSE),"")</f>
        <v/>
      </c>
      <c r="DC120" s="96">
        <f>IFERROR(VLOOKUP($B120,INDIRECT("'GRD-"&amp;DC$11&amp;"'!B:R"),15,FALSE),"")</f>
        <v/>
      </c>
      <c r="DD120" s="96">
        <f>IFERROR(VLOOKUP($B120,INDIRECT("'GRD-"&amp;DD$11&amp;"'!B:R"),15,FALSE),"")</f>
        <v/>
      </c>
      <c r="DE120" s="96">
        <f>IFERROR(VLOOKUP($B120,INDIRECT("'GRD-"&amp;DE$11&amp;"'!B:R"),15,FALSE),"")</f>
        <v/>
      </c>
      <c r="DF120" s="96">
        <f>IFERROR(VLOOKUP($B120,INDIRECT("'GRD-"&amp;DF$11&amp;"'!B:R"),15,FALSE),"")</f>
        <v/>
      </c>
      <c r="DG120" s="96">
        <f>IFERROR(VLOOKUP($B120,INDIRECT("'GRD-"&amp;DG$11&amp;"'!B:R"),15,FALSE),"")</f>
        <v/>
      </c>
      <c r="DH120" s="96">
        <f>IFERROR(VLOOKUP($B120,INDIRECT("'GRD-"&amp;DH$11&amp;"'!B:R"),15,FALSE),"")</f>
        <v/>
      </c>
      <c r="DI120" s="96">
        <f>IFERROR(VLOOKUP($B120,INDIRECT("'GRD-"&amp;DI$11&amp;"'!B:R"),15,FALSE),"")</f>
        <v/>
      </c>
      <c r="DJ120" s="96">
        <f>IFERROR(VLOOKUP($B120,INDIRECT("'GRD-"&amp;DJ$11&amp;"'!B:R"),15,FALSE),"")</f>
        <v/>
      </c>
      <c r="DK120" s="96">
        <f>IFERROR(VLOOKUP($B120,INDIRECT("'GRD-"&amp;DK$11&amp;"'!B:R"),15,FALSE),"")</f>
        <v/>
      </c>
      <c r="DL120" s="96">
        <f>IFERROR(VLOOKUP($B120,INDIRECT("'GRD-"&amp;DL$11&amp;"'!B:R"),15,FALSE),"")</f>
        <v/>
      </c>
      <c r="DM120" s="96">
        <f>IFERROR(VLOOKUP($B120,INDIRECT("'GRD-"&amp;DM$11&amp;"'!B:R"),15,FALSE),"")</f>
        <v/>
      </c>
      <c r="DN120" s="96">
        <f>IFERROR(VLOOKUP($B120,INDIRECT("'GRD-"&amp;DN$11&amp;"'!B:R"),15,FALSE),"")</f>
        <v/>
      </c>
      <c r="DO120" s="96">
        <f>IFERROR(VLOOKUP($B120,INDIRECT("'GRD-"&amp;DO$11&amp;"'!B:R"),15,FALSE),"")</f>
        <v/>
      </c>
      <c r="DP120" s="96">
        <f>IFERROR(VLOOKUP($B120,INDIRECT("'GRD-"&amp;DP$11&amp;"'!B:R"),15,FALSE),"")</f>
        <v/>
      </c>
      <c r="DQ120" s="96">
        <f>IFERROR(VLOOKUP($B120,INDIRECT("'GRD-"&amp;DQ$11&amp;"'!B:R"),15,FALSE),"")</f>
        <v/>
      </c>
      <c r="DR120" s="96">
        <f>IFERROR(VLOOKUP($B120,INDIRECT("'GRD-"&amp;DR$11&amp;"'!B:R"),15,FALSE),"")</f>
        <v/>
      </c>
      <c r="DS120" s="96">
        <f>IFERROR(VLOOKUP($B120,INDIRECT("'GRD-"&amp;DS$11&amp;"'!B:R"),15,FALSE),"")</f>
        <v/>
      </c>
      <c r="DT120" s="96">
        <f>IFERROR(VLOOKUP($B120,INDIRECT("'GRD-"&amp;DT$11&amp;"'!B:R"),15,FALSE),"")</f>
        <v/>
      </c>
      <c r="DU120" s="96">
        <f>IFERROR(VLOOKUP($B120,INDIRECT("'GRD-"&amp;DU$11&amp;"'!B:R"),15,FALSE),"")</f>
        <v/>
      </c>
      <c r="DV120" s="96">
        <f>IFERROR(VLOOKUP($B120,INDIRECT("'GRD-"&amp;DV$11&amp;"'!B:R"),15,FALSE),"")</f>
        <v/>
      </c>
      <c r="DW120" s="96">
        <f>IFERROR(VLOOKUP($B120,INDIRECT("'GRD-"&amp;DW$11&amp;"'!B:R"),15,FALSE),"")</f>
        <v/>
      </c>
      <c r="DX120" s="96">
        <f>IFERROR(VLOOKUP($B120,INDIRECT("'GRD-"&amp;DX$11&amp;"'!B:R"),15,FALSE),"")</f>
        <v/>
      </c>
      <c r="DY120" s="96">
        <f>IFERROR(VLOOKUP($B120,INDIRECT("'GRD-"&amp;DY$11&amp;"'!B:R"),15,FALSE),"")</f>
        <v/>
      </c>
      <c r="DZ120" s="96">
        <f>IFERROR(VLOOKUP($B120,INDIRECT("'GRD-"&amp;DZ$11&amp;"'!B:R"),15,FALSE),"")</f>
        <v/>
      </c>
      <c r="EA120" s="96">
        <f>IFERROR(VLOOKUP($B120,INDIRECT("'GRD-"&amp;EA$11&amp;"'!B:R"),15,FALSE),"")</f>
        <v/>
      </c>
      <c r="EB120" s="96">
        <f>IFERROR(VLOOKUP($B120,INDIRECT("'GRD-"&amp;EB$11&amp;"'!B:R"),15,FALSE),"")</f>
        <v/>
      </c>
      <c r="EC120" s="96">
        <f>IFERROR(VLOOKUP($B120,INDIRECT("'GRD-"&amp;EC$11&amp;"'!B:R"),15,FALSE),"")</f>
        <v/>
      </c>
      <c r="ED120" s="96">
        <f>IFERROR(VLOOKUP($B120,INDIRECT("'GRD-"&amp;ED$11&amp;"'!B:R"),15,FALSE),"")</f>
        <v/>
      </c>
      <c r="EE120" s="96">
        <f>IFERROR(VLOOKUP($B120,INDIRECT("'GRD-"&amp;EE$11&amp;"'!B:R"),15,FALSE),"")</f>
        <v/>
      </c>
      <c r="EF120" s="96">
        <f>IFERROR(VLOOKUP($B120,INDIRECT("'GRD-"&amp;EF$11&amp;"'!B:R"),15,FALSE),"")</f>
        <v/>
      </c>
      <c r="EG120" s="96">
        <f>IFERROR(VLOOKUP($B120,INDIRECT("'GRD-"&amp;EG$11&amp;"'!B:R"),15,FALSE),"")</f>
        <v/>
      </c>
      <c r="EH120" s="96">
        <f>IFERROR(VLOOKUP($B120,INDIRECT("'GRD-"&amp;EH$11&amp;"'!B:R"),15,FALSE),"")</f>
        <v/>
      </c>
      <c r="EI120" s="96">
        <f>IFERROR(VLOOKUP($B120,INDIRECT("'GRD-"&amp;EI$11&amp;"'!B:R"),15,FALSE),"")</f>
        <v/>
      </c>
      <c r="EJ120" s="96">
        <f>IFERROR(VLOOKUP($B120,INDIRECT("'GRD-"&amp;EJ$11&amp;"'!B:R"),15,FALSE),"")</f>
        <v/>
      </c>
      <c r="EK120" s="96">
        <f>IFERROR(VLOOKUP($B120,INDIRECT("'GRD-"&amp;EK$11&amp;"'!B:R"),15,FALSE),"")</f>
        <v/>
      </c>
      <c r="EL120" s="96">
        <f>IFERROR(VLOOKUP($B120,INDIRECT("'GRD-"&amp;EL$11&amp;"'!B:R"),15,FALSE),"")</f>
        <v/>
      </c>
      <c r="EM120" s="96">
        <f>IFERROR(VLOOKUP($B120,INDIRECT("'GRD-"&amp;EM$11&amp;"'!B:R"),15,FALSE),"")</f>
        <v/>
      </c>
      <c r="EN120" s="96">
        <f>IFERROR(VLOOKUP($B120,INDIRECT("'GRD-"&amp;EN$11&amp;"'!B:R"),15,FALSE),"")</f>
        <v/>
      </c>
      <c r="EO120" s="96">
        <f>IFERROR(VLOOKUP($B120,INDIRECT("'GRD-"&amp;EO$11&amp;"'!B:R"),15,FALSE),"")</f>
        <v/>
      </c>
      <c r="EP120" s="96">
        <f>IFERROR(VLOOKUP($B120,INDIRECT("'GRD-"&amp;EP$11&amp;"'!B:R"),15,FALSE),"")</f>
        <v/>
      </c>
      <c r="EQ120" s="96">
        <f>IFERROR(VLOOKUP($B120,INDIRECT("'GRD-"&amp;EQ$11&amp;"'!B:R"),15,FALSE),"")</f>
        <v/>
      </c>
      <c r="ER120" s="96">
        <f>IFERROR(VLOOKUP($B120,INDIRECT("'GRD-"&amp;ER$11&amp;"'!B:R"),15,FALSE),"")</f>
        <v/>
      </c>
      <c r="ES120" s="96">
        <f>IFERROR(VLOOKUP($B120,INDIRECT("'GRD-"&amp;ES$11&amp;"'!B:R"),15,FALSE),"")</f>
        <v/>
      </c>
      <c r="ET120" s="96">
        <f>IFERROR(VLOOKUP($B120,INDIRECT("'GRD-"&amp;ET$11&amp;"'!B:R"),15,FALSE),"")</f>
        <v/>
      </c>
      <c r="EU120" s="96">
        <f>IFERROR(VLOOKUP($B120,INDIRECT("'GRD-"&amp;EU$11&amp;"'!B:R"),15,FALSE),"")</f>
        <v/>
      </c>
      <c r="EV120" s="96">
        <f>IFERROR(VLOOKUP($B120,INDIRECT("'GRD-"&amp;EV$11&amp;"'!B:R"),15,FALSE),"")</f>
        <v/>
      </c>
      <c r="EW120" s="96">
        <f>IFERROR(VLOOKUP($B120,INDIRECT("'GRD-"&amp;EW$11&amp;"'!B:R"),15,FALSE),"")</f>
        <v/>
      </c>
      <c r="EX120" s="96">
        <f>IFERROR(VLOOKUP($B120,INDIRECT("'GRD-"&amp;EX$11&amp;"'!B:R"),15,FALSE),"")</f>
        <v/>
      </c>
      <c r="EY120" s="96">
        <f>IFERROR(VLOOKUP($B120,INDIRECT("'GRD-"&amp;EY$11&amp;"'!B:R"),15,FALSE),"")</f>
        <v/>
      </c>
      <c r="EZ120" s="96">
        <f>IFERROR(VLOOKUP($B120,INDIRECT("'GRD-"&amp;EZ$11&amp;"'!B:R"),15,FALSE),"")</f>
        <v/>
      </c>
      <c r="FA120" s="96">
        <f>IFERROR(VLOOKUP($B120,INDIRECT("'GRD-"&amp;FA$11&amp;"'!B:R"),15,FALSE),"")</f>
        <v/>
      </c>
      <c r="FB120" s="96">
        <f>IFERROR(VLOOKUP($B120,INDIRECT("'GRD-"&amp;FB$11&amp;"'!B:R"),15,FALSE),"")</f>
        <v/>
      </c>
      <c r="FC120" s="96">
        <f>IFERROR(VLOOKUP($B120,INDIRECT("'GRD-"&amp;FC$11&amp;"'!B:R"),15,FALSE),"")</f>
        <v/>
      </c>
      <c r="FD120" s="96">
        <f>IFERROR(VLOOKUP($B120,INDIRECT("'GRD-"&amp;FD$11&amp;"'!B:R"),15,FALSE),"")</f>
        <v/>
      </c>
      <c r="FE120" s="96">
        <f>IFERROR(VLOOKUP($B120,INDIRECT("'GRD-"&amp;FE$11&amp;"'!B:R"),15,FALSE),"")</f>
        <v/>
      </c>
      <c r="FF120" s="96">
        <f>IFERROR(VLOOKUP($B120,INDIRECT("'GRD-"&amp;FF$11&amp;"'!B:R"),15,FALSE),"")</f>
        <v/>
      </c>
      <c r="FG120" s="96">
        <f>IFERROR(VLOOKUP($B120,INDIRECT("'GRD-"&amp;FG$11&amp;"'!B:R"),15,FALSE),"")</f>
        <v/>
      </c>
      <c r="FH120" s="96">
        <f>IFERROR(VLOOKUP($B120,INDIRECT("'GRD-"&amp;FH$11&amp;"'!B:R"),15,FALSE),"")</f>
        <v/>
      </c>
      <c r="FI120" s="96">
        <f>IFERROR(VLOOKUP($B120,INDIRECT("'GRD-"&amp;FI$11&amp;"'!B:R"),15,FALSE),"")</f>
        <v/>
      </c>
      <c r="FJ120" s="96">
        <f>IFERROR(VLOOKUP($B120,INDIRECT("'GRD-"&amp;FJ$11&amp;"'!B:R"),15,FALSE),"")</f>
        <v/>
      </c>
      <c r="FK120" s="96">
        <f>IFERROR(VLOOKUP($B120,INDIRECT("'GRD-"&amp;FK$11&amp;"'!B:R"),15,FALSE),"")</f>
        <v/>
      </c>
      <c r="FL120" s="96">
        <f>IFERROR(VLOOKUP($B120,INDIRECT("'GRD-"&amp;FL$11&amp;"'!B:R"),15,FALSE),"")</f>
        <v/>
      </c>
      <c r="FM120" s="96">
        <f>IFERROR(VLOOKUP($B120,INDIRECT("'GRD-"&amp;FM$11&amp;"'!B:R"),15,FALSE),"")</f>
        <v/>
      </c>
      <c r="FN120" s="96">
        <f>IFERROR(VLOOKUP($B120,INDIRECT("'GRD-"&amp;FN$11&amp;"'!B:R"),15,FALSE),"")</f>
        <v/>
      </c>
      <c r="FO120" s="96">
        <f>IFERROR(VLOOKUP($B120,INDIRECT("'GRD-"&amp;FO$11&amp;"'!B:R"),15,FALSE),"")</f>
        <v/>
      </c>
      <c r="FP120" s="96">
        <f>IFERROR(VLOOKUP($B120,INDIRECT("'GRD-"&amp;FP$11&amp;"'!B:R"),15,FALSE),"")</f>
        <v/>
      </c>
      <c r="FQ120" s="96">
        <f>IFERROR(VLOOKUP($B120,INDIRECT("'GRD-"&amp;FQ$11&amp;"'!B:R"),15,FALSE),"")</f>
        <v/>
      </c>
      <c r="FR120" s="96">
        <f>IFERROR(VLOOKUP($B120,INDIRECT("'GRD-"&amp;FR$11&amp;"'!B:R"),15,FALSE),"")</f>
        <v/>
      </c>
      <c r="FS120" s="96">
        <f>IFERROR(VLOOKUP($B120,INDIRECT("'GRD-"&amp;FS$11&amp;"'!B:R"),15,FALSE),"")</f>
        <v/>
      </c>
      <c r="FT120" s="96">
        <f>IFERROR(VLOOKUP($B120,INDIRECT("'GRD-"&amp;FT$11&amp;"'!B:R"),15,FALSE),"")</f>
        <v/>
      </c>
      <c r="FU120" s="96">
        <f>IFERROR(VLOOKUP($B120,INDIRECT("'GRD-"&amp;FU$11&amp;"'!B:R"),15,FALSE),"")</f>
        <v/>
      </c>
      <c r="FV120" s="96">
        <f>IFERROR(VLOOKUP($B120,INDIRECT("'GRD-"&amp;FV$11&amp;"'!B:R"),15,FALSE),"")</f>
        <v/>
      </c>
    </row>
    <row r="121">
      <c r="B121" s="85" t="n"/>
      <c r="C121" s="93" t="n"/>
      <c r="D121" s="73">
        <f>IF(K121="","",MAX($CA121:$FV121))</f>
        <v/>
      </c>
      <c r="E121" s="74">
        <f t="array" ref="E121">IF($K121="","",OFFSET($A$1,ROW($B121)-1,11+$D121*4,))</f>
        <v/>
      </c>
      <c r="F121" s="74">
        <f t="array" ref="F121">IF($K121="","",OFFSET($A$1,ROW($B121)-1,12+$D121*4,))</f>
        <v/>
      </c>
      <c r="G121" s="118">
        <f t="array" ref="G121">IF($K121="","",OFFSET($A$1,ROW($B121)-1,13+$D121*4,))</f>
        <v/>
      </c>
      <c r="H121" s="81" t="n"/>
      <c r="I121" s="82" t="n"/>
      <c r="J121" s="75">
        <f>IF(I121="A4",H121/8,IF(I121="A3",H121/4,IF(I121="A2",H121/2,IF(I121="A1",H121/1,IF(I121="A0",H121*2,"")))))</f>
        <v/>
      </c>
      <c r="K121" s="68">
        <f t="array" ref="K121">IFERROR(OFFSET($BZ$11,ROW($B121)-11,MATCH(K$10,$CA121:$FV121,0),),"")</f>
        <v/>
      </c>
      <c r="L121" s="85">
        <f>IF(K121="","",IF(VLOOKUP($B121,INDIRECT("'GRD-"&amp;M121&amp;"'!$B:$R"),16,FALSE)="","",VLOOKUP($B121,INDIRECT("'GRD-"&amp;M121&amp;"'!$B:$R"),16,FALSE)))</f>
        <v/>
      </c>
      <c r="M121" s="130">
        <f t="array" ref="M121">IF(K121="","",IFERROR(OFFSET($BZ$11,0,MATCH($K121,$CA121:$FV121,0),),""))</f>
        <v/>
      </c>
      <c r="N121" s="119">
        <f t="array" ref="N121">IF(K121="","",INDIRECT("'GRD-"&amp;M121&amp;"'!$L$7"))</f>
        <v/>
      </c>
      <c r="O121" s="76">
        <f t="array" ref="O121">IFERROR(OFFSET($BZ$11,ROW($B121)-11,MATCH(O$10,$CA121:$FV121,0),),"")</f>
        <v/>
      </c>
      <c r="P121" s="76">
        <f>IF(O121="","",IF(VLOOKUP($B121,INDIRECT("'GRD-"&amp;Q121&amp;"'!$B:$R"),16,FALSE)="","",VLOOKUP($B121,INDIRECT("'GRD-"&amp;Q121&amp;"'!$B:$R"),16,FALSE)))</f>
        <v/>
      </c>
      <c r="Q121" s="132">
        <f t="array" ref="Q121">IF(O121="","",IFERROR(OFFSET($BZ$11,0,MATCH($O121,$CA121:$FV121,0),),""))</f>
        <v/>
      </c>
      <c r="R121" s="121">
        <f t="array" ref="R121">IF(O121="","",INDIRECT("'GRD-"&amp;Q121&amp;"'!$L$7"))</f>
        <v/>
      </c>
      <c r="S121" s="83">
        <f t="array" ref="S121">IFERROR(OFFSET($BZ$11,ROW($B121)-11,MATCH(S$10,$CA121:$FV121,0),),"")</f>
        <v/>
      </c>
      <c r="T121" s="83">
        <f>IF(S121="","",IF(VLOOKUP($B121,INDIRECT("'GRD-"&amp;U121&amp;"'!$B:$R"),16,FALSE)="","",VLOOKUP($B121,INDIRECT("'GRD-"&amp;U121&amp;"'!$B:$R"),16,FALSE)))</f>
        <v/>
      </c>
      <c r="U121" s="128">
        <f t="array" ref="U121">IF(S121="","",IFERROR(OFFSET($BZ$11,0,MATCH($S121,$CA121:$FV121,0),),""))</f>
        <v/>
      </c>
      <c r="V121" s="133">
        <f t="array" ref="V121">IF(S121="","",INDIRECT("'GRD-"&amp;U121&amp;"'!$L$7"))</f>
        <v/>
      </c>
      <c r="W121" s="84">
        <f t="array" ref="W121">IFERROR(OFFSET($BZ$11,ROW($B121)-11,MATCH(W$10,$CA121:$FV121,0),),"")</f>
        <v/>
      </c>
      <c r="X121" s="84">
        <f>IF(W121="","",IF(VLOOKUP($B121,INDIRECT("'GRD-"&amp;Y121&amp;"'!$B:$R"),16,FALSE)="","",VLOOKUP($B121,INDIRECT("'GRD-"&amp;Y121&amp;"'!$B:$R"),16,FALSE)))</f>
        <v/>
      </c>
      <c r="Y121" s="129">
        <f t="array" ref="Y121">IF(W121="","",IFERROR(OFFSET($BZ$11,0,MATCH($W121,$CA121:$FV121,0),),""))</f>
        <v/>
      </c>
      <c r="Z121" s="134">
        <f t="array" ref="Z121">IF(W121="","",INDIRECT("'GRD-"&amp;Y121&amp;"'!$L$7"))</f>
        <v/>
      </c>
      <c r="AA121" s="85">
        <f t="array" ref="AA121">IFERROR(OFFSET($BZ$11,ROW($B121)-11,MATCH(AA$10,$CA121:$FV121,0),),"")</f>
        <v/>
      </c>
      <c r="AB121" s="85">
        <f>IF(AA121="","",IF(VLOOKUP($B121,INDIRECT("'GRD-"&amp;AC121&amp;"'!$B:$R"),16,FALSE)="","",VLOOKUP($B121,INDIRECT("'GRD-"&amp;AC121&amp;"'!$B:$R"),16,FALSE)))</f>
        <v/>
      </c>
      <c r="AC121" s="130">
        <f t="array" ref="AC121">IF(AA121="","",IFERROR(OFFSET($BZ$11,0,MATCH($AA121,$CA121:$FV121,0),),""))</f>
        <v/>
      </c>
      <c r="AD121" s="131">
        <f t="array" ref="AD121">IF(AA121="","",INDIRECT("'GRD-"&amp;AC121&amp;"'!$L$7"))</f>
        <v/>
      </c>
      <c r="AE121" s="76">
        <f t="array" ref="AE121">IFERROR(OFFSET($BZ$11,ROW($B121)-11,MATCH(AE$10,$CA121:$FV121,0),),"")</f>
        <v/>
      </c>
      <c r="AF121" s="76">
        <f>IF(AE121="","",IF(VLOOKUP($B121,INDIRECT("'GRD-"&amp;AG121&amp;"'!$B:$R"),16,FALSE)="","",VLOOKUP($B121,INDIRECT("'GRD-"&amp;AG121&amp;"'!$B:$R"),16,FALSE)))</f>
        <v/>
      </c>
      <c r="AG121" s="132">
        <f t="array" ref="AG121">IF(AE121="","",IFERROR(OFFSET($BZ$11,0,MATCH($AE121,$CA121:$FV121,0),),""))</f>
        <v/>
      </c>
      <c r="AH121" s="121">
        <f t="array" ref="AH121">IF(AE121="","",INDIRECT("'GRD-"&amp;AG121&amp;"'!$L$7"))</f>
        <v/>
      </c>
      <c r="AI121" s="83">
        <f t="array" ref="AI121">IFERROR(OFFSET($BZ$11,ROW($B121)-11,MATCH(AI$10,$CA121:$FV121,0),),"")</f>
        <v/>
      </c>
      <c r="AJ121" s="83">
        <f>IF(AI121="","",IF(VLOOKUP($B121,INDIRECT("'GRD-"&amp;AK121&amp;"'!$B:$R"),16,FALSE)="","",VLOOKUP($B121,INDIRECT("'GRD-"&amp;AK121&amp;"'!$B:$R"),16,FALSE)))</f>
        <v/>
      </c>
      <c r="AK121" s="128">
        <f t="array" ref="AK121">IF(AI121="","",IFERROR(OFFSET($BZ$11,0,MATCH($AI121,$CA121:$FV121,0),),""))</f>
        <v/>
      </c>
      <c r="AL121" s="133">
        <f t="array" ref="AL121">IF(AI121="","",INDIRECT("'GRD-"&amp;AK121&amp;"'!$L$7"))</f>
        <v/>
      </c>
      <c r="AM121" s="84">
        <f t="array" ref="AM121">IFERROR(OFFSET($BZ$11,ROW($B121)-11,MATCH(AM$10,$CA121:$FV121,0),),"")</f>
        <v/>
      </c>
      <c r="AN121" s="84">
        <f>IF(AM121="","",IF(VLOOKUP($B121,INDIRECT("'GRD-"&amp;AO121&amp;"'!$B:$R"),16,FALSE)="","",VLOOKUP($B121,INDIRECT("'GRD-"&amp;AO121&amp;"'!$B:$R"),16,FALSE)))</f>
        <v/>
      </c>
      <c r="AO121" s="129">
        <f t="array" ref="AO121">IF(AM121="","",IFERROR(OFFSET($BZ$11,0,MATCH($AM121,$CA121:$FV121,0),),""))</f>
        <v/>
      </c>
      <c r="AP121" s="134">
        <f t="array" ref="AP121">IF(AM121="","",INDIRECT("'GRD-"&amp;AO121&amp;"'!$L$7"))</f>
        <v/>
      </c>
      <c r="AQ121" s="85">
        <f t="array" ref="AQ121">IFERROR(OFFSET($BZ$11,ROW($B121)-11,MATCH(AQ$10,$CA121:$FV121,0),),"")</f>
        <v/>
      </c>
      <c r="AR121" s="85">
        <f>IF(AQ121="","",IF(VLOOKUP($B121,INDIRECT("'GRD-"&amp;AS121&amp;"'!$B:$R"),16,FALSE)="","",VLOOKUP($B121,INDIRECT("'GRD-"&amp;AS121&amp;"'!$B:$R"),16,FALSE)))</f>
        <v/>
      </c>
      <c r="AS121" s="130">
        <f t="array" ref="AS121">IF(AQ121="","",IFERROR(OFFSET($BZ$11,0,MATCH($AQ121,$CA121:$FV121,0),),""))</f>
        <v/>
      </c>
      <c r="AT121" s="131">
        <f t="array" ref="AT121">IF(AQ121="","",INDIRECT("'GRD-"&amp;AS121&amp;"'!$L$7"))</f>
        <v/>
      </c>
      <c r="AU121" s="76">
        <f t="array" ref="AU121">IFERROR(OFFSET($BZ$11,ROW($B121)-11,MATCH(AU$10,$CA121:$FV121,0),),"")</f>
        <v/>
      </c>
      <c r="AV121" s="76">
        <f>IF(AU121="","",IF(VLOOKUP($B121,INDIRECT("'GRD-"&amp;AW121&amp;"'!$B:$R"),16,FALSE)="","",VLOOKUP($B121,INDIRECT("'GRD-"&amp;AW121&amp;"'!$B:$R"),16,FALSE)))</f>
        <v/>
      </c>
      <c r="AW121" s="132">
        <f t="array" ref="AW121">IF(AU121="","",IFERROR(OFFSET($BZ$11,0,MATCH($AU121,$CA121:$FV121,0),),""))</f>
        <v/>
      </c>
      <c r="AX121" s="121">
        <f t="array" ref="AX121">IF(AU121="","",INDIRECT("'GRD-"&amp;AW121&amp;"'!$L$7"))</f>
        <v/>
      </c>
      <c r="AY121" s="83">
        <f t="array" ref="AY121">IFERROR(OFFSET($BZ$11,ROW($B121)-11,MATCH(AY$10,$CA121:$FV121,0),),"")</f>
        <v/>
      </c>
      <c r="AZ121" s="83">
        <f>IF(AY121="","",IF(VLOOKUP($B121,INDIRECT("'GRD-"&amp;BA121&amp;"'!$B:$R"),16,FALSE)="","",VLOOKUP($B121,INDIRECT("'GRD-"&amp;BA121&amp;"'!$B:$R"),16,FALSE)))</f>
        <v/>
      </c>
      <c r="BA121" s="128">
        <f t="array" ref="BA121">IF(AY121="","",IFERROR(OFFSET($BZ$11,0,MATCH($AY121,$CA121:$FV121,0),),""))</f>
        <v/>
      </c>
      <c r="BB121" s="133">
        <f t="array" ref="BB121">IF(AY121="","",INDIRECT("'GRD-"&amp;BA121&amp;"'!$L$7"))</f>
        <v/>
      </c>
      <c r="BC121" s="84">
        <f t="array" ref="BC121">IFERROR(OFFSET($BZ$11,ROW($B121)-11,MATCH(BC$10,$CA121:$FV121,0),),"")</f>
        <v/>
      </c>
      <c r="BD121" s="84">
        <f>IF(BC121="","",IF(VLOOKUP($B121,INDIRECT("'GRD-"&amp;BE121&amp;"'!$B:$R"),16,FALSE)="","",VLOOKUP($B121,INDIRECT("'GRD-"&amp;BE121&amp;"'!$B:$R"),16,FALSE)))</f>
        <v/>
      </c>
      <c r="BE121" s="129">
        <f t="array" ref="BE121">IF(BC121="","",IFERROR(OFFSET($BZ$11,0,MATCH($BC121,$CA121:$FV121,0),),""))</f>
        <v/>
      </c>
      <c r="BF121" s="134">
        <f t="array" ref="BF121">IF(BC121="","",INDIRECT("'GRD-"&amp;BE121&amp;"'!$L$7"))</f>
        <v/>
      </c>
      <c r="CA121" s="96">
        <f>IFERROR(VLOOKUP($B121,INDIRECT("'GRD-"&amp;CA$11&amp;"'!B:R"),15,FALSE),"")</f>
        <v/>
      </c>
      <c r="CB121" s="96">
        <f>IFERROR(VLOOKUP($B121,INDIRECT("'GRD-"&amp;CB$11&amp;"'!B:R"),15,FALSE),"")</f>
        <v/>
      </c>
      <c r="CC121" s="96">
        <f>IFERROR(VLOOKUP($B121,INDIRECT("'GRD-"&amp;CC$11&amp;"'!B:R"),15,FALSE),"")</f>
        <v/>
      </c>
      <c r="CD121" s="96">
        <f>IFERROR(VLOOKUP($B121,INDIRECT("'GRD-"&amp;CD$11&amp;"'!B:R"),15,FALSE),"")</f>
        <v/>
      </c>
      <c r="CE121" s="96">
        <f>IFERROR(VLOOKUP($B121,INDIRECT("'GRD-"&amp;CE$11&amp;"'!B:R"),15,FALSE),"")</f>
        <v/>
      </c>
      <c r="CF121" s="96">
        <f>IFERROR(VLOOKUP($B121,INDIRECT("'GRD-"&amp;CF$11&amp;"'!B:R"),15,FALSE),"")</f>
        <v/>
      </c>
      <c r="CG121" s="96">
        <f>IFERROR(VLOOKUP($B121,INDIRECT("'GRD-"&amp;CG$11&amp;"'!B:R"),15,FALSE),"")</f>
        <v/>
      </c>
      <c r="CH121" s="96">
        <f>IFERROR(VLOOKUP($B121,INDIRECT("'GRD-"&amp;CH$11&amp;"'!B:R"),15,FALSE),"")</f>
        <v/>
      </c>
      <c r="CI121" s="96">
        <f>IFERROR(VLOOKUP($B121,INDIRECT("'GRD-"&amp;CI$11&amp;"'!B:R"),15,FALSE),"")</f>
        <v/>
      </c>
      <c r="CJ121" s="96">
        <f>IFERROR(VLOOKUP($B121,INDIRECT("'GRD-"&amp;CJ$11&amp;"'!B:R"),15,FALSE),"")</f>
        <v/>
      </c>
      <c r="CK121" s="96">
        <f>IFERROR(VLOOKUP($B121,INDIRECT("'GRD-"&amp;CK$11&amp;"'!B:R"),15,FALSE),"")</f>
        <v/>
      </c>
      <c r="CL121" s="96">
        <f>IFERROR(VLOOKUP($B121,INDIRECT("'GRD-"&amp;CL$11&amp;"'!B:R"),15,FALSE),"")</f>
        <v/>
      </c>
      <c r="CM121" s="96">
        <f>IFERROR(VLOOKUP($B121,INDIRECT("'GRD-"&amp;CM$11&amp;"'!B:R"),15,FALSE),"")</f>
        <v/>
      </c>
      <c r="CN121" s="96">
        <f>IFERROR(VLOOKUP($B121,INDIRECT("'GRD-"&amp;CN$11&amp;"'!B:R"),15,FALSE),"")</f>
        <v/>
      </c>
      <c r="CO121" s="96">
        <f>IFERROR(VLOOKUP($B121,INDIRECT("'GRD-"&amp;CO$11&amp;"'!B:R"),15,FALSE),"")</f>
        <v/>
      </c>
      <c r="CP121" s="96">
        <f>IFERROR(VLOOKUP($B121,INDIRECT("'GRD-"&amp;CP$11&amp;"'!B:R"),15,FALSE),"")</f>
        <v/>
      </c>
      <c r="CQ121" s="96">
        <f>IFERROR(VLOOKUP($B121,INDIRECT("'GRD-"&amp;CQ$11&amp;"'!B:R"),15,FALSE),"")</f>
        <v/>
      </c>
      <c r="CR121" s="96">
        <f>IFERROR(VLOOKUP($B121,INDIRECT("'GRD-"&amp;CR$11&amp;"'!B:R"),15,FALSE),"")</f>
        <v/>
      </c>
      <c r="CS121" s="96">
        <f>IFERROR(VLOOKUP($B121,INDIRECT("'GRD-"&amp;CS$11&amp;"'!B:R"),15,FALSE),"")</f>
        <v/>
      </c>
      <c r="CT121" s="96">
        <f>IFERROR(VLOOKUP($B121,INDIRECT("'GRD-"&amp;CT$11&amp;"'!B:R"),15,FALSE),"")</f>
        <v/>
      </c>
      <c r="CU121" s="96">
        <f>IFERROR(VLOOKUP($B121,INDIRECT("'GRD-"&amp;CU$11&amp;"'!B:R"),15,FALSE),"")</f>
        <v/>
      </c>
      <c r="CV121" s="96">
        <f>IFERROR(VLOOKUP($B121,INDIRECT("'GRD-"&amp;CV$11&amp;"'!B:R"),15,FALSE),"")</f>
        <v/>
      </c>
      <c r="CW121" s="96">
        <f>IFERROR(VLOOKUP($B121,INDIRECT("'GRD-"&amp;CW$11&amp;"'!B:R"),15,FALSE),"")</f>
        <v/>
      </c>
      <c r="CX121" s="96">
        <f>IFERROR(VLOOKUP($B121,INDIRECT("'GRD-"&amp;CX$11&amp;"'!B:R"),15,FALSE),"")</f>
        <v/>
      </c>
      <c r="CY121" s="96">
        <f>IFERROR(VLOOKUP($B121,INDIRECT("'GRD-"&amp;CY$11&amp;"'!B:R"),15,FALSE),"")</f>
        <v/>
      </c>
      <c r="CZ121" s="96">
        <f>IFERROR(VLOOKUP($B121,INDIRECT("'GRD-"&amp;CZ$11&amp;"'!B:R"),15,FALSE),"")</f>
        <v/>
      </c>
      <c r="DA121" s="96">
        <f>IFERROR(VLOOKUP($B121,INDIRECT("'GRD-"&amp;DA$11&amp;"'!B:R"),15,FALSE),"")</f>
        <v/>
      </c>
      <c r="DB121" s="96">
        <f>IFERROR(VLOOKUP($B121,INDIRECT("'GRD-"&amp;DB$11&amp;"'!B:R"),15,FALSE),"")</f>
        <v/>
      </c>
      <c r="DC121" s="96">
        <f>IFERROR(VLOOKUP($B121,INDIRECT("'GRD-"&amp;DC$11&amp;"'!B:R"),15,FALSE),"")</f>
        <v/>
      </c>
      <c r="DD121" s="96">
        <f>IFERROR(VLOOKUP($B121,INDIRECT("'GRD-"&amp;DD$11&amp;"'!B:R"),15,FALSE),"")</f>
        <v/>
      </c>
      <c r="DE121" s="96">
        <f>IFERROR(VLOOKUP($B121,INDIRECT("'GRD-"&amp;DE$11&amp;"'!B:R"),15,FALSE),"")</f>
        <v/>
      </c>
      <c r="DF121" s="96">
        <f>IFERROR(VLOOKUP($B121,INDIRECT("'GRD-"&amp;DF$11&amp;"'!B:R"),15,FALSE),"")</f>
        <v/>
      </c>
      <c r="DG121" s="96">
        <f>IFERROR(VLOOKUP($B121,INDIRECT("'GRD-"&amp;DG$11&amp;"'!B:R"),15,FALSE),"")</f>
        <v/>
      </c>
      <c r="DH121" s="96">
        <f>IFERROR(VLOOKUP($B121,INDIRECT("'GRD-"&amp;DH$11&amp;"'!B:R"),15,FALSE),"")</f>
        <v/>
      </c>
      <c r="DI121" s="96">
        <f>IFERROR(VLOOKUP($B121,INDIRECT("'GRD-"&amp;DI$11&amp;"'!B:R"),15,FALSE),"")</f>
        <v/>
      </c>
      <c r="DJ121" s="96">
        <f>IFERROR(VLOOKUP($B121,INDIRECT("'GRD-"&amp;DJ$11&amp;"'!B:R"),15,FALSE),"")</f>
        <v/>
      </c>
      <c r="DK121" s="96">
        <f>IFERROR(VLOOKUP($B121,INDIRECT("'GRD-"&amp;DK$11&amp;"'!B:R"),15,FALSE),"")</f>
        <v/>
      </c>
      <c r="DL121" s="96">
        <f>IFERROR(VLOOKUP($B121,INDIRECT("'GRD-"&amp;DL$11&amp;"'!B:R"),15,FALSE),"")</f>
        <v/>
      </c>
      <c r="DM121" s="96">
        <f>IFERROR(VLOOKUP($B121,INDIRECT("'GRD-"&amp;DM$11&amp;"'!B:R"),15,FALSE),"")</f>
        <v/>
      </c>
      <c r="DN121" s="96">
        <f>IFERROR(VLOOKUP($B121,INDIRECT("'GRD-"&amp;DN$11&amp;"'!B:R"),15,FALSE),"")</f>
        <v/>
      </c>
      <c r="DO121" s="96">
        <f>IFERROR(VLOOKUP($B121,INDIRECT("'GRD-"&amp;DO$11&amp;"'!B:R"),15,FALSE),"")</f>
        <v/>
      </c>
      <c r="DP121" s="96">
        <f>IFERROR(VLOOKUP($B121,INDIRECT("'GRD-"&amp;DP$11&amp;"'!B:R"),15,FALSE),"")</f>
        <v/>
      </c>
      <c r="DQ121" s="96">
        <f>IFERROR(VLOOKUP($B121,INDIRECT("'GRD-"&amp;DQ$11&amp;"'!B:R"),15,FALSE),"")</f>
        <v/>
      </c>
      <c r="DR121" s="96">
        <f>IFERROR(VLOOKUP($B121,INDIRECT("'GRD-"&amp;DR$11&amp;"'!B:R"),15,FALSE),"")</f>
        <v/>
      </c>
      <c r="DS121" s="96">
        <f>IFERROR(VLOOKUP($B121,INDIRECT("'GRD-"&amp;DS$11&amp;"'!B:R"),15,FALSE),"")</f>
        <v/>
      </c>
      <c r="DT121" s="96">
        <f>IFERROR(VLOOKUP($B121,INDIRECT("'GRD-"&amp;DT$11&amp;"'!B:R"),15,FALSE),"")</f>
        <v/>
      </c>
      <c r="DU121" s="96">
        <f>IFERROR(VLOOKUP($B121,INDIRECT("'GRD-"&amp;DU$11&amp;"'!B:R"),15,FALSE),"")</f>
        <v/>
      </c>
      <c r="DV121" s="96">
        <f>IFERROR(VLOOKUP($B121,INDIRECT("'GRD-"&amp;DV$11&amp;"'!B:R"),15,FALSE),"")</f>
        <v/>
      </c>
      <c r="DW121" s="96">
        <f>IFERROR(VLOOKUP($B121,INDIRECT("'GRD-"&amp;DW$11&amp;"'!B:R"),15,FALSE),"")</f>
        <v/>
      </c>
      <c r="DX121" s="96">
        <f>IFERROR(VLOOKUP($B121,INDIRECT("'GRD-"&amp;DX$11&amp;"'!B:R"),15,FALSE),"")</f>
        <v/>
      </c>
      <c r="DY121" s="96">
        <f>IFERROR(VLOOKUP($B121,INDIRECT("'GRD-"&amp;DY$11&amp;"'!B:R"),15,FALSE),"")</f>
        <v/>
      </c>
      <c r="DZ121" s="96">
        <f>IFERROR(VLOOKUP($B121,INDIRECT("'GRD-"&amp;DZ$11&amp;"'!B:R"),15,FALSE),"")</f>
        <v/>
      </c>
      <c r="EA121" s="96">
        <f>IFERROR(VLOOKUP($B121,INDIRECT("'GRD-"&amp;EA$11&amp;"'!B:R"),15,FALSE),"")</f>
        <v/>
      </c>
      <c r="EB121" s="96">
        <f>IFERROR(VLOOKUP($B121,INDIRECT("'GRD-"&amp;EB$11&amp;"'!B:R"),15,FALSE),"")</f>
        <v/>
      </c>
      <c r="EC121" s="96">
        <f>IFERROR(VLOOKUP($B121,INDIRECT("'GRD-"&amp;EC$11&amp;"'!B:R"),15,FALSE),"")</f>
        <v/>
      </c>
      <c r="ED121" s="96">
        <f>IFERROR(VLOOKUP($B121,INDIRECT("'GRD-"&amp;ED$11&amp;"'!B:R"),15,FALSE),"")</f>
        <v/>
      </c>
      <c r="EE121" s="96">
        <f>IFERROR(VLOOKUP($B121,INDIRECT("'GRD-"&amp;EE$11&amp;"'!B:R"),15,FALSE),"")</f>
        <v/>
      </c>
      <c r="EF121" s="96">
        <f>IFERROR(VLOOKUP($B121,INDIRECT("'GRD-"&amp;EF$11&amp;"'!B:R"),15,FALSE),"")</f>
        <v/>
      </c>
      <c r="EG121" s="96">
        <f>IFERROR(VLOOKUP($B121,INDIRECT("'GRD-"&amp;EG$11&amp;"'!B:R"),15,FALSE),"")</f>
        <v/>
      </c>
      <c r="EH121" s="96">
        <f>IFERROR(VLOOKUP($B121,INDIRECT("'GRD-"&amp;EH$11&amp;"'!B:R"),15,FALSE),"")</f>
        <v/>
      </c>
      <c r="EI121" s="96">
        <f>IFERROR(VLOOKUP($B121,INDIRECT("'GRD-"&amp;EI$11&amp;"'!B:R"),15,FALSE),"")</f>
        <v/>
      </c>
      <c r="EJ121" s="96">
        <f>IFERROR(VLOOKUP($B121,INDIRECT("'GRD-"&amp;EJ$11&amp;"'!B:R"),15,FALSE),"")</f>
        <v/>
      </c>
      <c r="EK121" s="96">
        <f>IFERROR(VLOOKUP($B121,INDIRECT("'GRD-"&amp;EK$11&amp;"'!B:R"),15,FALSE),"")</f>
        <v/>
      </c>
      <c r="EL121" s="96">
        <f>IFERROR(VLOOKUP($B121,INDIRECT("'GRD-"&amp;EL$11&amp;"'!B:R"),15,FALSE),"")</f>
        <v/>
      </c>
      <c r="EM121" s="96">
        <f>IFERROR(VLOOKUP($B121,INDIRECT("'GRD-"&amp;EM$11&amp;"'!B:R"),15,FALSE),"")</f>
        <v/>
      </c>
      <c r="EN121" s="96">
        <f>IFERROR(VLOOKUP($B121,INDIRECT("'GRD-"&amp;EN$11&amp;"'!B:R"),15,FALSE),"")</f>
        <v/>
      </c>
      <c r="EO121" s="96">
        <f>IFERROR(VLOOKUP($B121,INDIRECT("'GRD-"&amp;EO$11&amp;"'!B:R"),15,FALSE),"")</f>
        <v/>
      </c>
      <c r="EP121" s="96">
        <f>IFERROR(VLOOKUP($B121,INDIRECT("'GRD-"&amp;EP$11&amp;"'!B:R"),15,FALSE),"")</f>
        <v/>
      </c>
      <c r="EQ121" s="96">
        <f>IFERROR(VLOOKUP($B121,INDIRECT("'GRD-"&amp;EQ$11&amp;"'!B:R"),15,FALSE),"")</f>
        <v/>
      </c>
      <c r="ER121" s="96">
        <f>IFERROR(VLOOKUP($B121,INDIRECT("'GRD-"&amp;ER$11&amp;"'!B:R"),15,FALSE),"")</f>
        <v/>
      </c>
      <c r="ES121" s="96">
        <f>IFERROR(VLOOKUP($B121,INDIRECT("'GRD-"&amp;ES$11&amp;"'!B:R"),15,FALSE),"")</f>
        <v/>
      </c>
      <c r="ET121" s="96">
        <f>IFERROR(VLOOKUP($B121,INDIRECT("'GRD-"&amp;ET$11&amp;"'!B:R"),15,FALSE),"")</f>
        <v/>
      </c>
      <c r="EU121" s="96">
        <f>IFERROR(VLOOKUP($B121,INDIRECT("'GRD-"&amp;EU$11&amp;"'!B:R"),15,FALSE),"")</f>
        <v/>
      </c>
      <c r="EV121" s="96">
        <f>IFERROR(VLOOKUP($B121,INDIRECT("'GRD-"&amp;EV$11&amp;"'!B:R"),15,FALSE),"")</f>
        <v/>
      </c>
      <c r="EW121" s="96">
        <f>IFERROR(VLOOKUP($B121,INDIRECT("'GRD-"&amp;EW$11&amp;"'!B:R"),15,FALSE),"")</f>
        <v/>
      </c>
      <c r="EX121" s="96">
        <f>IFERROR(VLOOKUP($B121,INDIRECT("'GRD-"&amp;EX$11&amp;"'!B:R"),15,FALSE),"")</f>
        <v/>
      </c>
      <c r="EY121" s="96">
        <f>IFERROR(VLOOKUP($B121,INDIRECT("'GRD-"&amp;EY$11&amp;"'!B:R"),15,FALSE),"")</f>
        <v/>
      </c>
      <c r="EZ121" s="96">
        <f>IFERROR(VLOOKUP($B121,INDIRECT("'GRD-"&amp;EZ$11&amp;"'!B:R"),15,FALSE),"")</f>
        <v/>
      </c>
      <c r="FA121" s="96">
        <f>IFERROR(VLOOKUP($B121,INDIRECT("'GRD-"&amp;FA$11&amp;"'!B:R"),15,FALSE),"")</f>
        <v/>
      </c>
      <c r="FB121" s="96">
        <f>IFERROR(VLOOKUP($B121,INDIRECT("'GRD-"&amp;FB$11&amp;"'!B:R"),15,FALSE),"")</f>
        <v/>
      </c>
      <c r="FC121" s="96">
        <f>IFERROR(VLOOKUP($B121,INDIRECT("'GRD-"&amp;FC$11&amp;"'!B:R"),15,FALSE),"")</f>
        <v/>
      </c>
      <c r="FD121" s="96">
        <f>IFERROR(VLOOKUP($B121,INDIRECT("'GRD-"&amp;FD$11&amp;"'!B:R"),15,FALSE),"")</f>
        <v/>
      </c>
      <c r="FE121" s="96">
        <f>IFERROR(VLOOKUP($B121,INDIRECT("'GRD-"&amp;FE$11&amp;"'!B:R"),15,FALSE),"")</f>
        <v/>
      </c>
      <c r="FF121" s="96">
        <f>IFERROR(VLOOKUP($B121,INDIRECT("'GRD-"&amp;FF$11&amp;"'!B:R"),15,FALSE),"")</f>
        <v/>
      </c>
      <c r="FG121" s="96">
        <f>IFERROR(VLOOKUP($B121,INDIRECT("'GRD-"&amp;FG$11&amp;"'!B:R"),15,FALSE),"")</f>
        <v/>
      </c>
      <c r="FH121" s="96">
        <f>IFERROR(VLOOKUP($B121,INDIRECT("'GRD-"&amp;FH$11&amp;"'!B:R"),15,FALSE),"")</f>
        <v/>
      </c>
      <c r="FI121" s="96">
        <f>IFERROR(VLOOKUP($B121,INDIRECT("'GRD-"&amp;FI$11&amp;"'!B:R"),15,FALSE),"")</f>
        <v/>
      </c>
      <c r="FJ121" s="96">
        <f>IFERROR(VLOOKUP($B121,INDIRECT("'GRD-"&amp;FJ$11&amp;"'!B:R"),15,FALSE),"")</f>
        <v/>
      </c>
      <c r="FK121" s="96">
        <f>IFERROR(VLOOKUP($B121,INDIRECT("'GRD-"&amp;FK$11&amp;"'!B:R"),15,FALSE),"")</f>
        <v/>
      </c>
      <c r="FL121" s="96">
        <f>IFERROR(VLOOKUP($B121,INDIRECT("'GRD-"&amp;FL$11&amp;"'!B:R"),15,FALSE),"")</f>
        <v/>
      </c>
      <c r="FM121" s="96">
        <f>IFERROR(VLOOKUP($B121,INDIRECT("'GRD-"&amp;FM$11&amp;"'!B:R"),15,FALSE),"")</f>
        <v/>
      </c>
      <c r="FN121" s="96">
        <f>IFERROR(VLOOKUP($B121,INDIRECT("'GRD-"&amp;FN$11&amp;"'!B:R"),15,FALSE),"")</f>
        <v/>
      </c>
      <c r="FO121" s="96">
        <f>IFERROR(VLOOKUP($B121,INDIRECT("'GRD-"&amp;FO$11&amp;"'!B:R"),15,FALSE),"")</f>
        <v/>
      </c>
      <c r="FP121" s="96">
        <f>IFERROR(VLOOKUP($B121,INDIRECT("'GRD-"&amp;FP$11&amp;"'!B:R"),15,FALSE),"")</f>
        <v/>
      </c>
      <c r="FQ121" s="96">
        <f>IFERROR(VLOOKUP($B121,INDIRECT("'GRD-"&amp;FQ$11&amp;"'!B:R"),15,FALSE),"")</f>
        <v/>
      </c>
      <c r="FR121" s="96">
        <f>IFERROR(VLOOKUP($B121,INDIRECT("'GRD-"&amp;FR$11&amp;"'!B:R"),15,FALSE),"")</f>
        <v/>
      </c>
      <c r="FS121" s="96">
        <f>IFERROR(VLOOKUP($B121,INDIRECT("'GRD-"&amp;FS$11&amp;"'!B:R"),15,FALSE),"")</f>
        <v/>
      </c>
      <c r="FT121" s="96">
        <f>IFERROR(VLOOKUP($B121,INDIRECT("'GRD-"&amp;FT$11&amp;"'!B:R"),15,FALSE),"")</f>
        <v/>
      </c>
      <c r="FU121" s="96">
        <f>IFERROR(VLOOKUP($B121,INDIRECT("'GRD-"&amp;FU$11&amp;"'!B:R"),15,FALSE),"")</f>
        <v/>
      </c>
      <c r="FV121" s="96">
        <f>IFERROR(VLOOKUP($B121,INDIRECT("'GRD-"&amp;FV$11&amp;"'!B:R"),15,FALSE),"")</f>
        <v/>
      </c>
    </row>
    <row r="122">
      <c r="B122" s="85" t="n"/>
      <c r="C122" s="93" t="n"/>
      <c r="D122" s="73">
        <f>IF(K122="","",MAX($CA122:$FV122))</f>
        <v/>
      </c>
      <c r="E122" s="74">
        <f t="array" ref="E122">IF($K122="","",OFFSET($A$1,ROW($B122)-1,11+$D122*4,))</f>
        <v/>
      </c>
      <c r="F122" s="74">
        <f t="array" ref="F122">IF($K122="","",OFFSET($A$1,ROW($B122)-1,12+$D122*4,))</f>
        <v/>
      </c>
      <c r="G122" s="118">
        <f t="array" ref="G122">IF($K122="","",OFFSET($A$1,ROW($B122)-1,13+$D122*4,))</f>
        <v/>
      </c>
      <c r="H122" s="81" t="n"/>
      <c r="I122" s="82" t="n"/>
      <c r="J122" s="75">
        <f>IF(I122="A4",H122/8,IF(I122="A3",H122/4,IF(I122="A2",H122/2,IF(I122="A1",H122/1,IF(I122="A0",H122*2,"")))))</f>
        <v/>
      </c>
      <c r="K122" s="68">
        <f t="array" ref="K122">IFERROR(OFFSET($BZ$11,ROW($B122)-11,MATCH(K$10,$CA122:$FV122,0),),"")</f>
        <v/>
      </c>
      <c r="L122" s="85">
        <f>IF(K122="","",IF(VLOOKUP($B122,INDIRECT("'GRD-"&amp;M122&amp;"'!$B:$R"),16,FALSE)="","",VLOOKUP($B122,INDIRECT("'GRD-"&amp;M122&amp;"'!$B:$R"),16,FALSE)))</f>
        <v/>
      </c>
      <c r="M122" s="130">
        <f t="array" ref="M122">IF(K122="","",IFERROR(OFFSET($BZ$11,0,MATCH($K122,$CA122:$FV122,0),),""))</f>
        <v/>
      </c>
      <c r="N122" s="119">
        <f t="array" ref="N122">IF(K122="","",INDIRECT("'GRD-"&amp;M122&amp;"'!$L$7"))</f>
        <v/>
      </c>
      <c r="O122" s="76">
        <f t="array" ref="O122">IFERROR(OFFSET($BZ$11,ROW($B122)-11,MATCH(O$10,$CA122:$FV122,0),),"")</f>
        <v/>
      </c>
      <c r="P122" s="76">
        <f>IF(O122="","",IF(VLOOKUP($B122,INDIRECT("'GRD-"&amp;Q122&amp;"'!$B:$R"),16,FALSE)="","",VLOOKUP($B122,INDIRECT("'GRD-"&amp;Q122&amp;"'!$B:$R"),16,FALSE)))</f>
        <v/>
      </c>
      <c r="Q122" s="132">
        <f t="array" ref="Q122">IF(O122="","",IFERROR(OFFSET($BZ$11,0,MATCH($O122,$CA122:$FV122,0),),""))</f>
        <v/>
      </c>
      <c r="R122" s="121">
        <f t="array" ref="R122">IF(O122="","",INDIRECT("'GRD-"&amp;Q122&amp;"'!$L$7"))</f>
        <v/>
      </c>
      <c r="S122" s="83">
        <f t="array" ref="S122">IFERROR(OFFSET($BZ$11,ROW($B122)-11,MATCH(S$10,$CA122:$FV122,0),),"")</f>
        <v/>
      </c>
      <c r="T122" s="83">
        <f>IF(S122="","",IF(VLOOKUP($B122,INDIRECT("'GRD-"&amp;U122&amp;"'!$B:$R"),16,FALSE)="","",VLOOKUP($B122,INDIRECT("'GRD-"&amp;U122&amp;"'!$B:$R"),16,FALSE)))</f>
        <v/>
      </c>
      <c r="U122" s="128">
        <f t="array" ref="U122">IF(S122="","",IFERROR(OFFSET($BZ$11,0,MATCH($S122,$CA122:$FV122,0),),""))</f>
        <v/>
      </c>
      <c r="V122" s="133">
        <f t="array" ref="V122">IF(S122="","",INDIRECT("'GRD-"&amp;U122&amp;"'!$L$7"))</f>
        <v/>
      </c>
      <c r="W122" s="84">
        <f t="array" ref="W122">IFERROR(OFFSET($BZ$11,ROW($B122)-11,MATCH(W$10,$CA122:$FV122,0),),"")</f>
        <v/>
      </c>
      <c r="X122" s="84">
        <f>IF(W122="","",IF(VLOOKUP($B122,INDIRECT("'GRD-"&amp;Y122&amp;"'!$B:$R"),16,FALSE)="","",VLOOKUP($B122,INDIRECT("'GRD-"&amp;Y122&amp;"'!$B:$R"),16,FALSE)))</f>
        <v/>
      </c>
      <c r="Y122" s="129">
        <f t="array" ref="Y122">IF(W122="","",IFERROR(OFFSET($BZ$11,0,MATCH($W122,$CA122:$FV122,0),),""))</f>
        <v/>
      </c>
      <c r="Z122" s="134">
        <f t="array" ref="Z122">IF(W122="","",INDIRECT("'GRD-"&amp;Y122&amp;"'!$L$7"))</f>
        <v/>
      </c>
      <c r="AA122" s="85">
        <f t="array" ref="AA122">IFERROR(OFFSET($BZ$11,ROW($B122)-11,MATCH(AA$10,$CA122:$FV122,0),),"")</f>
        <v/>
      </c>
      <c r="AB122" s="85">
        <f>IF(AA122="","",IF(VLOOKUP($B122,INDIRECT("'GRD-"&amp;AC122&amp;"'!$B:$R"),16,FALSE)="","",VLOOKUP($B122,INDIRECT("'GRD-"&amp;AC122&amp;"'!$B:$R"),16,FALSE)))</f>
        <v/>
      </c>
      <c r="AC122" s="130">
        <f t="array" ref="AC122">IF(AA122="","",IFERROR(OFFSET($BZ$11,0,MATCH($AA122,$CA122:$FV122,0),),""))</f>
        <v/>
      </c>
      <c r="AD122" s="131">
        <f t="array" ref="AD122">IF(AA122="","",INDIRECT("'GRD-"&amp;AC122&amp;"'!$L$7"))</f>
        <v/>
      </c>
      <c r="AE122" s="76">
        <f t="array" ref="AE122">IFERROR(OFFSET($BZ$11,ROW($B122)-11,MATCH(AE$10,$CA122:$FV122,0),),"")</f>
        <v/>
      </c>
      <c r="AF122" s="76">
        <f>IF(AE122="","",IF(VLOOKUP($B122,INDIRECT("'GRD-"&amp;AG122&amp;"'!$B:$R"),16,FALSE)="","",VLOOKUP($B122,INDIRECT("'GRD-"&amp;AG122&amp;"'!$B:$R"),16,FALSE)))</f>
        <v/>
      </c>
      <c r="AG122" s="132">
        <f t="array" ref="AG122">IF(AE122="","",IFERROR(OFFSET($BZ$11,0,MATCH($AE122,$CA122:$FV122,0),),""))</f>
        <v/>
      </c>
      <c r="AH122" s="121">
        <f t="array" ref="AH122">IF(AE122="","",INDIRECT("'GRD-"&amp;AG122&amp;"'!$L$7"))</f>
        <v/>
      </c>
      <c r="AI122" s="83">
        <f t="array" ref="AI122">IFERROR(OFFSET($BZ$11,ROW($B122)-11,MATCH(AI$10,$CA122:$FV122,0),),"")</f>
        <v/>
      </c>
      <c r="AJ122" s="83">
        <f>IF(AI122="","",IF(VLOOKUP($B122,INDIRECT("'GRD-"&amp;AK122&amp;"'!$B:$R"),16,FALSE)="","",VLOOKUP($B122,INDIRECT("'GRD-"&amp;AK122&amp;"'!$B:$R"),16,FALSE)))</f>
        <v/>
      </c>
      <c r="AK122" s="128">
        <f t="array" ref="AK122">IF(AI122="","",IFERROR(OFFSET($BZ$11,0,MATCH($AI122,$CA122:$FV122,0),),""))</f>
        <v/>
      </c>
      <c r="AL122" s="133">
        <f t="array" ref="AL122">IF(AI122="","",INDIRECT("'GRD-"&amp;AK122&amp;"'!$L$7"))</f>
        <v/>
      </c>
      <c r="AM122" s="84">
        <f t="array" ref="AM122">IFERROR(OFFSET($BZ$11,ROW($B122)-11,MATCH(AM$10,$CA122:$FV122,0),),"")</f>
        <v/>
      </c>
      <c r="AN122" s="84">
        <f>IF(AM122="","",IF(VLOOKUP($B122,INDIRECT("'GRD-"&amp;AO122&amp;"'!$B:$R"),16,FALSE)="","",VLOOKUP($B122,INDIRECT("'GRD-"&amp;AO122&amp;"'!$B:$R"),16,FALSE)))</f>
        <v/>
      </c>
      <c r="AO122" s="129">
        <f t="array" ref="AO122">IF(AM122="","",IFERROR(OFFSET($BZ$11,0,MATCH($AM122,$CA122:$FV122,0),),""))</f>
        <v/>
      </c>
      <c r="AP122" s="134">
        <f t="array" ref="AP122">IF(AM122="","",INDIRECT("'GRD-"&amp;AO122&amp;"'!$L$7"))</f>
        <v/>
      </c>
      <c r="AQ122" s="85">
        <f t="array" ref="AQ122">IFERROR(OFFSET($BZ$11,ROW($B122)-11,MATCH(AQ$10,$CA122:$FV122,0),),"")</f>
        <v/>
      </c>
      <c r="AR122" s="85">
        <f>IF(AQ122="","",IF(VLOOKUP($B122,INDIRECT("'GRD-"&amp;AS122&amp;"'!$B:$R"),16,FALSE)="","",VLOOKUP($B122,INDIRECT("'GRD-"&amp;AS122&amp;"'!$B:$R"),16,FALSE)))</f>
        <v/>
      </c>
      <c r="AS122" s="130">
        <f t="array" ref="AS122">IF(AQ122="","",IFERROR(OFFSET($BZ$11,0,MATCH($AQ122,$CA122:$FV122,0),),""))</f>
        <v/>
      </c>
      <c r="AT122" s="131">
        <f t="array" ref="AT122">IF(AQ122="","",INDIRECT("'GRD-"&amp;AS122&amp;"'!$L$7"))</f>
        <v/>
      </c>
      <c r="AU122" s="76">
        <f t="array" ref="AU122">IFERROR(OFFSET($BZ$11,ROW($B122)-11,MATCH(AU$10,$CA122:$FV122,0),),"")</f>
        <v/>
      </c>
      <c r="AV122" s="76">
        <f>IF(AU122="","",IF(VLOOKUP($B122,INDIRECT("'GRD-"&amp;AW122&amp;"'!$B:$R"),16,FALSE)="","",VLOOKUP($B122,INDIRECT("'GRD-"&amp;AW122&amp;"'!$B:$R"),16,FALSE)))</f>
        <v/>
      </c>
      <c r="AW122" s="132">
        <f t="array" ref="AW122">IF(AU122="","",IFERROR(OFFSET($BZ$11,0,MATCH($AU122,$CA122:$FV122,0),),""))</f>
        <v/>
      </c>
      <c r="AX122" s="121">
        <f t="array" ref="AX122">IF(AU122="","",INDIRECT("'GRD-"&amp;AW122&amp;"'!$L$7"))</f>
        <v/>
      </c>
      <c r="AY122" s="83">
        <f t="array" ref="AY122">IFERROR(OFFSET($BZ$11,ROW($B122)-11,MATCH(AY$10,$CA122:$FV122,0),),"")</f>
        <v/>
      </c>
      <c r="AZ122" s="83">
        <f>IF(AY122="","",IF(VLOOKUP($B122,INDIRECT("'GRD-"&amp;BA122&amp;"'!$B:$R"),16,FALSE)="","",VLOOKUP($B122,INDIRECT("'GRD-"&amp;BA122&amp;"'!$B:$R"),16,FALSE)))</f>
        <v/>
      </c>
      <c r="BA122" s="128">
        <f t="array" ref="BA122">IF(AY122="","",IFERROR(OFFSET($BZ$11,0,MATCH($AY122,$CA122:$FV122,0),),""))</f>
        <v/>
      </c>
      <c r="BB122" s="133">
        <f t="array" ref="BB122">IF(AY122="","",INDIRECT("'GRD-"&amp;BA122&amp;"'!$L$7"))</f>
        <v/>
      </c>
      <c r="BC122" s="84">
        <f t="array" ref="BC122">IFERROR(OFFSET($BZ$11,ROW($B122)-11,MATCH(BC$10,$CA122:$FV122,0),),"")</f>
        <v/>
      </c>
      <c r="BD122" s="84">
        <f>IF(BC122="","",IF(VLOOKUP($B122,INDIRECT("'GRD-"&amp;BE122&amp;"'!$B:$R"),16,FALSE)="","",VLOOKUP($B122,INDIRECT("'GRD-"&amp;BE122&amp;"'!$B:$R"),16,FALSE)))</f>
        <v/>
      </c>
      <c r="BE122" s="129">
        <f t="array" ref="BE122">IF(BC122="","",IFERROR(OFFSET($BZ$11,0,MATCH($BC122,$CA122:$FV122,0),),""))</f>
        <v/>
      </c>
      <c r="BF122" s="134">
        <f t="array" ref="BF122">IF(BC122="","",INDIRECT("'GRD-"&amp;BE122&amp;"'!$L$7"))</f>
        <v/>
      </c>
      <c r="CA122" s="96">
        <f>IFERROR(VLOOKUP($B122,INDIRECT("'GRD-"&amp;CA$11&amp;"'!B:R"),15,FALSE),"")</f>
        <v/>
      </c>
      <c r="CB122" s="96">
        <f>IFERROR(VLOOKUP($B122,INDIRECT("'GRD-"&amp;CB$11&amp;"'!B:R"),15,FALSE),"")</f>
        <v/>
      </c>
      <c r="CC122" s="96">
        <f>IFERROR(VLOOKUP($B122,INDIRECT("'GRD-"&amp;CC$11&amp;"'!B:R"),15,FALSE),"")</f>
        <v/>
      </c>
      <c r="CD122" s="96">
        <f>IFERROR(VLOOKUP($B122,INDIRECT("'GRD-"&amp;CD$11&amp;"'!B:R"),15,FALSE),"")</f>
        <v/>
      </c>
      <c r="CE122" s="96">
        <f>IFERROR(VLOOKUP($B122,INDIRECT("'GRD-"&amp;CE$11&amp;"'!B:R"),15,FALSE),"")</f>
        <v/>
      </c>
      <c r="CF122" s="96">
        <f>IFERROR(VLOOKUP($B122,INDIRECT("'GRD-"&amp;CF$11&amp;"'!B:R"),15,FALSE),"")</f>
        <v/>
      </c>
      <c r="CG122" s="96">
        <f>IFERROR(VLOOKUP($B122,INDIRECT("'GRD-"&amp;CG$11&amp;"'!B:R"),15,FALSE),"")</f>
        <v/>
      </c>
      <c r="CH122" s="96">
        <f>IFERROR(VLOOKUP($B122,INDIRECT("'GRD-"&amp;CH$11&amp;"'!B:R"),15,FALSE),"")</f>
        <v/>
      </c>
      <c r="CI122" s="96">
        <f>IFERROR(VLOOKUP($B122,INDIRECT("'GRD-"&amp;CI$11&amp;"'!B:R"),15,FALSE),"")</f>
        <v/>
      </c>
      <c r="CJ122" s="96">
        <f>IFERROR(VLOOKUP($B122,INDIRECT("'GRD-"&amp;CJ$11&amp;"'!B:R"),15,FALSE),"")</f>
        <v/>
      </c>
      <c r="CK122" s="96">
        <f>IFERROR(VLOOKUP($B122,INDIRECT("'GRD-"&amp;CK$11&amp;"'!B:R"),15,FALSE),"")</f>
        <v/>
      </c>
      <c r="CL122" s="96">
        <f>IFERROR(VLOOKUP($B122,INDIRECT("'GRD-"&amp;CL$11&amp;"'!B:R"),15,FALSE),"")</f>
        <v/>
      </c>
      <c r="CM122" s="96">
        <f>IFERROR(VLOOKUP($B122,INDIRECT("'GRD-"&amp;CM$11&amp;"'!B:R"),15,FALSE),"")</f>
        <v/>
      </c>
      <c r="CN122" s="96">
        <f>IFERROR(VLOOKUP($B122,INDIRECT("'GRD-"&amp;CN$11&amp;"'!B:R"),15,FALSE),"")</f>
        <v/>
      </c>
      <c r="CO122" s="96">
        <f>IFERROR(VLOOKUP($B122,INDIRECT("'GRD-"&amp;CO$11&amp;"'!B:R"),15,FALSE),"")</f>
        <v/>
      </c>
      <c r="CP122" s="96">
        <f>IFERROR(VLOOKUP($B122,INDIRECT("'GRD-"&amp;CP$11&amp;"'!B:R"),15,FALSE),"")</f>
        <v/>
      </c>
      <c r="CQ122" s="96">
        <f>IFERROR(VLOOKUP($B122,INDIRECT("'GRD-"&amp;CQ$11&amp;"'!B:R"),15,FALSE),"")</f>
        <v/>
      </c>
      <c r="CR122" s="96">
        <f>IFERROR(VLOOKUP($B122,INDIRECT("'GRD-"&amp;CR$11&amp;"'!B:R"),15,FALSE),"")</f>
        <v/>
      </c>
      <c r="CS122" s="96">
        <f>IFERROR(VLOOKUP($B122,INDIRECT("'GRD-"&amp;CS$11&amp;"'!B:R"),15,FALSE),"")</f>
        <v/>
      </c>
      <c r="CT122" s="96">
        <f>IFERROR(VLOOKUP($B122,INDIRECT("'GRD-"&amp;CT$11&amp;"'!B:R"),15,FALSE),"")</f>
        <v/>
      </c>
      <c r="CU122" s="96">
        <f>IFERROR(VLOOKUP($B122,INDIRECT("'GRD-"&amp;CU$11&amp;"'!B:R"),15,FALSE),"")</f>
        <v/>
      </c>
      <c r="CV122" s="96">
        <f>IFERROR(VLOOKUP($B122,INDIRECT("'GRD-"&amp;CV$11&amp;"'!B:R"),15,FALSE),"")</f>
        <v/>
      </c>
      <c r="CW122" s="96">
        <f>IFERROR(VLOOKUP($B122,INDIRECT("'GRD-"&amp;CW$11&amp;"'!B:R"),15,FALSE),"")</f>
        <v/>
      </c>
      <c r="CX122" s="96">
        <f>IFERROR(VLOOKUP($B122,INDIRECT("'GRD-"&amp;CX$11&amp;"'!B:R"),15,FALSE),"")</f>
        <v/>
      </c>
      <c r="CY122" s="96">
        <f>IFERROR(VLOOKUP($B122,INDIRECT("'GRD-"&amp;CY$11&amp;"'!B:R"),15,FALSE),"")</f>
        <v/>
      </c>
      <c r="CZ122" s="96">
        <f>IFERROR(VLOOKUP($B122,INDIRECT("'GRD-"&amp;CZ$11&amp;"'!B:R"),15,FALSE),"")</f>
        <v/>
      </c>
      <c r="DA122" s="96">
        <f>IFERROR(VLOOKUP($B122,INDIRECT("'GRD-"&amp;DA$11&amp;"'!B:R"),15,FALSE),"")</f>
        <v/>
      </c>
      <c r="DB122" s="96">
        <f>IFERROR(VLOOKUP($B122,INDIRECT("'GRD-"&amp;DB$11&amp;"'!B:R"),15,FALSE),"")</f>
        <v/>
      </c>
      <c r="DC122" s="96">
        <f>IFERROR(VLOOKUP($B122,INDIRECT("'GRD-"&amp;DC$11&amp;"'!B:R"),15,FALSE),"")</f>
        <v/>
      </c>
      <c r="DD122" s="96">
        <f>IFERROR(VLOOKUP($B122,INDIRECT("'GRD-"&amp;DD$11&amp;"'!B:R"),15,FALSE),"")</f>
        <v/>
      </c>
      <c r="DE122" s="96">
        <f>IFERROR(VLOOKUP($B122,INDIRECT("'GRD-"&amp;DE$11&amp;"'!B:R"),15,FALSE),"")</f>
        <v/>
      </c>
      <c r="DF122" s="96">
        <f>IFERROR(VLOOKUP($B122,INDIRECT("'GRD-"&amp;DF$11&amp;"'!B:R"),15,FALSE),"")</f>
        <v/>
      </c>
      <c r="DG122" s="96">
        <f>IFERROR(VLOOKUP($B122,INDIRECT("'GRD-"&amp;DG$11&amp;"'!B:R"),15,FALSE),"")</f>
        <v/>
      </c>
      <c r="DH122" s="96">
        <f>IFERROR(VLOOKUP($B122,INDIRECT("'GRD-"&amp;DH$11&amp;"'!B:R"),15,FALSE),"")</f>
        <v/>
      </c>
      <c r="DI122" s="96">
        <f>IFERROR(VLOOKUP($B122,INDIRECT("'GRD-"&amp;DI$11&amp;"'!B:R"),15,FALSE),"")</f>
        <v/>
      </c>
      <c r="DJ122" s="96">
        <f>IFERROR(VLOOKUP($B122,INDIRECT("'GRD-"&amp;DJ$11&amp;"'!B:R"),15,FALSE),"")</f>
        <v/>
      </c>
      <c r="DK122" s="96">
        <f>IFERROR(VLOOKUP($B122,INDIRECT("'GRD-"&amp;DK$11&amp;"'!B:R"),15,FALSE),"")</f>
        <v/>
      </c>
      <c r="DL122" s="96">
        <f>IFERROR(VLOOKUP($B122,INDIRECT("'GRD-"&amp;DL$11&amp;"'!B:R"),15,FALSE),"")</f>
        <v/>
      </c>
      <c r="DM122" s="96">
        <f>IFERROR(VLOOKUP($B122,INDIRECT("'GRD-"&amp;DM$11&amp;"'!B:R"),15,FALSE),"")</f>
        <v/>
      </c>
      <c r="DN122" s="96">
        <f>IFERROR(VLOOKUP($B122,INDIRECT("'GRD-"&amp;DN$11&amp;"'!B:R"),15,FALSE),"")</f>
        <v/>
      </c>
      <c r="DO122" s="96">
        <f>IFERROR(VLOOKUP($B122,INDIRECT("'GRD-"&amp;DO$11&amp;"'!B:R"),15,FALSE),"")</f>
        <v/>
      </c>
      <c r="DP122" s="96">
        <f>IFERROR(VLOOKUP($B122,INDIRECT("'GRD-"&amp;DP$11&amp;"'!B:R"),15,FALSE),"")</f>
        <v/>
      </c>
      <c r="DQ122" s="96">
        <f>IFERROR(VLOOKUP($B122,INDIRECT("'GRD-"&amp;DQ$11&amp;"'!B:R"),15,FALSE),"")</f>
        <v/>
      </c>
      <c r="DR122" s="96">
        <f>IFERROR(VLOOKUP($B122,INDIRECT("'GRD-"&amp;DR$11&amp;"'!B:R"),15,FALSE),"")</f>
        <v/>
      </c>
      <c r="DS122" s="96">
        <f>IFERROR(VLOOKUP($B122,INDIRECT("'GRD-"&amp;DS$11&amp;"'!B:R"),15,FALSE),"")</f>
        <v/>
      </c>
      <c r="DT122" s="96">
        <f>IFERROR(VLOOKUP($B122,INDIRECT("'GRD-"&amp;DT$11&amp;"'!B:R"),15,FALSE),"")</f>
        <v/>
      </c>
      <c r="DU122" s="96">
        <f>IFERROR(VLOOKUP($B122,INDIRECT("'GRD-"&amp;DU$11&amp;"'!B:R"),15,FALSE),"")</f>
        <v/>
      </c>
      <c r="DV122" s="96">
        <f>IFERROR(VLOOKUP($B122,INDIRECT("'GRD-"&amp;DV$11&amp;"'!B:R"),15,FALSE),"")</f>
        <v/>
      </c>
      <c r="DW122" s="96">
        <f>IFERROR(VLOOKUP($B122,INDIRECT("'GRD-"&amp;DW$11&amp;"'!B:R"),15,FALSE),"")</f>
        <v/>
      </c>
      <c r="DX122" s="96">
        <f>IFERROR(VLOOKUP($B122,INDIRECT("'GRD-"&amp;DX$11&amp;"'!B:R"),15,FALSE),"")</f>
        <v/>
      </c>
      <c r="DY122" s="96">
        <f>IFERROR(VLOOKUP($B122,INDIRECT("'GRD-"&amp;DY$11&amp;"'!B:R"),15,FALSE),"")</f>
        <v/>
      </c>
      <c r="DZ122" s="96">
        <f>IFERROR(VLOOKUP($B122,INDIRECT("'GRD-"&amp;DZ$11&amp;"'!B:R"),15,FALSE),"")</f>
        <v/>
      </c>
      <c r="EA122" s="96">
        <f>IFERROR(VLOOKUP($B122,INDIRECT("'GRD-"&amp;EA$11&amp;"'!B:R"),15,FALSE),"")</f>
        <v/>
      </c>
      <c r="EB122" s="96">
        <f>IFERROR(VLOOKUP($B122,INDIRECT("'GRD-"&amp;EB$11&amp;"'!B:R"),15,FALSE),"")</f>
        <v/>
      </c>
      <c r="EC122" s="96">
        <f>IFERROR(VLOOKUP($B122,INDIRECT("'GRD-"&amp;EC$11&amp;"'!B:R"),15,FALSE),"")</f>
        <v/>
      </c>
      <c r="ED122" s="96">
        <f>IFERROR(VLOOKUP($B122,INDIRECT("'GRD-"&amp;ED$11&amp;"'!B:R"),15,FALSE),"")</f>
        <v/>
      </c>
      <c r="EE122" s="96">
        <f>IFERROR(VLOOKUP($B122,INDIRECT("'GRD-"&amp;EE$11&amp;"'!B:R"),15,FALSE),"")</f>
        <v/>
      </c>
      <c r="EF122" s="96">
        <f>IFERROR(VLOOKUP($B122,INDIRECT("'GRD-"&amp;EF$11&amp;"'!B:R"),15,FALSE),"")</f>
        <v/>
      </c>
      <c r="EG122" s="96">
        <f>IFERROR(VLOOKUP($B122,INDIRECT("'GRD-"&amp;EG$11&amp;"'!B:R"),15,FALSE),"")</f>
        <v/>
      </c>
      <c r="EH122" s="96">
        <f>IFERROR(VLOOKUP($B122,INDIRECT("'GRD-"&amp;EH$11&amp;"'!B:R"),15,FALSE),"")</f>
        <v/>
      </c>
      <c r="EI122" s="96">
        <f>IFERROR(VLOOKUP($B122,INDIRECT("'GRD-"&amp;EI$11&amp;"'!B:R"),15,FALSE),"")</f>
        <v/>
      </c>
      <c r="EJ122" s="96">
        <f>IFERROR(VLOOKUP($B122,INDIRECT("'GRD-"&amp;EJ$11&amp;"'!B:R"),15,FALSE),"")</f>
        <v/>
      </c>
      <c r="EK122" s="96">
        <f>IFERROR(VLOOKUP($B122,INDIRECT("'GRD-"&amp;EK$11&amp;"'!B:R"),15,FALSE),"")</f>
        <v/>
      </c>
      <c r="EL122" s="96">
        <f>IFERROR(VLOOKUP($B122,INDIRECT("'GRD-"&amp;EL$11&amp;"'!B:R"),15,FALSE),"")</f>
        <v/>
      </c>
      <c r="EM122" s="96">
        <f>IFERROR(VLOOKUP($B122,INDIRECT("'GRD-"&amp;EM$11&amp;"'!B:R"),15,FALSE),"")</f>
        <v/>
      </c>
      <c r="EN122" s="96">
        <f>IFERROR(VLOOKUP($B122,INDIRECT("'GRD-"&amp;EN$11&amp;"'!B:R"),15,FALSE),"")</f>
        <v/>
      </c>
      <c r="EO122" s="96">
        <f>IFERROR(VLOOKUP($B122,INDIRECT("'GRD-"&amp;EO$11&amp;"'!B:R"),15,FALSE),"")</f>
        <v/>
      </c>
      <c r="EP122" s="96">
        <f>IFERROR(VLOOKUP($B122,INDIRECT("'GRD-"&amp;EP$11&amp;"'!B:R"),15,FALSE),"")</f>
        <v/>
      </c>
      <c r="EQ122" s="96">
        <f>IFERROR(VLOOKUP($B122,INDIRECT("'GRD-"&amp;EQ$11&amp;"'!B:R"),15,FALSE),"")</f>
        <v/>
      </c>
      <c r="ER122" s="96">
        <f>IFERROR(VLOOKUP($B122,INDIRECT("'GRD-"&amp;ER$11&amp;"'!B:R"),15,FALSE),"")</f>
        <v/>
      </c>
      <c r="ES122" s="96">
        <f>IFERROR(VLOOKUP($B122,INDIRECT("'GRD-"&amp;ES$11&amp;"'!B:R"),15,FALSE),"")</f>
        <v/>
      </c>
      <c r="ET122" s="96">
        <f>IFERROR(VLOOKUP($B122,INDIRECT("'GRD-"&amp;ET$11&amp;"'!B:R"),15,FALSE),"")</f>
        <v/>
      </c>
      <c r="EU122" s="96">
        <f>IFERROR(VLOOKUP($B122,INDIRECT("'GRD-"&amp;EU$11&amp;"'!B:R"),15,FALSE),"")</f>
        <v/>
      </c>
      <c r="EV122" s="96">
        <f>IFERROR(VLOOKUP($B122,INDIRECT("'GRD-"&amp;EV$11&amp;"'!B:R"),15,FALSE),"")</f>
        <v/>
      </c>
      <c r="EW122" s="96">
        <f>IFERROR(VLOOKUP($B122,INDIRECT("'GRD-"&amp;EW$11&amp;"'!B:R"),15,FALSE),"")</f>
        <v/>
      </c>
      <c r="EX122" s="96">
        <f>IFERROR(VLOOKUP($B122,INDIRECT("'GRD-"&amp;EX$11&amp;"'!B:R"),15,FALSE),"")</f>
        <v/>
      </c>
      <c r="EY122" s="96">
        <f>IFERROR(VLOOKUP($B122,INDIRECT("'GRD-"&amp;EY$11&amp;"'!B:R"),15,FALSE),"")</f>
        <v/>
      </c>
      <c r="EZ122" s="96">
        <f>IFERROR(VLOOKUP($B122,INDIRECT("'GRD-"&amp;EZ$11&amp;"'!B:R"),15,FALSE),"")</f>
        <v/>
      </c>
      <c r="FA122" s="96">
        <f>IFERROR(VLOOKUP($B122,INDIRECT("'GRD-"&amp;FA$11&amp;"'!B:R"),15,FALSE),"")</f>
        <v/>
      </c>
      <c r="FB122" s="96">
        <f>IFERROR(VLOOKUP($B122,INDIRECT("'GRD-"&amp;FB$11&amp;"'!B:R"),15,FALSE),"")</f>
        <v/>
      </c>
      <c r="FC122" s="96">
        <f>IFERROR(VLOOKUP($B122,INDIRECT("'GRD-"&amp;FC$11&amp;"'!B:R"),15,FALSE),"")</f>
        <v/>
      </c>
      <c r="FD122" s="96">
        <f>IFERROR(VLOOKUP($B122,INDIRECT("'GRD-"&amp;FD$11&amp;"'!B:R"),15,FALSE),"")</f>
        <v/>
      </c>
      <c r="FE122" s="96">
        <f>IFERROR(VLOOKUP($B122,INDIRECT("'GRD-"&amp;FE$11&amp;"'!B:R"),15,FALSE),"")</f>
        <v/>
      </c>
      <c r="FF122" s="96">
        <f>IFERROR(VLOOKUP($B122,INDIRECT("'GRD-"&amp;FF$11&amp;"'!B:R"),15,FALSE),"")</f>
        <v/>
      </c>
      <c r="FG122" s="96">
        <f>IFERROR(VLOOKUP($B122,INDIRECT("'GRD-"&amp;FG$11&amp;"'!B:R"),15,FALSE),"")</f>
        <v/>
      </c>
      <c r="FH122" s="96">
        <f>IFERROR(VLOOKUP($B122,INDIRECT("'GRD-"&amp;FH$11&amp;"'!B:R"),15,FALSE),"")</f>
        <v/>
      </c>
      <c r="FI122" s="96">
        <f>IFERROR(VLOOKUP($B122,INDIRECT("'GRD-"&amp;FI$11&amp;"'!B:R"),15,FALSE),"")</f>
        <v/>
      </c>
      <c r="FJ122" s="96">
        <f>IFERROR(VLOOKUP($B122,INDIRECT("'GRD-"&amp;FJ$11&amp;"'!B:R"),15,FALSE),"")</f>
        <v/>
      </c>
      <c r="FK122" s="96">
        <f>IFERROR(VLOOKUP($B122,INDIRECT("'GRD-"&amp;FK$11&amp;"'!B:R"),15,FALSE),"")</f>
        <v/>
      </c>
      <c r="FL122" s="96">
        <f>IFERROR(VLOOKUP($B122,INDIRECT("'GRD-"&amp;FL$11&amp;"'!B:R"),15,FALSE),"")</f>
        <v/>
      </c>
      <c r="FM122" s="96">
        <f>IFERROR(VLOOKUP($B122,INDIRECT("'GRD-"&amp;FM$11&amp;"'!B:R"),15,FALSE),"")</f>
        <v/>
      </c>
      <c r="FN122" s="96">
        <f>IFERROR(VLOOKUP($B122,INDIRECT("'GRD-"&amp;FN$11&amp;"'!B:R"),15,FALSE),"")</f>
        <v/>
      </c>
      <c r="FO122" s="96">
        <f>IFERROR(VLOOKUP($B122,INDIRECT("'GRD-"&amp;FO$11&amp;"'!B:R"),15,FALSE),"")</f>
        <v/>
      </c>
      <c r="FP122" s="96">
        <f>IFERROR(VLOOKUP($B122,INDIRECT("'GRD-"&amp;FP$11&amp;"'!B:R"),15,FALSE),"")</f>
        <v/>
      </c>
      <c r="FQ122" s="96">
        <f>IFERROR(VLOOKUP($B122,INDIRECT("'GRD-"&amp;FQ$11&amp;"'!B:R"),15,FALSE),"")</f>
        <v/>
      </c>
      <c r="FR122" s="96">
        <f>IFERROR(VLOOKUP($B122,INDIRECT("'GRD-"&amp;FR$11&amp;"'!B:R"),15,FALSE),"")</f>
        <v/>
      </c>
      <c r="FS122" s="96">
        <f>IFERROR(VLOOKUP($B122,INDIRECT("'GRD-"&amp;FS$11&amp;"'!B:R"),15,FALSE),"")</f>
        <v/>
      </c>
      <c r="FT122" s="96">
        <f>IFERROR(VLOOKUP($B122,INDIRECT("'GRD-"&amp;FT$11&amp;"'!B:R"),15,FALSE),"")</f>
        <v/>
      </c>
      <c r="FU122" s="96">
        <f>IFERROR(VLOOKUP($B122,INDIRECT("'GRD-"&amp;FU$11&amp;"'!B:R"),15,FALSE),"")</f>
        <v/>
      </c>
      <c r="FV122" s="96">
        <f>IFERROR(VLOOKUP($B122,INDIRECT("'GRD-"&amp;FV$11&amp;"'!B:R"),15,FALSE),"")</f>
        <v/>
      </c>
    </row>
    <row r="123">
      <c r="B123" s="85" t="n"/>
      <c r="C123" s="93" t="n"/>
      <c r="D123" s="73">
        <f>IF(K123="","",MAX($CA123:$FV123))</f>
        <v/>
      </c>
      <c r="E123" s="74">
        <f t="array" ref="E123">IF($K123="","",OFFSET($A$1,ROW($B123)-1,11+$D123*4,))</f>
        <v/>
      </c>
      <c r="F123" s="74">
        <f t="array" ref="F123">IF($K123="","",OFFSET($A$1,ROW($B123)-1,12+$D123*4,))</f>
        <v/>
      </c>
      <c r="G123" s="118">
        <f t="array" ref="G123">IF($K123="","",OFFSET($A$1,ROW($B123)-1,13+$D123*4,))</f>
        <v/>
      </c>
      <c r="H123" s="81" t="n"/>
      <c r="I123" s="82" t="n"/>
      <c r="J123" s="75">
        <f>IF(I123="A4",H123/8,IF(I123="A3",H123/4,IF(I123="A2",H123/2,IF(I123="A1",H123/1,IF(I123="A0",H123*2,"")))))</f>
        <v/>
      </c>
      <c r="K123" s="68">
        <f t="array" ref="K123">IFERROR(OFFSET($BZ$11,ROW($B123)-11,MATCH(K$10,$CA123:$FV123,0),),"")</f>
        <v/>
      </c>
      <c r="L123" s="85">
        <f>IF(K123="","",IF(VLOOKUP($B123,INDIRECT("'GRD-"&amp;M123&amp;"'!$B:$R"),16,FALSE)="","",VLOOKUP($B123,INDIRECT("'GRD-"&amp;M123&amp;"'!$B:$R"),16,FALSE)))</f>
        <v/>
      </c>
      <c r="M123" s="130">
        <f t="array" ref="M123">IF(K123="","",IFERROR(OFFSET($BZ$11,0,MATCH($K123,$CA123:$FV123,0),),""))</f>
        <v/>
      </c>
      <c r="N123" s="119">
        <f t="array" ref="N123">IF(K123="","",INDIRECT("'GRD-"&amp;M123&amp;"'!$L$7"))</f>
        <v/>
      </c>
      <c r="O123" s="76">
        <f t="array" ref="O123">IFERROR(OFFSET($BZ$11,ROW($B123)-11,MATCH(O$10,$CA123:$FV123,0),),"")</f>
        <v/>
      </c>
      <c r="P123" s="76">
        <f>IF(O123="","",IF(VLOOKUP($B123,INDIRECT("'GRD-"&amp;Q123&amp;"'!$B:$R"),16,FALSE)="","",VLOOKUP($B123,INDIRECT("'GRD-"&amp;Q123&amp;"'!$B:$R"),16,FALSE)))</f>
        <v/>
      </c>
      <c r="Q123" s="132">
        <f t="array" ref="Q123">IF(O123="","",IFERROR(OFFSET($BZ$11,0,MATCH($O123,$CA123:$FV123,0),),""))</f>
        <v/>
      </c>
      <c r="R123" s="121">
        <f t="array" ref="R123">IF(O123="","",INDIRECT("'GRD-"&amp;Q123&amp;"'!$L$7"))</f>
        <v/>
      </c>
      <c r="S123" s="83">
        <f t="array" ref="S123">IFERROR(OFFSET($BZ$11,ROW($B123)-11,MATCH(S$10,$CA123:$FV123,0),),"")</f>
        <v/>
      </c>
      <c r="T123" s="83">
        <f>IF(S123="","",IF(VLOOKUP($B123,INDIRECT("'GRD-"&amp;U123&amp;"'!$B:$R"),16,FALSE)="","",VLOOKUP($B123,INDIRECT("'GRD-"&amp;U123&amp;"'!$B:$R"),16,FALSE)))</f>
        <v/>
      </c>
      <c r="U123" s="128">
        <f t="array" ref="U123">IF(S123="","",IFERROR(OFFSET($BZ$11,0,MATCH($S123,$CA123:$FV123,0),),""))</f>
        <v/>
      </c>
      <c r="V123" s="133">
        <f t="array" ref="V123">IF(S123="","",INDIRECT("'GRD-"&amp;U123&amp;"'!$L$7"))</f>
        <v/>
      </c>
      <c r="W123" s="84">
        <f t="array" ref="W123">IFERROR(OFFSET($BZ$11,ROW($B123)-11,MATCH(W$10,$CA123:$FV123,0),),"")</f>
        <v/>
      </c>
      <c r="X123" s="84">
        <f>IF(W123="","",IF(VLOOKUP($B123,INDIRECT("'GRD-"&amp;Y123&amp;"'!$B:$R"),16,FALSE)="","",VLOOKUP($B123,INDIRECT("'GRD-"&amp;Y123&amp;"'!$B:$R"),16,FALSE)))</f>
        <v/>
      </c>
      <c r="Y123" s="129">
        <f t="array" ref="Y123">IF(W123="","",IFERROR(OFFSET($BZ$11,0,MATCH($W123,$CA123:$FV123,0),),""))</f>
        <v/>
      </c>
      <c r="Z123" s="134">
        <f t="array" ref="Z123">IF(W123="","",INDIRECT("'GRD-"&amp;Y123&amp;"'!$L$7"))</f>
        <v/>
      </c>
      <c r="AA123" s="85">
        <f t="array" ref="AA123">IFERROR(OFFSET($BZ$11,ROW($B123)-11,MATCH(AA$10,$CA123:$FV123,0),),"")</f>
        <v/>
      </c>
      <c r="AB123" s="85">
        <f>IF(AA123="","",IF(VLOOKUP($B123,INDIRECT("'GRD-"&amp;AC123&amp;"'!$B:$R"),16,FALSE)="","",VLOOKUP($B123,INDIRECT("'GRD-"&amp;AC123&amp;"'!$B:$R"),16,FALSE)))</f>
        <v/>
      </c>
      <c r="AC123" s="130">
        <f t="array" ref="AC123">IF(AA123="","",IFERROR(OFFSET($BZ$11,0,MATCH($AA123,$CA123:$FV123,0),),""))</f>
        <v/>
      </c>
      <c r="AD123" s="131">
        <f t="array" ref="AD123">IF(AA123="","",INDIRECT("'GRD-"&amp;AC123&amp;"'!$L$7"))</f>
        <v/>
      </c>
      <c r="AE123" s="76">
        <f t="array" ref="AE123">IFERROR(OFFSET($BZ$11,ROW($B123)-11,MATCH(AE$10,$CA123:$FV123,0),),"")</f>
        <v/>
      </c>
      <c r="AF123" s="76">
        <f>IF(AE123="","",IF(VLOOKUP($B123,INDIRECT("'GRD-"&amp;AG123&amp;"'!$B:$R"),16,FALSE)="","",VLOOKUP($B123,INDIRECT("'GRD-"&amp;AG123&amp;"'!$B:$R"),16,FALSE)))</f>
        <v/>
      </c>
      <c r="AG123" s="132">
        <f t="array" ref="AG123">IF(AE123="","",IFERROR(OFFSET($BZ$11,0,MATCH($AE123,$CA123:$FV123,0),),""))</f>
        <v/>
      </c>
      <c r="AH123" s="121">
        <f t="array" ref="AH123">IF(AE123="","",INDIRECT("'GRD-"&amp;AG123&amp;"'!$L$7"))</f>
        <v/>
      </c>
      <c r="AI123" s="83">
        <f t="array" ref="AI123">IFERROR(OFFSET($BZ$11,ROW($B123)-11,MATCH(AI$10,$CA123:$FV123,0),),"")</f>
        <v/>
      </c>
      <c r="AJ123" s="83">
        <f>IF(AI123="","",IF(VLOOKUP($B123,INDIRECT("'GRD-"&amp;AK123&amp;"'!$B:$R"),16,FALSE)="","",VLOOKUP($B123,INDIRECT("'GRD-"&amp;AK123&amp;"'!$B:$R"),16,FALSE)))</f>
        <v/>
      </c>
      <c r="AK123" s="128">
        <f t="array" ref="AK123">IF(AI123="","",IFERROR(OFFSET($BZ$11,0,MATCH($AI123,$CA123:$FV123,0),),""))</f>
        <v/>
      </c>
      <c r="AL123" s="133">
        <f t="array" ref="AL123">IF(AI123="","",INDIRECT("'GRD-"&amp;AK123&amp;"'!$L$7"))</f>
        <v/>
      </c>
      <c r="AM123" s="84">
        <f t="array" ref="AM123">IFERROR(OFFSET($BZ$11,ROW($B123)-11,MATCH(AM$10,$CA123:$FV123,0),),"")</f>
        <v/>
      </c>
      <c r="AN123" s="84">
        <f>IF(AM123="","",IF(VLOOKUP($B123,INDIRECT("'GRD-"&amp;AO123&amp;"'!$B:$R"),16,FALSE)="","",VLOOKUP($B123,INDIRECT("'GRD-"&amp;AO123&amp;"'!$B:$R"),16,FALSE)))</f>
        <v/>
      </c>
      <c r="AO123" s="129">
        <f t="array" ref="AO123">IF(AM123="","",IFERROR(OFFSET($BZ$11,0,MATCH($AM123,$CA123:$FV123,0),),""))</f>
        <v/>
      </c>
      <c r="AP123" s="134">
        <f t="array" ref="AP123">IF(AM123="","",INDIRECT("'GRD-"&amp;AO123&amp;"'!$L$7"))</f>
        <v/>
      </c>
      <c r="AQ123" s="85">
        <f t="array" ref="AQ123">IFERROR(OFFSET($BZ$11,ROW($B123)-11,MATCH(AQ$10,$CA123:$FV123,0),),"")</f>
        <v/>
      </c>
      <c r="AR123" s="85">
        <f>IF(AQ123="","",IF(VLOOKUP($B123,INDIRECT("'GRD-"&amp;AS123&amp;"'!$B:$R"),16,FALSE)="","",VLOOKUP($B123,INDIRECT("'GRD-"&amp;AS123&amp;"'!$B:$R"),16,FALSE)))</f>
        <v/>
      </c>
      <c r="AS123" s="130">
        <f t="array" ref="AS123">IF(AQ123="","",IFERROR(OFFSET($BZ$11,0,MATCH($AQ123,$CA123:$FV123,0),),""))</f>
        <v/>
      </c>
      <c r="AT123" s="131">
        <f t="array" ref="AT123">IF(AQ123="","",INDIRECT("'GRD-"&amp;AS123&amp;"'!$L$7"))</f>
        <v/>
      </c>
      <c r="AU123" s="76">
        <f t="array" ref="AU123">IFERROR(OFFSET($BZ$11,ROW($B123)-11,MATCH(AU$10,$CA123:$FV123,0),),"")</f>
        <v/>
      </c>
      <c r="AV123" s="76">
        <f>IF(AU123="","",IF(VLOOKUP($B123,INDIRECT("'GRD-"&amp;AW123&amp;"'!$B:$R"),16,FALSE)="","",VLOOKUP($B123,INDIRECT("'GRD-"&amp;AW123&amp;"'!$B:$R"),16,FALSE)))</f>
        <v/>
      </c>
      <c r="AW123" s="132">
        <f t="array" ref="AW123">IF(AU123="","",IFERROR(OFFSET($BZ$11,0,MATCH($AU123,$CA123:$FV123,0),),""))</f>
        <v/>
      </c>
      <c r="AX123" s="121">
        <f t="array" ref="AX123">IF(AU123="","",INDIRECT("'GRD-"&amp;AW123&amp;"'!$L$7"))</f>
        <v/>
      </c>
      <c r="AY123" s="83">
        <f t="array" ref="AY123">IFERROR(OFFSET($BZ$11,ROW($B123)-11,MATCH(AY$10,$CA123:$FV123,0),),"")</f>
        <v/>
      </c>
      <c r="AZ123" s="83">
        <f>IF(AY123="","",IF(VLOOKUP($B123,INDIRECT("'GRD-"&amp;BA123&amp;"'!$B:$R"),16,FALSE)="","",VLOOKUP($B123,INDIRECT("'GRD-"&amp;BA123&amp;"'!$B:$R"),16,FALSE)))</f>
        <v/>
      </c>
      <c r="BA123" s="128">
        <f t="array" ref="BA123">IF(AY123="","",IFERROR(OFFSET($BZ$11,0,MATCH($AY123,$CA123:$FV123,0),),""))</f>
        <v/>
      </c>
      <c r="BB123" s="133">
        <f t="array" ref="BB123">IF(AY123="","",INDIRECT("'GRD-"&amp;BA123&amp;"'!$L$7"))</f>
        <v/>
      </c>
      <c r="BC123" s="84">
        <f t="array" ref="BC123">IFERROR(OFFSET($BZ$11,ROW($B123)-11,MATCH(BC$10,$CA123:$FV123,0),),"")</f>
        <v/>
      </c>
      <c r="BD123" s="84">
        <f>IF(BC123="","",IF(VLOOKUP($B123,INDIRECT("'GRD-"&amp;BE123&amp;"'!$B:$R"),16,FALSE)="","",VLOOKUP($B123,INDIRECT("'GRD-"&amp;BE123&amp;"'!$B:$R"),16,FALSE)))</f>
        <v/>
      </c>
      <c r="BE123" s="129">
        <f t="array" ref="BE123">IF(BC123="","",IFERROR(OFFSET($BZ$11,0,MATCH($BC123,$CA123:$FV123,0),),""))</f>
        <v/>
      </c>
      <c r="BF123" s="134">
        <f t="array" ref="BF123">IF(BC123="","",INDIRECT("'GRD-"&amp;BE123&amp;"'!$L$7"))</f>
        <v/>
      </c>
      <c r="CA123" s="96">
        <f>IFERROR(VLOOKUP($B123,INDIRECT("'GRD-"&amp;CA$11&amp;"'!B:R"),15,FALSE),"")</f>
        <v/>
      </c>
      <c r="CB123" s="96">
        <f>IFERROR(VLOOKUP($B123,INDIRECT("'GRD-"&amp;CB$11&amp;"'!B:R"),15,FALSE),"")</f>
        <v/>
      </c>
      <c r="CC123" s="96">
        <f>IFERROR(VLOOKUP($B123,INDIRECT("'GRD-"&amp;CC$11&amp;"'!B:R"),15,FALSE),"")</f>
        <v/>
      </c>
      <c r="CD123" s="96">
        <f>IFERROR(VLOOKUP($B123,INDIRECT("'GRD-"&amp;CD$11&amp;"'!B:R"),15,FALSE),"")</f>
        <v/>
      </c>
      <c r="CE123" s="96">
        <f>IFERROR(VLOOKUP($B123,INDIRECT("'GRD-"&amp;CE$11&amp;"'!B:R"),15,FALSE),"")</f>
        <v/>
      </c>
      <c r="CF123" s="96">
        <f>IFERROR(VLOOKUP($B123,INDIRECT("'GRD-"&amp;CF$11&amp;"'!B:R"),15,FALSE),"")</f>
        <v/>
      </c>
      <c r="CG123" s="96">
        <f>IFERROR(VLOOKUP($B123,INDIRECT("'GRD-"&amp;CG$11&amp;"'!B:R"),15,FALSE),"")</f>
        <v/>
      </c>
      <c r="CH123" s="96">
        <f>IFERROR(VLOOKUP($B123,INDIRECT("'GRD-"&amp;CH$11&amp;"'!B:R"),15,FALSE),"")</f>
        <v/>
      </c>
      <c r="CI123" s="96">
        <f>IFERROR(VLOOKUP($B123,INDIRECT("'GRD-"&amp;CI$11&amp;"'!B:R"),15,FALSE),"")</f>
        <v/>
      </c>
      <c r="CJ123" s="96">
        <f>IFERROR(VLOOKUP($B123,INDIRECT("'GRD-"&amp;CJ$11&amp;"'!B:R"),15,FALSE),"")</f>
        <v/>
      </c>
      <c r="CK123" s="96">
        <f>IFERROR(VLOOKUP($B123,INDIRECT("'GRD-"&amp;CK$11&amp;"'!B:R"),15,FALSE),"")</f>
        <v/>
      </c>
      <c r="CL123" s="96">
        <f>IFERROR(VLOOKUP($B123,INDIRECT("'GRD-"&amp;CL$11&amp;"'!B:R"),15,FALSE),"")</f>
        <v/>
      </c>
      <c r="CM123" s="96">
        <f>IFERROR(VLOOKUP($B123,INDIRECT("'GRD-"&amp;CM$11&amp;"'!B:R"),15,FALSE),"")</f>
        <v/>
      </c>
      <c r="CN123" s="96">
        <f>IFERROR(VLOOKUP($B123,INDIRECT("'GRD-"&amp;CN$11&amp;"'!B:R"),15,FALSE),"")</f>
        <v/>
      </c>
      <c r="CO123" s="96">
        <f>IFERROR(VLOOKUP($B123,INDIRECT("'GRD-"&amp;CO$11&amp;"'!B:R"),15,FALSE),"")</f>
        <v/>
      </c>
      <c r="CP123" s="96">
        <f>IFERROR(VLOOKUP($B123,INDIRECT("'GRD-"&amp;CP$11&amp;"'!B:R"),15,FALSE),"")</f>
        <v/>
      </c>
      <c r="CQ123" s="96">
        <f>IFERROR(VLOOKUP($B123,INDIRECT("'GRD-"&amp;CQ$11&amp;"'!B:R"),15,FALSE),"")</f>
        <v/>
      </c>
      <c r="CR123" s="96">
        <f>IFERROR(VLOOKUP($B123,INDIRECT("'GRD-"&amp;CR$11&amp;"'!B:R"),15,FALSE),"")</f>
        <v/>
      </c>
      <c r="CS123" s="96">
        <f>IFERROR(VLOOKUP($B123,INDIRECT("'GRD-"&amp;CS$11&amp;"'!B:R"),15,FALSE),"")</f>
        <v/>
      </c>
      <c r="CT123" s="96">
        <f>IFERROR(VLOOKUP($B123,INDIRECT("'GRD-"&amp;CT$11&amp;"'!B:R"),15,FALSE),"")</f>
        <v/>
      </c>
      <c r="CU123" s="96">
        <f>IFERROR(VLOOKUP($B123,INDIRECT("'GRD-"&amp;CU$11&amp;"'!B:R"),15,FALSE),"")</f>
        <v/>
      </c>
      <c r="CV123" s="96">
        <f>IFERROR(VLOOKUP($B123,INDIRECT("'GRD-"&amp;CV$11&amp;"'!B:R"),15,FALSE),"")</f>
        <v/>
      </c>
      <c r="CW123" s="96">
        <f>IFERROR(VLOOKUP($B123,INDIRECT("'GRD-"&amp;CW$11&amp;"'!B:R"),15,FALSE),"")</f>
        <v/>
      </c>
      <c r="CX123" s="96">
        <f>IFERROR(VLOOKUP($B123,INDIRECT("'GRD-"&amp;CX$11&amp;"'!B:R"),15,FALSE),"")</f>
        <v/>
      </c>
      <c r="CY123" s="96">
        <f>IFERROR(VLOOKUP($B123,INDIRECT("'GRD-"&amp;CY$11&amp;"'!B:R"),15,FALSE),"")</f>
        <v/>
      </c>
      <c r="CZ123" s="96">
        <f>IFERROR(VLOOKUP($B123,INDIRECT("'GRD-"&amp;CZ$11&amp;"'!B:R"),15,FALSE),"")</f>
        <v/>
      </c>
      <c r="DA123" s="96">
        <f>IFERROR(VLOOKUP($B123,INDIRECT("'GRD-"&amp;DA$11&amp;"'!B:R"),15,FALSE),"")</f>
        <v/>
      </c>
      <c r="DB123" s="96">
        <f>IFERROR(VLOOKUP($B123,INDIRECT("'GRD-"&amp;DB$11&amp;"'!B:R"),15,FALSE),"")</f>
        <v/>
      </c>
      <c r="DC123" s="96">
        <f>IFERROR(VLOOKUP($B123,INDIRECT("'GRD-"&amp;DC$11&amp;"'!B:R"),15,FALSE),"")</f>
        <v/>
      </c>
      <c r="DD123" s="96">
        <f>IFERROR(VLOOKUP($B123,INDIRECT("'GRD-"&amp;DD$11&amp;"'!B:R"),15,FALSE),"")</f>
        <v/>
      </c>
      <c r="DE123" s="96">
        <f>IFERROR(VLOOKUP($B123,INDIRECT("'GRD-"&amp;DE$11&amp;"'!B:R"),15,FALSE),"")</f>
        <v/>
      </c>
      <c r="DF123" s="96">
        <f>IFERROR(VLOOKUP($B123,INDIRECT("'GRD-"&amp;DF$11&amp;"'!B:R"),15,FALSE),"")</f>
        <v/>
      </c>
      <c r="DG123" s="96">
        <f>IFERROR(VLOOKUP($B123,INDIRECT("'GRD-"&amp;DG$11&amp;"'!B:R"),15,FALSE),"")</f>
        <v/>
      </c>
      <c r="DH123" s="96">
        <f>IFERROR(VLOOKUP($B123,INDIRECT("'GRD-"&amp;DH$11&amp;"'!B:R"),15,FALSE),"")</f>
        <v/>
      </c>
      <c r="DI123" s="96">
        <f>IFERROR(VLOOKUP($B123,INDIRECT("'GRD-"&amp;DI$11&amp;"'!B:R"),15,FALSE),"")</f>
        <v/>
      </c>
      <c r="DJ123" s="96">
        <f>IFERROR(VLOOKUP($B123,INDIRECT("'GRD-"&amp;DJ$11&amp;"'!B:R"),15,FALSE),"")</f>
        <v/>
      </c>
      <c r="DK123" s="96">
        <f>IFERROR(VLOOKUP($B123,INDIRECT("'GRD-"&amp;DK$11&amp;"'!B:R"),15,FALSE),"")</f>
        <v/>
      </c>
      <c r="DL123" s="96">
        <f>IFERROR(VLOOKUP($B123,INDIRECT("'GRD-"&amp;DL$11&amp;"'!B:R"),15,FALSE),"")</f>
        <v/>
      </c>
      <c r="DM123" s="96">
        <f>IFERROR(VLOOKUP($B123,INDIRECT("'GRD-"&amp;DM$11&amp;"'!B:R"),15,FALSE),"")</f>
        <v/>
      </c>
      <c r="DN123" s="96">
        <f>IFERROR(VLOOKUP($B123,INDIRECT("'GRD-"&amp;DN$11&amp;"'!B:R"),15,FALSE),"")</f>
        <v/>
      </c>
      <c r="DO123" s="96">
        <f>IFERROR(VLOOKUP($B123,INDIRECT("'GRD-"&amp;DO$11&amp;"'!B:R"),15,FALSE),"")</f>
        <v/>
      </c>
      <c r="DP123" s="96">
        <f>IFERROR(VLOOKUP($B123,INDIRECT("'GRD-"&amp;DP$11&amp;"'!B:R"),15,FALSE),"")</f>
        <v/>
      </c>
      <c r="DQ123" s="96">
        <f>IFERROR(VLOOKUP($B123,INDIRECT("'GRD-"&amp;DQ$11&amp;"'!B:R"),15,FALSE),"")</f>
        <v/>
      </c>
      <c r="DR123" s="96">
        <f>IFERROR(VLOOKUP($B123,INDIRECT("'GRD-"&amp;DR$11&amp;"'!B:R"),15,FALSE),"")</f>
        <v/>
      </c>
      <c r="DS123" s="96">
        <f>IFERROR(VLOOKUP($B123,INDIRECT("'GRD-"&amp;DS$11&amp;"'!B:R"),15,FALSE),"")</f>
        <v/>
      </c>
      <c r="DT123" s="96">
        <f>IFERROR(VLOOKUP($B123,INDIRECT("'GRD-"&amp;DT$11&amp;"'!B:R"),15,FALSE),"")</f>
        <v/>
      </c>
      <c r="DU123" s="96">
        <f>IFERROR(VLOOKUP($B123,INDIRECT("'GRD-"&amp;DU$11&amp;"'!B:R"),15,FALSE),"")</f>
        <v/>
      </c>
      <c r="DV123" s="96">
        <f>IFERROR(VLOOKUP($B123,INDIRECT("'GRD-"&amp;DV$11&amp;"'!B:R"),15,FALSE),"")</f>
        <v/>
      </c>
      <c r="DW123" s="96">
        <f>IFERROR(VLOOKUP($B123,INDIRECT("'GRD-"&amp;DW$11&amp;"'!B:R"),15,FALSE),"")</f>
        <v/>
      </c>
      <c r="DX123" s="96">
        <f>IFERROR(VLOOKUP($B123,INDIRECT("'GRD-"&amp;DX$11&amp;"'!B:R"),15,FALSE),"")</f>
        <v/>
      </c>
      <c r="DY123" s="96">
        <f>IFERROR(VLOOKUP($B123,INDIRECT("'GRD-"&amp;DY$11&amp;"'!B:R"),15,FALSE),"")</f>
        <v/>
      </c>
      <c r="DZ123" s="96">
        <f>IFERROR(VLOOKUP($B123,INDIRECT("'GRD-"&amp;DZ$11&amp;"'!B:R"),15,FALSE),"")</f>
        <v/>
      </c>
      <c r="EA123" s="96">
        <f>IFERROR(VLOOKUP($B123,INDIRECT("'GRD-"&amp;EA$11&amp;"'!B:R"),15,FALSE),"")</f>
        <v/>
      </c>
      <c r="EB123" s="96">
        <f>IFERROR(VLOOKUP($B123,INDIRECT("'GRD-"&amp;EB$11&amp;"'!B:R"),15,FALSE),"")</f>
        <v/>
      </c>
      <c r="EC123" s="96">
        <f>IFERROR(VLOOKUP($B123,INDIRECT("'GRD-"&amp;EC$11&amp;"'!B:R"),15,FALSE),"")</f>
        <v/>
      </c>
      <c r="ED123" s="96">
        <f>IFERROR(VLOOKUP($B123,INDIRECT("'GRD-"&amp;ED$11&amp;"'!B:R"),15,FALSE),"")</f>
        <v/>
      </c>
      <c r="EE123" s="96">
        <f>IFERROR(VLOOKUP($B123,INDIRECT("'GRD-"&amp;EE$11&amp;"'!B:R"),15,FALSE),"")</f>
        <v/>
      </c>
      <c r="EF123" s="96">
        <f>IFERROR(VLOOKUP($B123,INDIRECT("'GRD-"&amp;EF$11&amp;"'!B:R"),15,FALSE),"")</f>
        <v/>
      </c>
      <c r="EG123" s="96">
        <f>IFERROR(VLOOKUP($B123,INDIRECT("'GRD-"&amp;EG$11&amp;"'!B:R"),15,FALSE),"")</f>
        <v/>
      </c>
      <c r="EH123" s="96">
        <f>IFERROR(VLOOKUP($B123,INDIRECT("'GRD-"&amp;EH$11&amp;"'!B:R"),15,FALSE),"")</f>
        <v/>
      </c>
      <c r="EI123" s="96">
        <f>IFERROR(VLOOKUP($B123,INDIRECT("'GRD-"&amp;EI$11&amp;"'!B:R"),15,FALSE),"")</f>
        <v/>
      </c>
      <c r="EJ123" s="96">
        <f>IFERROR(VLOOKUP($B123,INDIRECT("'GRD-"&amp;EJ$11&amp;"'!B:R"),15,FALSE),"")</f>
        <v/>
      </c>
      <c r="EK123" s="96">
        <f>IFERROR(VLOOKUP($B123,INDIRECT("'GRD-"&amp;EK$11&amp;"'!B:R"),15,FALSE),"")</f>
        <v/>
      </c>
      <c r="EL123" s="96">
        <f>IFERROR(VLOOKUP($B123,INDIRECT("'GRD-"&amp;EL$11&amp;"'!B:R"),15,FALSE),"")</f>
        <v/>
      </c>
      <c r="EM123" s="96">
        <f>IFERROR(VLOOKUP($B123,INDIRECT("'GRD-"&amp;EM$11&amp;"'!B:R"),15,FALSE),"")</f>
        <v/>
      </c>
      <c r="EN123" s="96">
        <f>IFERROR(VLOOKUP($B123,INDIRECT("'GRD-"&amp;EN$11&amp;"'!B:R"),15,FALSE),"")</f>
        <v/>
      </c>
      <c r="EO123" s="96">
        <f>IFERROR(VLOOKUP($B123,INDIRECT("'GRD-"&amp;EO$11&amp;"'!B:R"),15,FALSE),"")</f>
        <v/>
      </c>
      <c r="EP123" s="96">
        <f>IFERROR(VLOOKUP($B123,INDIRECT("'GRD-"&amp;EP$11&amp;"'!B:R"),15,FALSE),"")</f>
        <v/>
      </c>
      <c r="EQ123" s="96">
        <f>IFERROR(VLOOKUP($B123,INDIRECT("'GRD-"&amp;EQ$11&amp;"'!B:R"),15,FALSE),"")</f>
        <v/>
      </c>
      <c r="ER123" s="96">
        <f>IFERROR(VLOOKUP($B123,INDIRECT("'GRD-"&amp;ER$11&amp;"'!B:R"),15,FALSE),"")</f>
        <v/>
      </c>
      <c r="ES123" s="96">
        <f>IFERROR(VLOOKUP($B123,INDIRECT("'GRD-"&amp;ES$11&amp;"'!B:R"),15,FALSE),"")</f>
        <v/>
      </c>
      <c r="ET123" s="96">
        <f>IFERROR(VLOOKUP($B123,INDIRECT("'GRD-"&amp;ET$11&amp;"'!B:R"),15,FALSE),"")</f>
        <v/>
      </c>
      <c r="EU123" s="96">
        <f>IFERROR(VLOOKUP($B123,INDIRECT("'GRD-"&amp;EU$11&amp;"'!B:R"),15,FALSE),"")</f>
        <v/>
      </c>
      <c r="EV123" s="96">
        <f>IFERROR(VLOOKUP($B123,INDIRECT("'GRD-"&amp;EV$11&amp;"'!B:R"),15,FALSE),"")</f>
        <v/>
      </c>
      <c r="EW123" s="96">
        <f>IFERROR(VLOOKUP($B123,INDIRECT("'GRD-"&amp;EW$11&amp;"'!B:R"),15,FALSE),"")</f>
        <v/>
      </c>
      <c r="EX123" s="96">
        <f>IFERROR(VLOOKUP($B123,INDIRECT("'GRD-"&amp;EX$11&amp;"'!B:R"),15,FALSE),"")</f>
        <v/>
      </c>
      <c r="EY123" s="96">
        <f>IFERROR(VLOOKUP($B123,INDIRECT("'GRD-"&amp;EY$11&amp;"'!B:R"),15,FALSE),"")</f>
        <v/>
      </c>
      <c r="EZ123" s="96">
        <f>IFERROR(VLOOKUP($B123,INDIRECT("'GRD-"&amp;EZ$11&amp;"'!B:R"),15,FALSE),"")</f>
        <v/>
      </c>
      <c r="FA123" s="96">
        <f>IFERROR(VLOOKUP($B123,INDIRECT("'GRD-"&amp;FA$11&amp;"'!B:R"),15,FALSE),"")</f>
        <v/>
      </c>
      <c r="FB123" s="96">
        <f>IFERROR(VLOOKUP($B123,INDIRECT("'GRD-"&amp;FB$11&amp;"'!B:R"),15,FALSE),"")</f>
        <v/>
      </c>
      <c r="FC123" s="96">
        <f>IFERROR(VLOOKUP($B123,INDIRECT("'GRD-"&amp;FC$11&amp;"'!B:R"),15,FALSE),"")</f>
        <v/>
      </c>
      <c r="FD123" s="96">
        <f>IFERROR(VLOOKUP($B123,INDIRECT("'GRD-"&amp;FD$11&amp;"'!B:R"),15,FALSE),"")</f>
        <v/>
      </c>
      <c r="FE123" s="96">
        <f>IFERROR(VLOOKUP($B123,INDIRECT("'GRD-"&amp;FE$11&amp;"'!B:R"),15,FALSE),"")</f>
        <v/>
      </c>
      <c r="FF123" s="96">
        <f>IFERROR(VLOOKUP($B123,INDIRECT("'GRD-"&amp;FF$11&amp;"'!B:R"),15,FALSE),"")</f>
        <v/>
      </c>
      <c r="FG123" s="96">
        <f>IFERROR(VLOOKUP($B123,INDIRECT("'GRD-"&amp;FG$11&amp;"'!B:R"),15,FALSE),"")</f>
        <v/>
      </c>
      <c r="FH123" s="96">
        <f>IFERROR(VLOOKUP($B123,INDIRECT("'GRD-"&amp;FH$11&amp;"'!B:R"),15,FALSE),"")</f>
        <v/>
      </c>
      <c r="FI123" s="96">
        <f>IFERROR(VLOOKUP($B123,INDIRECT("'GRD-"&amp;FI$11&amp;"'!B:R"),15,FALSE),"")</f>
        <v/>
      </c>
      <c r="FJ123" s="96">
        <f>IFERROR(VLOOKUP($B123,INDIRECT("'GRD-"&amp;FJ$11&amp;"'!B:R"),15,FALSE),"")</f>
        <v/>
      </c>
      <c r="FK123" s="96">
        <f>IFERROR(VLOOKUP($B123,INDIRECT("'GRD-"&amp;FK$11&amp;"'!B:R"),15,FALSE),"")</f>
        <v/>
      </c>
      <c r="FL123" s="96">
        <f>IFERROR(VLOOKUP($B123,INDIRECT("'GRD-"&amp;FL$11&amp;"'!B:R"),15,FALSE),"")</f>
        <v/>
      </c>
      <c r="FM123" s="96">
        <f>IFERROR(VLOOKUP($B123,INDIRECT("'GRD-"&amp;FM$11&amp;"'!B:R"),15,FALSE),"")</f>
        <v/>
      </c>
      <c r="FN123" s="96">
        <f>IFERROR(VLOOKUP($B123,INDIRECT("'GRD-"&amp;FN$11&amp;"'!B:R"),15,FALSE),"")</f>
        <v/>
      </c>
      <c r="FO123" s="96">
        <f>IFERROR(VLOOKUP($B123,INDIRECT("'GRD-"&amp;FO$11&amp;"'!B:R"),15,FALSE),"")</f>
        <v/>
      </c>
      <c r="FP123" s="96">
        <f>IFERROR(VLOOKUP($B123,INDIRECT("'GRD-"&amp;FP$11&amp;"'!B:R"),15,FALSE),"")</f>
        <v/>
      </c>
      <c r="FQ123" s="96">
        <f>IFERROR(VLOOKUP($B123,INDIRECT("'GRD-"&amp;FQ$11&amp;"'!B:R"),15,FALSE),"")</f>
        <v/>
      </c>
      <c r="FR123" s="96">
        <f>IFERROR(VLOOKUP($B123,INDIRECT("'GRD-"&amp;FR$11&amp;"'!B:R"),15,FALSE),"")</f>
        <v/>
      </c>
      <c r="FS123" s="96">
        <f>IFERROR(VLOOKUP($B123,INDIRECT("'GRD-"&amp;FS$11&amp;"'!B:R"),15,FALSE),"")</f>
        <v/>
      </c>
      <c r="FT123" s="96">
        <f>IFERROR(VLOOKUP($B123,INDIRECT("'GRD-"&amp;FT$11&amp;"'!B:R"),15,FALSE),"")</f>
        <v/>
      </c>
      <c r="FU123" s="96">
        <f>IFERROR(VLOOKUP($B123,INDIRECT("'GRD-"&amp;FU$11&amp;"'!B:R"),15,FALSE),"")</f>
        <v/>
      </c>
      <c r="FV123" s="96">
        <f>IFERROR(VLOOKUP($B123,INDIRECT("'GRD-"&amp;FV$11&amp;"'!B:R"),15,FALSE),"")</f>
        <v/>
      </c>
    </row>
    <row r="124">
      <c r="B124" s="85" t="n"/>
      <c r="C124" s="93" t="n"/>
      <c r="D124" s="73">
        <f>IF(K124="","",MAX($CA124:$FV124))</f>
        <v/>
      </c>
      <c r="E124" s="74">
        <f t="array" ref="E124">IF($K124="","",OFFSET($A$1,ROW($B124)-1,11+$D124*4,))</f>
        <v/>
      </c>
      <c r="F124" s="74">
        <f t="array" ref="F124">IF($K124="","",OFFSET($A$1,ROW($B124)-1,12+$D124*4,))</f>
        <v/>
      </c>
      <c r="G124" s="118">
        <f t="array" ref="G124">IF($K124="","",OFFSET($A$1,ROW($B124)-1,13+$D124*4,))</f>
        <v/>
      </c>
      <c r="H124" s="81" t="n"/>
      <c r="I124" s="82" t="n"/>
      <c r="J124" s="75">
        <f>IF(I124="A4",H124/8,IF(I124="A3",H124/4,IF(I124="A2",H124/2,IF(I124="A1",H124/1,IF(I124="A0",H124*2,"")))))</f>
        <v/>
      </c>
      <c r="K124" s="68">
        <f t="array" ref="K124">IFERROR(OFFSET($BZ$11,ROW($B124)-11,MATCH(K$10,$CA124:$FV124,0),),"")</f>
        <v/>
      </c>
      <c r="L124" s="85">
        <f>IF(K124="","",IF(VLOOKUP($B124,INDIRECT("'GRD-"&amp;M124&amp;"'!$B:$R"),16,FALSE)="","",VLOOKUP($B124,INDIRECT("'GRD-"&amp;M124&amp;"'!$B:$R"),16,FALSE)))</f>
        <v/>
      </c>
      <c r="M124" s="130">
        <f t="array" ref="M124">IF(K124="","",IFERROR(OFFSET($BZ$11,0,MATCH($K124,$CA124:$FV124,0),),""))</f>
        <v/>
      </c>
      <c r="N124" s="119">
        <f t="array" ref="N124">IF(K124="","",INDIRECT("'GRD-"&amp;M124&amp;"'!$L$7"))</f>
        <v/>
      </c>
      <c r="O124" s="76">
        <f t="array" ref="O124">IFERROR(OFFSET($BZ$11,ROW($B124)-11,MATCH(O$10,$CA124:$FV124,0),),"")</f>
        <v/>
      </c>
      <c r="P124" s="76">
        <f>IF(O124="","",IF(VLOOKUP($B124,INDIRECT("'GRD-"&amp;Q124&amp;"'!$B:$R"),16,FALSE)="","",VLOOKUP($B124,INDIRECT("'GRD-"&amp;Q124&amp;"'!$B:$R"),16,FALSE)))</f>
        <v/>
      </c>
      <c r="Q124" s="132">
        <f t="array" ref="Q124">IF(O124="","",IFERROR(OFFSET($BZ$11,0,MATCH($O124,$CA124:$FV124,0),),""))</f>
        <v/>
      </c>
      <c r="R124" s="121">
        <f t="array" ref="R124">IF(O124="","",INDIRECT("'GRD-"&amp;Q124&amp;"'!$L$7"))</f>
        <v/>
      </c>
      <c r="S124" s="83">
        <f t="array" ref="S124">IFERROR(OFFSET($BZ$11,ROW($B124)-11,MATCH(S$10,$CA124:$FV124,0),),"")</f>
        <v/>
      </c>
      <c r="T124" s="83">
        <f>IF(S124="","",IF(VLOOKUP($B124,INDIRECT("'GRD-"&amp;U124&amp;"'!$B:$R"),16,FALSE)="","",VLOOKUP($B124,INDIRECT("'GRD-"&amp;U124&amp;"'!$B:$R"),16,FALSE)))</f>
        <v/>
      </c>
      <c r="U124" s="128">
        <f t="array" ref="U124">IF(S124="","",IFERROR(OFFSET($BZ$11,0,MATCH($S124,$CA124:$FV124,0),),""))</f>
        <v/>
      </c>
      <c r="V124" s="133">
        <f t="array" ref="V124">IF(S124="","",INDIRECT("'GRD-"&amp;U124&amp;"'!$L$7"))</f>
        <v/>
      </c>
      <c r="W124" s="84">
        <f t="array" ref="W124">IFERROR(OFFSET($BZ$11,ROW($B124)-11,MATCH(W$10,$CA124:$FV124,0),),"")</f>
        <v/>
      </c>
      <c r="X124" s="84">
        <f>IF(W124="","",IF(VLOOKUP($B124,INDIRECT("'GRD-"&amp;Y124&amp;"'!$B:$R"),16,FALSE)="","",VLOOKUP($B124,INDIRECT("'GRD-"&amp;Y124&amp;"'!$B:$R"),16,FALSE)))</f>
        <v/>
      </c>
      <c r="Y124" s="129">
        <f t="array" ref="Y124">IF(W124="","",IFERROR(OFFSET($BZ$11,0,MATCH($W124,$CA124:$FV124,0),),""))</f>
        <v/>
      </c>
      <c r="Z124" s="134">
        <f t="array" ref="Z124">IF(W124="","",INDIRECT("'GRD-"&amp;Y124&amp;"'!$L$7"))</f>
        <v/>
      </c>
      <c r="AA124" s="85">
        <f t="array" ref="AA124">IFERROR(OFFSET($BZ$11,ROW($B124)-11,MATCH(AA$10,$CA124:$FV124,0),),"")</f>
        <v/>
      </c>
      <c r="AB124" s="85">
        <f>IF(AA124="","",IF(VLOOKUP($B124,INDIRECT("'GRD-"&amp;AC124&amp;"'!$B:$R"),16,FALSE)="","",VLOOKUP($B124,INDIRECT("'GRD-"&amp;AC124&amp;"'!$B:$R"),16,FALSE)))</f>
        <v/>
      </c>
      <c r="AC124" s="130">
        <f t="array" ref="AC124">IF(AA124="","",IFERROR(OFFSET($BZ$11,0,MATCH($AA124,$CA124:$FV124,0),),""))</f>
        <v/>
      </c>
      <c r="AD124" s="131">
        <f t="array" ref="AD124">IF(AA124="","",INDIRECT("'GRD-"&amp;AC124&amp;"'!$L$7"))</f>
        <v/>
      </c>
      <c r="AE124" s="76">
        <f t="array" ref="AE124">IFERROR(OFFSET($BZ$11,ROW($B124)-11,MATCH(AE$10,$CA124:$FV124,0),),"")</f>
        <v/>
      </c>
      <c r="AF124" s="76">
        <f>IF(AE124="","",IF(VLOOKUP($B124,INDIRECT("'GRD-"&amp;AG124&amp;"'!$B:$R"),16,FALSE)="","",VLOOKUP($B124,INDIRECT("'GRD-"&amp;AG124&amp;"'!$B:$R"),16,FALSE)))</f>
        <v/>
      </c>
      <c r="AG124" s="132">
        <f t="array" ref="AG124">IF(AE124="","",IFERROR(OFFSET($BZ$11,0,MATCH($AE124,$CA124:$FV124,0),),""))</f>
        <v/>
      </c>
      <c r="AH124" s="121">
        <f t="array" ref="AH124">IF(AE124="","",INDIRECT("'GRD-"&amp;AG124&amp;"'!$L$7"))</f>
        <v/>
      </c>
      <c r="AI124" s="83">
        <f t="array" ref="AI124">IFERROR(OFFSET($BZ$11,ROW($B124)-11,MATCH(AI$10,$CA124:$FV124,0),),"")</f>
        <v/>
      </c>
      <c r="AJ124" s="83">
        <f>IF(AI124="","",IF(VLOOKUP($B124,INDIRECT("'GRD-"&amp;AK124&amp;"'!$B:$R"),16,FALSE)="","",VLOOKUP($B124,INDIRECT("'GRD-"&amp;AK124&amp;"'!$B:$R"),16,FALSE)))</f>
        <v/>
      </c>
      <c r="AK124" s="128">
        <f t="array" ref="AK124">IF(AI124="","",IFERROR(OFFSET($BZ$11,0,MATCH($AI124,$CA124:$FV124,0),),""))</f>
        <v/>
      </c>
      <c r="AL124" s="133">
        <f t="array" ref="AL124">IF(AI124="","",INDIRECT("'GRD-"&amp;AK124&amp;"'!$L$7"))</f>
        <v/>
      </c>
      <c r="AM124" s="84">
        <f t="array" ref="AM124">IFERROR(OFFSET($BZ$11,ROW($B124)-11,MATCH(AM$10,$CA124:$FV124,0),),"")</f>
        <v/>
      </c>
      <c r="AN124" s="84">
        <f>IF(AM124="","",IF(VLOOKUP($B124,INDIRECT("'GRD-"&amp;AO124&amp;"'!$B:$R"),16,FALSE)="","",VLOOKUP($B124,INDIRECT("'GRD-"&amp;AO124&amp;"'!$B:$R"),16,FALSE)))</f>
        <v/>
      </c>
      <c r="AO124" s="129">
        <f t="array" ref="AO124">IF(AM124="","",IFERROR(OFFSET($BZ$11,0,MATCH($AM124,$CA124:$FV124,0),),""))</f>
        <v/>
      </c>
      <c r="AP124" s="134">
        <f t="array" ref="AP124">IF(AM124="","",INDIRECT("'GRD-"&amp;AO124&amp;"'!$L$7"))</f>
        <v/>
      </c>
      <c r="AQ124" s="85">
        <f t="array" ref="AQ124">IFERROR(OFFSET($BZ$11,ROW($B124)-11,MATCH(AQ$10,$CA124:$FV124,0),),"")</f>
        <v/>
      </c>
      <c r="AR124" s="85">
        <f>IF(AQ124="","",IF(VLOOKUP($B124,INDIRECT("'GRD-"&amp;AS124&amp;"'!$B:$R"),16,FALSE)="","",VLOOKUP($B124,INDIRECT("'GRD-"&amp;AS124&amp;"'!$B:$R"),16,FALSE)))</f>
        <v/>
      </c>
      <c r="AS124" s="130">
        <f t="array" ref="AS124">IF(AQ124="","",IFERROR(OFFSET($BZ$11,0,MATCH($AQ124,$CA124:$FV124,0),),""))</f>
        <v/>
      </c>
      <c r="AT124" s="131">
        <f t="array" ref="AT124">IF(AQ124="","",INDIRECT("'GRD-"&amp;AS124&amp;"'!$L$7"))</f>
        <v/>
      </c>
      <c r="AU124" s="76">
        <f t="array" ref="AU124">IFERROR(OFFSET($BZ$11,ROW($B124)-11,MATCH(AU$10,$CA124:$FV124,0),),"")</f>
        <v/>
      </c>
      <c r="AV124" s="76">
        <f>IF(AU124="","",IF(VLOOKUP($B124,INDIRECT("'GRD-"&amp;AW124&amp;"'!$B:$R"),16,FALSE)="","",VLOOKUP($B124,INDIRECT("'GRD-"&amp;AW124&amp;"'!$B:$R"),16,FALSE)))</f>
        <v/>
      </c>
      <c r="AW124" s="132">
        <f t="array" ref="AW124">IF(AU124="","",IFERROR(OFFSET($BZ$11,0,MATCH($AU124,$CA124:$FV124,0),),""))</f>
        <v/>
      </c>
      <c r="AX124" s="121">
        <f t="array" ref="AX124">IF(AU124="","",INDIRECT("'GRD-"&amp;AW124&amp;"'!$L$7"))</f>
        <v/>
      </c>
      <c r="AY124" s="83">
        <f t="array" ref="AY124">IFERROR(OFFSET($BZ$11,ROW($B124)-11,MATCH(AY$10,$CA124:$FV124,0),),"")</f>
        <v/>
      </c>
      <c r="AZ124" s="83">
        <f>IF(AY124="","",IF(VLOOKUP($B124,INDIRECT("'GRD-"&amp;BA124&amp;"'!$B:$R"),16,FALSE)="","",VLOOKUP($B124,INDIRECT("'GRD-"&amp;BA124&amp;"'!$B:$R"),16,FALSE)))</f>
        <v/>
      </c>
      <c r="BA124" s="128">
        <f t="array" ref="BA124">IF(AY124="","",IFERROR(OFFSET($BZ$11,0,MATCH($AY124,$CA124:$FV124,0),),""))</f>
        <v/>
      </c>
      <c r="BB124" s="133">
        <f t="array" ref="BB124">IF(AY124="","",INDIRECT("'GRD-"&amp;BA124&amp;"'!$L$7"))</f>
        <v/>
      </c>
      <c r="BC124" s="84">
        <f t="array" ref="BC124">IFERROR(OFFSET($BZ$11,ROW($B124)-11,MATCH(BC$10,$CA124:$FV124,0),),"")</f>
        <v/>
      </c>
      <c r="BD124" s="84">
        <f>IF(BC124="","",IF(VLOOKUP($B124,INDIRECT("'GRD-"&amp;BE124&amp;"'!$B:$R"),16,FALSE)="","",VLOOKUP($B124,INDIRECT("'GRD-"&amp;BE124&amp;"'!$B:$R"),16,FALSE)))</f>
        <v/>
      </c>
      <c r="BE124" s="129">
        <f t="array" ref="BE124">IF(BC124="","",IFERROR(OFFSET($BZ$11,0,MATCH($BC124,$CA124:$FV124,0),),""))</f>
        <v/>
      </c>
      <c r="BF124" s="134">
        <f t="array" ref="BF124">IF(BC124="","",INDIRECT("'GRD-"&amp;BE124&amp;"'!$L$7"))</f>
        <v/>
      </c>
      <c r="CA124" s="96">
        <f>IFERROR(VLOOKUP($B124,INDIRECT("'GRD-"&amp;CA$11&amp;"'!B:R"),15,FALSE),"")</f>
        <v/>
      </c>
      <c r="CB124" s="96">
        <f>IFERROR(VLOOKUP($B124,INDIRECT("'GRD-"&amp;CB$11&amp;"'!B:R"),15,FALSE),"")</f>
        <v/>
      </c>
      <c r="CC124" s="96">
        <f>IFERROR(VLOOKUP($B124,INDIRECT("'GRD-"&amp;CC$11&amp;"'!B:R"),15,FALSE),"")</f>
        <v/>
      </c>
      <c r="CD124" s="96">
        <f>IFERROR(VLOOKUP($B124,INDIRECT("'GRD-"&amp;CD$11&amp;"'!B:R"),15,FALSE),"")</f>
        <v/>
      </c>
      <c r="CE124" s="96">
        <f>IFERROR(VLOOKUP($B124,INDIRECT("'GRD-"&amp;CE$11&amp;"'!B:R"),15,FALSE),"")</f>
        <v/>
      </c>
      <c r="CF124" s="96">
        <f>IFERROR(VLOOKUP($B124,INDIRECT("'GRD-"&amp;CF$11&amp;"'!B:R"),15,FALSE),"")</f>
        <v/>
      </c>
      <c r="CG124" s="96">
        <f>IFERROR(VLOOKUP($B124,INDIRECT("'GRD-"&amp;CG$11&amp;"'!B:R"),15,FALSE),"")</f>
        <v/>
      </c>
      <c r="CH124" s="96">
        <f>IFERROR(VLOOKUP($B124,INDIRECT("'GRD-"&amp;CH$11&amp;"'!B:R"),15,FALSE),"")</f>
        <v/>
      </c>
      <c r="CI124" s="96">
        <f>IFERROR(VLOOKUP($B124,INDIRECT("'GRD-"&amp;CI$11&amp;"'!B:R"),15,FALSE),"")</f>
        <v/>
      </c>
      <c r="CJ124" s="96">
        <f>IFERROR(VLOOKUP($B124,INDIRECT("'GRD-"&amp;CJ$11&amp;"'!B:R"),15,FALSE),"")</f>
        <v/>
      </c>
      <c r="CK124" s="96">
        <f>IFERROR(VLOOKUP($B124,INDIRECT("'GRD-"&amp;CK$11&amp;"'!B:R"),15,FALSE),"")</f>
        <v/>
      </c>
      <c r="CL124" s="96">
        <f>IFERROR(VLOOKUP($B124,INDIRECT("'GRD-"&amp;CL$11&amp;"'!B:R"),15,FALSE),"")</f>
        <v/>
      </c>
      <c r="CM124" s="96">
        <f>IFERROR(VLOOKUP($B124,INDIRECT("'GRD-"&amp;CM$11&amp;"'!B:R"),15,FALSE),"")</f>
        <v/>
      </c>
      <c r="CN124" s="96">
        <f>IFERROR(VLOOKUP($B124,INDIRECT("'GRD-"&amp;CN$11&amp;"'!B:R"),15,FALSE),"")</f>
        <v/>
      </c>
      <c r="CO124" s="96">
        <f>IFERROR(VLOOKUP($B124,INDIRECT("'GRD-"&amp;CO$11&amp;"'!B:R"),15,FALSE),"")</f>
        <v/>
      </c>
      <c r="CP124" s="96">
        <f>IFERROR(VLOOKUP($B124,INDIRECT("'GRD-"&amp;CP$11&amp;"'!B:R"),15,FALSE),"")</f>
        <v/>
      </c>
      <c r="CQ124" s="96">
        <f>IFERROR(VLOOKUP($B124,INDIRECT("'GRD-"&amp;CQ$11&amp;"'!B:R"),15,FALSE),"")</f>
        <v/>
      </c>
      <c r="CR124" s="96">
        <f>IFERROR(VLOOKUP($B124,INDIRECT("'GRD-"&amp;CR$11&amp;"'!B:R"),15,FALSE),"")</f>
        <v/>
      </c>
      <c r="CS124" s="96">
        <f>IFERROR(VLOOKUP($B124,INDIRECT("'GRD-"&amp;CS$11&amp;"'!B:R"),15,FALSE),"")</f>
        <v/>
      </c>
      <c r="CT124" s="96">
        <f>IFERROR(VLOOKUP($B124,INDIRECT("'GRD-"&amp;CT$11&amp;"'!B:R"),15,FALSE),"")</f>
        <v/>
      </c>
      <c r="CU124" s="96">
        <f>IFERROR(VLOOKUP($B124,INDIRECT("'GRD-"&amp;CU$11&amp;"'!B:R"),15,FALSE),"")</f>
        <v/>
      </c>
      <c r="CV124" s="96">
        <f>IFERROR(VLOOKUP($B124,INDIRECT("'GRD-"&amp;CV$11&amp;"'!B:R"),15,FALSE),"")</f>
        <v/>
      </c>
      <c r="CW124" s="96">
        <f>IFERROR(VLOOKUP($B124,INDIRECT("'GRD-"&amp;CW$11&amp;"'!B:R"),15,FALSE),"")</f>
        <v/>
      </c>
      <c r="CX124" s="96">
        <f>IFERROR(VLOOKUP($B124,INDIRECT("'GRD-"&amp;CX$11&amp;"'!B:R"),15,FALSE),"")</f>
        <v/>
      </c>
      <c r="CY124" s="96">
        <f>IFERROR(VLOOKUP($B124,INDIRECT("'GRD-"&amp;CY$11&amp;"'!B:R"),15,FALSE),"")</f>
        <v/>
      </c>
      <c r="CZ124" s="96">
        <f>IFERROR(VLOOKUP($B124,INDIRECT("'GRD-"&amp;CZ$11&amp;"'!B:R"),15,FALSE),"")</f>
        <v/>
      </c>
      <c r="DA124" s="96">
        <f>IFERROR(VLOOKUP($B124,INDIRECT("'GRD-"&amp;DA$11&amp;"'!B:R"),15,FALSE),"")</f>
        <v/>
      </c>
      <c r="DB124" s="96">
        <f>IFERROR(VLOOKUP($B124,INDIRECT("'GRD-"&amp;DB$11&amp;"'!B:R"),15,FALSE),"")</f>
        <v/>
      </c>
      <c r="DC124" s="96">
        <f>IFERROR(VLOOKUP($B124,INDIRECT("'GRD-"&amp;DC$11&amp;"'!B:R"),15,FALSE),"")</f>
        <v/>
      </c>
      <c r="DD124" s="96">
        <f>IFERROR(VLOOKUP($B124,INDIRECT("'GRD-"&amp;DD$11&amp;"'!B:R"),15,FALSE),"")</f>
        <v/>
      </c>
      <c r="DE124" s="96">
        <f>IFERROR(VLOOKUP($B124,INDIRECT("'GRD-"&amp;DE$11&amp;"'!B:R"),15,FALSE),"")</f>
        <v/>
      </c>
      <c r="DF124" s="96">
        <f>IFERROR(VLOOKUP($B124,INDIRECT("'GRD-"&amp;DF$11&amp;"'!B:R"),15,FALSE),"")</f>
        <v/>
      </c>
      <c r="DG124" s="96">
        <f>IFERROR(VLOOKUP($B124,INDIRECT("'GRD-"&amp;DG$11&amp;"'!B:R"),15,FALSE),"")</f>
        <v/>
      </c>
      <c r="DH124" s="96">
        <f>IFERROR(VLOOKUP($B124,INDIRECT("'GRD-"&amp;DH$11&amp;"'!B:R"),15,FALSE),"")</f>
        <v/>
      </c>
      <c r="DI124" s="96">
        <f>IFERROR(VLOOKUP($B124,INDIRECT("'GRD-"&amp;DI$11&amp;"'!B:R"),15,FALSE),"")</f>
        <v/>
      </c>
      <c r="DJ124" s="96">
        <f>IFERROR(VLOOKUP($B124,INDIRECT("'GRD-"&amp;DJ$11&amp;"'!B:R"),15,FALSE),"")</f>
        <v/>
      </c>
      <c r="DK124" s="96">
        <f>IFERROR(VLOOKUP($B124,INDIRECT("'GRD-"&amp;DK$11&amp;"'!B:R"),15,FALSE),"")</f>
        <v/>
      </c>
      <c r="DL124" s="96">
        <f>IFERROR(VLOOKUP($B124,INDIRECT("'GRD-"&amp;DL$11&amp;"'!B:R"),15,FALSE),"")</f>
        <v/>
      </c>
      <c r="DM124" s="96">
        <f>IFERROR(VLOOKUP($B124,INDIRECT("'GRD-"&amp;DM$11&amp;"'!B:R"),15,FALSE),"")</f>
        <v/>
      </c>
      <c r="DN124" s="96">
        <f>IFERROR(VLOOKUP($B124,INDIRECT("'GRD-"&amp;DN$11&amp;"'!B:R"),15,FALSE),"")</f>
        <v/>
      </c>
      <c r="DO124" s="96">
        <f>IFERROR(VLOOKUP($B124,INDIRECT("'GRD-"&amp;DO$11&amp;"'!B:R"),15,FALSE),"")</f>
        <v/>
      </c>
      <c r="DP124" s="96">
        <f>IFERROR(VLOOKUP($B124,INDIRECT("'GRD-"&amp;DP$11&amp;"'!B:R"),15,FALSE),"")</f>
        <v/>
      </c>
      <c r="DQ124" s="96">
        <f>IFERROR(VLOOKUP($B124,INDIRECT("'GRD-"&amp;DQ$11&amp;"'!B:R"),15,FALSE),"")</f>
        <v/>
      </c>
      <c r="DR124" s="96">
        <f>IFERROR(VLOOKUP($B124,INDIRECT("'GRD-"&amp;DR$11&amp;"'!B:R"),15,FALSE),"")</f>
        <v/>
      </c>
      <c r="DS124" s="96">
        <f>IFERROR(VLOOKUP($B124,INDIRECT("'GRD-"&amp;DS$11&amp;"'!B:R"),15,FALSE),"")</f>
        <v/>
      </c>
      <c r="DT124" s="96">
        <f>IFERROR(VLOOKUP($B124,INDIRECT("'GRD-"&amp;DT$11&amp;"'!B:R"),15,FALSE),"")</f>
        <v/>
      </c>
      <c r="DU124" s="96">
        <f>IFERROR(VLOOKUP($B124,INDIRECT("'GRD-"&amp;DU$11&amp;"'!B:R"),15,FALSE),"")</f>
        <v/>
      </c>
      <c r="DV124" s="96">
        <f>IFERROR(VLOOKUP($B124,INDIRECT("'GRD-"&amp;DV$11&amp;"'!B:R"),15,FALSE),"")</f>
        <v/>
      </c>
      <c r="DW124" s="96">
        <f>IFERROR(VLOOKUP($B124,INDIRECT("'GRD-"&amp;DW$11&amp;"'!B:R"),15,FALSE),"")</f>
        <v/>
      </c>
      <c r="DX124" s="96">
        <f>IFERROR(VLOOKUP($B124,INDIRECT("'GRD-"&amp;DX$11&amp;"'!B:R"),15,FALSE),"")</f>
        <v/>
      </c>
      <c r="DY124" s="96">
        <f>IFERROR(VLOOKUP($B124,INDIRECT("'GRD-"&amp;DY$11&amp;"'!B:R"),15,FALSE),"")</f>
        <v/>
      </c>
      <c r="DZ124" s="96">
        <f>IFERROR(VLOOKUP($B124,INDIRECT("'GRD-"&amp;DZ$11&amp;"'!B:R"),15,FALSE),"")</f>
        <v/>
      </c>
      <c r="EA124" s="96">
        <f>IFERROR(VLOOKUP($B124,INDIRECT("'GRD-"&amp;EA$11&amp;"'!B:R"),15,FALSE),"")</f>
        <v/>
      </c>
      <c r="EB124" s="96">
        <f>IFERROR(VLOOKUP($B124,INDIRECT("'GRD-"&amp;EB$11&amp;"'!B:R"),15,FALSE),"")</f>
        <v/>
      </c>
      <c r="EC124" s="96">
        <f>IFERROR(VLOOKUP($B124,INDIRECT("'GRD-"&amp;EC$11&amp;"'!B:R"),15,FALSE),"")</f>
        <v/>
      </c>
      <c r="ED124" s="96">
        <f>IFERROR(VLOOKUP($B124,INDIRECT("'GRD-"&amp;ED$11&amp;"'!B:R"),15,FALSE),"")</f>
        <v/>
      </c>
      <c r="EE124" s="96">
        <f>IFERROR(VLOOKUP($B124,INDIRECT("'GRD-"&amp;EE$11&amp;"'!B:R"),15,FALSE),"")</f>
        <v/>
      </c>
      <c r="EF124" s="96">
        <f>IFERROR(VLOOKUP($B124,INDIRECT("'GRD-"&amp;EF$11&amp;"'!B:R"),15,FALSE),"")</f>
        <v/>
      </c>
      <c r="EG124" s="96">
        <f>IFERROR(VLOOKUP($B124,INDIRECT("'GRD-"&amp;EG$11&amp;"'!B:R"),15,FALSE),"")</f>
        <v/>
      </c>
      <c r="EH124" s="96">
        <f>IFERROR(VLOOKUP($B124,INDIRECT("'GRD-"&amp;EH$11&amp;"'!B:R"),15,FALSE),"")</f>
        <v/>
      </c>
      <c r="EI124" s="96">
        <f>IFERROR(VLOOKUP($B124,INDIRECT("'GRD-"&amp;EI$11&amp;"'!B:R"),15,FALSE),"")</f>
        <v/>
      </c>
      <c r="EJ124" s="96">
        <f>IFERROR(VLOOKUP($B124,INDIRECT("'GRD-"&amp;EJ$11&amp;"'!B:R"),15,FALSE),"")</f>
        <v/>
      </c>
      <c r="EK124" s="96">
        <f>IFERROR(VLOOKUP($B124,INDIRECT("'GRD-"&amp;EK$11&amp;"'!B:R"),15,FALSE),"")</f>
        <v/>
      </c>
      <c r="EL124" s="96">
        <f>IFERROR(VLOOKUP($B124,INDIRECT("'GRD-"&amp;EL$11&amp;"'!B:R"),15,FALSE),"")</f>
        <v/>
      </c>
      <c r="EM124" s="96">
        <f>IFERROR(VLOOKUP($B124,INDIRECT("'GRD-"&amp;EM$11&amp;"'!B:R"),15,FALSE),"")</f>
        <v/>
      </c>
      <c r="EN124" s="96">
        <f>IFERROR(VLOOKUP($B124,INDIRECT("'GRD-"&amp;EN$11&amp;"'!B:R"),15,FALSE),"")</f>
        <v/>
      </c>
      <c r="EO124" s="96">
        <f>IFERROR(VLOOKUP($B124,INDIRECT("'GRD-"&amp;EO$11&amp;"'!B:R"),15,FALSE),"")</f>
        <v/>
      </c>
      <c r="EP124" s="96">
        <f>IFERROR(VLOOKUP($B124,INDIRECT("'GRD-"&amp;EP$11&amp;"'!B:R"),15,FALSE),"")</f>
        <v/>
      </c>
      <c r="EQ124" s="96">
        <f>IFERROR(VLOOKUP($B124,INDIRECT("'GRD-"&amp;EQ$11&amp;"'!B:R"),15,FALSE),"")</f>
        <v/>
      </c>
      <c r="ER124" s="96">
        <f>IFERROR(VLOOKUP($B124,INDIRECT("'GRD-"&amp;ER$11&amp;"'!B:R"),15,FALSE),"")</f>
        <v/>
      </c>
      <c r="ES124" s="96">
        <f>IFERROR(VLOOKUP($B124,INDIRECT("'GRD-"&amp;ES$11&amp;"'!B:R"),15,FALSE),"")</f>
        <v/>
      </c>
      <c r="ET124" s="96">
        <f>IFERROR(VLOOKUP($B124,INDIRECT("'GRD-"&amp;ET$11&amp;"'!B:R"),15,FALSE),"")</f>
        <v/>
      </c>
      <c r="EU124" s="96">
        <f>IFERROR(VLOOKUP($B124,INDIRECT("'GRD-"&amp;EU$11&amp;"'!B:R"),15,FALSE),"")</f>
        <v/>
      </c>
      <c r="EV124" s="96">
        <f>IFERROR(VLOOKUP($B124,INDIRECT("'GRD-"&amp;EV$11&amp;"'!B:R"),15,FALSE),"")</f>
        <v/>
      </c>
      <c r="EW124" s="96">
        <f>IFERROR(VLOOKUP($B124,INDIRECT("'GRD-"&amp;EW$11&amp;"'!B:R"),15,FALSE),"")</f>
        <v/>
      </c>
      <c r="EX124" s="96">
        <f>IFERROR(VLOOKUP($B124,INDIRECT("'GRD-"&amp;EX$11&amp;"'!B:R"),15,FALSE),"")</f>
        <v/>
      </c>
      <c r="EY124" s="96">
        <f>IFERROR(VLOOKUP($B124,INDIRECT("'GRD-"&amp;EY$11&amp;"'!B:R"),15,FALSE),"")</f>
        <v/>
      </c>
      <c r="EZ124" s="96">
        <f>IFERROR(VLOOKUP($B124,INDIRECT("'GRD-"&amp;EZ$11&amp;"'!B:R"),15,FALSE),"")</f>
        <v/>
      </c>
      <c r="FA124" s="96">
        <f>IFERROR(VLOOKUP($B124,INDIRECT("'GRD-"&amp;FA$11&amp;"'!B:R"),15,FALSE),"")</f>
        <v/>
      </c>
      <c r="FB124" s="96">
        <f>IFERROR(VLOOKUP($B124,INDIRECT("'GRD-"&amp;FB$11&amp;"'!B:R"),15,FALSE),"")</f>
        <v/>
      </c>
      <c r="FC124" s="96">
        <f>IFERROR(VLOOKUP($B124,INDIRECT("'GRD-"&amp;FC$11&amp;"'!B:R"),15,FALSE),"")</f>
        <v/>
      </c>
      <c r="FD124" s="96">
        <f>IFERROR(VLOOKUP($B124,INDIRECT("'GRD-"&amp;FD$11&amp;"'!B:R"),15,FALSE),"")</f>
        <v/>
      </c>
      <c r="FE124" s="96">
        <f>IFERROR(VLOOKUP($B124,INDIRECT("'GRD-"&amp;FE$11&amp;"'!B:R"),15,FALSE),"")</f>
        <v/>
      </c>
      <c r="FF124" s="96">
        <f>IFERROR(VLOOKUP($B124,INDIRECT("'GRD-"&amp;FF$11&amp;"'!B:R"),15,FALSE),"")</f>
        <v/>
      </c>
      <c r="FG124" s="96">
        <f>IFERROR(VLOOKUP($B124,INDIRECT("'GRD-"&amp;FG$11&amp;"'!B:R"),15,FALSE),"")</f>
        <v/>
      </c>
      <c r="FH124" s="96">
        <f>IFERROR(VLOOKUP($B124,INDIRECT("'GRD-"&amp;FH$11&amp;"'!B:R"),15,FALSE),"")</f>
        <v/>
      </c>
      <c r="FI124" s="96">
        <f>IFERROR(VLOOKUP($B124,INDIRECT("'GRD-"&amp;FI$11&amp;"'!B:R"),15,FALSE),"")</f>
        <v/>
      </c>
      <c r="FJ124" s="96">
        <f>IFERROR(VLOOKUP($B124,INDIRECT("'GRD-"&amp;FJ$11&amp;"'!B:R"),15,FALSE),"")</f>
        <v/>
      </c>
      <c r="FK124" s="96">
        <f>IFERROR(VLOOKUP($B124,INDIRECT("'GRD-"&amp;FK$11&amp;"'!B:R"),15,FALSE),"")</f>
        <v/>
      </c>
      <c r="FL124" s="96">
        <f>IFERROR(VLOOKUP($B124,INDIRECT("'GRD-"&amp;FL$11&amp;"'!B:R"),15,FALSE),"")</f>
        <v/>
      </c>
      <c r="FM124" s="96">
        <f>IFERROR(VLOOKUP($B124,INDIRECT("'GRD-"&amp;FM$11&amp;"'!B:R"),15,FALSE),"")</f>
        <v/>
      </c>
      <c r="FN124" s="96">
        <f>IFERROR(VLOOKUP($B124,INDIRECT("'GRD-"&amp;FN$11&amp;"'!B:R"),15,FALSE),"")</f>
        <v/>
      </c>
      <c r="FO124" s="96">
        <f>IFERROR(VLOOKUP($B124,INDIRECT("'GRD-"&amp;FO$11&amp;"'!B:R"),15,FALSE),"")</f>
        <v/>
      </c>
      <c r="FP124" s="96">
        <f>IFERROR(VLOOKUP($B124,INDIRECT("'GRD-"&amp;FP$11&amp;"'!B:R"),15,FALSE),"")</f>
        <v/>
      </c>
      <c r="FQ124" s="96">
        <f>IFERROR(VLOOKUP($B124,INDIRECT("'GRD-"&amp;FQ$11&amp;"'!B:R"),15,FALSE),"")</f>
        <v/>
      </c>
      <c r="FR124" s="96">
        <f>IFERROR(VLOOKUP($B124,INDIRECT("'GRD-"&amp;FR$11&amp;"'!B:R"),15,FALSE),"")</f>
        <v/>
      </c>
      <c r="FS124" s="96">
        <f>IFERROR(VLOOKUP($B124,INDIRECT("'GRD-"&amp;FS$11&amp;"'!B:R"),15,FALSE),"")</f>
        <v/>
      </c>
      <c r="FT124" s="96">
        <f>IFERROR(VLOOKUP($B124,INDIRECT("'GRD-"&amp;FT$11&amp;"'!B:R"),15,FALSE),"")</f>
        <v/>
      </c>
      <c r="FU124" s="96">
        <f>IFERROR(VLOOKUP($B124,INDIRECT("'GRD-"&amp;FU$11&amp;"'!B:R"),15,FALSE),"")</f>
        <v/>
      </c>
      <c r="FV124" s="96">
        <f>IFERROR(VLOOKUP($B124,INDIRECT("'GRD-"&amp;FV$11&amp;"'!B:R"),15,FALSE),"")</f>
        <v/>
      </c>
    </row>
    <row r="125">
      <c r="B125" s="85" t="n"/>
      <c r="C125" s="93" t="n"/>
      <c r="D125" s="73">
        <f>IF(K125="","",MAX($CA125:$FV125))</f>
        <v/>
      </c>
      <c r="E125" s="74">
        <f t="array" ref="E125">IF($K125="","",OFFSET($A$1,ROW($B125)-1,11+$D125*4,))</f>
        <v/>
      </c>
      <c r="F125" s="74">
        <f t="array" ref="F125">IF($K125="","",OFFSET($A$1,ROW($B125)-1,12+$D125*4,))</f>
        <v/>
      </c>
      <c r="G125" s="118">
        <f t="array" ref="G125">IF($K125="","",OFFSET($A$1,ROW($B125)-1,13+$D125*4,))</f>
        <v/>
      </c>
      <c r="H125" s="81" t="n"/>
      <c r="I125" s="82" t="n"/>
      <c r="J125" s="75">
        <f>IF(I125="A4",H125/8,IF(I125="A3",H125/4,IF(I125="A2",H125/2,IF(I125="A1",H125/1,IF(I125="A0",H125*2,"")))))</f>
        <v/>
      </c>
      <c r="K125" s="68">
        <f t="array" ref="K125">IFERROR(OFFSET($BZ$11,ROW($B125)-11,MATCH(K$10,$CA125:$FV125,0),),"")</f>
        <v/>
      </c>
      <c r="L125" s="85">
        <f>IF(K125="","",IF(VLOOKUP($B125,INDIRECT("'GRD-"&amp;M125&amp;"'!$B:$R"),16,FALSE)="","",VLOOKUP($B125,INDIRECT("'GRD-"&amp;M125&amp;"'!$B:$R"),16,FALSE)))</f>
        <v/>
      </c>
      <c r="M125" s="130">
        <f t="array" ref="M125">IF(K125="","",IFERROR(OFFSET($BZ$11,0,MATCH($K125,$CA125:$FV125,0),),""))</f>
        <v/>
      </c>
      <c r="N125" s="119">
        <f t="array" ref="N125">IF(K125="","",INDIRECT("'GRD-"&amp;M125&amp;"'!$L$7"))</f>
        <v/>
      </c>
      <c r="O125" s="76">
        <f t="array" ref="O125">IFERROR(OFFSET($BZ$11,ROW($B125)-11,MATCH(O$10,$CA125:$FV125,0),),"")</f>
        <v/>
      </c>
      <c r="P125" s="76">
        <f>IF(O125="","",IF(VLOOKUP($B125,INDIRECT("'GRD-"&amp;Q125&amp;"'!$B:$R"),16,FALSE)="","",VLOOKUP($B125,INDIRECT("'GRD-"&amp;Q125&amp;"'!$B:$R"),16,FALSE)))</f>
        <v/>
      </c>
      <c r="Q125" s="132">
        <f t="array" ref="Q125">IF(O125="","",IFERROR(OFFSET($BZ$11,0,MATCH($O125,$CA125:$FV125,0),),""))</f>
        <v/>
      </c>
      <c r="R125" s="121">
        <f t="array" ref="R125">IF(O125="","",INDIRECT("'GRD-"&amp;Q125&amp;"'!$L$7"))</f>
        <v/>
      </c>
      <c r="S125" s="83">
        <f t="array" ref="S125">IFERROR(OFFSET($BZ$11,ROW($B125)-11,MATCH(S$10,$CA125:$FV125,0),),"")</f>
        <v/>
      </c>
      <c r="T125" s="83">
        <f>IF(S125="","",IF(VLOOKUP($B125,INDIRECT("'GRD-"&amp;U125&amp;"'!$B:$R"),16,FALSE)="","",VLOOKUP($B125,INDIRECT("'GRD-"&amp;U125&amp;"'!$B:$R"),16,FALSE)))</f>
        <v/>
      </c>
      <c r="U125" s="128">
        <f t="array" ref="U125">IF(S125="","",IFERROR(OFFSET($BZ$11,0,MATCH($S125,$CA125:$FV125,0),),""))</f>
        <v/>
      </c>
      <c r="V125" s="133">
        <f t="array" ref="V125">IF(S125="","",INDIRECT("'GRD-"&amp;U125&amp;"'!$L$7"))</f>
        <v/>
      </c>
      <c r="W125" s="84">
        <f t="array" ref="W125">IFERROR(OFFSET($BZ$11,ROW($B125)-11,MATCH(W$10,$CA125:$FV125,0),),"")</f>
        <v/>
      </c>
      <c r="X125" s="84">
        <f>IF(W125="","",IF(VLOOKUP($B125,INDIRECT("'GRD-"&amp;Y125&amp;"'!$B:$R"),16,FALSE)="","",VLOOKUP($B125,INDIRECT("'GRD-"&amp;Y125&amp;"'!$B:$R"),16,FALSE)))</f>
        <v/>
      </c>
      <c r="Y125" s="129">
        <f t="array" ref="Y125">IF(W125="","",IFERROR(OFFSET($BZ$11,0,MATCH($W125,$CA125:$FV125,0),),""))</f>
        <v/>
      </c>
      <c r="Z125" s="134">
        <f t="array" ref="Z125">IF(W125="","",INDIRECT("'GRD-"&amp;Y125&amp;"'!$L$7"))</f>
        <v/>
      </c>
      <c r="AA125" s="85">
        <f t="array" ref="AA125">IFERROR(OFFSET($BZ$11,ROW($B125)-11,MATCH(AA$10,$CA125:$FV125,0),),"")</f>
        <v/>
      </c>
      <c r="AB125" s="85">
        <f>IF(AA125="","",IF(VLOOKUP($B125,INDIRECT("'GRD-"&amp;AC125&amp;"'!$B:$R"),16,FALSE)="","",VLOOKUP($B125,INDIRECT("'GRD-"&amp;AC125&amp;"'!$B:$R"),16,FALSE)))</f>
        <v/>
      </c>
      <c r="AC125" s="130">
        <f t="array" ref="AC125">IF(AA125="","",IFERROR(OFFSET($BZ$11,0,MATCH($AA125,$CA125:$FV125,0),),""))</f>
        <v/>
      </c>
      <c r="AD125" s="131">
        <f t="array" ref="AD125">IF(AA125="","",INDIRECT("'GRD-"&amp;AC125&amp;"'!$L$7"))</f>
        <v/>
      </c>
      <c r="AE125" s="76">
        <f t="array" ref="AE125">IFERROR(OFFSET($BZ$11,ROW($B125)-11,MATCH(AE$10,$CA125:$FV125,0),),"")</f>
        <v/>
      </c>
      <c r="AF125" s="76">
        <f>IF(AE125="","",IF(VLOOKUP($B125,INDIRECT("'GRD-"&amp;AG125&amp;"'!$B:$R"),16,FALSE)="","",VLOOKUP($B125,INDIRECT("'GRD-"&amp;AG125&amp;"'!$B:$R"),16,FALSE)))</f>
        <v/>
      </c>
      <c r="AG125" s="132">
        <f t="array" ref="AG125">IF(AE125="","",IFERROR(OFFSET($BZ$11,0,MATCH($AE125,$CA125:$FV125,0),),""))</f>
        <v/>
      </c>
      <c r="AH125" s="121">
        <f t="array" ref="AH125">IF(AE125="","",INDIRECT("'GRD-"&amp;AG125&amp;"'!$L$7"))</f>
        <v/>
      </c>
      <c r="AI125" s="83">
        <f t="array" ref="AI125">IFERROR(OFFSET($BZ$11,ROW($B125)-11,MATCH(AI$10,$CA125:$FV125,0),),"")</f>
        <v/>
      </c>
      <c r="AJ125" s="83">
        <f>IF(AI125="","",IF(VLOOKUP($B125,INDIRECT("'GRD-"&amp;AK125&amp;"'!$B:$R"),16,FALSE)="","",VLOOKUP($B125,INDIRECT("'GRD-"&amp;AK125&amp;"'!$B:$R"),16,FALSE)))</f>
        <v/>
      </c>
      <c r="AK125" s="128">
        <f t="array" ref="AK125">IF(AI125="","",IFERROR(OFFSET($BZ$11,0,MATCH($AI125,$CA125:$FV125,0),),""))</f>
        <v/>
      </c>
      <c r="AL125" s="133">
        <f t="array" ref="AL125">IF(AI125="","",INDIRECT("'GRD-"&amp;AK125&amp;"'!$L$7"))</f>
        <v/>
      </c>
      <c r="AM125" s="84">
        <f t="array" ref="AM125">IFERROR(OFFSET($BZ$11,ROW($B125)-11,MATCH(AM$10,$CA125:$FV125,0),),"")</f>
        <v/>
      </c>
      <c r="AN125" s="84">
        <f>IF(AM125="","",IF(VLOOKUP($B125,INDIRECT("'GRD-"&amp;AO125&amp;"'!$B:$R"),16,FALSE)="","",VLOOKUP($B125,INDIRECT("'GRD-"&amp;AO125&amp;"'!$B:$R"),16,FALSE)))</f>
        <v/>
      </c>
      <c r="AO125" s="129">
        <f t="array" ref="AO125">IF(AM125="","",IFERROR(OFFSET($BZ$11,0,MATCH($AM125,$CA125:$FV125,0),),""))</f>
        <v/>
      </c>
      <c r="AP125" s="134">
        <f t="array" ref="AP125">IF(AM125="","",INDIRECT("'GRD-"&amp;AO125&amp;"'!$L$7"))</f>
        <v/>
      </c>
      <c r="AQ125" s="85">
        <f t="array" ref="AQ125">IFERROR(OFFSET($BZ$11,ROW($B125)-11,MATCH(AQ$10,$CA125:$FV125,0),),"")</f>
        <v/>
      </c>
      <c r="AR125" s="85">
        <f>IF(AQ125="","",IF(VLOOKUP($B125,INDIRECT("'GRD-"&amp;AS125&amp;"'!$B:$R"),16,FALSE)="","",VLOOKUP($B125,INDIRECT("'GRD-"&amp;AS125&amp;"'!$B:$R"),16,FALSE)))</f>
        <v/>
      </c>
      <c r="AS125" s="130">
        <f t="array" ref="AS125">IF(AQ125="","",IFERROR(OFFSET($BZ$11,0,MATCH($AQ125,$CA125:$FV125,0),),""))</f>
        <v/>
      </c>
      <c r="AT125" s="131">
        <f t="array" ref="AT125">IF(AQ125="","",INDIRECT("'GRD-"&amp;AS125&amp;"'!$L$7"))</f>
        <v/>
      </c>
      <c r="AU125" s="76">
        <f t="array" ref="AU125">IFERROR(OFFSET($BZ$11,ROW($B125)-11,MATCH(AU$10,$CA125:$FV125,0),),"")</f>
        <v/>
      </c>
      <c r="AV125" s="76">
        <f>IF(AU125="","",IF(VLOOKUP($B125,INDIRECT("'GRD-"&amp;AW125&amp;"'!$B:$R"),16,FALSE)="","",VLOOKUP($B125,INDIRECT("'GRD-"&amp;AW125&amp;"'!$B:$R"),16,FALSE)))</f>
        <v/>
      </c>
      <c r="AW125" s="132">
        <f t="array" ref="AW125">IF(AU125="","",IFERROR(OFFSET($BZ$11,0,MATCH($AU125,$CA125:$FV125,0),),""))</f>
        <v/>
      </c>
      <c r="AX125" s="121">
        <f t="array" ref="AX125">IF(AU125="","",INDIRECT("'GRD-"&amp;AW125&amp;"'!$L$7"))</f>
        <v/>
      </c>
      <c r="AY125" s="83">
        <f t="array" ref="AY125">IFERROR(OFFSET($BZ$11,ROW($B125)-11,MATCH(AY$10,$CA125:$FV125,0),),"")</f>
        <v/>
      </c>
      <c r="AZ125" s="83">
        <f>IF(AY125="","",IF(VLOOKUP($B125,INDIRECT("'GRD-"&amp;BA125&amp;"'!$B:$R"),16,FALSE)="","",VLOOKUP($B125,INDIRECT("'GRD-"&amp;BA125&amp;"'!$B:$R"),16,FALSE)))</f>
        <v/>
      </c>
      <c r="BA125" s="128">
        <f t="array" ref="BA125">IF(AY125="","",IFERROR(OFFSET($BZ$11,0,MATCH($AY125,$CA125:$FV125,0),),""))</f>
        <v/>
      </c>
      <c r="BB125" s="133">
        <f t="array" ref="BB125">IF(AY125="","",INDIRECT("'GRD-"&amp;BA125&amp;"'!$L$7"))</f>
        <v/>
      </c>
      <c r="BC125" s="84">
        <f t="array" ref="BC125">IFERROR(OFFSET($BZ$11,ROW($B125)-11,MATCH(BC$10,$CA125:$FV125,0),),"")</f>
        <v/>
      </c>
      <c r="BD125" s="84">
        <f>IF(BC125="","",IF(VLOOKUP($B125,INDIRECT("'GRD-"&amp;BE125&amp;"'!$B:$R"),16,FALSE)="","",VLOOKUP($B125,INDIRECT("'GRD-"&amp;BE125&amp;"'!$B:$R"),16,FALSE)))</f>
        <v/>
      </c>
      <c r="BE125" s="129">
        <f t="array" ref="BE125">IF(BC125="","",IFERROR(OFFSET($BZ$11,0,MATCH($BC125,$CA125:$FV125,0),),""))</f>
        <v/>
      </c>
      <c r="BF125" s="134">
        <f t="array" ref="BF125">IF(BC125="","",INDIRECT("'GRD-"&amp;BE125&amp;"'!$L$7"))</f>
        <v/>
      </c>
      <c r="CA125" s="96">
        <f>IFERROR(VLOOKUP($B125,INDIRECT("'GRD-"&amp;CA$11&amp;"'!B:R"),15,FALSE),"")</f>
        <v/>
      </c>
      <c r="CB125" s="96">
        <f>IFERROR(VLOOKUP($B125,INDIRECT("'GRD-"&amp;CB$11&amp;"'!B:R"),15,FALSE),"")</f>
        <v/>
      </c>
      <c r="CC125" s="96">
        <f>IFERROR(VLOOKUP($B125,INDIRECT("'GRD-"&amp;CC$11&amp;"'!B:R"),15,FALSE),"")</f>
        <v/>
      </c>
      <c r="CD125" s="96">
        <f>IFERROR(VLOOKUP($B125,INDIRECT("'GRD-"&amp;CD$11&amp;"'!B:R"),15,FALSE),"")</f>
        <v/>
      </c>
      <c r="CE125" s="96">
        <f>IFERROR(VLOOKUP($B125,INDIRECT("'GRD-"&amp;CE$11&amp;"'!B:R"),15,FALSE),"")</f>
        <v/>
      </c>
      <c r="CF125" s="96">
        <f>IFERROR(VLOOKUP($B125,INDIRECT("'GRD-"&amp;CF$11&amp;"'!B:R"),15,FALSE),"")</f>
        <v/>
      </c>
      <c r="CG125" s="96">
        <f>IFERROR(VLOOKUP($B125,INDIRECT("'GRD-"&amp;CG$11&amp;"'!B:R"),15,FALSE),"")</f>
        <v/>
      </c>
      <c r="CH125" s="96">
        <f>IFERROR(VLOOKUP($B125,INDIRECT("'GRD-"&amp;CH$11&amp;"'!B:R"),15,FALSE),"")</f>
        <v/>
      </c>
      <c r="CI125" s="96">
        <f>IFERROR(VLOOKUP($B125,INDIRECT("'GRD-"&amp;CI$11&amp;"'!B:R"),15,FALSE),"")</f>
        <v/>
      </c>
      <c r="CJ125" s="96">
        <f>IFERROR(VLOOKUP($B125,INDIRECT("'GRD-"&amp;CJ$11&amp;"'!B:R"),15,FALSE),"")</f>
        <v/>
      </c>
      <c r="CK125" s="96">
        <f>IFERROR(VLOOKUP($B125,INDIRECT("'GRD-"&amp;CK$11&amp;"'!B:R"),15,FALSE),"")</f>
        <v/>
      </c>
      <c r="CL125" s="96">
        <f>IFERROR(VLOOKUP($B125,INDIRECT("'GRD-"&amp;CL$11&amp;"'!B:R"),15,FALSE),"")</f>
        <v/>
      </c>
      <c r="CM125" s="96">
        <f>IFERROR(VLOOKUP($B125,INDIRECT("'GRD-"&amp;CM$11&amp;"'!B:R"),15,FALSE),"")</f>
        <v/>
      </c>
      <c r="CN125" s="96">
        <f>IFERROR(VLOOKUP($B125,INDIRECT("'GRD-"&amp;CN$11&amp;"'!B:R"),15,FALSE),"")</f>
        <v/>
      </c>
      <c r="CO125" s="96">
        <f>IFERROR(VLOOKUP($B125,INDIRECT("'GRD-"&amp;CO$11&amp;"'!B:R"),15,FALSE),"")</f>
        <v/>
      </c>
      <c r="CP125" s="96">
        <f>IFERROR(VLOOKUP($B125,INDIRECT("'GRD-"&amp;CP$11&amp;"'!B:R"),15,FALSE),"")</f>
        <v/>
      </c>
      <c r="CQ125" s="96">
        <f>IFERROR(VLOOKUP($B125,INDIRECT("'GRD-"&amp;CQ$11&amp;"'!B:R"),15,FALSE),"")</f>
        <v/>
      </c>
      <c r="CR125" s="96">
        <f>IFERROR(VLOOKUP($B125,INDIRECT("'GRD-"&amp;CR$11&amp;"'!B:R"),15,FALSE),"")</f>
        <v/>
      </c>
      <c r="CS125" s="96">
        <f>IFERROR(VLOOKUP($B125,INDIRECT("'GRD-"&amp;CS$11&amp;"'!B:R"),15,FALSE),"")</f>
        <v/>
      </c>
      <c r="CT125" s="96">
        <f>IFERROR(VLOOKUP($B125,INDIRECT("'GRD-"&amp;CT$11&amp;"'!B:R"),15,FALSE),"")</f>
        <v/>
      </c>
      <c r="CU125" s="96">
        <f>IFERROR(VLOOKUP($B125,INDIRECT("'GRD-"&amp;CU$11&amp;"'!B:R"),15,FALSE),"")</f>
        <v/>
      </c>
      <c r="CV125" s="96">
        <f>IFERROR(VLOOKUP($B125,INDIRECT("'GRD-"&amp;CV$11&amp;"'!B:R"),15,FALSE),"")</f>
        <v/>
      </c>
      <c r="CW125" s="96">
        <f>IFERROR(VLOOKUP($B125,INDIRECT("'GRD-"&amp;CW$11&amp;"'!B:R"),15,FALSE),"")</f>
        <v/>
      </c>
      <c r="CX125" s="96">
        <f>IFERROR(VLOOKUP($B125,INDIRECT("'GRD-"&amp;CX$11&amp;"'!B:R"),15,FALSE),"")</f>
        <v/>
      </c>
      <c r="CY125" s="96">
        <f>IFERROR(VLOOKUP($B125,INDIRECT("'GRD-"&amp;CY$11&amp;"'!B:R"),15,FALSE),"")</f>
        <v/>
      </c>
      <c r="CZ125" s="96">
        <f>IFERROR(VLOOKUP($B125,INDIRECT("'GRD-"&amp;CZ$11&amp;"'!B:R"),15,FALSE),"")</f>
        <v/>
      </c>
      <c r="DA125" s="96">
        <f>IFERROR(VLOOKUP($B125,INDIRECT("'GRD-"&amp;DA$11&amp;"'!B:R"),15,FALSE),"")</f>
        <v/>
      </c>
      <c r="DB125" s="96">
        <f>IFERROR(VLOOKUP($B125,INDIRECT("'GRD-"&amp;DB$11&amp;"'!B:R"),15,FALSE),"")</f>
        <v/>
      </c>
      <c r="DC125" s="96">
        <f>IFERROR(VLOOKUP($B125,INDIRECT("'GRD-"&amp;DC$11&amp;"'!B:R"),15,FALSE),"")</f>
        <v/>
      </c>
      <c r="DD125" s="96">
        <f>IFERROR(VLOOKUP($B125,INDIRECT("'GRD-"&amp;DD$11&amp;"'!B:R"),15,FALSE),"")</f>
        <v/>
      </c>
      <c r="DE125" s="96">
        <f>IFERROR(VLOOKUP($B125,INDIRECT("'GRD-"&amp;DE$11&amp;"'!B:R"),15,FALSE),"")</f>
        <v/>
      </c>
      <c r="DF125" s="96">
        <f>IFERROR(VLOOKUP($B125,INDIRECT("'GRD-"&amp;DF$11&amp;"'!B:R"),15,FALSE),"")</f>
        <v/>
      </c>
      <c r="DG125" s="96">
        <f>IFERROR(VLOOKUP($B125,INDIRECT("'GRD-"&amp;DG$11&amp;"'!B:R"),15,FALSE),"")</f>
        <v/>
      </c>
      <c r="DH125" s="96">
        <f>IFERROR(VLOOKUP($B125,INDIRECT("'GRD-"&amp;DH$11&amp;"'!B:R"),15,FALSE),"")</f>
        <v/>
      </c>
      <c r="DI125" s="96">
        <f>IFERROR(VLOOKUP($B125,INDIRECT("'GRD-"&amp;DI$11&amp;"'!B:R"),15,FALSE),"")</f>
        <v/>
      </c>
      <c r="DJ125" s="96">
        <f>IFERROR(VLOOKUP($B125,INDIRECT("'GRD-"&amp;DJ$11&amp;"'!B:R"),15,FALSE),"")</f>
        <v/>
      </c>
      <c r="DK125" s="96">
        <f>IFERROR(VLOOKUP($B125,INDIRECT("'GRD-"&amp;DK$11&amp;"'!B:R"),15,FALSE),"")</f>
        <v/>
      </c>
      <c r="DL125" s="96">
        <f>IFERROR(VLOOKUP($B125,INDIRECT("'GRD-"&amp;DL$11&amp;"'!B:R"),15,FALSE),"")</f>
        <v/>
      </c>
      <c r="DM125" s="96">
        <f>IFERROR(VLOOKUP($B125,INDIRECT("'GRD-"&amp;DM$11&amp;"'!B:R"),15,FALSE),"")</f>
        <v/>
      </c>
      <c r="DN125" s="96">
        <f>IFERROR(VLOOKUP($B125,INDIRECT("'GRD-"&amp;DN$11&amp;"'!B:R"),15,FALSE),"")</f>
        <v/>
      </c>
      <c r="DO125" s="96">
        <f>IFERROR(VLOOKUP($B125,INDIRECT("'GRD-"&amp;DO$11&amp;"'!B:R"),15,FALSE),"")</f>
        <v/>
      </c>
      <c r="DP125" s="96">
        <f>IFERROR(VLOOKUP($B125,INDIRECT("'GRD-"&amp;DP$11&amp;"'!B:R"),15,FALSE),"")</f>
        <v/>
      </c>
      <c r="DQ125" s="96">
        <f>IFERROR(VLOOKUP($B125,INDIRECT("'GRD-"&amp;DQ$11&amp;"'!B:R"),15,FALSE),"")</f>
        <v/>
      </c>
      <c r="DR125" s="96">
        <f>IFERROR(VLOOKUP($B125,INDIRECT("'GRD-"&amp;DR$11&amp;"'!B:R"),15,FALSE),"")</f>
        <v/>
      </c>
      <c r="DS125" s="96">
        <f>IFERROR(VLOOKUP($B125,INDIRECT("'GRD-"&amp;DS$11&amp;"'!B:R"),15,FALSE),"")</f>
        <v/>
      </c>
      <c r="DT125" s="96">
        <f>IFERROR(VLOOKUP($B125,INDIRECT("'GRD-"&amp;DT$11&amp;"'!B:R"),15,FALSE),"")</f>
        <v/>
      </c>
      <c r="DU125" s="96">
        <f>IFERROR(VLOOKUP($B125,INDIRECT("'GRD-"&amp;DU$11&amp;"'!B:R"),15,FALSE),"")</f>
        <v/>
      </c>
      <c r="DV125" s="96">
        <f>IFERROR(VLOOKUP($B125,INDIRECT("'GRD-"&amp;DV$11&amp;"'!B:R"),15,FALSE),"")</f>
        <v/>
      </c>
      <c r="DW125" s="96">
        <f>IFERROR(VLOOKUP($B125,INDIRECT("'GRD-"&amp;DW$11&amp;"'!B:R"),15,FALSE),"")</f>
        <v/>
      </c>
      <c r="DX125" s="96">
        <f>IFERROR(VLOOKUP($B125,INDIRECT("'GRD-"&amp;DX$11&amp;"'!B:R"),15,FALSE),"")</f>
        <v/>
      </c>
      <c r="DY125" s="96">
        <f>IFERROR(VLOOKUP($B125,INDIRECT("'GRD-"&amp;DY$11&amp;"'!B:R"),15,FALSE),"")</f>
        <v/>
      </c>
      <c r="DZ125" s="96">
        <f>IFERROR(VLOOKUP($B125,INDIRECT("'GRD-"&amp;DZ$11&amp;"'!B:R"),15,FALSE),"")</f>
        <v/>
      </c>
      <c r="EA125" s="96">
        <f>IFERROR(VLOOKUP($B125,INDIRECT("'GRD-"&amp;EA$11&amp;"'!B:R"),15,FALSE),"")</f>
        <v/>
      </c>
      <c r="EB125" s="96">
        <f>IFERROR(VLOOKUP($B125,INDIRECT("'GRD-"&amp;EB$11&amp;"'!B:R"),15,FALSE),"")</f>
        <v/>
      </c>
      <c r="EC125" s="96">
        <f>IFERROR(VLOOKUP($B125,INDIRECT("'GRD-"&amp;EC$11&amp;"'!B:R"),15,FALSE),"")</f>
        <v/>
      </c>
      <c r="ED125" s="96">
        <f>IFERROR(VLOOKUP($B125,INDIRECT("'GRD-"&amp;ED$11&amp;"'!B:R"),15,FALSE),"")</f>
        <v/>
      </c>
      <c r="EE125" s="96">
        <f>IFERROR(VLOOKUP($B125,INDIRECT("'GRD-"&amp;EE$11&amp;"'!B:R"),15,FALSE),"")</f>
        <v/>
      </c>
      <c r="EF125" s="96">
        <f>IFERROR(VLOOKUP($B125,INDIRECT("'GRD-"&amp;EF$11&amp;"'!B:R"),15,FALSE),"")</f>
        <v/>
      </c>
      <c r="EG125" s="96">
        <f>IFERROR(VLOOKUP($B125,INDIRECT("'GRD-"&amp;EG$11&amp;"'!B:R"),15,FALSE),"")</f>
        <v/>
      </c>
      <c r="EH125" s="96">
        <f>IFERROR(VLOOKUP($B125,INDIRECT("'GRD-"&amp;EH$11&amp;"'!B:R"),15,FALSE),"")</f>
        <v/>
      </c>
      <c r="EI125" s="96">
        <f>IFERROR(VLOOKUP($B125,INDIRECT("'GRD-"&amp;EI$11&amp;"'!B:R"),15,FALSE),"")</f>
        <v/>
      </c>
      <c r="EJ125" s="96">
        <f>IFERROR(VLOOKUP($B125,INDIRECT("'GRD-"&amp;EJ$11&amp;"'!B:R"),15,FALSE),"")</f>
        <v/>
      </c>
      <c r="EK125" s="96">
        <f>IFERROR(VLOOKUP($B125,INDIRECT("'GRD-"&amp;EK$11&amp;"'!B:R"),15,FALSE),"")</f>
        <v/>
      </c>
      <c r="EL125" s="96">
        <f>IFERROR(VLOOKUP($B125,INDIRECT("'GRD-"&amp;EL$11&amp;"'!B:R"),15,FALSE),"")</f>
        <v/>
      </c>
      <c r="EM125" s="96">
        <f>IFERROR(VLOOKUP($B125,INDIRECT("'GRD-"&amp;EM$11&amp;"'!B:R"),15,FALSE),"")</f>
        <v/>
      </c>
      <c r="EN125" s="96">
        <f>IFERROR(VLOOKUP($B125,INDIRECT("'GRD-"&amp;EN$11&amp;"'!B:R"),15,FALSE),"")</f>
        <v/>
      </c>
      <c r="EO125" s="96">
        <f>IFERROR(VLOOKUP($B125,INDIRECT("'GRD-"&amp;EO$11&amp;"'!B:R"),15,FALSE),"")</f>
        <v/>
      </c>
      <c r="EP125" s="96">
        <f>IFERROR(VLOOKUP($B125,INDIRECT("'GRD-"&amp;EP$11&amp;"'!B:R"),15,FALSE),"")</f>
        <v/>
      </c>
      <c r="EQ125" s="96">
        <f>IFERROR(VLOOKUP($B125,INDIRECT("'GRD-"&amp;EQ$11&amp;"'!B:R"),15,FALSE),"")</f>
        <v/>
      </c>
      <c r="ER125" s="96">
        <f>IFERROR(VLOOKUP($B125,INDIRECT("'GRD-"&amp;ER$11&amp;"'!B:R"),15,FALSE),"")</f>
        <v/>
      </c>
      <c r="ES125" s="96">
        <f>IFERROR(VLOOKUP($B125,INDIRECT("'GRD-"&amp;ES$11&amp;"'!B:R"),15,FALSE),"")</f>
        <v/>
      </c>
      <c r="ET125" s="96">
        <f>IFERROR(VLOOKUP($B125,INDIRECT("'GRD-"&amp;ET$11&amp;"'!B:R"),15,FALSE),"")</f>
        <v/>
      </c>
      <c r="EU125" s="96">
        <f>IFERROR(VLOOKUP($B125,INDIRECT("'GRD-"&amp;EU$11&amp;"'!B:R"),15,FALSE),"")</f>
        <v/>
      </c>
      <c r="EV125" s="96">
        <f>IFERROR(VLOOKUP($B125,INDIRECT("'GRD-"&amp;EV$11&amp;"'!B:R"),15,FALSE),"")</f>
        <v/>
      </c>
      <c r="EW125" s="96">
        <f>IFERROR(VLOOKUP($B125,INDIRECT("'GRD-"&amp;EW$11&amp;"'!B:R"),15,FALSE),"")</f>
        <v/>
      </c>
      <c r="EX125" s="96">
        <f>IFERROR(VLOOKUP($B125,INDIRECT("'GRD-"&amp;EX$11&amp;"'!B:R"),15,FALSE),"")</f>
        <v/>
      </c>
      <c r="EY125" s="96">
        <f>IFERROR(VLOOKUP($B125,INDIRECT("'GRD-"&amp;EY$11&amp;"'!B:R"),15,FALSE),"")</f>
        <v/>
      </c>
      <c r="EZ125" s="96">
        <f>IFERROR(VLOOKUP($B125,INDIRECT("'GRD-"&amp;EZ$11&amp;"'!B:R"),15,FALSE),"")</f>
        <v/>
      </c>
      <c r="FA125" s="96">
        <f>IFERROR(VLOOKUP($B125,INDIRECT("'GRD-"&amp;FA$11&amp;"'!B:R"),15,FALSE),"")</f>
        <v/>
      </c>
      <c r="FB125" s="96">
        <f>IFERROR(VLOOKUP($B125,INDIRECT("'GRD-"&amp;FB$11&amp;"'!B:R"),15,FALSE),"")</f>
        <v/>
      </c>
      <c r="FC125" s="96">
        <f>IFERROR(VLOOKUP($B125,INDIRECT("'GRD-"&amp;FC$11&amp;"'!B:R"),15,FALSE),"")</f>
        <v/>
      </c>
      <c r="FD125" s="96">
        <f>IFERROR(VLOOKUP($B125,INDIRECT("'GRD-"&amp;FD$11&amp;"'!B:R"),15,FALSE),"")</f>
        <v/>
      </c>
      <c r="FE125" s="96">
        <f>IFERROR(VLOOKUP($B125,INDIRECT("'GRD-"&amp;FE$11&amp;"'!B:R"),15,FALSE),"")</f>
        <v/>
      </c>
      <c r="FF125" s="96">
        <f>IFERROR(VLOOKUP($B125,INDIRECT("'GRD-"&amp;FF$11&amp;"'!B:R"),15,FALSE),"")</f>
        <v/>
      </c>
      <c r="FG125" s="96">
        <f>IFERROR(VLOOKUP($B125,INDIRECT("'GRD-"&amp;FG$11&amp;"'!B:R"),15,FALSE),"")</f>
        <v/>
      </c>
      <c r="FH125" s="96">
        <f>IFERROR(VLOOKUP($B125,INDIRECT("'GRD-"&amp;FH$11&amp;"'!B:R"),15,FALSE),"")</f>
        <v/>
      </c>
      <c r="FI125" s="96">
        <f>IFERROR(VLOOKUP($B125,INDIRECT("'GRD-"&amp;FI$11&amp;"'!B:R"),15,FALSE),"")</f>
        <v/>
      </c>
      <c r="FJ125" s="96">
        <f>IFERROR(VLOOKUP($B125,INDIRECT("'GRD-"&amp;FJ$11&amp;"'!B:R"),15,FALSE),"")</f>
        <v/>
      </c>
      <c r="FK125" s="96">
        <f>IFERROR(VLOOKUP($B125,INDIRECT("'GRD-"&amp;FK$11&amp;"'!B:R"),15,FALSE),"")</f>
        <v/>
      </c>
      <c r="FL125" s="96">
        <f>IFERROR(VLOOKUP($B125,INDIRECT("'GRD-"&amp;FL$11&amp;"'!B:R"),15,FALSE),"")</f>
        <v/>
      </c>
      <c r="FM125" s="96">
        <f>IFERROR(VLOOKUP($B125,INDIRECT("'GRD-"&amp;FM$11&amp;"'!B:R"),15,FALSE),"")</f>
        <v/>
      </c>
      <c r="FN125" s="96">
        <f>IFERROR(VLOOKUP($B125,INDIRECT("'GRD-"&amp;FN$11&amp;"'!B:R"),15,FALSE),"")</f>
        <v/>
      </c>
      <c r="FO125" s="96">
        <f>IFERROR(VLOOKUP($B125,INDIRECT("'GRD-"&amp;FO$11&amp;"'!B:R"),15,FALSE),"")</f>
        <v/>
      </c>
      <c r="FP125" s="96">
        <f>IFERROR(VLOOKUP($B125,INDIRECT("'GRD-"&amp;FP$11&amp;"'!B:R"),15,FALSE),"")</f>
        <v/>
      </c>
      <c r="FQ125" s="96">
        <f>IFERROR(VLOOKUP($B125,INDIRECT("'GRD-"&amp;FQ$11&amp;"'!B:R"),15,FALSE),"")</f>
        <v/>
      </c>
      <c r="FR125" s="96">
        <f>IFERROR(VLOOKUP($B125,INDIRECT("'GRD-"&amp;FR$11&amp;"'!B:R"),15,FALSE),"")</f>
        <v/>
      </c>
      <c r="FS125" s="96">
        <f>IFERROR(VLOOKUP($B125,INDIRECT("'GRD-"&amp;FS$11&amp;"'!B:R"),15,FALSE),"")</f>
        <v/>
      </c>
      <c r="FT125" s="96">
        <f>IFERROR(VLOOKUP($B125,INDIRECT("'GRD-"&amp;FT$11&amp;"'!B:R"),15,FALSE),"")</f>
        <v/>
      </c>
      <c r="FU125" s="96">
        <f>IFERROR(VLOOKUP($B125,INDIRECT("'GRD-"&amp;FU$11&amp;"'!B:R"),15,FALSE),"")</f>
        <v/>
      </c>
      <c r="FV125" s="96">
        <f>IFERROR(VLOOKUP($B125,INDIRECT("'GRD-"&amp;FV$11&amp;"'!B:R"),15,FALSE),"")</f>
        <v/>
      </c>
    </row>
    <row r="126">
      <c r="B126" s="85" t="n"/>
      <c r="C126" s="93" t="n"/>
      <c r="D126" s="73">
        <f>IF(K126="","",MAX($CA126:$FV126))</f>
        <v/>
      </c>
      <c r="E126" s="74">
        <f t="array" ref="E126">IF($K126="","",OFFSET($A$1,ROW($B126)-1,11+$D126*4,))</f>
        <v/>
      </c>
      <c r="F126" s="74">
        <f t="array" ref="F126">IF($K126="","",OFFSET($A$1,ROW($B126)-1,12+$D126*4,))</f>
        <v/>
      </c>
      <c r="G126" s="118">
        <f t="array" ref="G126">IF($K126="","",OFFSET($A$1,ROW($B126)-1,13+$D126*4,))</f>
        <v/>
      </c>
      <c r="H126" s="81" t="n"/>
      <c r="I126" s="82" t="n"/>
      <c r="J126" s="75">
        <f>IF(I126="A4",H126/8,IF(I126="A3",H126/4,IF(I126="A2",H126/2,IF(I126="A1",H126/1,IF(I126="A0",H126*2,"")))))</f>
        <v/>
      </c>
      <c r="K126" s="68">
        <f t="array" ref="K126">IFERROR(OFFSET($BZ$11,ROW($B126)-11,MATCH(K$10,$CA126:$FV126,0),),"")</f>
        <v/>
      </c>
      <c r="L126" s="85">
        <f>IF(K126="","",IF(VLOOKUP($B126,INDIRECT("'GRD-"&amp;M126&amp;"'!$B:$R"),16,FALSE)="","",VLOOKUP($B126,INDIRECT("'GRD-"&amp;M126&amp;"'!$B:$R"),16,FALSE)))</f>
        <v/>
      </c>
      <c r="M126" s="130">
        <f t="array" ref="M126">IF(K126="","",IFERROR(OFFSET($BZ$11,0,MATCH($K126,$CA126:$FV126,0),),""))</f>
        <v/>
      </c>
      <c r="N126" s="119">
        <f t="array" ref="N126">IF(K126="","",INDIRECT("'GRD-"&amp;M126&amp;"'!$L$7"))</f>
        <v/>
      </c>
      <c r="O126" s="76">
        <f t="array" ref="O126">IFERROR(OFFSET($BZ$11,ROW($B126)-11,MATCH(O$10,$CA126:$FV126,0),),"")</f>
        <v/>
      </c>
      <c r="P126" s="76">
        <f>IF(O126="","",IF(VLOOKUP($B126,INDIRECT("'GRD-"&amp;Q126&amp;"'!$B:$R"),16,FALSE)="","",VLOOKUP($B126,INDIRECT("'GRD-"&amp;Q126&amp;"'!$B:$R"),16,FALSE)))</f>
        <v/>
      </c>
      <c r="Q126" s="132">
        <f t="array" ref="Q126">IF(O126="","",IFERROR(OFFSET($BZ$11,0,MATCH($O126,$CA126:$FV126,0),),""))</f>
        <v/>
      </c>
      <c r="R126" s="121">
        <f t="array" ref="R126">IF(O126="","",INDIRECT("'GRD-"&amp;Q126&amp;"'!$L$7"))</f>
        <v/>
      </c>
      <c r="S126" s="83">
        <f t="array" ref="S126">IFERROR(OFFSET($BZ$11,ROW($B126)-11,MATCH(S$10,$CA126:$FV126,0),),"")</f>
        <v/>
      </c>
      <c r="T126" s="83">
        <f>IF(S126="","",IF(VLOOKUP($B126,INDIRECT("'GRD-"&amp;U126&amp;"'!$B:$R"),16,FALSE)="","",VLOOKUP($B126,INDIRECT("'GRD-"&amp;U126&amp;"'!$B:$R"),16,FALSE)))</f>
        <v/>
      </c>
      <c r="U126" s="128">
        <f t="array" ref="U126">IF(S126="","",IFERROR(OFFSET($BZ$11,0,MATCH($S126,$CA126:$FV126,0),),""))</f>
        <v/>
      </c>
      <c r="V126" s="133">
        <f t="array" ref="V126">IF(S126="","",INDIRECT("'GRD-"&amp;U126&amp;"'!$L$7"))</f>
        <v/>
      </c>
      <c r="W126" s="84">
        <f t="array" ref="W126">IFERROR(OFFSET($BZ$11,ROW($B126)-11,MATCH(W$10,$CA126:$FV126,0),),"")</f>
        <v/>
      </c>
      <c r="X126" s="84">
        <f>IF(W126="","",IF(VLOOKUP($B126,INDIRECT("'GRD-"&amp;Y126&amp;"'!$B:$R"),16,FALSE)="","",VLOOKUP($B126,INDIRECT("'GRD-"&amp;Y126&amp;"'!$B:$R"),16,FALSE)))</f>
        <v/>
      </c>
      <c r="Y126" s="129">
        <f t="array" ref="Y126">IF(W126="","",IFERROR(OFFSET($BZ$11,0,MATCH($W126,$CA126:$FV126,0),),""))</f>
        <v/>
      </c>
      <c r="Z126" s="134">
        <f t="array" ref="Z126">IF(W126="","",INDIRECT("'GRD-"&amp;Y126&amp;"'!$L$7"))</f>
        <v/>
      </c>
      <c r="AA126" s="85">
        <f t="array" ref="AA126">IFERROR(OFFSET($BZ$11,ROW($B126)-11,MATCH(AA$10,$CA126:$FV126,0),),"")</f>
        <v/>
      </c>
      <c r="AB126" s="85">
        <f>IF(AA126="","",IF(VLOOKUP($B126,INDIRECT("'GRD-"&amp;AC126&amp;"'!$B:$R"),16,FALSE)="","",VLOOKUP($B126,INDIRECT("'GRD-"&amp;AC126&amp;"'!$B:$R"),16,FALSE)))</f>
        <v/>
      </c>
      <c r="AC126" s="130">
        <f t="array" ref="AC126">IF(AA126="","",IFERROR(OFFSET($BZ$11,0,MATCH($AA126,$CA126:$FV126,0),),""))</f>
        <v/>
      </c>
      <c r="AD126" s="131">
        <f t="array" ref="AD126">IF(AA126="","",INDIRECT("'GRD-"&amp;AC126&amp;"'!$L$7"))</f>
        <v/>
      </c>
      <c r="AE126" s="76">
        <f t="array" ref="AE126">IFERROR(OFFSET($BZ$11,ROW($B126)-11,MATCH(AE$10,$CA126:$FV126,0),),"")</f>
        <v/>
      </c>
      <c r="AF126" s="76">
        <f>IF(AE126="","",IF(VLOOKUP($B126,INDIRECT("'GRD-"&amp;AG126&amp;"'!$B:$R"),16,FALSE)="","",VLOOKUP($B126,INDIRECT("'GRD-"&amp;AG126&amp;"'!$B:$R"),16,FALSE)))</f>
        <v/>
      </c>
      <c r="AG126" s="132">
        <f t="array" ref="AG126">IF(AE126="","",IFERROR(OFFSET($BZ$11,0,MATCH($AE126,$CA126:$FV126,0),),""))</f>
        <v/>
      </c>
      <c r="AH126" s="121">
        <f t="array" ref="AH126">IF(AE126="","",INDIRECT("'GRD-"&amp;AG126&amp;"'!$L$7"))</f>
        <v/>
      </c>
      <c r="AI126" s="83">
        <f t="array" ref="AI126">IFERROR(OFFSET($BZ$11,ROW($B126)-11,MATCH(AI$10,$CA126:$FV126,0),),"")</f>
        <v/>
      </c>
      <c r="AJ126" s="83">
        <f>IF(AI126="","",IF(VLOOKUP($B126,INDIRECT("'GRD-"&amp;AK126&amp;"'!$B:$R"),16,FALSE)="","",VLOOKUP($B126,INDIRECT("'GRD-"&amp;AK126&amp;"'!$B:$R"),16,FALSE)))</f>
        <v/>
      </c>
      <c r="AK126" s="128">
        <f t="array" ref="AK126">IF(AI126="","",IFERROR(OFFSET($BZ$11,0,MATCH($AI126,$CA126:$FV126,0),),""))</f>
        <v/>
      </c>
      <c r="AL126" s="133">
        <f t="array" ref="AL126">IF(AI126="","",INDIRECT("'GRD-"&amp;AK126&amp;"'!$L$7"))</f>
        <v/>
      </c>
      <c r="AM126" s="84">
        <f t="array" ref="AM126">IFERROR(OFFSET($BZ$11,ROW($B126)-11,MATCH(AM$10,$CA126:$FV126,0),),"")</f>
        <v/>
      </c>
      <c r="AN126" s="84">
        <f>IF(AM126="","",IF(VLOOKUP($B126,INDIRECT("'GRD-"&amp;AO126&amp;"'!$B:$R"),16,FALSE)="","",VLOOKUP($B126,INDIRECT("'GRD-"&amp;AO126&amp;"'!$B:$R"),16,FALSE)))</f>
        <v/>
      </c>
      <c r="AO126" s="129">
        <f t="array" ref="AO126">IF(AM126="","",IFERROR(OFFSET($BZ$11,0,MATCH($AM126,$CA126:$FV126,0),),""))</f>
        <v/>
      </c>
      <c r="AP126" s="134">
        <f t="array" ref="AP126">IF(AM126="","",INDIRECT("'GRD-"&amp;AO126&amp;"'!$L$7"))</f>
        <v/>
      </c>
      <c r="AQ126" s="85">
        <f t="array" ref="AQ126">IFERROR(OFFSET($BZ$11,ROW($B126)-11,MATCH(AQ$10,$CA126:$FV126,0),),"")</f>
        <v/>
      </c>
      <c r="AR126" s="85">
        <f>IF(AQ126="","",IF(VLOOKUP($B126,INDIRECT("'GRD-"&amp;AS126&amp;"'!$B:$R"),16,FALSE)="","",VLOOKUP($B126,INDIRECT("'GRD-"&amp;AS126&amp;"'!$B:$R"),16,FALSE)))</f>
        <v/>
      </c>
      <c r="AS126" s="130">
        <f t="array" ref="AS126">IF(AQ126="","",IFERROR(OFFSET($BZ$11,0,MATCH($AQ126,$CA126:$FV126,0),),""))</f>
        <v/>
      </c>
      <c r="AT126" s="131">
        <f t="array" ref="AT126">IF(AQ126="","",INDIRECT("'GRD-"&amp;AS126&amp;"'!$L$7"))</f>
        <v/>
      </c>
      <c r="AU126" s="76">
        <f t="array" ref="AU126">IFERROR(OFFSET($BZ$11,ROW($B126)-11,MATCH(AU$10,$CA126:$FV126,0),),"")</f>
        <v/>
      </c>
      <c r="AV126" s="76">
        <f>IF(AU126="","",IF(VLOOKUP($B126,INDIRECT("'GRD-"&amp;AW126&amp;"'!$B:$R"),16,FALSE)="","",VLOOKUP($B126,INDIRECT("'GRD-"&amp;AW126&amp;"'!$B:$R"),16,FALSE)))</f>
        <v/>
      </c>
      <c r="AW126" s="132">
        <f t="array" ref="AW126">IF(AU126="","",IFERROR(OFFSET($BZ$11,0,MATCH($AU126,$CA126:$FV126,0),),""))</f>
        <v/>
      </c>
      <c r="AX126" s="121">
        <f t="array" ref="AX126">IF(AU126="","",INDIRECT("'GRD-"&amp;AW126&amp;"'!$L$7"))</f>
        <v/>
      </c>
      <c r="AY126" s="83">
        <f t="array" ref="AY126">IFERROR(OFFSET($BZ$11,ROW($B126)-11,MATCH(AY$10,$CA126:$FV126,0),),"")</f>
        <v/>
      </c>
      <c r="AZ126" s="83">
        <f>IF(AY126="","",IF(VLOOKUP($B126,INDIRECT("'GRD-"&amp;BA126&amp;"'!$B:$R"),16,FALSE)="","",VLOOKUP($B126,INDIRECT("'GRD-"&amp;BA126&amp;"'!$B:$R"),16,FALSE)))</f>
        <v/>
      </c>
      <c r="BA126" s="128">
        <f t="array" ref="BA126">IF(AY126="","",IFERROR(OFFSET($BZ$11,0,MATCH($AY126,$CA126:$FV126,0),),""))</f>
        <v/>
      </c>
      <c r="BB126" s="133">
        <f t="array" ref="BB126">IF(AY126="","",INDIRECT("'GRD-"&amp;BA126&amp;"'!$L$7"))</f>
        <v/>
      </c>
      <c r="BC126" s="84">
        <f t="array" ref="BC126">IFERROR(OFFSET($BZ$11,ROW($B126)-11,MATCH(BC$10,$CA126:$FV126,0),),"")</f>
        <v/>
      </c>
      <c r="BD126" s="84">
        <f>IF(BC126="","",IF(VLOOKUP($B126,INDIRECT("'GRD-"&amp;BE126&amp;"'!$B:$R"),16,FALSE)="","",VLOOKUP($B126,INDIRECT("'GRD-"&amp;BE126&amp;"'!$B:$R"),16,FALSE)))</f>
        <v/>
      </c>
      <c r="BE126" s="129">
        <f t="array" ref="BE126">IF(BC126="","",IFERROR(OFFSET($BZ$11,0,MATCH($BC126,$CA126:$FV126,0),),""))</f>
        <v/>
      </c>
      <c r="BF126" s="134">
        <f t="array" ref="BF126">IF(BC126="","",INDIRECT("'GRD-"&amp;BE126&amp;"'!$L$7"))</f>
        <v/>
      </c>
      <c r="CA126" s="96">
        <f>IFERROR(VLOOKUP($B126,INDIRECT("'GRD-"&amp;CA$11&amp;"'!B:R"),15,FALSE),"")</f>
        <v/>
      </c>
      <c r="CB126" s="96">
        <f>IFERROR(VLOOKUP($B126,INDIRECT("'GRD-"&amp;CB$11&amp;"'!B:R"),15,FALSE),"")</f>
        <v/>
      </c>
      <c r="CC126" s="96">
        <f>IFERROR(VLOOKUP($B126,INDIRECT("'GRD-"&amp;CC$11&amp;"'!B:R"),15,FALSE),"")</f>
        <v/>
      </c>
      <c r="CD126" s="96">
        <f>IFERROR(VLOOKUP($B126,INDIRECT("'GRD-"&amp;CD$11&amp;"'!B:R"),15,FALSE),"")</f>
        <v/>
      </c>
      <c r="CE126" s="96">
        <f>IFERROR(VLOOKUP($B126,INDIRECT("'GRD-"&amp;CE$11&amp;"'!B:R"),15,FALSE),"")</f>
        <v/>
      </c>
      <c r="CF126" s="96">
        <f>IFERROR(VLOOKUP($B126,INDIRECT("'GRD-"&amp;CF$11&amp;"'!B:R"),15,FALSE),"")</f>
        <v/>
      </c>
      <c r="CG126" s="96">
        <f>IFERROR(VLOOKUP($B126,INDIRECT("'GRD-"&amp;CG$11&amp;"'!B:R"),15,FALSE),"")</f>
        <v/>
      </c>
      <c r="CH126" s="96">
        <f>IFERROR(VLOOKUP($B126,INDIRECT("'GRD-"&amp;CH$11&amp;"'!B:R"),15,FALSE),"")</f>
        <v/>
      </c>
      <c r="CI126" s="96">
        <f>IFERROR(VLOOKUP($B126,INDIRECT("'GRD-"&amp;CI$11&amp;"'!B:R"),15,FALSE),"")</f>
        <v/>
      </c>
      <c r="CJ126" s="96">
        <f>IFERROR(VLOOKUP($B126,INDIRECT("'GRD-"&amp;CJ$11&amp;"'!B:R"),15,FALSE),"")</f>
        <v/>
      </c>
      <c r="CK126" s="96">
        <f>IFERROR(VLOOKUP($B126,INDIRECT("'GRD-"&amp;CK$11&amp;"'!B:R"),15,FALSE),"")</f>
        <v/>
      </c>
      <c r="CL126" s="96">
        <f>IFERROR(VLOOKUP($B126,INDIRECT("'GRD-"&amp;CL$11&amp;"'!B:R"),15,FALSE),"")</f>
        <v/>
      </c>
      <c r="CM126" s="96">
        <f>IFERROR(VLOOKUP($B126,INDIRECT("'GRD-"&amp;CM$11&amp;"'!B:R"),15,FALSE),"")</f>
        <v/>
      </c>
      <c r="CN126" s="96">
        <f>IFERROR(VLOOKUP($B126,INDIRECT("'GRD-"&amp;CN$11&amp;"'!B:R"),15,FALSE),"")</f>
        <v/>
      </c>
      <c r="CO126" s="96">
        <f>IFERROR(VLOOKUP($B126,INDIRECT("'GRD-"&amp;CO$11&amp;"'!B:R"),15,FALSE),"")</f>
        <v/>
      </c>
      <c r="CP126" s="96">
        <f>IFERROR(VLOOKUP($B126,INDIRECT("'GRD-"&amp;CP$11&amp;"'!B:R"),15,FALSE),"")</f>
        <v/>
      </c>
      <c r="CQ126" s="96">
        <f>IFERROR(VLOOKUP($B126,INDIRECT("'GRD-"&amp;CQ$11&amp;"'!B:R"),15,FALSE),"")</f>
        <v/>
      </c>
      <c r="CR126" s="96">
        <f>IFERROR(VLOOKUP($B126,INDIRECT("'GRD-"&amp;CR$11&amp;"'!B:R"),15,FALSE),"")</f>
        <v/>
      </c>
      <c r="CS126" s="96">
        <f>IFERROR(VLOOKUP($B126,INDIRECT("'GRD-"&amp;CS$11&amp;"'!B:R"),15,FALSE),"")</f>
        <v/>
      </c>
      <c r="CT126" s="96">
        <f>IFERROR(VLOOKUP($B126,INDIRECT("'GRD-"&amp;CT$11&amp;"'!B:R"),15,FALSE),"")</f>
        <v/>
      </c>
      <c r="CU126" s="96">
        <f>IFERROR(VLOOKUP($B126,INDIRECT("'GRD-"&amp;CU$11&amp;"'!B:R"),15,FALSE),"")</f>
        <v/>
      </c>
      <c r="CV126" s="96">
        <f>IFERROR(VLOOKUP($B126,INDIRECT("'GRD-"&amp;CV$11&amp;"'!B:R"),15,FALSE),"")</f>
        <v/>
      </c>
      <c r="CW126" s="96">
        <f>IFERROR(VLOOKUP($B126,INDIRECT("'GRD-"&amp;CW$11&amp;"'!B:R"),15,FALSE),"")</f>
        <v/>
      </c>
      <c r="CX126" s="96">
        <f>IFERROR(VLOOKUP($B126,INDIRECT("'GRD-"&amp;CX$11&amp;"'!B:R"),15,FALSE),"")</f>
        <v/>
      </c>
      <c r="CY126" s="96">
        <f>IFERROR(VLOOKUP($B126,INDIRECT("'GRD-"&amp;CY$11&amp;"'!B:R"),15,FALSE),"")</f>
        <v/>
      </c>
      <c r="CZ126" s="96">
        <f>IFERROR(VLOOKUP($B126,INDIRECT("'GRD-"&amp;CZ$11&amp;"'!B:R"),15,FALSE),"")</f>
        <v/>
      </c>
      <c r="DA126" s="96">
        <f>IFERROR(VLOOKUP($B126,INDIRECT("'GRD-"&amp;DA$11&amp;"'!B:R"),15,FALSE),"")</f>
        <v/>
      </c>
      <c r="DB126" s="96">
        <f>IFERROR(VLOOKUP($B126,INDIRECT("'GRD-"&amp;DB$11&amp;"'!B:R"),15,FALSE),"")</f>
        <v/>
      </c>
      <c r="DC126" s="96">
        <f>IFERROR(VLOOKUP($B126,INDIRECT("'GRD-"&amp;DC$11&amp;"'!B:R"),15,FALSE),"")</f>
        <v/>
      </c>
      <c r="DD126" s="96">
        <f>IFERROR(VLOOKUP($B126,INDIRECT("'GRD-"&amp;DD$11&amp;"'!B:R"),15,FALSE),"")</f>
        <v/>
      </c>
      <c r="DE126" s="96">
        <f>IFERROR(VLOOKUP($B126,INDIRECT("'GRD-"&amp;DE$11&amp;"'!B:R"),15,FALSE),"")</f>
        <v/>
      </c>
      <c r="DF126" s="96">
        <f>IFERROR(VLOOKUP($B126,INDIRECT("'GRD-"&amp;DF$11&amp;"'!B:R"),15,FALSE),"")</f>
        <v/>
      </c>
      <c r="DG126" s="96">
        <f>IFERROR(VLOOKUP($B126,INDIRECT("'GRD-"&amp;DG$11&amp;"'!B:R"),15,FALSE),"")</f>
        <v/>
      </c>
      <c r="DH126" s="96">
        <f>IFERROR(VLOOKUP($B126,INDIRECT("'GRD-"&amp;DH$11&amp;"'!B:R"),15,FALSE),"")</f>
        <v/>
      </c>
      <c r="DI126" s="96">
        <f>IFERROR(VLOOKUP($B126,INDIRECT("'GRD-"&amp;DI$11&amp;"'!B:R"),15,FALSE),"")</f>
        <v/>
      </c>
      <c r="DJ126" s="96">
        <f>IFERROR(VLOOKUP($B126,INDIRECT("'GRD-"&amp;DJ$11&amp;"'!B:R"),15,FALSE),"")</f>
        <v/>
      </c>
      <c r="DK126" s="96">
        <f>IFERROR(VLOOKUP($B126,INDIRECT("'GRD-"&amp;DK$11&amp;"'!B:R"),15,FALSE),"")</f>
        <v/>
      </c>
      <c r="DL126" s="96">
        <f>IFERROR(VLOOKUP($B126,INDIRECT("'GRD-"&amp;DL$11&amp;"'!B:R"),15,FALSE),"")</f>
        <v/>
      </c>
      <c r="DM126" s="96">
        <f>IFERROR(VLOOKUP($B126,INDIRECT("'GRD-"&amp;DM$11&amp;"'!B:R"),15,FALSE),"")</f>
        <v/>
      </c>
      <c r="DN126" s="96">
        <f>IFERROR(VLOOKUP($B126,INDIRECT("'GRD-"&amp;DN$11&amp;"'!B:R"),15,FALSE),"")</f>
        <v/>
      </c>
      <c r="DO126" s="96">
        <f>IFERROR(VLOOKUP($B126,INDIRECT("'GRD-"&amp;DO$11&amp;"'!B:R"),15,FALSE),"")</f>
        <v/>
      </c>
      <c r="DP126" s="96">
        <f>IFERROR(VLOOKUP($B126,INDIRECT("'GRD-"&amp;DP$11&amp;"'!B:R"),15,FALSE),"")</f>
        <v/>
      </c>
      <c r="DQ126" s="96">
        <f>IFERROR(VLOOKUP($B126,INDIRECT("'GRD-"&amp;DQ$11&amp;"'!B:R"),15,FALSE),"")</f>
        <v/>
      </c>
      <c r="DR126" s="96">
        <f>IFERROR(VLOOKUP($B126,INDIRECT("'GRD-"&amp;DR$11&amp;"'!B:R"),15,FALSE),"")</f>
        <v/>
      </c>
      <c r="DS126" s="96">
        <f>IFERROR(VLOOKUP($B126,INDIRECT("'GRD-"&amp;DS$11&amp;"'!B:R"),15,FALSE),"")</f>
        <v/>
      </c>
      <c r="DT126" s="96">
        <f>IFERROR(VLOOKUP($B126,INDIRECT("'GRD-"&amp;DT$11&amp;"'!B:R"),15,FALSE),"")</f>
        <v/>
      </c>
      <c r="DU126" s="96">
        <f>IFERROR(VLOOKUP($B126,INDIRECT("'GRD-"&amp;DU$11&amp;"'!B:R"),15,FALSE),"")</f>
        <v/>
      </c>
      <c r="DV126" s="96">
        <f>IFERROR(VLOOKUP($B126,INDIRECT("'GRD-"&amp;DV$11&amp;"'!B:R"),15,FALSE),"")</f>
        <v/>
      </c>
      <c r="DW126" s="96">
        <f>IFERROR(VLOOKUP($B126,INDIRECT("'GRD-"&amp;DW$11&amp;"'!B:R"),15,FALSE),"")</f>
        <v/>
      </c>
      <c r="DX126" s="96">
        <f>IFERROR(VLOOKUP($B126,INDIRECT("'GRD-"&amp;DX$11&amp;"'!B:R"),15,FALSE),"")</f>
        <v/>
      </c>
      <c r="DY126" s="96">
        <f>IFERROR(VLOOKUP($B126,INDIRECT("'GRD-"&amp;DY$11&amp;"'!B:R"),15,FALSE),"")</f>
        <v/>
      </c>
      <c r="DZ126" s="96">
        <f>IFERROR(VLOOKUP($B126,INDIRECT("'GRD-"&amp;DZ$11&amp;"'!B:R"),15,FALSE),"")</f>
        <v/>
      </c>
      <c r="EA126" s="96">
        <f>IFERROR(VLOOKUP($B126,INDIRECT("'GRD-"&amp;EA$11&amp;"'!B:R"),15,FALSE),"")</f>
        <v/>
      </c>
      <c r="EB126" s="96">
        <f>IFERROR(VLOOKUP($B126,INDIRECT("'GRD-"&amp;EB$11&amp;"'!B:R"),15,FALSE),"")</f>
        <v/>
      </c>
      <c r="EC126" s="96">
        <f>IFERROR(VLOOKUP($B126,INDIRECT("'GRD-"&amp;EC$11&amp;"'!B:R"),15,FALSE),"")</f>
        <v/>
      </c>
      <c r="ED126" s="96">
        <f>IFERROR(VLOOKUP($B126,INDIRECT("'GRD-"&amp;ED$11&amp;"'!B:R"),15,FALSE),"")</f>
        <v/>
      </c>
      <c r="EE126" s="96">
        <f>IFERROR(VLOOKUP($B126,INDIRECT("'GRD-"&amp;EE$11&amp;"'!B:R"),15,FALSE),"")</f>
        <v/>
      </c>
      <c r="EF126" s="96">
        <f>IFERROR(VLOOKUP($B126,INDIRECT("'GRD-"&amp;EF$11&amp;"'!B:R"),15,FALSE),"")</f>
        <v/>
      </c>
      <c r="EG126" s="96">
        <f>IFERROR(VLOOKUP($B126,INDIRECT("'GRD-"&amp;EG$11&amp;"'!B:R"),15,FALSE),"")</f>
        <v/>
      </c>
      <c r="EH126" s="96">
        <f>IFERROR(VLOOKUP($B126,INDIRECT("'GRD-"&amp;EH$11&amp;"'!B:R"),15,FALSE),"")</f>
        <v/>
      </c>
      <c r="EI126" s="96">
        <f>IFERROR(VLOOKUP($B126,INDIRECT("'GRD-"&amp;EI$11&amp;"'!B:R"),15,FALSE),"")</f>
        <v/>
      </c>
      <c r="EJ126" s="96">
        <f>IFERROR(VLOOKUP($B126,INDIRECT("'GRD-"&amp;EJ$11&amp;"'!B:R"),15,FALSE),"")</f>
        <v/>
      </c>
      <c r="EK126" s="96">
        <f>IFERROR(VLOOKUP($B126,INDIRECT("'GRD-"&amp;EK$11&amp;"'!B:R"),15,FALSE),"")</f>
        <v/>
      </c>
      <c r="EL126" s="96">
        <f>IFERROR(VLOOKUP($B126,INDIRECT("'GRD-"&amp;EL$11&amp;"'!B:R"),15,FALSE),"")</f>
        <v/>
      </c>
      <c r="EM126" s="96">
        <f>IFERROR(VLOOKUP($B126,INDIRECT("'GRD-"&amp;EM$11&amp;"'!B:R"),15,FALSE),"")</f>
        <v/>
      </c>
      <c r="EN126" s="96">
        <f>IFERROR(VLOOKUP($B126,INDIRECT("'GRD-"&amp;EN$11&amp;"'!B:R"),15,FALSE),"")</f>
        <v/>
      </c>
      <c r="EO126" s="96">
        <f>IFERROR(VLOOKUP($B126,INDIRECT("'GRD-"&amp;EO$11&amp;"'!B:R"),15,FALSE),"")</f>
        <v/>
      </c>
      <c r="EP126" s="96">
        <f>IFERROR(VLOOKUP($B126,INDIRECT("'GRD-"&amp;EP$11&amp;"'!B:R"),15,FALSE),"")</f>
        <v/>
      </c>
      <c r="EQ126" s="96">
        <f>IFERROR(VLOOKUP($B126,INDIRECT("'GRD-"&amp;EQ$11&amp;"'!B:R"),15,FALSE),"")</f>
        <v/>
      </c>
      <c r="ER126" s="96">
        <f>IFERROR(VLOOKUP($B126,INDIRECT("'GRD-"&amp;ER$11&amp;"'!B:R"),15,FALSE),"")</f>
        <v/>
      </c>
      <c r="ES126" s="96">
        <f>IFERROR(VLOOKUP($B126,INDIRECT("'GRD-"&amp;ES$11&amp;"'!B:R"),15,FALSE),"")</f>
        <v/>
      </c>
      <c r="ET126" s="96">
        <f>IFERROR(VLOOKUP($B126,INDIRECT("'GRD-"&amp;ET$11&amp;"'!B:R"),15,FALSE),"")</f>
        <v/>
      </c>
      <c r="EU126" s="96">
        <f>IFERROR(VLOOKUP($B126,INDIRECT("'GRD-"&amp;EU$11&amp;"'!B:R"),15,FALSE),"")</f>
        <v/>
      </c>
      <c r="EV126" s="96">
        <f>IFERROR(VLOOKUP($B126,INDIRECT("'GRD-"&amp;EV$11&amp;"'!B:R"),15,FALSE),"")</f>
        <v/>
      </c>
      <c r="EW126" s="96">
        <f>IFERROR(VLOOKUP($B126,INDIRECT("'GRD-"&amp;EW$11&amp;"'!B:R"),15,FALSE),"")</f>
        <v/>
      </c>
      <c r="EX126" s="96">
        <f>IFERROR(VLOOKUP($B126,INDIRECT("'GRD-"&amp;EX$11&amp;"'!B:R"),15,FALSE),"")</f>
        <v/>
      </c>
      <c r="EY126" s="96">
        <f>IFERROR(VLOOKUP($B126,INDIRECT("'GRD-"&amp;EY$11&amp;"'!B:R"),15,FALSE),"")</f>
        <v/>
      </c>
      <c r="EZ126" s="96">
        <f>IFERROR(VLOOKUP($B126,INDIRECT("'GRD-"&amp;EZ$11&amp;"'!B:R"),15,FALSE),"")</f>
        <v/>
      </c>
      <c r="FA126" s="96">
        <f>IFERROR(VLOOKUP($B126,INDIRECT("'GRD-"&amp;FA$11&amp;"'!B:R"),15,FALSE),"")</f>
        <v/>
      </c>
      <c r="FB126" s="96">
        <f>IFERROR(VLOOKUP($B126,INDIRECT("'GRD-"&amp;FB$11&amp;"'!B:R"),15,FALSE),"")</f>
        <v/>
      </c>
      <c r="FC126" s="96">
        <f>IFERROR(VLOOKUP($B126,INDIRECT("'GRD-"&amp;FC$11&amp;"'!B:R"),15,FALSE),"")</f>
        <v/>
      </c>
      <c r="FD126" s="96">
        <f>IFERROR(VLOOKUP($B126,INDIRECT("'GRD-"&amp;FD$11&amp;"'!B:R"),15,FALSE),"")</f>
        <v/>
      </c>
      <c r="FE126" s="96">
        <f>IFERROR(VLOOKUP($B126,INDIRECT("'GRD-"&amp;FE$11&amp;"'!B:R"),15,FALSE),"")</f>
        <v/>
      </c>
      <c r="FF126" s="96">
        <f>IFERROR(VLOOKUP($B126,INDIRECT("'GRD-"&amp;FF$11&amp;"'!B:R"),15,FALSE),"")</f>
        <v/>
      </c>
      <c r="FG126" s="96">
        <f>IFERROR(VLOOKUP($B126,INDIRECT("'GRD-"&amp;FG$11&amp;"'!B:R"),15,FALSE),"")</f>
        <v/>
      </c>
      <c r="FH126" s="96">
        <f>IFERROR(VLOOKUP($B126,INDIRECT("'GRD-"&amp;FH$11&amp;"'!B:R"),15,FALSE),"")</f>
        <v/>
      </c>
      <c r="FI126" s="96">
        <f>IFERROR(VLOOKUP($B126,INDIRECT("'GRD-"&amp;FI$11&amp;"'!B:R"),15,FALSE),"")</f>
        <v/>
      </c>
      <c r="FJ126" s="96">
        <f>IFERROR(VLOOKUP($B126,INDIRECT("'GRD-"&amp;FJ$11&amp;"'!B:R"),15,FALSE),"")</f>
        <v/>
      </c>
      <c r="FK126" s="96">
        <f>IFERROR(VLOOKUP($B126,INDIRECT("'GRD-"&amp;FK$11&amp;"'!B:R"),15,FALSE),"")</f>
        <v/>
      </c>
      <c r="FL126" s="96">
        <f>IFERROR(VLOOKUP($B126,INDIRECT("'GRD-"&amp;FL$11&amp;"'!B:R"),15,FALSE),"")</f>
        <v/>
      </c>
      <c r="FM126" s="96">
        <f>IFERROR(VLOOKUP($B126,INDIRECT("'GRD-"&amp;FM$11&amp;"'!B:R"),15,FALSE),"")</f>
        <v/>
      </c>
      <c r="FN126" s="96">
        <f>IFERROR(VLOOKUP($B126,INDIRECT("'GRD-"&amp;FN$11&amp;"'!B:R"),15,FALSE),"")</f>
        <v/>
      </c>
      <c r="FO126" s="96">
        <f>IFERROR(VLOOKUP($B126,INDIRECT("'GRD-"&amp;FO$11&amp;"'!B:R"),15,FALSE),"")</f>
        <v/>
      </c>
      <c r="FP126" s="96">
        <f>IFERROR(VLOOKUP($B126,INDIRECT("'GRD-"&amp;FP$11&amp;"'!B:R"),15,FALSE),"")</f>
        <v/>
      </c>
      <c r="FQ126" s="96">
        <f>IFERROR(VLOOKUP($B126,INDIRECT("'GRD-"&amp;FQ$11&amp;"'!B:R"),15,FALSE),"")</f>
        <v/>
      </c>
      <c r="FR126" s="96">
        <f>IFERROR(VLOOKUP($B126,INDIRECT("'GRD-"&amp;FR$11&amp;"'!B:R"),15,FALSE),"")</f>
        <v/>
      </c>
      <c r="FS126" s="96">
        <f>IFERROR(VLOOKUP($B126,INDIRECT("'GRD-"&amp;FS$11&amp;"'!B:R"),15,FALSE),"")</f>
        <v/>
      </c>
      <c r="FT126" s="96">
        <f>IFERROR(VLOOKUP($B126,INDIRECT("'GRD-"&amp;FT$11&amp;"'!B:R"),15,FALSE),"")</f>
        <v/>
      </c>
      <c r="FU126" s="96">
        <f>IFERROR(VLOOKUP($B126,INDIRECT("'GRD-"&amp;FU$11&amp;"'!B:R"),15,FALSE),"")</f>
        <v/>
      </c>
      <c r="FV126" s="96">
        <f>IFERROR(VLOOKUP($B126,INDIRECT("'GRD-"&amp;FV$11&amp;"'!B:R"),15,FALSE),"")</f>
        <v/>
      </c>
    </row>
    <row r="127">
      <c r="B127" s="85" t="n"/>
      <c r="C127" s="93" t="n"/>
      <c r="D127" s="73">
        <f>IF(K127="","",MAX($CA127:$FV127))</f>
        <v/>
      </c>
      <c r="E127" s="74">
        <f t="array" ref="E127">IF($K127="","",OFFSET($A$1,ROW($B127)-1,11+$D127*4,))</f>
        <v/>
      </c>
      <c r="F127" s="74">
        <f t="array" ref="F127">IF($K127="","",OFFSET($A$1,ROW($B127)-1,12+$D127*4,))</f>
        <v/>
      </c>
      <c r="G127" s="118">
        <f t="array" ref="G127">IF($K127="","",OFFSET($A$1,ROW($B127)-1,13+$D127*4,))</f>
        <v/>
      </c>
      <c r="H127" s="81" t="n"/>
      <c r="I127" s="82" t="n"/>
      <c r="J127" s="75">
        <f>IF(I127="A4",H127/8,IF(I127="A3",H127/4,IF(I127="A2",H127/2,IF(I127="A1",H127/1,IF(I127="A0",H127*2,"")))))</f>
        <v/>
      </c>
      <c r="K127" s="68">
        <f t="array" ref="K127">IFERROR(OFFSET($BZ$11,ROW($B127)-11,MATCH(K$10,$CA127:$FV127,0),),"")</f>
        <v/>
      </c>
      <c r="L127" s="85">
        <f>IF(K127="","",IF(VLOOKUP($B127,INDIRECT("'GRD-"&amp;M127&amp;"'!$B:$R"),16,FALSE)="","",VLOOKUP($B127,INDIRECT("'GRD-"&amp;M127&amp;"'!$B:$R"),16,FALSE)))</f>
        <v/>
      </c>
      <c r="M127" s="130">
        <f t="array" ref="M127">IF(K127="","",IFERROR(OFFSET($BZ$11,0,MATCH($K127,$CA127:$FV127,0),),""))</f>
        <v/>
      </c>
      <c r="N127" s="119">
        <f t="array" ref="N127">IF(K127="","",INDIRECT("'GRD-"&amp;M127&amp;"'!$L$7"))</f>
        <v/>
      </c>
      <c r="O127" s="76">
        <f t="array" ref="O127">IFERROR(OFFSET($BZ$11,ROW($B127)-11,MATCH(O$10,$CA127:$FV127,0),),"")</f>
        <v/>
      </c>
      <c r="P127" s="76">
        <f>IF(O127="","",IF(VLOOKUP($B127,INDIRECT("'GRD-"&amp;Q127&amp;"'!$B:$R"),16,FALSE)="","",VLOOKUP($B127,INDIRECT("'GRD-"&amp;Q127&amp;"'!$B:$R"),16,FALSE)))</f>
        <v/>
      </c>
      <c r="Q127" s="132">
        <f t="array" ref="Q127">IF(O127="","",IFERROR(OFFSET($BZ$11,0,MATCH($O127,$CA127:$FV127,0),),""))</f>
        <v/>
      </c>
      <c r="R127" s="121">
        <f t="array" ref="R127">IF(O127="","",INDIRECT("'GRD-"&amp;Q127&amp;"'!$L$7"))</f>
        <v/>
      </c>
      <c r="S127" s="83">
        <f t="array" ref="S127">IFERROR(OFFSET($BZ$11,ROW($B127)-11,MATCH(S$10,$CA127:$FV127,0),),"")</f>
        <v/>
      </c>
      <c r="T127" s="83">
        <f>IF(S127="","",IF(VLOOKUP($B127,INDIRECT("'GRD-"&amp;U127&amp;"'!$B:$R"),16,FALSE)="","",VLOOKUP($B127,INDIRECT("'GRD-"&amp;U127&amp;"'!$B:$R"),16,FALSE)))</f>
        <v/>
      </c>
      <c r="U127" s="128">
        <f t="array" ref="U127">IF(S127="","",IFERROR(OFFSET($BZ$11,0,MATCH($S127,$CA127:$FV127,0),),""))</f>
        <v/>
      </c>
      <c r="V127" s="133">
        <f t="array" ref="V127">IF(S127="","",INDIRECT("'GRD-"&amp;U127&amp;"'!$L$7"))</f>
        <v/>
      </c>
      <c r="W127" s="84">
        <f t="array" ref="W127">IFERROR(OFFSET($BZ$11,ROW($B127)-11,MATCH(W$10,$CA127:$FV127,0),),"")</f>
        <v/>
      </c>
      <c r="X127" s="84">
        <f>IF(W127="","",IF(VLOOKUP($B127,INDIRECT("'GRD-"&amp;Y127&amp;"'!$B:$R"),16,FALSE)="","",VLOOKUP($B127,INDIRECT("'GRD-"&amp;Y127&amp;"'!$B:$R"),16,FALSE)))</f>
        <v/>
      </c>
      <c r="Y127" s="129">
        <f t="array" ref="Y127">IF(W127="","",IFERROR(OFFSET($BZ$11,0,MATCH($W127,$CA127:$FV127,0),),""))</f>
        <v/>
      </c>
      <c r="Z127" s="134">
        <f t="array" ref="Z127">IF(W127="","",INDIRECT("'GRD-"&amp;Y127&amp;"'!$L$7"))</f>
        <v/>
      </c>
      <c r="AA127" s="85">
        <f t="array" ref="AA127">IFERROR(OFFSET($BZ$11,ROW($B127)-11,MATCH(AA$10,$CA127:$FV127,0),),"")</f>
        <v/>
      </c>
      <c r="AB127" s="85">
        <f>IF(AA127="","",IF(VLOOKUP($B127,INDIRECT("'GRD-"&amp;AC127&amp;"'!$B:$R"),16,FALSE)="","",VLOOKUP($B127,INDIRECT("'GRD-"&amp;AC127&amp;"'!$B:$R"),16,FALSE)))</f>
        <v/>
      </c>
      <c r="AC127" s="130">
        <f t="array" ref="AC127">IF(AA127="","",IFERROR(OFFSET($BZ$11,0,MATCH($AA127,$CA127:$FV127,0),),""))</f>
        <v/>
      </c>
      <c r="AD127" s="131">
        <f t="array" ref="AD127">IF(AA127="","",INDIRECT("'GRD-"&amp;AC127&amp;"'!$L$7"))</f>
        <v/>
      </c>
      <c r="AE127" s="76">
        <f t="array" ref="AE127">IFERROR(OFFSET($BZ$11,ROW($B127)-11,MATCH(AE$10,$CA127:$FV127,0),),"")</f>
        <v/>
      </c>
      <c r="AF127" s="76">
        <f>IF(AE127="","",IF(VLOOKUP($B127,INDIRECT("'GRD-"&amp;AG127&amp;"'!$B:$R"),16,FALSE)="","",VLOOKUP($B127,INDIRECT("'GRD-"&amp;AG127&amp;"'!$B:$R"),16,FALSE)))</f>
        <v/>
      </c>
      <c r="AG127" s="132">
        <f t="array" ref="AG127">IF(AE127="","",IFERROR(OFFSET($BZ$11,0,MATCH($AE127,$CA127:$FV127,0),),""))</f>
        <v/>
      </c>
      <c r="AH127" s="121">
        <f t="array" ref="AH127">IF(AE127="","",INDIRECT("'GRD-"&amp;AG127&amp;"'!$L$7"))</f>
        <v/>
      </c>
      <c r="AI127" s="83">
        <f t="array" ref="AI127">IFERROR(OFFSET($BZ$11,ROW($B127)-11,MATCH(AI$10,$CA127:$FV127,0),),"")</f>
        <v/>
      </c>
      <c r="AJ127" s="83">
        <f>IF(AI127="","",IF(VLOOKUP($B127,INDIRECT("'GRD-"&amp;AK127&amp;"'!$B:$R"),16,FALSE)="","",VLOOKUP($B127,INDIRECT("'GRD-"&amp;AK127&amp;"'!$B:$R"),16,FALSE)))</f>
        <v/>
      </c>
      <c r="AK127" s="128">
        <f t="array" ref="AK127">IF(AI127="","",IFERROR(OFFSET($BZ$11,0,MATCH($AI127,$CA127:$FV127,0),),""))</f>
        <v/>
      </c>
      <c r="AL127" s="133">
        <f t="array" ref="AL127">IF(AI127="","",INDIRECT("'GRD-"&amp;AK127&amp;"'!$L$7"))</f>
        <v/>
      </c>
      <c r="AM127" s="84">
        <f t="array" ref="AM127">IFERROR(OFFSET($BZ$11,ROW($B127)-11,MATCH(AM$10,$CA127:$FV127,0),),"")</f>
        <v/>
      </c>
      <c r="AN127" s="84">
        <f>IF(AM127="","",IF(VLOOKUP($B127,INDIRECT("'GRD-"&amp;AO127&amp;"'!$B:$R"),16,FALSE)="","",VLOOKUP($B127,INDIRECT("'GRD-"&amp;AO127&amp;"'!$B:$R"),16,FALSE)))</f>
        <v/>
      </c>
      <c r="AO127" s="129">
        <f t="array" ref="AO127">IF(AM127="","",IFERROR(OFFSET($BZ$11,0,MATCH($AM127,$CA127:$FV127,0),),""))</f>
        <v/>
      </c>
      <c r="AP127" s="134">
        <f t="array" ref="AP127">IF(AM127="","",INDIRECT("'GRD-"&amp;AO127&amp;"'!$L$7"))</f>
        <v/>
      </c>
      <c r="AQ127" s="85">
        <f t="array" ref="AQ127">IFERROR(OFFSET($BZ$11,ROW($B127)-11,MATCH(AQ$10,$CA127:$FV127,0),),"")</f>
        <v/>
      </c>
      <c r="AR127" s="85">
        <f>IF(AQ127="","",IF(VLOOKUP($B127,INDIRECT("'GRD-"&amp;AS127&amp;"'!$B:$R"),16,FALSE)="","",VLOOKUP($B127,INDIRECT("'GRD-"&amp;AS127&amp;"'!$B:$R"),16,FALSE)))</f>
        <v/>
      </c>
      <c r="AS127" s="130">
        <f t="array" ref="AS127">IF(AQ127="","",IFERROR(OFFSET($BZ$11,0,MATCH($AQ127,$CA127:$FV127,0),),""))</f>
        <v/>
      </c>
      <c r="AT127" s="131">
        <f t="array" ref="AT127">IF(AQ127="","",INDIRECT("'GRD-"&amp;AS127&amp;"'!$L$7"))</f>
        <v/>
      </c>
      <c r="AU127" s="76">
        <f t="array" ref="AU127">IFERROR(OFFSET($BZ$11,ROW($B127)-11,MATCH(AU$10,$CA127:$FV127,0),),"")</f>
        <v/>
      </c>
      <c r="AV127" s="76">
        <f>IF(AU127="","",IF(VLOOKUP($B127,INDIRECT("'GRD-"&amp;AW127&amp;"'!$B:$R"),16,FALSE)="","",VLOOKUP($B127,INDIRECT("'GRD-"&amp;AW127&amp;"'!$B:$R"),16,FALSE)))</f>
        <v/>
      </c>
      <c r="AW127" s="132">
        <f t="array" ref="AW127">IF(AU127="","",IFERROR(OFFSET($BZ$11,0,MATCH($AU127,$CA127:$FV127,0),),""))</f>
        <v/>
      </c>
      <c r="AX127" s="121">
        <f t="array" ref="AX127">IF(AU127="","",INDIRECT("'GRD-"&amp;AW127&amp;"'!$L$7"))</f>
        <v/>
      </c>
      <c r="AY127" s="83">
        <f t="array" ref="AY127">IFERROR(OFFSET($BZ$11,ROW($B127)-11,MATCH(AY$10,$CA127:$FV127,0),),"")</f>
        <v/>
      </c>
      <c r="AZ127" s="83">
        <f>IF(AY127="","",IF(VLOOKUP($B127,INDIRECT("'GRD-"&amp;BA127&amp;"'!$B:$R"),16,FALSE)="","",VLOOKUP($B127,INDIRECT("'GRD-"&amp;BA127&amp;"'!$B:$R"),16,FALSE)))</f>
        <v/>
      </c>
      <c r="BA127" s="128">
        <f t="array" ref="BA127">IF(AY127="","",IFERROR(OFFSET($BZ$11,0,MATCH($AY127,$CA127:$FV127,0),),""))</f>
        <v/>
      </c>
      <c r="BB127" s="133">
        <f t="array" ref="BB127">IF(AY127="","",INDIRECT("'GRD-"&amp;BA127&amp;"'!$L$7"))</f>
        <v/>
      </c>
      <c r="BC127" s="84">
        <f t="array" ref="BC127">IFERROR(OFFSET($BZ$11,ROW($B127)-11,MATCH(BC$10,$CA127:$FV127,0),),"")</f>
        <v/>
      </c>
      <c r="BD127" s="84">
        <f>IF(BC127="","",IF(VLOOKUP($B127,INDIRECT("'GRD-"&amp;BE127&amp;"'!$B:$R"),16,FALSE)="","",VLOOKUP($B127,INDIRECT("'GRD-"&amp;BE127&amp;"'!$B:$R"),16,FALSE)))</f>
        <v/>
      </c>
      <c r="BE127" s="129">
        <f t="array" ref="BE127">IF(BC127="","",IFERROR(OFFSET($BZ$11,0,MATCH($BC127,$CA127:$FV127,0),),""))</f>
        <v/>
      </c>
      <c r="BF127" s="134">
        <f t="array" ref="BF127">IF(BC127="","",INDIRECT("'GRD-"&amp;BE127&amp;"'!$L$7"))</f>
        <v/>
      </c>
      <c r="CA127" s="96">
        <f>IFERROR(VLOOKUP($B127,INDIRECT("'GRD-"&amp;CA$11&amp;"'!B:R"),15,FALSE),"")</f>
        <v/>
      </c>
      <c r="CB127" s="96">
        <f>IFERROR(VLOOKUP($B127,INDIRECT("'GRD-"&amp;CB$11&amp;"'!B:R"),15,FALSE),"")</f>
        <v/>
      </c>
      <c r="CC127" s="96">
        <f>IFERROR(VLOOKUP($B127,INDIRECT("'GRD-"&amp;CC$11&amp;"'!B:R"),15,FALSE),"")</f>
        <v/>
      </c>
      <c r="CD127" s="96">
        <f>IFERROR(VLOOKUP($B127,INDIRECT("'GRD-"&amp;CD$11&amp;"'!B:R"),15,FALSE),"")</f>
        <v/>
      </c>
      <c r="CE127" s="96">
        <f>IFERROR(VLOOKUP($B127,INDIRECT("'GRD-"&amp;CE$11&amp;"'!B:R"),15,FALSE),"")</f>
        <v/>
      </c>
      <c r="CF127" s="96">
        <f>IFERROR(VLOOKUP($B127,INDIRECT("'GRD-"&amp;CF$11&amp;"'!B:R"),15,FALSE),"")</f>
        <v/>
      </c>
      <c r="CG127" s="96">
        <f>IFERROR(VLOOKUP($B127,INDIRECT("'GRD-"&amp;CG$11&amp;"'!B:R"),15,FALSE),"")</f>
        <v/>
      </c>
      <c r="CH127" s="96">
        <f>IFERROR(VLOOKUP($B127,INDIRECT("'GRD-"&amp;CH$11&amp;"'!B:R"),15,FALSE),"")</f>
        <v/>
      </c>
      <c r="CI127" s="96">
        <f>IFERROR(VLOOKUP($B127,INDIRECT("'GRD-"&amp;CI$11&amp;"'!B:R"),15,FALSE),"")</f>
        <v/>
      </c>
      <c r="CJ127" s="96">
        <f>IFERROR(VLOOKUP($B127,INDIRECT("'GRD-"&amp;CJ$11&amp;"'!B:R"),15,FALSE),"")</f>
        <v/>
      </c>
      <c r="CK127" s="96">
        <f>IFERROR(VLOOKUP($B127,INDIRECT("'GRD-"&amp;CK$11&amp;"'!B:R"),15,FALSE),"")</f>
        <v/>
      </c>
      <c r="CL127" s="96">
        <f>IFERROR(VLOOKUP($B127,INDIRECT("'GRD-"&amp;CL$11&amp;"'!B:R"),15,FALSE),"")</f>
        <v/>
      </c>
      <c r="CM127" s="96">
        <f>IFERROR(VLOOKUP($B127,INDIRECT("'GRD-"&amp;CM$11&amp;"'!B:R"),15,FALSE),"")</f>
        <v/>
      </c>
      <c r="CN127" s="96">
        <f>IFERROR(VLOOKUP($B127,INDIRECT("'GRD-"&amp;CN$11&amp;"'!B:R"),15,FALSE),"")</f>
        <v/>
      </c>
      <c r="CO127" s="96">
        <f>IFERROR(VLOOKUP($B127,INDIRECT("'GRD-"&amp;CO$11&amp;"'!B:R"),15,FALSE),"")</f>
        <v/>
      </c>
      <c r="CP127" s="96">
        <f>IFERROR(VLOOKUP($B127,INDIRECT("'GRD-"&amp;CP$11&amp;"'!B:R"),15,FALSE),"")</f>
        <v/>
      </c>
      <c r="CQ127" s="96">
        <f>IFERROR(VLOOKUP($B127,INDIRECT("'GRD-"&amp;CQ$11&amp;"'!B:R"),15,FALSE),"")</f>
        <v/>
      </c>
      <c r="CR127" s="96">
        <f>IFERROR(VLOOKUP($B127,INDIRECT("'GRD-"&amp;CR$11&amp;"'!B:R"),15,FALSE),"")</f>
        <v/>
      </c>
      <c r="CS127" s="96">
        <f>IFERROR(VLOOKUP($B127,INDIRECT("'GRD-"&amp;CS$11&amp;"'!B:R"),15,FALSE),"")</f>
        <v/>
      </c>
      <c r="CT127" s="96">
        <f>IFERROR(VLOOKUP($B127,INDIRECT("'GRD-"&amp;CT$11&amp;"'!B:R"),15,FALSE),"")</f>
        <v/>
      </c>
      <c r="CU127" s="96">
        <f>IFERROR(VLOOKUP($B127,INDIRECT("'GRD-"&amp;CU$11&amp;"'!B:R"),15,FALSE),"")</f>
        <v/>
      </c>
      <c r="CV127" s="96">
        <f>IFERROR(VLOOKUP($B127,INDIRECT("'GRD-"&amp;CV$11&amp;"'!B:R"),15,FALSE),"")</f>
        <v/>
      </c>
      <c r="CW127" s="96">
        <f>IFERROR(VLOOKUP($B127,INDIRECT("'GRD-"&amp;CW$11&amp;"'!B:R"),15,FALSE),"")</f>
        <v/>
      </c>
      <c r="CX127" s="96">
        <f>IFERROR(VLOOKUP($B127,INDIRECT("'GRD-"&amp;CX$11&amp;"'!B:R"),15,FALSE),"")</f>
        <v/>
      </c>
      <c r="CY127" s="96">
        <f>IFERROR(VLOOKUP($B127,INDIRECT("'GRD-"&amp;CY$11&amp;"'!B:R"),15,FALSE),"")</f>
        <v/>
      </c>
      <c r="CZ127" s="96">
        <f>IFERROR(VLOOKUP($B127,INDIRECT("'GRD-"&amp;CZ$11&amp;"'!B:R"),15,FALSE),"")</f>
        <v/>
      </c>
      <c r="DA127" s="96">
        <f>IFERROR(VLOOKUP($B127,INDIRECT("'GRD-"&amp;DA$11&amp;"'!B:R"),15,FALSE),"")</f>
        <v/>
      </c>
      <c r="DB127" s="96">
        <f>IFERROR(VLOOKUP($B127,INDIRECT("'GRD-"&amp;DB$11&amp;"'!B:R"),15,FALSE),"")</f>
        <v/>
      </c>
      <c r="DC127" s="96">
        <f>IFERROR(VLOOKUP($B127,INDIRECT("'GRD-"&amp;DC$11&amp;"'!B:R"),15,FALSE),"")</f>
        <v/>
      </c>
      <c r="DD127" s="96">
        <f>IFERROR(VLOOKUP($B127,INDIRECT("'GRD-"&amp;DD$11&amp;"'!B:R"),15,FALSE),"")</f>
        <v/>
      </c>
      <c r="DE127" s="96">
        <f>IFERROR(VLOOKUP($B127,INDIRECT("'GRD-"&amp;DE$11&amp;"'!B:R"),15,FALSE),"")</f>
        <v/>
      </c>
      <c r="DF127" s="96">
        <f>IFERROR(VLOOKUP($B127,INDIRECT("'GRD-"&amp;DF$11&amp;"'!B:R"),15,FALSE),"")</f>
        <v/>
      </c>
      <c r="DG127" s="96">
        <f>IFERROR(VLOOKUP($B127,INDIRECT("'GRD-"&amp;DG$11&amp;"'!B:R"),15,FALSE),"")</f>
        <v/>
      </c>
      <c r="DH127" s="96">
        <f>IFERROR(VLOOKUP($B127,INDIRECT("'GRD-"&amp;DH$11&amp;"'!B:R"),15,FALSE),"")</f>
        <v/>
      </c>
      <c r="DI127" s="96">
        <f>IFERROR(VLOOKUP($B127,INDIRECT("'GRD-"&amp;DI$11&amp;"'!B:R"),15,FALSE),"")</f>
        <v/>
      </c>
      <c r="DJ127" s="96">
        <f>IFERROR(VLOOKUP($B127,INDIRECT("'GRD-"&amp;DJ$11&amp;"'!B:R"),15,FALSE),"")</f>
        <v/>
      </c>
      <c r="DK127" s="96">
        <f>IFERROR(VLOOKUP($B127,INDIRECT("'GRD-"&amp;DK$11&amp;"'!B:R"),15,FALSE),"")</f>
        <v/>
      </c>
      <c r="DL127" s="96">
        <f>IFERROR(VLOOKUP($B127,INDIRECT("'GRD-"&amp;DL$11&amp;"'!B:R"),15,FALSE),"")</f>
        <v/>
      </c>
      <c r="DM127" s="96">
        <f>IFERROR(VLOOKUP($B127,INDIRECT("'GRD-"&amp;DM$11&amp;"'!B:R"),15,FALSE),"")</f>
        <v/>
      </c>
      <c r="DN127" s="96">
        <f>IFERROR(VLOOKUP($B127,INDIRECT("'GRD-"&amp;DN$11&amp;"'!B:R"),15,FALSE),"")</f>
        <v/>
      </c>
      <c r="DO127" s="96">
        <f>IFERROR(VLOOKUP($B127,INDIRECT("'GRD-"&amp;DO$11&amp;"'!B:R"),15,FALSE),"")</f>
        <v/>
      </c>
      <c r="DP127" s="96">
        <f>IFERROR(VLOOKUP($B127,INDIRECT("'GRD-"&amp;DP$11&amp;"'!B:R"),15,FALSE),"")</f>
        <v/>
      </c>
      <c r="DQ127" s="96">
        <f>IFERROR(VLOOKUP($B127,INDIRECT("'GRD-"&amp;DQ$11&amp;"'!B:R"),15,FALSE),"")</f>
        <v/>
      </c>
      <c r="DR127" s="96">
        <f>IFERROR(VLOOKUP($B127,INDIRECT("'GRD-"&amp;DR$11&amp;"'!B:R"),15,FALSE),"")</f>
        <v/>
      </c>
      <c r="DS127" s="96">
        <f>IFERROR(VLOOKUP($B127,INDIRECT("'GRD-"&amp;DS$11&amp;"'!B:R"),15,FALSE),"")</f>
        <v/>
      </c>
      <c r="DT127" s="96">
        <f>IFERROR(VLOOKUP($B127,INDIRECT("'GRD-"&amp;DT$11&amp;"'!B:R"),15,FALSE),"")</f>
        <v/>
      </c>
      <c r="DU127" s="96">
        <f>IFERROR(VLOOKUP($B127,INDIRECT("'GRD-"&amp;DU$11&amp;"'!B:R"),15,FALSE),"")</f>
        <v/>
      </c>
      <c r="DV127" s="96">
        <f>IFERROR(VLOOKUP($B127,INDIRECT("'GRD-"&amp;DV$11&amp;"'!B:R"),15,FALSE),"")</f>
        <v/>
      </c>
      <c r="DW127" s="96">
        <f>IFERROR(VLOOKUP($B127,INDIRECT("'GRD-"&amp;DW$11&amp;"'!B:R"),15,FALSE),"")</f>
        <v/>
      </c>
      <c r="DX127" s="96">
        <f>IFERROR(VLOOKUP($B127,INDIRECT("'GRD-"&amp;DX$11&amp;"'!B:R"),15,FALSE),"")</f>
        <v/>
      </c>
      <c r="DY127" s="96">
        <f>IFERROR(VLOOKUP($B127,INDIRECT("'GRD-"&amp;DY$11&amp;"'!B:R"),15,FALSE),"")</f>
        <v/>
      </c>
      <c r="DZ127" s="96">
        <f>IFERROR(VLOOKUP($B127,INDIRECT("'GRD-"&amp;DZ$11&amp;"'!B:R"),15,FALSE),"")</f>
        <v/>
      </c>
      <c r="EA127" s="96">
        <f>IFERROR(VLOOKUP($B127,INDIRECT("'GRD-"&amp;EA$11&amp;"'!B:R"),15,FALSE),"")</f>
        <v/>
      </c>
      <c r="EB127" s="96">
        <f>IFERROR(VLOOKUP($B127,INDIRECT("'GRD-"&amp;EB$11&amp;"'!B:R"),15,FALSE),"")</f>
        <v/>
      </c>
      <c r="EC127" s="96">
        <f>IFERROR(VLOOKUP($B127,INDIRECT("'GRD-"&amp;EC$11&amp;"'!B:R"),15,FALSE),"")</f>
        <v/>
      </c>
      <c r="ED127" s="96">
        <f>IFERROR(VLOOKUP($B127,INDIRECT("'GRD-"&amp;ED$11&amp;"'!B:R"),15,FALSE),"")</f>
        <v/>
      </c>
      <c r="EE127" s="96">
        <f>IFERROR(VLOOKUP($B127,INDIRECT("'GRD-"&amp;EE$11&amp;"'!B:R"),15,FALSE),"")</f>
        <v/>
      </c>
      <c r="EF127" s="96">
        <f>IFERROR(VLOOKUP($B127,INDIRECT("'GRD-"&amp;EF$11&amp;"'!B:R"),15,FALSE),"")</f>
        <v/>
      </c>
      <c r="EG127" s="96">
        <f>IFERROR(VLOOKUP($B127,INDIRECT("'GRD-"&amp;EG$11&amp;"'!B:R"),15,FALSE),"")</f>
        <v/>
      </c>
      <c r="EH127" s="96">
        <f>IFERROR(VLOOKUP($B127,INDIRECT("'GRD-"&amp;EH$11&amp;"'!B:R"),15,FALSE),"")</f>
        <v/>
      </c>
      <c r="EI127" s="96">
        <f>IFERROR(VLOOKUP($B127,INDIRECT("'GRD-"&amp;EI$11&amp;"'!B:R"),15,FALSE),"")</f>
        <v/>
      </c>
      <c r="EJ127" s="96">
        <f>IFERROR(VLOOKUP($B127,INDIRECT("'GRD-"&amp;EJ$11&amp;"'!B:R"),15,FALSE),"")</f>
        <v/>
      </c>
      <c r="EK127" s="96">
        <f>IFERROR(VLOOKUP($B127,INDIRECT("'GRD-"&amp;EK$11&amp;"'!B:R"),15,FALSE),"")</f>
        <v/>
      </c>
      <c r="EL127" s="96">
        <f>IFERROR(VLOOKUP($B127,INDIRECT("'GRD-"&amp;EL$11&amp;"'!B:R"),15,FALSE),"")</f>
        <v/>
      </c>
      <c r="EM127" s="96">
        <f>IFERROR(VLOOKUP($B127,INDIRECT("'GRD-"&amp;EM$11&amp;"'!B:R"),15,FALSE),"")</f>
        <v/>
      </c>
      <c r="EN127" s="96">
        <f>IFERROR(VLOOKUP($B127,INDIRECT("'GRD-"&amp;EN$11&amp;"'!B:R"),15,FALSE),"")</f>
        <v/>
      </c>
      <c r="EO127" s="96">
        <f>IFERROR(VLOOKUP($B127,INDIRECT("'GRD-"&amp;EO$11&amp;"'!B:R"),15,FALSE),"")</f>
        <v/>
      </c>
      <c r="EP127" s="96">
        <f>IFERROR(VLOOKUP($B127,INDIRECT("'GRD-"&amp;EP$11&amp;"'!B:R"),15,FALSE),"")</f>
        <v/>
      </c>
      <c r="EQ127" s="96">
        <f>IFERROR(VLOOKUP($B127,INDIRECT("'GRD-"&amp;EQ$11&amp;"'!B:R"),15,FALSE),"")</f>
        <v/>
      </c>
      <c r="ER127" s="96">
        <f>IFERROR(VLOOKUP($B127,INDIRECT("'GRD-"&amp;ER$11&amp;"'!B:R"),15,FALSE),"")</f>
        <v/>
      </c>
      <c r="ES127" s="96">
        <f>IFERROR(VLOOKUP($B127,INDIRECT("'GRD-"&amp;ES$11&amp;"'!B:R"),15,FALSE),"")</f>
        <v/>
      </c>
      <c r="ET127" s="96">
        <f>IFERROR(VLOOKUP($B127,INDIRECT("'GRD-"&amp;ET$11&amp;"'!B:R"),15,FALSE),"")</f>
        <v/>
      </c>
      <c r="EU127" s="96">
        <f>IFERROR(VLOOKUP($B127,INDIRECT("'GRD-"&amp;EU$11&amp;"'!B:R"),15,FALSE),"")</f>
        <v/>
      </c>
      <c r="EV127" s="96">
        <f>IFERROR(VLOOKUP($B127,INDIRECT("'GRD-"&amp;EV$11&amp;"'!B:R"),15,FALSE),"")</f>
        <v/>
      </c>
      <c r="EW127" s="96">
        <f>IFERROR(VLOOKUP($B127,INDIRECT("'GRD-"&amp;EW$11&amp;"'!B:R"),15,FALSE),"")</f>
        <v/>
      </c>
      <c r="EX127" s="96">
        <f>IFERROR(VLOOKUP($B127,INDIRECT("'GRD-"&amp;EX$11&amp;"'!B:R"),15,FALSE),"")</f>
        <v/>
      </c>
      <c r="EY127" s="96">
        <f>IFERROR(VLOOKUP($B127,INDIRECT("'GRD-"&amp;EY$11&amp;"'!B:R"),15,FALSE),"")</f>
        <v/>
      </c>
      <c r="EZ127" s="96">
        <f>IFERROR(VLOOKUP($B127,INDIRECT("'GRD-"&amp;EZ$11&amp;"'!B:R"),15,FALSE),"")</f>
        <v/>
      </c>
      <c r="FA127" s="96">
        <f>IFERROR(VLOOKUP($B127,INDIRECT("'GRD-"&amp;FA$11&amp;"'!B:R"),15,FALSE),"")</f>
        <v/>
      </c>
      <c r="FB127" s="96">
        <f>IFERROR(VLOOKUP($B127,INDIRECT("'GRD-"&amp;FB$11&amp;"'!B:R"),15,FALSE),"")</f>
        <v/>
      </c>
      <c r="FC127" s="96">
        <f>IFERROR(VLOOKUP($B127,INDIRECT("'GRD-"&amp;FC$11&amp;"'!B:R"),15,FALSE),"")</f>
        <v/>
      </c>
      <c r="FD127" s="96">
        <f>IFERROR(VLOOKUP($B127,INDIRECT("'GRD-"&amp;FD$11&amp;"'!B:R"),15,FALSE),"")</f>
        <v/>
      </c>
      <c r="FE127" s="96">
        <f>IFERROR(VLOOKUP($B127,INDIRECT("'GRD-"&amp;FE$11&amp;"'!B:R"),15,FALSE),"")</f>
        <v/>
      </c>
      <c r="FF127" s="96">
        <f>IFERROR(VLOOKUP($B127,INDIRECT("'GRD-"&amp;FF$11&amp;"'!B:R"),15,FALSE),"")</f>
        <v/>
      </c>
      <c r="FG127" s="96">
        <f>IFERROR(VLOOKUP($B127,INDIRECT("'GRD-"&amp;FG$11&amp;"'!B:R"),15,FALSE),"")</f>
        <v/>
      </c>
      <c r="FH127" s="96">
        <f>IFERROR(VLOOKUP($B127,INDIRECT("'GRD-"&amp;FH$11&amp;"'!B:R"),15,FALSE),"")</f>
        <v/>
      </c>
      <c r="FI127" s="96">
        <f>IFERROR(VLOOKUP($B127,INDIRECT("'GRD-"&amp;FI$11&amp;"'!B:R"),15,FALSE),"")</f>
        <v/>
      </c>
      <c r="FJ127" s="96">
        <f>IFERROR(VLOOKUP($B127,INDIRECT("'GRD-"&amp;FJ$11&amp;"'!B:R"),15,FALSE),"")</f>
        <v/>
      </c>
      <c r="FK127" s="96">
        <f>IFERROR(VLOOKUP($B127,INDIRECT("'GRD-"&amp;FK$11&amp;"'!B:R"),15,FALSE),"")</f>
        <v/>
      </c>
      <c r="FL127" s="96">
        <f>IFERROR(VLOOKUP($B127,INDIRECT("'GRD-"&amp;FL$11&amp;"'!B:R"),15,FALSE),"")</f>
        <v/>
      </c>
      <c r="FM127" s="96">
        <f>IFERROR(VLOOKUP($B127,INDIRECT("'GRD-"&amp;FM$11&amp;"'!B:R"),15,FALSE),"")</f>
        <v/>
      </c>
      <c r="FN127" s="96">
        <f>IFERROR(VLOOKUP($B127,INDIRECT("'GRD-"&amp;FN$11&amp;"'!B:R"),15,FALSE),"")</f>
        <v/>
      </c>
      <c r="FO127" s="96">
        <f>IFERROR(VLOOKUP($B127,INDIRECT("'GRD-"&amp;FO$11&amp;"'!B:R"),15,FALSE),"")</f>
        <v/>
      </c>
      <c r="FP127" s="96">
        <f>IFERROR(VLOOKUP($B127,INDIRECT("'GRD-"&amp;FP$11&amp;"'!B:R"),15,FALSE),"")</f>
        <v/>
      </c>
      <c r="FQ127" s="96">
        <f>IFERROR(VLOOKUP($B127,INDIRECT("'GRD-"&amp;FQ$11&amp;"'!B:R"),15,FALSE),"")</f>
        <v/>
      </c>
      <c r="FR127" s="96">
        <f>IFERROR(VLOOKUP($B127,INDIRECT("'GRD-"&amp;FR$11&amp;"'!B:R"),15,FALSE),"")</f>
        <v/>
      </c>
      <c r="FS127" s="96">
        <f>IFERROR(VLOOKUP($B127,INDIRECT("'GRD-"&amp;FS$11&amp;"'!B:R"),15,FALSE),"")</f>
        <v/>
      </c>
      <c r="FT127" s="96">
        <f>IFERROR(VLOOKUP($B127,INDIRECT("'GRD-"&amp;FT$11&amp;"'!B:R"),15,FALSE),"")</f>
        <v/>
      </c>
      <c r="FU127" s="96">
        <f>IFERROR(VLOOKUP($B127,INDIRECT("'GRD-"&amp;FU$11&amp;"'!B:R"),15,FALSE),"")</f>
        <v/>
      </c>
      <c r="FV127" s="96">
        <f>IFERROR(VLOOKUP($B127,INDIRECT("'GRD-"&amp;FV$11&amp;"'!B:R"),15,FALSE),"")</f>
        <v/>
      </c>
    </row>
    <row r="128">
      <c r="B128" s="85" t="n"/>
      <c r="C128" s="93" t="n"/>
      <c r="D128" s="73">
        <f>IF(K128="","",MAX($CA128:$FV128))</f>
        <v/>
      </c>
      <c r="E128" s="74">
        <f t="array" ref="E128">IF($K128="","",OFFSET($A$1,ROW($B128)-1,11+$D128*4,))</f>
        <v/>
      </c>
      <c r="F128" s="74">
        <f t="array" ref="F128">IF($K128="","",OFFSET($A$1,ROW($B128)-1,12+$D128*4,))</f>
        <v/>
      </c>
      <c r="G128" s="118">
        <f t="array" ref="G128">IF($K128="","",OFFSET($A$1,ROW($B128)-1,13+$D128*4,))</f>
        <v/>
      </c>
      <c r="H128" s="81" t="n"/>
      <c r="I128" s="82" t="n"/>
      <c r="J128" s="75">
        <f>IF(I128="A4",H128/8,IF(I128="A3",H128/4,IF(I128="A2",H128/2,IF(I128="A1",H128/1,IF(I128="A0",H128*2,"")))))</f>
        <v/>
      </c>
      <c r="K128" s="68">
        <f t="array" ref="K128">IFERROR(OFFSET($BZ$11,ROW($B128)-11,MATCH(K$10,$CA128:$FV128,0),),"")</f>
        <v/>
      </c>
      <c r="L128" s="85">
        <f>IF(K128="","",IF(VLOOKUP($B128,INDIRECT("'GRD-"&amp;M128&amp;"'!$B:$R"),16,FALSE)="","",VLOOKUP($B128,INDIRECT("'GRD-"&amp;M128&amp;"'!$B:$R"),16,FALSE)))</f>
        <v/>
      </c>
      <c r="M128" s="130">
        <f t="array" ref="M128">IF(K128="","",IFERROR(OFFSET($BZ$11,0,MATCH($K128,$CA128:$FV128,0),),""))</f>
        <v/>
      </c>
      <c r="N128" s="119">
        <f t="array" ref="N128">IF(K128="","",INDIRECT("'GRD-"&amp;M128&amp;"'!$L$7"))</f>
        <v/>
      </c>
      <c r="O128" s="76">
        <f t="array" ref="O128">IFERROR(OFFSET($BZ$11,ROW($B128)-11,MATCH(O$10,$CA128:$FV128,0),),"")</f>
        <v/>
      </c>
      <c r="P128" s="76">
        <f>IF(O128="","",IF(VLOOKUP($B128,INDIRECT("'GRD-"&amp;Q128&amp;"'!$B:$R"),16,FALSE)="","",VLOOKUP($B128,INDIRECT("'GRD-"&amp;Q128&amp;"'!$B:$R"),16,FALSE)))</f>
        <v/>
      </c>
      <c r="Q128" s="132">
        <f t="array" ref="Q128">IF(O128="","",IFERROR(OFFSET($BZ$11,0,MATCH($O128,$CA128:$FV128,0),),""))</f>
        <v/>
      </c>
      <c r="R128" s="121">
        <f t="array" ref="R128">IF(O128="","",INDIRECT("'GRD-"&amp;Q128&amp;"'!$L$7"))</f>
        <v/>
      </c>
      <c r="S128" s="83">
        <f t="array" ref="S128">IFERROR(OFFSET($BZ$11,ROW($B128)-11,MATCH(S$10,$CA128:$FV128,0),),"")</f>
        <v/>
      </c>
      <c r="T128" s="83">
        <f>IF(S128="","",IF(VLOOKUP($B128,INDIRECT("'GRD-"&amp;U128&amp;"'!$B:$R"),16,FALSE)="","",VLOOKUP($B128,INDIRECT("'GRD-"&amp;U128&amp;"'!$B:$R"),16,FALSE)))</f>
        <v/>
      </c>
      <c r="U128" s="128">
        <f t="array" ref="U128">IF(S128="","",IFERROR(OFFSET($BZ$11,0,MATCH($S128,$CA128:$FV128,0),),""))</f>
        <v/>
      </c>
      <c r="V128" s="133">
        <f t="array" ref="V128">IF(S128="","",INDIRECT("'GRD-"&amp;U128&amp;"'!$L$7"))</f>
        <v/>
      </c>
      <c r="W128" s="84">
        <f t="array" ref="W128">IFERROR(OFFSET($BZ$11,ROW($B128)-11,MATCH(W$10,$CA128:$FV128,0),),"")</f>
        <v/>
      </c>
      <c r="X128" s="84">
        <f>IF(W128="","",IF(VLOOKUP($B128,INDIRECT("'GRD-"&amp;Y128&amp;"'!$B:$R"),16,FALSE)="","",VLOOKUP($B128,INDIRECT("'GRD-"&amp;Y128&amp;"'!$B:$R"),16,FALSE)))</f>
        <v/>
      </c>
      <c r="Y128" s="129">
        <f t="array" ref="Y128">IF(W128="","",IFERROR(OFFSET($BZ$11,0,MATCH($W128,$CA128:$FV128,0),),""))</f>
        <v/>
      </c>
      <c r="Z128" s="134">
        <f t="array" ref="Z128">IF(W128="","",INDIRECT("'GRD-"&amp;Y128&amp;"'!$L$7"))</f>
        <v/>
      </c>
      <c r="AA128" s="85">
        <f t="array" ref="AA128">IFERROR(OFFSET($BZ$11,ROW($B128)-11,MATCH(AA$10,$CA128:$FV128,0),),"")</f>
        <v/>
      </c>
      <c r="AB128" s="85">
        <f>IF(AA128="","",IF(VLOOKUP($B128,INDIRECT("'GRD-"&amp;AC128&amp;"'!$B:$R"),16,FALSE)="","",VLOOKUP($B128,INDIRECT("'GRD-"&amp;AC128&amp;"'!$B:$R"),16,FALSE)))</f>
        <v/>
      </c>
      <c r="AC128" s="130">
        <f t="array" ref="AC128">IF(AA128="","",IFERROR(OFFSET($BZ$11,0,MATCH($AA128,$CA128:$FV128,0),),""))</f>
        <v/>
      </c>
      <c r="AD128" s="131">
        <f t="array" ref="AD128">IF(AA128="","",INDIRECT("'GRD-"&amp;AC128&amp;"'!$L$7"))</f>
        <v/>
      </c>
      <c r="AE128" s="76">
        <f t="array" ref="AE128">IFERROR(OFFSET($BZ$11,ROW($B128)-11,MATCH(AE$10,$CA128:$FV128,0),),"")</f>
        <v/>
      </c>
      <c r="AF128" s="76">
        <f>IF(AE128="","",IF(VLOOKUP($B128,INDIRECT("'GRD-"&amp;AG128&amp;"'!$B:$R"),16,FALSE)="","",VLOOKUP($B128,INDIRECT("'GRD-"&amp;AG128&amp;"'!$B:$R"),16,FALSE)))</f>
        <v/>
      </c>
      <c r="AG128" s="132">
        <f t="array" ref="AG128">IF(AE128="","",IFERROR(OFFSET($BZ$11,0,MATCH($AE128,$CA128:$FV128,0),),""))</f>
        <v/>
      </c>
      <c r="AH128" s="121">
        <f t="array" ref="AH128">IF(AE128="","",INDIRECT("'GRD-"&amp;AG128&amp;"'!$L$7"))</f>
        <v/>
      </c>
      <c r="AI128" s="83">
        <f t="array" ref="AI128">IFERROR(OFFSET($BZ$11,ROW($B128)-11,MATCH(AI$10,$CA128:$FV128,0),),"")</f>
        <v/>
      </c>
      <c r="AJ128" s="83">
        <f>IF(AI128="","",IF(VLOOKUP($B128,INDIRECT("'GRD-"&amp;AK128&amp;"'!$B:$R"),16,FALSE)="","",VLOOKUP($B128,INDIRECT("'GRD-"&amp;AK128&amp;"'!$B:$R"),16,FALSE)))</f>
        <v/>
      </c>
      <c r="AK128" s="128">
        <f t="array" ref="AK128">IF(AI128="","",IFERROR(OFFSET($BZ$11,0,MATCH($AI128,$CA128:$FV128,0),),""))</f>
        <v/>
      </c>
      <c r="AL128" s="133">
        <f t="array" ref="AL128">IF(AI128="","",INDIRECT("'GRD-"&amp;AK128&amp;"'!$L$7"))</f>
        <v/>
      </c>
      <c r="AM128" s="84">
        <f t="array" ref="AM128">IFERROR(OFFSET($BZ$11,ROW($B128)-11,MATCH(AM$10,$CA128:$FV128,0),),"")</f>
        <v/>
      </c>
      <c r="AN128" s="84">
        <f>IF(AM128="","",IF(VLOOKUP($B128,INDIRECT("'GRD-"&amp;AO128&amp;"'!$B:$R"),16,FALSE)="","",VLOOKUP($B128,INDIRECT("'GRD-"&amp;AO128&amp;"'!$B:$R"),16,FALSE)))</f>
        <v/>
      </c>
      <c r="AO128" s="129">
        <f t="array" ref="AO128">IF(AM128="","",IFERROR(OFFSET($BZ$11,0,MATCH($AM128,$CA128:$FV128,0),),""))</f>
        <v/>
      </c>
      <c r="AP128" s="134">
        <f t="array" ref="AP128">IF(AM128="","",INDIRECT("'GRD-"&amp;AO128&amp;"'!$L$7"))</f>
        <v/>
      </c>
      <c r="AQ128" s="85">
        <f t="array" ref="AQ128">IFERROR(OFFSET($BZ$11,ROW($B128)-11,MATCH(AQ$10,$CA128:$FV128,0),),"")</f>
        <v/>
      </c>
      <c r="AR128" s="85">
        <f>IF(AQ128="","",IF(VLOOKUP($B128,INDIRECT("'GRD-"&amp;AS128&amp;"'!$B:$R"),16,FALSE)="","",VLOOKUP($B128,INDIRECT("'GRD-"&amp;AS128&amp;"'!$B:$R"),16,FALSE)))</f>
        <v/>
      </c>
      <c r="AS128" s="130">
        <f t="array" ref="AS128">IF(AQ128="","",IFERROR(OFFSET($BZ$11,0,MATCH($AQ128,$CA128:$FV128,0),),""))</f>
        <v/>
      </c>
      <c r="AT128" s="131">
        <f t="array" ref="AT128">IF(AQ128="","",INDIRECT("'GRD-"&amp;AS128&amp;"'!$L$7"))</f>
        <v/>
      </c>
      <c r="AU128" s="76">
        <f t="array" ref="AU128">IFERROR(OFFSET($BZ$11,ROW($B128)-11,MATCH(AU$10,$CA128:$FV128,0),),"")</f>
        <v/>
      </c>
      <c r="AV128" s="76">
        <f>IF(AU128="","",IF(VLOOKUP($B128,INDIRECT("'GRD-"&amp;AW128&amp;"'!$B:$R"),16,FALSE)="","",VLOOKUP($B128,INDIRECT("'GRD-"&amp;AW128&amp;"'!$B:$R"),16,FALSE)))</f>
        <v/>
      </c>
      <c r="AW128" s="132">
        <f t="array" ref="AW128">IF(AU128="","",IFERROR(OFFSET($BZ$11,0,MATCH($AU128,$CA128:$FV128,0),),""))</f>
        <v/>
      </c>
      <c r="AX128" s="121">
        <f t="array" ref="AX128">IF(AU128="","",INDIRECT("'GRD-"&amp;AW128&amp;"'!$L$7"))</f>
        <v/>
      </c>
      <c r="AY128" s="83">
        <f t="array" ref="AY128">IFERROR(OFFSET($BZ$11,ROW($B128)-11,MATCH(AY$10,$CA128:$FV128,0),),"")</f>
        <v/>
      </c>
      <c r="AZ128" s="83">
        <f>IF(AY128="","",IF(VLOOKUP($B128,INDIRECT("'GRD-"&amp;BA128&amp;"'!$B:$R"),16,FALSE)="","",VLOOKUP($B128,INDIRECT("'GRD-"&amp;BA128&amp;"'!$B:$R"),16,FALSE)))</f>
        <v/>
      </c>
      <c r="BA128" s="128">
        <f t="array" ref="BA128">IF(AY128="","",IFERROR(OFFSET($BZ$11,0,MATCH($AY128,$CA128:$FV128,0),),""))</f>
        <v/>
      </c>
      <c r="BB128" s="133">
        <f t="array" ref="BB128">IF(AY128="","",INDIRECT("'GRD-"&amp;BA128&amp;"'!$L$7"))</f>
        <v/>
      </c>
      <c r="BC128" s="84">
        <f t="array" ref="BC128">IFERROR(OFFSET($BZ$11,ROW($B128)-11,MATCH(BC$10,$CA128:$FV128,0),),"")</f>
        <v/>
      </c>
      <c r="BD128" s="84">
        <f>IF(BC128="","",IF(VLOOKUP($B128,INDIRECT("'GRD-"&amp;BE128&amp;"'!$B:$R"),16,FALSE)="","",VLOOKUP($B128,INDIRECT("'GRD-"&amp;BE128&amp;"'!$B:$R"),16,FALSE)))</f>
        <v/>
      </c>
      <c r="BE128" s="129">
        <f t="array" ref="BE128">IF(BC128="","",IFERROR(OFFSET($BZ$11,0,MATCH($BC128,$CA128:$FV128,0),),""))</f>
        <v/>
      </c>
      <c r="BF128" s="134">
        <f t="array" ref="BF128">IF(BC128="","",INDIRECT("'GRD-"&amp;BE128&amp;"'!$L$7"))</f>
        <v/>
      </c>
      <c r="CA128" s="96">
        <f>IFERROR(VLOOKUP($B128,INDIRECT("'GRD-"&amp;CA$11&amp;"'!B:R"),15,FALSE),"")</f>
        <v/>
      </c>
      <c r="CB128" s="96">
        <f>IFERROR(VLOOKUP($B128,INDIRECT("'GRD-"&amp;CB$11&amp;"'!B:R"),15,FALSE),"")</f>
        <v/>
      </c>
      <c r="CC128" s="96">
        <f>IFERROR(VLOOKUP($B128,INDIRECT("'GRD-"&amp;CC$11&amp;"'!B:R"),15,FALSE),"")</f>
        <v/>
      </c>
      <c r="CD128" s="96">
        <f>IFERROR(VLOOKUP($B128,INDIRECT("'GRD-"&amp;CD$11&amp;"'!B:R"),15,FALSE),"")</f>
        <v/>
      </c>
      <c r="CE128" s="96">
        <f>IFERROR(VLOOKUP($B128,INDIRECT("'GRD-"&amp;CE$11&amp;"'!B:R"),15,FALSE),"")</f>
        <v/>
      </c>
      <c r="CF128" s="96">
        <f>IFERROR(VLOOKUP($B128,INDIRECT("'GRD-"&amp;CF$11&amp;"'!B:R"),15,FALSE),"")</f>
        <v/>
      </c>
      <c r="CG128" s="96">
        <f>IFERROR(VLOOKUP($B128,INDIRECT("'GRD-"&amp;CG$11&amp;"'!B:R"),15,FALSE),"")</f>
        <v/>
      </c>
      <c r="CH128" s="96">
        <f>IFERROR(VLOOKUP($B128,INDIRECT("'GRD-"&amp;CH$11&amp;"'!B:R"),15,FALSE),"")</f>
        <v/>
      </c>
      <c r="CI128" s="96">
        <f>IFERROR(VLOOKUP($B128,INDIRECT("'GRD-"&amp;CI$11&amp;"'!B:R"),15,FALSE),"")</f>
        <v/>
      </c>
      <c r="CJ128" s="96">
        <f>IFERROR(VLOOKUP($B128,INDIRECT("'GRD-"&amp;CJ$11&amp;"'!B:R"),15,FALSE),"")</f>
        <v/>
      </c>
      <c r="CK128" s="96">
        <f>IFERROR(VLOOKUP($B128,INDIRECT("'GRD-"&amp;CK$11&amp;"'!B:R"),15,FALSE),"")</f>
        <v/>
      </c>
      <c r="CL128" s="96">
        <f>IFERROR(VLOOKUP($B128,INDIRECT("'GRD-"&amp;CL$11&amp;"'!B:R"),15,FALSE),"")</f>
        <v/>
      </c>
      <c r="CM128" s="96">
        <f>IFERROR(VLOOKUP($B128,INDIRECT("'GRD-"&amp;CM$11&amp;"'!B:R"),15,FALSE),"")</f>
        <v/>
      </c>
      <c r="CN128" s="96">
        <f>IFERROR(VLOOKUP($B128,INDIRECT("'GRD-"&amp;CN$11&amp;"'!B:R"),15,FALSE),"")</f>
        <v/>
      </c>
      <c r="CO128" s="96">
        <f>IFERROR(VLOOKUP($B128,INDIRECT("'GRD-"&amp;CO$11&amp;"'!B:R"),15,FALSE),"")</f>
        <v/>
      </c>
      <c r="CP128" s="96">
        <f>IFERROR(VLOOKUP($B128,INDIRECT("'GRD-"&amp;CP$11&amp;"'!B:R"),15,FALSE),"")</f>
        <v/>
      </c>
      <c r="CQ128" s="96">
        <f>IFERROR(VLOOKUP($B128,INDIRECT("'GRD-"&amp;CQ$11&amp;"'!B:R"),15,FALSE),"")</f>
        <v/>
      </c>
      <c r="CR128" s="96">
        <f>IFERROR(VLOOKUP($B128,INDIRECT("'GRD-"&amp;CR$11&amp;"'!B:R"),15,FALSE),"")</f>
        <v/>
      </c>
      <c r="CS128" s="96">
        <f>IFERROR(VLOOKUP($B128,INDIRECT("'GRD-"&amp;CS$11&amp;"'!B:R"),15,FALSE),"")</f>
        <v/>
      </c>
      <c r="CT128" s="96">
        <f>IFERROR(VLOOKUP($B128,INDIRECT("'GRD-"&amp;CT$11&amp;"'!B:R"),15,FALSE),"")</f>
        <v/>
      </c>
      <c r="CU128" s="96">
        <f>IFERROR(VLOOKUP($B128,INDIRECT("'GRD-"&amp;CU$11&amp;"'!B:R"),15,FALSE),"")</f>
        <v/>
      </c>
      <c r="CV128" s="96">
        <f>IFERROR(VLOOKUP($B128,INDIRECT("'GRD-"&amp;CV$11&amp;"'!B:R"),15,FALSE),"")</f>
        <v/>
      </c>
      <c r="CW128" s="96">
        <f>IFERROR(VLOOKUP($B128,INDIRECT("'GRD-"&amp;CW$11&amp;"'!B:R"),15,FALSE),"")</f>
        <v/>
      </c>
      <c r="CX128" s="96">
        <f>IFERROR(VLOOKUP($B128,INDIRECT("'GRD-"&amp;CX$11&amp;"'!B:R"),15,FALSE),"")</f>
        <v/>
      </c>
      <c r="CY128" s="96">
        <f>IFERROR(VLOOKUP($B128,INDIRECT("'GRD-"&amp;CY$11&amp;"'!B:R"),15,FALSE),"")</f>
        <v/>
      </c>
      <c r="CZ128" s="96">
        <f>IFERROR(VLOOKUP($B128,INDIRECT("'GRD-"&amp;CZ$11&amp;"'!B:R"),15,FALSE),"")</f>
        <v/>
      </c>
      <c r="DA128" s="96">
        <f>IFERROR(VLOOKUP($B128,INDIRECT("'GRD-"&amp;DA$11&amp;"'!B:R"),15,FALSE),"")</f>
        <v/>
      </c>
      <c r="DB128" s="96">
        <f>IFERROR(VLOOKUP($B128,INDIRECT("'GRD-"&amp;DB$11&amp;"'!B:R"),15,FALSE),"")</f>
        <v/>
      </c>
      <c r="DC128" s="96">
        <f>IFERROR(VLOOKUP($B128,INDIRECT("'GRD-"&amp;DC$11&amp;"'!B:R"),15,FALSE),"")</f>
        <v/>
      </c>
      <c r="DD128" s="96">
        <f>IFERROR(VLOOKUP($B128,INDIRECT("'GRD-"&amp;DD$11&amp;"'!B:R"),15,FALSE),"")</f>
        <v/>
      </c>
      <c r="DE128" s="96">
        <f>IFERROR(VLOOKUP($B128,INDIRECT("'GRD-"&amp;DE$11&amp;"'!B:R"),15,FALSE),"")</f>
        <v/>
      </c>
      <c r="DF128" s="96">
        <f>IFERROR(VLOOKUP($B128,INDIRECT("'GRD-"&amp;DF$11&amp;"'!B:R"),15,FALSE),"")</f>
        <v/>
      </c>
      <c r="DG128" s="96">
        <f>IFERROR(VLOOKUP($B128,INDIRECT("'GRD-"&amp;DG$11&amp;"'!B:R"),15,FALSE),"")</f>
        <v/>
      </c>
      <c r="DH128" s="96">
        <f>IFERROR(VLOOKUP($B128,INDIRECT("'GRD-"&amp;DH$11&amp;"'!B:R"),15,FALSE),"")</f>
        <v/>
      </c>
      <c r="DI128" s="96">
        <f>IFERROR(VLOOKUP($B128,INDIRECT("'GRD-"&amp;DI$11&amp;"'!B:R"),15,FALSE),"")</f>
        <v/>
      </c>
      <c r="DJ128" s="96">
        <f>IFERROR(VLOOKUP($B128,INDIRECT("'GRD-"&amp;DJ$11&amp;"'!B:R"),15,FALSE),"")</f>
        <v/>
      </c>
      <c r="DK128" s="96">
        <f>IFERROR(VLOOKUP($B128,INDIRECT("'GRD-"&amp;DK$11&amp;"'!B:R"),15,FALSE),"")</f>
        <v/>
      </c>
      <c r="DL128" s="96">
        <f>IFERROR(VLOOKUP($B128,INDIRECT("'GRD-"&amp;DL$11&amp;"'!B:R"),15,FALSE),"")</f>
        <v/>
      </c>
      <c r="DM128" s="96">
        <f>IFERROR(VLOOKUP($B128,INDIRECT("'GRD-"&amp;DM$11&amp;"'!B:R"),15,FALSE),"")</f>
        <v/>
      </c>
      <c r="DN128" s="96">
        <f>IFERROR(VLOOKUP($B128,INDIRECT("'GRD-"&amp;DN$11&amp;"'!B:R"),15,FALSE),"")</f>
        <v/>
      </c>
      <c r="DO128" s="96">
        <f>IFERROR(VLOOKUP($B128,INDIRECT("'GRD-"&amp;DO$11&amp;"'!B:R"),15,FALSE),"")</f>
        <v/>
      </c>
      <c r="DP128" s="96">
        <f>IFERROR(VLOOKUP($B128,INDIRECT("'GRD-"&amp;DP$11&amp;"'!B:R"),15,FALSE),"")</f>
        <v/>
      </c>
      <c r="DQ128" s="96">
        <f>IFERROR(VLOOKUP($B128,INDIRECT("'GRD-"&amp;DQ$11&amp;"'!B:R"),15,FALSE),"")</f>
        <v/>
      </c>
      <c r="DR128" s="96">
        <f>IFERROR(VLOOKUP($B128,INDIRECT("'GRD-"&amp;DR$11&amp;"'!B:R"),15,FALSE),"")</f>
        <v/>
      </c>
      <c r="DS128" s="96">
        <f>IFERROR(VLOOKUP($B128,INDIRECT("'GRD-"&amp;DS$11&amp;"'!B:R"),15,FALSE),"")</f>
        <v/>
      </c>
      <c r="DT128" s="96">
        <f>IFERROR(VLOOKUP($B128,INDIRECT("'GRD-"&amp;DT$11&amp;"'!B:R"),15,FALSE),"")</f>
        <v/>
      </c>
      <c r="DU128" s="96">
        <f>IFERROR(VLOOKUP($B128,INDIRECT("'GRD-"&amp;DU$11&amp;"'!B:R"),15,FALSE),"")</f>
        <v/>
      </c>
      <c r="DV128" s="96">
        <f>IFERROR(VLOOKUP($B128,INDIRECT("'GRD-"&amp;DV$11&amp;"'!B:R"),15,FALSE),"")</f>
        <v/>
      </c>
      <c r="DW128" s="96">
        <f>IFERROR(VLOOKUP($B128,INDIRECT("'GRD-"&amp;DW$11&amp;"'!B:R"),15,FALSE),"")</f>
        <v/>
      </c>
      <c r="DX128" s="96">
        <f>IFERROR(VLOOKUP($B128,INDIRECT("'GRD-"&amp;DX$11&amp;"'!B:R"),15,FALSE),"")</f>
        <v/>
      </c>
      <c r="DY128" s="96">
        <f>IFERROR(VLOOKUP($B128,INDIRECT("'GRD-"&amp;DY$11&amp;"'!B:R"),15,FALSE),"")</f>
        <v/>
      </c>
      <c r="DZ128" s="96">
        <f>IFERROR(VLOOKUP($B128,INDIRECT("'GRD-"&amp;DZ$11&amp;"'!B:R"),15,FALSE),"")</f>
        <v/>
      </c>
      <c r="EA128" s="96">
        <f>IFERROR(VLOOKUP($B128,INDIRECT("'GRD-"&amp;EA$11&amp;"'!B:R"),15,FALSE),"")</f>
        <v/>
      </c>
      <c r="EB128" s="96">
        <f>IFERROR(VLOOKUP($B128,INDIRECT("'GRD-"&amp;EB$11&amp;"'!B:R"),15,FALSE),"")</f>
        <v/>
      </c>
      <c r="EC128" s="96">
        <f>IFERROR(VLOOKUP($B128,INDIRECT("'GRD-"&amp;EC$11&amp;"'!B:R"),15,FALSE),"")</f>
        <v/>
      </c>
      <c r="ED128" s="96">
        <f>IFERROR(VLOOKUP($B128,INDIRECT("'GRD-"&amp;ED$11&amp;"'!B:R"),15,FALSE),"")</f>
        <v/>
      </c>
      <c r="EE128" s="96">
        <f>IFERROR(VLOOKUP($B128,INDIRECT("'GRD-"&amp;EE$11&amp;"'!B:R"),15,FALSE),"")</f>
        <v/>
      </c>
      <c r="EF128" s="96">
        <f>IFERROR(VLOOKUP($B128,INDIRECT("'GRD-"&amp;EF$11&amp;"'!B:R"),15,FALSE),"")</f>
        <v/>
      </c>
      <c r="EG128" s="96">
        <f>IFERROR(VLOOKUP($B128,INDIRECT("'GRD-"&amp;EG$11&amp;"'!B:R"),15,FALSE),"")</f>
        <v/>
      </c>
      <c r="EH128" s="96">
        <f>IFERROR(VLOOKUP($B128,INDIRECT("'GRD-"&amp;EH$11&amp;"'!B:R"),15,FALSE),"")</f>
        <v/>
      </c>
      <c r="EI128" s="96">
        <f>IFERROR(VLOOKUP($B128,INDIRECT("'GRD-"&amp;EI$11&amp;"'!B:R"),15,FALSE),"")</f>
        <v/>
      </c>
      <c r="EJ128" s="96">
        <f>IFERROR(VLOOKUP($B128,INDIRECT("'GRD-"&amp;EJ$11&amp;"'!B:R"),15,FALSE),"")</f>
        <v/>
      </c>
      <c r="EK128" s="96">
        <f>IFERROR(VLOOKUP($B128,INDIRECT("'GRD-"&amp;EK$11&amp;"'!B:R"),15,FALSE),"")</f>
        <v/>
      </c>
      <c r="EL128" s="96">
        <f>IFERROR(VLOOKUP($B128,INDIRECT("'GRD-"&amp;EL$11&amp;"'!B:R"),15,FALSE),"")</f>
        <v/>
      </c>
      <c r="EM128" s="96">
        <f>IFERROR(VLOOKUP($B128,INDIRECT("'GRD-"&amp;EM$11&amp;"'!B:R"),15,FALSE),"")</f>
        <v/>
      </c>
      <c r="EN128" s="96">
        <f>IFERROR(VLOOKUP($B128,INDIRECT("'GRD-"&amp;EN$11&amp;"'!B:R"),15,FALSE),"")</f>
        <v/>
      </c>
      <c r="EO128" s="96">
        <f>IFERROR(VLOOKUP($B128,INDIRECT("'GRD-"&amp;EO$11&amp;"'!B:R"),15,FALSE),"")</f>
        <v/>
      </c>
      <c r="EP128" s="96">
        <f>IFERROR(VLOOKUP($B128,INDIRECT("'GRD-"&amp;EP$11&amp;"'!B:R"),15,FALSE),"")</f>
        <v/>
      </c>
      <c r="EQ128" s="96">
        <f>IFERROR(VLOOKUP($B128,INDIRECT("'GRD-"&amp;EQ$11&amp;"'!B:R"),15,FALSE),"")</f>
        <v/>
      </c>
      <c r="ER128" s="96">
        <f>IFERROR(VLOOKUP($B128,INDIRECT("'GRD-"&amp;ER$11&amp;"'!B:R"),15,FALSE),"")</f>
        <v/>
      </c>
      <c r="ES128" s="96">
        <f>IFERROR(VLOOKUP($B128,INDIRECT("'GRD-"&amp;ES$11&amp;"'!B:R"),15,FALSE),"")</f>
        <v/>
      </c>
      <c r="ET128" s="96">
        <f>IFERROR(VLOOKUP($B128,INDIRECT("'GRD-"&amp;ET$11&amp;"'!B:R"),15,FALSE),"")</f>
        <v/>
      </c>
      <c r="EU128" s="96">
        <f>IFERROR(VLOOKUP($B128,INDIRECT("'GRD-"&amp;EU$11&amp;"'!B:R"),15,FALSE),"")</f>
        <v/>
      </c>
      <c r="EV128" s="96">
        <f>IFERROR(VLOOKUP($B128,INDIRECT("'GRD-"&amp;EV$11&amp;"'!B:R"),15,FALSE),"")</f>
        <v/>
      </c>
      <c r="EW128" s="96">
        <f>IFERROR(VLOOKUP($B128,INDIRECT("'GRD-"&amp;EW$11&amp;"'!B:R"),15,FALSE),"")</f>
        <v/>
      </c>
      <c r="EX128" s="96">
        <f>IFERROR(VLOOKUP($B128,INDIRECT("'GRD-"&amp;EX$11&amp;"'!B:R"),15,FALSE),"")</f>
        <v/>
      </c>
      <c r="EY128" s="96">
        <f>IFERROR(VLOOKUP($B128,INDIRECT("'GRD-"&amp;EY$11&amp;"'!B:R"),15,FALSE),"")</f>
        <v/>
      </c>
      <c r="EZ128" s="96">
        <f>IFERROR(VLOOKUP($B128,INDIRECT("'GRD-"&amp;EZ$11&amp;"'!B:R"),15,FALSE),"")</f>
        <v/>
      </c>
      <c r="FA128" s="96">
        <f>IFERROR(VLOOKUP($B128,INDIRECT("'GRD-"&amp;FA$11&amp;"'!B:R"),15,FALSE),"")</f>
        <v/>
      </c>
      <c r="FB128" s="96">
        <f>IFERROR(VLOOKUP($B128,INDIRECT("'GRD-"&amp;FB$11&amp;"'!B:R"),15,FALSE),"")</f>
        <v/>
      </c>
      <c r="FC128" s="96">
        <f>IFERROR(VLOOKUP($B128,INDIRECT("'GRD-"&amp;FC$11&amp;"'!B:R"),15,FALSE),"")</f>
        <v/>
      </c>
      <c r="FD128" s="96">
        <f>IFERROR(VLOOKUP($B128,INDIRECT("'GRD-"&amp;FD$11&amp;"'!B:R"),15,FALSE),"")</f>
        <v/>
      </c>
      <c r="FE128" s="96">
        <f>IFERROR(VLOOKUP($B128,INDIRECT("'GRD-"&amp;FE$11&amp;"'!B:R"),15,FALSE),"")</f>
        <v/>
      </c>
      <c r="FF128" s="96">
        <f>IFERROR(VLOOKUP($B128,INDIRECT("'GRD-"&amp;FF$11&amp;"'!B:R"),15,FALSE),"")</f>
        <v/>
      </c>
      <c r="FG128" s="96">
        <f>IFERROR(VLOOKUP($B128,INDIRECT("'GRD-"&amp;FG$11&amp;"'!B:R"),15,FALSE),"")</f>
        <v/>
      </c>
      <c r="FH128" s="96">
        <f>IFERROR(VLOOKUP($B128,INDIRECT("'GRD-"&amp;FH$11&amp;"'!B:R"),15,FALSE),"")</f>
        <v/>
      </c>
      <c r="FI128" s="96">
        <f>IFERROR(VLOOKUP($B128,INDIRECT("'GRD-"&amp;FI$11&amp;"'!B:R"),15,FALSE),"")</f>
        <v/>
      </c>
      <c r="FJ128" s="96">
        <f>IFERROR(VLOOKUP($B128,INDIRECT("'GRD-"&amp;FJ$11&amp;"'!B:R"),15,FALSE),"")</f>
        <v/>
      </c>
      <c r="FK128" s="96">
        <f>IFERROR(VLOOKUP($B128,INDIRECT("'GRD-"&amp;FK$11&amp;"'!B:R"),15,FALSE),"")</f>
        <v/>
      </c>
      <c r="FL128" s="96">
        <f>IFERROR(VLOOKUP($B128,INDIRECT("'GRD-"&amp;FL$11&amp;"'!B:R"),15,FALSE),"")</f>
        <v/>
      </c>
      <c r="FM128" s="96">
        <f>IFERROR(VLOOKUP($B128,INDIRECT("'GRD-"&amp;FM$11&amp;"'!B:R"),15,FALSE),"")</f>
        <v/>
      </c>
      <c r="FN128" s="96">
        <f>IFERROR(VLOOKUP($B128,INDIRECT("'GRD-"&amp;FN$11&amp;"'!B:R"),15,FALSE),"")</f>
        <v/>
      </c>
      <c r="FO128" s="96">
        <f>IFERROR(VLOOKUP($B128,INDIRECT("'GRD-"&amp;FO$11&amp;"'!B:R"),15,FALSE),"")</f>
        <v/>
      </c>
      <c r="FP128" s="96">
        <f>IFERROR(VLOOKUP($B128,INDIRECT("'GRD-"&amp;FP$11&amp;"'!B:R"),15,FALSE),"")</f>
        <v/>
      </c>
      <c r="FQ128" s="96">
        <f>IFERROR(VLOOKUP($B128,INDIRECT("'GRD-"&amp;FQ$11&amp;"'!B:R"),15,FALSE),"")</f>
        <v/>
      </c>
      <c r="FR128" s="96">
        <f>IFERROR(VLOOKUP($B128,INDIRECT("'GRD-"&amp;FR$11&amp;"'!B:R"),15,FALSE),"")</f>
        <v/>
      </c>
      <c r="FS128" s="96">
        <f>IFERROR(VLOOKUP($B128,INDIRECT("'GRD-"&amp;FS$11&amp;"'!B:R"),15,FALSE),"")</f>
        <v/>
      </c>
      <c r="FT128" s="96">
        <f>IFERROR(VLOOKUP($B128,INDIRECT("'GRD-"&amp;FT$11&amp;"'!B:R"),15,FALSE),"")</f>
        <v/>
      </c>
      <c r="FU128" s="96">
        <f>IFERROR(VLOOKUP($B128,INDIRECT("'GRD-"&amp;FU$11&amp;"'!B:R"),15,FALSE),"")</f>
        <v/>
      </c>
      <c r="FV128" s="96">
        <f>IFERROR(VLOOKUP($B128,INDIRECT("'GRD-"&amp;FV$11&amp;"'!B:R"),15,FALSE),"")</f>
        <v/>
      </c>
    </row>
    <row r="129">
      <c r="B129" s="85" t="n"/>
      <c r="C129" s="93" t="n"/>
      <c r="D129" s="73">
        <f>IF(K129="","",MAX($CA129:$FV129))</f>
        <v/>
      </c>
      <c r="E129" s="74">
        <f t="array" ref="E129">IF($K129="","",OFFSET($A$1,ROW($B129)-1,11+$D129*4,))</f>
        <v/>
      </c>
      <c r="F129" s="74">
        <f t="array" ref="F129">IF($K129="","",OFFSET($A$1,ROW($B129)-1,12+$D129*4,))</f>
        <v/>
      </c>
      <c r="G129" s="118">
        <f t="array" ref="G129">IF($K129="","",OFFSET($A$1,ROW($B129)-1,13+$D129*4,))</f>
        <v/>
      </c>
      <c r="H129" s="81" t="n"/>
      <c r="I129" s="82" t="n"/>
      <c r="J129" s="75">
        <f>IF(I129="A4",H129/8,IF(I129="A3",H129/4,IF(I129="A2",H129/2,IF(I129="A1",H129/1,IF(I129="A0",H129*2,"")))))</f>
        <v/>
      </c>
      <c r="K129" s="68">
        <f t="array" ref="K129">IFERROR(OFFSET($BZ$11,ROW($B129)-11,MATCH(K$10,$CA129:$FV129,0),),"")</f>
        <v/>
      </c>
      <c r="L129" s="85">
        <f>IF(K129="","",IF(VLOOKUP($B129,INDIRECT("'GRD-"&amp;M129&amp;"'!$B:$R"),16,FALSE)="","",VLOOKUP($B129,INDIRECT("'GRD-"&amp;M129&amp;"'!$B:$R"),16,FALSE)))</f>
        <v/>
      </c>
      <c r="M129" s="130">
        <f t="array" ref="M129">IF(K129="","",IFERROR(OFFSET($BZ$11,0,MATCH($K129,$CA129:$FV129,0),),""))</f>
        <v/>
      </c>
      <c r="N129" s="119">
        <f t="array" ref="N129">IF(K129="","",INDIRECT("'GRD-"&amp;M129&amp;"'!$L$7"))</f>
        <v/>
      </c>
      <c r="O129" s="76">
        <f t="array" ref="O129">IFERROR(OFFSET($BZ$11,ROW($B129)-11,MATCH(O$10,$CA129:$FV129,0),),"")</f>
        <v/>
      </c>
      <c r="P129" s="76">
        <f>IF(O129="","",IF(VLOOKUP($B129,INDIRECT("'GRD-"&amp;Q129&amp;"'!$B:$R"),16,FALSE)="","",VLOOKUP($B129,INDIRECT("'GRD-"&amp;Q129&amp;"'!$B:$R"),16,FALSE)))</f>
        <v/>
      </c>
      <c r="Q129" s="132">
        <f t="array" ref="Q129">IF(O129="","",IFERROR(OFFSET($BZ$11,0,MATCH($O129,$CA129:$FV129,0),),""))</f>
        <v/>
      </c>
      <c r="R129" s="121">
        <f t="array" ref="R129">IF(O129="","",INDIRECT("'GRD-"&amp;Q129&amp;"'!$L$7"))</f>
        <v/>
      </c>
      <c r="S129" s="83">
        <f t="array" ref="S129">IFERROR(OFFSET($BZ$11,ROW($B129)-11,MATCH(S$10,$CA129:$FV129,0),),"")</f>
        <v/>
      </c>
      <c r="T129" s="83">
        <f>IF(S129="","",IF(VLOOKUP($B129,INDIRECT("'GRD-"&amp;U129&amp;"'!$B:$R"),16,FALSE)="","",VLOOKUP($B129,INDIRECT("'GRD-"&amp;U129&amp;"'!$B:$R"),16,FALSE)))</f>
        <v/>
      </c>
      <c r="U129" s="128">
        <f t="array" ref="U129">IF(S129="","",IFERROR(OFFSET($BZ$11,0,MATCH($S129,$CA129:$FV129,0),),""))</f>
        <v/>
      </c>
      <c r="V129" s="133">
        <f t="array" ref="V129">IF(S129="","",INDIRECT("'GRD-"&amp;U129&amp;"'!$L$7"))</f>
        <v/>
      </c>
      <c r="W129" s="84">
        <f t="array" ref="W129">IFERROR(OFFSET($BZ$11,ROW($B129)-11,MATCH(W$10,$CA129:$FV129,0),),"")</f>
        <v/>
      </c>
      <c r="X129" s="84">
        <f>IF(W129="","",IF(VLOOKUP($B129,INDIRECT("'GRD-"&amp;Y129&amp;"'!$B:$R"),16,FALSE)="","",VLOOKUP($B129,INDIRECT("'GRD-"&amp;Y129&amp;"'!$B:$R"),16,FALSE)))</f>
        <v/>
      </c>
      <c r="Y129" s="129">
        <f t="array" ref="Y129">IF(W129="","",IFERROR(OFFSET($BZ$11,0,MATCH($W129,$CA129:$FV129,0),),""))</f>
        <v/>
      </c>
      <c r="Z129" s="134">
        <f t="array" ref="Z129">IF(W129="","",INDIRECT("'GRD-"&amp;Y129&amp;"'!$L$7"))</f>
        <v/>
      </c>
      <c r="AA129" s="85">
        <f t="array" ref="AA129">IFERROR(OFFSET($BZ$11,ROW($B129)-11,MATCH(AA$10,$CA129:$FV129,0),),"")</f>
        <v/>
      </c>
      <c r="AB129" s="85">
        <f>IF(AA129="","",IF(VLOOKUP($B129,INDIRECT("'GRD-"&amp;AC129&amp;"'!$B:$R"),16,FALSE)="","",VLOOKUP($B129,INDIRECT("'GRD-"&amp;AC129&amp;"'!$B:$R"),16,FALSE)))</f>
        <v/>
      </c>
      <c r="AC129" s="130">
        <f t="array" ref="AC129">IF(AA129="","",IFERROR(OFFSET($BZ$11,0,MATCH($AA129,$CA129:$FV129,0),),""))</f>
        <v/>
      </c>
      <c r="AD129" s="131">
        <f t="array" ref="AD129">IF(AA129="","",INDIRECT("'GRD-"&amp;AC129&amp;"'!$L$7"))</f>
        <v/>
      </c>
      <c r="AE129" s="76">
        <f t="array" ref="AE129">IFERROR(OFFSET($BZ$11,ROW($B129)-11,MATCH(AE$10,$CA129:$FV129,0),),"")</f>
        <v/>
      </c>
      <c r="AF129" s="76">
        <f>IF(AE129="","",IF(VLOOKUP($B129,INDIRECT("'GRD-"&amp;AG129&amp;"'!$B:$R"),16,FALSE)="","",VLOOKUP($B129,INDIRECT("'GRD-"&amp;AG129&amp;"'!$B:$R"),16,FALSE)))</f>
        <v/>
      </c>
      <c r="AG129" s="132">
        <f t="array" ref="AG129">IF(AE129="","",IFERROR(OFFSET($BZ$11,0,MATCH($AE129,$CA129:$FV129,0),),""))</f>
        <v/>
      </c>
      <c r="AH129" s="121">
        <f t="array" ref="AH129">IF(AE129="","",INDIRECT("'GRD-"&amp;AG129&amp;"'!$L$7"))</f>
        <v/>
      </c>
      <c r="AI129" s="83">
        <f t="array" ref="AI129">IFERROR(OFFSET($BZ$11,ROW($B129)-11,MATCH(AI$10,$CA129:$FV129,0),),"")</f>
        <v/>
      </c>
      <c r="AJ129" s="83">
        <f>IF(AI129="","",IF(VLOOKUP($B129,INDIRECT("'GRD-"&amp;AK129&amp;"'!$B:$R"),16,FALSE)="","",VLOOKUP($B129,INDIRECT("'GRD-"&amp;AK129&amp;"'!$B:$R"),16,FALSE)))</f>
        <v/>
      </c>
      <c r="AK129" s="128">
        <f t="array" ref="AK129">IF(AI129="","",IFERROR(OFFSET($BZ$11,0,MATCH($AI129,$CA129:$FV129,0),),""))</f>
        <v/>
      </c>
      <c r="AL129" s="133">
        <f t="array" ref="AL129">IF(AI129="","",INDIRECT("'GRD-"&amp;AK129&amp;"'!$L$7"))</f>
        <v/>
      </c>
      <c r="AM129" s="84">
        <f t="array" ref="AM129">IFERROR(OFFSET($BZ$11,ROW($B129)-11,MATCH(AM$10,$CA129:$FV129,0),),"")</f>
        <v/>
      </c>
      <c r="AN129" s="84">
        <f>IF(AM129="","",IF(VLOOKUP($B129,INDIRECT("'GRD-"&amp;AO129&amp;"'!$B:$R"),16,FALSE)="","",VLOOKUP($B129,INDIRECT("'GRD-"&amp;AO129&amp;"'!$B:$R"),16,FALSE)))</f>
        <v/>
      </c>
      <c r="AO129" s="129">
        <f t="array" ref="AO129">IF(AM129="","",IFERROR(OFFSET($BZ$11,0,MATCH($AM129,$CA129:$FV129,0),),""))</f>
        <v/>
      </c>
      <c r="AP129" s="134">
        <f t="array" ref="AP129">IF(AM129="","",INDIRECT("'GRD-"&amp;AO129&amp;"'!$L$7"))</f>
        <v/>
      </c>
      <c r="AQ129" s="85">
        <f t="array" ref="AQ129">IFERROR(OFFSET($BZ$11,ROW($B129)-11,MATCH(AQ$10,$CA129:$FV129,0),),"")</f>
        <v/>
      </c>
      <c r="AR129" s="85">
        <f>IF(AQ129="","",IF(VLOOKUP($B129,INDIRECT("'GRD-"&amp;AS129&amp;"'!$B:$R"),16,FALSE)="","",VLOOKUP($B129,INDIRECT("'GRD-"&amp;AS129&amp;"'!$B:$R"),16,FALSE)))</f>
        <v/>
      </c>
      <c r="AS129" s="130">
        <f t="array" ref="AS129">IF(AQ129="","",IFERROR(OFFSET($BZ$11,0,MATCH($AQ129,$CA129:$FV129,0),),""))</f>
        <v/>
      </c>
      <c r="AT129" s="131">
        <f t="array" ref="AT129">IF(AQ129="","",INDIRECT("'GRD-"&amp;AS129&amp;"'!$L$7"))</f>
        <v/>
      </c>
      <c r="AU129" s="76">
        <f t="array" ref="AU129">IFERROR(OFFSET($BZ$11,ROW($B129)-11,MATCH(AU$10,$CA129:$FV129,0),),"")</f>
        <v/>
      </c>
      <c r="AV129" s="76">
        <f>IF(AU129="","",IF(VLOOKUP($B129,INDIRECT("'GRD-"&amp;AW129&amp;"'!$B:$R"),16,FALSE)="","",VLOOKUP($B129,INDIRECT("'GRD-"&amp;AW129&amp;"'!$B:$R"),16,FALSE)))</f>
        <v/>
      </c>
      <c r="AW129" s="132">
        <f t="array" ref="AW129">IF(AU129="","",IFERROR(OFFSET($BZ$11,0,MATCH($AU129,$CA129:$FV129,0),),""))</f>
        <v/>
      </c>
      <c r="AX129" s="121">
        <f t="array" ref="AX129">IF(AU129="","",INDIRECT("'GRD-"&amp;AW129&amp;"'!$L$7"))</f>
        <v/>
      </c>
      <c r="AY129" s="83">
        <f t="array" ref="AY129">IFERROR(OFFSET($BZ$11,ROW($B129)-11,MATCH(AY$10,$CA129:$FV129,0),),"")</f>
        <v/>
      </c>
      <c r="AZ129" s="83">
        <f>IF(AY129="","",IF(VLOOKUP($B129,INDIRECT("'GRD-"&amp;BA129&amp;"'!$B:$R"),16,FALSE)="","",VLOOKUP($B129,INDIRECT("'GRD-"&amp;BA129&amp;"'!$B:$R"),16,FALSE)))</f>
        <v/>
      </c>
      <c r="BA129" s="128">
        <f t="array" ref="BA129">IF(AY129="","",IFERROR(OFFSET($BZ$11,0,MATCH($AY129,$CA129:$FV129,0),),""))</f>
        <v/>
      </c>
      <c r="BB129" s="133">
        <f t="array" ref="BB129">IF(AY129="","",INDIRECT("'GRD-"&amp;BA129&amp;"'!$L$7"))</f>
        <v/>
      </c>
      <c r="BC129" s="84">
        <f t="array" ref="BC129">IFERROR(OFFSET($BZ$11,ROW($B129)-11,MATCH(BC$10,$CA129:$FV129,0),),"")</f>
        <v/>
      </c>
      <c r="BD129" s="84">
        <f>IF(BC129="","",IF(VLOOKUP($B129,INDIRECT("'GRD-"&amp;BE129&amp;"'!$B:$R"),16,FALSE)="","",VLOOKUP($B129,INDIRECT("'GRD-"&amp;BE129&amp;"'!$B:$R"),16,FALSE)))</f>
        <v/>
      </c>
      <c r="BE129" s="129">
        <f t="array" ref="BE129">IF(BC129="","",IFERROR(OFFSET($BZ$11,0,MATCH($BC129,$CA129:$FV129,0),),""))</f>
        <v/>
      </c>
      <c r="BF129" s="134">
        <f t="array" ref="BF129">IF(BC129="","",INDIRECT("'GRD-"&amp;BE129&amp;"'!$L$7"))</f>
        <v/>
      </c>
      <c r="CA129" s="96">
        <f>IFERROR(VLOOKUP($B129,INDIRECT("'GRD-"&amp;CA$11&amp;"'!B:R"),15,FALSE),"")</f>
        <v/>
      </c>
      <c r="CB129" s="96">
        <f>IFERROR(VLOOKUP($B129,INDIRECT("'GRD-"&amp;CB$11&amp;"'!B:R"),15,FALSE),"")</f>
        <v/>
      </c>
      <c r="CC129" s="96">
        <f>IFERROR(VLOOKUP($B129,INDIRECT("'GRD-"&amp;CC$11&amp;"'!B:R"),15,FALSE),"")</f>
        <v/>
      </c>
      <c r="CD129" s="96">
        <f>IFERROR(VLOOKUP($B129,INDIRECT("'GRD-"&amp;CD$11&amp;"'!B:R"),15,FALSE),"")</f>
        <v/>
      </c>
      <c r="CE129" s="96">
        <f>IFERROR(VLOOKUP($B129,INDIRECT("'GRD-"&amp;CE$11&amp;"'!B:R"),15,FALSE),"")</f>
        <v/>
      </c>
      <c r="CF129" s="96">
        <f>IFERROR(VLOOKUP($B129,INDIRECT("'GRD-"&amp;CF$11&amp;"'!B:R"),15,FALSE),"")</f>
        <v/>
      </c>
      <c r="CG129" s="96">
        <f>IFERROR(VLOOKUP($B129,INDIRECT("'GRD-"&amp;CG$11&amp;"'!B:R"),15,FALSE),"")</f>
        <v/>
      </c>
      <c r="CH129" s="96">
        <f>IFERROR(VLOOKUP($B129,INDIRECT("'GRD-"&amp;CH$11&amp;"'!B:R"),15,FALSE),"")</f>
        <v/>
      </c>
      <c r="CI129" s="96">
        <f>IFERROR(VLOOKUP($B129,INDIRECT("'GRD-"&amp;CI$11&amp;"'!B:R"),15,FALSE),"")</f>
        <v/>
      </c>
      <c r="CJ129" s="96">
        <f>IFERROR(VLOOKUP($B129,INDIRECT("'GRD-"&amp;CJ$11&amp;"'!B:R"),15,FALSE),"")</f>
        <v/>
      </c>
      <c r="CK129" s="96">
        <f>IFERROR(VLOOKUP($B129,INDIRECT("'GRD-"&amp;CK$11&amp;"'!B:R"),15,FALSE),"")</f>
        <v/>
      </c>
      <c r="CL129" s="96">
        <f>IFERROR(VLOOKUP($B129,INDIRECT("'GRD-"&amp;CL$11&amp;"'!B:R"),15,FALSE),"")</f>
        <v/>
      </c>
      <c r="CM129" s="96">
        <f>IFERROR(VLOOKUP($B129,INDIRECT("'GRD-"&amp;CM$11&amp;"'!B:R"),15,FALSE),"")</f>
        <v/>
      </c>
      <c r="CN129" s="96">
        <f>IFERROR(VLOOKUP($B129,INDIRECT("'GRD-"&amp;CN$11&amp;"'!B:R"),15,FALSE),"")</f>
        <v/>
      </c>
      <c r="CO129" s="96">
        <f>IFERROR(VLOOKUP($B129,INDIRECT("'GRD-"&amp;CO$11&amp;"'!B:R"),15,FALSE),"")</f>
        <v/>
      </c>
      <c r="CP129" s="96">
        <f>IFERROR(VLOOKUP($B129,INDIRECT("'GRD-"&amp;CP$11&amp;"'!B:R"),15,FALSE),"")</f>
        <v/>
      </c>
      <c r="CQ129" s="96">
        <f>IFERROR(VLOOKUP($B129,INDIRECT("'GRD-"&amp;CQ$11&amp;"'!B:R"),15,FALSE),"")</f>
        <v/>
      </c>
      <c r="CR129" s="96">
        <f>IFERROR(VLOOKUP($B129,INDIRECT("'GRD-"&amp;CR$11&amp;"'!B:R"),15,FALSE),"")</f>
        <v/>
      </c>
      <c r="CS129" s="96">
        <f>IFERROR(VLOOKUP($B129,INDIRECT("'GRD-"&amp;CS$11&amp;"'!B:R"),15,FALSE),"")</f>
        <v/>
      </c>
      <c r="CT129" s="96">
        <f>IFERROR(VLOOKUP($B129,INDIRECT("'GRD-"&amp;CT$11&amp;"'!B:R"),15,FALSE),"")</f>
        <v/>
      </c>
      <c r="CU129" s="96">
        <f>IFERROR(VLOOKUP($B129,INDIRECT("'GRD-"&amp;CU$11&amp;"'!B:R"),15,FALSE),"")</f>
        <v/>
      </c>
      <c r="CV129" s="96">
        <f>IFERROR(VLOOKUP($B129,INDIRECT("'GRD-"&amp;CV$11&amp;"'!B:R"),15,FALSE),"")</f>
        <v/>
      </c>
      <c r="CW129" s="96">
        <f>IFERROR(VLOOKUP($B129,INDIRECT("'GRD-"&amp;CW$11&amp;"'!B:R"),15,FALSE),"")</f>
        <v/>
      </c>
      <c r="CX129" s="96">
        <f>IFERROR(VLOOKUP($B129,INDIRECT("'GRD-"&amp;CX$11&amp;"'!B:R"),15,FALSE),"")</f>
        <v/>
      </c>
      <c r="CY129" s="96">
        <f>IFERROR(VLOOKUP($B129,INDIRECT("'GRD-"&amp;CY$11&amp;"'!B:R"),15,FALSE),"")</f>
        <v/>
      </c>
      <c r="CZ129" s="96">
        <f>IFERROR(VLOOKUP($B129,INDIRECT("'GRD-"&amp;CZ$11&amp;"'!B:R"),15,FALSE),"")</f>
        <v/>
      </c>
      <c r="DA129" s="96">
        <f>IFERROR(VLOOKUP($B129,INDIRECT("'GRD-"&amp;DA$11&amp;"'!B:R"),15,FALSE),"")</f>
        <v/>
      </c>
      <c r="DB129" s="96">
        <f>IFERROR(VLOOKUP($B129,INDIRECT("'GRD-"&amp;DB$11&amp;"'!B:R"),15,FALSE),"")</f>
        <v/>
      </c>
      <c r="DC129" s="96">
        <f>IFERROR(VLOOKUP($B129,INDIRECT("'GRD-"&amp;DC$11&amp;"'!B:R"),15,FALSE),"")</f>
        <v/>
      </c>
      <c r="DD129" s="96">
        <f>IFERROR(VLOOKUP($B129,INDIRECT("'GRD-"&amp;DD$11&amp;"'!B:R"),15,FALSE),"")</f>
        <v/>
      </c>
      <c r="DE129" s="96">
        <f>IFERROR(VLOOKUP($B129,INDIRECT("'GRD-"&amp;DE$11&amp;"'!B:R"),15,FALSE),"")</f>
        <v/>
      </c>
      <c r="DF129" s="96">
        <f>IFERROR(VLOOKUP($B129,INDIRECT("'GRD-"&amp;DF$11&amp;"'!B:R"),15,FALSE),"")</f>
        <v/>
      </c>
      <c r="DG129" s="96">
        <f>IFERROR(VLOOKUP($B129,INDIRECT("'GRD-"&amp;DG$11&amp;"'!B:R"),15,FALSE),"")</f>
        <v/>
      </c>
      <c r="DH129" s="96">
        <f>IFERROR(VLOOKUP($B129,INDIRECT("'GRD-"&amp;DH$11&amp;"'!B:R"),15,FALSE),"")</f>
        <v/>
      </c>
      <c r="DI129" s="96">
        <f>IFERROR(VLOOKUP($B129,INDIRECT("'GRD-"&amp;DI$11&amp;"'!B:R"),15,FALSE),"")</f>
        <v/>
      </c>
      <c r="DJ129" s="96">
        <f>IFERROR(VLOOKUP($B129,INDIRECT("'GRD-"&amp;DJ$11&amp;"'!B:R"),15,FALSE),"")</f>
        <v/>
      </c>
      <c r="DK129" s="96">
        <f>IFERROR(VLOOKUP($B129,INDIRECT("'GRD-"&amp;DK$11&amp;"'!B:R"),15,FALSE),"")</f>
        <v/>
      </c>
      <c r="DL129" s="96">
        <f>IFERROR(VLOOKUP($B129,INDIRECT("'GRD-"&amp;DL$11&amp;"'!B:R"),15,FALSE),"")</f>
        <v/>
      </c>
      <c r="DM129" s="96">
        <f>IFERROR(VLOOKUP($B129,INDIRECT("'GRD-"&amp;DM$11&amp;"'!B:R"),15,FALSE),"")</f>
        <v/>
      </c>
      <c r="DN129" s="96">
        <f>IFERROR(VLOOKUP($B129,INDIRECT("'GRD-"&amp;DN$11&amp;"'!B:R"),15,FALSE),"")</f>
        <v/>
      </c>
      <c r="DO129" s="96">
        <f>IFERROR(VLOOKUP($B129,INDIRECT("'GRD-"&amp;DO$11&amp;"'!B:R"),15,FALSE),"")</f>
        <v/>
      </c>
      <c r="DP129" s="96">
        <f>IFERROR(VLOOKUP($B129,INDIRECT("'GRD-"&amp;DP$11&amp;"'!B:R"),15,FALSE),"")</f>
        <v/>
      </c>
      <c r="DQ129" s="96">
        <f>IFERROR(VLOOKUP($B129,INDIRECT("'GRD-"&amp;DQ$11&amp;"'!B:R"),15,FALSE),"")</f>
        <v/>
      </c>
      <c r="DR129" s="96">
        <f>IFERROR(VLOOKUP($B129,INDIRECT("'GRD-"&amp;DR$11&amp;"'!B:R"),15,FALSE),"")</f>
        <v/>
      </c>
      <c r="DS129" s="96">
        <f>IFERROR(VLOOKUP($B129,INDIRECT("'GRD-"&amp;DS$11&amp;"'!B:R"),15,FALSE),"")</f>
        <v/>
      </c>
      <c r="DT129" s="96">
        <f>IFERROR(VLOOKUP($B129,INDIRECT("'GRD-"&amp;DT$11&amp;"'!B:R"),15,FALSE),"")</f>
        <v/>
      </c>
      <c r="DU129" s="96">
        <f>IFERROR(VLOOKUP($B129,INDIRECT("'GRD-"&amp;DU$11&amp;"'!B:R"),15,FALSE),"")</f>
        <v/>
      </c>
      <c r="DV129" s="96">
        <f>IFERROR(VLOOKUP($B129,INDIRECT("'GRD-"&amp;DV$11&amp;"'!B:R"),15,FALSE),"")</f>
        <v/>
      </c>
      <c r="DW129" s="96">
        <f>IFERROR(VLOOKUP($B129,INDIRECT("'GRD-"&amp;DW$11&amp;"'!B:R"),15,FALSE),"")</f>
        <v/>
      </c>
      <c r="DX129" s="96">
        <f>IFERROR(VLOOKUP($B129,INDIRECT("'GRD-"&amp;DX$11&amp;"'!B:R"),15,FALSE),"")</f>
        <v/>
      </c>
      <c r="DY129" s="96">
        <f>IFERROR(VLOOKUP($B129,INDIRECT("'GRD-"&amp;DY$11&amp;"'!B:R"),15,FALSE),"")</f>
        <v/>
      </c>
      <c r="DZ129" s="96">
        <f>IFERROR(VLOOKUP($B129,INDIRECT("'GRD-"&amp;DZ$11&amp;"'!B:R"),15,FALSE),"")</f>
        <v/>
      </c>
      <c r="EA129" s="96">
        <f>IFERROR(VLOOKUP($B129,INDIRECT("'GRD-"&amp;EA$11&amp;"'!B:R"),15,FALSE),"")</f>
        <v/>
      </c>
      <c r="EB129" s="96">
        <f>IFERROR(VLOOKUP($B129,INDIRECT("'GRD-"&amp;EB$11&amp;"'!B:R"),15,FALSE),"")</f>
        <v/>
      </c>
      <c r="EC129" s="96">
        <f>IFERROR(VLOOKUP($B129,INDIRECT("'GRD-"&amp;EC$11&amp;"'!B:R"),15,FALSE),"")</f>
        <v/>
      </c>
      <c r="ED129" s="96">
        <f>IFERROR(VLOOKUP($B129,INDIRECT("'GRD-"&amp;ED$11&amp;"'!B:R"),15,FALSE),"")</f>
        <v/>
      </c>
      <c r="EE129" s="96">
        <f>IFERROR(VLOOKUP($B129,INDIRECT("'GRD-"&amp;EE$11&amp;"'!B:R"),15,FALSE),"")</f>
        <v/>
      </c>
      <c r="EF129" s="96">
        <f>IFERROR(VLOOKUP($B129,INDIRECT("'GRD-"&amp;EF$11&amp;"'!B:R"),15,FALSE),"")</f>
        <v/>
      </c>
      <c r="EG129" s="96">
        <f>IFERROR(VLOOKUP($B129,INDIRECT("'GRD-"&amp;EG$11&amp;"'!B:R"),15,FALSE),"")</f>
        <v/>
      </c>
      <c r="EH129" s="96">
        <f>IFERROR(VLOOKUP($B129,INDIRECT("'GRD-"&amp;EH$11&amp;"'!B:R"),15,FALSE),"")</f>
        <v/>
      </c>
      <c r="EI129" s="96">
        <f>IFERROR(VLOOKUP($B129,INDIRECT("'GRD-"&amp;EI$11&amp;"'!B:R"),15,FALSE),"")</f>
        <v/>
      </c>
      <c r="EJ129" s="96">
        <f>IFERROR(VLOOKUP($B129,INDIRECT("'GRD-"&amp;EJ$11&amp;"'!B:R"),15,FALSE),"")</f>
        <v/>
      </c>
      <c r="EK129" s="96">
        <f>IFERROR(VLOOKUP($B129,INDIRECT("'GRD-"&amp;EK$11&amp;"'!B:R"),15,FALSE),"")</f>
        <v/>
      </c>
      <c r="EL129" s="96">
        <f>IFERROR(VLOOKUP($B129,INDIRECT("'GRD-"&amp;EL$11&amp;"'!B:R"),15,FALSE),"")</f>
        <v/>
      </c>
      <c r="EM129" s="96">
        <f>IFERROR(VLOOKUP($B129,INDIRECT("'GRD-"&amp;EM$11&amp;"'!B:R"),15,FALSE),"")</f>
        <v/>
      </c>
      <c r="EN129" s="96">
        <f>IFERROR(VLOOKUP($B129,INDIRECT("'GRD-"&amp;EN$11&amp;"'!B:R"),15,FALSE),"")</f>
        <v/>
      </c>
      <c r="EO129" s="96">
        <f>IFERROR(VLOOKUP($B129,INDIRECT("'GRD-"&amp;EO$11&amp;"'!B:R"),15,FALSE),"")</f>
        <v/>
      </c>
      <c r="EP129" s="96">
        <f>IFERROR(VLOOKUP($B129,INDIRECT("'GRD-"&amp;EP$11&amp;"'!B:R"),15,FALSE),"")</f>
        <v/>
      </c>
      <c r="EQ129" s="96">
        <f>IFERROR(VLOOKUP($B129,INDIRECT("'GRD-"&amp;EQ$11&amp;"'!B:R"),15,FALSE),"")</f>
        <v/>
      </c>
      <c r="ER129" s="96">
        <f>IFERROR(VLOOKUP($B129,INDIRECT("'GRD-"&amp;ER$11&amp;"'!B:R"),15,FALSE),"")</f>
        <v/>
      </c>
      <c r="ES129" s="96">
        <f>IFERROR(VLOOKUP($B129,INDIRECT("'GRD-"&amp;ES$11&amp;"'!B:R"),15,FALSE),"")</f>
        <v/>
      </c>
      <c r="ET129" s="96">
        <f>IFERROR(VLOOKUP($B129,INDIRECT("'GRD-"&amp;ET$11&amp;"'!B:R"),15,FALSE),"")</f>
        <v/>
      </c>
      <c r="EU129" s="96">
        <f>IFERROR(VLOOKUP($B129,INDIRECT("'GRD-"&amp;EU$11&amp;"'!B:R"),15,FALSE),"")</f>
        <v/>
      </c>
      <c r="EV129" s="96">
        <f>IFERROR(VLOOKUP($B129,INDIRECT("'GRD-"&amp;EV$11&amp;"'!B:R"),15,FALSE),"")</f>
        <v/>
      </c>
      <c r="EW129" s="96">
        <f>IFERROR(VLOOKUP($B129,INDIRECT("'GRD-"&amp;EW$11&amp;"'!B:R"),15,FALSE),"")</f>
        <v/>
      </c>
      <c r="EX129" s="96">
        <f>IFERROR(VLOOKUP($B129,INDIRECT("'GRD-"&amp;EX$11&amp;"'!B:R"),15,FALSE),"")</f>
        <v/>
      </c>
      <c r="EY129" s="96">
        <f>IFERROR(VLOOKUP($B129,INDIRECT("'GRD-"&amp;EY$11&amp;"'!B:R"),15,FALSE),"")</f>
        <v/>
      </c>
      <c r="EZ129" s="96">
        <f>IFERROR(VLOOKUP($B129,INDIRECT("'GRD-"&amp;EZ$11&amp;"'!B:R"),15,FALSE),"")</f>
        <v/>
      </c>
      <c r="FA129" s="96">
        <f>IFERROR(VLOOKUP($B129,INDIRECT("'GRD-"&amp;FA$11&amp;"'!B:R"),15,FALSE),"")</f>
        <v/>
      </c>
      <c r="FB129" s="96">
        <f>IFERROR(VLOOKUP($B129,INDIRECT("'GRD-"&amp;FB$11&amp;"'!B:R"),15,FALSE),"")</f>
        <v/>
      </c>
      <c r="FC129" s="96">
        <f>IFERROR(VLOOKUP($B129,INDIRECT("'GRD-"&amp;FC$11&amp;"'!B:R"),15,FALSE),"")</f>
        <v/>
      </c>
      <c r="FD129" s="96">
        <f>IFERROR(VLOOKUP($B129,INDIRECT("'GRD-"&amp;FD$11&amp;"'!B:R"),15,FALSE),"")</f>
        <v/>
      </c>
      <c r="FE129" s="96">
        <f>IFERROR(VLOOKUP($B129,INDIRECT("'GRD-"&amp;FE$11&amp;"'!B:R"),15,FALSE),"")</f>
        <v/>
      </c>
      <c r="FF129" s="96">
        <f>IFERROR(VLOOKUP($B129,INDIRECT("'GRD-"&amp;FF$11&amp;"'!B:R"),15,FALSE),"")</f>
        <v/>
      </c>
      <c r="FG129" s="96">
        <f>IFERROR(VLOOKUP($B129,INDIRECT("'GRD-"&amp;FG$11&amp;"'!B:R"),15,FALSE),"")</f>
        <v/>
      </c>
      <c r="FH129" s="96">
        <f>IFERROR(VLOOKUP($B129,INDIRECT("'GRD-"&amp;FH$11&amp;"'!B:R"),15,FALSE),"")</f>
        <v/>
      </c>
      <c r="FI129" s="96">
        <f>IFERROR(VLOOKUP($B129,INDIRECT("'GRD-"&amp;FI$11&amp;"'!B:R"),15,FALSE),"")</f>
        <v/>
      </c>
      <c r="FJ129" s="96">
        <f>IFERROR(VLOOKUP($B129,INDIRECT("'GRD-"&amp;FJ$11&amp;"'!B:R"),15,FALSE),"")</f>
        <v/>
      </c>
      <c r="FK129" s="96">
        <f>IFERROR(VLOOKUP($B129,INDIRECT("'GRD-"&amp;FK$11&amp;"'!B:R"),15,FALSE),"")</f>
        <v/>
      </c>
      <c r="FL129" s="96">
        <f>IFERROR(VLOOKUP($B129,INDIRECT("'GRD-"&amp;FL$11&amp;"'!B:R"),15,FALSE),"")</f>
        <v/>
      </c>
      <c r="FM129" s="96">
        <f>IFERROR(VLOOKUP($B129,INDIRECT("'GRD-"&amp;FM$11&amp;"'!B:R"),15,FALSE),"")</f>
        <v/>
      </c>
      <c r="FN129" s="96">
        <f>IFERROR(VLOOKUP($B129,INDIRECT("'GRD-"&amp;FN$11&amp;"'!B:R"),15,FALSE),"")</f>
        <v/>
      </c>
      <c r="FO129" s="96">
        <f>IFERROR(VLOOKUP($B129,INDIRECT("'GRD-"&amp;FO$11&amp;"'!B:R"),15,FALSE),"")</f>
        <v/>
      </c>
      <c r="FP129" s="96">
        <f>IFERROR(VLOOKUP($B129,INDIRECT("'GRD-"&amp;FP$11&amp;"'!B:R"),15,FALSE),"")</f>
        <v/>
      </c>
      <c r="FQ129" s="96">
        <f>IFERROR(VLOOKUP($B129,INDIRECT("'GRD-"&amp;FQ$11&amp;"'!B:R"),15,FALSE),"")</f>
        <v/>
      </c>
      <c r="FR129" s="96">
        <f>IFERROR(VLOOKUP($B129,INDIRECT("'GRD-"&amp;FR$11&amp;"'!B:R"),15,FALSE),"")</f>
        <v/>
      </c>
      <c r="FS129" s="96">
        <f>IFERROR(VLOOKUP($B129,INDIRECT("'GRD-"&amp;FS$11&amp;"'!B:R"),15,FALSE),"")</f>
        <v/>
      </c>
      <c r="FT129" s="96">
        <f>IFERROR(VLOOKUP($B129,INDIRECT("'GRD-"&amp;FT$11&amp;"'!B:R"),15,FALSE),"")</f>
        <v/>
      </c>
      <c r="FU129" s="96">
        <f>IFERROR(VLOOKUP($B129,INDIRECT("'GRD-"&amp;FU$11&amp;"'!B:R"),15,FALSE),"")</f>
        <v/>
      </c>
      <c r="FV129" s="96">
        <f>IFERROR(VLOOKUP($B129,INDIRECT("'GRD-"&amp;FV$11&amp;"'!B:R"),15,FALSE),"")</f>
        <v/>
      </c>
    </row>
    <row r="130">
      <c r="B130" s="85" t="n"/>
      <c r="C130" s="93" t="n"/>
      <c r="D130" s="73">
        <f>IF(K130="","",MAX($CA130:$FV130))</f>
        <v/>
      </c>
      <c r="E130" s="74">
        <f t="array" ref="E130">IF($K130="","",OFFSET($A$1,ROW($B130)-1,11+$D130*4,))</f>
        <v/>
      </c>
      <c r="F130" s="74">
        <f t="array" ref="F130">IF($K130="","",OFFSET($A$1,ROW($B130)-1,12+$D130*4,))</f>
        <v/>
      </c>
      <c r="G130" s="118">
        <f t="array" ref="G130">IF($K130="","",OFFSET($A$1,ROW($B130)-1,13+$D130*4,))</f>
        <v/>
      </c>
      <c r="H130" s="81" t="n"/>
      <c r="I130" s="82" t="n"/>
      <c r="J130" s="75">
        <f>IF(I130="A4",H130/8,IF(I130="A3",H130/4,IF(I130="A2",H130/2,IF(I130="A1",H130/1,IF(I130="A0",H130*2,"")))))</f>
        <v/>
      </c>
      <c r="K130" s="68">
        <f t="array" ref="K130">IFERROR(OFFSET($BZ$11,ROW($B130)-11,MATCH(K$10,$CA130:$FV130,0),),"")</f>
        <v/>
      </c>
      <c r="L130" s="85">
        <f>IF(K130="","",IF(VLOOKUP($B130,INDIRECT("'GRD-"&amp;M130&amp;"'!$B:$R"),16,FALSE)="","",VLOOKUP($B130,INDIRECT("'GRD-"&amp;M130&amp;"'!$B:$R"),16,FALSE)))</f>
        <v/>
      </c>
      <c r="M130" s="130">
        <f t="array" ref="M130">IF(K130="","",IFERROR(OFFSET($BZ$11,0,MATCH($K130,$CA130:$FV130,0),),""))</f>
        <v/>
      </c>
      <c r="N130" s="119">
        <f t="array" ref="N130">IF(K130="","",INDIRECT("'GRD-"&amp;M130&amp;"'!$L$7"))</f>
        <v/>
      </c>
      <c r="O130" s="76">
        <f t="array" ref="O130">IFERROR(OFFSET($BZ$11,ROW($B130)-11,MATCH(O$10,$CA130:$FV130,0),),"")</f>
        <v/>
      </c>
      <c r="P130" s="76">
        <f>IF(O130="","",IF(VLOOKUP($B130,INDIRECT("'GRD-"&amp;Q130&amp;"'!$B:$R"),16,FALSE)="","",VLOOKUP($B130,INDIRECT("'GRD-"&amp;Q130&amp;"'!$B:$R"),16,FALSE)))</f>
        <v/>
      </c>
      <c r="Q130" s="132">
        <f t="array" ref="Q130">IF(O130="","",IFERROR(OFFSET($BZ$11,0,MATCH($O130,$CA130:$FV130,0),),""))</f>
        <v/>
      </c>
      <c r="R130" s="121">
        <f t="array" ref="R130">IF(O130="","",INDIRECT("'GRD-"&amp;Q130&amp;"'!$L$7"))</f>
        <v/>
      </c>
      <c r="S130" s="83">
        <f t="array" ref="S130">IFERROR(OFFSET($BZ$11,ROW($B130)-11,MATCH(S$10,$CA130:$FV130,0),),"")</f>
        <v/>
      </c>
      <c r="T130" s="83">
        <f>IF(S130="","",IF(VLOOKUP($B130,INDIRECT("'GRD-"&amp;U130&amp;"'!$B:$R"),16,FALSE)="","",VLOOKUP($B130,INDIRECT("'GRD-"&amp;U130&amp;"'!$B:$R"),16,FALSE)))</f>
        <v/>
      </c>
      <c r="U130" s="128">
        <f t="array" ref="U130">IF(S130="","",IFERROR(OFFSET($BZ$11,0,MATCH($S130,$CA130:$FV130,0),),""))</f>
        <v/>
      </c>
      <c r="V130" s="133">
        <f t="array" ref="V130">IF(S130="","",INDIRECT("'GRD-"&amp;U130&amp;"'!$L$7"))</f>
        <v/>
      </c>
      <c r="W130" s="84">
        <f t="array" ref="W130">IFERROR(OFFSET($BZ$11,ROW($B130)-11,MATCH(W$10,$CA130:$FV130,0),),"")</f>
        <v/>
      </c>
      <c r="X130" s="84">
        <f>IF(W130="","",IF(VLOOKUP($B130,INDIRECT("'GRD-"&amp;Y130&amp;"'!$B:$R"),16,FALSE)="","",VLOOKUP($B130,INDIRECT("'GRD-"&amp;Y130&amp;"'!$B:$R"),16,FALSE)))</f>
        <v/>
      </c>
      <c r="Y130" s="129">
        <f t="array" ref="Y130">IF(W130="","",IFERROR(OFFSET($BZ$11,0,MATCH($W130,$CA130:$FV130,0),),""))</f>
        <v/>
      </c>
      <c r="Z130" s="134">
        <f t="array" ref="Z130">IF(W130="","",INDIRECT("'GRD-"&amp;Y130&amp;"'!$L$7"))</f>
        <v/>
      </c>
      <c r="AA130" s="85">
        <f t="array" ref="AA130">IFERROR(OFFSET($BZ$11,ROW($B130)-11,MATCH(AA$10,$CA130:$FV130,0),),"")</f>
        <v/>
      </c>
      <c r="AB130" s="85">
        <f>IF(AA130="","",IF(VLOOKUP($B130,INDIRECT("'GRD-"&amp;AC130&amp;"'!$B:$R"),16,FALSE)="","",VLOOKUP($B130,INDIRECT("'GRD-"&amp;AC130&amp;"'!$B:$R"),16,FALSE)))</f>
        <v/>
      </c>
      <c r="AC130" s="130">
        <f t="array" ref="AC130">IF(AA130="","",IFERROR(OFFSET($BZ$11,0,MATCH($AA130,$CA130:$FV130,0),),""))</f>
        <v/>
      </c>
      <c r="AD130" s="131">
        <f t="array" ref="AD130">IF(AA130="","",INDIRECT("'GRD-"&amp;AC130&amp;"'!$L$7"))</f>
        <v/>
      </c>
      <c r="AE130" s="76">
        <f t="array" ref="AE130">IFERROR(OFFSET($BZ$11,ROW($B130)-11,MATCH(AE$10,$CA130:$FV130,0),),"")</f>
        <v/>
      </c>
      <c r="AF130" s="76">
        <f>IF(AE130="","",IF(VLOOKUP($B130,INDIRECT("'GRD-"&amp;AG130&amp;"'!$B:$R"),16,FALSE)="","",VLOOKUP($B130,INDIRECT("'GRD-"&amp;AG130&amp;"'!$B:$R"),16,FALSE)))</f>
        <v/>
      </c>
      <c r="AG130" s="132">
        <f t="array" ref="AG130">IF(AE130="","",IFERROR(OFFSET($BZ$11,0,MATCH($AE130,$CA130:$FV130,0),),""))</f>
        <v/>
      </c>
      <c r="AH130" s="121">
        <f t="array" ref="AH130">IF(AE130="","",INDIRECT("'GRD-"&amp;AG130&amp;"'!$L$7"))</f>
        <v/>
      </c>
      <c r="AI130" s="83">
        <f t="array" ref="AI130">IFERROR(OFFSET($BZ$11,ROW($B130)-11,MATCH(AI$10,$CA130:$FV130,0),),"")</f>
        <v/>
      </c>
      <c r="AJ130" s="83">
        <f>IF(AI130="","",IF(VLOOKUP($B130,INDIRECT("'GRD-"&amp;AK130&amp;"'!$B:$R"),16,FALSE)="","",VLOOKUP($B130,INDIRECT("'GRD-"&amp;AK130&amp;"'!$B:$R"),16,FALSE)))</f>
        <v/>
      </c>
      <c r="AK130" s="128">
        <f t="array" ref="AK130">IF(AI130="","",IFERROR(OFFSET($BZ$11,0,MATCH($AI130,$CA130:$FV130,0),),""))</f>
        <v/>
      </c>
      <c r="AL130" s="133">
        <f t="array" ref="AL130">IF(AI130="","",INDIRECT("'GRD-"&amp;AK130&amp;"'!$L$7"))</f>
        <v/>
      </c>
      <c r="AM130" s="84">
        <f t="array" ref="AM130">IFERROR(OFFSET($BZ$11,ROW($B130)-11,MATCH(AM$10,$CA130:$FV130,0),),"")</f>
        <v/>
      </c>
      <c r="AN130" s="84">
        <f>IF(AM130="","",IF(VLOOKUP($B130,INDIRECT("'GRD-"&amp;AO130&amp;"'!$B:$R"),16,FALSE)="","",VLOOKUP($B130,INDIRECT("'GRD-"&amp;AO130&amp;"'!$B:$R"),16,FALSE)))</f>
        <v/>
      </c>
      <c r="AO130" s="129">
        <f t="array" ref="AO130">IF(AM130="","",IFERROR(OFFSET($BZ$11,0,MATCH($AM130,$CA130:$FV130,0),),""))</f>
        <v/>
      </c>
      <c r="AP130" s="134">
        <f t="array" ref="AP130">IF(AM130="","",INDIRECT("'GRD-"&amp;AO130&amp;"'!$L$7"))</f>
        <v/>
      </c>
      <c r="AQ130" s="85">
        <f t="array" ref="AQ130">IFERROR(OFFSET($BZ$11,ROW($B130)-11,MATCH(AQ$10,$CA130:$FV130,0),),"")</f>
        <v/>
      </c>
      <c r="AR130" s="85">
        <f>IF(AQ130="","",IF(VLOOKUP($B130,INDIRECT("'GRD-"&amp;AS130&amp;"'!$B:$R"),16,FALSE)="","",VLOOKUP($B130,INDIRECT("'GRD-"&amp;AS130&amp;"'!$B:$R"),16,FALSE)))</f>
        <v/>
      </c>
      <c r="AS130" s="130">
        <f t="array" ref="AS130">IF(AQ130="","",IFERROR(OFFSET($BZ$11,0,MATCH($AQ130,$CA130:$FV130,0),),""))</f>
        <v/>
      </c>
      <c r="AT130" s="131">
        <f t="array" ref="AT130">IF(AQ130="","",INDIRECT("'GRD-"&amp;AS130&amp;"'!$L$7"))</f>
        <v/>
      </c>
      <c r="AU130" s="76">
        <f t="array" ref="AU130">IFERROR(OFFSET($BZ$11,ROW($B130)-11,MATCH(AU$10,$CA130:$FV130,0),),"")</f>
        <v/>
      </c>
      <c r="AV130" s="76">
        <f>IF(AU130="","",IF(VLOOKUP($B130,INDIRECT("'GRD-"&amp;AW130&amp;"'!$B:$R"),16,FALSE)="","",VLOOKUP($B130,INDIRECT("'GRD-"&amp;AW130&amp;"'!$B:$R"),16,FALSE)))</f>
        <v/>
      </c>
      <c r="AW130" s="132">
        <f t="array" ref="AW130">IF(AU130="","",IFERROR(OFFSET($BZ$11,0,MATCH($AU130,$CA130:$FV130,0),),""))</f>
        <v/>
      </c>
      <c r="AX130" s="121">
        <f t="array" ref="AX130">IF(AU130="","",INDIRECT("'GRD-"&amp;AW130&amp;"'!$L$7"))</f>
        <v/>
      </c>
      <c r="AY130" s="83">
        <f t="array" ref="AY130">IFERROR(OFFSET($BZ$11,ROW($B130)-11,MATCH(AY$10,$CA130:$FV130,0),),"")</f>
        <v/>
      </c>
      <c r="AZ130" s="83">
        <f>IF(AY130="","",IF(VLOOKUP($B130,INDIRECT("'GRD-"&amp;BA130&amp;"'!$B:$R"),16,FALSE)="","",VLOOKUP($B130,INDIRECT("'GRD-"&amp;BA130&amp;"'!$B:$R"),16,FALSE)))</f>
        <v/>
      </c>
      <c r="BA130" s="128">
        <f t="array" ref="BA130">IF(AY130="","",IFERROR(OFFSET($BZ$11,0,MATCH($AY130,$CA130:$FV130,0),),""))</f>
        <v/>
      </c>
      <c r="BB130" s="133">
        <f t="array" ref="BB130">IF(AY130="","",INDIRECT("'GRD-"&amp;BA130&amp;"'!$L$7"))</f>
        <v/>
      </c>
      <c r="BC130" s="84">
        <f t="array" ref="BC130">IFERROR(OFFSET($BZ$11,ROW($B130)-11,MATCH(BC$10,$CA130:$FV130,0),),"")</f>
        <v/>
      </c>
      <c r="BD130" s="84">
        <f>IF(BC130="","",IF(VLOOKUP($B130,INDIRECT("'GRD-"&amp;BE130&amp;"'!$B:$R"),16,FALSE)="","",VLOOKUP($B130,INDIRECT("'GRD-"&amp;BE130&amp;"'!$B:$R"),16,FALSE)))</f>
        <v/>
      </c>
      <c r="BE130" s="129">
        <f t="array" ref="BE130">IF(BC130="","",IFERROR(OFFSET($BZ$11,0,MATCH($BC130,$CA130:$FV130,0),),""))</f>
        <v/>
      </c>
      <c r="BF130" s="134">
        <f t="array" ref="BF130">IF(BC130="","",INDIRECT("'GRD-"&amp;BE130&amp;"'!$L$7"))</f>
        <v/>
      </c>
      <c r="CA130" s="96">
        <f>IFERROR(VLOOKUP($B130,INDIRECT("'GRD-"&amp;CA$11&amp;"'!B:R"),15,FALSE),"")</f>
        <v/>
      </c>
      <c r="CB130" s="96">
        <f>IFERROR(VLOOKUP($B130,INDIRECT("'GRD-"&amp;CB$11&amp;"'!B:R"),15,FALSE),"")</f>
        <v/>
      </c>
      <c r="CC130" s="96">
        <f>IFERROR(VLOOKUP($B130,INDIRECT("'GRD-"&amp;CC$11&amp;"'!B:R"),15,FALSE),"")</f>
        <v/>
      </c>
      <c r="CD130" s="96">
        <f>IFERROR(VLOOKUP($B130,INDIRECT("'GRD-"&amp;CD$11&amp;"'!B:R"),15,FALSE),"")</f>
        <v/>
      </c>
      <c r="CE130" s="96">
        <f>IFERROR(VLOOKUP($B130,INDIRECT("'GRD-"&amp;CE$11&amp;"'!B:R"),15,FALSE),"")</f>
        <v/>
      </c>
      <c r="CF130" s="96">
        <f>IFERROR(VLOOKUP($B130,INDIRECT("'GRD-"&amp;CF$11&amp;"'!B:R"),15,FALSE),"")</f>
        <v/>
      </c>
      <c r="CG130" s="96">
        <f>IFERROR(VLOOKUP($B130,INDIRECT("'GRD-"&amp;CG$11&amp;"'!B:R"),15,FALSE),"")</f>
        <v/>
      </c>
      <c r="CH130" s="96">
        <f>IFERROR(VLOOKUP($B130,INDIRECT("'GRD-"&amp;CH$11&amp;"'!B:R"),15,FALSE),"")</f>
        <v/>
      </c>
      <c r="CI130" s="96">
        <f>IFERROR(VLOOKUP($B130,INDIRECT("'GRD-"&amp;CI$11&amp;"'!B:R"),15,FALSE),"")</f>
        <v/>
      </c>
      <c r="CJ130" s="96">
        <f>IFERROR(VLOOKUP($B130,INDIRECT("'GRD-"&amp;CJ$11&amp;"'!B:R"),15,FALSE),"")</f>
        <v/>
      </c>
      <c r="CK130" s="96">
        <f>IFERROR(VLOOKUP($B130,INDIRECT("'GRD-"&amp;CK$11&amp;"'!B:R"),15,FALSE),"")</f>
        <v/>
      </c>
      <c r="CL130" s="96">
        <f>IFERROR(VLOOKUP($B130,INDIRECT("'GRD-"&amp;CL$11&amp;"'!B:R"),15,FALSE),"")</f>
        <v/>
      </c>
      <c r="CM130" s="96">
        <f>IFERROR(VLOOKUP($B130,INDIRECT("'GRD-"&amp;CM$11&amp;"'!B:R"),15,FALSE),"")</f>
        <v/>
      </c>
      <c r="CN130" s="96">
        <f>IFERROR(VLOOKUP($B130,INDIRECT("'GRD-"&amp;CN$11&amp;"'!B:R"),15,FALSE),"")</f>
        <v/>
      </c>
      <c r="CO130" s="96">
        <f>IFERROR(VLOOKUP($B130,INDIRECT("'GRD-"&amp;CO$11&amp;"'!B:R"),15,FALSE),"")</f>
        <v/>
      </c>
      <c r="CP130" s="96">
        <f>IFERROR(VLOOKUP($B130,INDIRECT("'GRD-"&amp;CP$11&amp;"'!B:R"),15,FALSE),"")</f>
        <v/>
      </c>
      <c r="CQ130" s="96">
        <f>IFERROR(VLOOKUP($B130,INDIRECT("'GRD-"&amp;CQ$11&amp;"'!B:R"),15,FALSE),"")</f>
        <v/>
      </c>
      <c r="CR130" s="96">
        <f>IFERROR(VLOOKUP($B130,INDIRECT("'GRD-"&amp;CR$11&amp;"'!B:R"),15,FALSE),"")</f>
        <v/>
      </c>
      <c r="CS130" s="96">
        <f>IFERROR(VLOOKUP($B130,INDIRECT("'GRD-"&amp;CS$11&amp;"'!B:R"),15,FALSE),"")</f>
        <v/>
      </c>
      <c r="CT130" s="96">
        <f>IFERROR(VLOOKUP($B130,INDIRECT("'GRD-"&amp;CT$11&amp;"'!B:R"),15,FALSE),"")</f>
        <v/>
      </c>
      <c r="CU130" s="96">
        <f>IFERROR(VLOOKUP($B130,INDIRECT("'GRD-"&amp;CU$11&amp;"'!B:R"),15,FALSE),"")</f>
        <v/>
      </c>
      <c r="CV130" s="96">
        <f>IFERROR(VLOOKUP($B130,INDIRECT("'GRD-"&amp;CV$11&amp;"'!B:R"),15,FALSE),"")</f>
        <v/>
      </c>
      <c r="CW130" s="96">
        <f>IFERROR(VLOOKUP($B130,INDIRECT("'GRD-"&amp;CW$11&amp;"'!B:R"),15,FALSE),"")</f>
        <v/>
      </c>
      <c r="CX130" s="96">
        <f>IFERROR(VLOOKUP($B130,INDIRECT("'GRD-"&amp;CX$11&amp;"'!B:R"),15,FALSE),"")</f>
        <v/>
      </c>
      <c r="CY130" s="96">
        <f>IFERROR(VLOOKUP($B130,INDIRECT("'GRD-"&amp;CY$11&amp;"'!B:R"),15,FALSE),"")</f>
        <v/>
      </c>
      <c r="CZ130" s="96">
        <f>IFERROR(VLOOKUP($B130,INDIRECT("'GRD-"&amp;CZ$11&amp;"'!B:R"),15,FALSE),"")</f>
        <v/>
      </c>
      <c r="DA130" s="96">
        <f>IFERROR(VLOOKUP($B130,INDIRECT("'GRD-"&amp;DA$11&amp;"'!B:R"),15,FALSE),"")</f>
        <v/>
      </c>
      <c r="DB130" s="96">
        <f>IFERROR(VLOOKUP($B130,INDIRECT("'GRD-"&amp;DB$11&amp;"'!B:R"),15,FALSE),"")</f>
        <v/>
      </c>
      <c r="DC130" s="96">
        <f>IFERROR(VLOOKUP($B130,INDIRECT("'GRD-"&amp;DC$11&amp;"'!B:R"),15,FALSE),"")</f>
        <v/>
      </c>
      <c r="DD130" s="96">
        <f>IFERROR(VLOOKUP($B130,INDIRECT("'GRD-"&amp;DD$11&amp;"'!B:R"),15,FALSE),"")</f>
        <v/>
      </c>
      <c r="DE130" s="96">
        <f>IFERROR(VLOOKUP($B130,INDIRECT("'GRD-"&amp;DE$11&amp;"'!B:R"),15,FALSE),"")</f>
        <v/>
      </c>
      <c r="DF130" s="96">
        <f>IFERROR(VLOOKUP($B130,INDIRECT("'GRD-"&amp;DF$11&amp;"'!B:R"),15,FALSE),"")</f>
        <v/>
      </c>
      <c r="DG130" s="96">
        <f>IFERROR(VLOOKUP($B130,INDIRECT("'GRD-"&amp;DG$11&amp;"'!B:R"),15,FALSE),"")</f>
        <v/>
      </c>
      <c r="DH130" s="96">
        <f>IFERROR(VLOOKUP($B130,INDIRECT("'GRD-"&amp;DH$11&amp;"'!B:R"),15,FALSE),"")</f>
        <v/>
      </c>
      <c r="DI130" s="96">
        <f>IFERROR(VLOOKUP($B130,INDIRECT("'GRD-"&amp;DI$11&amp;"'!B:R"),15,FALSE),"")</f>
        <v/>
      </c>
      <c r="DJ130" s="96">
        <f>IFERROR(VLOOKUP($B130,INDIRECT("'GRD-"&amp;DJ$11&amp;"'!B:R"),15,FALSE),"")</f>
        <v/>
      </c>
      <c r="DK130" s="96">
        <f>IFERROR(VLOOKUP($B130,INDIRECT("'GRD-"&amp;DK$11&amp;"'!B:R"),15,FALSE),"")</f>
        <v/>
      </c>
      <c r="DL130" s="96">
        <f>IFERROR(VLOOKUP($B130,INDIRECT("'GRD-"&amp;DL$11&amp;"'!B:R"),15,FALSE),"")</f>
        <v/>
      </c>
      <c r="DM130" s="96">
        <f>IFERROR(VLOOKUP($B130,INDIRECT("'GRD-"&amp;DM$11&amp;"'!B:R"),15,FALSE),"")</f>
        <v/>
      </c>
      <c r="DN130" s="96">
        <f>IFERROR(VLOOKUP($B130,INDIRECT("'GRD-"&amp;DN$11&amp;"'!B:R"),15,FALSE),"")</f>
        <v/>
      </c>
      <c r="DO130" s="96">
        <f>IFERROR(VLOOKUP($B130,INDIRECT("'GRD-"&amp;DO$11&amp;"'!B:R"),15,FALSE),"")</f>
        <v/>
      </c>
      <c r="DP130" s="96">
        <f>IFERROR(VLOOKUP($B130,INDIRECT("'GRD-"&amp;DP$11&amp;"'!B:R"),15,FALSE),"")</f>
        <v/>
      </c>
      <c r="DQ130" s="96">
        <f>IFERROR(VLOOKUP($B130,INDIRECT("'GRD-"&amp;DQ$11&amp;"'!B:R"),15,FALSE),"")</f>
        <v/>
      </c>
      <c r="DR130" s="96">
        <f>IFERROR(VLOOKUP($B130,INDIRECT("'GRD-"&amp;DR$11&amp;"'!B:R"),15,FALSE),"")</f>
        <v/>
      </c>
      <c r="DS130" s="96">
        <f>IFERROR(VLOOKUP($B130,INDIRECT("'GRD-"&amp;DS$11&amp;"'!B:R"),15,FALSE),"")</f>
        <v/>
      </c>
      <c r="DT130" s="96">
        <f>IFERROR(VLOOKUP($B130,INDIRECT("'GRD-"&amp;DT$11&amp;"'!B:R"),15,FALSE),"")</f>
        <v/>
      </c>
      <c r="DU130" s="96">
        <f>IFERROR(VLOOKUP($B130,INDIRECT("'GRD-"&amp;DU$11&amp;"'!B:R"),15,FALSE),"")</f>
        <v/>
      </c>
      <c r="DV130" s="96">
        <f>IFERROR(VLOOKUP($B130,INDIRECT("'GRD-"&amp;DV$11&amp;"'!B:R"),15,FALSE),"")</f>
        <v/>
      </c>
      <c r="DW130" s="96">
        <f>IFERROR(VLOOKUP($B130,INDIRECT("'GRD-"&amp;DW$11&amp;"'!B:R"),15,FALSE),"")</f>
        <v/>
      </c>
      <c r="DX130" s="96">
        <f>IFERROR(VLOOKUP($B130,INDIRECT("'GRD-"&amp;DX$11&amp;"'!B:R"),15,FALSE),"")</f>
        <v/>
      </c>
      <c r="DY130" s="96">
        <f>IFERROR(VLOOKUP($B130,INDIRECT("'GRD-"&amp;DY$11&amp;"'!B:R"),15,FALSE),"")</f>
        <v/>
      </c>
      <c r="DZ130" s="96">
        <f>IFERROR(VLOOKUP($B130,INDIRECT("'GRD-"&amp;DZ$11&amp;"'!B:R"),15,FALSE),"")</f>
        <v/>
      </c>
      <c r="EA130" s="96">
        <f>IFERROR(VLOOKUP($B130,INDIRECT("'GRD-"&amp;EA$11&amp;"'!B:R"),15,FALSE),"")</f>
        <v/>
      </c>
      <c r="EB130" s="96">
        <f>IFERROR(VLOOKUP($B130,INDIRECT("'GRD-"&amp;EB$11&amp;"'!B:R"),15,FALSE),"")</f>
        <v/>
      </c>
      <c r="EC130" s="96">
        <f>IFERROR(VLOOKUP($B130,INDIRECT("'GRD-"&amp;EC$11&amp;"'!B:R"),15,FALSE),"")</f>
        <v/>
      </c>
      <c r="ED130" s="96">
        <f>IFERROR(VLOOKUP($B130,INDIRECT("'GRD-"&amp;ED$11&amp;"'!B:R"),15,FALSE),"")</f>
        <v/>
      </c>
      <c r="EE130" s="96">
        <f>IFERROR(VLOOKUP($B130,INDIRECT("'GRD-"&amp;EE$11&amp;"'!B:R"),15,FALSE),"")</f>
        <v/>
      </c>
      <c r="EF130" s="96">
        <f>IFERROR(VLOOKUP($B130,INDIRECT("'GRD-"&amp;EF$11&amp;"'!B:R"),15,FALSE),"")</f>
        <v/>
      </c>
      <c r="EG130" s="96">
        <f>IFERROR(VLOOKUP($B130,INDIRECT("'GRD-"&amp;EG$11&amp;"'!B:R"),15,FALSE),"")</f>
        <v/>
      </c>
      <c r="EH130" s="96">
        <f>IFERROR(VLOOKUP($B130,INDIRECT("'GRD-"&amp;EH$11&amp;"'!B:R"),15,FALSE),"")</f>
        <v/>
      </c>
      <c r="EI130" s="96">
        <f>IFERROR(VLOOKUP($B130,INDIRECT("'GRD-"&amp;EI$11&amp;"'!B:R"),15,FALSE),"")</f>
        <v/>
      </c>
      <c r="EJ130" s="96">
        <f>IFERROR(VLOOKUP($B130,INDIRECT("'GRD-"&amp;EJ$11&amp;"'!B:R"),15,FALSE),"")</f>
        <v/>
      </c>
      <c r="EK130" s="96">
        <f>IFERROR(VLOOKUP($B130,INDIRECT("'GRD-"&amp;EK$11&amp;"'!B:R"),15,FALSE),"")</f>
        <v/>
      </c>
      <c r="EL130" s="96">
        <f>IFERROR(VLOOKUP($B130,INDIRECT("'GRD-"&amp;EL$11&amp;"'!B:R"),15,FALSE),"")</f>
        <v/>
      </c>
      <c r="EM130" s="96">
        <f>IFERROR(VLOOKUP($B130,INDIRECT("'GRD-"&amp;EM$11&amp;"'!B:R"),15,FALSE),"")</f>
        <v/>
      </c>
      <c r="EN130" s="96">
        <f>IFERROR(VLOOKUP($B130,INDIRECT("'GRD-"&amp;EN$11&amp;"'!B:R"),15,FALSE),"")</f>
        <v/>
      </c>
      <c r="EO130" s="96">
        <f>IFERROR(VLOOKUP($B130,INDIRECT("'GRD-"&amp;EO$11&amp;"'!B:R"),15,FALSE),"")</f>
        <v/>
      </c>
      <c r="EP130" s="96">
        <f>IFERROR(VLOOKUP($B130,INDIRECT("'GRD-"&amp;EP$11&amp;"'!B:R"),15,FALSE),"")</f>
        <v/>
      </c>
      <c r="EQ130" s="96">
        <f>IFERROR(VLOOKUP($B130,INDIRECT("'GRD-"&amp;EQ$11&amp;"'!B:R"),15,FALSE),"")</f>
        <v/>
      </c>
      <c r="ER130" s="96">
        <f>IFERROR(VLOOKUP($B130,INDIRECT("'GRD-"&amp;ER$11&amp;"'!B:R"),15,FALSE),"")</f>
        <v/>
      </c>
      <c r="ES130" s="96">
        <f>IFERROR(VLOOKUP($B130,INDIRECT("'GRD-"&amp;ES$11&amp;"'!B:R"),15,FALSE),"")</f>
        <v/>
      </c>
      <c r="ET130" s="96">
        <f>IFERROR(VLOOKUP($B130,INDIRECT("'GRD-"&amp;ET$11&amp;"'!B:R"),15,FALSE),"")</f>
        <v/>
      </c>
      <c r="EU130" s="96">
        <f>IFERROR(VLOOKUP($B130,INDIRECT("'GRD-"&amp;EU$11&amp;"'!B:R"),15,FALSE),"")</f>
        <v/>
      </c>
      <c r="EV130" s="96">
        <f>IFERROR(VLOOKUP($B130,INDIRECT("'GRD-"&amp;EV$11&amp;"'!B:R"),15,FALSE),"")</f>
        <v/>
      </c>
      <c r="EW130" s="96">
        <f>IFERROR(VLOOKUP($B130,INDIRECT("'GRD-"&amp;EW$11&amp;"'!B:R"),15,FALSE),"")</f>
        <v/>
      </c>
      <c r="EX130" s="96">
        <f>IFERROR(VLOOKUP($B130,INDIRECT("'GRD-"&amp;EX$11&amp;"'!B:R"),15,FALSE),"")</f>
        <v/>
      </c>
      <c r="EY130" s="96">
        <f>IFERROR(VLOOKUP($B130,INDIRECT("'GRD-"&amp;EY$11&amp;"'!B:R"),15,FALSE),"")</f>
        <v/>
      </c>
      <c r="EZ130" s="96">
        <f>IFERROR(VLOOKUP($B130,INDIRECT("'GRD-"&amp;EZ$11&amp;"'!B:R"),15,FALSE),"")</f>
        <v/>
      </c>
      <c r="FA130" s="96">
        <f>IFERROR(VLOOKUP($B130,INDIRECT("'GRD-"&amp;FA$11&amp;"'!B:R"),15,FALSE),"")</f>
        <v/>
      </c>
      <c r="FB130" s="96">
        <f>IFERROR(VLOOKUP($B130,INDIRECT("'GRD-"&amp;FB$11&amp;"'!B:R"),15,FALSE),"")</f>
        <v/>
      </c>
      <c r="FC130" s="96">
        <f>IFERROR(VLOOKUP($B130,INDIRECT("'GRD-"&amp;FC$11&amp;"'!B:R"),15,FALSE),"")</f>
        <v/>
      </c>
      <c r="FD130" s="96">
        <f>IFERROR(VLOOKUP($B130,INDIRECT("'GRD-"&amp;FD$11&amp;"'!B:R"),15,FALSE),"")</f>
        <v/>
      </c>
      <c r="FE130" s="96">
        <f>IFERROR(VLOOKUP($B130,INDIRECT("'GRD-"&amp;FE$11&amp;"'!B:R"),15,FALSE),"")</f>
        <v/>
      </c>
      <c r="FF130" s="96">
        <f>IFERROR(VLOOKUP($B130,INDIRECT("'GRD-"&amp;FF$11&amp;"'!B:R"),15,FALSE),"")</f>
        <v/>
      </c>
      <c r="FG130" s="96">
        <f>IFERROR(VLOOKUP($B130,INDIRECT("'GRD-"&amp;FG$11&amp;"'!B:R"),15,FALSE),"")</f>
        <v/>
      </c>
      <c r="FH130" s="96">
        <f>IFERROR(VLOOKUP($B130,INDIRECT("'GRD-"&amp;FH$11&amp;"'!B:R"),15,FALSE),"")</f>
        <v/>
      </c>
      <c r="FI130" s="96">
        <f>IFERROR(VLOOKUP($B130,INDIRECT("'GRD-"&amp;FI$11&amp;"'!B:R"),15,FALSE),"")</f>
        <v/>
      </c>
      <c r="FJ130" s="96">
        <f>IFERROR(VLOOKUP($B130,INDIRECT("'GRD-"&amp;FJ$11&amp;"'!B:R"),15,FALSE),"")</f>
        <v/>
      </c>
      <c r="FK130" s="96">
        <f>IFERROR(VLOOKUP($B130,INDIRECT("'GRD-"&amp;FK$11&amp;"'!B:R"),15,FALSE),"")</f>
        <v/>
      </c>
      <c r="FL130" s="96">
        <f>IFERROR(VLOOKUP($B130,INDIRECT("'GRD-"&amp;FL$11&amp;"'!B:R"),15,FALSE),"")</f>
        <v/>
      </c>
      <c r="FM130" s="96">
        <f>IFERROR(VLOOKUP($B130,INDIRECT("'GRD-"&amp;FM$11&amp;"'!B:R"),15,FALSE),"")</f>
        <v/>
      </c>
      <c r="FN130" s="96">
        <f>IFERROR(VLOOKUP($B130,INDIRECT("'GRD-"&amp;FN$11&amp;"'!B:R"),15,FALSE),"")</f>
        <v/>
      </c>
      <c r="FO130" s="96">
        <f>IFERROR(VLOOKUP($B130,INDIRECT("'GRD-"&amp;FO$11&amp;"'!B:R"),15,FALSE),"")</f>
        <v/>
      </c>
      <c r="FP130" s="96">
        <f>IFERROR(VLOOKUP($B130,INDIRECT("'GRD-"&amp;FP$11&amp;"'!B:R"),15,FALSE),"")</f>
        <v/>
      </c>
      <c r="FQ130" s="96">
        <f>IFERROR(VLOOKUP($B130,INDIRECT("'GRD-"&amp;FQ$11&amp;"'!B:R"),15,FALSE),"")</f>
        <v/>
      </c>
      <c r="FR130" s="96">
        <f>IFERROR(VLOOKUP($B130,INDIRECT("'GRD-"&amp;FR$11&amp;"'!B:R"),15,FALSE),"")</f>
        <v/>
      </c>
      <c r="FS130" s="96">
        <f>IFERROR(VLOOKUP($B130,INDIRECT("'GRD-"&amp;FS$11&amp;"'!B:R"),15,FALSE),"")</f>
        <v/>
      </c>
      <c r="FT130" s="96">
        <f>IFERROR(VLOOKUP($B130,INDIRECT("'GRD-"&amp;FT$11&amp;"'!B:R"),15,FALSE),"")</f>
        <v/>
      </c>
      <c r="FU130" s="96">
        <f>IFERROR(VLOOKUP($B130,INDIRECT("'GRD-"&amp;FU$11&amp;"'!B:R"),15,FALSE),"")</f>
        <v/>
      </c>
      <c r="FV130" s="96">
        <f>IFERROR(VLOOKUP($B130,INDIRECT("'GRD-"&amp;FV$11&amp;"'!B:R"),15,FALSE),"")</f>
        <v/>
      </c>
    </row>
    <row r="131">
      <c r="B131" s="85" t="n"/>
      <c r="C131" s="93" t="n"/>
      <c r="D131" s="73">
        <f>IF(K131="","",MAX($CA131:$FV131))</f>
        <v/>
      </c>
      <c r="E131" s="74">
        <f t="array" ref="E131">IF($K131="","",OFFSET($A$1,ROW($B131)-1,11+$D131*4,))</f>
        <v/>
      </c>
      <c r="F131" s="74">
        <f t="array" ref="F131">IF($K131="","",OFFSET($A$1,ROW($B131)-1,12+$D131*4,))</f>
        <v/>
      </c>
      <c r="G131" s="118">
        <f t="array" ref="G131">IF($K131="","",OFFSET($A$1,ROW($B131)-1,13+$D131*4,))</f>
        <v/>
      </c>
      <c r="H131" s="81" t="n"/>
      <c r="I131" s="82" t="n"/>
      <c r="J131" s="75">
        <f>IF(I131="A4",H131/8,IF(I131="A3",H131/4,IF(I131="A2",H131/2,IF(I131="A1",H131/1,IF(I131="A0",H131*2,"")))))</f>
        <v/>
      </c>
      <c r="K131" s="68">
        <f t="array" ref="K131">IFERROR(OFFSET($BZ$11,ROW($B131)-11,MATCH(K$10,$CA131:$FV131,0),),"")</f>
        <v/>
      </c>
      <c r="L131" s="85">
        <f>IF(K131="","",IF(VLOOKUP($B131,INDIRECT("'GRD-"&amp;M131&amp;"'!$B:$R"),16,FALSE)="","",VLOOKUP($B131,INDIRECT("'GRD-"&amp;M131&amp;"'!$B:$R"),16,FALSE)))</f>
        <v/>
      </c>
      <c r="M131" s="130">
        <f t="array" ref="M131">IF(K131="","",IFERROR(OFFSET($BZ$11,0,MATCH($K131,$CA131:$FV131,0),),""))</f>
        <v/>
      </c>
      <c r="N131" s="119">
        <f t="array" ref="N131">IF(K131="","",INDIRECT("'GRD-"&amp;M131&amp;"'!$L$7"))</f>
        <v/>
      </c>
      <c r="O131" s="76">
        <f t="array" ref="O131">IFERROR(OFFSET($BZ$11,ROW($B131)-11,MATCH(O$10,$CA131:$FV131,0),),"")</f>
        <v/>
      </c>
      <c r="P131" s="76">
        <f>IF(O131="","",IF(VLOOKUP($B131,INDIRECT("'GRD-"&amp;Q131&amp;"'!$B:$R"),16,FALSE)="","",VLOOKUP($B131,INDIRECT("'GRD-"&amp;Q131&amp;"'!$B:$R"),16,FALSE)))</f>
        <v/>
      </c>
      <c r="Q131" s="132">
        <f t="array" ref="Q131">IF(O131="","",IFERROR(OFFSET($BZ$11,0,MATCH($O131,$CA131:$FV131,0),),""))</f>
        <v/>
      </c>
      <c r="R131" s="121">
        <f t="array" ref="R131">IF(O131="","",INDIRECT("'GRD-"&amp;Q131&amp;"'!$L$7"))</f>
        <v/>
      </c>
      <c r="S131" s="83">
        <f t="array" ref="S131">IFERROR(OFFSET($BZ$11,ROW($B131)-11,MATCH(S$10,$CA131:$FV131,0),),"")</f>
        <v/>
      </c>
      <c r="T131" s="83">
        <f>IF(S131="","",IF(VLOOKUP($B131,INDIRECT("'GRD-"&amp;U131&amp;"'!$B:$R"),16,FALSE)="","",VLOOKUP($B131,INDIRECT("'GRD-"&amp;U131&amp;"'!$B:$R"),16,FALSE)))</f>
        <v/>
      </c>
      <c r="U131" s="128">
        <f t="array" ref="U131">IF(S131="","",IFERROR(OFFSET($BZ$11,0,MATCH($S131,$CA131:$FV131,0),),""))</f>
        <v/>
      </c>
      <c r="V131" s="133">
        <f t="array" ref="V131">IF(S131="","",INDIRECT("'GRD-"&amp;U131&amp;"'!$L$7"))</f>
        <v/>
      </c>
      <c r="W131" s="84">
        <f t="array" ref="W131">IFERROR(OFFSET($BZ$11,ROW($B131)-11,MATCH(W$10,$CA131:$FV131,0),),"")</f>
        <v/>
      </c>
      <c r="X131" s="84">
        <f>IF(W131="","",IF(VLOOKUP($B131,INDIRECT("'GRD-"&amp;Y131&amp;"'!$B:$R"),16,FALSE)="","",VLOOKUP($B131,INDIRECT("'GRD-"&amp;Y131&amp;"'!$B:$R"),16,FALSE)))</f>
        <v/>
      </c>
      <c r="Y131" s="129">
        <f t="array" ref="Y131">IF(W131="","",IFERROR(OFFSET($BZ$11,0,MATCH($W131,$CA131:$FV131,0),),""))</f>
        <v/>
      </c>
      <c r="Z131" s="134">
        <f t="array" ref="Z131">IF(W131="","",INDIRECT("'GRD-"&amp;Y131&amp;"'!$L$7"))</f>
        <v/>
      </c>
      <c r="AA131" s="85">
        <f t="array" ref="AA131">IFERROR(OFFSET($BZ$11,ROW($B131)-11,MATCH(AA$10,$CA131:$FV131,0),),"")</f>
        <v/>
      </c>
      <c r="AB131" s="85">
        <f>IF(AA131="","",IF(VLOOKUP($B131,INDIRECT("'GRD-"&amp;AC131&amp;"'!$B:$R"),16,FALSE)="","",VLOOKUP($B131,INDIRECT("'GRD-"&amp;AC131&amp;"'!$B:$R"),16,FALSE)))</f>
        <v/>
      </c>
      <c r="AC131" s="130">
        <f t="array" ref="AC131">IF(AA131="","",IFERROR(OFFSET($BZ$11,0,MATCH($AA131,$CA131:$FV131,0),),""))</f>
        <v/>
      </c>
      <c r="AD131" s="131">
        <f t="array" ref="AD131">IF(AA131="","",INDIRECT("'GRD-"&amp;AC131&amp;"'!$L$7"))</f>
        <v/>
      </c>
      <c r="AE131" s="76">
        <f t="array" ref="AE131">IFERROR(OFFSET($BZ$11,ROW($B131)-11,MATCH(AE$10,$CA131:$FV131,0),),"")</f>
        <v/>
      </c>
      <c r="AF131" s="76">
        <f>IF(AE131="","",IF(VLOOKUP($B131,INDIRECT("'GRD-"&amp;AG131&amp;"'!$B:$R"),16,FALSE)="","",VLOOKUP($B131,INDIRECT("'GRD-"&amp;AG131&amp;"'!$B:$R"),16,FALSE)))</f>
        <v/>
      </c>
      <c r="AG131" s="132">
        <f t="array" ref="AG131">IF(AE131="","",IFERROR(OFFSET($BZ$11,0,MATCH($AE131,$CA131:$FV131,0),),""))</f>
        <v/>
      </c>
      <c r="AH131" s="121">
        <f t="array" ref="AH131">IF(AE131="","",INDIRECT("'GRD-"&amp;AG131&amp;"'!$L$7"))</f>
        <v/>
      </c>
      <c r="AI131" s="83">
        <f t="array" ref="AI131">IFERROR(OFFSET($BZ$11,ROW($B131)-11,MATCH(AI$10,$CA131:$FV131,0),),"")</f>
        <v/>
      </c>
      <c r="AJ131" s="83">
        <f>IF(AI131="","",IF(VLOOKUP($B131,INDIRECT("'GRD-"&amp;AK131&amp;"'!$B:$R"),16,FALSE)="","",VLOOKUP($B131,INDIRECT("'GRD-"&amp;AK131&amp;"'!$B:$R"),16,FALSE)))</f>
        <v/>
      </c>
      <c r="AK131" s="128">
        <f t="array" ref="AK131">IF(AI131="","",IFERROR(OFFSET($BZ$11,0,MATCH($AI131,$CA131:$FV131,0),),""))</f>
        <v/>
      </c>
      <c r="AL131" s="133">
        <f t="array" ref="AL131">IF(AI131="","",INDIRECT("'GRD-"&amp;AK131&amp;"'!$L$7"))</f>
        <v/>
      </c>
      <c r="AM131" s="84">
        <f t="array" ref="AM131">IFERROR(OFFSET($BZ$11,ROW($B131)-11,MATCH(AM$10,$CA131:$FV131,0),),"")</f>
        <v/>
      </c>
      <c r="AN131" s="84">
        <f>IF(AM131="","",IF(VLOOKUP($B131,INDIRECT("'GRD-"&amp;AO131&amp;"'!$B:$R"),16,FALSE)="","",VLOOKUP($B131,INDIRECT("'GRD-"&amp;AO131&amp;"'!$B:$R"),16,FALSE)))</f>
        <v/>
      </c>
      <c r="AO131" s="129">
        <f t="array" ref="AO131">IF(AM131="","",IFERROR(OFFSET($BZ$11,0,MATCH($AM131,$CA131:$FV131,0),),""))</f>
        <v/>
      </c>
      <c r="AP131" s="134">
        <f t="array" ref="AP131">IF(AM131="","",INDIRECT("'GRD-"&amp;AO131&amp;"'!$L$7"))</f>
        <v/>
      </c>
      <c r="AQ131" s="85">
        <f t="array" ref="AQ131">IFERROR(OFFSET($BZ$11,ROW($B131)-11,MATCH(AQ$10,$CA131:$FV131,0),),"")</f>
        <v/>
      </c>
      <c r="AR131" s="85">
        <f>IF(AQ131="","",IF(VLOOKUP($B131,INDIRECT("'GRD-"&amp;AS131&amp;"'!$B:$R"),16,FALSE)="","",VLOOKUP($B131,INDIRECT("'GRD-"&amp;AS131&amp;"'!$B:$R"),16,FALSE)))</f>
        <v/>
      </c>
      <c r="AS131" s="130">
        <f t="array" ref="AS131">IF(AQ131="","",IFERROR(OFFSET($BZ$11,0,MATCH($AQ131,$CA131:$FV131,0),),""))</f>
        <v/>
      </c>
      <c r="AT131" s="131">
        <f t="array" ref="AT131">IF(AQ131="","",INDIRECT("'GRD-"&amp;AS131&amp;"'!$L$7"))</f>
        <v/>
      </c>
      <c r="AU131" s="76">
        <f t="array" ref="AU131">IFERROR(OFFSET($BZ$11,ROW($B131)-11,MATCH(AU$10,$CA131:$FV131,0),),"")</f>
        <v/>
      </c>
      <c r="AV131" s="76">
        <f>IF(AU131="","",IF(VLOOKUP($B131,INDIRECT("'GRD-"&amp;AW131&amp;"'!$B:$R"),16,FALSE)="","",VLOOKUP($B131,INDIRECT("'GRD-"&amp;AW131&amp;"'!$B:$R"),16,FALSE)))</f>
        <v/>
      </c>
      <c r="AW131" s="132">
        <f t="array" ref="AW131">IF(AU131="","",IFERROR(OFFSET($BZ$11,0,MATCH($AU131,$CA131:$FV131,0),),""))</f>
        <v/>
      </c>
      <c r="AX131" s="121">
        <f t="array" ref="AX131">IF(AU131="","",INDIRECT("'GRD-"&amp;AW131&amp;"'!$L$7"))</f>
        <v/>
      </c>
      <c r="AY131" s="83">
        <f t="array" ref="AY131">IFERROR(OFFSET($BZ$11,ROW($B131)-11,MATCH(AY$10,$CA131:$FV131,0),),"")</f>
        <v/>
      </c>
      <c r="AZ131" s="83">
        <f>IF(AY131="","",IF(VLOOKUP($B131,INDIRECT("'GRD-"&amp;BA131&amp;"'!$B:$R"),16,FALSE)="","",VLOOKUP($B131,INDIRECT("'GRD-"&amp;BA131&amp;"'!$B:$R"),16,FALSE)))</f>
        <v/>
      </c>
      <c r="BA131" s="128">
        <f t="array" ref="BA131">IF(AY131="","",IFERROR(OFFSET($BZ$11,0,MATCH($AY131,$CA131:$FV131,0),),""))</f>
        <v/>
      </c>
      <c r="BB131" s="133">
        <f t="array" ref="BB131">IF(AY131="","",INDIRECT("'GRD-"&amp;BA131&amp;"'!$L$7"))</f>
        <v/>
      </c>
      <c r="BC131" s="84">
        <f t="array" ref="BC131">IFERROR(OFFSET($BZ$11,ROW($B131)-11,MATCH(BC$10,$CA131:$FV131,0),),"")</f>
        <v/>
      </c>
      <c r="BD131" s="84">
        <f>IF(BC131="","",IF(VLOOKUP($B131,INDIRECT("'GRD-"&amp;BE131&amp;"'!$B:$R"),16,FALSE)="","",VLOOKUP($B131,INDIRECT("'GRD-"&amp;BE131&amp;"'!$B:$R"),16,FALSE)))</f>
        <v/>
      </c>
      <c r="BE131" s="129">
        <f t="array" ref="BE131">IF(BC131="","",IFERROR(OFFSET($BZ$11,0,MATCH($BC131,$CA131:$FV131,0),),""))</f>
        <v/>
      </c>
      <c r="BF131" s="134">
        <f t="array" ref="BF131">IF(BC131="","",INDIRECT("'GRD-"&amp;BE131&amp;"'!$L$7"))</f>
        <v/>
      </c>
      <c r="CA131" s="96">
        <f>IFERROR(VLOOKUP($B131,INDIRECT("'GRD-"&amp;CA$11&amp;"'!B:R"),15,FALSE),"")</f>
        <v/>
      </c>
      <c r="CB131" s="96">
        <f>IFERROR(VLOOKUP($B131,INDIRECT("'GRD-"&amp;CB$11&amp;"'!B:R"),15,FALSE),"")</f>
        <v/>
      </c>
      <c r="CC131" s="96">
        <f>IFERROR(VLOOKUP($B131,INDIRECT("'GRD-"&amp;CC$11&amp;"'!B:R"),15,FALSE),"")</f>
        <v/>
      </c>
      <c r="CD131" s="96">
        <f>IFERROR(VLOOKUP($B131,INDIRECT("'GRD-"&amp;CD$11&amp;"'!B:R"),15,FALSE),"")</f>
        <v/>
      </c>
      <c r="CE131" s="96">
        <f>IFERROR(VLOOKUP($B131,INDIRECT("'GRD-"&amp;CE$11&amp;"'!B:R"),15,FALSE),"")</f>
        <v/>
      </c>
      <c r="CF131" s="96">
        <f>IFERROR(VLOOKUP($B131,INDIRECT("'GRD-"&amp;CF$11&amp;"'!B:R"),15,FALSE),"")</f>
        <v/>
      </c>
      <c r="CG131" s="96">
        <f>IFERROR(VLOOKUP($B131,INDIRECT("'GRD-"&amp;CG$11&amp;"'!B:R"),15,FALSE),"")</f>
        <v/>
      </c>
      <c r="CH131" s="96">
        <f>IFERROR(VLOOKUP($B131,INDIRECT("'GRD-"&amp;CH$11&amp;"'!B:R"),15,FALSE),"")</f>
        <v/>
      </c>
      <c r="CI131" s="96">
        <f>IFERROR(VLOOKUP($B131,INDIRECT("'GRD-"&amp;CI$11&amp;"'!B:R"),15,FALSE),"")</f>
        <v/>
      </c>
      <c r="CJ131" s="96">
        <f>IFERROR(VLOOKUP($B131,INDIRECT("'GRD-"&amp;CJ$11&amp;"'!B:R"),15,FALSE),"")</f>
        <v/>
      </c>
      <c r="CK131" s="96">
        <f>IFERROR(VLOOKUP($B131,INDIRECT("'GRD-"&amp;CK$11&amp;"'!B:R"),15,FALSE),"")</f>
        <v/>
      </c>
      <c r="CL131" s="96">
        <f>IFERROR(VLOOKUP($B131,INDIRECT("'GRD-"&amp;CL$11&amp;"'!B:R"),15,FALSE),"")</f>
        <v/>
      </c>
      <c r="CM131" s="96">
        <f>IFERROR(VLOOKUP($B131,INDIRECT("'GRD-"&amp;CM$11&amp;"'!B:R"),15,FALSE),"")</f>
        <v/>
      </c>
      <c r="CN131" s="96">
        <f>IFERROR(VLOOKUP($B131,INDIRECT("'GRD-"&amp;CN$11&amp;"'!B:R"),15,FALSE),"")</f>
        <v/>
      </c>
      <c r="CO131" s="96">
        <f>IFERROR(VLOOKUP($B131,INDIRECT("'GRD-"&amp;CO$11&amp;"'!B:R"),15,FALSE),"")</f>
        <v/>
      </c>
      <c r="CP131" s="96">
        <f>IFERROR(VLOOKUP($B131,INDIRECT("'GRD-"&amp;CP$11&amp;"'!B:R"),15,FALSE),"")</f>
        <v/>
      </c>
      <c r="CQ131" s="96">
        <f>IFERROR(VLOOKUP($B131,INDIRECT("'GRD-"&amp;CQ$11&amp;"'!B:R"),15,FALSE),"")</f>
        <v/>
      </c>
      <c r="CR131" s="96">
        <f>IFERROR(VLOOKUP($B131,INDIRECT("'GRD-"&amp;CR$11&amp;"'!B:R"),15,FALSE),"")</f>
        <v/>
      </c>
      <c r="CS131" s="96">
        <f>IFERROR(VLOOKUP($B131,INDIRECT("'GRD-"&amp;CS$11&amp;"'!B:R"),15,FALSE),"")</f>
        <v/>
      </c>
      <c r="CT131" s="96">
        <f>IFERROR(VLOOKUP($B131,INDIRECT("'GRD-"&amp;CT$11&amp;"'!B:R"),15,FALSE),"")</f>
        <v/>
      </c>
      <c r="CU131" s="96">
        <f>IFERROR(VLOOKUP($B131,INDIRECT("'GRD-"&amp;CU$11&amp;"'!B:R"),15,FALSE),"")</f>
        <v/>
      </c>
      <c r="CV131" s="96">
        <f>IFERROR(VLOOKUP($B131,INDIRECT("'GRD-"&amp;CV$11&amp;"'!B:R"),15,FALSE),"")</f>
        <v/>
      </c>
      <c r="CW131" s="96">
        <f>IFERROR(VLOOKUP($B131,INDIRECT("'GRD-"&amp;CW$11&amp;"'!B:R"),15,FALSE),"")</f>
        <v/>
      </c>
      <c r="CX131" s="96">
        <f>IFERROR(VLOOKUP($B131,INDIRECT("'GRD-"&amp;CX$11&amp;"'!B:R"),15,FALSE),"")</f>
        <v/>
      </c>
      <c r="CY131" s="96">
        <f>IFERROR(VLOOKUP($B131,INDIRECT("'GRD-"&amp;CY$11&amp;"'!B:R"),15,FALSE),"")</f>
        <v/>
      </c>
      <c r="CZ131" s="96">
        <f>IFERROR(VLOOKUP($B131,INDIRECT("'GRD-"&amp;CZ$11&amp;"'!B:R"),15,FALSE),"")</f>
        <v/>
      </c>
      <c r="DA131" s="96">
        <f>IFERROR(VLOOKUP($B131,INDIRECT("'GRD-"&amp;DA$11&amp;"'!B:R"),15,FALSE),"")</f>
        <v/>
      </c>
      <c r="DB131" s="96">
        <f>IFERROR(VLOOKUP($B131,INDIRECT("'GRD-"&amp;DB$11&amp;"'!B:R"),15,FALSE),"")</f>
        <v/>
      </c>
      <c r="DC131" s="96">
        <f>IFERROR(VLOOKUP($B131,INDIRECT("'GRD-"&amp;DC$11&amp;"'!B:R"),15,FALSE),"")</f>
        <v/>
      </c>
      <c r="DD131" s="96">
        <f>IFERROR(VLOOKUP($B131,INDIRECT("'GRD-"&amp;DD$11&amp;"'!B:R"),15,FALSE),"")</f>
        <v/>
      </c>
      <c r="DE131" s="96">
        <f>IFERROR(VLOOKUP($B131,INDIRECT("'GRD-"&amp;DE$11&amp;"'!B:R"),15,FALSE),"")</f>
        <v/>
      </c>
      <c r="DF131" s="96">
        <f>IFERROR(VLOOKUP($B131,INDIRECT("'GRD-"&amp;DF$11&amp;"'!B:R"),15,FALSE),"")</f>
        <v/>
      </c>
      <c r="DG131" s="96">
        <f>IFERROR(VLOOKUP($B131,INDIRECT("'GRD-"&amp;DG$11&amp;"'!B:R"),15,FALSE),"")</f>
        <v/>
      </c>
      <c r="DH131" s="96">
        <f>IFERROR(VLOOKUP($B131,INDIRECT("'GRD-"&amp;DH$11&amp;"'!B:R"),15,FALSE),"")</f>
        <v/>
      </c>
      <c r="DI131" s="96">
        <f>IFERROR(VLOOKUP($B131,INDIRECT("'GRD-"&amp;DI$11&amp;"'!B:R"),15,FALSE),"")</f>
        <v/>
      </c>
      <c r="DJ131" s="96">
        <f>IFERROR(VLOOKUP($B131,INDIRECT("'GRD-"&amp;DJ$11&amp;"'!B:R"),15,FALSE),"")</f>
        <v/>
      </c>
      <c r="DK131" s="96">
        <f>IFERROR(VLOOKUP($B131,INDIRECT("'GRD-"&amp;DK$11&amp;"'!B:R"),15,FALSE),"")</f>
        <v/>
      </c>
      <c r="DL131" s="96">
        <f>IFERROR(VLOOKUP($B131,INDIRECT("'GRD-"&amp;DL$11&amp;"'!B:R"),15,FALSE),"")</f>
        <v/>
      </c>
      <c r="DM131" s="96">
        <f>IFERROR(VLOOKUP($B131,INDIRECT("'GRD-"&amp;DM$11&amp;"'!B:R"),15,FALSE),"")</f>
        <v/>
      </c>
      <c r="DN131" s="96">
        <f>IFERROR(VLOOKUP($B131,INDIRECT("'GRD-"&amp;DN$11&amp;"'!B:R"),15,FALSE),"")</f>
        <v/>
      </c>
      <c r="DO131" s="96">
        <f>IFERROR(VLOOKUP($B131,INDIRECT("'GRD-"&amp;DO$11&amp;"'!B:R"),15,FALSE),"")</f>
        <v/>
      </c>
      <c r="DP131" s="96">
        <f>IFERROR(VLOOKUP($B131,INDIRECT("'GRD-"&amp;DP$11&amp;"'!B:R"),15,FALSE),"")</f>
        <v/>
      </c>
      <c r="DQ131" s="96">
        <f>IFERROR(VLOOKUP($B131,INDIRECT("'GRD-"&amp;DQ$11&amp;"'!B:R"),15,FALSE),"")</f>
        <v/>
      </c>
      <c r="DR131" s="96">
        <f>IFERROR(VLOOKUP($B131,INDIRECT("'GRD-"&amp;DR$11&amp;"'!B:R"),15,FALSE),"")</f>
        <v/>
      </c>
      <c r="DS131" s="96">
        <f>IFERROR(VLOOKUP($B131,INDIRECT("'GRD-"&amp;DS$11&amp;"'!B:R"),15,FALSE),"")</f>
        <v/>
      </c>
      <c r="DT131" s="96">
        <f>IFERROR(VLOOKUP($B131,INDIRECT("'GRD-"&amp;DT$11&amp;"'!B:R"),15,FALSE),"")</f>
        <v/>
      </c>
      <c r="DU131" s="96">
        <f>IFERROR(VLOOKUP($B131,INDIRECT("'GRD-"&amp;DU$11&amp;"'!B:R"),15,FALSE),"")</f>
        <v/>
      </c>
      <c r="DV131" s="96">
        <f>IFERROR(VLOOKUP($B131,INDIRECT("'GRD-"&amp;DV$11&amp;"'!B:R"),15,FALSE),"")</f>
        <v/>
      </c>
      <c r="DW131" s="96">
        <f>IFERROR(VLOOKUP($B131,INDIRECT("'GRD-"&amp;DW$11&amp;"'!B:R"),15,FALSE),"")</f>
        <v/>
      </c>
      <c r="DX131" s="96">
        <f>IFERROR(VLOOKUP($B131,INDIRECT("'GRD-"&amp;DX$11&amp;"'!B:R"),15,FALSE),"")</f>
        <v/>
      </c>
      <c r="DY131" s="96">
        <f>IFERROR(VLOOKUP($B131,INDIRECT("'GRD-"&amp;DY$11&amp;"'!B:R"),15,FALSE),"")</f>
        <v/>
      </c>
      <c r="DZ131" s="96">
        <f>IFERROR(VLOOKUP($B131,INDIRECT("'GRD-"&amp;DZ$11&amp;"'!B:R"),15,FALSE),"")</f>
        <v/>
      </c>
      <c r="EA131" s="96">
        <f>IFERROR(VLOOKUP($B131,INDIRECT("'GRD-"&amp;EA$11&amp;"'!B:R"),15,FALSE),"")</f>
        <v/>
      </c>
      <c r="EB131" s="96">
        <f>IFERROR(VLOOKUP($B131,INDIRECT("'GRD-"&amp;EB$11&amp;"'!B:R"),15,FALSE),"")</f>
        <v/>
      </c>
      <c r="EC131" s="96">
        <f>IFERROR(VLOOKUP($B131,INDIRECT("'GRD-"&amp;EC$11&amp;"'!B:R"),15,FALSE),"")</f>
        <v/>
      </c>
      <c r="ED131" s="96">
        <f>IFERROR(VLOOKUP($B131,INDIRECT("'GRD-"&amp;ED$11&amp;"'!B:R"),15,FALSE),"")</f>
        <v/>
      </c>
      <c r="EE131" s="96">
        <f>IFERROR(VLOOKUP($B131,INDIRECT("'GRD-"&amp;EE$11&amp;"'!B:R"),15,FALSE),"")</f>
        <v/>
      </c>
      <c r="EF131" s="96">
        <f>IFERROR(VLOOKUP($B131,INDIRECT("'GRD-"&amp;EF$11&amp;"'!B:R"),15,FALSE),"")</f>
        <v/>
      </c>
      <c r="EG131" s="96">
        <f>IFERROR(VLOOKUP($B131,INDIRECT("'GRD-"&amp;EG$11&amp;"'!B:R"),15,FALSE),"")</f>
        <v/>
      </c>
      <c r="EH131" s="96">
        <f>IFERROR(VLOOKUP($B131,INDIRECT("'GRD-"&amp;EH$11&amp;"'!B:R"),15,FALSE),"")</f>
        <v/>
      </c>
      <c r="EI131" s="96">
        <f>IFERROR(VLOOKUP($B131,INDIRECT("'GRD-"&amp;EI$11&amp;"'!B:R"),15,FALSE),"")</f>
        <v/>
      </c>
      <c r="EJ131" s="96">
        <f>IFERROR(VLOOKUP($B131,INDIRECT("'GRD-"&amp;EJ$11&amp;"'!B:R"),15,FALSE),"")</f>
        <v/>
      </c>
      <c r="EK131" s="96">
        <f>IFERROR(VLOOKUP($B131,INDIRECT("'GRD-"&amp;EK$11&amp;"'!B:R"),15,FALSE),"")</f>
        <v/>
      </c>
      <c r="EL131" s="96">
        <f>IFERROR(VLOOKUP($B131,INDIRECT("'GRD-"&amp;EL$11&amp;"'!B:R"),15,FALSE),"")</f>
        <v/>
      </c>
      <c r="EM131" s="96">
        <f>IFERROR(VLOOKUP($B131,INDIRECT("'GRD-"&amp;EM$11&amp;"'!B:R"),15,FALSE),"")</f>
        <v/>
      </c>
      <c r="EN131" s="96">
        <f>IFERROR(VLOOKUP($B131,INDIRECT("'GRD-"&amp;EN$11&amp;"'!B:R"),15,FALSE),"")</f>
        <v/>
      </c>
      <c r="EO131" s="96">
        <f>IFERROR(VLOOKUP($B131,INDIRECT("'GRD-"&amp;EO$11&amp;"'!B:R"),15,FALSE),"")</f>
        <v/>
      </c>
      <c r="EP131" s="96">
        <f>IFERROR(VLOOKUP($B131,INDIRECT("'GRD-"&amp;EP$11&amp;"'!B:R"),15,FALSE),"")</f>
        <v/>
      </c>
      <c r="EQ131" s="96">
        <f>IFERROR(VLOOKUP($B131,INDIRECT("'GRD-"&amp;EQ$11&amp;"'!B:R"),15,FALSE),"")</f>
        <v/>
      </c>
      <c r="ER131" s="96">
        <f>IFERROR(VLOOKUP($B131,INDIRECT("'GRD-"&amp;ER$11&amp;"'!B:R"),15,FALSE),"")</f>
        <v/>
      </c>
      <c r="ES131" s="96">
        <f>IFERROR(VLOOKUP($B131,INDIRECT("'GRD-"&amp;ES$11&amp;"'!B:R"),15,FALSE),"")</f>
        <v/>
      </c>
      <c r="ET131" s="96">
        <f>IFERROR(VLOOKUP($B131,INDIRECT("'GRD-"&amp;ET$11&amp;"'!B:R"),15,FALSE),"")</f>
        <v/>
      </c>
      <c r="EU131" s="96">
        <f>IFERROR(VLOOKUP($B131,INDIRECT("'GRD-"&amp;EU$11&amp;"'!B:R"),15,FALSE),"")</f>
        <v/>
      </c>
      <c r="EV131" s="96">
        <f>IFERROR(VLOOKUP($B131,INDIRECT("'GRD-"&amp;EV$11&amp;"'!B:R"),15,FALSE),"")</f>
        <v/>
      </c>
      <c r="EW131" s="96">
        <f>IFERROR(VLOOKUP($B131,INDIRECT("'GRD-"&amp;EW$11&amp;"'!B:R"),15,FALSE),"")</f>
        <v/>
      </c>
      <c r="EX131" s="96">
        <f>IFERROR(VLOOKUP($B131,INDIRECT("'GRD-"&amp;EX$11&amp;"'!B:R"),15,FALSE),"")</f>
        <v/>
      </c>
      <c r="EY131" s="96">
        <f>IFERROR(VLOOKUP($B131,INDIRECT("'GRD-"&amp;EY$11&amp;"'!B:R"),15,FALSE),"")</f>
        <v/>
      </c>
      <c r="EZ131" s="96">
        <f>IFERROR(VLOOKUP($B131,INDIRECT("'GRD-"&amp;EZ$11&amp;"'!B:R"),15,FALSE),"")</f>
        <v/>
      </c>
      <c r="FA131" s="96">
        <f>IFERROR(VLOOKUP($B131,INDIRECT("'GRD-"&amp;FA$11&amp;"'!B:R"),15,FALSE),"")</f>
        <v/>
      </c>
      <c r="FB131" s="96">
        <f>IFERROR(VLOOKUP($B131,INDIRECT("'GRD-"&amp;FB$11&amp;"'!B:R"),15,FALSE),"")</f>
        <v/>
      </c>
      <c r="FC131" s="96">
        <f>IFERROR(VLOOKUP($B131,INDIRECT("'GRD-"&amp;FC$11&amp;"'!B:R"),15,FALSE),"")</f>
        <v/>
      </c>
      <c r="FD131" s="96">
        <f>IFERROR(VLOOKUP($B131,INDIRECT("'GRD-"&amp;FD$11&amp;"'!B:R"),15,FALSE),"")</f>
        <v/>
      </c>
      <c r="FE131" s="96">
        <f>IFERROR(VLOOKUP($B131,INDIRECT("'GRD-"&amp;FE$11&amp;"'!B:R"),15,FALSE),"")</f>
        <v/>
      </c>
      <c r="FF131" s="96">
        <f>IFERROR(VLOOKUP($B131,INDIRECT("'GRD-"&amp;FF$11&amp;"'!B:R"),15,FALSE),"")</f>
        <v/>
      </c>
      <c r="FG131" s="96">
        <f>IFERROR(VLOOKUP($B131,INDIRECT("'GRD-"&amp;FG$11&amp;"'!B:R"),15,FALSE),"")</f>
        <v/>
      </c>
      <c r="FH131" s="96">
        <f>IFERROR(VLOOKUP($B131,INDIRECT("'GRD-"&amp;FH$11&amp;"'!B:R"),15,FALSE),"")</f>
        <v/>
      </c>
      <c r="FI131" s="96">
        <f>IFERROR(VLOOKUP($B131,INDIRECT("'GRD-"&amp;FI$11&amp;"'!B:R"),15,FALSE),"")</f>
        <v/>
      </c>
      <c r="FJ131" s="96">
        <f>IFERROR(VLOOKUP($B131,INDIRECT("'GRD-"&amp;FJ$11&amp;"'!B:R"),15,FALSE),"")</f>
        <v/>
      </c>
      <c r="FK131" s="96">
        <f>IFERROR(VLOOKUP($B131,INDIRECT("'GRD-"&amp;FK$11&amp;"'!B:R"),15,FALSE),"")</f>
        <v/>
      </c>
      <c r="FL131" s="96">
        <f>IFERROR(VLOOKUP($B131,INDIRECT("'GRD-"&amp;FL$11&amp;"'!B:R"),15,FALSE),"")</f>
        <v/>
      </c>
      <c r="FM131" s="96">
        <f>IFERROR(VLOOKUP($B131,INDIRECT("'GRD-"&amp;FM$11&amp;"'!B:R"),15,FALSE),"")</f>
        <v/>
      </c>
      <c r="FN131" s="96">
        <f>IFERROR(VLOOKUP($B131,INDIRECT("'GRD-"&amp;FN$11&amp;"'!B:R"),15,FALSE),"")</f>
        <v/>
      </c>
      <c r="FO131" s="96">
        <f>IFERROR(VLOOKUP($B131,INDIRECT("'GRD-"&amp;FO$11&amp;"'!B:R"),15,FALSE),"")</f>
        <v/>
      </c>
      <c r="FP131" s="96">
        <f>IFERROR(VLOOKUP($B131,INDIRECT("'GRD-"&amp;FP$11&amp;"'!B:R"),15,FALSE),"")</f>
        <v/>
      </c>
      <c r="FQ131" s="96">
        <f>IFERROR(VLOOKUP($B131,INDIRECT("'GRD-"&amp;FQ$11&amp;"'!B:R"),15,FALSE),"")</f>
        <v/>
      </c>
      <c r="FR131" s="96">
        <f>IFERROR(VLOOKUP($B131,INDIRECT("'GRD-"&amp;FR$11&amp;"'!B:R"),15,FALSE),"")</f>
        <v/>
      </c>
      <c r="FS131" s="96">
        <f>IFERROR(VLOOKUP($B131,INDIRECT("'GRD-"&amp;FS$11&amp;"'!B:R"),15,FALSE),"")</f>
        <v/>
      </c>
      <c r="FT131" s="96">
        <f>IFERROR(VLOOKUP($B131,INDIRECT("'GRD-"&amp;FT$11&amp;"'!B:R"),15,FALSE),"")</f>
        <v/>
      </c>
      <c r="FU131" s="96">
        <f>IFERROR(VLOOKUP($B131,INDIRECT("'GRD-"&amp;FU$11&amp;"'!B:R"),15,FALSE),"")</f>
        <v/>
      </c>
      <c r="FV131" s="96">
        <f>IFERROR(VLOOKUP($B131,INDIRECT("'GRD-"&amp;FV$11&amp;"'!B:R"),15,FALSE),"")</f>
        <v/>
      </c>
    </row>
    <row r="132">
      <c r="B132" s="85" t="n"/>
      <c r="C132" s="93" t="n"/>
      <c r="D132" s="73">
        <f>IF(K132="","",MAX($CA132:$FV132))</f>
        <v/>
      </c>
      <c r="E132" s="74">
        <f t="array" ref="E132">IF($K132="","",OFFSET($A$1,ROW($B132)-1,11+$D132*4,))</f>
        <v/>
      </c>
      <c r="F132" s="74">
        <f t="array" ref="F132">IF($K132="","",OFFSET($A$1,ROW($B132)-1,12+$D132*4,))</f>
        <v/>
      </c>
      <c r="G132" s="118">
        <f t="array" ref="G132">IF($K132="","",OFFSET($A$1,ROW($B132)-1,13+$D132*4,))</f>
        <v/>
      </c>
      <c r="H132" s="81" t="n"/>
      <c r="I132" s="82" t="n"/>
      <c r="J132" s="75">
        <f>IF(I132="A4",H132/8,IF(I132="A3",H132/4,IF(I132="A2",H132/2,IF(I132="A1",H132/1,IF(I132="A0",H132*2,"")))))</f>
        <v/>
      </c>
      <c r="K132" s="68">
        <f t="array" ref="K132">IFERROR(OFFSET($BZ$11,ROW($B132)-11,MATCH(K$10,$CA132:$FV132,0),),"")</f>
        <v/>
      </c>
      <c r="L132" s="85">
        <f>IF(K132="","",IF(VLOOKUP($B132,INDIRECT("'GRD-"&amp;M132&amp;"'!$B:$R"),16,FALSE)="","",VLOOKUP($B132,INDIRECT("'GRD-"&amp;M132&amp;"'!$B:$R"),16,FALSE)))</f>
        <v/>
      </c>
      <c r="M132" s="130">
        <f t="array" ref="M132">IF(K132="","",IFERROR(OFFSET($BZ$11,0,MATCH($K132,$CA132:$FV132,0),),""))</f>
        <v/>
      </c>
      <c r="N132" s="119">
        <f t="array" ref="N132">IF(K132="","",INDIRECT("'GRD-"&amp;M132&amp;"'!$L$7"))</f>
        <v/>
      </c>
      <c r="O132" s="76">
        <f t="array" ref="O132">IFERROR(OFFSET($BZ$11,ROW($B132)-11,MATCH(O$10,$CA132:$FV132,0),),"")</f>
        <v/>
      </c>
      <c r="P132" s="76">
        <f>IF(O132="","",IF(VLOOKUP($B132,INDIRECT("'GRD-"&amp;Q132&amp;"'!$B:$R"),16,FALSE)="","",VLOOKUP($B132,INDIRECT("'GRD-"&amp;Q132&amp;"'!$B:$R"),16,FALSE)))</f>
        <v/>
      </c>
      <c r="Q132" s="132">
        <f t="array" ref="Q132">IF(O132="","",IFERROR(OFFSET($BZ$11,0,MATCH($O132,$CA132:$FV132,0),),""))</f>
        <v/>
      </c>
      <c r="R132" s="121">
        <f t="array" ref="R132">IF(O132="","",INDIRECT("'GRD-"&amp;Q132&amp;"'!$L$7"))</f>
        <v/>
      </c>
      <c r="S132" s="83">
        <f t="array" ref="S132">IFERROR(OFFSET($BZ$11,ROW($B132)-11,MATCH(S$10,$CA132:$FV132,0),),"")</f>
        <v/>
      </c>
      <c r="T132" s="83">
        <f>IF(S132="","",IF(VLOOKUP($B132,INDIRECT("'GRD-"&amp;U132&amp;"'!$B:$R"),16,FALSE)="","",VLOOKUP($B132,INDIRECT("'GRD-"&amp;U132&amp;"'!$B:$R"),16,FALSE)))</f>
        <v/>
      </c>
      <c r="U132" s="128">
        <f t="array" ref="U132">IF(S132="","",IFERROR(OFFSET($BZ$11,0,MATCH($S132,$CA132:$FV132,0),),""))</f>
        <v/>
      </c>
      <c r="V132" s="133">
        <f t="array" ref="V132">IF(S132="","",INDIRECT("'GRD-"&amp;U132&amp;"'!$L$7"))</f>
        <v/>
      </c>
      <c r="W132" s="84">
        <f t="array" ref="W132">IFERROR(OFFSET($BZ$11,ROW($B132)-11,MATCH(W$10,$CA132:$FV132,0),),"")</f>
        <v/>
      </c>
      <c r="X132" s="84">
        <f>IF(W132="","",IF(VLOOKUP($B132,INDIRECT("'GRD-"&amp;Y132&amp;"'!$B:$R"),16,FALSE)="","",VLOOKUP($B132,INDIRECT("'GRD-"&amp;Y132&amp;"'!$B:$R"),16,FALSE)))</f>
        <v/>
      </c>
      <c r="Y132" s="129">
        <f t="array" ref="Y132">IF(W132="","",IFERROR(OFFSET($BZ$11,0,MATCH($W132,$CA132:$FV132,0),),""))</f>
        <v/>
      </c>
      <c r="Z132" s="134">
        <f t="array" ref="Z132">IF(W132="","",INDIRECT("'GRD-"&amp;Y132&amp;"'!$L$7"))</f>
        <v/>
      </c>
      <c r="AA132" s="85">
        <f t="array" ref="AA132">IFERROR(OFFSET($BZ$11,ROW($B132)-11,MATCH(AA$10,$CA132:$FV132,0),),"")</f>
        <v/>
      </c>
      <c r="AB132" s="85">
        <f>IF(AA132="","",IF(VLOOKUP($B132,INDIRECT("'GRD-"&amp;AC132&amp;"'!$B:$R"),16,FALSE)="","",VLOOKUP($B132,INDIRECT("'GRD-"&amp;AC132&amp;"'!$B:$R"),16,FALSE)))</f>
        <v/>
      </c>
      <c r="AC132" s="130">
        <f t="array" ref="AC132">IF(AA132="","",IFERROR(OFFSET($BZ$11,0,MATCH($AA132,$CA132:$FV132,0),),""))</f>
        <v/>
      </c>
      <c r="AD132" s="131">
        <f t="array" ref="AD132">IF(AA132="","",INDIRECT("'GRD-"&amp;AC132&amp;"'!$L$7"))</f>
        <v/>
      </c>
      <c r="AE132" s="76">
        <f t="array" ref="AE132">IFERROR(OFFSET($BZ$11,ROW($B132)-11,MATCH(AE$10,$CA132:$FV132,0),),"")</f>
        <v/>
      </c>
      <c r="AF132" s="76">
        <f>IF(AE132="","",IF(VLOOKUP($B132,INDIRECT("'GRD-"&amp;AG132&amp;"'!$B:$R"),16,FALSE)="","",VLOOKUP($B132,INDIRECT("'GRD-"&amp;AG132&amp;"'!$B:$R"),16,FALSE)))</f>
        <v/>
      </c>
      <c r="AG132" s="132">
        <f t="array" ref="AG132">IF(AE132="","",IFERROR(OFFSET($BZ$11,0,MATCH($AE132,$CA132:$FV132,0),),""))</f>
        <v/>
      </c>
      <c r="AH132" s="121">
        <f t="array" ref="AH132">IF(AE132="","",INDIRECT("'GRD-"&amp;AG132&amp;"'!$L$7"))</f>
        <v/>
      </c>
      <c r="AI132" s="83">
        <f t="array" ref="AI132">IFERROR(OFFSET($BZ$11,ROW($B132)-11,MATCH(AI$10,$CA132:$FV132,0),),"")</f>
        <v/>
      </c>
      <c r="AJ132" s="83">
        <f>IF(AI132="","",IF(VLOOKUP($B132,INDIRECT("'GRD-"&amp;AK132&amp;"'!$B:$R"),16,FALSE)="","",VLOOKUP($B132,INDIRECT("'GRD-"&amp;AK132&amp;"'!$B:$R"),16,FALSE)))</f>
        <v/>
      </c>
      <c r="AK132" s="128">
        <f t="array" ref="AK132">IF(AI132="","",IFERROR(OFFSET($BZ$11,0,MATCH($AI132,$CA132:$FV132,0),),""))</f>
        <v/>
      </c>
      <c r="AL132" s="133">
        <f t="array" ref="AL132">IF(AI132="","",INDIRECT("'GRD-"&amp;AK132&amp;"'!$L$7"))</f>
        <v/>
      </c>
      <c r="AM132" s="84">
        <f t="array" ref="AM132">IFERROR(OFFSET($BZ$11,ROW($B132)-11,MATCH(AM$10,$CA132:$FV132,0),),"")</f>
        <v/>
      </c>
      <c r="AN132" s="84">
        <f>IF(AM132="","",IF(VLOOKUP($B132,INDIRECT("'GRD-"&amp;AO132&amp;"'!$B:$R"),16,FALSE)="","",VLOOKUP($B132,INDIRECT("'GRD-"&amp;AO132&amp;"'!$B:$R"),16,FALSE)))</f>
        <v/>
      </c>
      <c r="AO132" s="129">
        <f t="array" ref="AO132">IF(AM132="","",IFERROR(OFFSET($BZ$11,0,MATCH($AM132,$CA132:$FV132,0),),""))</f>
        <v/>
      </c>
      <c r="AP132" s="134">
        <f t="array" ref="AP132">IF(AM132="","",INDIRECT("'GRD-"&amp;AO132&amp;"'!$L$7"))</f>
        <v/>
      </c>
      <c r="AQ132" s="85">
        <f t="array" ref="AQ132">IFERROR(OFFSET($BZ$11,ROW($B132)-11,MATCH(AQ$10,$CA132:$FV132,0),),"")</f>
        <v/>
      </c>
      <c r="AR132" s="85">
        <f>IF(AQ132="","",IF(VLOOKUP($B132,INDIRECT("'GRD-"&amp;AS132&amp;"'!$B:$R"),16,FALSE)="","",VLOOKUP($B132,INDIRECT("'GRD-"&amp;AS132&amp;"'!$B:$R"),16,FALSE)))</f>
        <v/>
      </c>
      <c r="AS132" s="130">
        <f t="array" ref="AS132">IF(AQ132="","",IFERROR(OFFSET($BZ$11,0,MATCH($AQ132,$CA132:$FV132,0),),""))</f>
        <v/>
      </c>
      <c r="AT132" s="131">
        <f t="array" ref="AT132">IF(AQ132="","",INDIRECT("'GRD-"&amp;AS132&amp;"'!$L$7"))</f>
        <v/>
      </c>
      <c r="AU132" s="76">
        <f t="array" ref="AU132">IFERROR(OFFSET($BZ$11,ROW($B132)-11,MATCH(AU$10,$CA132:$FV132,0),),"")</f>
        <v/>
      </c>
      <c r="AV132" s="76">
        <f>IF(AU132="","",IF(VLOOKUP($B132,INDIRECT("'GRD-"&amp;AW132&amp;"'!$B:$R"),16,FALSE)="","",VLOOKUP($B132,INDIRECT("'GRD-"&amp;AW132&amp;"'!$B:$R"),16,FALSE)))</f>
        <v/>
      </c>
      <c r="AW132" s="132">
        <f t="array" ref="AW132">IF(AU132="","",IFERROR(OFFSET($BZ$11,0,MATCH($AU132,$CA132:$FV132,0),),""))</f>
        <v/>
      </c>
      <c r="AX132" s="121">
        <f t="array" ref="AX132">IF(AU132="","",INDIRECT("'GRD-"&amp;AW132&amp;"'!$L$7"))</f>
        <v/>
      </c>
      <c r="AY132" s="83">
        <f t="array" ref="AY132">IFERROR(OFFSET($BZ$11,ROW($B132)-11,MATCH(AY$10,$CA132:$FV132,0),),"")</f>
        <v/>
      </c>
      <c r="AZ132" s="83">
        <f>IF(AY132="","",IF(VLOOKUP($B132,INDIRECT("'GRD-"&amp;BA132&amp;"'!$B:$R"),16,FALSE)="","",VLOOKUP($B132,INDIRECT("'GRD-"&amp;BA132&amp;"'!$B:$R"),16,FALSE)))</f>
        <v/>
      </c>
      <c r="BA132" s="128">
        <f t="array" ref="BA132">IF(AY132="","",IFERROR(OFFSET($BZ$11,0,MATCH($AY132,$CA132:$FV132,0),),""))</f>
        <v/>
      </c>
      <c r="BB132" s="133">
        <f t="array" ref="BB132">IF(AY132="","",INDIRECT("'GRD-"&amp;BA132&amp;"'!$L$7"))</f>
        <v/>
      </c>
      <c r="BC132" s="84">
        <f t="array" ref="BC132">IFERROR(OFFSET($BZ$11,ROW($B132)-11,MATCH(BC$10,$CA132:$FV132,0),),"")</f>
        <v/>
      </c>
      <c r="BD132" s="84">
        <f>IF(BC132="","",IF(VLOOKUP($B132,INDIRECT("'GRD-"&amp;BE132&amp;"'!$B:$R"),16,FALSE)="","",VLOOKUP($B132,INDIRECT("'GRD-"&amp;BE132&amp;"'!$B:$R"),16,FALSE)))</f>
        <v/>
      </c>
      <c r="BE132" s="129">
        <f t="array" ref="BE132">IF(BC132="","",IFERROR(OFFSET($BZ$11,0,MATCH($BC132,$CA132:$FV132,0),),""))</f>
        <v/>
      </c>
      <c r="BF132" s="134">
        <f t="array" ref="BF132">IF(BC132="","",INDIRECT("'GRD-"&amp;BE132&amp;"'!$L$7"))</f>
        <v/>
      </c>
      <c r="CA132" s="96">
        <f>IFERROR(VLOOKUP($B132,INDIRECT("'GRD-"&amp;CA$11&amp;"'!B:R"),15,FALSE),"")</f>
        <v/>
      </c>
      <c r="CB132" s="96">
        <f>IFERROR(VLOOKUP($B132,INDIRECT("'GRD-"&amp;CB$11&amp;"'!B:R"),15,FALSE),"")</f>
        <v/>
      </c>
      <c r="CC132" s="96">
        <f>IFERROR(VLOOKUP($B132,INDIRECT("'GRD-"&amp;CC$11&amp;"'!B:R"),15,FALSE),"")</f>
        <v/>
      </c>
      <c r="CD132" s="96">
        <f>IFERROR(VLOOKUP($B132,INDIRECT("'GRD-"&amp;CD$11&amp;"'!B:R"),15,FALSE),"")</f>
        <v/>
      </c>
      <c r="CE132" s="96">
        <f>IFERROR(VLOOKUP($B132,INDIRECT("'GRD-"&amp;CE$11&amp;"'!B:R"),15,FALSE),"")</f>
        <v/>
      </c>
      <c r="CF132" s="96">
        <f>IFERROR(VLOOKUP($B132,INDIRECT("'GRD-"&amp;CF$11&amp;"'!B:R"),15,FALSE),"")</f>
        <v/>
      </c>
      <c r="CG132" s="96">
        <f>IFERROR(VLOOKUP($B132,INDIRECT("'GRD-"&amp;CG$11&amp;"'!B:R"),15,FALSE),"")</f>
        <v/>
      </c>
      <c r="CH132" s="96">
        <f>IFERROR(VLOOKUP($B132,INDIRECT("'GRD-"&amp;CH$11&amp;"'!B:R"),15,FALSE),"")</f>
        <v/>
      </c>
      <c r="CI132" s="96">
        <f>IFERROR(VLOOKUP($B132,INDIRECT("'GRD-"&amp;CI$11&amp;"'!B:R"),15,FALSE),"")</f>
        <v/>
      </c>
      <c r="CJ132" s="96">
        <f>IFERROR(VLOOKUP($B132,INDIRECT("'GRD-"&amp;CJ$11&amp;"'!B:R"),15,FALSE),"")</f>
        <v/>
      </c>
      <c r="CK132" s="96">
        <f>IFERROR(VLOOKUP($B132,INDIRECT("'GRD-"&amp;CK$11&amp;"'!B:R"),15,FALSE),"")</f>
        <v/>
      </c>
      <c r="CL132" s="96">
        <f>IFERROR(VLOOKUP($B132,INDIRECT("'GRD-"&amp;CL$11&amp;"'!B:R"),15,FALSE),"")</f>
        <v/>
      </c>
      <c r="CM132" s="96">
        <f>IFERROR(VLOOKUP($B132,INDIRECT("'GRD-"&amp;CM$11&amp;"'!B:R"),15,FALSE),"")</f>
        <v/>
      </c>
      <c r="CN132" s="96">
        <f>IFERROR(VLOOKUP($B132,INDIRECT("'GRD-"&amp;CN$11&amp;"'!B:R"),15,FALSE),"")</f>
        <v/>
      </c>
      <c r="CO132" s="96">
        <f>IFERROR(VLOOKUP($B132,INDIRECT("'GRD-"&amp;CO$11&amp;"'!B:R"),15,FALSE),"")</f>
        <v/>
      </c>
      <c r="CP132" s="96">
        <f>IFERROR(VLOOKUP($B132,INDIRECT("'GRD-"&amp;CP$11&amp;"'!B:R"),15,FALSE),"")</f>
        <v/>
      </c>
      <c r="CQ132" s="96">
        <f>IFERROR(VLOOKUP($B132,INDIRECT("'GRD-"&amp;CQ$11&amp;"'!B:R"),15,FALSE),"")</f>
        <v/>
      </c>
      <c r="CR132" s="96">
        <f>IFERROR(VLOOKUP($B132,INDIRECT("'GRD-"&amp;CR$11&amp;"'!B:R"),15,FALSE),"")</f>
        <v/>
      </c>
      <c r="CS132" s="96">
        <f>IFERROR(VLOOKUP($B132,INDIRECT("'GRD-"&amp;CS$11&amp;"'!B:R"),15,FALSE),"")</f>
        <v/>
      </c>
      <c r="CT132" s="96">
        <f>IFERROR(VLOOKUP($B132,INDIRECT("'GRD-"&amp;CT$11&amp;"'!B:R"),15,FALSE),"")</f>
        <v/>
      </c>
      <c r="CU132" s="96">
        <f>IFERROR(VLOOKUP($B132,INDIRECT("'GRD-"&amp;CU$11&amp;"'!B:R"),15,FALSE),"")</f>
        <v/>
      </c>
      <c r="CV132" s="96">
        <f>IFERROR(VLOOKUP($B132,INDIRECT("'GRD-"&amp;CV$11&amp;"'!B:R"),15,FALSE),"")</f>
        <v/>
      </c>
      <c r="CW132" s="96">
        <f>IFERROR(VLOOKUP($B132,INDIRECT("'GRD-"&amp;CW$11&amp;"'!B:R"),15,FALSE),"")</f>
        <v/>
      </c>
      <c r="CX132" s="96">
        <f>IFERROR(VLOOKUP($B132,INDIRECT("'GRD-"&amp;CX$11&amp;"'!B:R"),15,FALSE),"")</f>
        <v/>
      </c>
      <c r="CY132" s="96">
        <f>IFERROR(VLOOKUP($B132,INDIRECT("'GRD-"&amp;CY$11&amp;"'!B:R"),15,FALSE),"")</f>
        <v/>
      </c>
      <c r="CZ132" s="96">
        <f>IFERROR(VLOOKUP($B132,INDIRECT("'GRD-"&amp;CZ$11&amp;"'!B:R"),15,FALSE),"")</f>
        <v/>
      </c>
      <c r="DA132" s="96">
        <f>IFERROR(VLOOKUP($B132,INDIRECT("'GRD-"&amp;DA$11&amp;"'!B:R"),15,FALSE),"")</f>
        <v/>
      </c>
      <c r="DB132" s="96">
        <f>IFERROR(VLOOKUP($B132,INDIRECT("'GRD-"&amp;DB$11&amp;"'!B:R"),15,FALSE),"")</f>
        <v/>
      </c>
      <c r="DC132" s="96">
        <f>IFERROR(VLOOKUP($B132,INDIRECT("'GRD-"&amp;DC$11&amp;"'!B:R"),15,FALSE),"")</f>
        <v/>
      </c>
      <c r="DD132" s="96">
        <f>IFERROR(VLOOKUP($B132,INDIRECT("'GRD-"&amp;DD$11&amp;"'!B:R"),15,FALSE),"")</f>
        <v/>
      </c>
      <c r="DE132" s="96">
        <f>IFERROR(VLOOKUP($B132,INDIRECT("'GRD-"&amp;DE$11&amp;"'!B:R"),15,FALSE),"")</f>
        <v/>
      </c>
      <c r="DF132" s="96">
        <f>IFERROR(VLOOKUP($B132,INDIRECT("'GRD-"&amp;DF$11&amp;"'!B:R"),15,FALSE),"")</f>
        <v/>
      </c>
      <c r="DG132" s="96">
        <f>IFERROR(VLOOKUP($B132,INDIRECT("'GRD-"&amp;DG$11&amp;"'!B:R"),15,FALSE),"")</f>
        <v/>
      </c>
      <c r="DH132" s="96">
        <f>IFERROR(VLOOKUP($B132,INDIRECT("'GRD-"&amp;DH$11&amp;"'!B:R"),15,FALSE),"")</f>
        <v/>
      </c>
      <c r="DI132" s="96">
        <f>IFERROR(VLOOKUP($B132,INDIRECT("'GRD-"&amp;DI$11&amp;"'!B:R"),15,FALSE),"")</f>
        <v/>
      </c>
      <c r="DJ132" s="96">
        <f>IFERROR(VLOOKUP($B132,INDIRECT("'GRD-"&amp;DJ$11&amp;"'!B:R"),15,FALSE),"")</f>
        <v/>
      </c>
      <c r="DK132" s="96">
        <f>IFERROR(VLOOKUP($B132,INDIRECT("'GRD-"&amp;DK$11&amp;"'!B:R"),15,FALSE),"")</f>
        <v/>
      </c>
      <c r="DL132" s="96">
        <f>IFERROR(VLOOKUP($B132,INDIRECT("'GRD-"&amp;DL$11&amp;"'!B:R"),15,FALSE),"")</f>
        <v/>
      </c>
      <c r="DM132" s="96">
        <f>IFERROR(VLOOKUP($B132,INDIRECT("'GRD-"&amp;DM$11&amp;"'!B:R"),15,FALSE),"")</f>
        <v/>
      </c>
      <c r="DN132" s="96">
        <f>IFERROR(VLOOKUP($B132,INDIRECT("'GRD-"&amp;DN$11&amp;"'!B:R"),15,FALSE),"")</f>
        <v/>
      </c>
      <c r="DO132" s="96">
        <f>IFERROR(VLOOKUP($B132,INDIRECT("'GRD-"&amp;DO$11&amp;"'!B:R"),15,FALSE),"")</f>
        <v/>
      </c>
      <c r="DP132" s="96">
        <f>IFERROR(VLOOKUP($B132,INDIRECT("'GRD-"&amp;DP$11&amp;"'!B:R"),15,FALSE),"")</f>
        <v/>
      </c>
      <c r="DQ132" s="96">
        <f>IFERROR(VLOOKUP($B132,INDIRECT("'GRD-"&amp;DQ$11&amp;"'!B:R"),15,FALSE),"")</f>
        <v/>
      </c>
      <c r="DR132" s="96">
        <f>IFERROR(VLOOKUP($B132,INDIRECT("'GRD-"&amp;DR$11&amp;"'!B:R"),15,FALSE),"")</f>
        <v/>
      </c>
      <c r="DS132" s="96">
        <f>IFERROR(VLOOKUP($B132,INDIRECT("'GRD-"&amp;DS$11&amp;"'!B:R"),15,FALSE),"")</f>
        <v/>
      </c>
      <c r="DT132" s="96">
        <f>IFERROR(VLOOKUP($B132,INDIRECT("'GRD-"&amp;DT$11&amp;"'!B:R"),15,FALSE),"")</f>
        <v/>
      </c>
      <c r="DU132" s="96">
        <f>IFERROR(VLOOKUP($B132,INDIRECT("'GRD-"&amp;DU$11&amp;"'!B:R"),15,FALSE),"")</f>
        <v/>
      </c>
      <c r="DV132" s="96">
        <f>IFERROR(VLOOKUP($B132,INDIRECT("'GRD-"&amp;DV$11&amp;"'!B:R"),15,FALSE),"")</f>
        <v/>
      </c>
      <c r="DW132" s="96">
        <f>IFERROR(VLOOKUP($B132,INDIRECT("'GRD-"&amp;DW$11&amp;"'!B:R"),15,FALSE),"")</f>
        <v/>
      </c>
      <c r="DX132" s="96">
        <f>IFERROR(VLOOKUP($B132,INDIRECT("'GRD-"&amp;DX$11&amp;"'!B:R"),15,FALSE),"")</f>
        <v/>
      </c>
      <c r="DY132" s="96">
        <f>IFERROR(VLOOKUP($B132,INDIRECT("'GRD-"&amp;DY$11&amp;"'!B:R"),15,FALSE),"")</f>
        <v/>
      </c>
      <c r="DZ132" s="96">
        <f>IFERROR(VLOOKUP($B132,INDIRECT("'GRD-"&amp;DZ$11&amp;"'!B:R"),15,FALSE),"")</f>
        <v/>
      </c>
      <c r="EA132" s="96">
        <f>IFERROR(VLOOKUP($B132,INDIRECT("'GRD-"&amp;EA$11&amp;"'!B:R"),15,FALSE),"")</f>
        <v/>
      </c>
      <c r="EB132" s="96">
        <f>IFERROR(VLOOKUP($B132,INDIRECT("'GRD-"&amp;EB$11&amp;"'!B:R"),15,FALSE),"")</f>
        <v/>
      </c>
      <c r="EC132" s="96">
        <f>IFERROR(VLOOKUP($B132,INDIRECT("'GRD-"&amp;EC$11&amp;"'!B:R"),15,FALSE),"")</f>
        <v/>
      </c>
      <c r="ED132" s="96">
        <f>IFERROR(VLOOKUP($B132,INDIRECT("'GRD-"&amp;ED$11&amp;"'!B:R"),15,FALSE),"")</f>
        <v/>
      </c>
      <c r="EE132" s="96">
        <f>IFERROR(VLOOKUP($B132,INDIRECT("'GRD-"&amp;EE$11&amp;"'!B:R"),15,FALSE),"")</f>
        <v/>
      </c>
      <c r="EF132" s="96">
        <f>IFERROR(VLOOKUP($B132,INDIRECT("'GRD-"&amp;EF$11&amp;"'!B:R"),15,FALSE),"")</f>
        <v/>
      </c>
      <c r="EG132" s="96">
        <f>IFERROR(VLOOKUP($B132,INDIRECT("'GRD-"&amp;EG$11&amp;"'!B:R"),15,FALSE),"")</f>
        <v/>
      </c>
      <c r="EH132" s="96">
        <f>IFERROR(VLOOKUP($B132,INDIRECT("'GRD-"&amp;EH$11&amp;"'!B:R"),15,FALSE),"")</f>
        <v/>
      </c>
      <c r="EI132" s="96">
        <f>IFERROR(VLOOKUP($B132,INDIRECT("'GRD-"&amp;EI$11&amp;"'!B:R"),15,FALSE),"")</f>
        <v/>
      </c>
      <c r="EJ132" s="96">
        <f>IFERROR(VLOOKUP($B132,INDIRECT("'GRD-"&amp;EJ$11&amp;"'!B:R"),15,FALSE),"")</f>
        <v/>
      </c>
      <c r="EK132" s="96">
        <f>IFERROR(VLOOKUP($B132,INDIRECT("'GRD-"&amp;EK$11&amp;"'!B:R"),15,FALSE),"")</f>
        <v/>
      </c>
      <c r="EL132" s="96">
        <f>IFERROR(VLOOKUP($B132,INDIRECT("'GRD-"&amp;EL$11&amp;"'!B:R"),15,FALSE),"")</f>
        <v/>
      </c>
      <c r="EM132" s="96">
        <f>IFERROR(VLOOKUP($B132,INDIRECT("'GRD-"&amp;EM$11&amp;"'!B:R"),15,FALSE),"")</f>
        <v/>
      </c>
      <c r="EN132" s="96">
        <f>IFERROR(VLOOKUP($B132,INDIRECT("'GRD-"&amp;EN$11&amp;"'!B:R"),15,FALSE),"")</f>
        <v/>
      </c>
      <c r="EO132" s="96">
        <f>IFERROR(VLOOKUP($B132,INDIRECT("'GRD-"&amp;EO$11&amp;"'!B:R"),15,FALSE),"")</f>
        <v/>
      </c>
      <c r="EP132" s="96">
        <f>IFERROR(VLOOKUP($B132,INDIRECT("'GRD-"&amp;EP$11&amp;"'!B:R"),15,FALSE),"")</f>
        <v/>
      </c>
      <c r="EQ132" s="96">
        <f>IFERROR(VLOOKUP($B132,INDIRECT("'GRD-"&amp;EQ$11&amp;"'!B:R"),15,FALSE),"")</f>
        <v/>
      </c>
      <c r="ER132" s="96">
        <f>IFERROR(VLOOKUP($B132,INDIRECT("'GRD-"&amp;ER$11&amp;"'!B:R"),15,FALSE),"")</f>
        <v/>
      </c>
      <c r="ES132" s="96">
        <f>IFERROR(VLOOKUP($B132,INDIRECT("'GRD-"&amp;ES$11&amp;"'!B:R"),15,FALSE),"")</f>
        <v/>
      </c>
      <c r="ET132" s="96">
        <f>IFERROR(VLOOKUP($B132,INDIRECT("'GRD-"&amp;ET$11&amp;"'!B:R"),15,FALSE),"")</f>
        <v/>
      </c>
      <c r="EU132" s="96">
        <f>IFERROR(VLOOKUP($B132,INDIRECT("'GRD-"&amp;EU$11&amp;"'!B:R"),15,FALSE),"")</f>
        <v/>
      </c>
      <c r="EV132" s="96">
        <f>IFERROR(VLOOKUP($B132,INDIRECT("'GRD-"&amp;EV$11&amp;"'!B:R"),15,FALSE),"")</f>
        <v/>
      </c>
      <c r="EW132" s="96">
        <f>IFERROR(VLOOKUP($B132,INDIRECT("'GRD-"&amp;EW$11&amp;"'!B:R"),15,FALSE),"")</f>
        <v/>
      </c>
      <c r="EX132" s="96">
        <f>IFERROR(VLOOKUP($B132,INDIRECT("'GRD-"&amp;EX$11&amp;"'!B:R"),15,FALSE),"")</f>
        <v/>
      </c>
      <c r="EY132" s="96">
        <f>IFERROR(VLOOKUP($B132,INDIRECT("'GRD-"&amp;EY$11&amp;"'!B:R"),15,FALSE),"")</f>
        <v/>
      </c>
      <c r="EZ132" s="96">
        <f>IFERROR(VLOOKUP($B132,INDIRECT("'GRD-"&amp;EZ$11&amp;"'!B:R"),15,FALSE),"")</f>
        <v/>
      </c>
      <c r="FA132" s="96">
        <f>IFERROR(VLOOKUP($B132,INDIRECT("'GRD-"&amp;FA$11&amp;"'!B:R"),15,FALSE),"")</f>
        <v/>
      </c>
      <c r="FB132" s="96">
        <f>IFERROR(VLOOKUP($B132,INDIRECT("'GRD-"&amp;FB$11&amp;"'!B:R"),15,FALSE),"")</f>
        <v/>
      </c>
      <c r="FC132" s="96">
        <f>IFERROR(VLOOKUP($B132,INDIRECT("'GRD-"&amp;FC$11&amp;"'!B:R"),15,FALSE),"")</f>
        <v/>
      </c>
      <c r="FD132" s="96">
        <f>IFERROR(VLOOKUP($B132,INDIRECT("'GRD-"&amp;FD$11&amp;"'!B:R"),15,FALSE),"")</f>
        <v/>
      </c>
      <c r="FE132" s="96">
        <f>IFERROR(VLOOKUP($B132,INDIRECT("'GRD-"&amp;FE$11&amp;"'!B:R"),15,FALSE),"")</f>
        <v/>
      </c>
      <c r="FF132" s="96">
        <f>IFERROR(VLOOKUP($B132,INDIRECT("'GRD-"&amp;FF$11&amp;"'!B:R"),15,FALSE),"")</f>
        <v/>
      </c>
      <c r="FG132" s="96">
        <f>IFERROR(VLOOKUP($B132,INDIRECT("'GRD-"&amp;FG$11&amp;"'!B:R"),15,FALSE),"")</f>
        <v/>
      </c>
      <c r="FH132" s="96">
        <f>IFERROR(VLOOKUP($B132,INDIRECT("'GRD-"&amp;FH$11&amp;"'!B:R"),15,FALSE),"")</f>
        <v/>
      </c>
      <c r="FI132" s="96">
        <f>IFERROR(VLOOKUP($B132,INDIRECT("'GRD-"&amp;FI$11&amp;"'!B:R"),15,FALSE),"")</f>
        <v/>
      </c>
      <c r="FJ132" s="96">
        <f>IFERROR(VLOOKUP($B132,INDIRECT("'GRD-"&amp;FJ$11&amp;"'!B:R"),15,FALSE),"")</f>
        <v/>
      </c>
      <c r="FK132" s="96">
        <f>IFERROR(VLOOKUP($B132,INDIRECT("'GRD-"&amp;FK$11&amp;"'!B:R"),15,FALSE),"")</f>
        <v/>
      </c>
      <c r="FL132" s="96">
        <f>IFERROR(VLOOKUP($B132,INDIRECT("'GRD-"&amp;FL$11&amp;"'!B:R"),15,FALSE),"")</f>
        <v/>
      </c>
      <c r="FM132" s="96">
        <f>IFERROR(VLOOKUP($B132,INDIRECT("'GRD-"&amp;FM$11&amp;"'!B:R"),15,FALSE),"")</f>
        <v/>
      </c>
      <c r="FN132" s="96">
        <f>IFERROR(VLOOKUP($B132,INDIRECT("'GRD-"&amp;FN$11&amp;"'!B:R"),15,FALSE),"")</f>
        <v/>
      </c>
      <c r="FO132" s="96">
        <f>IFERROR(VLOOKUP($B132,INDIRECT("'GRD-"&amp;FO$11&amp;"'!B:R"),15,FALSE),"")</f>
        <v/>
      </c>
      <c r="FP132" s="96">
        <f>IFERROR(VLOOKUP($B132,INDIRECT("'GRD-"&amp;FP$11&amp;"'!B:R"),15,FALSE),"")</f>
        <v/>
      </c>
      <c r="FQ132" s="96">
        <f>IFERROR(VLOOKUP($B132,INDIRECT("'GRD-"&amp;FQ$11&amp;"'!B:R"),15,FALSE),"")</f>
        <v/>
      </c>
      <c r="FR132" s="96">
        <f>IFERROR(VLOOKUP($B132,INDIRECT("'GRD-"&amp;FR$11&amp;"'!B:R"),15,FALSE),"")</f>
        <v/>
      </c>
      <c r="FS132" s="96">
        <f>IFERROR(VLOOKUP($B132,INDIRECT("'GRD-"&amp;FS$11&amp;"'!B:R"),15,FALSE),"")</f>
        <v/>
      </c>
      <c r="FT132" s="96">
        <f>IFERROR(VLOOKUP($B132,INDIRECT("'GRD-"&amp;FT$11&amp;"'!B:R"),15,FALSE),"")</f>
        <v/>
      </c>
      <c r="FU132" s="96">
        <f>IFERROR(VLOOKUP($B132,INDIRECT("'GRD-"&amp;FU$11&amp;"'!B:R"),15,FALSE),"")</f>
        <v/>
      </c>
      <c r="FV132" s="96">
        <f>IFERROR(VLOOKUP($B132,INDIRECT("'GRD-"&amp;FV$11&amp;"'!B:R"),15,FALSE),"")</f>
        <v/>
      </c>
    </row>
    <row r="133">
      <c r="B133" s="85" t="n"/>
      <c r="C133" s="93" t="n"/>
      <c r="D133" s="73">
        <f>IF(K133="","",MAX($CA133:$FV133))</f>
        <v/>
      </c>
      <c r="E133" s="74">
        <f t="array" ref="E133">IF($K133="","",OFFSET($A$1,ROW($B133)-1,11+$D133*4,))</f>
        <v/>
      </c>
      <c r="F133" s="74">
        <f t="array" ref="F133">IF($K133="","",OFFSET($A$1,ROW($B133)-1,12+$D133*4,))</f>
        <v/>
      </c>
      <c r="G133" s="118">
        <f t="array" ref="G133">IF($K133="","",OFFSET($A$1,ROW($B133)-1,13+$D133*4,))</f>
        <v/>
      </c>
      <c r="H133" s="81" t="n"/>
      <c r="I133" s="82" t="n"/>
      <c r="J133" s="75">
        <f>IF(I133="A4",H133/8,IF(I133="A3",H133/4,IF(I133="A2",H133/2,IF(I133="A1",H133/1,IF(I133="A0",H133*2,"")))))</f>
        <v/>
      </c>
      <c r="K133" s="68">
        <f t="array" ref="K133">IFERROR(OFFSET($BZ$11,ROW($B133)-11,MATCH(K$10,$CA133:$FV133,0),),"")</f>
        <v/>
      </c>
      <c r="L133" s="85">
        <f>IF(K133="","",IF(VLOOKUP($B133,INDIRECT("'GRD-"&amp;M133&amp;"'!$B:$R"),16,FALSE)="","",VLOOKUP($B133,INDIRECT("'GRD-"&amp;M133&amp;"'!$B:$R"),16,FALSE)))</f>
        <v/>
      </c>
      <c r="M133" s="130">
        <f t="array" ref="M133">IF(K133="","",IFERROR(OFFSET($BZ$11,0,MATCH($K133,$CA133:$FV133,0),),""))</f>
        <v/>
      </c>
      <c r="N133" s="119">
        <f t="array" ref="N133">IF(K133="","",INDIRECT("'GRD-"&amp;M133&amp;"'!$L$7"))</f>
        <v/>
      </c>
      <c r="O133" s="76">
        <f t="array" ref="O133">IFERROR(OFFSET($BZ$11,ROW($B133)-11,MATCH(O$10,$CA133:$FV133,0),),"")</f>
        <v/>
      </c>
      <c r="P133" s="76">
        <f>IF(O133="","",IF(VLOOKUP($B133,INDIRECT("'GRD-"&amp;Q133&amp;"'!$B:$R"),16,FALSE)="","",VLOOKUP($B133,INDIRECT("'GRD-"&amp;Q133&amp;"'!$B:$R"),16,FALSE)))</f>
        <v/>
      </c>
      <c r="Q133" s="132">
        <f t="array" ref="Q133">IF(O133="","",IFERROR(OFFSET($BZ$11,0,MATCH($O133,$CA133:$FV133,0),),""))</f>
        <v/>
      </c>
      <c r="R133" s="121">
        <f t="array" ref="R133">IF(O133="","",INDIRECT("'GRD-"&amp;Q133&amp;"'!$L$7"))</f>
        <v/>
      </c>
      <c r="S133" s="83">
        <f t="array" ref="S133">IFERROR(OFFSET($BZ$11,ROW($B133)-11,MATCH(S$10,$CA133:$FV133,0),),"")</f>
        <v/>
      </c>
      <c r="T133" s="83">
        <f>IF(S133="","",IF(VLOOKUP($B133,INDIRECT("'GRD-"&amp;U133&amp;"'!$B:$R"),16,FALSE)="","",VLOOKUP($B133,INDIRECT("'GRD-"&amp;U133&amp;"'!$B:$R"),16,FALSE)))</f>
        <v/>
      </c>
      <c r="U133" s="128">
        <f t="array" ref="U133">IF(S133="","",IFERROR(OFFSET($BZ$11,0,MATCH($S133,$CA133:$FV133,0),),""))</f>
        <v/>
      </c>
      <c r="V133" s="133">
        <f t="array" ref="V133">IF(S133="","",INDIRECT("'GRD-"&amp;U133&amp;"'!$L$7"))</f>
        <v/>
      </c>
      <c r="W133" s="84">
        <f t="array" ref="W133">IFERROR(OFFSET($BZ$11,ROW($B133)-11,MATCH(W$10,$CA133:$FV133,0),),"")</f>
        <v/>
      </c>
      <c r="X133" s="84">
        <f>IF(W133="","",IF(VLOOKUP($B133,INDIRECT("'GRD-"&amp;Y133&amp;"'!$B:$R"),16,FALSE)="","",VLOOKUP($B133,INDIRECT("'GRD-"&amp;Y133&amp;"'!$B:$R"),16,FALSE)))</f>
        <v/>
      </c>
      <c r="Y133" s="129">
        <f t="array" ref="Y133">IF(W133="","",IFERROR(OFFSET($BZ$11,0,MATCH($W133,$CA133:$FV133,0),),""))</f>
        <v/>
      </c>
      <c r="Z133" s="134">
        <f t="array" ref="Z133">IF(W133="","",INDIRECT("'GRD-"&amp;Y133&amp;"'!$L$7"))</f>
        <v/>
      </c>
      <c r="AA133" s="85">
        <f t="array" ref="AA133">IFERROR(OFFSET($BZ$11,ROW($B133)-11,MATCH(AA$10,$CA133:$FV133,0),),"")</f>
        <v/>
      </c>
      <c r="AB133" s="85">
        <f>IF(AA133="","",IF(VLOOKUP($B133,INDIRECT("'GRD-"&amp;AC133&amp;"'!$B:$R"),16,FALSE)="","",VLOOKUP($B133,INDIRECT("'GRD-"&amp;AC133&amp;"'!$B:$R"),16,FALSE)))</f>
        <v/>
      </c>
      <c r="AC133" s="130">
        <f t="array" ref="AC133">IF(AA133="","",IFERROR(OFFSET($BZ$11,0,MATCH($AA133,$CA133:$FV133,0),),""))</f>
        <v/>
      </c>
      <c r="AD133" s="131">
        <f t="array" ref="AD133">IF(AA133="","",INDIRECT("'GRD-"&amp;AC133&amp;"'!$L$7"))</f>
        <v/>
      </c>
      <c r="AE133" s="76">
        <f t="array" ref="AE133">IFERROR(OFFSET($BZ$11,ROW($B133)-11,MATCH(AE$10,$CA133:$FV133,0),),"")</f>
        <v/>
      </c>
      <c r="AF133" s="76">
        <f>IF(AE133="","",IF(VLOOKUP($B133,INDIRECT("'GRD-"&amp;AG133&amp;"'!$B:$R"),16,FALSE)="","",VLOOKUP($B133,INDIRECT("'GRD-"&amp;AG133&amp;"'!$B:$R"),16,FALSE)))</f>
        <v/>
      </c>
      <c r="AG133" s="132">
        <f t="array" ref="AG133">IF(AE133="","",IFERROR(OFFSET($BZ$11,0,MATCH($AE133,$CA133:$FV133,0),),""))</f>
        <v/>
      </c>
      <c r="AH133" s="121">
        <f t="array" ref="AH133">IF(AE133="","",INDIRECT("'GRD-"&amp;AG133&amp;"'!$L$7"))</f>
        <v/>
      </c>
      <c r="AI133" s="83">
        <f t="array" ref="AI133">IFERROR(OFFSET($BZ$11,ROW($B133)-11,MATCH(AI$10,$CA133:$FV133,0),),"")</f>
        <v/>
      </c>
      <c r="AJ133" s="83">
        <f>IF(AI133="","",IF(VLOOKUP($B133,INDIRECT("'GRD-"&amp;AK133&amp;"'!$B:$R"),16,FALSE)="","",VLOOKUP($B133,INDIRECT("'GRD-"&amp;AK133&amp;"'!$B:$R"),16,FALSE)))</f>
        <v/>
      </c>
      <c r="AK133" s="128">
        <f t="array" ref="AK133">IF(AI133="","",IFERROR(OFFSET($BZ$11,0,MATCH($AI133,$CA133:$FV133,0),),""))</f>
        <v/>
      </c>
      <c r="AL133" s="133">
        <f t="array" ref="AL133">IF(AI133="","",INDIRECT("'GRD-"&amp;AK133&amp;"'!$L$7"))</f>
        <v/>
      </c>
      <c r="AM133" s="84">
        <f t="array" ref="AM133">IFERROR(OFFSET($BZ$11,ROW($B133)-11,MATCH(AM$10,$CA133:$FV133,0),),"")</f>
        <v/>
      </c>
      <c r="AN133" s="84">
        <f>IF(AM133="","",IF(VLOOKUP($B133,INDIRECT("'GRD-"&amp;AO133&amp;"'!$B:$R"),16,FALSE)="","",VLOOKUP($B133,INDIRECT("'GRD-"&amp;AO133&amp;"'!$B:$R"),16,FALSE)))</f>
        <v/>
      </c>
      <c r="AO133" s="129">
        <f t="array" ref="AO133">IF(AM133="","",IFERROR(OFFSET($BZ$11,0,MATCH($AM133,$CA133:$FV133,0),),""))</f>
        <v/>
      </c>
      <c r="AP133" s="134">
        <f t="array" ref="AP133">IF(AM133="","",INDIRECT("'GRD-"&amp;AO133&amp;"'!$L$7"))</f>
        <v/>
      </c>
      <c r="AQ133" s="85">
        <f t="array" ref="AQ133">IFERROR(OFFSET($BZ$11,ROW($B133)-11,MATCH(AQ$10,$CA133:$FV133,0),),"")</f>
        <v/>
      </c>
      <c r="AR133" s="85">
        <f>IF(AQ133="","",IF(VLOOKUP($B133,INDIRECT("'GRD-"&amp;AS133&amp;"'!$B:$R"),16,FALSE)="","",VLOOKUP($B133,INDIRECT("'GRD-"&amp;AS133&amp;"'!$B:$R"),16,FALSE)))</f>
        <v/>
      </c>
      <c r="AS133" s="130">
        <f t="array" ref="AS133">IF(AQ133="","",IFERROR(OFFSET($BZ$11,0,MATCH($AQ133,$CA133:$FV133,0),),""))</f>
        <v/>
      </c>
      <c r="AT133" s="131">
        <f t="array" ref="AT133">IF(AQ133="","",INDIRECT("'GRD-"&amp;AS133&amp;"'!$L$7"))</f>
        <v/>
      </c>
      <c r="AU133" s="76">
        <f t="array" ref="AU133">IFERROR(OFFSET($BZ$11,ROW($B133)-11,MATCH(AU$10,$CA133:$FV133,0),),"")</f>
        <v/>
      </c>
      <c r="AV133" s="76">
        <f>IF(AU133="","",IF(VLOOKUP($B133,INDIRECT("'GRD-"&amp;AW133&amp;"'!$B:$R"),16,FALSE)="","",VLOOKUP($B133,INDIRECT("'GRD-"&amp;AW133&amp;"'!$B:$R"),16,FALSE)))</f>
        <v/>
      </c>
      <c r="AW133" s="132">
        <f t="array" ref="AW133">IF(AU133="","",IFERROR(OFFSET($BZ$11,0,MATCH($AU133,$CA133:$FV133,0),),""))</f>
        <v/>
      </c>
      <c r="AX133" s="121">
        <f t="array" ref="AX133">IF(AU133="","",INDIRECT("'GRD-"&amp;AW133&amp;"'!$L$7"))</f>
        <v/>
      </c>
      <c r="AY133" s="83">
        <f t="array" ref="AY133">IFERROR(OFFSET($BZ$11,ROW($B133)-11,MATCH(AY$10,$CA133:$FV133,0),),"")</f>
        <v/>
      </c>
      <c r="AZ133" s="83">
        <f>IF(AY133="","",IF(VLOOKUP($B133,INDIRECT("'GRD-"&amp;BA133&amp;"'!$B:$R"),16,FALSE)="","",VLOOKUP($B133,INDIRECT("'GRD-"&amp;BA133&amp;"'!$B:$R"),16,FALSE)))</f>
        <v/>
      </c>
      <c r="BA133" s="128">
        <f t="array" ref="BA133">IF(AY133="","",IFERROR(OFFSET($BZ$11,0,MATCH($AY133,$CA133:$FV133,0),),""))</f>
        <v/>
      </c>
      <c r="BB133" s="133">
        <f t="array" ref="BB133">IF(AY133="","",INDIRECT("'GRD-"&amp;BA133&amp;"'!$L$7"))</f>
        <v/>
      </c>
      <c r="BC133" s="84">
        <f t="array" ref="BC133">IFERROR(OFFSET($BZ$11,ROW($B133)-11,MATCH(BC$10,$CA133:$FV133,0),),"")</f>
        <v/>
      </c>
      <c r="BD133" s="84">
        <f>IF(BC133="","",IF(VLOOKUP($B133,INDIRECT("'GRD-"&amp;BE133&amp;"'!$B:$R"),16,FALSE)="","",VLOOKUP($B133,INDIRECT("'GRD-"&amp;BE133&amp;"'!$B:$R"),16,FALSE)))</f>
        <v/>
      </c>
      <c r="BE133" s="129">
        <f t="array" ref="BE133">IF(BC133="","",IFERROR(OFFSET($BZ$11,0,MATCH($BC133,$CA133:$FV133,0),),""))</f>
        <v/>
      </c>
      <c r="BF133" s="134">
        <f t="array" ref="BF133">IF(BC133="","",INDIRECT("'GRD-"&amp;BE133&amp;"'!$L$7"))</f>
        <v/>
      </c>
      <c r="CA133" s="96">
        <f>IFERROR(VLOOKUP($B133,INDIRECT("'GRD-"&amp;CA$11&amp;"'!B:R"),15,FALSE),"")</f>
        <v/>
      </c>
      <c r="CB133" s="96">
        <f>IFERROR(VLOOKUP($B133,INDIRECT("'GRD-"&amp;CB$11&amp;"'!B:R"),15,FALSE),"")</f>
        <v/>
      </c>
      <c r="CC133" s="96">
        <f>IFERROR(VLOOKUP($B133,INDIRECT("'GRD-"&amp;CC$11&amp;"'!B:R"),15,FALSE),"")</f>
        <v/>
      </c>
      <c r="CD133" s="96">
        <f>IFERROR(VLOOKUP($B133,INDIRECT("'GRD-"&amp;CD$11&amp;"'!B:R"),15,FALSE),"")</f>
        <v/>
      </c>
      <c r="CE133" s="96">
        <f>IFERROR(VLOOKUP($B133,INDIRECT("'GRD-"&amp;CE$11&amp;"'!B:R"),15,FALSE),"")</f>
        <v/>
      </c>
      <c r="CF133" s="96">
        <f>IFERROR(VLOOKUP($B133,INDIRECT("'GRD-"&amp;CF$11&amp;"'!B:R"),15,FALSE),"")</f>
        <v/>
      </c>
      <c r="CG133" s="96">
        <f>IFERROR(VLOOKUP($B133,INDIRECT("'GRD-"&amp;CG$11&amp;"'!B:R"),15,FALSE),"")</f>
        <v/>
      </c>
      <c r="CH133" s="96">
        <f>IFERROR(VLOOKUP($B133,INDIRECT("'GRD-"&amp;CH$11&amp;"'!B:R"),15,FALSE),"")</f>
        <v/>
      </c>
      <c r="CI133" s="96">
        <f>IFERROR(VLOOKUP($B133,INDIRECT("'GRD-"&amp;CI$11&amp;"'!B:R"),15,FALSE),"")</f>
        <v/>
      </c>
      <c r="CJ133" s="96">
        <f>IFERROR(VLOOKUP($B133,INDIRECT("'GRD-"&amp;CJ$11&amp;"'!B:R"),15,FALSE),"")</f>
        <v/>
      </c>
      <c r="CK133" s="96">
        <f>IFERROR(VLOOKUP($B133,INDIRECT("'GRD-"&amp;CK$11&amp;"'!B:R"),15,FALSE),"")</f>
        <v/>
      </c>
      <c r="CL133" s="96">
        <f>IFERROR(VLOOKUP($B133,INDIRECT("'GRD-"&amp;CL$11&amp;"'!B:R"),15,FALSE),"")</f>
        <v/>
      </c>
      <c r="CM133" s="96">
        <f>IFERROR(VLOOKUP($B133,INDIRECT("'GRD-"&amp;CM$11&amp;"'!B:R"),15,FALSE),"")</f>
        <v/>
      </c>
      <c r="CN133" s="96">
        <f>IFERROR(VLOOKUP($B133,INDIRECT("'GRD-"&amp;CN$11&amp;"'!B:R"),15,FALSE),"")</f>
        <v/>
      </c>
      <c r="CO133" s="96">
        <f>IFERROR(VLOOKUP($B133,INDIRECT("'GRD-"&amp;CO$11&amp;"'!B:R"),15,FALSE),"")</f>
        <v/>
      </c>
      <c r="CP133" s="96">
        <f>IFERROR(VLOOKUP($B133,INDIRECT("'GRD-"&amp;CP$11&amp;"'!B:R"),15,FALSE),"")</f>
        <v/>
      </c>
      <c r="CQ133" s="96">
        <f>IFERROR(VLOOKUP($B133,INDIRECT("'GRD-"&amp;CQ$11&amp;"'!B:R"),15,FALSE),"")</f>
        <v/>
      </c>
      <c r="CR133" s="96">
        <f>IFERROR(VLOOKUP($B133,INDIRECT("'GRD-"&amp;CR$11&amp;"'!B:R"),15,FALSE),"")</f>
        <v/>
      </c>
      <c r="CS133" s="96">
        <f>IFERROR(VLOOKUP($B133,INDIRECT("'GRD-"&amp;CS$11&amp;"'!B:R"),15,FALSE),"")</f>
        <v/>
      </c>
      <c r="CT133" s="96">
        <f>IFERROR(VLOOKUP($B133,INDIRECT("'GRD-"&amp;CT$11&amp;"'!B:R"),15,FALSE),"")</f>
        <v/>
      </c>
      <c r="CU133" s="96">
        <f>IFERROR(VLOOKUP($B133,INDIRECT("'GRD-"&amp;CU$11&amp;"'!B:R"),15,FALSE),"")</f>
        <v/>
      </c>
      <c r="CV133" s="96">
        <f>IFERROR(VLOOKUP($B133,INDIRECT("'GRD-"&amp;CV$11&amp;"'!B:R"),15,FALSE),"")</f>
        <v/>
      </c>
      <c r="CW133" s="96">
        <f>IFERROR(VLOOKUP($B133,INDIRECT("'GRD-"&amp;CW$11&amp;"'!B:R"),15,FALSE),"")</f>
        <v/>
      </c>
      <c r="CX133" s="96">
        <f>IFERROR(VLOOKUP($B133,INDIRECT("'GRD-"&amp;CX$11&amp;"'!B:R"),15,FALSE),"")</f>
        <v/>
      </c>
      <c r="CY133" s="96">
        <f>IFERROR(VLOOKUP($B133,INDIRECT("'GRD-"&amp;CY$11&amp;"'!B:R"),15,FALSE),"")</f>
        <v/>
      </c>
      <c r="CZ133" s="96">
        <f>IFERROR(VLOOKUP($B133,INDIRECT("'GRD-"&amp;CZ$11&amp;"'!B:R"),15,FALSE),"")</f>
        <v/>
      </c>
      <c r="DA133" s="96">
        <f>IFERROR(VLOOKUP($B133,INDIRECT("'GRD-"&amp;DA$11&amp;"'!B:R"),15,FALSE),"")</f>
        <v/>
      </c>
      <c r="DB133" s="96">
        <f>IFERROR(VLOOKUP($B133,INDIRECT("'GRD-"&amp;DB$11&amp;"'!B:R"),15,FALSE),"")</f>
        <v/>
      </c>
      <c r="DC133" s="96">
        <f>IFERROR(VLOOKUP($B133,INDIRECT("'GRD-"&amp;DC$11&amp;"'!B:R"),15,FALSE),"")</f>
        <v/>
      </c>
      <c r="DD133" s="96">
        <f>IFERROR(VLOOKUP($B133,INDIRECT("'GRD-"&amp;DD$11&amp;"'!B:R"),15,FALSE),"")</f>
        <v/>
      </c>
      <c r="DE133" s="96">
        <f>IFERROR(VLOOKUP($B133,INDIRECT("'GRD-"&amp;DE$11&amp;"'!B:R"),15,FALSE),"")</f>
        <v/>
      </c>
      <c r="DF133" s="96">
        <f>IFERROR(VLOOKUP($B133,INDIRECT("'GRD-"&amp;DF$11&amp;"'!B:R"),15,FALSE),"")</f>
        <v/>
      </c>
      <c r="DG133" s="96">
        <f>IFERROR(VLOOKUP($B133,INDIRECT("'GRD-"&amp;DG$11&amp;"'!B:R"),15,FALSE),"")</f>
        <v/>
      </c>
      <c r="DH133" s="96">
        <f>IFERROR(VLOOKUP($B133,INDIRECT("'GRD-"&amp;DH$11&amp;"'!B:R"),15,FALSE),"")</f>
        <v/>
      </c>
      <c r="DI133" s="96">
        <f>IFERROR(VLOOKUP($B133,INDIRECT("'GRD-"&amp;DI$11&amp;"'!B:R"),15,FALSE),"")</f>
        <v/>
      </c>
      <c r="DJ133" s="96">
        <f>IFERROR(VLOOKUP($B133,INDIRECT("'GRD-"&amp;DJ$11&amp;"'!B:R"),15,FALSE),"")</f>
        <v/>
      </c>
      <c r="DK133" s="96">
        <f>IFERROR(VLOOKUP($B133,INDIRECT("'GRD-"&amp;DK$11&amp;"'!B:R"),15,FALSE),"")</f>
        <v/>
      </c>
      <c r="DL133" s="96">
        <f>IFERROR(VLOOKUP($B133,INDIRECT("'GRD-"&amp;DL$11&amp;"'!B:R"),15,FALSE),"")</f>
        <v/>
      </c>
      <c r="DM133" s="96">
        <f>IFERROR(VLOOKUP($B133,INDIRECT("'GRD-"&amp;DM$11&amp;"'!B:R"),15,FALSE),"")</f>
        <v/>
      </c>
      <c r="DN133" s="96">
        <f>IFERROR(VLOOKUP($B133,INDIRECT("'GRD-"&amp;DN$11&amp;"'!B:R"),15,FALSE),"")</f>
        <v/>
      </c>
      <c r="DO133" s="96">
        <f>IFERROR(VLOOKUP($B133,INDIRECT("'GRD-"&amp;DO$11&amp;"'!B:R"),15,FALSE),"")</f>
        <v/>
      </c>
      <c r="DP133" s="96">
        <f>IFERROR(VLOOKUP($B133,INDIRECT("'GRD-"&amp;DP$11&amp;"'!B:R"),15,FALSE),"")</f>
        <v/>
      </c>
      <c r="DQ133" s="96">
        <f>IFERROR(VLOOKUP($B133,INDIRECT("'GRD-"&amp;DQ$11&amp;"'!B:R"),15,FALSE),"")</f>
        <v/>
      </c>
      <c r="DR133" s="96">
        <f>IFERROR(VLOOKUP($B133,INDIRECT("'GRD-"&amp;DR$11&amp;"'!B:R"),15,FALSE),"")</f>
        <v/>
      </c>
      <c r="DS133" s="96">
        <f>IFERROR(VLOOKUP($B133,INDIRECT("'GRD-"&amp;DS$11&amp;"'!B:R"),15,FALSE),"")</f>
        <v/>
      </c>
      <c r="DT133" s="96">
        <f>IFERROR(VLOOKUP($B133,INDIRECT("'GRD-"&amp;DT$11&amp;"'!B:R"),15,FALSE),"")</f>
        <v/>
      </c>
      <c r="DU133" s="96">
        <f>IFERROR(VLOOKUP($B133,INDIRECT("'GRD-"&amp;DU$11&amp;"'!B:R"),15,FALSE),"")</f>
        <v/>
      </c>
      <c r="DV133" s="96">
        <f>IFERROR(VLOOKUP($B133,INDIRECT("'GRD-"&amp;DV$11&amp;"'!B:R"),15,FALSE),"")</f>
        <v/>
      </c>
      <c r="DW133" s="96">
        <f>IFERROR(VLOOKUP($B133,INDIRECT("'GRD-"&amp;DW$11&amp;"'!B:R"),15,FALSE),"")</f>
        <v/>
      </c>
      <c r="DX133" s="96">
        <f>IFERROR(VLOOKUP($B133,INDIRECT("'GRD-"&amp;DX$11&amp;"'!B:R"),15,FALSE),"")</f>
        <v/>
      </c>
      <c r="DY133" s="96">
        <f>IFERROR(VLOOKUP($B133,INDIRECT("'GRD-"&amp;DY$11&amp;"'!B:R"),15,FALSE),"")</f>
        <v/>
      </c>
      <c r="DZ133" s="96">
        <f>IFERROR(VLOOKUP($B133,INDIRECT("'GRD-"&amp;DZ$11&amp;"'!B:R"),15,FALSE),"")</f>
        <v/>
      </c>
      <c r="EA133" s="96">
        <f>IFERROR(VLOOKUP($B133,INDIRECT("'GRD-"&amp;EA$11&amp;"'!B:R"),15,FALSE),"")</f>
        <v/>
      </c>
      <c r="EB133" s="96">
        <f>IFERROR(VLOOKUP($B133,INDIRECT("'GRD-"&amp;EB$11&amp;"'!B:R"),15,FALSE),"")</f>
        <v/>
      </c>
      <c r="EC133" s="96">
        <f>IFERROR(VLOOKUP($B133,INDIRECT("'GRD-"&amp;EC$11&amp;"'!B:R"),15,FALSE),"")</f>
        <v/>
      </c>
      <c r="ED133" s="96">
        <f>IFERROR(VLOOKUP($B133,INDIRECT("'GRD-"&amp;ED$11&amp;"'!B:R"),15,FALSE),"")</f>
        <v/>
      </c>
      <c r="EE133" s="96">
        <f>IFERROR(VLOOKUP($B133,INDIRECT("'GRD-"&amp;EE$11&amp;"'!B:R"),15,FALSE),"")</f>
        <v/>
      </c>
      <c r="EF133" s="96">
        <f>IFERROR(VLOOKUP($B133,INDIRECT("'GRD-"&amp;EF$11&amp;"'!B:R"),15,FALSE),"")</f>
        <v/>
      </c>
      <c r="EG133" s="96">
        <f>IFERROR(VLOOKUP($B133,INDIRECT("'GRD-"&amp;EG$11&amp;"'!B:R"),15,FALSE),"")</f>
        <v/>
      </c>
      <c r="EH133" s="96">
        <f>IFERROR(VLOOKUP($B133,INDIRECT("'GRD-"&amp;EH$11&amp;"'!B:R"),15,FALSE),"")</f>
        <v/>
      </c>
      <c r="EI133" s="96">
        <f>IFERROR(VLOOKUP($B133,INDIRECT("'GRD-"&amp;EI$11&amp;"'!B:R"),15,FALSE),"")</f>
        <v/>
      </c>
      <c r="EJ133" s="96">
        <f>IFERROR(VLOOKUP($B133,INDIRECT("'GRD-"&amp;EJ$11&amp;"'!B:R"),15,FALSE),"")</f>
        <v/>
      </c>
      <c r="EK133" s="96">
        <f>IFERROR(VLOOKUP($B133,INDIRECT("'GRD-"&amp;EK$11&amp;"'!B:R"),15,FALSE),"")</f>
        <v/>
      </c>
      <c r="EL133" s="96">
        <f>IFERROR(VLOOKUP($B133,INDIRECT("'GRD-"&amp;EL$11&amp;"'!B:R"),15,FALSE),"")</f>
        <v/>
      </c>
      <c r="EM133" s="96">
        <f>IFERROR(VLOOKUP($B133,INDIRECT("'GRD-"&amp;EM$11&amp;"'!B:R"),15,FALSE),"")</f>
        <v/>
      </c>
      <c r="EN133" s="96">
        <f>IFERROR(VLOOKUP($B133,INDIRECT("'GRD-"&amp;EN$11&amp;"'!B:R"),15,FALSE),"")</f>
        <v/>
      </c>
      <c r="EO133" s="96">
        <f>IFERROR(VLOOKUP($B133,INDIRECT("'GRD-"&amp;EO$11&amp;"'!B:R"),15,FALSE),"")</f>
        <v/>
      </c>
      <c r="EP133" s="96">
        <f>IFERROR(VLOOKUP($B133,INDIRECT("'GRD-"&amp;EP$11&amp;"'!B:R"),15,FALSE),"")</f>
        <v/>
      </c>
      <c r="EQ133" s="96">
        <f>IFERROR(VLOOKUP($B133,INDIRECT("'GRD-"&amp;EQ$11&amp;"'!B:R"),15,FALSE),"")</f>
        <v/>
      </c>
      <c r="ER133" s="96">
        <f>IFERROR(VLOOKUP($B133,INDIRECT("'GRD-"&amp;ER$11&amp;"'!B:R"),15,FALSE),"")</f>
        <v/>
      </c>
      <c r="ES133" s="96">
        <f>IFERROR(VLOOKUP($B133,INDIRECT("'GRD-"&amp;ES$11&amp;"'!B:R"),15,FALSE),"")</f>
        <v/>
      </c>
      <c r="ET133" s="96">
        <f>IFERROR(VLOOKUP($B133,INDIRECT("'GRD-"&amp;ET$11&amp;"'!B:R"),15,FALSE),"")</f>
        <v/>
      </c>
      <c r="EU133" s="96">
        <f>IFERROR(VLOOKUP($B133,INDIRECT("'GRD-"&amp;EU$11&amp;"'!B:R"),15,FALSE),"")</f>
        <v/>
      </c>
      <c r="EV133" s="96">
        <f>IFERROR(VLOOKUP($B133,INDIRECT("'GRD-"&amp;EV$11&amp;"'!B:R"),15,FALSE),"")</f>
        <v/>
      </c>
      <c r="EW133" s="96">
        <f>IFERROR(VLOOKUP($B133,INDIRECT("'GRD-"&amp;EW$11&amp;"'!B:R"),15,FALSE),"")</f>
        <v/>
      </c>
      <c r="EX133" s="96">
        <f>IFERROR(VLOOKUP($B133,INDIRECT("'GRD-"&amp;EX$11&amp;"'!B:R"),15,FALSE),"")</f>
        <v/>
      </c>
      <c r="EY133" s="96">
        <f>IFERROR(VLOOKUP($B133,INDIRECT("'GRD-"&amp;EY$11&amp;"'!B:R"),15,FALSE),"")</f>
        <v/>
      </c>
      <c r="EZ133" s="96">
        <f>IFERROR(VLOOKUP($B133,INDIRECT("'GRD-"&amp;EZ$11&amp;"'!B:R"),15,FALSE),"")</f>
        <v/>
      </c>
      <c r="FA133" s="96">
        <f>IFERROR(VLOOKUP($B133,INDIRECT("'GRD-"&amp;FA$11&amp;"'!B:R"),15,FALSE),"")</f>
        <v/>
      </c>
      <c r="FB133" s="96">
        <f>IFERROR(VLOOKUP($B133,INDIRECT("'GRD-"&amp;FB$11&amp;"'!B:R"),15,FALSE),"")</f>
        <v/>
      </c>
      <c r="FC133" s="96">
        <f>IFERROR(VLOOKUP($B133,INDIRECT("'GRD-"&amp;FC$11&amp;"'!B:R"),15,FALSE),"")</f>
        <v/>
      </c>
      <c r="FD133" s="96">
        <f>IFERROR(VLOOKUP($B133,INDIRECT("'GRD-"&amp;FD$11&amp;"'!B:R"),15,FALSE),"")</f>
        <v/>
      </c>
      <c r="FE133" s="96">
        <f>IFERROR(VLOOKUP($B133,INDIRECT("'GRD-"&amp;FE$11&amp;"'!B:R"),15,FALSE),"")</f>
        <v/>
      </c>
      <c r="FF133" s="96">
        <f>IFERROR(VLOOKUP($B133,INDIRECT("'GRD-"&amp;FF$11&amp;"'!B:R"),15,FALSE),"")</f>
        <v/>
      </c>
      <c r="FG133" s="96">
        <f>IFERROR(VLOOKUP($B133,INDIRECT("'GRD-"&amp;FG$11&amp;"'!B:R"),15,FALSE),"")</f>
        <v/>
      </c>
      <c r="FH133" s="96">
        <f>IFERROR(VLOOKUP($B133,INDIRECT("'GRD-"&amp;FH$11&amp;"'!B:R"),15,FALSE),"")</f>
        <v/>
      </c>
      <c r="FI133" s="96">
        <f>IFERROR(VLOOKUP($B133,INDIRECT("'GRD-"&amp;FI$11&amp;"'!B:R"),15,FALSE),"")</f>
        <v/>
      </c>
      <c r="FJ133" s="96">
        <f>IFERROR(VLOOKUP($B133,INDIRECT("'GRD-"&amp;FJ$11&amp;"'!B:R"),15,FALSE),"")</f>
        <v/>
      </c>
      <c r="FK133" s="96">
        <f>IFERROR(VLOOKUP($B133,INDIRECT("'GRD-"&amp;FK$11&amp;"'!B:R"),15,FALSE),"")</f>
        <v/>
      </c>
      <c r="FL133" s="96">
        <f>IFERROR(VLOOKUP($B133,INDIRECT("'GRD-"&amp;FL$11&amp;"'!B:R"),15,FALSE),"")</f>
        <v/>
      </c>
      <c r="FM133" s="96">
        <f>IFERROR(VLOOKUP($B133,INDIRECT("'GRD-"&amp;FM$11&amp;"'!B:R"),15,FALSE),"")</f>
        <v/>
      </c>
      <c r="FN133" s="96">
        <f>IFERROR(VLOOKUP($B133,INDIRECT("'GRD-"&amp;FN$11&amp;"'!B:R"),15,FALSE),"")</f>
        <v/>
      </c>
      <c r="FO133" s="96">
        <f>IFERROR(VLOOKUP($B133,INDIRECT("'GRD-"&amp;FO$11&amp;"'!B:R"),15,FALSE),"")</f>
        <v/>
      </c>
      <c r="FP133" s="96">
        <f>IFERROR(VLOOKUP($B133,INDIRECT("'GRD-"&amp;FP$11&amp;"'!B:R"),15,FALSE),"")</f>
        <v/>
      </c>
      <c r="FQ133" s="96">
        <f>IFERROR(VLOOKUP($B133,INDIRECT("'GRD-"&amp;FQ$11&amp;"'!B:R"),15,FALSE),"")</f>
        <v/>
      </c>
      <c r="FR133" s="96">
        <f>IFERROR(VLOOKUP($B133,INDIRECT("'GRD-"&amp;FR$11&amp;"'!B:R"),15,FALSE),"")</f>
        <v/>
      </c>
      <c r="FS133" s="96">
        <f>IFERROR(VLOOKUP($B133,INDIRECT("'GRD-"&amp;FS$11&amp;"'!B:R"),15,FALSE),"")</f>
        <v/>
      </c>
      <c r="FT133" s="96">
        <f>IFERROR(VLOOKUP($B133,INDIRECT("'GRD-"&amp;FT$11&amp;"'!B:R"),15,FALSE),"")</f>
        <v/>
      </c>
      <c r="FU133" s="96">
        <f>IFERROR(VLOOKUP($B133,INDIRECT("'GRD-"&amp;FU$11&amp;"'!B:R"),15,FALSE),"")</f>
        <v/>
      </c>
      <c r="FV133" s="96">
        <f>IFERROR(VLOOKUP($B133,INDIRECT("'GRD-"&amp;FV$11&amp;"'!B:R"),15,FALSE),"")</f>
        <v/>
      </c>
    </row>
    <row r="134">
      <c r="B134" s="85" t="n"/>
      <c r="C134" s="93" t="n"/>
      <c r="D134" s="73">
        <f>IF(K134="","",MAX($CA134:$FV134))</f>
        <v/>
      </c>
      <c r="E134" s="74">
        <f t="array" ref="E134">IF($K134="","",OFFSET($A$1,ROW($B134)-1,11+$D134*4,))</f>
        <v/>
      </c>
      <c r="F134" s="74">
        <f t="array" ref="F134">IF($K134="","",OFFSET($A$1,ROW($B134)-1,12+$D134*4,))</f>
        <v/>
      </c>
      <c r="G134" s="118">
        <f t="array" ref="G134">IF($K134="","",OFFSET($A$1,ROW($B134)-1,13+$D134*4,))</f>
        <v/>
      </c>
      <c r="H134" s="81" t="n"/>
      <c r="I134" s="82" t="n"/>
      <c r="J134" s="75">
        <f>IF(I134="A4",H134/8,IF(I134="A3",H134/4,IF(I134="A2",H134/2,IF(I134="A1",H134/1,IF(I134="A0",H134*2,"")))))</f>
        <v/>
      </c>
      <c r="K134" s="68">
        <f t="array" ref="K134">IFERROR(OFFSET($BZ$11,ROW($B134)-11,MATCH(K$10,$CA134:$FV134,0),),"")</f>
        <v/>
      </c>
      <c r="L134" s="85">
        <f>IF(K134="","",IF(VLOOKUP($B134,INDIRECT("'GRD-"&amp;M134&amp;"'!$B:$R"),16,FALSE)="","",VLOOKUP($B134,INDIRECT("'GRD-"&amp;M134&amp;"'!$B:$R"),16,FALSE)))</f>
        <v/>
      </c>
      <c r="M134" s="130">
        <f t="array" ref="M134">IF(K134="","",IFERROR(OFFSET($BZ$11,0,MATCH($K134,$CA134:$FV134,0),),""))</f>
        <v/>
      </c>
      <c r="N134" s="119">
        <f t="array" ref="N134">IF(K134="","",INDIRECT("'GRD-"&amp;M134&amp;"'!$L$7"))</f>
        <v/>
      </c>
      <c r="O134" s="76">
        <f t="array" ref="O134">IFERROR(OFFSET($BZ$11,ROW($B134)-11,MATCH(O$10,$CA134:$FV134,0),),"")</f>
        <v/>
      </c>
      <c r="P134" s="76">
        <f>IF(O134="","",IF(VLOOKUP($B134,INDIRECT("'GRD-"&amp;Q134&amp;"'!$B:$R"),16,FALSE)="","",VLOOKUP($B134,INDIRECT("'GRD-"&amp;Q134&amp;"'!$B:$R"),16,FALSE)))</f>
        <v/>
      </c>
      <c r="Q134" s="132">
        <f t="array" ref="Q134">IF(O134="","",IFERROR(OFFSET($BZ$11,0,MATCH($O134,$CA134:$FV134,0),),""))</f>
        <v/>
      </c>
      <c r="R134" s="121">
        <f t="array" ref="R134">IF(O134="","",INDIRECT("'GRD-"&amp;Q134&amp;"'!$L$7"))</f>
        <v/>
      </c>
      <c r="S134" s="83">
        <f t="array" ref="S134">IFERROR(OFFSET($BZ$11,ROW($B134)-11,MATCH(S$10,$CA134:$FV134,0),),"")</f>
        <v/>
      </c>
      <c r="T134" s="83">
        <f>IF(S134="","",IF(VLOOKUP($B134,INDIRECT("'GRD-"&amp;U134&amp;"'!$B:$R"),16,FALSE)="","",VLOOKUP($B134,INDIRECT("'GRD-"&amp;U134&amp;"'!$B:$R"),16,FALSE)))</f>
        <v/>
      </c>
      <c r="U134" s="128">
        <f t="array" ref="U134">IF(S134="","",IFERROR(OFFSET($BZ$11,0,MATCH($S134,$CA134:$FV134,0),),""))</f>
        <v/>
      </c>
      <c r="V134" s="133">
        <f t="array" ref="V134">IF(S134="","",INDIRECT("'GRD-"&amp;U134&amp;"'!$L$7"))</f>
        <v/>
      </c>
      <c r="W134" s="84">
        <f t="array" ref="W134">IFERROR(OFFSET($BZ$11,ROW($B134)-11,MATCH(W$10,$CA134:$FV134,0),),"")</f>
        <v/>
      </c>
      <c r="X134" s="84">
        <f>IF(W134="","",IF(VLOOKUP($B134,INDIRECT("'GRD-"&amp;Y134&amp;"'!$B:$R"),16,FALSE)="","",VLOOKUP($B134,INDIRECT("'GRD-"&amp;Y134&amp;"'!$B:$R"),16,FALSE)))</f>
        <v/>
      </c>
      <c r="Y134" s="129">
        <f t="array" ref="Y134">IF(W134="","",IFERROR(OFFSET($BZ$11,0,MATCH($W134,$CA134:$FV134,0),),""))</f>
        <v/>
      </c>
      <c r="Z134" s="134">
        <f t="array" ref="Z134">IF(W134="","",INDIRECT("'GRD-"&amp;Y134&amp;"'!$L$7"))</f>
        <v/>
      </c>
      <c r="AA134" s="85">
        <f t="array" ref="AA134">IFERROR(OFFSET($BZ$11,ROW($B134)-11,MATCH(AA$10,$CA134:$FV134,0),),"")</f>
        <v/>
      </c>
      <c r="AB134" s="85">
        <f>IF(AA134="","",IF(VLOOKUP($B134,INDIRECT("'GRD-"&amp;AC134&amp;"'!$B:$R"),16,FALSE)="","",VLOOKUP($B134,INDIRECT("'GRD-"&amp;AC134&amp;"'!$B:$R"),16,FALSE)))</f>
        <v/>
      </c>
      <c r="AC134" s="130">
        <f t="array" ref="AC134">IF(AA134="","",IFERROR(OFFSET($BZ$11,0,MATCH($AA134,$CA134:$FV134,0),),""))</f>
        <v/>
      </c>
      <c r="AD134" s="131">
        <f t="array" ref="AD134">IF(AA134="","",INDIRECT("'GRD-"&amp;AC134&amp;"'!$L$7"))</f>
        <v/>
      </c>
      <c r="AE134" s="76">
        <f t="array" ref="AE134">IFERROR(OFFSET($BZ$11,ROW($B134)-11,MATCH(AE$10,$CA134:$FV134,0),),"")</f>
        <v/>
      </c>
      <c r="AF134" s="76">
        <f>IF(AE134="","",IF(VLOOKUP($B134,INDIRECT("'GRD-"&amp;AG134&amp;"'!$B:$R"),16,FALSE)="","",VLOOKUP($B134,INDIRECT("'GRD-"&amp;AG134&amp;"'!$B:$R"),16,FALSE)))</f>
        <v/>
      </c>
      <c r="AG134" s="132">
        <f t="array" ref="AG134">IF(AE134="","",IFERROR(OFFSET($BZ$11,0,MATCH($AE134,$CA134:$FV134,0),),""))</f>
        <v/>
      </c>
      <c r="AH134" s="121">
        <f t="array" ref="AH134">IF(AE134="","",INDIRECT("'GRD-"&amp;AG134&amp;"'!$L$7"))</f>
        <v/>
      </c>
      <c r="AI134" s="83">
        <f t="array" ref="AI134">IFERROR(OFFSET($BZ$11,ROW($B134)-11,MATCH(AI$10,$CA134:$FV134,0),),"")</f>
        <v/>
      </c>
      <c r="AJ134" s="83">
        <f>IF(AI134="","",IF(VLOOKUP($B134,INDIRECT("'GRD-"&amp;AK134&amp;"'!$B:$R"),16,FALSE)="","",VLOOKUP($B134,INDIRECT("'GRD-"&amp;AK134&amp;"'!$B:$R"),16,FALSE)))</f>
        <v/>
      </c>
      <c r="AK134" s="128">
        <f t="array" ref="AK134">IF(AI134="","",IFERROR(OFFSET($BZ$11,0,MATCH($AI134,$CA134:$FV134,0),),""))</f>
        <v/>
      </c>
      <c r="AL134" s="133">
        <f t="array" ref="AL134">IF(AI134="","",INDIRECT("'GRD-"&amp;AK134&amp;"'!$L$7"))</f>
        <v/>
      </c>
      <c r="AM134" s="84">
        <f t="array" ref="AM134">IFERROR(OFFSET($BZ$11,ROW($B134)-11,MATCH(AM$10,$CA134:$FV134,0),),"")</f>
        <v/>
      </c>
      <c r="AN134" s="84">
        <f>IF(AM134="","",IF(VLOOKUP($B134,INDIRECT("'GRD-"&amp;AO134&amp;"'!$B:$R"),16,FALSE)="","",VLOOKUP($B134,INDIRECT("'GRD-"&amp;AO134&amp;"'!$B:$R"),16,FALSE)))</f>
        <v/>
      </c>
      <c r="AO134" s="129">
        <f t="array" ref="AO134">IF(AM134="","",IFERROR(OFFSET($BZ$11,0,MATCH($AM134,$CA134:$FV134,0),),""))</f>
        <v/>
      </c>
      <c r="AP134" s="134">
        <f t="array" ref="AP134">IF(AM134="","",INDIRECT("'GRD-"&amp;AO134&amp;"'!$L$7"))</f>
        <v/>
      </c>
      <c r="AQ134" s="85">
        <f t="array" ref="AQ134">IFERROR(OFFSET($BZ$11,ROW($B134)-11,MATCH(AQ$10,$CA134:$FV134,0),),"")</f>
        <v/>
      </c>
      <c r="AR134" s="85">
        <f>IF(AQ134="","",IF(VLOOKUP($B134,INDIRECT("'GRD-"&amp;AS134&amp;"'!$B:$R"),16,FALSE)="","",VLOOKUP($B134,INDIRECT("'GRD-"&amp;AS134&amp;"'!$B:$R"),16,FALSE)))</f>
        <v/>
      </c>
      <c r="AS134" s="130">
        <f t="array" ref="AS134">IF(AQ134="","",IFERROR(OFFSET($BZ$11,0,MATCH($AQ134,$CA134:$FV134,0),),""))</f>
        <v/>
      </c>
      <c r="AT134" s="131">
        <f t="array" ref="AT134">IF(AQ134="","",INDIRECT("'GRD-"&amp;AS134&amp;"'!$L$7"))</f>
        <v/>
      </c>
      <c r="AU134" s="76">
        <f t="array" ref="AU134">IFERROR(OFFSET($BZ$11,ROW($B134)-11,MATCH(AU$10,$CA134:$FV134,0),),"")</f>
        <v/>
      </c>
      <c r="AV134" s="76">
        <f>IF(AU134="","",IF(VLOOKUP($B134,INDIRECT("'GRD-"&amp;AW134&amp;"'!$B:$R"),16,FALSE)="","",VLOOKUP($B134,INDIRECT("'GRD-"&amp;AW134&amp;"'!$B:$R"),16,FALSE)))</f>
        <v/>
      </c>
      <c r="AW134" s="132">
        <f t="array" ref="AW134">IF(AU134="","",IFERROR(OFFSET($BZ$11,0,MATCH($AU134,$CA134:$FV134,0),),""))</f>
        <v/>
      </c>
      <c r="AX134" s="121">
        <f t="array" ref="AX134">IF(AU134="","",INDIRECT("'GRD-"&amp;AW134&amp;"'!$L$7"))</f>
        <v/>
      </c>
      <c r="AY134" s="83">
        <f t="array" ref="AY134">IFERROR(OFFSET($BZ$11,ROW($B134)-11,MATCH(AY$10,$CA134:$FV134,0),),"")</f>
        <v/>
      </c>
      <c r="AZ134" s="83">
        <f>IF(AY134="","",IF(VLOOKUP($B134,INDIRECT("'GRD-"&amp;BA134&amp;"'!$B:$R"),16,FALSE)="","",VLOOKUP($B134,INDIRECT("'GRD-"&amp;BA134&amp;"'!$B:$R"),16,FALSE)))</f>
        <v/>
      </c>
      <c r="BA134" s="128">
        <f t="array" ref="BA134">IF(AY134="","",IFERROR(OFFSET($BZ$11,0,MATCH($AY134,$CA134:$FV134,0),),""))</f>
        <v/>
      </c>
      <c r="BB134" s="133">
        <f t="array" ref="BB134">IF(AY134="","",INDIRECT("'GRD-"&amp;BA134&amp;"'!$L$7"))</f>
        <v/>
      </c>
      <c r="BC134" s="84">
        <f t="array" ref="BC134">IFERROR(OFFSET($BZ$11,ROW($B134)-11,MATCH(BC$10,$CA134:$FV134,0),),"")</f>
        <v/>
      </c>
      <c r="BD134" s="84">
        <f>IF(BC134="","",IF(VLOOKUP($B134,INDIRECT("'GRD-"&amp;BE134&amp;"'!$B:$R"),16,FALSE)="","",VLOOKUP($B134,INDIRECT("'GRD-"&amp;BE134&amp;"'!$B:$R"),16,FALSE)))</f>
        <v/>
      </c>
      <c r="BE134" s="129">
        <f t="array" ref="BE134">IF(BC134="","",IFERROR(OFFSET($BZ$11,0,MATCH($BC134,$CA134:$FV134,0),),""))</f>
        <v/>
      </c>
      <c r="BF134" s="134">
        <f t="array" ref="BF134">IF(BC134="","",INDIRECT("'GRD-"&amp;BE134&amp;"'!$L$7"))</f>
        <v/>
      </c>
      <c r="CA134" s="96">
        <f>IFERROR(VLOOKUP($B134,INDIRECT("'GRD-"&amp;CA$11&amp;"'!B:R"),15,FALSE),"")</f>
        <v/>
      </c>
      <c r="CB134" s="96">
        <f>IFERROR(VLOOKUP($B134,INDIRECT("'GRD-"&amp;CB$11&amp;"'!B:R"),15,FALSE),"")</f>
        <v/>
      </c>
      <c r="CC134" s="96">
        <f>IFERROR(VLOOKUP($B134,INDIRECT("'GRD-"&amp;CC$11&amp;"'!B:R"),15,FALSE),"")</f>
        <v/>
      </c>
      <c r="CD134" s="96">
        <f>IFERROR(VLOOKUP($B134,INDIRECT("'GRD-"&amp;CD$11&amp;"'!B:R"),15,FALSE),"")</f>
        <v/>
      </c>
      <c r="CE134" s="96">
        <f>IFERROR(VLOOKUP($B134,INDIRECT("'GRD-"&amp;CE$11&amp;"'!B:R"),15,FALSE),"")</f>
        <v/>
      </c>
      <c r="CF134" s="96">
        <f>IFERROR(VLOOKUP($B134,INDIRECT("'GRD-"&amp;CF$11&amp;"'!B:R"),15,FALSE),"")</f>
        <v/>
      </c>
      <c r="CG134" s="96">
        <f>IFERROR(VLOOKUP($B134,INDIRECT("'GRD-"&amp;CG$11&amp;"'!B:R"),15,FALSE),"")</f>
        <v/>
      </c>
      <c r="CH134" s="96">
        <f>IFERROR(VLOOKUP($B134,INDIRECT("'GRD-"&amp;CH$11&amp;"'!B:R"),15,FALSE),"")</f>
        <v/>
      </c>
      <c r="CI134" s="96">
        <f>IFERROR(VLOOKUP($B134,INDIRECT("'GRD-"&amp;CI$11&amp;"'!B:R"),15,FALSE),"")</f>
        <v/>
      </c>
      <c r="CJ134" s="96">
        <f>IFERROR(VLOOKUP($B134,INDIRECT("'GRD-"&amp;CJ$11&amp;"'!B:R"),15,FALSE),"")</f>
        <v/>
      </c>
      <c r="CK134" s="96">
        <f>IFERROR(VLOOKUP($B134,INDIRECT("'GRD-"&amp;CK$11&amp;"'!B:R"),15,FALSE),"")</f>
        <v/>
      </c>
      <c r="CL134" s="96">
        <f>IFERROR(VLOOKUP($B134,INDIRECT("'GRD-"&amp;CL$11&amp;"'!B:R"),15,FALSE),"")</f>
        <v/>
      </c>
      <c r="CM134" s="96">
        <f>IFERROR(VLOOKUP($B134,INDIRECT("'GRD-"&amp;CM$11&amp;"'!B:R"),15,FALSE),"")</f>
        <v/>
      </c>
      <c r="CN134" s="96">
        <f>IFERROR(VLOOKUP($B134,INDIRECT("'GRD-"&amp;CN$11&amp;"'!B:R"),15,FALSE),"")</f>
        <v/>
      </c>
      <c r="CO134" s="96">
        <f>IFERROR(VLOOKUP($B134,INDIRECT("'GRD-"&amp;CO$11&amp;"'!B:R"),15,FALSE),"")</f>
        <v/>
      </c>
      <c r="CP134" s="96">
        <f>IFERROR(VLOOKUP($B134,INDIRECT("'GRD-"&amp;CP$11&amp;"'!B:R"),15,FALSE),"")</f>
        <v/>
      </c>
      <c r="CQ134" s="96">
        <f>IFERROR(VLOOKUP($B134,INDIRECT("'GRD-"&amp;CQ$11&amp;"'!B:R"),15,FALSE),"")</f>
        <v/>
      </c>
      <c r="CR134" s="96">
        <f>IFERROR(VLOOKUP($B134,INDIRECT("'GRD-"&amp;CR$11&amp;"'!B:R"),15,FALSE),"")</f>
        <v/>
      </c>
      <c r="CS134" s="96">
        <f>IFERROR(VLOOKUP($B134,INDIRECT("'GRD-"&amp;CS$11&amp;"'!B:R"),15,FALSE),"")</f>
        <v/>
      </c>
      <c r="CT134" s="96">
        <f>IFERROR(VLOOKUP($B134,INDIRECT("'GRD-"&amp;CT$11&amp;"'!B:R"),15,FALSE),"")</f>
        <v/>
      </c>
      <c r="CU134" s="96">
        <f>IFERROR(VLOOKUP($B134,INDIRECT("'GRD-"&amp;CU$11&amp;"'!B:R"),15,FALSE),"")</f>
        <v/>
      </c>
      <c r="CV134" s="96">
        <f>IFERROR(VLOOKUP($B134,INDIRECT("'GRD-"&amp;CV$11&amp;"'!B:R"),15,FALSE),"")</f>
        <v/>
      </c>
      <c r="CW134" s="96">
        <f>IFERROR(VLOOKUP($B134,INDIRECT("'GRD-"&amp;CW$11&amp;"'!B:R"),15,FALSE),"")</f>
        <v/>
      </c>
      <c r="CX134" s="96">
        <f>IFERROR(VLOOKUP($B134,INDIRECT("'GRD-"&amp;CX$11&amp;"'!B:R"),15,FALSE),"")</f>
        <v/>
      </c>
      <c r="CY134" s="96">
        <f>IFERROR(VLOOKUP($B134,INDIRECT("'GRD-"&amp;CY$11&amp;"'!B:R"),15,FALSE),"")</f>
        <v/>
      </c>
      <c r="CZ134" s="96">
        <f>IFERROR(VLOOKUP($B134,INDIRECT("'GRD-"&amp;CZ$11&amp;"'!B:R"),15,FALSE),"")</f>
        <v/>
      </c>
      <c r="DA134" s="96">
        <f>IFERROR(VLOOKUP($B134,INDIRECT("'GRD-"&amp;DA$11&amp;"'!B:R"),15,FALSE),"")</f>
        <v/>
      </c>
      <c r="DB134" s="96">
        <f>IFERROR(VLOOKUP($B134,INDIRECT("'GRD-"&amp;DB$11&amp;"'!B:R"),15,FALSE),"")</f>
        <v/>
      </c>
      <c r="DC134" s="96">
        <f>IFERROR(VLOOKUP($B134,INDIRECT("'GRD-"&amp;DC$11&amp;"'!B:R"),15,FALSE),"")</f>
        <v/>
      </c>
      <c r="DD134" s="96">
        <f>IFERROR(VLOOKUP($B134,INDIRECT("'GRD-"&amp;DD$11&amp;"'!B:R"),15,FALSE),"")</f>
        <v/>
      </c>
      <c r="DE134" s="96">
        <f>IFERROR(VLOOKUP($B134,INDIRECT("'GRD-"&amp;DE$11&amp;"'!B:R"),15,FALSE),"")</f>
        <v/>
      </c>
      <c r="DF134" s="96">
        <f>IFERROR(VLOOKUP($B134,INDIRECT("'GRD-"&amp;DF$11&amp;"'!B:R"),15,FALSE),"")</f>
        <v/>
      </c>
      <c r="DG134" s="96">
        <f>IFERROR(VLOOKUP($B134,INDIRECT("'GRD-"&amp;DG$11&amp;"'!B:R"),15,FALSE),"")</f>
        <v/>
      </c>
      <c r="DH134" s="96">
        <f>IFERROR(VLOOKUP($B134,INDIRECT("'GRD-"&amp;DH$11&amp;"'!B:R"),15,FALSE),"")</f>
        <v/>
      </c>
      <c r="DI134" s="96">
        <f>IFERROR(VLOOKUP($B134,INDIRECT("'GRD-"&amp;DI$11&amp;"'!B:R"),15,FALSE),"")</f>
        <v/>
      </c>
      <c r="DJ134" s="96">
        <f>IFERROR(VLOOKUP($B134,INDIRECT("'GRD-"&amp;DJ$11&amp;"'!B:R"),15,FALSE),"")</f>
        <v/>
      </c>
      <c r="DK134" s="96">
        <f>IFERROR(VLOOKUP($B134,INDIRECT("'GRD-"&amp;DK$11&amp;"'!B:R"),15,FALSE),"")</f>
        <v/>
      </c>
      <c r="DL134" s="96">
        <f>IFERROR(VLOOKUP($B134,INDIRECT("'GRD-"&amp;DL$11&amp;"'!B:R"),15,FALSE),"")</f>
        <v/>
      </c>
      <c r="DM134" s="96">
        <f>IFERROR(VLOOKUP($B134,INDIRECT("'GRD-"&amp;DM$11&amp;"'!B:R"),15,FALSE),"")</f>
        <v/>
      </c>
      <c r="DN134" s="96">
        <f>IFERROR(VLOOKUP($B134,INDIRECT("'GRD-"&amp;DN$11&amp;"'!B:R"),15,FALSE),"")</f>
        <v/>
      </c>
      <c r="DO134" s="96">
        <f>IFERROR(VLOOKUP($B134,INDIRECT("'GRD-"&amp;DO$11&amp;"'!B:R"),15,FALSE),"")</f>
        <v/>
      </c>
      <c r="DP134" s="96">
        <f>IFERROR(VLOOKUP($B134,INDIRECT("'GRD-"&amp;DP$11&amp;"'!B:R"),15,FALSE),"")</f>
        <v/>
      </c>
      <c r="DQ134" s="96">
        <f>IFERROR(VLOOKUP($B134,INDIRECT("'GRD-"&amp;DQ$11&amp;"'!B:R"),15,FALSE),"")</f>
        <v/>
      </c>
      <c r="DR134" s="96">
        <f>IFERROR(VLOOKUP($B134,INDIRECT("'GRD-"&amp;DR$11&amp;"'!B:R"),15,FALSE),"")</f>
        <v/>
      </c>
      <c r="DS134" s="96">
        <f>IFERROR(VLOOKUP($B134,INDIRECT("'GRD-"&amp;DS$11&amp;"'!B:R"),15,FALSE),"")</f>
        <v/>
      </c>
      <c r="DT134" s="96">
        <f>IFERROR(VLOOKUP($B134,INDIRECT("'GRD-"&amp;DT$11&amp;"'!B:R"),15,FALSE),"")</f>
        <v/>
      </c>
      <c r="DU134" s="96">
        <f>IFERROR(VLOOKUP($B134,INDIRECT("'GRD-"&amp;DU$11&amp;"'!B:R"),15,FALSE),"")</f>
        <v/>
      </c>
      <c r="DV134" s="96">
        <f>IFERROR(VLOOKUP($B134,INDIRECT("'GRD-"&amp;DV$11&amp;"'!B:R"),15,FALSE),"")</f>
        <v/>
      </c>
      <c r="DW134" s="96">
        <f>IFERROR(VLOOKUP($B134,INDIRECT("'GRD-"&amp;DW$11&amp;"'!B:R"),15,FALSE),"")</f>
        <v/>
      </c>
      <c r="DX134" s="96">
        <f>IFERROR(VLOOKUP($B134,INDIRECT("'GRD-"&amp;DX$11&amp;"'!B:R"),15,FALSE),"")</f>
        <v/>
      </c>
      <c r="DY134" s="96">
        <f>IFERROR(VLOOKUP($B134,INDIRECT("'GRD-"&amp;DY$11&amp;"'!B:R"),15,FALSE),"")</f>
        <v/>
      </c>
      <c r="DZ134" s="96">
        <f>IFERROR(VLOOKUP($B134,INDIRECT("'GRD-"&amp;DZ$11&amp;"'!B:R"),15,FALSE),"")</f>
        <v/>
      </c>
      <c r="EA134" s="96">
        <f>IFERROR(VLOOKUP($B134,INDIRECT("'GRD-"&amp;EA$11&amp;"'!B:R"),15,FALSE),"")</f>
        <v/>
      </c>
      <c r="EB134" s="96">
        <f>IFERROR(VLOOKUP($B134,INDIRECT("'GRD-"&amp;EB$11&amp;"'!B:R"),15,FALSE),"")</f>
        <v/>
      </c>
      <c r="EC134" s="96">
        <f>IFERROR(VLOOKUP($B134,INDIRECT("'GRD-"&amp;EC$11&amp;"'!B:R"),15,FALSE),"")</f>
        <v/>
      </c>
      <c r="ED134" s="96">
        <f>IFERROR(VLOOKUP($B134,INDIRECT("'GRD-"&amp;ED$11&amp;"'!B:R"),15,FALSE),"")</f>
        <v/>
      </c>
      <c r="EE134" s="96">
        <f>IFERROR(VLOOKUP($B134,INDIRECT("'GRD-"&amp;EE$11&amp;"'!B:R"),15,FALSE),"")</f>
        <v/>
      </c>
      <c r="EF134" s="96">
        <f>IFERROR(VLOOKUP($B134,INDIRECT("'GRD-"&amp;EF$11&amp;"'!B:R"),15,FALSE),"")</f>
        <v/>
      </c>
      <c r="EG134" s="96">
        <f>IFERROR(VLOOKUP($B134,INDIRECT("'GRD-"&amp;EG$11&amp;"'!B:R"),15,FALSE),"")</f>
        <v/>
      </c>
      <c r="EH134" s="96">
        <f>IFERROR(VLOOKUP($B134,INDIRECT("'GRD-"&amp;EH$11&amp;"'!B:R"),15,FALSE),"")</f>
        <v/>
      </c>
      <c r="EI134" s="96">
        <f>IFERROR(VLOOKUP($B134,INDIRECT("'GRD-"&amp;EI$11&amp;"'!B:R"),15,FALSE),"")</f>
        <v/>
      </c>
      <c r="EJ134" s="96">
        <f>IFERROR(VLOOKUP($B134,INDIRECT("'GRD-"&amp;EJ$11&amp;"'!B:R"),15,FALSE),"")</f>
        <v/>
      </c>
      <c r="EK134" s="96">
        <f>IFERROR(VLOOKUP($B134,INDIRECT("'GRD-"&amp;EK$11&amp;"'!B:R"),15,FALSE),"")</f>
        <v/>
      </c>
      <c r="EL134" s="96">
        <f>IFERROR(VLOOKUP($B134,INDIRECT("'GRD-"&amp;EL$11&amp;"'!B:R"),15,FALSE),"")</f>
        <v/>
      </c>
      <c r="EM134" s="96">
        <f>IFERROR(VLOOKUP($B134,INDIRECT("'GRD-"&amp;EM$11&amp;"'!B:R"),15,FALSE),"")</f>
        <v/>
      </c>
      <c r="EN134" s="96">
        <f>IFERROR(VLOOKUP($B134,INDIRECT("'GRD-"&amp;EN$11&amp;"'!B:R"),15,FALSE),"")</f>
        <v/>
      </c>
      <c r="EO134" s="96">
        <f>IFERROR(VLOOKUP($B134,INDIRECT("'GRD-"&amp;EO$11&amp;"'!B:R"),15,FALSE),"")</f>
        <v/>
      </c>
      <c r="EP134" s="96">
        <f>IFERROR(VLOOKUP($B134,INDIRECT("'GRD-"&amp;EP$11&amp;"'!B:R"),15,FALSE),"")</f>
        <v/>
      </c>
      <c r="EQ134" s="96">
        <f>IFERROR(VLOOKUP($B134,INDIRECT("'GRD-"&amp;EQ$11&amp;"'!B:R"),15,FALSE),"")</f>
        <v/>
      </c>
      <c r="ER134" s="96">
        <f>IFERROR(VLOOKUP($B134,INDIRECT("'GRD-"&amp;ER$11&amp;"'!B:R"),15,FALSE),"")</f>
        <v/>
      </c>
      <c r="ES134" s="96">
        <f>IFERROR(VLOOKUP($B134,INDIRECT("'GRD-"&amp;ES$11&amp;"'!B:R"),15,FALSE),"")</f>
        <v/>
      </c>
      <c r="ET134" s="96">
        <f>IFERROR(VLOOKUP($B134,INDIRECT("'GRD-"&amp;ET$11&amp;"'!B:R"),15,FALSE),"")</f>
        <v/>
      </c>
      <c r="EU134" s="96">
        <f>IFERROR(VLOOKUP($B134,INDIRECT("'GRD-"&amp;EU$11&amp;"'!B:R"),15,FALSE),"")</f>
        <v/>
      </c>
      <c r="EV134" s="96">
        <f>IFERROR(VLOOKUP($B134,INDIRECT("'GRD-"&amp;EV$11&amp;"'!B:R"),15,FALSE),"")</f>
        <v/>
      </c>
      <c r="EW134" s="96">
        <f>IFERROR(VLOOKUP($B134,INDIRECT("'GRD-"&amp;EW$11&amp;"'!B:R"),15,FALSE),"")</f>
        <v/>
      </c>
      <c r="EX134" s="96">
        <f>IFERROR(VLOOKUP($B134,INDIRECT("'GRD-"&amp;EX$11&amp;"'!B:R"),15,FALSE),"")</f>
        <v/>
      </c>
      <c r="EY134" s="96">
        <f>IFERROR(VLOOKUP($B134,INDIRECT("'GRD-"&amp;EY$11&amp;"'!B:R"),15,FALSE),"")</f>
        <v/>
      </c>
      <c r="EZ134" s="96">
        <f>IFERROR(VLOOKUP($B134,INDIRECT("'GRD-"&amp;EZ$11&amp;"'!B:R"),15,FALSE),"")</f>
        <v/>
      </c>
      <c r="FA134" s="96">
        <f>IFERROR(VLOOKUP($B134,INDIRECT("'GRD-"&amp;FA$11&amp;"'!B:R"),15,FALSE),"")</f>
        <v/>
      </c>
      <c r="FB134" s="96">
        <f>IFERROR(VLOOKUP($B134,INDIRECT("'GRD-"&amp;FB$11&amp;"'!B:R"),15,FALSE),"")</f>
        <v/>
      </c>
      <c r="FC134" s="96">
        <f>IFERROR(VLOOKUP($B134,INDIRECT("'GRD-"&amp;FC$11&amp;"'!B:R"),15,FALSE),"")</f>
        <v/>
      </c>
      <c r="FD134" s="96">
        <f>IFERROR(VLOOKUP($B134,INDIRECT("'GRD-"&amp;FD$11&amp;"'!B:R"),15,FALSE),"")</f>
        <v/>
      </c>
      <c r="FE134" s="96">
        <f>IFERROR(VLOOKUP($B134,INDIRECT("'GRD-"&amp;FE$11&amp;"'!B:R"),15,FALSE),"")</f>
        <v/>
      </c>
      <c r="FF134" s="96">
        <f>IFERROR(VLOOKUP($B134,INDIRECT("'GRD-"&amp;FF$11&amp;"'!B:R"),15,FALSE),"")</f>
        <v/>
      </c>
      <c r="FG134" s="96">
        <f>IFERROR(VLOOKUP($B134,INDIRECT("'GRD-"&amp;FG$11&amp;"'!B:R"),15,FALSE),"")</f>
        <v/>
      </c>
      <c r="FH134" s="96">
        <f>IFERROR(VLOOKUP($B134,INDIRECT("'GRD-"&amp;FH$11&amp;"'!B:R"),15,FALSE),"")</f>
        <v/>
      </c>
      <c r="FI134" s="96">
        <f>IFERROR(VLOOKUP($B134,INDIRECT("'GRD-"&amp;FI$11&amp;"'!B:R"),15,FALSE),"")</f>
        <v/>
      </c>
      <c r="FJ134" s="96">
        <f>IFERROR(VLOOKUP($B134,INDIRECT("'GRD-"&amp;FJ$11&amp;"'!B:R"),15,FALSE),"")</f>
        <v/>
      </c>
      <c r="FK134" s="96">
        <f>IFERROR(VLOOKUP($B134,INDIRECT("'GRD-"&amp;FK$11&amp;"'!B:R"),15,FALSE),"")</f>
        <v/>
      </c>
      <c r="FL134" s="96">
        <f>IFERROR(VLOOKUP($B134,INDIRECT("'GRD-"&amp;FL$11&amp;"'!B:R"),15,FALSE),"")</f>
        <v/>
      </c>
      <c r="FM134" s="96">
        <f>IFERROR(VLOOKUP($B134,INDIRECT("'GRD-"&amp;FM$11&amp;"'!B:R"),15,FALSE),"")</f>
        <v/>
      </c>
      <c r="FN134" s="96">
        <f>IFERROR(VLOOKUP($B134,INDIRECT("'GRD-"&amp;FN$11&amp;"'!B:R"),15,FALSE),"")</f>
        <v/>
      </c>
      <c r="FO134" s="96">
        <f>IFERROR(VLOOKUP($B134,INDIRECT("'GRD-"&amp;FO$11&amp;"'!B:R"),15,FALSE),"")</f>
        <v/>
      </c>
      <c r="FP134" s="96">
        <f>IFERROR(VLOOKUP($B134,INDIRECT("'GRD-"&amp;FP$11&amp;"'!B:R"),15,FALSE),"")</f>
        <v/>
      </c>
      <c r="FQ134" s="96">
        <f>IFERROR(VLOOKUP($B134,INDIRECT("'GRD-"&amp;FQ$11&amp;"'!B:R"),15,FALSE),"")</f>
        <v/>
      </c>
      <c r="FR134" s="96">
        <f>IFERROR(VLOOKUP($B134,INDIRECT("'GRD-"&amp;FR$11&amp;"'!B:R"),15,FALSE),"")</f>
        <v/>
      </c>
      <c r="FS134" s="96">
        <f>IFERROR(VLOOKUP($B134,INDIRECT("'GRD-"&amp;FS$11&amp;"'!B:R"),15,FALSE),"")</f>
        <v/>
      </c>
      <c r="FT134" s="96">
        <f>IFERROR(VLOOKUP($B134,INDIRECT("'GRD-"&amp;FT$11&amp;"'!B:R"),15,FALSE),"")</f>
        <v/>
      </c>
      <c r="FU134" s="96">
        <f>IFERROR(VLOOKUP($B134,INDIRECT("'GRD-"&amp;FU$11&amp;"'!B:R"),15,FALSE),"")</f>
        <v/>
      </c>
      <c r="FV134" s="96">
        <f>IFERROR(VLOOKUP($B134,INDIRECT("'GRD-"&amp;FV$11&amp;"'!B:R"),15,FALSE),"")</f>
        <v/>
      </c>
    </row>
    <row r="135">
      <c r="B135" s="85" t="n"/>
      <c r="C135" s="93" t="n"/>
      <c r="D135" s="73">
        <f>IF(K135="","",MAX($CA135:$FV135))</f>
        <v/>
      </c>
      <c r="E135" s="74">
        <f t="array" ref="E135">IF($K135="","",OFFSET($A$1,ROW($B135)-1,11+$D135*4,))</f>
        <v/>
      </c>
      <c r="F135" s="74">
        <f t="array" ref="F135">IF($K135="","",OFFSET($A$1,ROW($B135)-1,12+$D135*4,))</f>
        <v/>
      </c>
      <c r="G135" s="118">
        <f t="array" ref="G135">IF($K135="","",OFFSET($A$1,ROW($B135)-1,13+$D135*4,))</f>
        <v/>
      </c>
      <c r="H135" s="81" t="n"/>
      <c r="I135" s="82" t="n"/>
      <c r="J135" s="75">
        <f>IF(I135="A4",H135/8,IF(I135="A3",H135/4,IF(I135="A2",H135/2,IF(I135="A1",H135/1,IF(I135="A0",H135*2,"")))))</f>
        <v/>
      </c>
      <c r="K135" s="68">
        <f t="array" ref="K135">IFERROR(OFFSET($BZ$11,ROW($B135)-11,MATCH(K$10,$CA135:$FV135,0),),"")</f>
        <v/>
      </c>
      <c r="L135" s="85">
        <f>IF(K135="","",IF(VLOOKUP($B135,INDIRECT("'GRD-"&amp;M135&amp;"'!$B:$R"),16,FALSE)="","",VLOOKUP($B135,INDIRECT("'GRD-"&amp;M135&amp;"'!$B:$R"),16,FALSE)))</f>
        <v/>
      </c>
      <c r="M135" s="130">
        <f t="array" ref="M135">IF(K135="","",IFERROR(OFFSET($BZ$11,0,MATCH($K135,$CA135:$FV135,0),),""))</f>
        <v/>
      </c>
      <c r="N135" s="119">
        <f t="array" ref="N135">IF(K135="","",INDIRECT("'GRD-"&amp;M135&amp;"'!$L$7"))</f>
        <v/>
      </c>
      <c r="O135" s="76">
        <f t="array" ref="O135">IFERROR(OFFSET($BZ$11,ROW($B135)-11,MATCH(O$10,$CA135:$FV135,0),),"")</f>
        <v/>
      </c>
      <c r="P135" s="76">
        <f>IF(O135="","",IF(VLOOKUP($B135,INDIRECT("'GRD-"&amp;Q135&amp;"'!$B:$R"),16,FALSE)="","",VLOOKUP($B135,INDIRECT("'GRD-"&amp;Q135&amp;"'!$B:$R"),16,FALSE)))</f>
        <v/>
      </c>
      <c r="Q135" s="132">
        <f t="array" ref="Q135">IF(O135="","",IFERROR(OFFSET($BZ$11,0,MATCH($O135,$CA135:$FV135,0),),""))</f>
        <v/>
      </c>
      <c r="R135" s="121">
        <f t="array" ref="R135">IF(O135="","",INDIRECT("'GRD-"&amp;Q135&amp;"'!$L$7"))</f>
        <v/>
      </c>
      <c r="S135" s="83">
        <f t="array" ref="S135">IFERROR(OFFSET($BZ$11,ROW($B135)-11,MATCH(S$10,$CA135:$FV135,0),),"")</f>
        <v/>
      </c>
      <c r="T135" s="83">
        <f>IF(S135="","",IF(VLOOKUP($B135,INDIRECT("'GRD-"&amp;U135&amp;"'!$B:$R"),16,FALSE)="","",VLOOKUP($B135,INDIRECT("'GRD-"&amp;U135&amp;"'!$B:$R"),16,FALSE)))</f>
        <v/>
      </c>
      <c r="U135" s="128">
        <f t="array" ref="U135">IF(S135="","",IFERROR(OFFSET($BZ$11,0,MATCH($S135,$CA135:$FV135,0),),""))</f>
        <v/>
      </c>
      <c r="V135" s="133">
        <f t="array" ref="V135">IF(S135="","",INDIRECT("'GRD-"&amp;U135&amp;"'!$L$7"))</f>
        <v/>
      </c>
      <c r="W135" s="84">
        <f t="array" ref="W135">IFERROR(OFFSET($BZ$11,ROW($B135)-11,MATCH(W$10,$CA135:$FV135,0),),"")</f>
        <v/>
      </c>
      <c r="X135" s="84">
        <f>IF(W135="","",IF(VLOOKUP($B135,INDIRECT("'GRD-"&amp;Y135&amp;"'!$B:$R"),16,FALSE)="","",VLOOKUP($B135,INDIRECT("'GRD-"&amp;Y135&amp;"'!$B:$R"),16,FALSE)))</f>
        <v/>
      </c>
      <c r="Y135" s="129">
        <f t="array" ref="Y135">IF(W135="","",IFERROR(OFFSET($BZ$11,0,MATCH($W135,$CA135:$FV135,0),),""))</f>
        <v/>
      </c>
      <c r="Z135" s="134">
        <f t="array" ref="Z135">IF(W135="","",INDIRECT("'GRD-"&amp;Y135&amp;"'!$L$7"))</f>
        <v/>
      </c>
      <c r="AA135" s="85">
        <f t="array" ref="AA135">IFERROR(OFFSET($BZ$11,ROW($B135)-11,MATCH(AA$10,$CA135:$FV135,0),),"")</f>
        <v/>
      </c>
      <c r="AB135" s="85">
        <f>IF(AA135="","",IF(VLOOKUP($B135,INDIRECT("'GRD-"&amp;AC135&amp;"'!$B:$R"),16,FALSE)="","",VLOOKUP($B135,INDIRECT("'GRD-"&amp;AC135&amp;"'!$B:$R"),16,FALSE)))</f>
        <v/>
      </c>
      <c r="AC135" s="130">
        <f t="array" ref="AC135">IF(AA135="","",IFERROR(OFFSET($BZ$11,0,MATCH($AA135,$CA135:$FV135,0),),""))</f>
        <v/>
      </c>
      <c r="AD135" s="131">
        <f t="array" ref="AD135">IF(AA135="","",INDIRECT("'GRD-"&amp;AC135&amp;"'!$L$7"))</f>
        <v/>
      </c>
      <c r="AE135" s="76">
        <f t="array" ref="AE135">IFERROR(OFFSET($BZ$11,ROW($B135)-11,MATCH(AE$10,$CA135:$FV135,0),),"")</f>
        <v/>
      </c>
      <c r="AF135" s="76">
        <f>IF(AE135="","",IF(VLOOKUP($B135,INDIRECT("'GRD-"&amp;AG135&amp;"'!$B:$R"),16,FALSE)="","",VLOOKUP($B135,INDIRECT("'GRD-"&amp;AG135&amp;"'!$B:$R"),16,FALSE)))</f>
        <v/>
      </c>
      <c r="AG135" s="132">
        <f t="array" ref="AG135">IF(AE135="","",IFERROR(OFFSET($BZ$11,0,MATCH($AE135,$CA135:$FV135,0),),""))</f>
        <v/>
      </c>
      <c r="AH135" s="121">
        <f t="array" ref="AH135">IF(AE135="","",INDIRECT("'GRD-"&amp;AG135&amp;"'!$L$7"))</f>
        <v/>
      </c>
      <c r="AI135" s="83">
        <f t="array" ref="AI135">IFERROR(OFFSET($BZ$11,ROW($B135)-11,MATCH(AI$10,$CA135:$FV135,0),),"")</f>
        <v/>
      </c>
      <c r="AJ135" s="83">
        <f>IF(AI135="","",IF(VLOOKUP($B135,INDIRECT("'GRD-"&amp;AK135&amp;"'!$B:$R"),16,FALSE)="","",VLOOKUP($B135,INDIRECT("'GRD-"&amp;AK135&amp;"'!$B:$R"),16,FALSE)))</f>
        <v/>
      </c>
      <c r="AK135" s="128">
        <f t="array" ref="AK135">IF(AI135="","",IFERROR(OFFSET($BZ$11,0,MATCH($AI135,$CA135:$FV135,0),),""))</f>
        <v/>
      </c>
      <c r="AL135" s="133">
        <f t="array" ref="AL135">IF(AI135="","",INDIRECT("'GRD-"&amp;AK135&amp;"'!$L$7"))</f>
        <v/>
      </c>
      <c r="AM135" s="84">
        <f t="array" ref="AM135">IFERROR(OFFSET($BZ$11,ROW($B135)-11,MATCH(AM$10,$CA135:$FV135,0),),"")</f>
        <v/>
      </c>
      <c r="AN135" s="84">
        <f>IF(AM135="","",IF(VLOOKUP($B135,INDIRECT("'GRD-"&amp;AO135&amp;"'!$B:$R"),16,FALSE)="","",VLOOKUP($B135,INDIRECT("'GRD-"&amp;AO135&amp;"'!$B:$R"),16,FALSE)))</f>
        <v/>
      </c>
      <c r="AO135" s="129">
        <f t="array" ref="AO135">IF(AM135="","",IFERROR(OFFSET($BZ$11,0,MATCH($AM135,$CA135:$FV135,0),),""))</f>
        <v/>
      </c>
      <c r="AP135" s="134">
        <f t="array" ref="AP135">IF(AM135="","",INDIRECT("'GRD-"&amp;AO135&amp;"'!$L$7"))</f>
        <v/>
      </c>
      <c r="AQ135" s="85">
        <f t="array" ref="AQ135">IFERROR(OFFSET($BZ$11,ROW($B135)-11,MATCH(AQ$10,$CA135:$FV135,0),),"")</f>
        <v/>
      </c>
      <c r="AR135" s="85">
        <f>IF(AQ135="","",IF(VLOOKUP($B135,INDIRECT("'GRD-"&amp;AS135&amp;"'!$B:$R"),16,FALSE)="","",VLOOKUP($B135,INDIRECT("'GRD-"&amp;AS135&amp;"'!$B:$R"),16,FALSE)))</f>
        <v/>
      </c>
      <c r="AS135" s="130">
        <f t="array" ref="AS135">IF(AQ135="","",IFERROR(OFFSET($BZ$11,0,MATCH($AQ135,$CA135:$FV135,0),),""))</f>
        <v/>
      </c>
      <c r="AT135" s="131">
        <f t="array" ref="AT135">IF(AQ135="","",INDIRECT("'GRD-"&amp;AS135&amp;"'!$L$7"))</f>
        <v/>
      </c>
      <c r="AU135" s="76">
        <f t="array" ref="AU135">IFERROR(OFFSET($BZ$11,ROW($B135)-11,MATCH(AU$10,$CA135:$FV135,0),),"")</f>
        <v/>
      </c>
      <c r="AV135" s="76">
        <f>IF(AU135="","",IF(VLOOKUP($B135,INDIRECT("'GRD-"&amp;AW135&amp;"'!$B:$R"),16,FALSE)="","",VLOOKUP($B135,INDIRECT("'GRD-"&amp;AW135&amp;"'!$B:$R"),16,FALSE)))</f>
        <v/>
      </c>
      <c r="AW135" s="132">
        <f t="array" ref="AW135">IF(AU135="","",IFERROR(OFFSET($BZ$11,0,MATCH($AU135,$CA135:$FV135,0),),""))</f>
        <v/>
      </c>
      <c r="AX135" s="121">
        <f t="array" ref="AX135">IF(AU135="","",INDIRECT("'GRD-"&amp;AW135&amp;"'!$L$7"))</f>
        <v/>
      </c>
      <c r="AY135" s="83">
        <f t="array" ref="AY135">IFERROR(OFFSET($BZ$11,ROW($B135)-11,MATCH(AY$10,$CA135:$FV135,0),),"")</f>
        <v/>
      </c>
      <c r="AZ135" s="83">
        <f>IF(AY135="","",IF(VLOOKUP($B135,INDIRECT("'GRD-"&amp;BA135&amp;"'!$B:$R"),16,FALSE)="","",VLOOKUP($B135,INDIRECT("'GRD-"&amp;BA135&amp;"'!$B:$R"),16,FALSE)))</f>
        <v/>
      </c>
      <c r="BA135" s="128">
        <f t="array" ref="BA135">IF(AY135="","",IFERROR(OFFSET($BZ$11,0,MATCH($AY135,$CA135:$FV135,0),),""))</f>
        <v/>
      </c>
      <c r="BB135" s="133">
        <f t="array" ref="BB135">IF(AY135="","",INDIRECT("'GRD-"&amp;BA135&amp;"'!$L$7"))</f>
        <v/>
      </c>
      <c r="BC135" s="84">
        <f t="array" ref="BC135">IFERROR(OFFSET($BZ$11,ROW($B135)-11,MATCH(BC$10,$CA135:$FV135,0),),"")</f>
        <v/>
      </c>
      <c r="BD135" s="84">
        <f>IF(BC135="","",IF(VLOOKUP($B135,INDIRECT("'GRD-"&amp;BE135&amp;"'!$B:$R"),16,FALSE)="","",VLOOKUP($B135,INDIRECT("'GRD-"&amp;BE135&amp;"'!$B:$R"),16,FALSE)))</f>
        <v/>
      </c>
      <c r="BE135" s="129">
        <f t="array" ref="BE135">IF(BC135="","",IFERROR(OFFSET($BZ$11,0,MATCH($BC135,$CA135:$FV135,0),),""))</f>
        <v/>
      </c>
      <c r="BF135" s="134">
        <f t="array" ref="BF135">IF(BC135="","",INDIRECT("'GRD-"&amp;BE135&amp;"'!$L$7"))</f>
        <v/>
      </c>
      <c r="CA135" s="96">
        <f>IFERROR(VLOOKUP($B135,INDIRECT("'GRD-"&amp;CA$11&amp;"'!B:R"),15,FALSE),"")</f>
        <v/>
      </c>
      <c r="CB135" s="96">
        <f>IFERROR(VLOOKUP($B135,INDIRECT("'GRD-"&amp;CB$11&amp;"'!B:R"),15,FALSE),"")</f>
        <v/>
      </c>
      <c r="CC135" s="96">
        <f>IFERROR(VLOOKUP($B135,INDIRECT("'GRD-"&amp;CC$11&amp;"'!B:R"),15,FALSE),"")</f>
        <v/>
      </c>
      <c r="CD135" s="96">
        <f>IFERROR(VLOOKUP($B135,INDIRECT("'GRD-"&amp;CD$11&amp;"'!B:R"),15,FALSE),"")</f>
        <v/>
      </c>
      <c r="CE135" s="96">
        <f>IFERROR(VLOOKUP($B135,INDIRECT("'GRD-"&amp;CE$11&amp;"'!B:R"),15,FALSE),"")</f>
        <v/>
      </c>
      <c r="CF135" s="96">
        <f>IFERROR(VLOOKUP($B135,INDIRECT("'GRD-"&amp;CF$11&amp;"'!B:R"),15,FALSE),"")</f>
        <v/>
      </c>
      <c r="CG135" s="96">
        <f>IFERROR(VLOOKUP($B135,INDIRECT("'GRD-"&amp;CG$11&amp;"'!B:R"),15,FALSE),"")</f>
        <v/>
      </c>
      <c r="CH135" s="96">
        <f>IFERROR(VLOOKUP($B135,INDIRECT("'GRD-"&amp;CH$11&amp;"'!B:R"),15,FALSE),"")</f>
        <v/>
      </c>
      <c r="CI135" s="96">
        <f>IFERROR(VLOOKUP($B135,INDIRECT("'GRD-"&amp;CI$11&amp;"'!B:R"),15,FALSE),"")</f>
        <v/>
      </c>
      <c r="CJ135" s="96">
        <f>IFERROR(VLOOKUP($B135,INDIRECT("'GRD-"&amp;CJ$11&amp;"'!B:R"),15,FALSE),"")</f>
        <v/>
      </c>
      <c r="CK135" s="96">
        <f>IFERROR(VLOOKUP($B135,INDIRECT("'GRD-"&amp;CK$11&amp;"'!B:R"),15,FALSE),"")</f>
        <v/>
      </c>
      <c r="CL135" s="96">
        <f>IFERROR(VLOOKUP($B135,INDIRECT("'GRD-"&amp;CL$11&amp;"'!B:R"),15,FALSE),"")</f>
        <v/>
      </c>
      <c r="CM135" s="96">
        <f>IFERROR(VLOOKUP($B135,INDIRECT("'GRD-"&amp;CM$11&amp;"'!B:R"),15,FALSE),"")</f>
        <v/>
      </c>
      <c r="CN135" s="96">
        <f>IFERROR(VLOOKUP($B135,INDIRECT("'GRD-"&amp;CN$11&amp;"'!B:R"),15,FALSE),"")</f>
        <v/>
      </c>
      <c r="CO135" s="96">
        <f>IFERROR(VLOOKUP($B135,INDIRECT("'GRD-"&amp;CO$11&amp;"'!B:R"),15,FALSE),"")</f>
        <v/>
      </c>
      <c r="CP135" s="96">
        <f>IFERROR(VLOOKUP($B135,INDIRECT("'GRD-"&amp;CP$11&amp;"'!B:R"),15,FALSE),"")</f>
        <v/>
      </c>
      <c r="CQ135" s="96">
        <f>IFERROR(VLOOKUP($B135,INDIRECT("'GRD-"&amp;CQ$11&amp;"'!B:R"),15,FALSE),"")</f>
        <v/>
      </c>
      <c r="CR135" s="96">
        <f>IFERROR(VLOOKUP($B135,INDIRECT("'GRD-"&amp;CR$11&amp;"'!B:R"),15,FALSE),"")</f>
        <v/>
      </c>
      <c r="CS135" s="96">
        <f>IFERROR(VLOOKUP($B135,INDIRECT("'GRD-"&amp;CS$11&amp;"'!B:R"),15,FALSE),"")</f>
        <v/>
      </c>
      <c r="CT135" s="96">
        <f>IFERROR(VLOOKUP($B135,INDIRECT("'GRD-"&amp;CT$11&amp;"'!B:R"),15,FALSE),"")</f>
        <v/>
      </c>
      <c r="CU135" s="96">
        <f>IFERROR(VLOOKUP($B135,INDIRECT("'GRD-"&amp;CU$11&amp;"'!B:R"),15,FALSE),"")</f>
        <v/>
      </c>
      <c r="CV135" s="96">
        <f>IFERROR(VLOOKUP($B135,INDIRECT("'GRD-"&amp;CV$11&amp;"'!B:R"),15,FALSE),"")</f>
        <v/>
      </c>
      <c r="CW135" s="96">
        <f>IFERROR(VLOOKUP($B135,INDIRECT("'GRD-"&amp;CW$11&amp;"'!B:R"),15,FALSE),"")</f>
        <v/>
      </c>
      <c r="CX135" s="96">
        <f>IFERROR(VLOOKUP($B135,INDIRECT("'GRD-"&amp;CX$11&amp;"'!B:R"),15,FALSE),"")</f>
        <v/>
      </c>
      <c r="CY135" s="96">
        <f>IFERROR(VLOOKUP($B135,INDIRECT("'GRD-"&amp;CY$11&amp;"'!B:R"),15,FALSE),"")</f>
        <v/>
      </c>
      <c r="CZ135" s="96">
        <f>IFERROR(VLOOKUP($B135,INDIRECT("'GRD-"&amp;CZ$11&amp;"'!B:R"),15,FALSE),"")</f>
        <v/>
      </c>
      <c r="DA135" s="96">
        <f>IFERROR(VLOOKUP($B135,INDIRECT("'GRD-"&amp;DA$11&amp;"'!B:R"),15,FALSE),"")</f>
        <v/>
      </c>
      <c r="DB135" s="96">
        <f>IFERROR(VLOOKUP($B135,INDIRECT("'GRD-"&amp;DB$11&amp;"'!B:R"),15,FALSE),"")</f>
        <v/>
      </c>
      <c r="DC135" s="96">
        <f>IFERROR(VLOOKUP($B135,INDIRECT("'GRD-"&amp;DC$11&amp;"'!B:R"),15,FALSE),"")</f>
        <v/>
      </c>
      <c r="DD135" s="96">
        <f>IFERROR(VLOOKUP($B135,INDIRECT("'GRD-"&amp;DD$11&amp;"'!B:R"),15,FALSE),"")</f>
        <v/>
      </c>
      <c r="DE135" s="96">
        <f>IFERROR(VLOOKUP($B135,INDIRECT("'GRD-"&amp;DE$11&amp;"'!B:R"),15,FALSE),"")</f>
        <v/>
      </c>
      <c r="DF135" s="96">
        <f>IFERROR(VLOOKUP($B135,INDIRECT("'GRD-"&amp;DF$11&amp;"'!B:R"),15,FALSE),"")</f>
        <v/>
      </c>
      <c r="DG135" s="96">
        <f>IFERROR(VLOOKUP($B135,INDIRECT("'GRD-"&amp;DG$11&amp;"'!B:R"),15,FALSE),"")</f>
        <v/>
      </c>
      <c r="DH135" s="96">
        <f>IFERROR(VLOOKUP($B135,INDIRECT("'GRD-"&amp;DH$11&amp;"'!B:R"),15,FALSE),"")</f>
        <v/>
      </c>
      <c r="DI135" s="96">
        <f>IFERROR(VLOOKUP($B135,INDIRECT("'GRD-"&amp;DI$11&amp;"'!B:R"),15,FALSE),"")</f>
        <v/>
      </c>
      <c r="DJ135" s="96">
        <f>IFERROR(VLOOKUP($B135,INDIRECT("'GRD-"&amp;DJ$11&amp;"'!B:R"),15,FALSE),"")</f>
        <v/>
      </c>
      <c r="DK135" s="96">
        <f>IFERROR(VLOOKUP($B135,INDIRECT("'GRD-"&amp;DK$11&amp;"'!B:R"),15,FALSE),"")</f>
        <v/>
      </c>
      <c r="DL135" s="96">
        <f>IFERROR(VLOOKUP($B135,INDIRECT("'GRD-"&amp;DL$11&amp;"'!B:R"),15,FALSE),"")</f>
        <v/>
      </c>
      <c r="DM135" s="96">
        <f>IFERROR(VLOOKUP($B135,INDIRECT("'GRD-"&amp;DM$11&amp;"'!B:R"),15,FALSE),"")</f>
        <v/>
      </c>
      <c r="DN135" s="96">
        <f>IFERROR(VLOOKUP($B135,INDIRECT("'GRD-"&amp;DN$11&amp;"'!B:R"),15,FALSE),"")</f>
        <v/>
      </c>
      <c r="DO135" s="96">
        <f>IFERROR(VLOOKUP($B135,INDIRECT("'GRD-"&amp;DO$11&amp;"'!B:R"),15,FALSE),"")</f>
        <v/>
      </c>
      <c r="DP135" s="96">
        <f>IFERROR(VLOOKUP($B135,INDIRECT("'GRD-"&amp;DP$11&amp;"'!B:R"),15,FALSE),"")</f>
        <v/>
      </c>
      <c r="DQ135" s="96">
        <f>IFERROR(VLOOKUP($B135,INDIRECT("'GRD-"&amp;DQ$11&amp;"'!B:R"),15,FALSE),"")</f>
        <v/>
      </c>
      <c r="DR135" s="96">
        <f>IFERROR(VLOOKUP($B135,INDIRECT("'GRD-"&amp;DR$11&amp;"'!B:R"),15,FALSE),"")</f>
        <v/>
      </c>
      <c r="DS135" s="96">
        <f>IFERROR(VLOOKUP($B135,INDIRECT("'GRD-"&amp;DS$11&amp;"'!B:R"),15,FALSE),"")</f>
        <v/>
      </c>
      <c r="DT135" s="96">
        <f>IFERROR(VLOOKUP($B135,INDIRECT("'GRD-"&amp;DT$11&amp;"'!B:R"),15,FALSE),"")</f>
        <v/>
      </c>
      <c r="DU135" s="96">
        <f>IFERROR(VLOOKUP($B135,INDIRECT("'GRD-"&amp;DU$11&amp;"'!B:R"),15,FALSE),"")</f>
        <v/>
      </c>
      <c r="DV135" s="96">
        <f>IFERROR(VLOOKUP($B135,INDIRECT("'GRD-"&amp;DV$11&amp;"'!B:R"),15,FALSE),"")</f>
        <v/>
      </c>
      <c r="DW135" s="96">
        <f>IFERROR(VLOOKUP($B135,INDIRECT("'GRD-"&amp;DW$11&amp;"'!B:R"),15,FALSE),"")</f>
        <v/>
      </c>
      <c r="DX135" s="96">
        <f>IFERROR(VLOOKUP($B135,INDIRECT("'GRD-"&amp;DX$11&amp;"'!B:R"),15,FALSE),"")</f>
        <v/>
      </c>
      <c r="DY135" s="96">
        <f>IFERROR(VLOOKUP($B135,INDIRECT("'GRD-"&amp;DY$11&amp;"'!B:R"),15,FALSE),"")</f>
        <v/>
      </c>
      <c r="DZ135" s="96">
        <f>IFERROR(VLOOKUP($B135,INDIRECT("'GRD-"&amp;DZ$11&amp;"'!B:R"),15,FALSE),"")</f>
        <v/>
      </c>
      <c r="EA135" s="96">
        <f>IFERROR(VLOOKUP($B135,INDIRECT("'GRD-"&amp;EA$11&amp;"'!B:R"),15,FALSE),"")</f>
        <v/>
      </c>
      <c r="EB135" s="96">
        <f>IFERROR(VLOOKUP($B135,INDIRECT("'GRD-"&amp;EB$11&amp;"'!B:R"),15,FALSE),"")</f>
        <v/>
      </c>
      <c r="EC135" s="96">
        <f>IFERROR(VLOOKUP($B135,INDIRECT("'GRD-"&amp;EC$11&amp;"'!B:R"),15,FALSE),"")</f>
        <v/>
      </c>
      <c r="ED135" s="96">
        <f>IFERROR(VLOOKUP($B135,INDIRECT("'GRD-"&amp;ED$11&amp;"'!B:R"),15,FALSE),"")</f>
        <v/>
      </c>
      <c r="EE135" s="96">
        <f>IFERROR(VLOOKUP($B135,INDIRECT("'GRD-"&amp;EE$11&amp;"'!B:R"),15,FALSE),"")</f>
        <v/>
      </c>
      <c r="EF135" s="96">
        <f>IFERROR(VLOOKUP($B135,INDIRECT("'GRD-"&amp;EF$11&amp;"'!B:R"),15,FALSE),"")</f>
        <v/>
      </c>
      <c r="EG135" s="96">
        <f>IFERROR(VLOOKUP($B135,INDIRECT("'GRD-"&amp;EG$11&amp;"'!B:R"),15,FALSE),"")</f>
        <v/>
      </c>
      <c r="EH135" s="96">
        <f>IFERROR(VLOOKUP($B135,INDIRECT("'GRD-"&amp;EH$11&amp;"'!B:R"),15,FALSE),"")</f>
        <v/>
      </c>
      <c r="EI135" s="96">
        <f>IFERROR(VLOOKUP($B135,INDIRECT("'GRD-"&amp;EI$11&amp;"'!B:R"),15,FALSE),"")</f>
        <v/>
      </c>
      <c r="EJ135" s="96">
        <f>IFERROR(VLOOKUP($B135,INDIRECT("'GRD-"&amp;EJ$11&amp;"'!B:R"),15,FALSE),"")</f>
        <v/>
      </c>
      <c r="EK135" s="96">
        <f>IFERROR(VLOOKUP($B135,INDIRECT("'GRD-"&amp;EK$11&amp;"'!B:R"),15,FALSE),"")</f>
        <v/>
      </c>
      <c r="EL135" s="96">
        <f>IFERROR(VLOOKUP($B135,INDIRECT("'GRD-"&amp;EL$11&amp;"'!B:R"),15,FALSE),"")</f>
        <v/>
      </c>
      <c r="EM135" s="96">
        <f>IFERROR(VLOOKUP($B135,INDIRECT("'GRD-"&amp;EM$11&amp;"'!B:R"),15,FALSE),"")</f>
        <v/>
      </c>
      <c r="EN135" s="96">
        <f>IFERROR(VLOOKUP($B135,INDIRECT("'GRD-"&amp;EN$11&amp;"'!B:R"),15,FALSE),"")</f>
        <v/>
      </c>
      <c r="EO135" s="96">
        <f>IFERROR(VLOOKUP($B135,INDIRECT("'GRD-"&amp;EO$11&amp;"'!B:R"),15,FALSE),"")</f>
        <v/>
      </c>
      <c r="EP135" s="96">
        <f>IFERROR(VLOOKUP($B135,INDIRECT("'GRD-"&amp;EP$11&amp;"'!B:R"),15,FALSE),"")</f>
        <v/>
      </c>
      <c r="EQ135" s="96">
        <f>IFERROR(VLOOKUP($B135,INDIRECT("'GRD-"&amp;EQ$11&amp;"'!B:R"),15,FALSE),"")</f>
        <v/>
      </c>
      <c r="ER135" s="96">
        <f>IFERROR(VLOOKUP($B135,INDIRECT("'GRD-"&amp;ER$11&amp;"'!B:R"),15,FALSE),"")</f>
        <v/>
      </c>
      <c r="ES135" s="96">
        <f>IFERROR(VLOOKUP($B135,INDIRECT("'GRD-"&amp;ES$11&amp;"'!B:R"),15,FALSE),"")</f>
        <v/>
      </c>
      <c r="ET135" s="96">
        <f>IFERROR(VLOOKUP($B135,INDIRECT("'GRD-"&amp;ET$11&amp;"'!B:R"),15,FALSE),"")</f>
        <v/>
      </c>
      <c r="EU135" s="96">
        <f>IFERROR(VLOOKUP($B135,INDIRECT("'GRD-"&amp;EU$11&amp;"'!B:R"),15,FALSE),"")</f>
        <v/>
      </c>
      <c r="EV135" s="96">
        <f>IFERROR(VLOOKUP($B135,INDIRECT("'GRD-"&amp;EV$11&amp;"'!B:R"),15,FALSE),"")</f>
        <v/>
      </c>
      <c r="EW135" s="96">
        <f>IFERROR(VLOOKUP($B135,INDIRECT("'GRD-"&amp;EW$11&amp;"'!B:R"),15,FALSE),"")</f>
        <v/>
      </c>
      <c r="EX135" s="96">
        <f>IFERROR(VLOOKUP($B135,INDIRECT("'GRD-"&amp;EX$11&amp;"'!B:R"),15,FALSE),"")</f>
        <v/>
      </c>
      <c r="EY135" s="96">
        <f>IFERROR(VLOOKUP($B135,INDIRECT("'GRD-"&amp;EY$11&amp;"'!B:R"),15,FALSE),"")</f>
        <v/>
      </c>
      <c r="EZ135" s="96">
        <f>IFERROR(VLOOKUP($B135,INDIRECT("'GRD-"&amp;EZ$11&amp;"'!B:R"),15,FALSE),"")</f>
        <v/>
      </c>
      <c r="FA135" s="96">
        <f>IFERROR(VLOOKUP($B135,INDIRECT("'GRD-"&amp;FA$11&amp;"'!B:R"),15,FALSE),"")</f>
        <v/>
      </c>
      <c r="FB135" s="96">
        <f>IFERROR(VLOOKUP($B135,INDIRECT("'GRD-"&amp;FB$11&amp;"'!B:R"),15,FALSE),"")</f>
        <v/>
      </c>
      <c r="FC135" s="96">
        <f>IFERROR(VLOOKUP($B135,INDIRECT("'GRD-"&amp;FC$11&amp;"'!B:R"),15,FALSE),"")</f>
        <v/>
      </c>
      <c r="FD135" s="96">
        <f>IFERROR(VLOOKUP($B135,INDIRECT("'GRD-"&amp;FD$11&amp;"'!B:R"),15,FALSE),"")</f>
        <v/>
      </c>
      <c r="FE135" s="96">
        <f>IFERROR(VLOOKUP($B135,INDIRECT("'GRD-"&amp;FE$11&amp;"'!B:R"),15,FALSE),"")</f>
        <v/>
      </c>
      <c r="FF135" s="96">
        <f>IFERROR(VLOOKUP($B135,INDIRECT("'GRD-"&amp;FF$11&amp;"'!B:R"),15,FALSE),"")</f>
        <v/>
      </c>
      <c r="FG135" s="96">
        <f>IFERROR(VLOOKUP($B135,INDIRECT("'GRD-"&amp;FG$11&amp;"'!B:R"),15,FALSE),"")</f>
        <v/>
      </c>
      <c r="FH135" s="96">
        <f>IFERROR(VLOOKUP($B135,INDIRECT("'GRD-"&amp;FH$11&amp;"'!B:R"),15,FALSE),"")</f>
        <v/>
      </c>
      <c r="FI135" s="96">
        <f>IFERROR(VLOOKUP($B135,INDIRECT("'GRD-"&amp;FI$11&amp;"'!B:R"),15,FALSE),"")</f>
        <v/>
      </c>
      <c r="FJ135" s="96">
        <f>IFERROR(VLOOKUP($B135,INDIRECT("'GRD-"&amp;FJ$11&amp;"'!B:R"),15,FALSE),"")</f>
        <v/>
      </c>
      <c r="FK135" s="96">
        <f>IFERROR(VLOOKUP($B135,INDIRECT("'GRD-"&amp;FK$11&amp;"'!B:R"),15,FALSE),"")</f>
        <v/>
      </c>
      <c r="FL135" s="96">
        <f>IFERROR(VLOOKUP($B135,INDIRECT("'GRD-"&amp;FL$11&amp;"'!B:R"),15,FALSE),"")</f>
        <v/>
      </c>
      <c r="FM135" s="96">
        <f>IFERROR(VLOOKUP($B135,INDIRECT("'GRD-"&amp;FM$11&amp;"'!B:R"),15,FALSE),"")</f>
        <v/>
      </c>
      <c r="FN135" s="96">
        <f>IFERROR(VLOOKUP($B135,INDIRECT("'GRD-"&amp;FN$11&amp;"'!B:R"),15,FALSE),"")</f>
        <v/>
      </c>
      <c r="FO135" s="96">
        <f>IFERROR(VLOOKUP($B135,INDIRECT("'GRD-"&amp;FO$11&amp;"'!B:R"),15,FALSE),"")</f>
        <v/>
      </c>
      <c r="FP135" s="96">
        <f>IFERROR(VLOOKUP($B135,INDIRECT("'GRD-"&amp;FP$11&amp;"'!B:R"),15,FALSE),"")</f>
        <v/>
      </c>
      <c r="FQ135" s="96">
        <f>IFERROR(VLOOKUP($B135,INDIRECT("'GRD-"&amp;FQ$11&amp;"'!B:R"),15,FALSE),"")</f>
        <v/>
      </c>
      <c r="FR135" s="96">
        <f>IFERROR(VLOOKUP($B135,INDIRECT("'GRD-"&amp;FR$11&amp;"'!B:R"),15,FALSE),"")</f>
        <v/>
      </c>
      <c r="FS135" s="96">
        <f>IFERROR(VLOOKUP($B135,INDIRECT("'GRD-"&amp;FS$11&amp;"'!B:R"),15,FALSE),"")</f>
        <v/>
      </c>
      <c r="FT135" s="96">
        <f>IFERROR(VLOOKUP($B135,INDIRECT("'GRD-"&amp;FT$11&amp;"'!B:R"),15,FALSE),"")</f>
        <v/>
      </c>
      <c r="FU135" s="96">
        <f>IFERROR(VLOOKUP($B135,INDIRECT("'GRD-"&amp;FU$11&amp;"'!B:R"),15,FALSE),"")</f>
        <v/>
      </c>
      <c r="FV135" s="96">
        <f>IFERROR(VLOOKUP($B135,INDIRECT("'GRD-"&amp;FV$11&amp;"'!B:R"),15,FALSE),"")</f>
        <v/>
      </c>
    </row>
    <row r="136">
      <c r="B136" s="85" t="n"/>
      <c r="C136" s="93" t="n"/>
      <c r="D136" s="73">
        <f>IF(K136="","",MAX($CA136:$FV136))</f>
        <v/>
      </c>
      <c r="E136" s="74">
        <f t="array" ref="E136">IF($K136="","",OFFSET($A$1,ROW($B136)-1,11+$D136*4,))</f>
        <v/>
      </c>
      <c r="F136" s="74">
        <f t="array" ref="F136">IF($K136="","",OFFSET($A$1,ROW($B136)-1,12+$D136*4,))</f>
        <v/>
      </c>
      <c r="G136" s="118">
        <f t="array" ref="G136">IF($K136="","",OFFSET($A$1,ROW($B136)-1,13+$D136*4,))</f>
        <v/>
      </c>
      <c r="H136" s="81" t="n"/>
      <c r="I136" s="82" t="n"/>
      <c r="J136" s="75">
        <f>IF(I136="A4",H136/8,IF(I136="A3",H136/4,IF(I136="A2",H136/2,IF(I136="A1",H136/1,IF(I136="A0",H136*2,"")))))</f>
        <v/>
      </c>
      <c r="K136" s="68">
        <f t="array" ref="K136">IFERROR(OFFSET($BZ$11,ROW($B136)-11,MATCH(K$10,$CA136:$FV136,0),),"")</f>
        <v/>
      </c>
      <c r="L136" s="85">
        <f>IF(K136="","",IF(VLOOKUP($B136,INDIRECT("'GRD-"&amp;M136&amp;"'!$B:$R"),16,FALSE)="","",VLOOKUP($B136,INDIRECT("'GRD-"&amp;M136&amp;"'!$B:$R"),16,FALSE)))</f>
        <v/>
      </c>
      <c r="M136" s="130">
        <f t="array" ref="M136">IF(K136="","",IFERROR(OFFSET($BZ$11,0,MATCH($K136,$CA136:$FV136,0),),""))</f>
        <v/>
      </c>
      <c r="N136" s="119">
        <f t="array" ref="N136">IF(K136="","",INDIRECT("'GRD-"&amp;M136&amp;"'!$L$7"))</f>
        <v/>
      </c>
      <c r="O136" s="76">
        <f t="array" ref="O136">IFERROR(OFFSET($BZ$11,ROW($B136)-11,MATCH(O$10,$CA136:$FV136,0),),"")</f>
        <v/>
      </c>
      <c r="P136" s="76">
        <f>IF(O136="","",IF(VLOOKUP($B136,INDIRECT("'GRD-"&amp;Q136&amp;"'!$B:$R"),16,FALSE)="","",VLOOKUP($B136,INDIRECT("'GRD-"&amp;Q136&amp;"'!$B:$R"),16,FALSE)))</f>
        <v/>
      </c>
      <c r="Q136" s="132">
        <f t="array" ref="Q136">IF(O136="","",IFERROR(OFFSET($BZ$11,0,MATCH($O136,$CA136:$FV136,0),),""))</f>
        <v/>
      </c>
      <c r="R136" s="121">
        <f t="array" ref="R136">IF(O136="","",INDIRECT("'GRD-"&amp;Q136&amp;"'!$L$7"))</f>
        <v/>
      </c>
      <c r="S136" s="83">
        <f t="array" ref="S136">IFERROR(OFFSET($BZ$11,ROW($B136)-11,MATCH(S$10,$CA136:$FV136,0),),"")</f>
        <v/>
      </c>
      <c r="T136" s="83">
        <f>IF(S136="","",IF(VLOOKUP($B136,INDIRECT("'GRD-"&amp;U136&amp;"'!$B:$R"),16,FALSE)="","",VLOOKUP($B136,INDIRECT("'GRD-"&amp;U136&amp;"'!$B:$R"),16,FALSE)))</f>
        <v/>
      </c>
      <c r="U136" s="128">
        <f t="array" ref="U136">IF(S136="","",IFERROR(OFFSET($BZ$11,0,MATCH($S136,$CA136:$FV136,0),),""))</f>
        <v/>
      </c>
      <c r="V136" s="133">
        <f t="array" ref="V136">IF(S136="","",INDIRECT("'GRD-"&amp;U136&amp;"'!$L$7"))</f>
        <v/>
      </c>
      <c r="W136" s="84">
        <f t="array" ref="W136">IFERROR(OFFSET($BZ$11,ROW($B136)-11,MATCH(W$10,$CA136:$FV136,0),),"")</f>
        <v/>
      </c>
      <c r="X136" s="84">
        <f>IF(W136="","",IF(VLOOKUP($B136,INDIRECT("'GRD-"&amp;Y136&amp;"'!$B:$R"),16,FALSE)="","",VLOOKUP($B136,INDIRECT("'GRD-"&amp;Y136&amp;"'!$B:$R"),16,FALSE)))</f>
        <v/>
      </c>
      <c r="Y136" s="129">
        <f t="array" ref="Y136">IF(W136="","",IFERROR(OFFSET($BZ$11,0,MATCH($W136,$CA136:$FV136,0),),""))</f>
        <v/>
      </c>
      <c r="Z136" s="134">
        <f t="array" ref="Z136">IF(W136="","",INDIRECT("'GRD-"&amp;Y136&amp;"'!$L$7"))</f>
        <v/>
      </c>
      <c r="AA136" s="85">
        <f t="array" ref="AA136">IFERROR(OFFSET($BZ$11,ROW($B136)-11,MATCH(AA$10,$CA136:$FV136,0),),"")</f>
        <v/>
      </c>
      <c r="AB136" s="85">
        <f>IF(AA136="","",IF(VLOOKUP($B136,INDIRECT("'GRD-"&amp;AC136&amp;"'!$B:$R"),16,FALSE)="","",VLOOKUP($B136,INDIRECT("'GRD-"&amp;AC136&amp;"'!$B:$R"),16,FALSE)))</f>
        <v/>
      </c>
      <c r="AC136" s="130">
        <f t="array" ref="AC136">IF(AA136="","",IFERROR(OFFSET($BZ$11,0,MATCH($AA136,$CA136:$FV136,0),),""))</f>
        <v/>
      </c>
      <c r="AD136" s="131">
        <f t="array" ref="AD136">IF(AA136="","",INDIRECT("'GRD-"&amp;AC136&amp;"'!$L$7"))</f>
        <v/>
      </c>
      <c r="AE136" s="76">
        <f t="array" ref="AE136">IFERROR(OFFSET($BZ$11,ROW($B136)-11,MATCH(AE$10,$CA136:$FV136,0),),"")</f>
        <v/>
      </c>
      <c r="AF136" s="76">
        <f>IF(AE136="","",IF(VLOOKUP($B136,INDIRECT("'GRD-"&amp;AG136&amp;"'!$B:$R"),16,FALSE)="","",VLOOKUP($B136,INDIRECT("'GRD-"&amp;AG136&amp;"'!$B:$R"),16,FALSE)))</f>
        <v/>
      </c>
      <c r="AG136" s="132">
        <f t="array" ref="AG136">IF(AE136="","",IFERROR(OFFSET($BZ$11,0,MATCH($AE136,$CA136:$FV136,0),),""))</f>
        <v/>
      </c>
      <c r="AH136" s="121">
        <f t="array" ref="AH136">IF(AE136="","",INDIRECT("'GRD-"&amp;AG136&amp;"'!$L$7"))</f>
        <v/>
      </c>
      <c r="AI136" s="83">
        <f t="array" ref="AI136">IFERROR(OFFSET($BZ$11,ROW($B136)-11,MATCH(AI$10,$CA136:$FV136,0),),"")</f>
        <v/>
      </c>
      <c r="AJ136" s="83">
        <f>IF(AI136="","",IF(VLOOKUP($B136,INDIRECT("'GRD-"&amp;AK136&amp;"'!$B:$R"),16,FALSE)="","",VLOOKUP($B136,INDIRECT("'GRD-"&amp;AK136&amp;"'!$B:$R"),16,FALSE)))</f>
        <v/>
      </c>
      <c r="AK136" s="128">
        <f t="array" ref="AK136">IF(AI136="","",IFERROR(OFFSET($BZ$11,0,MATCH($AI136,$CA136:$FV136,0),),""))</f>
        <v/>
      </c>
      <c r="AL136" s="133">
        <f t="array" ref="AL136">IF(AI136="","",INDIRECT("'GRD-"&amp;AK136&amp;"'!$L$7"))</f>
        <v/>
      </c>
      <c r="AM136" s="84">
        <f t="array" ref="AM136">IFERROR(OFFSET($BZ$11,ROW($B136)-11,MATCH(AM$10,$CA136:$FV136,0),),"")</f>
        <v/>
      </c>
      <c r="AN136" s="84">
        <f>IF(AM136="","",IF(VLOOKUP($B136,INDIRECT("'GRD-"&amp;AO136&amp;"'!$B:$R"),16,FALSE)="","",VLOOKUP($B136,INDIRECT("'GRD-"&amp;AO136&amp;"'!$B:$R"),16,FALSE)))</f>
        <v/>
      </c>
      <c r="AO136" s="129">
        <f t="array" ref="AO136">IF(AM136="","",IFERROR(OFFSET($BZ$11,0,MATCH($AM136,$CA136:$FV136,0),),""))</f>
        <v/>
      </c>
      <c r="AP136" s="134">
        <f t="array" ref="AP136">IF(AM136="","",INDIRECT("'GRD-"&amp;AO136&amp;"'!$L$7"))</f>
        <v/>
      </c>
      <c r="AQ136" s="85">
        <f t="array" ref="AQ136">IFERROR(OFFSET($BZ$11,ROW($B136)-11,MATCH(AQ$10,$CA136:$FV136,0),),"")</f>
        <v/>
      </c>
      <c r="AR136" s="85">
        <f>IF(AQ136="","",IF(VLOOKUP($B136,INDIRECT("'GRD-"&amp;AS136&amp;"'!$B:$R"),16,FALSE)="","",VLOOKUP($B136,INDIRECT("'GRD-"&amp;AS136&amp;"'!$B:$R"),16,FALSE)))</f>
        <v/>
      </c>
      <c r="AS136" s="130">
        <f t="array" ref="AS136">IF(AQ136="","",IFERROR(OFFSET($BZ$11,0,MATCH($AQ136,$CA136:$FV136,0),),""))</f>
        <v/>
      </c>
      <c r="AT136" s="131">
        <f t="array" ref="AT136">IF(AQ136="","",INDIRECT("'GRD-"&amp;AS136&amp;"'!$L$7"))</f>
        <v/>
      </c>
      <c r="AU136" s="76">
        <f t="array" ref="AU136">IFERROR(OFFSET($BZ$11,ROW($B136)-11,MATCH(AU$10,$CA136:$FV136,0),),"")</f>
        <v/>
      </c>
      <c r="AV136" s="76">
        <f>IF(AU136="","",IF(VLOOKUP($B136,INDIRECT("'GRD-"&amp;AW136&amp;"'!$B:$R"),16,FALSE)="","",VLOOKUP($B136,INDIRECT("'GRD-"&amp;AW136&amp;"'!$B:$R"),16,FALSE)))</f>
        <v/>
      </c>
      <c r="AW136" s="132">
        <f t="array" ref="AW136">IF(AU136="","",IFERROR(OFFSET($BZ$11,0,MATCH($AU136,$CA136:$FV136,0),),""))</f>
        <v/>
      </c>
      <c r="AX136" s="121">
        <f t="array" ref="AX136">IF(AU136="","",INDIRECT("'GRD-"&amp;AW136&amp;"'!$L$7"))</f>
        <v/>
      </c>
      <c r="AY136" s="83">
        <f t="array" ref="AY136">IFERROR(OFFSET($BZ$11,ROW($B136)-11,MATCH(AY$10,$CA136:$FV136,0),),"")</f>
        <v/>
      </c>
      <c r="AZ136" s="83">
        <f>IF(AY136="","",IF(VLOOKUP($B136,INDIRECT("'GRD-"&amp;BA136&amp;"'!$B:$R"),16,FALSE)="","",VLOOKUP($B136,INDIRECT("'GRD-"&amp;BA136&amp;"'!$B:$R"),16,FALSE)))</f>
        <v/>
      </c>
      <c r="BA136" s="128">
        <f t="array" ref="BA136">IF(AY136="","",IFERROR(OFFSET($BZ$11,0,MATCH($AY136,$CA136:$FV136,0),),""))</f>
        <v/>
      </c>
      <c r="BB136" s="133">
        <f t="array" ref="BB136">IF(AY136="","",INDIRECT("'GRD-"&amp;BA136&amp;"'!$L$7"))</f>
        <v/>
      </c>
      <c r="BC136" s="84">
        <f t="array" ref="BC136">IFERROR(OFFSET($BZ$11,ROW($B136)-11,MATCH(BC$10,$CA136:$FV136,0),),"")</f>
        <v/>
      </c>
      <c r="BD136" s="84">
        <f>IF(BC136="","",IF(VLOOKUP($B136,INDIRECT("'GRD-"&amp;BE136&amp;"'!$B:$R"),16,FALSE)="","",VLOOKUP($B136,INDIRECT("'GRD-"&amp;BE136&amp;"'!$B:$R"),16,FALSE)))</f>
        <v/>
      </c>
      <c r="BE136" s="129">
        <f t="array" ref="BE136">IF(BC136="","",IFERROR(OFFSET($BZ$11,0,MATCH($BC136,$CA136:$FV136,0),),""))</f>
        <v/>
      </c>
      <c r="BF136" s="134">
        <f t="array" ref="BF136">IF(BC136="","",INDIRECT("'GRD-"&amp;BE136&amp;"'!$L$7"))</f>
        <v/>
      </c>
      <c r="CA136" s="96">
        <f>IFERROR(VLOOKUP($B136,INDIRECT("'GRD-"&amp;CA$11&amp;"'!B:R"),15,FALSE),"")</f>
        <v/>
      </c>
      <c r="CB136" s="96">
        <f>IFERROR(VLOOKUP($B136,INDIRECT("'GRD-"&amp;CB$11&amp;"'!B:R"),15,FALSE),"")</f>
        <v/>
      </c>
      <c r="CC136" s="96">
        <f>IFERROR(VLOOKUP($B136,INDIRECT("'GRD-"&amp;CC$11&amp;"'!B:R"),15,FALSE),"")</f>
        <v/>
      </c>
      <c r="CD136" s="96">
        <f>IFERROR(VLOOKUP($B136,INDIRECT("'GRD-"&amp;CD$11&amp;"'!B:R"),15,FALSE),"")</f>
        <v/>
      </c>
      <c r="CE136" s="96">
        <f>IFERROR(VLOOKUP($B136,INDIRECT("'GRD-"&amp;CE$11&amp;"'!B:R"),15,FALSE),"")</f>
        <v/>
      </c>
      <c r="CF136" s="96">
        <f>IFERROR(VLOOKUP($B136,INDIRECT("'GRD-"&amp;CF$11&amp;"'!B:R"),15,FALSE),"")</f>
        <v/>
      </c>
      <c r="CG136" s="96">
        <f>IFERROR(VLOOKUP($B136,INDIRECT("'GRD-"&amp;CG$11&amp;"'!B:R"),15,FALSE),"")</f>
        <v/>
      </c>
      <c r="CH136" s="96">
        <f>IFERROR(VLOOKUP($B136,INDIRECT("'GRD-"&amp;CH$11&amp;"'!B:R"),15,FALSE),"")</f>
        <v/>
      </c>
      <c r="CI136" s="96">
        <f>IFERROR(VLOOKUP($B136,INDIRECT("'GRD-"&amp;CI$11&amp;"'!B:R"),15,FALSE),"")</f>
        <v/>
      </c>
      <c r="CJ136" s="96">
        <f>IFERROR(VLOOKUP($B136,INDIRECT("'GRD-"&amp;CJ$11&amp;"'!B:R"),15,FALSE),"")</f>
        <v/>
      </c>
      <c r="CK136" s="96">
        <f>IFERROR(VLOOKUP($B136,INDIRECT("'GRD-"&amp;CK$11&amp;"'!B:R"),15,FALSE),"")</f>
        <v/>
      </c>
      <c r="CL136" s="96">
        <f>IFERROR(VLOOKUP($B136,INDIRECT("'GRD-"&amp;CL$11&amp;"'!B:R"),15,FALSE),"")</f>
        <v/>
      </c>
      <c r="CM136" s="96">
        <f>IFERROR(VLOOKUP($B136,INDIRECT("'GRD-"&amp;CM$11&amp;"'!B:R"),15,FALSE),"")</f>
        <v/>
      </c>
      <c r="CN136" s="96">
        <f>IFERROR(VLOOKUP($B136,INDIRECT("'GRD-"&amp;CN$11&amp;"'!B:R"),15,FALSE),"")</f>
        <v/>
      </c>
      <c r="CO136" s="96">
        <f>IFERROR(VLOOKUP($B136,INDIRECT("'GRD-"&amp;CO$11&amp;"'!B:R"),15,FALSE),"")</f>
        <v/>
      </c>
      <c r="CP136" s="96">
        <f>IFERROR(VLOOKUP($B136,INDIRECT("'GRD-"&amp;CP$11&amp;"'!B:R"),15,FALSE),"")</f>
        <v/>
      </c>
      <c r="CQ136" s="96">
        <f>IFERROR(VLOOKUP($B136,INDIRECT("'GRD-"&amp;CQ$11&amp;"'!B:R"),15,FALSE),"")</f>
        <v/>
      </c>
      <c r="CR136" s="96">
        <f>IFERROR(VLOOKUP($B136,INDIRECT("'GRD-"&amp;CR$11&amp;"'!B:R"),15,FALSE),"")</f>
        <v/>
      </c>
      <c r="CS136" s="96">
        <f>IFERROR(VLOOKUP($B136,INDIRECT("'GRD-"&amp;CS$11&amp;"'!B:R"),15,FALSE),"")</f>
        <v/>
      </c>
      <c r="CT136" s="96">
        <f>IFERROR(VLOOKUP($B136,INDIRECT("'GRD-"&amp;CT$11&amp;"'!B:R"),15,FALSE),"")</f>
        <v/>
      </c>
      <c r="CU136" s="96">
        <f>IFERROR(VLOOKUP($B136,INDIRECT("'GRD-"&amp;CU$11&amp;"'!B:R"),15,FALSE),"")</f>
        <v/>
      </c>
      <c r="CV136" s="96">
        <f>IFERROR(VLOOKUP($B136,INDIRECT("'GRD-"&amp;CV$11&amp;"'!B:R"),15,FALSE),"")</f>
        <v/>
      </c>
      <c r="CW136" s="96">
        <f>IFERROR(VLOOKUP($B136,INDIRECT("'GRD-"&amp;CW$11&amp;"'!B:R"),15,FALSE),"")</f>
        <v/>
      </c>
      <c r="CX136" s="96">
        <f>IFERROR(VLOOKUP($B136,INDIRECT("'GRD-"&amp;CX$11&amp;"'!B:R"),15,FALSE),"")</f>
        <v/>
      </c>
      <c r="CY136" s="96">
        <f>IFERROR(VLOOKUP($B136,INDIRECT("'GRD-"&amp;CY$11&amp;"'!B:R"),15,FALSE),"")</f>
        <v/>
      </c>
      <c r="CZ136" s="96">
        <f>IFERROR(VLOOKUP($B136,INDIRECT("'GRD-"&amp;CZ$11&amp;"'!B:R"),15,FALSE),"")</f>
        <v/>
      </c>
      <c r="DA136" s="96">
        <f>IFERROR(VLOOKUP($B136,INDIRECT("'GRD-"&amp;DA$11&amp;"'!B:R"),15,FALSE),"")</f>
        <v/>
      </c>
      <c r="DB136" s="96">
        <f>IFERROR(VLOOKUP($B136,INDIRECT("'GRD-"&amp;DB$11&amp;"'!B:R"),15,FALSE),"")</f>
        <v/>
      </c>
      <c r="DC136" s="96">
        <f>IFERROR(VLOOKUP($B136,INDIRECT("'GRD-"&amp;DC$11&amp;"'!B:R"),15,FALSE),"")</f>
        <v/>
      </c>
      <c r="DD136" s="96">
        <f>IFERROR(VLOOKUP($B136,INDIRECT("'GRD-"&amp;DD$11&amp;"'!B:R"),15,FALSE),"")</f>
        <v/>
      </c>
      <c r="DE136" s="96">
        <f>IFERROR(VLOOKUP($B136,INDIRECT("'GRD-"&amp;DE$11&amp;"'!B:R"),15,FALSE),"")</f>
        <v/>
      </c>
      <c r="DF136" s="96">
        <f>IFERROR(VLOOKUP($B136,INDIRECT("'GRD-"&amp;DF$11&amp;"'!B:R"),15,FALSE),"")</f>
        <v/>
      </c>
      <c r="DG136" s="96">
        <f>IFERROR(VLOOKUP($B136,INDIRECT("'GRD-"&amp;DG$11&amp;"'!B:R"),15,FALSE),"")</f>
        <v/>
      </c>
      <c r="DH136" s="96">
        <f>IFERROR(VLOOKUP($B136,INDIRECT("'GRD-"&amp;DH$11&amp;"'!B:R"),15,FALSE),"")</f>
        <v/>
      </c>
      <c r="DI136" s="96">
        <f>IFERROR(VLOOKUP($B136,INDIRECT("'GRD-"&amp;DI$11&amp;"'!B:R"),15,FALSE),"")</f>
        <v/>
      </c>
      <c r="DJ136" s="96">
        <f>IFERROR(VLOOKUP($B136,INDIRECT("'GRD-"&amp;DJ$11&amp;"'!B:R"),15,FALSE),"")</f>
        <v/>
      </c>
      <c r="DK136" s="96">
        <f>IFERROR(VLOOKUP($B136,INDIRECT("'GRD-"&amp;DK$11&amp;"'!B:R"),15,FALSE),"")</f>
        <v/>
      </c>
      <c r="DL136" s="96">
        <f>IFERROR(VLOOKUP($B136,INDIRECT("'GRD-"&amp;DL$11&amp;"'!B:R"),15,FALSE),"")</f>
        <v/>
      </c>
      <c r="DM136" s="96">
        <f>IFERROR(VLOOKUP($B136,INDIRECT("'GRD-"&amp;DM$11&amp;"'!B:R"),15,FALSE),"")</f>
        <v/>
      </c>
      <c r="DN136" s="96">
        <f>IFERROR(VLOOKUP($B136,INDIRECT("'GRD-"&amp;DN$11&amp;"'!B:R"),15,FALSE),"")</f>
        <v/>
      </c>
      <c r="DO136" s="96">
        <f>IFERROR(VLOOKUP($B136,INDIRECT("'GRD-"&amp;DO$11&amp;"'!B:R"),15,FALSE),"")</f>
        <v/>
      </c>
      <c r="DP136" s="96">
        <f>IFERROR(VLOOKUP($B136,INDIRECT("'GRD-"&amp;DP$11&amp;"'!B:R"),15,FALSE),"")</f>
        <v/>
      </c>
      <c r="DQ136" s="96">
        <f>IFERROR(VLOOKUP($B136,INDIRECT("'GRD-"&amp;DQ$11&amp;"'!B:R"),15,FALSE),"")</f>
        <v/>
      </c>
      <c r="DR136" s="96">
        <f>IFERROR(VLOOKUP($B136,INDIRECT("'GRD-"&amp;DR$11&amp;"'!B:R"),15,FALSE),"")</f>
        <v/>
      </c>
      <c r="DS136" s="96">
        <f>IFERROR(VLOOKUP($B136,INDIRECT("'GRD-"&amp;DS$11&amp;"'!B:R"),15,FALSE),"")</f>
        <v/>
      </c>
      <c r="DT136" s="96">
        <f>IFERROR(VLOOKUP($B136,INDIRECT("'GRD-"&amp;DT$11&amp;"'!B:R"),15,FALSE),"")</f>
        <v/>
      </c>
      <c r="DU136" s="96">
        <f>IFERROR(VLOOKUP($B136,INDIRECT("'GRD-"&amp;DU$11&amp;"'!B:R"),15,FALSE),"")</f>
        <v/>
      </c>
      <c r="DV136" s="96">
        <f>IFERROR(VLOOKUP($B136,INDIRECT("'GRD-"&amp;DV$11&amp;"'!B:R"),15,FALSE),"")</f>
        <v/>
      </c>
      <c r="DW136" s="96">
        <f>IFERROR(VLOOKUP($B136,INDIRECT("'GRD-"&amp;DW$11&amp;"'!B:R"),15,FALSE),"")</f>
        <v/>
      </c>
      <c r="DX136" s="96">
        <f>IFERROR(VLOOKUP($B136,INDIRECT("'GRD-"&amp;DX$11&amp;"'!B:R"),15,FALSE),"")</f>
        <v/>
      </c>
      <c r="DY136" s="96">
        <f>IFERROR(VLOOKUP($B136,INDIRECT("'GRD-"&amp;DY$11&amp;"'!B:R"),15,FALSE),"")</f>
        <v/>
      </c>
      <c r="DZ136" s="96">
        <f>IFERROR(VLOOKUP($B136,INDIRECT("'GRD-"&amp;DZ$11&amp;"'!B:R"),15,FALSE),"")</f>
        <v/>
      </c>
      <c r="EA136" s="96">
        <f>IFERROR(VLOOKUP($B136,INDIRECT("'GRD-"&amp;EA$11&amp;"'!B:R"),15,FALSE),"")</f>
        <v/>
      </c>
      <c r="EB136" s="96">
        <f>IFERROR(VLOOKUP($B136,INDIRECT("'GRD-"&amp;EB$11&amp;"'!B:R"),15,FALSE),"")</f>
        <v/>
      </c>
      <c r="EC136" s="96">
        <f>IFERROR(VLOOKUP($B136,INDIRECT("'GRD-"&amp;EC$11&amp;"'!B:R"),15,FALSE),"")</f>
        <v/>
      </c>
      <c r="ED136" s="96">
        <f>IFERROR(VLOOKUP($B136,INDIRECT("'GRD-"&amp;ED$11&amp;"'!B:R"),15,FALSE),"")</f>
        <v/>
      </c>
      <c r="EE136" s="96">
        <f>IFERROR(VLOOKUP($B136,INDIRECT("'GRD-"&amp;EE$11&amp;"'!B:R"),15,FALSE),"")</f>
        <v/>
      </c>
      <c r="EF136" s="96">
        <f>IFERROR(VLOOKUP($B136,INDIRECT("'GRD-"&amp;EF$11&amp;"'!B:R"),15,FALSE),"")</f>
        <v/>
      </c>
      <c r="EG136" s="96">
        <f>IFERROR(VLOOKUP($B136,INDIRECT("'GRD-"&amp;EG$11&amp;"'!B:R"),15,FALSE),"")</f>
        <v/>
      </c>
      <c r="EH136" s="96">
        <f>IFERROR(VLOOKUP($B136,INDIRECT("'GRD-"&amp;EH$11&amp;"'!B:R"),15,FALSE),"")</f>
        <v/>
      </c>
      <c r="EI136" s="96">
        <f>IFERROR(VLOOKUP($B136,INDIRECT("'GRD-"&amp;EI$11&amp;"'!B:R"),15,FALSE),"")</f>
        <v/>
      </c>
      <c r="EJ136" s="96">
        <f>IFERROR(VLOOKUP($B136,INDIRECT("'GRD-"&amp;EJ$11&amp;"'!B:R"),15,FALSE),"")</f>
        <v/>
      </c>
      <c r="EK136" s="96">
        <f>IFERROR(VLOOKUP($B136,INDIRECT("'GRD-"&amp;EK$11&amp;"'!B:R"),15,FALSE),"")</f>
        <v/>
      </c>
      <c r="EL136" s="96">
        <f>IFERROR(VLOOKUP($B136,INDIRECT("'GRD-"&amp;EL$11&amp;"'!B:R"),15,FALSE),"")</f>
        <v/>
      </c>
      <c r="EM136" s="96">
        <f>IFERROR(VLOOKUP($B136,INDIRECT("'GRD-"&amp;EM$11&amp;"'!B:R"),15,FALSE),"")</f>
        <v/>
      </c>
      <c r="EN136" s="96">
        <f>IFERROR(VLOOKUP($B136,INDIRECT("'GRD-"&amp;EN$11&amp;"'!B:R"),15,FALSE),"")</f>
        <v/>
      </c>
      <c r="EO136" s="96">
        <f>IFERROR(VLOOKUP($B136,INDIRECT("'GRD-"&amp;EO$11&amp;"'!B:R"),15,FALSE),"")</f>
        <v/>
      </c>
      <c r="EP136" s="96">
        <f>IFERROR(VLOOKUP($B136,INDIRECT("'GRD-"&amp;EP$11&amp;"'!B:R"),15,FALSE),"")</f>
        <v/>
      </c>
      <c r="EQ136" s="96">
        <f>IFERROR(VLOOKUP($B136,INDIRECT("'GRD-"&amp;EQ$11&amp;"'!B:R"),15,FALSE),"")</f>
        <v/>
      </c>
      <c r="ER136" s="96">
        <f>IFERROR(VLOOKUP($B136,INDIRECT("'GRD-"&amp;ER$11&amp;"'!B:R"),15,FALSE),"")</f>
        <v/>
      </c>
      <c r="ES136" s="96">
        <f>IFERROR(VLOOKUP($B136,INDIRECT("'GRD-"&amp;ES$11&amp;"'!B:R"),15,FALSE),"")</f>
        <v/>
      </c>
      <c r="ET136" s="96">
        <f>IFERROR(VLOOKUP($B136,INDIRECT("'GRD-"&amp;ET$11&amp;"'!B:R"),15,FALSE),"")</f>
        <v/>
      </c>
      <c r="EU136" s="96">
        <f>IFERROR(VLOOKUP($B136,INDIRECT("'GRD-"&amp;EU$11&amp;"'!B:R"),15,FALSE),"")</f>
        <v/>
      </c>
      <c r="EV136" s="96">
        <f>IFERROR(VLOOKUP($B136,INDIRECT("'GRD-"&amp;EV$11&amp;"'!B:R"),15,FALSE),"")</f>
        <v/>
      </c>
      <c r="EW136" s="96">
        <f>IFERROR(VLOOKUP($B136,INDIRECT("'GRD-"&amp;EW$11&amp;"'!B:R"),15,FALSE),"")</f>
        <v/>
      </c>
      <c r="EX136" s="96">
        <f>IFERROR(VLOOKUP($B136,INDIRECT("'GRD-"&amp;EX$11&amp;"'!B:R"),15,FALSE),"")</f>
        <v/>
      </c>
      <c r="EY136" s="96">
        <f>IFERROR(VLOOKUP($B136,INDIRECT("'GRD-"&amp;EY$11&amp;"'!B:R"),15,FALSE),"")</f>
        <v/>
      </c>
      <c r="EZ136" s="96">
        <f>IFERROR(VLOOKUP($B136,INDIRECT("'GRD-"&amp;EZ$11&amp;"'!B:R"),15,FALSE),"")</f>
        <v/>
      </c>
      <c r="FA136" s="96">
        <f>IFERROR(VLOOKUP($B136,INDIRECT("'GRD-"&amp;FA$11&amp;"'!B:R"),15,FALSE),"")</f>
        <v/>
      </c>
      <c r="FB136" s="96">
        <f>IFERROR(VLOOKUP($B136,INDIRECT("'GRD-"&amp;FB$11&amp;"'!B:R"),15,FALSE),"")</f>
        <v/>
      </c>
      <c r="FC136" s="96">
        <f>IFERROR(VLOOKUP($B136,INDIRECT("'GRD-"&amp;FC$11&amp;"'!B:R"),15,FALSE),"")</f>
        <v/>
      </c>
      <c r="FD136" s="96">
        <f>IFERROR(VLOOKUP($B136,INDIRECT("'GRD-"&amp;FD$11&amp;"'!B:R"),15,FALSE),"")</f>
        <v/>
      </c>
      <c r="FE136" s="96">
        <f>IFERROR(VLOOKUP($B136,INDIRECT("'GRD-"&amp;FE$11&amp;"'!B:R"),15,FALSE),"")</f>
        <v/>
      </c>
      <c r="FF136" s="96">
        <f>IFERROR(VLOOKUP($B136,INDIRECT("'GRD-"&amp;FF$11&amp;"'!B:R"),15,FALSE),"")</f>
        <v/>
      </c>
      <c r="FG136" s="96">
        <f>IFERROR(VLOOKUP($B136,INDIRECT("'GRD-"&amp;FG$11&amp;"'!B:R"),15,FALSE),"")</f>
        <v/>
      </c>
      <c r="FH136" s="96">
        <f>IFERROR(VLOOKUP($B136,INDIRECT("'GRD-"&amp;FH$11&amp;"'!B:R"),15,FALSE),"")</f>
        <v/>
      </c>
      <c r="FI136" s="96">
        <f>IFERROR(VLOOKUP($B136,INDIRECT("'GRD-"&amp;FI$11&amp;"'!B:R"),15,FALSE),"")</f>
        <v/>
      </c>
      <c r="FJ136" s="96">
        <f>IFERROR(VLOOKUP($B136,INDIRECT("'GRD-"&amp;FJ$11&amp;"'!B:R"),15,FALSE),"")</f>
        <v/>
      </c>
      <c r="FK136" s="96">
        <f>IFERROR(VLOOKUP($B136,INDIRECT("'GRD-"&amp;FK$11&amp;"'!B:R"),15,FALSE),"")</f>
        <v/>
      </c>
      <c r="FL136" s="96">
        <f>IFERROR(VLOOKUP($B136,INDIRECT("'GRD-"&amp;FL$11&amp;"'!B:R"),15,FALSE),"")</f>
        <v/>
      </c>
      <c r="FM136" s="96">
        <f>IFERROR(VLOOKUP($B136,INDIRECT("'GRD-"&amp;FM$11&amp;"'!B:R"),15,FALSE),"")</f>
        <v/>
      </c>
      <c r="FN136" s="96">
        <f>IFERROR(VLOOKUP($B136,INDIRECT("'GRD-"&amp;FN$11&amp;"'!B:R"),15,FALSE),"")</f>
        <v/>
      </c>
      <c r="FO136" s="96">
        <f>IFERROR(VLOOKUP($B136,INDIRECT("'GRD-"&amp;FO$11&amp;"'!B:R"),15,FALSE),"")</f>
        <v/>
      </c>
      <c r="FP136" s="96">
        <f>IFERROR(VLOOKUP($B136,INDIRECT("'GRD-"&amp;FP$11&amp;"'!B:R"),15,FALSE),"")</f>
        <v/>
      </c>
      <c r="FQ136" s="96">
        <f>IFERROR(VLOOKUP($B136,INDIRECT("'GRD-"&amp;FQ$11&amp;"'!B:R"),15,FALSE),"")</f>
        <v/>
      </c>
      <c r="FR136" s="96">
        <f>IFERROR(VLOOKUP($B136,INDIRECT("'GRD-"&amp;FR$11&amp;"'!B:R"),15,FALSE),"")</f>
        <v/>
      </c>
      <c r="FS136" s="96">
        <f>IFERROR(VLOOKUP($B136,INDIRECT("'GRD-"&amp;FS$11&amp;"'!B:R"),15,FALSE),"")</f>
        <v/>
      </c>
      <c r="FT136" s="96">
        <f>IFERROR(VLOOKUP($B136,INDIRECT("'GRD-"&amp;FT$11&amp;"'!B:R"),15,FALSE),"")</f>
        <v/>
      </c>
      <c r="FU136" s="96">
        <f>IFERROR(VLOOKUP($B136,INDIRECT("'GRD-"&amp;FU$11&amp;"'!B:R"),15,FALSE),"")</f>
        <v/>
      </c>
      <c r="FV136" s="96">
        <f>IFERROR(VLOOKUP($B136,INDIRECT("'GRD-"&amp;FV$11&amp;"'!B:R"),15,FALSE),"")</f>
        <v/>
      </c>
    </row>
    <row r="137">
      <c r="B137" s="85" t="n"/>
      <c r="C137" s="93" t="n"/>
      <c r="D137" s="73">
        <f>IF(K137="","",MAX($CA137:$FV137))</f>
        <v/>
      </c>
      <c r="E137" s="74">
        <f t="array" ref="E137">IF($K137="","",OFFSET($A$1,ROW($B137)-1,11+$D137*4,))</f>
        <v/>
      </c>
      <c r="F137" s="74">
        <f t="array" ref="F137">IF($K137="","",OFFSET($A$1,ROW($B137)-1,12+$D137*4,))</f>
        <v/>
      </c>
      <c r="G137" s="118">
        <f t="array" ref="G137">IF($K137="","",OFFSET($A$1,ROW($B137)-1,13+$D137*4,))</f>
        <v/>
      </c>
      <c r="H137" s="81" t="n"/>
      <c r="I137" s="82" t="n"/>
      <c r="J137" s="75">
        <f>IF(I137="A4",H137/8,IF(I137="A3",H137/4,IF(I137="A2",H137/2,IF(I137="A1",H137/1,IF(I137="A0",H137*2,"")))))</f>
        <v/>
      </c>
      <c r="K137" s="68">
        <f t="array" ref="K137">IFERROR(OFFSET($BZ$11,ROW($B137)-11,MATCH(K$10,$CA137:$FV137,0),),"")</f>
        <v/>
      </c>
      <c r="L137" s="85">
        <f>IF(K137="","",IF(VLOOKUP($B137,INDIRECT("'GRD-"&amp;M137&amp;"'!$B:$R"),16,FALSE)="","",VLOOKUP($B137,INDIRECT("'GRD-"&amp;M137&amp;"'!$B:$R"),16,FALSE)))</f>
        <v/>
      </c>
      <c r="M137" s="130">
        <f t="array" ref="M137">IF(K137="","",IFERROR(OFFSET($BZ$11,0,MATCH($K137,$CA137:$FV137,0),),""))</f>
        <v/>
      </c>
      <c r="N137" s="119">
        <f t="array" ref="N137">IF(K137="","",INDIRECT("'GRD-"&amp;M137&amp;"'!$L$7"))</f>
        <v/>
      </c>
      <c r="O137" s="76">
        <f t="array" ref="O137">IFERROR(OFFSET($BZ$11,ROW($B137)-11,MATCH(O$10,$CA137:$FV137,0),),"")</f>
        <v/>
      </c>
      <c r="P137" s="76">
        <f>IF(O137="","",IF(VLOOKUP($B137,INDIRECT("'GRD-"&amp;Q137&amp;"'!$B:$R"),16,FALSE)="","",VLOOKUP($B137,INDIRECT("'GRD-"&amp;Q137&amp;"'!$B:$R"),16,FALSE)))</f>
        <v/>
      </c>
      <c r="Q137" s="132">
        <f t="array" ref="Q137">IF(O137="","",IFERROR(OFFSET($BZ$11,0,MATCH($O137,$CA137:$FV137,0),),""))</f>
        <v/>
      </c>
      <c r="R137" s="121">
        <f t="array" ref="R137">IF(O137="","",INDIRECT("'GRD-"&amp;Q137&amp;"'!$L$7"))</f>
        <v/>
      </c>
      <c r="S137" s="83">
        <f t="array" ref="S137">IFERROR(OFFSET($BZ$11,ROW($B137)-11,MATCH(S$10,$CA137:$FV137,0),),"")</f>
        <v/>
      </c>
      <c r="T137" s="83">
        <f>IF(S137="","",IF(VLOOKUP($B137,INDIRECT("'GRD-"&amp;U137&amp;"'!$B:$R"),16,FALSE)="","",VLOOKUP($B137,INDIRECT("'GRD-"&amp;U137&amp;"'!$B:$R"),16,FALSE)))</f>
        <v/>
      </c>
      <c r="U137" s="128">
        <f t="array" ref="U137">IF(S137="","",IFERROR(OFFSET($BZ$11,0,MATCH($S137,$CA137:$FV137,0),),""))</f>
        <v/>
      </c>
      <c r="V137" s="133">
        <f t="array" ref="V137">IF(S137="","",INDIRECT("'GRD-"&amp;U137&amp;"'!$L$7"))</f>
        <v/>
      </c>
      <c r="W137" s="84">
        <f t="array" ref="W137">IFERROR(OFFSET($BZ$11,ROW($B137)-11,MATCH(W$10,$CA137:$FV137,0),),"")</f>
        <v/>
      </c>
      <c r="X137" s="84">
        <f>IF(W137="","",IF(VLOOKUP($B137,INDIRECT("'GRD-"&amp;Y137&amp;"'!$B:$R"),16,FALSE)="","",VLOOKUP($B137,INDIRECT("'GRD-"&amp;Y137&amp;"'!$B:$R"),16,FALSE)))</f>
        <v/>
      </c>
      <c r="Y137" s="129">
        <f t="array" ref="Y137">IF(W137="","",IFERROR(OFFSET($BZ$11,0,MATCH($W137,$CA137:$FV137,0),),""))</f>
        <v/>
      </c>
      <c r="Z137" s="134">
        <f t="array" ref="Z137">IF(W137="","",INDIRECT("'GRD-"&amp;Y137&amp;"'!$L$7"))</f>
        <v/>
      </c>
      <c r="AA137" s="85">
        <f t="array" ref="AA137">IFERROR(OFFSET($BZ$11,ROW($B137)-11,MATCH(AA$10,$CA137:$FV137,0),),"")</f>
        <v/>
      </c>
      <c r="AB137" s="85">
        <f>IF(AA137="","",IF(VLOOKUP($B137,INDIRECT("'GRD-"&amp;AC137&amp;"'!$B:$R"),16,FALSE)="","",VLOOKUP($B137,INDIRECT("'GRD-"&amp;AC137&amp;"'!$B:$R"),16,FALSE)))</f>
        <v/>
      </c>
      <c r="AC137" s="130">
        <f t="array" ref="AC137">IF(AA137="","",IFERROR(OFFSET($BZ$11,0,MATCH($AA137,$CA137:$FV137,0),),""))</f>
        <v/>
      </c>
      <c r="AD137" s="131">
        <f t="array" ref="AD137">IF(AA137="","",INDIRECT("'GRD-"&amp;AC137&amp;"'!$L$7"))</f>
        <v/>
      </c>
      <c r="AE137" s="76">
        <f t="array" ref="AE137">IFERROR(OFFSET($BZ$11,ROW($B137)-11,MATCH(AE$10,$CA137:$FV137,0),),"")</f>
        <v/>
      </c>
      <c r="AF137" s="76">
        <f>IF(AE137="","",IF(VLOOKUP($B137,INDIRECT("'GRD-"&amp;AG137&amp;"'!$B:$R"),16,FALSE)="","",VLOOKUP($B137,INDIRECT("'GRD-"&amp;AG137&amp;"'!$B:$R"),16,FALSE)))</f>
        <v/>
      </c>
      <c r="AG137" s="132">
        <f t="array" ref="AG137">IF(AE137="","",IFERROR(OFFSET($BZ$11,0,MATCH($AE137,$CA137:$FV137,0),),""))</f>
        <v/>
      </c>
      <c r="AH137" s="121">
        <f t="array" ref="AH137">IF(AE137="","",INDIRECT("'GRD-"&amp;AG137&amp;"'!$L$7"))</f>
        <v/>
      </c>
      <c r="AI137" s="83">
        <f t="array" ref="AI137">IFERROR(OFFSET($BZ$11,ROW($B137)-11,MATCH(AI$10,$CA137:$FV137,0),),"")</f>
        <v/>
      </c>
      <c r="AJ137" s="83">
        <f>IF(AI137="","",IF(VLOOKUP($B137,INDIRECT("'GRD-"&amp;AK137&amp;"'!$B:$R"),16,FALSE)="","",VLOOKUP($B137,INDIRECT("'GRD-"&amp;AK137&amp;"'!$B:$R"),16,FALSE)))</f>
        <v/>
      </c>
      <c r="AK137" s="128">
        <f t="array" ref="AK137">IF(AI137="","",IFERROR(OFFSET($BZ$11,0,MATCH($AI137,$CA137:$FV137,0),),""))</f>
        <v/>
      </c>
      <c r="AL137" s="133">
        <f t="array" ref="AL137">IF(AI137="","",INDIRECT("'GRD-"&amp;AK137&amp;"'!$L$7"))</f>
        <v/>
      </c>
      <c r="AM137" s="84">
        <f t="array" ref="AM137">IFERROR(OFFSET($BZ$11,ROW($B137)-11,MATCH(AM$10,$CA137:$FV137,0),),"")</f>
        <v/>
      </c>
      <c r="AN137" s="84">
        <f>IF(AM137="","",IF(VLOOKUP($B137,INDIRECT("'GRD-"&amp;AO137&amp;"'!$B:$R"),16,FALSE)="","",VLOOKUP($B137,INDIRECT("'GRD-"&amp;AO137&amp;"'!$B:$R"),16,FALSE)))</f>
        <v/>
      </c>
      <c r="AO137" s="129">
        <f t="array" ref="AO137">IF(AM137="","",IFERROR(OFFSET($BZ$11,0,MATCH($AM137,$CA137:$FV137,0),),""))</f>
        <v/>
      </c>
      <c r="AP137" s="134">
        <f t="array" ref="AP137">IF(AM137="","",INDIRECT("'GRD-"&amp;AO137&amp;"'!$L$7"))</f>
        <v/>
      </c>
      <c r="AQ137" s="85">
        <f t="array" ref="AQ137">IFERROR(OFFSET($BZ$11,ROW($B137)-11,MATCH(AQ$10,$CA137:$FV137,0),),"")</f>
        <v/>
      </c>
      <c r="AR137" s="85">
        <f>IF(AQ137="","",IF(VLOOKUP($B137,INDIRECT("'GRD-"&amp;AS137&amp;"'!$B:$R"),16,FALSE)="","",VLOOKUP($B137,INDIRECT("'GRD-"&amp;AS137&amp;"'!$B:$R"),16,FALSE)))</f>
        <v/>
      </c>
      <c r="AS137" s="130">
        <f t="array" ref="AS137">IF(AQ137="","",IFERROR(OFFSET($BZ$11,0,MATCH($AQ137,$CA137:$FV137,0),),""))</f>
        <v/>
      </c>
      <c r="AT137" s="131">
        <f t="array" ref="AT137">IF(AQ137="","",INDIRECT("'GRD-"&amp;AS137&amp;"'!$L$7"))</f>
        <v/>
      </c>
      <c r="AU137" s="76">
        <f t="array" ref="AU137">IFERROR(OFFSET($BZ$11,ROW($B137)-11,MATCH(AU$10,$CA137:$FV137,0),),"")</f>
        <v/>
      </c>
      <c r="AV137" s="76">
        <f>IF(AU137="","",IF(VLOOKUP($B137,INDIRECT("'GRD-"&amp;AW137&amp;"'!$B:$R"),16,FALSE)="","",VLOOKUP($B137,INDIRECT("'GRD-"&amp;AW137&amp;"'!$B:$R"),16,FALSE)))</f>
        <v/>
      </c>
      <c r="AW137" s="132">
        <f t="array" ref="AW137">IF(AU137="","",IFERROR(OFFSET($BZ$11,0,MATCH($AU137,$CA137:$FV137,0),),""))</f>
        <v/>
      </c>
      <c r="AX137" s="121">
        <f t="array" ref="AX137">IF(AU137="","",INDIRECT("'GRD-"&amp;AW137&amp;"'!$L$7"))</f>
        <v/>
      </c>
      <c r="AY137" s="83">
        <f t="array" ref="AY137">IFERROR(OFFSET($BZ$11,ROW($B137)-11,MATCH(AY$10,$CA137:$FV137,0),),"")</f>
        <v/>
      </c>
      <c r="AZ137" s="83">
        <f>IF(AY137="","",IF(VLOOKUP($B137,INDIRECT("'GRD-"&amp;BA137&amp;"'!$B:$R"),16,FALSE)="","",VLOOKUP($B137,INDIRECT("'GRD-"&amp;BA137&amp;"'!$B:$R"),16,FALSE)))</f>
        <v/>
      </c>
      <c r="BA137" s="128">
        <f t="array" ref="BA137">IF(AY137="","",IFERROR(OFFSET($BZ$11,0,MATCH($AY137,$CA137:$FV137,0),),""))</f>
        <v/>
      </c>
      <c r="BB137" s="133">
        <f t="array" ref="BB137">IF(AY137="","",INDIRECT("'GRD-"&amp;BA137&amp;"'!$L$7"))</f>
        <v/>
      </c>
      <c r="BC137" s="84">
        <f t="array" ref="BC137">IFERROR(OFFSET($BZ$11,ROW($B137)-11,MATCH(BC$10,$CA137:$FV137,0),),"")</f>
        <v/>
      </c>
      <c r="BD137" s="84">
        <f>IF(BC137="","",IF(VLOOKUP($B137,INDIRECT("'GRD-"&amp;BE137&amp;"'!$B:$R"),16,FALSE)="","",VLOOKUP($B137,INDIRECT("'GRD-"&amp;BE137&amp;"'!$B:$R"),16,FALSE)))</f>
        <v/>
      </c>
      <c r="BE137" s="129">
        <f t="array" ref="BE137">IF(BC137="","",IFERROR(OFFSET($BZ$11,0,MATCH($BC137,$CA137:$FV137,0),),""))</f>
        <v/>
      </c>
      <c r="BF137" s="134">
        <f t="array" ref="BF137">IF(BC137="","",INDIRECT("'GRD-"&amp;BE137&amp;"'!$L$7"))</f>
        <v/>
      </c>
      <c r="CA137" s="96">
        <f>IFERROR(VLOOKUP($B137,INDIRECT("'GRD-"&amp;CA$11&amp;"'!B:R"),15,FALSE),"")</f>
        <v/>
      </c>
      <c r="CB137" s="96">
        <f>IFERROR(VLOOKUP($B137,INDIRECT("'GRD-"&amp;CB$11&amp;"'!B:R"),15,FALSE),"")</f>
        <v/>
      </c>
      <c r="CC137" s="96">
        <f>IFERROR(VLOOKUP($B137,INDIRECT("'GRD-"&amp;CC$11&amp;"'!B:R"),15,FALSE),"")</f>
        <v/>
      </c>
      <c r="CD137" s="96">
        <f>IFERROR(VLOOKUP($B137,INDIRECT("'GRD-"&amp;CD$11&amp;"'!B:R"),15,FALSE),"")</f>
        <v/>
      </c>
      <c r="CE137" s="96">
        <f>IFERROR(VLOOKUP($B137,INDIRECT("'GRD-"&amp;CE$11&amp;"'!B:R"),15,FALSE),"")</f>
        <v/>
      </c>
      <c r="CF137" s="96">
        <f>IFERROR(VLOOKUP($B137,INDIRECT("'GRD-"&amp;CF$11&amp;"'!B:R"),15,FALSE),"")</f>
        <v/>
      </c>
      <c r="CG137" s="96">
        <f>IFERROR(VLOOKUP($B137,INDIRECT("'GRD-"&amp;CG$11&amp;"'!B:R"),15,FALSE),"")</f>
        <v/>
      </c>
      <c r="CH137" s="96">
        <f>IFERROR(VLOOKUP($B137,INDIRECT("'GRD-"&amp;CH$11&amp;"'!B:R"),15,FALSE),"")</f>
        <v/>
      </c>
      <c r="CI137" s="96">
        <f>IFERROR(VLOOKUP($B137,INDIRECT("'GRD-"&amp;CI$11&amp;"'!B:R"),15,FALSE),"")</f>
        <v/>
      </c>
      <c r="CJ137" s="96">
        <f>IFERROR(VLOOKUP($B137,INDIRECT("'GRD-"&amp;CJ$11&amp;"'!B:R"),15,FALSE),"")</f>
        <v/>
      </c>
      <c r="CK137" s="96">
        <f>IFERROR(VLOOKUP($B137,INDIRECT("'GRD-"&amp;CK$11&amp;"'!B:R"),15,FALSE),"")</f>
        <v/>
      </c>
      <c r="CL137" s="96">
        <f>IFERROR(VLOOKUP($B137,INDIRECT("'GRD-"&amp;CL$11&amp;"'!B:R"),15,FALSE),"")</f>
        <v/>
      </c>
      <c r="CM137" s="96">
        <f>IFERROR(VLOOKUP($B137,INDIRECT("'GRD-"&amp;CM$11&amp;"'!B:R"),15,FALSE),"")</f>
        <v/>
      </c>
      <c r="CN137" s="96">
        <f>IFERROR(VLOOKUP($B137,INDIRECT("'GRD-"&amp;CN$11&amp;"'!B:R"),15,FALSE),"")</f>
        <v/>
      </c>
      <c r="CO137" s="96">
        <f>IFERROR(VLOOKUP($B137,INDIRECT("'GRD-"&amp;CO$11&amp;"'!B:R"),15,FALSE),"")</f>
        <v/>
      </c>
      <c r="CP137" s="96">
        <f>IFERROR(VLOOKUP($B137,INDIRECT("'GRD-"&amp;CP$11&amp;"'!B:R"),15,FALSE),"")</f>
        <v/>
      </c>
      <c r="CQ137" s="96">
        <f>IFERROR(VLOOKUP($B137,INDIRECT("'GRD-"&amp;CQ$11&amp;"'!B:R"),15,FALSE),"")</f>
        <v/>
      </c>
      <c r="CR137" s="96">
        <f>IFERROR(VLOOKUP($B137,INDIRECT("'GRD-"&amp;CR$11&amp;"'!B:R"),15,FALSE),"")</f>
        <v/>
      </c>
      <c r="CS137" s="96">
        <f>IFERROR(VLOOKUP($B137,INDIRECT("'GRD-"&amp;CS$11&amp;"'!B:R"),15,FALSE),"")</f>
        <v/>
      </c>
      <c r="CT137" s="96">
        <f>IFERROR(VLOOKUP($B137,INDIRECT("'GRD-"&amp;CT$11&amp;"'!B:R"),15,FALSE),"")</f>
        <v/>
      </c>
      <c r="CU137" s="96">
        <f>IFERROR(VLOOKUP($B137,INDIRECT("'GRD-"&amp;CU$11&amp;"'!B:R"),15,FALSE),"")</f>
        <v/>
      </c>
      <c r="CV137" s="96">
        <f>IFERROR(VLOOKUP($B137,INDIRECT("'GRD-"&amp;CV$11&amp;"'!B:R"),15,FALSE),"")</f>
        <v/>
      </c>
      <c r="CW137" s="96">
        <f>IFERROR(VLOOKUP($B137,INDIRECT("'GRD-"&amp;CW$11&amp;"'!B:R"),15,FALSE),"")</f>
        <v/>
      </c>
      <c r="CX137" s="96">
        <f>IFERROR(VLOOKUP($B137,INDIRECT("'GRD-"&amp;CX$11&amp;"'!B:R"),15,FALSE),"")</f>
        <v/>
      </c>
      <c r="CY137" s="96">
        <f>IFERROR(VLOOKUP($B137,INDIRECT("'GRD-"&amp;CY$11&amp;"'!B:R"),15,FALSE),"")</f>
        <v/>
      </c>
      <c r="CZ137" s="96">
        <f>IFERROR(VLOOKUP($B137,INDIRECT("'GRD-"&amp;CZ$11&amp;"'!B:R"),15,FALSE),"")</f>
        <v/>
      </c>
      <c r="DA137" s="96">
        <f>IFERROR(VLOOKUP($B137,INDIRECT("'GRD-"&amp;DA$11&amp;"'!B:R"),15,FALSE),"")</f>
        <v/>
      </c>
      <c r="DB137" s="96">
        <f>IFERROR(VLOOKUP($B137,INDIRECT("'GRD-"&amp;DB$11&amp;"'!B:R"),15,FALSE),"")</f>
        <v/>
      </c>
      <c r="DC137" s="96">
        <f>IFERROR(VLOOKUP($B137,INDIRECT("'GRD-"&amp;DC$11&amp;"'!B:R"),15,FALSE),"")</f>
        <v/>
      </c>
      <c r="DD137" s="96">
        <f>IFERROR(VLOOKUP($B137,INDIRECT("'GRD-"&amp;DD$11&amp;"'!B:R"),15,FALSE),"")</f>
        <v/>
      </c>
      <c r="DE137" s="96">
        <f>IFERROR(VLOOKUP($B137,INDIRECT("'GRD-"&amp;DE$11&amp;"'!B:R"),15,FALSE),"")</f>
        <v/>
      </c>
      <c r="DF137" s="96">
        <f>IFERROR(VLOOKUP($B137,INDIRECT("'GRD-"&amp;DF$11&amp;"'!B:R"),15,FALSE),"")</f>
        <v/>
      </c>
      <c r="DG137" s="96">
        <f>IFERROR(VLOOKUP($B137,INDIRECT("'GRD-"&amp;DG$11&amp;"'!B:R"),15,FALSE),"")</f>
        <v/>
      </c>
      <c r="DH137" s="96">
        <f>IFERROR(VLOOKUP($B137,INDIRECT("'GRD-"&amp;DH$11&amp;"'!B:R"),15,FALSE),"")</f>
        <v/>
      </c>
      <c r="DI137" s="96">
        <f>IFERROR(VLOOKUP($B137,INDIRECT("'GRD-"&amp;DI$11&amp;"'!B:R"),15,FALSE),"")</f>
        <v/>
      </c>
      <c r="DJ137" s="96">
        <f>IFERROR(VLOOKUP($B137,INDIRECT("'GRD-"&amp;DJ$11&amp;"'!B:R"),15,FALSE),"")</f>
        <v/>
      </c>
      <c r="DK137" s="96">
        <f>IFERROR(VLOOKUP($B137,INDIRECT("'GRD-"&amp;DK$11&amp;"'!B:R"),15,FALSE),"")</f>
        <v/>
      </c>
      <c r="DL137" s="96">
        <f>IFERROR(VLOOKUP($B137,INDIRECT("'GRD-"&amp;DL$11&amp;"'!B:R"),15,FALSE),"")</f>
        <v/>
      </c>
      <c r="DM137" s="96">
        <f>IFERROR(VLOOKUP($B137,INDIRECT("'GRD-"&amp;DM$11&amp;"'!B:R"),15,FALSE),"")</f>
        <v/>
      </c>
      <c r="DN137" s="96">
        <f>IFERROR(VLOOKUP($B137,INDIRECT("'GRD-"&amp;DN$11&amp;"'!B:R"),15,FALSE),"")</f>
        <v/>
      </c>
      <c r="DO137" s="96">
        <f>IFERROR(VLOOKUP($B137,INDIRECT("'GRD-"&amp;DO$11&amp;"'!B:R"),15,FALSE),"")</f>
        <v/>
      </c>
      <c r="DP137" s="96">
        <f>IFERROR(VLOOKUP($B137,INDIRECT("'GRD-"&amp;DP$11&amp;"'!B:R"),15,FALSE),"")</f>
        <v/>
      </c>
      <c r="DQ137" s="96">
        <f>IFERROR(VLOOKUP($B137,INDIRECT("'GRD-"&amp;DQ$11&amp;"'!B:R"),15,FALSE),"")</f>
        <v/>
      </c>
      <c r="DR137" s="96">
        <f>IFERROR(VLOOKUP($B137,INDIRECT("'GRD-"&amp;DR$11&amp;"'!B:R"),15,FALSE),"")</f>
        <v/>
      </c>
      <c r="DS137" s="96">
        <f>IFERROR(VLOOKUP($B137,INDIRECT("'GRD-"&amp;DS$11&amp;"'!B:R"),15,FALSE),"")</f>
        <v/>
      </c>
      <c r="DT137" s="96">
        <f>IFERROR(VLOOKUP($B137,INDIRECT("'GRD-"&amp;DT$11&amp;"'!B:R"),15,FALSE),"")</f>
        <v/>
      </c>
      <c r="DU137" s="96">
        <f>IFERROR(VLOOKUP($B137,INDIRECT("'GRD-"&amp;DU$11&amp;"'!B:R"),15,FALSE),"")</f>
        <v/>
      </c>
      <c r="DV137" s="96">
        <f>IFERROR(VLOOKUP($B137,INDIRECT("'GRD-"&amp;DV$11&amp;"'!B:R"),15,FALSE),"")</f>
        <v/>
      </c>
      <c r="DW137" s="96">
        <f>IFERROR(VLOOKUP($B137,INDIRECT("'GRD-"&amp;DW$11&amp;"'!B:R"),15,FALSE),"")</f>
        <v/>
      </c>
      <c r="DX137" s="96">
        <f>IFERROR(VLOOKUP($B137,INDIRECT("'GRD-"&amp;DX$11&amp;"'!B:R"),15,FALSE),"")</f>
        <v/>
      </c>
      <c r="DY137" s="96">
        <f>IFERROR(VLOOKUP($B137,INDIRECT("'GRD-"&amp;DY$11&amp;"'!B:R"),15,FALSE),"")</f>
        <v/>
      </c>
      <c r="DZ137" s="96">
        <f>IFERROR(VLOOKUP($B137,INDIRECT("'GRD-"&amp;DZ$11&amp;"'!B:R"),15,FALSE),"")</f>
        <v/>
      </c>
      <c r="EA137" s="96">
        <f>IFERROR(VLOOKUP($B137,INDIRECT("'GRD-"&amp;EA$11&amp;"'!B:R"),15,FALSE),"")</f>
        <v/>
      </c>
      <c r="EB137" s="96">
        <f>IFERROR(VLOOKUP($B137,INDIRECT("'GRD-"&amp;EB$11&amp;"'!B:R"),15,FALSE),"")</f>
        <v/>
      </c>
      <c r="EC137" s="96">
        <f>IFERROR(VLOOKUP($B137,INDIRECT("'GRD-"&amp;EC$11&amp;"'!B:R"),15,FALSE),"")</f>
        <v/>
      </c>
      <c r="ED137" s="96">
        <f>IFERROR(VLOOKUP($B137,INDIRECT("'GRD-"&amp;ED$11&amp;"'!B:R"),15,FALSE),"")</f>
        <v/>
      </c>
      <c r="EE137" s="96">
        <f>IFERROR(VLOOKUP($B137,INDIRECT("'GRD-"&amp;EE$11&amp;"'!B:R"),15,FALSE),"")</f>
        <v/>
      </c>
      <c r="EF137" s="96">
        <f>IFERROR(VLOOKUP($B137,INDIRECT("'GRD-"&amp;EF$11&amp;"'!B:R"),15,FALSE),"")</f>
        <v/>
      </c>
      <c r="EG137" s="96">
        <f>IFERROR(VLOOKUP($B137,INDIRECT("'GRD-"&amp;EG$11&amp;"'!B:R"),15,FALSE),"")</f>
        <v/>
      </c>
      <c r="EH137" s="96">
        <f>IFERROR(VLOOKUP($B137,INDIRECT("'GRD-"&amp;EH$11&amp;"'!B:R"),15,FALSE),"")</f>
        <v/>
      </c>
      <c r="EI137" s="96">
        <f>IFERROR(VLOOKUP($B137,INDIRECT("'GRD-"&amp;EI$11&amp;"'!B:R"),15,FALSE),"")</f>
        <v/>
      </c>
      <c r="EJ137" s="96">
        <f>IFERROR(VLOOKUP($B137,INDIRECT("'GRD-"&amp;EJ$11&amp;"'!B:R"),15,FALSE),"")</f>
        <v/>
      </c>
      <c r="EK137" s="96">
        <f>IFERROR(VLOOKUP($B137,INDIRECT("'GRD-"&amp;EK$11&amp;"'!B:R"),15,FALSE),"")</f>
        <v/>
      </c>
      <c r="EL137" s="96">
        <f>IFERROR(VLOOKUP($B137,INDIRECT("'GRD-"&amp;EL$11&amp;"'!B:R"),15,FALSE),"")</f>
        <v/>
      </c>
      <c r="EM137" s="96">
        <f>IFERROR(VLOOKUP($B137,INDIRECT("'GRD-"&amp;EM$11&amp;"'!B:R"),15,FALSE),"")</f>
        <v/>
      </c>
      <c r="EN137" s="96">
        <f>IFERROR(VLOOKUP($B137,INDIRECT("'GRD-"&amp;EN$11&amp;"'!B:R"),15,FALSE),"")</f>
        <v/>
      </c>
      <c r="EO137" s="96">
        <f>IFERROR(VLOOKUP($B137,INDIRECT("'GRD-"&amp;EO$11&amp;"'!B:R"),15,FALSE),"")</f>
        <v/>
      </c>
      <c r="EP137" s="96">
        <f>IFERROR(VLOOKUP($B137,INDIRECT("'GRD-"&amp;EP$11&amp;"'!B:R"),15,FALSE),"")</f>
        <v/>
      </c>
      <c r="EQ137" s="96">
        <f>IFERROR(VLOOKUP($B137,INDIRECT("'GRD-"&amp;EQ$11&amp;"'!B:R"),15,FALSE),"")</f>
        <v/>
      </c>
      <c r="ER137" s="96">
        <f>IFERROR(VLOOKUP($B137,INDIRECT("'GRD-"&amp;ER$11&amp;"'!B:R"),15,FALSE),"")</f>
        <v/>
      </c>
      <c r="ES137" s="96">
        <f>IFERROR(VLOOKUP($B137,INDIRECT("'GRD-"&amp;ES$11&amp;"'!B:R"),15,FALSE),"")</f>
        <v/>
      </c>
      <c r="ET137" s="96">
        <f>IFERROR(VLOOKUP($B137,INDIRECT("'GRD-"&amp;ET$11&amp;"'!B:R"),15,FALSE),"")</f>
        <v/>
      </c>
      <c r="EU137" s="96">
        <f>IFERROR(VLOOKUP($B137,INDIRECT("'GRD-"&amp;EU$11&amp;"'!B:R"),15,FALSE),"")</f>
        <v/>
      </c>
      <c r="EV137" s="96">
        <f>IFERROR(VLOOKUP($B137,INDIRECT("'GRD-"&amp;EV$11&amp;"'!B:R"),15,FALSE),"")</f>
        <v/>
      </c>
      <c r="EW137" s="96">
        <f>IFERROR(VLOOKUP($B137,INDIRECT("'GRD-"&amp;EW$11&amp;"'!B:R"),15,FALSE),"")</f>
        <v/>
      </c>
      <c r="EX137" s="96">
        <f>IFERROR(VLOOKUP($B137,INDIRECT("'GRD-"&amp;EX$11&amp;"'!B:R"),15,FALSE),"")</f>
        <v/>
      </c>
      <c r="EY137" s="96">
        <f>IFERROR(VLOOKUP($B137,INDIRECT("'GRD-"&amp;EY$11&amp;"'!B:R"),15,FALSE),"")</f>
        <v/>
      </c>
      <c r="EZ137" s="96">
        <f>IFERROR(VLOOKUP($B137,INDIRECT("'GRD-"&amp;EZ$11&amp;"'!B:R"),15,FALSE),"")</f>
        <v/>
      </c>
      <c r="FA137" s="96">
        <f>IFERROR(VLOOKUP($B137,INDIRECT("'GRD-"&amp;FA$11&amp;"'!B:R"),15,FALSE),"")</f>
        <v/>
      </c>
      <c r="FB137" s="96">
        <f>IFERROR(VLOOKUP($B137,INDIRECT("'GRD-"&amp;FB$11&amp;"'!B:R"),15,FALSE),"")</f>
        <v/>
      </c>
      <c r="FC137" s="96">
        <f>IFERROR(VLOOKUP($B137,INDIRECT("'GRD-"&amp;FC$11&amp;"'!B:R"),15,FALSE),"")</f>
        <v/>
      </c>
      <c r="FD137" s="96">
        <f>IFERROR(VLOOKUP($B137,INDIRECT("'GRD-"&amp;FD$11&amp;"'!B:R"),15,FALSE),"")</f>
        <v/>
      </c>
      <c r="FE137" s="96">
        <f>IFERROR(VLOOKUP($B137,INDIRECT("'GRD-"&amp;FE$11&amp;"'!B:R"),15,FALSE),"")</f>
        <v/>
      </c>
      <c r="FF137" s="96">
        <f>IFERROR(VLOOKUP($B137,INDIRECT("'GRD-"&amp;FF$11&amp;"'!B:R"),15,FALSE),"")</f>
        <v/>
      </c>
      <c r="FG137" s="96">
        <f>IFERROR(VLOOKUP($B137,INDIRECT("'GRD-"&amp;FG$11&amp;"'!B:R"),15,FALSE),"")</f>
        <v/>
      </c>
      <c r="FH137" s="96">
        <f>IFERROR(VLOOKUP($B137,INDIRECT("'GRD-"&amp;FH$11&amp;"'!B:R"),15,FALSE),"")</f>
        <v/>
      </c>
      <c r="FI137" s="96">
        <f>IFERROR(VLOOKUP($B137,INDIRECT("'GRD-"&amp;FI$11&amp;"'!B:R"),15,FALSE),"")</f>
        <v/>
      </c>
      <c r="FJ137" s="96">
        <f>IFERROR(VLOOKUP($B137,INDIRECT("'GRD-"&amp;FJ$11&amp;"'!B:R"),15,FALSE),"")</f>
        <v/>
      </c>
      <c r="FK137" s="96">
        <f>IFERROR(VLOOKUP($B137,INDIRECT("'GRD-"&amp;FK$11&amp;"'!B:R"),15,FALSE),"")</f>
        <v/>
      </c>
      <c r="FL137" s="96">
        <f>IFERROR(VLOOKUP($B137,INDIRECT("'GRD-"&amp;FL$11&amp;"'!B:R"),15,FALSE),"")</f>
        <v/>
      </c>
      <c r="FM137" s="96">
        <f>IFERROR(VLOOKUP($B137,INDIRECT("'GRD-"&amp;FM$11&amp;"'!B:R"),15,FALSE),"")</f>
        <v/>
      </c>
      <c r="FN137" s="96">
        <f>IFERROR(VLOOKUP($B137,INDIRECT("'GRD-"&amp;FN$11&amp;"'!B:R"),15,FALSE),"")</f>
        <v/>
      </c>
      <c r="FO137" s="96">
        <f>IFERROR(VLOOKUP($B137,INDIRECT("'GRD-"&amp;FO$11&amp;"'!B:R"),15,FALSE),"")</f>
        <v/>
      </c>
      <c r="FP137" s="96">
        <f>IFERROR(VLOOKUP($B137,INDIRECT("'GRD-"&amp;FP$11&amp;"'!B:R"),15,FALSE),"")</f>
        <v/>
      </c>
      <c r="FQ137" s="96">
        <f>IFERROR(VLOOKUP($B137,INDIRECT("'GRD-"&amp;FQ$11&amp;"'!B:R"),15,FALSE),"")</f>
        <v/>
      </c>
      <c r="FR137" s="96">
        <f>IFERROR(VLOOKUP($B137,INDIRECT("'GRD-"&amp;FR$11&amp;"'!B:R"),15,FALSE),"")</f>
        <v/>
      </c>
      <c r="FS137" s="96">
        <f>IFERROR(VLOOKUP($B137,INDIRECT("'GRD-"&amp;FS$11&amp;"'!B:R"),15,FALSE),"")</f>
        <v/>
      </c>
      <c r="FT137" s="96">
        <f>IFERROR(VLOOKUP($B137,INDIRECT("'GRD-"&amp;FT$11&amp;"'!B:R"),15,FALSE),"")</f>
        <v/>
      </c>
      <c r="FU137" s="96">
        <f>IFERROR(VLOOKUP($B137,INDIRECT("'GRD-"&amp;FU$11&amp;"'!B:R"),15,FALSE),"")</f>
        <v/>
      </c>
      <c r="FV137" s="96">
        <f>IFERROR(VLOOKUP($B137,INDIRECT("'GRD-"&amp;FV$11&amp;"'!B:R"),15,FALSE),"")</f>
        <v/>
      </c>
    </row>
    <row r="138">
      <c r="B138" s="85" t="n"/>
      <c r="C138" s="93" t="n"/>
      <c r="D138" s="73">
        <f>IF(K138="","",MAX($CA138:$FV138))</f>
        <v/>
      </c>
      <c r="E138" s="74">
        <f t="array" ref="E138">IF($K138="","",OFFSET($A$1,ROW($B138)-1,11+$D138*4,))</f>
        <v/>
      </c>
      <c r="F138" s="74">
        <f t="array" ref="F138">IF($K138="","",OFFSET($A$1,ROW($B138)-1,12+$D138*4,))</f>
        <v/>
      </c>
      <c r="G138" s="118">
        <f t="array" ref="G138">IF($K138="","",OFFSET($A$1,ROW($B138)-1,13+$D138*4,))</f>
        <v/>
      </c>
      <c r="H138" s="81" t="n"/>
      <c r="I138" s="82" t="n"/>
      <c r="J138" s="75">
        <f>IF(I138="A4",H138/8,IF(I138="A3",H138/4,IF(I138="A2",H138/2,IF(I138="A1",H138/1,IF(I138="A0",H138*2,"")))))</f>
        <v/>
      </c>
      <c r="K138" s="68">
        <f t="array" ref="K138">IFERROR(OFFSET($BZ$11,ROW($B138)-11,MATCH(K$10,$CA138:$FV138,0),),"")</f>
        <v/>
      </c>
      <c r="L138" s="85">
        <f>IF(K138="","",IF(VLOOKUP($B138,INDIRECT("'GRD-"&amp;M138&amp;"'!$B:$R"),16,FALSE)="","",VLOOKUP($B138,INDIRECT("'GRD-"&amp;M138&amp;"'!$B:$R"),16,FALSE)))</f>
        <v/>
      </c>
      <c r="M138" s="130">
        <f t="array" ref="M138">IF(K138="","",IFERROR(OFFSET($BZ$11,0,MATCH($K138,$CA138:$FV138,0),),""))</f>
        <v/>
      </c>
      <c r="N138" s="119">
        <f t="array" ref="N138">IF(K138="","",INDIRECT("'GRD-"&amp;M138&amp;"'!$L$7"))</f>
        <v/>
      </c>
      <c r="O138" s="76">
        <f t="array" ref="O138">IFERROR(OFFSET($BZ$11,ROW($B138)-11,MATCH(O$10,$CA138:$FV138,0),),"")</f>
        <v/>
      </c>
      <c r="P138" s="76">
        <f>IF(O138="","",IF(VLOOKUP($B138,INDIRECT("'GRD-"&amp;Q138&amp;"'!$B:$R"),16,FALSE)="","",VLOOKUP($B138,INDIRECT("'GRD-"&amp;Q138&amp;"'!$B:$R"),16,FALSE)))</f>
        <v/>
      </c>
      <c r="Q138" s="132">
        <f t="array" ref="Q138">IF(O138="","",IFERROR(OFFSET($BZ$11,0,MATCH($O138,$CA138:$FV138,0),),""))</f>
        <v/>
      </c>
      <c r="R138" s="121">
        <f t="array" ref="R138">IF(O138="","",INDIRECT("'GRD-"&amp;Q138&amp;"'!$L$7"))</f>
        <v/>
      </c>
      <c r="S138" s="83">
        <f t="array" ref="S138">IFERROR(OFFSET($BZ$11,ROW($B138)-11,MATCH(S$10,$CA138:$FV138,0),),"")</f>
        <v/>
      </c>
      <c r="T138" s="83">
        <f>IF(S138="","",IF(VLOOKUP($B138,INDIRECT("'GRD-"&amp;U138&amp;"'!$B:$R"),16,FALSE)="","",VLOOKUP($B138,INDIRECT("'GRD-"&amp;U138&amp;"'!$B:$R"),16,FALSE)))</f>
        <v/>
      </c>
      <c r="U138" s="128">
        <f t="array" ref="U138">IF(S138="","",IFERROR(OFFSET($BZ$11,0,MATCH($S138,$CA138:$FV138,0),),""))</f>
        <v/>
      </c>
      <c r="V138" s="133">
        <f t="array" ref="V138">IF(S138="","",INDIRECT("'GRD-"&amp;U138&amp;"'!$L$7"))</f>
        <v/>
      </c>
      <c r="W138" s="84">
        <f t="array" ref="W138">IFERROR(OFFSET($BZ$11,ROW($B138)-11,MATCH(W$10,$CA138:$FV138,0),),"")</f>
        <v/>
      </c>
      <c r="X138" s="84">
        <f>IF(W138="","",IF(VLOOKUP($B138,INDIRECT("'GRD-"&amp;Y138&amp;"'!$B:$R"),16,FALSE)="","",VLOOKUP($B138,INDIRECT("'GRD-"&amp;Y138&amp;"'!$B:$R"),16,FALSE)))</f>
        <v/>
      </c>
      <c r="Y138" s="129">
        <f t="array" ref="Y138">IF(W138="","",IFERROR(OFFSET($BZ$11,0,MATCH($W138,$CA138:$FV138,0),),""))</f>
        <v/>
      </c>
      <c r="Z138" s="134">
        <f t="array" ref="Z138">IF(W138="","",INDIRECT("'GRD-"&amp;Y138&amp;"'!$L$7"))</f>
        <v/>
      </c>
      <c r="AA138" s="85">
        <f t="array" ref="AA138">IFERROR(OFFSET($BZ$11,ROW($B138)-11,MATCH(AA$10,$CA138:$FV138,0),),"")</f>
        <v/>
      </c>
      <c r="AB138" s="85">
        <f>IF(AA138="","",IF(VLOOKUP($B138,INDIRECT("'GRD-"&amp;AC138&amp;"'!$B:$R"),16,FALSE)="","",VLOOKUP($B138,INDIRECT("'GRD-"&amp;AC138&amp;"'!$B:$R"),16,FALSE)))</f>
        <v/>
      </c>
      <c r="AC138" s="130">
        <f t="array" ref="AC138">IF(AA138="","",IFERROR(OFFSET($BZ$11,0,MATCH($AA138,$CA138:$FV138,0),),""))</f>
        <v/>
      </c>
      <c r="AD138" s="131">
        <f t="array" ref="AD138">IF(AA138="","",INDIRECT("'GRD-"&amp;AC138&amp;"'!$L$7"))</f>
        <v/>
      </c>
      <c r="AE138" s="76">
        <f t="array" ref="AE138">IFERROR(OFFSET($BZ$11,ROW($B138)-11,MATCH(AE$10,$CA138:$FV138,0),),"")</f>
        <v/>
      </c>
      <c r="AF138" s="76">
        <f>IF(AE138="","",IF(VLOOKUP($B138,INDIRECT("'GRD-"&amp;AG138&amp;"'!$B:$R"),16,FALSE)="","",VLOOKUP($B138,INDIRECT("'GRD-"&amp;AG138&amp;"'!$B:$R"),16,FALSE)))</f>
        <v/>
      </c>
      <c r="AG138" s="132">
        <f t="array" ref="AG138">IF(AE138="","",IFERROR(OFFSET($BZ$11,0,MATCH($AE138,$CA138:$FV138,0),),""))</f>
        <v/>
      </c>
      <c r="AH138" s="121">
        <f t="array" ref="AH138">IF(AE138="","",INDIRECT("'GRD-"&amp;AG138&amp;"'!$L$7"))</f>
        <v/>
      </c>
      <c r="AI138" s="83">
        <f t="array" ref="AI138">IFERROR(OFFSET($BZ$11,ROW($B138)-11,MATCH(AI$10,$CA138:$FV138,0),),"")</f>
        <v/>
      </c>
      <c r="AJ138" s="83">
        <f>IF(AI138="","",IF(VLOOKUP($B138,INDIRECT("'GRD-"&amp;AK138&amp;"'!$B:$R"),16,FALSE)="","",VLOOKUP($B138,INDIRECT("'GRD-"&amp;AK138&amp;"'!$B:$R"),16,FALSE)))</f>
        <v/>
      </c>
      <c r="AK138" s="128">
        <f t="array" ref="AK138">IF(AI138="","",IFERROR(OFFSET($BZ$11,0,MATCH($AI138,$CA138:$FV138,0),),""))</f>
        <v/>
      </c>
      <c r="AL138" s="133">
        <f t="array" ref="AL138">IF(AI138="","",INDIRECT("'GRD-"&amp;AK138&amp;"'!$L$7"))</f>
        <v/>
      </c>
      <c r="AM138" s="84">
        <f t="array" ref="AM138">IFERROR(OFFSET($BZ$11,ROW($B138)-11,MATCH(AM$10,$CA138:$FV138,0),),"")</f>
        <v/>
      </c>
      <c r="AN138" s="84">
        <f>IF(AM138="","",IF(VLOOKUP($B138,INDIRECT("'GRD-"&amp;AO138&amp;"'!$B:$R"),16,FALSE)="","",VLOOKUP($B138,INDIRECT("'GRD-"&amp;AO138&amp;"'!$B:$R"),16,FALSE)))</f>
        <v/>
      </c>
      <c r="AO138" s="129">
        <f t="array" ref="AO138">IF(AM138="","",IFERROR(OFFSET($BZ$11,0,MATCH($AM138,$CA138:$FV138,0),),""))</f>
        <v/>
      </c>
      <c r="AP138" s="134">
        <f t="array" ref="AP138">IF(AM138="","",INDIRECT("'GRD-"&amp;AO138&amp;"'!$L$7"))</f>
        <v/>
      </c>
      <c r="AQ138" s="85">
        <f t="array" ref="AQ138">IFERROR(OFFSET($BZ$11,ROW($B138)-11,MATCH(AQ$10,$CA138:$FV138,0),),"")</f>
        <v/>
      </c>
      <c r="AR138" s="85">
        <f>IF(AQ138="","",IF(VLOOKUP($B138,INDIRECT("'GRD-"&amp;AS138&amp;"'!$B:$R"),16,FALSE)="","",VLOOKUP($B138,INDIRECT("'GRD-"&amp;AS138&amp;"'!$B:$R"),16,FALSE)))</f>
        <v/>
      </c>
      <c r="AS138" s="130">
        <f t="array" ref="AS138">IF(AQ138="","",IFERROR(OFFSET($BZ$11,0,MATCH($AQ138,$CA138:$FV138,0),),""))</f>
        <v/>
      </c>
      <c r="AT138" s="131">
        <f t="array" ref="AT138">IF(AQ138="","",INDIRECT("'GRD-"&amp;AS138&amp;"'!$L$7"))</f>
        <v/>
      </c>
      <c r="AU138" s="76">
        <f t="array" ref="AU138">IFERROR(OFFSET($BZ$11,ROW($B138)-11,MATCH(AU$10,$CA138:$FV138,0),),"")</f>
        <v/>
      </c>
      <c r="AV138" s="76">
        <f>IF(AU138="","",IF(VLOOKUP($B138,INDIRECT("'GRD-"&amp;AW138&amp;"'!$B:$R"),16,FALSE)="","",VLOOKUP($B138,INDIRECT("'GRD-"&amp;AW138&amp;"'!$B:$R"),16,FALSE)))</f>
        <v/>
      </c>
      <c r="AW138" s="132">
        <f t="array" ref="AW138">IF(AU138="","",IFERROR(OFFSET($BZ$11,0,MATCH($AU138,$CA138:$FV138,0),),""))</f>
        <v/>
      </c>
      <c r="AX138" s="121">
        <f t="array" ref="AX138">IF(AU138="","",INDIRECT("'GRD-"&amp;AW138&amp;"'!$L$7"))</f>
        <v/>
      </c>
      <c r="AY138" s="83">
        <f t="array" ref="AY138">IFERROR(OFFSET($BZ$11,ROW($B138)-11,MATCH(AY$10,$CA138:$FV138,0),),"")</f>
        <v/>
      </c>
      <c r="AZ138" s="83">
        <f>IF(AY138="","",IF(VLOOKUP($B138,INDIRECT("'GRD-"&amp;BA138&amp;"'!$B:$R"),16,FALSE)="","",VLOOKUP($B138,INDIRECT("'GRD-"&amp;BA138&amp;"'!$B:$R"),16,FALSE)))</f>
        <v/>
      </c>
      <c r="BA138" s="128">
        <f t="array" ref="BA138">IF(AY138="","",IFERROR(OFFSET($BZ$11,0,MATCH($AY138,$CA138:$FV138,0),),""))</f>
        <v/>
      </c>
      <c r="BB138" s="133">
        <f t="array" ref="BB138">IF(AY138="","",INDIRECT("'GRD-"&amp;BA138&amp;"'!$L$7"))</f>
        <v/>
      </c>
      <c r="BC138" s="84">
        <f t="array" ref="BC138">IFERROR(OFFSET($BZ$11,ROW($B138)-11,MATCH(BC$10,$CA138:$FV138,0),),"")</f>
        <v/>
      </c>
      <c r="BD138" s="84">
        <f>IF(BC138="","",IF(VLOOKUP($B138,INDIRECT("'GRD-"&amp;BE138&amp;"'!$B:$R"),16,FALSE)="","",VLOOKUP($B138,INDIRECT("'GRD-"&amp;BE138&amp;"'!$B:$R"),16,FALSE)))</f>
        <v/>
      </c>
      <c r="BE138" s="129">
        <f t="array" ref="BE138">IF(BC138="","",IFERROR(OFFSET($BZ$11,0,MATCH($BC138,$CA138:$FV138,0),),""))</f>
        <v/>
      </c>
      <c r="BF138" s="134">
        <f t="array" ref="BF138">IF(BC138="","",INDIRECT("'GRD-"&amp;BE138&amp;"'!$L$7"))</f>
        <v/>
      </c>
      <c r="CA138" s="96">
        <f>IFERROR(VLOOKUP($B138,INDIRECT("'GRD-"&amp;CA$11&amp;"'!B:R"),15,FALSE),"")</f>
        <v/>
      </c>
      <c r="CB138" s="96">
        <f>IFERROR(VLOOKUP($B138,INDIRECT("'GRD-"&amp;CB$11&amp;"'!B:R"),15,FALSE),"")</f>
        <v/>
      </c>
      <c r="CC138" s="96">
        <f>IFERROR(VLOOKUP($B138,INDIRECT("'GRD-"&amp;CC$11&amp;"'!B:R"),15,FALSE),"")</f>
        <v/>
      </c>
      <c r="CD138" s="96">
        <f>IFERROR(VLOOKUP($B138,INDIRECT("'GRD-"&amp;CD$11&amp;"'!B:R"),15,FALSE),"")</f>
        <v/>
      </c>
      <c r="CE138" s="96">
        <f>IFERROR(VLOOKUP($B138,INDIRECT("'GRD-"&amp;CE$11&amp;"'!B:R"),15,FALSE),"")</f>
        <v/>
      </c>
      <c r="CF138" s="96">
        <f>IFERROR(VLOOKUP($B138,INDIRECT("'GRD-"&amp;CF$11&amp;"'!B:R"),15,FALSE),"")</f>
        <v/>
      </c>
      <c r="CG138" s="96">
        <f>IFERROR(VLOOKUP($B138,INDIRECT("'GRD-"&amp;CG$11&amp;"'!B:R"),15,FALSE),"")</f>
        <v/>
      </c>
      <c r="CH138" s="96">
        <f>IFERROR(VLOOKUP($B138,INDIRECT("'GRD-"&amp;CH$11&amp;"'!B:R"),15,FALSE),"")</f>
        <v/>
      </c>
      <c r="CI138" s="96">
        <f>IFERROR(VLOOKUP($B138,INDIRECT("'GRD-"&amp;CI$11&amp;"'!B:R"),15,FALSE),"")</f>
        <v/>
      </c>
      <c r="CJ138" s="96">
        <f>IFERROR(VLOOKUP($B138,INDIRECT("'GRD-"&amp;CJ$11&amp;"'!B:R"),15,FALSE),"")</f>
        <v/>
      </c>
      <c r="CK138" s="96">
        <f>IFERROR(VLOOKUP($B138,INDIRECT("'GRD-"&amp;CK$11&amp;"'!B:R"),15,FALSE),"")</f>
        <v/>
      </c>
      <c r="CL138" s="96">
        <f>IFERROR(VLOOKUP($B138,INDIRECT("'GRD-"&amp;CL$11&amp;"'!B:R"),15,FALSE),"")</f>
        <v/>
      </c>
      <c r="CM138" s="96">
        <f>IFERROR(VLOOKUP($B138,INDIRECT("'GRD-"&amp;CM$11&amp;"'!B:R"),15,FALSE),"")</f>
        <v/>
      </c>
      <c r="CN138" s="96">
        <f>IFERROR(VLOOKUP($B138,INDIRECT("'GRD-"&amp;CN$11&amp;"'!B:R"),15,FALSE),"")</f>
        <v/>
      </c>
      <c r="CO138" s="96">
        <f>IFERROR(VLOOKUP($B138,INDIRECT("'GRD-"&amp;CO$11&amp;"'!B:R"),15,FALSE),"")</f>
        <v/>
      </c>
      <c r="CP138" s="96">
        <f>IFERROR(VLOOKUP($B138,INDIRECT("'GRD-"&amp;CP$11&amp;"'!B:R"),15,FALSE),"")</f>
        <v/>
      </c>
      <c r="CQ138" s="96">
        <f>IFERROR(VLOOKUP($B138,INDIRECT("'GRD-"&amp;CQ$11&amp;"'!B:R"),15,FALSE),"")</f>
        <v/>
      </c>
      <c r="CR138" s="96">
        <f>IFERROR(VLOOKUP($B138,INDIRECT("'GRD-"&amp;CR$11&amp;"'!B:R"),15,FALSE),"")</f>
        <v/>
      </c>
      <c r="CS138" s="96">
        <f>IFERROR(VLOOKUP($B138,INDIRECT("'GRD-"&amp;CS$11&amp;"'!B:R"),15,FALSE),"")</f>
        <v/>
      </c>
      <c r="CT138" s="96">
        <f>IFERROR(VLOOKUP($B138,INDIRECT("'GRD-"&amp;CT$11&amp;"'!B:R"),15,FALSE),"")</f>
        <v/>
      </c>
      <c r="CU138" s="96">
        <f>IFERROR(VLOOKUP($B138,INDIRECT("'GRD-"&amp;CU$11&amp;"'!B:R"),15,FALSE),"")</f>
        <v/>
      </c>
      <c r="CV138" s="96">
        <f>IFERROR(VLOOKUP($B138,INDIRECT("'GRD-"&amp;CV$11&amp;"'!B:R"),15,FALSE),"")</f>
        <v/>
      </c>
      <c r="CW138" s="96">
        <f>IFERROR(VLOOKUP($B138,INDIRECT("'GRD-"&amp;CW$11&amp;"'!B:R"),15,FALSE),"")</f>
        <v/>
      </c>
      <c r="CX138" s="96">
        <f>IFERROR(VLOOKUP($B138,INDIRECT("'GRD-"&amp;CX$11&amp;"'!B:R"),15,FALSE),"")</f>
        <v/>
      </c>
      <c r="CY138" s="96">
        <f>IFERROR(VLOOKUP($B138,INDIRECT("'GRD-"&amp;CY$11&amp;"'!B:R"),15,FALSE),"")</f>
        <v/>
      </c>
      <c r="CZ138" s="96">
        <f>IFERROR(VLOOKUP($B138,INDIRECT("'GRD-"&amp;CZ$11&amp;"'!B:R"),15,FALSE),"")</f>
        <v/>
      </c>
      <c r="DA138" s="96">
        <f>IFERROR(VLOOKUP($B138,INDIRECT("'GRD-"&amp;DA$11&amp;"'!B:R"),15,FALSE),"")</f>
        <v/>
      </c>
      <c r="DB138" s="96">
        <f>IFERROR(VLOOKUP($B138,INDIRECT("'GRD-"&amp;DB$11&amp;"'!B:R"),15,FALSE),"")</f>
        <v/>
      </c>
      <c r="DC138" s="96">
        <f>IFERROR(VLOOKUP($B138,INDIRECT("'GRD-"&amp;DC$11&amp;"'!B:R"),15,FALSE),"")</f>
        <v/>
      </c>
      <c r="DD138" s="96">
        <f>IFERROR(VLOOKUP($B138,INDIRECT("'GRD-"&amp;DD$11&amp;"'!B:R"),15,FALSE),"")</f>
        <v/>
      </c>
      <c r="DE138" s="96">
        <f>IFERROR(VLOOKUP($B138,INDIRECT("'GRD-"&amp;DE$11&amp;"'!B:R"),15,FALSE),"")</f>
        <v/>
      </c>
      <c r="DF138" s="96">
        <f>IFERROR(VLOOKUP($B138,INDIRECT("'GRD-"&amp;DF$11&amp;"'!B:R"),15,FALSE),"")</f>
        <v/>
      </c>
      <c r="DG138" s="96">
        <f>IFERROR(VLOOKUP($B138,INDIRECT("'GRD-"&amp;DG$11&amp;"'!B:R"),15,FALSE),"")</f>
        <v/>
      </c>
      <c r="DH138" s="96">
        <f>IFERROR(VLOOKUP($B138,INDIRECT("'GRD-"&amp;DH$11&amp;"'!B:R"),15,FALSE),"")</f>
        <v/>
      </c>
      <c r="DI138" s="96">
        <f>IFERROR(VLOOKUP($B138,INDIRECT("'GRD-"&amp;DI$11&amp;"'!B:R"),15,FALSE),"")</f>
        <v/>
      </c>
      <c r="DJ138" s="96">
        <f>IFERROR(VLOOKUP($B138,INDIRECT("'GRD-"&amp;DJ$11&amp;"'!B:R"),15,FALSE),"")</f>
        <v/>
      </c>
      <c r="DK138" s="96">
        <f>IFERROR(VLOOKUP($B138,INDIRECT("'GRD-"&amp;DK$11&amp;"'!B:R"),15,FALSE),"")</f>
        <v/>
      </c>
      <c r="DL138" s="96">
        <f>IFERROR(VLOOKUP($B138,INDIRECT("'GRD-"&amp;DL$11&amp;"'!B:R"),15,FALSE),"")</f>
        <v/>
      </c>
      <c r="DM138" s="96">
        <f>IFERROR(VLOOKUP($B138,INDIRECT("'GRD-"&amp;DM$11&amp;"'!B:R"),15,FALSE),"")</f>
        <v/>
      </c>
      <c r="DN138" s="96">
        <f>IFERROR(VLOOKUP($B138,INDIRECT("'GRD-"&amp;DN$11&amp;"'!B:R"),15,FALSE),"")</f>
        <v/>
      </c>
      <c r="DO138" s="96">
        <f>IFERROR(VLOOKUP($B138,INDIRECT("'GRD-"&amp;DO$11&amp;"'!B:R"),15,FALSE),"")</f>
        <v/>
      </c>
      <c r="DP138" s="96">
        <f>IFERROR(VLOOKUP($B138,INDIRECT("'GRD-"&amp;DP$11&amp;"'!B:R"),15,FALSE),"")</f>
        <v/>
      </c>
      <c r="DQ138" s="96">
        <f>IFERROR(VLOOKUP($B138,INDIRECT("'GRD-"&amp;DQ$11&amp;"'!B:R"),15,FALSE),"")</f>
        <v/>
      </c>
      <c r="DR138" s="96">
        <f>IFERROR(VLOOKUP($B138,INDIRECT("'GRD-"&amp;DR$11&amp;"'!B:R"),15,FALSE),"")</f>
        <v/>
      </c>
      <c r="DS138" s="96">
        <f>IFERROR(VLOOKUP($B138,INDIRECT("'GRD-"&amp;DS$11&amp;"'!B:R"),15,FALSE),"")</f>
        <v/>
      </c>
      <c r="DT138" s="96">
        <f>IFERROR(VLOOKUP($B138,INDIRECT("'GRD-"&amp;DT$11&amp;"'!B:R"),15,FALSE),"")</f>
        <v/>
      </c>
      <c r="DU138" s="96">
        <f>IFERROR(VLOOKUP($B138,INDIRECT("'GRD-"&amp;DU$11&amp;"'!B:R"),15,FALSE),"")</f>
        <v/>
      </c>
      <c r="DV138" s="96">
        <f>IFERROR(VLOOKUP($B138,INDIRECT("'GRD-"&amp;DV$11&amp;"'!B:R"),15,FALSE),"")</f>
        <v/>
      </c>
      <c r="DW138" s="96">
        <f>IFERROR(VLOOKUP($B138,INDIRECT("'GRD-"&amp;DW$11&amp;"'!B:R"),15,FALSE),"")</f>
        <v/>
      </c>
      <c r="DX138" s="96">
        <f>IFERROR(VLOOKUP($B138,INDIRECT("'GRD-"&amp;DX$11&amp;"'!B:R"),15,FALSE),"")</f>
        <v/>
      </c>
      <c r="DY138" s="96">
        <f>IFERROR(VLOOKUP($B138,INDIRECT("'GRD-"&amp;DY$11&amp;"'!B:R"),15,FALSE),"")</f>
        <v/>
      </c>
      <c r="DZ138" s="96">
        <f>IFERROR(VLOOKUP($B138,INDIRECT("'GRD-"&amp;DZ$11&amp;"'!B:R"),15,FALSE),"")</f>
        <v/>
      </c>
      <c r="EA138" s="96">
        <f>IFERROR(VLOOKUP($B138,INDIRECT("'GRD-"&amp;EA$11&amp;"'!B:R"),15,FALSE),"")</f>
        <v/>
      </c>
      <c r="EB138" s="96">
        <f>IFERROR(VLOOKUP($B138,INDIRECT("'GRD-"&amp;EB$11&amp;"'!B:R"),15,FALSE),"")</f>
        <v/>
      </c>
      <c r="EC138" s="96">
        <f>IFERROR(VLOOKUP($B138,INDIRECT("'GRD-"&amp;EC$11&amp;"'!B:R"),15,FALSE),"")</f>
        <v/>
      </c>
      <c r="ED138" s="96">
        <f>IFERROR(VLOOKUP($B138,INDIRECT("'GRD-"&amp;ED$11&amp;"'!B:R"),15,FALSE),"")</f>
        <v/>
      </c>
      <c r="EE138" s="96">
        <f>IFERROR(VLOOKUP($B138,INDIRECT("'GRD-"&amp;EE$11&amp;"'!B:R"),15,FALSE),"")</f>
        <v/>
      </c>
      <c r="EF138" s="96">
        <f>IFERROR(VLOOKUP($B138,INDIRECT("'GRD-"&amp;EF$11&amp;"'!B:R"),15,FALSE),"")</f>
        <v/>
      </c>
      <c r="EG138" s="96">
        <f>IFERROR(VLOOKUP($B138,INDIRECT("'GRD-"&amp;EG$11&amp;"'!B:R"),15,FALSE),"")</f>
        <v/>
      </c>
      <c r="EH138" s="96">
        <f>IFERROR(VLOOKUP($B138,INDIRECT("'GRD-"&amp;EH$11&amp;"'!B:R"),15,FALSE),"")</f>
        <v/>
      </c>
      <c r="EI138" s="96">
        <f>IFERROR(VLOOKUP($B138,INDIRECT("'GRD-"&amp;EI$11&amp;"'!B:R"),15,FALSE),"")</f>
        <v/>
      </c>
      <c r="EJ138" s="96">
        <f>IFERROR(VLOOKUP($B138,INDIRECT("'GRD-"&amp;EJ$11&amp;"'!B:R"),15,FALSE),"")</f>
        <v/>
      </c>
      <c r="EK138" s="96">
        <f>IFERROR(VLOOKUP($B138,INDIRECT("'GRD-"&amp;EK$11&amp;"'!B:R"),15,FALSE),"")</f>
        <v/>
      </c>
      <c r="EL138" s="96">
        <f>IFERROR(VLOOKUP($B138,INDIRECT("'GRD-"&amp;EL$11&amp;"'!B:R"),15,FALSE),"")</f>
        <v/>
      </c>
      <c r="EM138" s="96">
        <f>IFERROR(VLOOKUP($B138,INDIRECT("'GRD-"&amp;EM$11&amp;"'!B:R"),15,FALSE),"")</f>
        <v/>
      </c>
      <c r="EN138" s="96">
        <f>IFERROR(VLOOKUP($B138,INDIRECT("'GRD-"&amp;EN$11&amp;"'!B:R"),15,FALSE),"")</f>
        <v/>
      </c>
      <c r="EO138" s="96">
        <f>IFERROR(VLOOKUP($B138,INDIRECT("'GRD-"&amp;EO$11&amp;"'!B:R"),15,FALSE),"")</f>
        <v/>
      </c>
      <c r="EP138" s="96">
        <f>IFERROR(VLOOKUP($B138,INDIRECT("'GRD-"&amp;EP$11&amp;"'!B:R"),15,FALSE),"")</f>
        <v/>
      </c>
      <c r="EQ138" s="96">
        <f>IFERROR(VLOOKUP($B138,INDIRECT("'GRD-"&amp;EQ$11&amp;"'!B:R"),15,FALSE),"")</f>
        <v/>
      </c>
      <c r="ER138" s="96">
        <f>IFERROR(VLOOKUP($B138,INDIRECT("'GRD-"&amp;ER$11&amp;"'!B:R"),15,FALSE),"")</f>
        <v/>
      </c>
      <c r="ES138" s="96">
        <f>IFERROR(VLOOKUP($B138,INDIRECT("'GRD-"&amp;ES$11&amp;"'!B:R"),15,FALSE),"")</f>
        <v/>
      </c>
      <c r="ET138" s="96">
        <f>IFERROR(VLOOKUP($B138,INDIRECT("'GRD-"&amp;ET$11&amp;"'!B:R"),15,FALSE),"")</f>
        <v/>
      </c>
      <c r="EU138" s="96">
        <f>IFERROR(VLOOKUP($B138,INDIRECT("'GRD-"&amp;EU$11&amp;"'!B:R"),15,FALSE),"")</f>
        <v/>
      </c>
      <c r="EV138" s="96">
        <f>IFERROR(VLOOKUP($B138,INDIRECT("'GRD-"&amp;EV$11&amp;"'!B:R"),15,FALSE),"")</f>
        <v/>
      </c>
      <c r="EW138" s="96">
        <f>IFERROR(VLOOKUP($B138,INDIRECT("'GRD-"&amp;EW$11&amp;"'!B:R"),15,FALSE),"")</f>
        <v/>
      </c>
      <c r="EX138" s="96">
        <f>IFERROR(VLOOKUP($B138,INDIRECT("'GRD-"&amp;EX$11&amp;"'!B:R"),15,FALSE),"")</f>
        <v/>
      </c>
      <c r="EY138" s="96">
        <f>IFERROR(VLOOKUP($B138,INDIRECT("'GRD-"&amp;EY$11&amp;"'!B:R"),15,FALSE),"")</f>
        <v/>
      </c>
      <c r="EZ138" s="96">
        <f>IFERROR(VLOOKUP($B138,INDIRECT("'GRD-"&amp;EZ$11&amp;"'!B:R"),15,FALSE),"")</f>
        <v/>
      </c>
      <c r="FA138" s="96">
        <f>IFERROR(VLOOKUP($B138,INDIRECT("'GRD-"&amp;FA$11&amp;"'!B:R"),15,FALSE),"")</f>
        <v/>
      </c>
      <c r="FB138" s="96">
        <f>IFERROR(VLOOKUP($B138,INDIRECT("'GRD-"&amp;FB$11&amp;"'!B:R"),15,FALSE),"")</f>
        <v/>
      </c>
      <c r="FC138" s="96">
        <f>IFERROR(VLOOKUP($B138,INDIRECT("'GRD-"&amp;FC$11&amp;"'!B:R"),15,FALSE),"")</f>
        <v/>
      </c>
      <c r="FD138" s="96">
        <f>IFERROR(VLOOKUP($B138,INDIRECT("'GRD-"&amp;FD$11&amp;"'!B:R"),15,FALSE),"")</f>
        <v/>
      </c>
      <c r="FE138" s="96">
        <f>IFERROR(VLOOKUP($B138,INDIRECT("'GRD-"&amp;FE$11&amp;"'!B:R"),15,FALSE),"")</f>
        <v/>
      </c>
      <c r="FF138" s="96">
        <f>IFERROR(VLOOKUP($B138,INDIRECT("'GRD-"&amp;FF$11&amp;"'!B:R"),15,FALSE),"")</f>
        <v/>
      </c>
      <c r="FG138" s="96">
        <f>IFERROR(VLOOKUP($B138,INDIRECT("'GRD-"&amp;FG$11&amp;"'!B:R"),15,FALSE),"")</f>
        <v/>
      </c>
      <c r="FH138" s="96">
        <f>IFERROR(VLOOKUP($B138,INDIRECT("'GRD-"&amp;FH$11&amp;"'!B:R"),15,FALSE),"")</f>
        <v/>
      </c>
      <c r="FI138" s="96">
        <f>IFERROR(VLOOKUP($B138,INDIRECT("'GRD-"&amp;FI$11&amp;"'!B:R"),15,FALSE),"")</f>
        <v/>
      </c>
      <c r="FJ138" s="96">
        <f>IFERROR(VLOOKUP($B138,INDIRECT("'GRD-"&amp;FJ$11&amp;"'!B:R"),15,FALSE),"")</f>
        <v/>
      </c>
      <c r="FK138" s="96">
        <f>IFERROR(VLOOKUP($B138,INDIRECT("'GRD-"&amp;FK$11&amp;"'!B:R"),15,FALSE),"")</f>
        <v/>
      </c>
      <c r="FL138" s="96">
        <f>IFERROR(VLOOKUP($B138,INDIRECT("'GRD-"&amp;FL$11&amp;"'!B:R"),15,FALSE),"")</f>
        <v/>
      </c>
      <c r="FM138" s="96">
        <f>IFERROR(VLOOKUP($B138,INDIRECT("'GRD-"&amp;FM$11&amp;"'!B:R"),15,FALSE),"")</f>
        <v/>
      </c>
      <c r="FN138" s="96">
        <f>IFERROR(VLOOKUP($B138,INDIRECT("'GRD-"&amp;FN$11&amp;"'!B:R"),15,FALSE),"")</f>
        <v/>
      </c>
      <c r="FO138" s="96">
        <f>IFERROR(VLOOKUP($B138,INDIRECT("'GRD-"&amp;FO$11&amp;"'!B:R"),15,FALSE),"")</f>
        <v/>
      </c>
      <c r="FP138" s="96">
        <f>IFERROR(VLOOKUP($B138,INDIRECT("'GRD-"&amp;FP$11&amp;"'!B:R"),15,FALSE),"")</f>
        <v/>
      </c>
      <c r="FQ138" s="96">
        <f>IFERROR(VLOOKUP($B138,INDIRECT("'GRD-"&amp;FQ$11&amp;"'!B:R"),15,FALSE),"")</f>
        <v/>
      </c>
      <c r="FR138" s="96">
        <f>IFERROR(VLOOKUP($B138,INDIRECT("'GRD-"&amp;FR$11&amp;"'!B:R"),15,FALSE),"")</f>
        <v/>
      </c>
      <c r="FS138" s="96">
        <f>IFERROR(VLOOKUP($B138,INDIRECT("'GRD-"&amp;FS$11&amp;"'!B:R"),15,FALSE),"")</f>
        <v/>
      </c>
      <c r="FT138" s="96">
        <f>IFERROR(VLOOKUP($B138,INDIRECT("'GRD-"&amp;FT$11&amp;"'!B:R"),15,FALSE),"")</f>
        <v/>
      </c>
      <c r="FU138" s="96">
        <f>IFERROR(VLOOKUP($B138,INDIRECT("'GRD-"&amp;FU$11&amp;"'!B:R"),15,FALSE),"")</f>
        <v/>
      </c>
      <c r="FV138" s="96">
        <f>IFERROR(VLOOKUP($B138,INDIRECT("'GRD-"&amp;FV$11&amp;"'!B:R"),15,FALSE),"")</f>
        <v/>
      </c>
    </row>
    <row r="139">
      <c r="B139" s="85" t="n"/>
      <c r="C139" s="93" t="n"/>
      <c r="D139" s="73">
        <f>IF(K139="","",MAX($CA139:$FV139))</f>
        <v/>
      </c>
      <c r="E139" s="74">
        <f t="array" ref="E139">IF($K139="","",OFFSET($A$1,ROW($B139)-1,11+$D139*4,))</f>
        <v/>
      </c>
      <c r="F139" s="74">
        <f t="array" ref="F139">IF($K139="","",OFFSET($A$1,ROW($B139)-1,12+$D139*4,))</f>
        <v/>
      </c>
      <c r="G139" s="118">
        <f t="array" ref="G139">IF($K139="","",OFFSET($A$1,ROW($B139)-1,13+$D139*4,))</f>
        <v/>
      </c>
      <c r="H139" s="81" t="n"/>
      <c r="I139" s="82" t="n"/>
      <c r="J139" s="75">
        <f>IF(I139="A4",H139/8,IF(I139="A3",H139/4,IF(I139="A2",H139/2,IF(I139="A1",H139/1,IF(I139="A0",H139*2,"")))))</f>
        <v/>
      </c>
      <c r="K139" s="68">
        <f t="array" ref="K139">IFERROR(OFFSET($BZ$11,ROW($B139)-11,MATCH(K$10,$CA139:$FV139,0),),"")</f>
        <v/>
      </c>
      <c r="L139" s="85">
        <f>IF(K139="","",IF(VLOOKUP($B139,INDIRECT("'GRD-"&amp;M139&amp;"'!$B:$R"),16,FALSE)="","",VLOOKUP($B139,INDIRECT("'GRD-"&amp;M139&amp;"'!$B:$R"),16,FALSE)))</f>
        <v/>
      </c>
      <c r="M139" s="130">
        <f t="array" ref="M139">IF(K139="","",IFERROR(OFFSET($BZ$11,0,MATCH($K139,$CA139:$FV139,0),),""))</f>
        <v/>
      </c>
      <c r="N139" s="119">
        <f t="array" ref="N139">IF(K139="","",INDIRECT("'GRD-"&amp;M139&amp;"'!$L$7"))</f>
        <v/>
      </c>
      <c r="O139" s="76">
        <f t="array" ref="O139">IFERROR(OFFSET($BZ$11,ROW($B139)-11,MATCH(O$10,$CA139:$FV139,0),),"")</f>
        <v/>
      </c>
      <c r="P139" s="76">
        <f>IF(O139="","",IF(VLOOKUP($B139,INDIRECT("'GRD-"&amp;Q139&amp;"'!$B:$R"),16,FALSE)="","",VLOOKUP($B139,INDIRECT("'GRD-"&amp;Q139&amp;"'!$B:$R"),16,FALSE)))</f>
        <v/>
      </c>
      <c r="Q139" s="132">
        <f t="array" ref="Q139">IF(O139="","",IFERROR(OFFSET($BZ$11,0,MATCH($O139,$CA139:$FV139,0),),""))</f>
        <v/>
      </c>
      <c r="R139" s="121">
        <f t="array" ref="R139">IF(O139="","",INDIRECT("'GRD-"&amp;Q139&amp;"'!$L$7"))</f>
        <v/>
      </c>
      <c r="S139" s="83">
        <f t="array" ref="S139">IFERROR(OFFSET($BZ$11,ROW($B139)-11,MATCH(S$10,$CA139:$FV139,0),),"")</f>
        <v/>
      </c>
      <c r="T139" s="83">
        <f>IF(S139="","",IF(VLOOKUP($B139,INDIRECT("'GRD-"&amp;U139&amp;"'!$B:$R"),16,FALSE)="","",VLOOKUP($B139,INDIRECT("'GRD-"&amp;U139&amp;"'!$B:$R"),16,FALSE)))</f>
        <v/>
      </c>
      <c r="U139" s="128">
        <f t="array" ref="U139">IF(S139="","",IFERROR(OFFSET($BZ$11,0,MATCH($S139,$CA139:$FV139,0),),""))</f>
        <v/>
      </c>
      <c r="V139" s="133">
        <f t="array" ref="V139">IF(S139="","",INDIRECT("'GRD-"&amp;U139&amp;"'!$L$7"))</f>
        <v/>
      </c>
      <c r="W139" s="84">
        <f t="array" ref="W139">IFERROR(OFFSET($BZ$11,ROW($B139)-11,MATCH(W$10,$CA139:$FV139,0),),"")</f>
        <v/>
      </c>
      <c r="X139" s="84">
        <f>IF(W139="","",IF(VLOOKUP($B139,INDIRECT("'GRD-"&amp;Y139&amp;"'!$B:$R"),16,FALSE)="","",VLOOKUP($B139,INDIRECT("'GRD-"&amp;Y139&amp;"'!$B:$R"),16,FALSE)))</f>
        <v/>
      </c>
      <c r="Y139" s="129">
        <f t="array" ref="Y139">IF(W139="","",IFERROR(OFFSET($BZ$11,0,MATCH($W139,$CA139:$FV139,0),),""))</f>
        <v/>
      </c>
      <c r="Z139" s="134">
        <f t="array" ref="Z139">IF(W139="","",INDIRECT("'GRD-"&amp;Y139&amp;"'!$L$7"))</f>
        <v/>
      </c>
      <c r="AA139" s="85">
        <f t="array" ref="AA139">IFERROR(OFFSET($BZ$11,ROW($B139)-11,MATCH(AA$10,$CA139:$FV139,0),),"")</f>
        <v/>
      </c>
      <c r="AB139" s="85">
        <f>IF(AA139="","",IF(VLOOKUP($B139,INDIRECT("'GRD-"&amp;AC139&amp;"'!$B:$R"),16,FALSE)="","",VLOOKUP($B139,INDIRECT("'GRD-"&amp;AC139&amp;"'!$B:$R"),16,FALSE)))</f>
        <v/>
      </c>
      <c r="AC139" s="130">
        <f t="array" ref="AC139">IF(AA139="","",IFERROR(OFFSET($BZ$11,0,MATCH($AA139,$CA139:$FV139,0),),""))</f>
        <v/>
      </c>
      <c r="AD139" s="131">
        <f t="array" ref="AD139">IF(AA139="","",INDIRECT("'GRD-"&amp;AC139&amp;"'!$L$7"))</f>
        <v/>
      </c>
      <c r="AE139" s="76">
        <f t="array" ref="AE139">IFERROR(OFFSET($BZ$11,ROW($B139)-11,MATCH(AE$10,$CA139:$FV139,0),),"")</f>
        <v/>
      </c>
      <c r="AF139" s="76">
        <f>IF(AE139="","",IF(VLOOKUP($B139,INDIRECT("'GRD-"&amp;AG139&amp;"'!$B:$R"),16,FALSE)="","",VLOOKUP($B139,INDIRECT("'GRD-"&amp;AG139&amp;"'!$B:$R"),16,FALSE)))</f>
        <v/>
      </c>
      <c r="AG139" s="132">
        <f t="array" ref="AG139">IF(AE139="","",IFERROR(OFFSET($BZ$11,0,MATCH($AE139,$CA139:$FV139,0),),""))</f>
        <v/>
      </c>
      <c r="AH139" s="121">
        <f t="array" ref="AH139">IF(AE139="","",INDIRECT("'GRD-"&amp;AG139&amp;"'!$L$7"))</f>
        <v/>
      </c>
      <c r="AI139" s="83">
        <f t="array" ref="AI139">IFERROR(OFFSET($BZ$11,ROW($B139)-11,MATCH(AI$10,$CA139:$FV139,0),),"")</f>
        <v/>
      </c>
      <c r="AJ139" s="83">
        <f>IF(AI139="","",IF(VLOOKUP($B139,INDIRECT("'GRD-"&amp;AK139&amp;"'!$B:$R"),16,FALSE)="","",VLOOKUP($B139,INDIRECT("'GRD-"&amp;AK139&amp;"'!$B:$R"),16,FALSE)))</f>
        <v/>
      </c>
      <c r="AK139" s="128">
        <f t="array" ref="AK139">IF(AI139="","",IFERROR(OFFSET($BZ$11,0,MATCH($AI139,$CA139:$FV139,0),),""))</f>
        <v/>
      </c>
      <c r="AL139" s="133">
        <f t="array" ref="AL139">IF(AI139="","",INDIRECT("'GRD-"&amp;AK139&amp;"'!$L$7"))</f>
        <v/>
      </c>
      <c r="AM139" s="84">
        <f t="array" ref="AM139">IFERROR(OFFSET($BZ$11,ROW($B139)-11,MATCH(AM$10,$CA139:$FV139,0),),"")</f>
        <v/>
      </c>
      <c r="AN139" s="84">
        <f>IF(AM139="","",IF(VLOOKUP($B139,INDIRECT("'GRD-"&amp;AO139&amp;"'!$B:$R"),16,FALSE)="","",VLOOKUP($B139,INDIRECT("'GRD-"&amp;AO139&amp;"'!$B:$R"),16,FALSE)))</f>
        <v/>
      </c>
      <c r="AO139" s="129">
        <f t="array" ref="AO139">IF(AM139="","",IFERROR(OFFSET($BZ$11,0,MATCH($AM139,$CA139:$FV139,0),),""))</f>
        <v/>
      </c>
      <c r="AP139" s="134">
        <f t="array" ref="AP139">IF(AM139="","",INDIRECT("'GRD-"&amp;AO139&amp;"'!$L$7"))</f>
        <v/>
      </c>
      <c r="AQ139" s="85">
        <f t="array" ref="AQ139">IFERROR(OFFSET($BZ$11,ROW($B139)-11,MATCH(AQ$10,$CA139:$FV139,0),),"")</f>
        <v/>
      </c>
      <c r="AR139" s="85">
        <f>IF(AQ139="","",IF(VLOOKUP($B139,INDIRECT("'GRD-"&amp;AS139&amp;"'!$B:$R"),16,FALSE)="","",VLOOKUP($B139,INDIRECT("'GRD-"&amp;AS139&amp;"'!$B:$R"),16,FALSE)))</f>
        <v/>
      </c>
      <c r="AS139" s="130">
        <f t="array" ref="AS139">IF(AQ139="","",IFERROR(OFFSET($BZ$11,0,MATCH($AQ139,$CA139:$FV139,0),),""))</f>
        <v/>
      </c>
      <c r="AT139" s="131">
        <f t="array" ref="AT139">IF(AQ139="","",INDIRECT("'GRD-"&amp;AS139&amp;"'!$L$7"))</f>
        <v/>
      </c>
      <c r="AU139" s="76">
        <f t="array" ref="AU139">IFERROR(OFFSET($BZ$11,ROW($B139)-11,MATCH(AU$10,$CA139:$FV139,0),),"")</f>
        <v/>
      </c>
      <c r="AV139" s="76">
        <f>IF(AU139="","",IF(VLOOKUP($B139,INDIRECT("'GRD-"&amp;AW139&amp;"'!$B:$R"),16,FALSE)="","",VLOOKUP($B139,INDIRECT("'GRD-"&amp;AW139&amp;"'!$B:$R"),16,FALSE)))</f>
        <v/>
      </c>
      <c r="AW139" s="132">
        <f t="array" ref="AW139">IF(AU139="","",IFERROR(OFFSET($BZ$11,0,MATCH($AU139,$CA139:$FV139,0),),""))</f>
        <v/>
      </c>
      <c r="AX139" s="121">
        <f t="array" ref="AX139">IF(AU139="","",INDIRECT("'GRD-"&amp;AW139&amp;"'!$L$7"))</f>
        <v/>
      </c>
      <c r="AY139" s="83">
        <f t="array" ref="AY139">IFERROR(OFFSET($BZ$11,ROW($B139)-11,MATCH(AY$10,$CA139:$FV139,0),),"")</f>
        <v/>
      </c>
      <c r="AZ139" s="83">
        <f>IF(AY139="","",IF(VLOOKUP($B139,INDIRECT("'GRD-"&amp;BA139&amp;"'!$B:$R"),16,FALSE)="","",VLOOKUP($B139,INDIRECT("'GRD-"&amp;BA139&amp;"'!$B:$R"),16,FALSE)))</f>
        <v/>
      </c>
      <c r="BA139" s="128">
        <f t="array" ref="BA139">IF(AY139="","",IFERROR(OFFSET($BZ$11,0,MATCH($AY139,$CA139:$FV139,0),),""))</f>
        <v/>
      </c>
      <c r="BB139" s="133">
        <f t="array" ref="BB139">IF(AY139="","",INDIRECT("'GRD-"&amp;BA139&amp;"'!$L$7"))</f>
        <v/>
      </c>
      <c r="BC139" s="84">
        <f t="array" ref="BC139">IFERROR(OFFSET($BZ$11,ROW($B139)-11,MATCH(BC$10,$CA139:$FV139,0),),"")</f>
        <v/>
      </c>
      <c r="BD139" s="84">
        <f>IF(BC139="","",IF(VLOOKUP($B139,INDIRECT("'GRD-"&amp;BE139&amp;"'!$B:$R"),16,FALSE)="","",VLOOKUP($B139,INDIRECT("'GRD-"&amp;BE139&amp;"'!$B:$R"),16,FALSE)))</f>
        <v/>
      </c>
      <c r="BE139" s="129">
        <f t="array" ref="BE139">IF(BC139="","",IFERROR(OFFSET($BZ$11,0,MATCH($BC139,$CA139:$FV139,0),),""))</f>
        <v/>
      </c>
      <c r="BF139" s="134">
        <f t="array" ref="BF139">IF(BC139="","",INDIRECT("'GRD-"&amp;BE139&amp;"'!$L$7"))</f>
        <v/>
      </c>
      <c r="CA139" s="96">
        <f>IFERROR(VLOOKUP($B139,INDIRECT("'GRD-"&amp;CA$11&amp;"'!B:R"),15,FALSE),"")</f>
        <v/>
      </c>
      <c r="CB139" s="96">
        <f>IFERROR(VLOOKUP($B139,INDIRECT("'GRD-"&amp;CB$11&amp;"'!B:R"),15,FALSE),"")</f>
        <v/>
      </c>
      <c r="CC139" s="96">
        <f>IFERROR(VLOOKUP($B139,INDIRECT("'GRD-"&amp;CC$11&amp;"'!B:R"),15,FALSE),"")</f>
        <v/>
      </c>
      <c r="CD139" s="96">
        <f>IFERROR(VLOOKUP($B139,INDIRECT("'GRD-"&amp;CD$11&amp;"'!B:R"),15,FALSE),"")</f>
        <v/>
      </c>
      <c r="CE139" s="96">
        <f>IFERROR(VLOOKUP($B139,INDIRECT("'GRD-"&amp;CE$11&amp;"'!B:R"),15,FALSE),"")</f>
        <v/>
      </c>
      <c r="CF139" s="96">
        <f>IFERROR(VLOOKUP($B139,INDIRECT("'GRD-"&amp;CF$11&amp;"'!B:R"),15,FALSE),"")</f>
        <v/>
      </c>
      <c r="CG139" s="96">
        <f>IFERROR(VLOOKUP($B139,INDIRECT("'GRD-"&amp;CG$11&amp;"'!B:R"),15,FALSE),"")</f>
        <v/>
      </c>
      <c r="CH139" s="96">
        <f>IFERROR(VLOOKUP($B139,INDIRECT("'GRD-"&amp;CH$11&amp;"'!B:R"),15,FALSE),"")</f>
        <v/>
      </c>
      <c r="CI139" s="96">
        <f>IFERROR(VLOOKUP($B139,INDIRECT("'GRD-"&amp;CI$11&amp;"'!B:R"),15,FALSE),"")</f>
        <v/>
      </c>
      <c r="CJ139" s="96">
        <f>IFERROR(VLOOKUP($B139,INDIRECT("'GRD-"&amp;CJ$11&amp;"'!B:R"),15,FALSE),"")</f>
        <v/>
      </c>
      <c r="CK139" s="96">
        <f>IFERROR(VLOOKUP($B139,INDIRECT("'GRD-"&amp;CK$11&amp;"'!B:R"),15,FALSE),"")</f>
        <v/>
      </c>
      <c r="CL139" s="96">
        <f>IFERROR(VLOOKUP($B139,INDIRECT("'GRD-"&amp;CL$11&amp;"'!B:R"),15,FALSE),"")</f>
        <v/>
      </c>
      <c r="CM139" s="96">
        <f>IFERROR(VLOOKUP($B139,INDIRECT("'GRD-"&amp;CM$11&amp;"'!B:R"),15,FALSE),"")</f>
        <v/>
      </c>
      <c r="CN139" s="96">
        <f>IFERROR(VLOOKUP($B139,INDIRECT("'GRD-"&amp;CN$11&amp;"'!B:R"),15,FALSE),"")</f>
        <v/>
      </c>
      <c r="CO139" s="96">
        <f>IFERROR(VLOOKUP($B139,INDIRECT("'GRD-"&amp;CO$11&amp;"'!B:R"),15,FALSE),"")</f>
        <v/>
      </c>
      <c r="CP139" s="96">
        <f>IFERROR(VLOOKUP($B139,INDIRECT("'GRD-"&amp;CP$11&amp;"'!B:R"),15,FALSE),"")</f>
        <v/>
      </c>
      <c r="CQ139" s="96">
        <f>IFERROR(VLOOKUP($B139,INDIRECT("'GRD-"&amp;CQ$11&amp;"'!B:R"),15,FALSE),"")</f>
        <v/>
      </c>
      <c r="CR139" s="96">
        <f>IFERROR(VLOOKUP($B139,INDIRECT("'GRD-"&amp;CR$11&amp;"'!B:R"),15,FALSE),"")</f>
        <v/>
      </c>
      <c r="CS139" s="96">
        <f>IFERROR(VLOOKUP($B139,INDIRECT("'GRD-"&amp;CS$11&amp;"'!B:R"),15,FALSE),"")</f>
        <v/>
      </c>
      <c r="CT139" s="96">
        <f>IFERROR(VLOOKUP($B139,INDIRECT("'GRD-"&amp;CT$11&amp;"'!B:R"),15,FALSE),"")</f>
        <v/>
      </c>
      <c r="CU139" s="96">
        <f>IFERROR(VLOOKUP($B139,INDIRECT("'GRD-"&amp;CU$11&amp;"'!B:R"),15,FALSE),"")</f>
        <v/>
      </c>
      <c r="CV139" s="96">
        <f>IFERROR(VLOOKUP($B139,INDIRECT("'GRD-"&amp;CV$11&amp;"'!B:R"),15,FALSE),"")</f>
        <v/>
      </c>
      <c r="CW139" s="96">
        <f>IFERROR(VLOOKUP($B139,INDIRECT("'GRD-"&amp;CW$11&amp;"'!B:R"),15,FALSE),"")</f>
        <v/>
      </c>
      <c r="CX139" s="96">
        <f>IFERROR(VLOOKUP($B139,INDIRECT("'GRD-"&amp;CX$11&amp;"'!B:R"),15,FALSE),"")</f>
        <v/>
      </c>
      <c r="CY139" s="96">
        <f>IFERROR(VLOOKUP($B139,INDIRECT("'GRD-"&amp;CY$11&amp;"'!B:R"),15,FALSE),"")</f>
        <v/>
      </c>
      <c r="CZ139" s="96">
        <f>IFERROR(VLOOKUP($B139,INDIRECT("'GRD-"&amp;CZ$11&amp;"'!B:R"),15,FALSE),"")</f>
        <v/>
      </c>
      <c r="DA139" s="96">
        <f>IFERROR(VLOOKUP($B139,INDIRECT("'GRD-"&amp;DA$11&amp;"'!B:R"),15,FALSE),"")</f>
        <v/>
      </c>
      <c r="DB139" s="96">
        <f>IFERROR(VLOOKUP($B139,INDIRECT("'GRD-"&amp;DB$11&amp;"'!B:R"),15,FALSE),"")</f>
        <v/>
      </c>
      <c r="DC139" s="96">
        <f>IFERROR(VLOOKUP($B139,INDIRECT("'GRD-"&amp;DC$11&amp;"'!B:R"),15,FALSE),"")</f>
        <v/>
      </c>
      <c r="DD139" s="96">
        <f>IFERROR(VLOOKUP($B139,INDIRECT("'GRD-"&amp;DD$11&amp;"'!B:R"),15,FALSE),"")</f>
        <v/>
      </c>
      <c r="DE139" s="96">
        <f>IFERROR(VLOOKUP($B139,INDIRECT("'GRD-"&amp;DE$11&amp;"'!B:R"),15,FALSE),"")</f>
        <v/>
      </c>
      <c r="DF139" s="96">
        <f>IFERROR(VLOOKUP($B139,INDIRECT("'GRD-"&amp;DF$11&amp;"'!B:R"),15,FALSE),"")</f>
        <v/>
      </c>
      <c r="DG139" s="96">
        <f>IFERROR(VLOOKUP($B139,INDIRECT("'GRD-"&amp;DG$11&amp;"'!B:R"),15,FALSE),"")</f>
        <v/>
      </c>
      <c r="DH139" s="96">
        <f>IFERROR(VLOOKUP($B139,INDIRECT("'GRD-"&amp;DH$11&amp;"'!B:R"),15,FALSE),"")</f>
        <v/>
      </c>
      <c r="DI139" s="96">
        <f>IFERROR(VLOOKUP($B139,INDIRECT("'GRD-"&amp;DI$11&amp;"'!B:R"),15,FALSE),"")</f>
        <v/>
      </c>
      <c r="DJ139" s="96">
        <f>IFERROR(VLOOKUP($B139,INDIRECT("'GRD-"&amp;DJ$11&amp;"'!B:R"),15,FALSE),"")</f>
        <v/>
      </c>
      <c r="DK139" s="96">
        <f>IFERROR(VLOOKUP($B139,INDIRECT("'GRD-"&amp;DK$11&amp;"'!B:R"),15,FALSE),"")</f>
        <v/>
      </c>
      <c r="DL139" s="96">
        <f>IFERROR(VLOOKUP($B139,INDIRECT("'GRD-"&amp;DL$11&amp;"'!B:R"),15,FALSE),"")</f>
        <v/>
      </c>
      <c r="DM139" s="96">
        <f>IFERROR(VLOOKUP($B139,INDIRECT("'GRD-"&amp;DM$11&amp;"'!B:R"),15,FALSE),"")</f>
        <v/>
      </c>
      <c r="DN139" s="96">
        <f>IFERROR(VLOOKUP($B139,INDIRECT("'GRD-"&amp;DN$11&amp;"'!B:R"),15,FALSE),"")</f>
        <v/>
      </c>
      <c r="DO139" s="96">
        <f>IFERROR(VLOOKUP($B139,INDIRECT("'GRD-"&amp;DO$11&amp;"'!B:R"),15,FALSE),"")</f>
        <v/>
      </c>
      <c r="DP139" s="96">
        <f>IFERROR(VLOOKUP($B139,INDIRECT("'GRD-"&amp;DP$11&amp;"'!B:R"),15,FALSE),"")</f>
        <v/>
      </c>
      <c r="DQ139" s="96">
        <f>IFERROR(VLOOKUP($B139,INDIRECT("'GRD-"&amp;DQ$11&amp;"'!B:R"),15,FALSE),"")</f>
        <v/>
      </c>
      <c r="DR139" s="96">
        <f>IFERROR(VLOOKUP($B139,INDIRECT("'GRD-"&amp;DR$11&amp;"'!B:R"),15,FALSE),"")</f>
        <v/>
      </c>
      <c r="DS139" s="96">
        <f>IFERROR(VLOOKUP($B139,INDIRECT("'GRD-"&amp;DS$11&amp;"'!B:R"),15,FALSE),"")</f>
        <v/>
      </c>
      <c r="DT139" s="96">
        <f>IFERROR(VLOOKUP($B139,INDIRECT("'GRD-"&amp;DT$11&amp;"'!B:R"),15,FALSE),"")</f>
        <v/>
      </c>
      <c r="DU139" s="96">
        <f>IFERROR(VLOOKUP($B139,INDIRECT("'GRD-"&amp;DU$11&amp;"'!B:R"),15,FALSE),"")</f>
        <v/>
      </c>
      <c r="DV139" s="96">
        <f>IFERROR(VLOOKUP($B139,INDIRECT("'GRD-"&amp;DV$11&amp;"'!B:R"),15,FALSE),"")</f>
        <v/>
      </c>
      <c r="DW139" s="96">
        <f>IFERROR(VLOOKUP($B139,INDIRECT("'GRD-"&amp;DW$11&amp;"'!B:R"),15,FALSE),"")</f>
        <v/>
      </c>
      <c r="DX139" s="96">
        <f>IFERROR(VLOOKUP($B139,INDIRECT("'GRD-"&amp;DX$11&amp;"'!B:R"),15,FALSE),"")</f>
        <v/>
      </c>
      <c r="DY139" s="96">
        <f>IFERROR(VLOOKUP($B139,INDIRECT("'GRD-"&amp;DY$11&amp;"'!B:R"),15,FALSE),"")</f>
        <v/>
      </c>
      <c r="DZ139" s="96">
        <f>IFERROR(VLOOKUP($B139,INDIRECT("'GRD-"&amp;DZ$11&amp;"'!B:R"),15,FALSE),"")</f>
        <v/>
      </c>
      <c r="EA139" s="96">
        <f>IFERROR(VLOOKUP($B139,INDIRECT("'GRD-"&amp;EA$11&amp;"'!B:R"),15,FALSE),"")</f>
        <v/>
      </c>
      <c r="EB139" s="96">
        <f>IFERROR(VLOOKUP($B139,INDIRECT("'GRD-"&amp;EB$11&amp;"'!B:R"),15,FALSE),"")</f>
        <v/>
      </c>
      <c r="EC139" s="96">
        <f>IFERROR(VLOOKUP($B139,INDIRECT("'GRD-"&amp;EC$11&amp;"'!B:R"),15,FALSE),"")</f>
        <v/>
      </c>
      <c r="ED139" s="96">
        <f>IFERROR(VLOOKUP($B139,INDIRECT("'GRD-"&amp;ED$11&amp;"'!B:R"),15,FALSE),"")</f>
        <v/>
      </c>
      <c r="EE139" s="96">
        <f>IFERROR(VLOOKUP($B139,INDIRECT("'GRD-"&amp;EE$11&amp;"'!B:R"),15,FALSE),"")</f>
        <v/>
      </c>
      <c r="EF139" s="96">
        <f>IFERROR(VLOOKUP($B139,INDIRECT("'GRD-"&amp;EF$11&amp;"'!B:R"),15,FALSE),"")</f>
        <v/>
      </c>
      <c r="EG139" s="96">
        <f>IFERROR(VLOOKUP($B139,INDIRECT("'GRD-"&amp;EG$11&amp;"'!B:R"),15,FALSE),"")</f>
        <v/>
      </c>
      <c r="EH139" s="96">
        <f>IFERROR(VLOOKUP($B139,INDIRECT("'GRD-"&amp;EH$11&amp;"'!B:R"),15,FALSE),"")</f>
        <v/>
      </c>
      <c r="EI139" s="96">
        <f>IFERROR(VLOOKUP($B139,INDIRECT("'GRD-"&amp;EI$11&amp;"'!B:R"),15,FALSE),"")</f>
        <v/>
      </c>
      <c r="EJ139" s="96">
        <f>IFERROR(VLOOKUP($B139,INDIRECT("'GRD-"&amp;EJ$11&amp;"'!B:R"),15,FALSE),"")</f>
        <v/>
      </c>
      <c r="EK139" s="96">
        <f>IFERROR(VLOOKUP($B139,INDIRECT("'GRD-"&amp;EK$11&amp;"'!B:R"),15,FALSE),"")</f>
        <v/>
      </c>
      <c r="EL139" s="96">
        <f>IFERROR(VLOOKUP($B139,INDIRECT("'GRD-"&amp;EL$11&amp;"'!B:R"),15,FALSE),"")</f>
        <v/>
      </c>
      <c r="EM139" s="96">
        <f>IFERROR(VLOOKUP($B139,INDIRECT("'GRD-"&amp;EM$11&amp;"'!B:R"),15,FALSE),"")</f>
        <v/>
      </c>
      <c r="EN139" s="96">
        <f>IFERROR(VLOOKUP($B139,INDIRECT("'GRD-"&amp;EN$11&amp;"'!B:R"),15,FALSE),"")</f>
        <v/>
      </c>
      <c r="EO139" s="96">
        <f>IFERROR(VLOOKUP($B139,INDIRECT("'GRD-"&amp;EO$11&amp;"'!B:R"),15,FALSE),"")</f>
        <v/>
      </c>
      <c r="EP139" s="96">
        <f>IFERROR(VLOOKUP($B139,INDIRECT("'GRD-"&amp;EP$11&amp;"'!B:R"),15,FALSE),"")</f>
        <v/>
      </c>
      <c r="EQ139" s="96">
        <f>IFERROR(VLOOKUP($B139,INDIRECT("'GRD-"&amp;EQ$11&amp;"'!B:R"),15,FALSE),"")</f>
        <v/>
      </c>
      <c r="ER139" s="96">
        <f>IFERROR(VLOOKUP($B139,INDIRECT("'GRD-"&amp;ER$11&amp;"'!B:R"),15,FALSE),"")</f>
        <v/>
      </c>
      <c r="ES139" s="96">
        <f>IFERROR(VLOOKUP($B139,INDIRECT("'GRD-"&amp;ES$11&amp;"'!B:R"),15,FALSE),"")</f>
        <v/>
      </c>
      <c r="ET139" s="96">
        <f>IFERROR(VLOOKUP($B139,INDIRECT("'GRD-"&amp;ET$11&amp;"'!B:R"),15,FALSE),"")</f>
        <v/>
      </c>
      <c r="EU139" s="96">
        <f>IFERROR(VLOOKUP($B139,INDIRECT("'GRD-"&amp;EU$11&amp;"'!B:R"),15,FALSE),"")</f>
        <v/>
      </c>
      <c r="EV139" s="96">
        <f>IFERROR(VLOOKUP($B139,INDIRECT("'GRD-"&amp;EV$11&amp;"'!B:R"),15,FALSE),"")</f>
        <v/>
      </c>
      <c r="EW139" s="96">
        <f>IFERROR(VLOOKUP($B139,INDIRECT("'GRD-"&amp;EW$11&amp;"'!B:R"),15,FALSE),"")</f>
        <v/>
      </c>
      <c r="EX139" s="96">
        <f>IFERROR(VLOOKUP($B139,INDIRECT("'GRD-"&amp;EX$11&amp;"'!B:R"),15,FALSE),"")</f>
        <v/>
      </c>
      <c r="EY139" s="96">
        <f>IFERROR(VLOOKUP($B139,INDIRECT("'GRD-"&amp;EY$11&amp;"'!B:R"),15,FALSE),"")</f>
        <v/>
      </c>
      <c r="EZ139" s="96">
        <f>IFERROR(VLOOKUP($B139,INDIRECT("'GRD-"&amp;EZ$11&amp;"'!B:R"),15,FALSE),"")</f>
        <v/>
      </c>
      <c r="FA139" s="96">
        <f>IFERROR(VLOOKUP($B139,INDIRECT("'GRD-"&amp;FA$11&amp;"'!B:R"),15,FALSE),"")</f>
        <v/>
      </c>
      <c r="FB139" s="96">
        <f>IFERROR(VLOOKUP($B139,INDIRECT("'GRD-"&amp;FB$11&amp;"'!B:R"),15,FALSE),"")</f>
        <v/>
      </c>
      <c r="FC139" s="96">
        <f>IFERROR(VLOOKUP($B139,INDIRECT("'GRD-"&amp;FC$11&amp;"'!B:R"),15,FALSE),"")</f>
        <v/>
      </c>
      <c r="FD139" s="96">
        <f>IFERROR(VLOOKUP($B139,INDIRECT("'GRD-"&amp;FD$11&amp;"'!B:R"),15,FALSE),"")</f>
        <v/>
      </c>
      <c r="FE139" s="96">
        <f>IFERROR(VLOOKUP($B139,INDIRECT("'GRD-"&amp;FE$11&amp;"'!B:R"),15,FALSE),"")</f>
        <v/>
      </c>
      <c r="FF139" s="96">
        <f>IFERROR(VLOOKUP($B139,INDIRECT("'GRD-"&amp;FF$11&amp;"'!B:R"),15,FALSE),"")</f>
        <v/>
      </c>
      <c r="FG139" s="96">
        <f>IFERROR(VLOOKUP($B139,INDIRECT("'GRD-"&amp;FG$11&amp;"'!B:R"),15,FALSE),"")</f>
        <v/>
      </c>
      <c r="FH139" s="96">
        <f>IFERROR(VLOOKUP($B139,INDIRECT("'GRD-"&amp;FH$11&amp;"'!B:R"),15,FALSE),"")</f>
        <v/>
      </c>
      <c r="FI139" s="96">
        <f>IFERROR(VLOOKUP($B139,INDIRECT("'GRD-"&amp;FI$11&amp;"'!B:R"),15,FALSE),"")</f>
        <v/>
      </c>
      <c r="FJ139" s="96">
        <f>IFERROR(VLOOKUP($B139,INDIRECT("'GRD-"&amp;FJ$11&amp;"'!B:R"),15,FALSE),"")</f>
        <v/>
      </c>
      <c r="FK139" s="96">
        <f>IFERROR(VLOOKUP($B139,INDIRECT("'GRD-"&amp;FK$11&amp;"'!B:R"),15,FALSE),"")</f>
        <v/>
      </c>
      <c r="FL139" s="96">
        <f>IFERROR(VLOOKUP($B139,INDIRECT("'GRD-"&amp;FL$11&amp;"'!B:R"),15,FALSE),"")</f>
        <v/>
      </c>
      <c r="FM139" s="96">
        <f>IFERROR(VLOOKUP($B139,INDIRECT("'GRD-"&amp;FM$11&amp;"'!B:R"),15,FALSE),"")</f>
        <v/>
      </c>
      <c r="FN139" s="96">
        <f>IFERROR(VLOOKUP($B139,INDIRECT("'GRD-"&amp;FN$11&amp;"'!B:R"),15,FALSE),"")</f>
        <v/>
      </c>
      <c r="FO139" s="96">
        <f>IFERROR(VLOOKUP($B139,INDIRECT("'GRD-"&amp;FO$11&amp;"'!B:R"),15,FALSE),"")</f>
        <v/>
      </c>
      <c r="FP139" s="96">
        <f>IFERROR(VLOOKUP($B139,INDIRECT("'GRD-"&amp;FP$11&amp;"'!B:R"),15,FALSE),"")</f>
        <v/>
      </c>
      <c r="FQ139" s="96">
        <f>IFERROR(VLOOKUP($B139,INDIRECT("'GRD-"&amp;FQ$11&amp;"'!B:R"),15,FALSE),"")</f>
        <v/>
      </c>
      <c r="FR139" s="96">
        <f>IFERROR(VLOOKUP($B139,INDIRECT("'GRD-"&amp;FR$11&amp;"'!B:R"),15,FALSE),"")</f>
        <v/>
      </c>
      <c r="FS139" s="96">
        <f>IFERROR(VLOOKUP($B139,INDIRECT("'GRD-"&amp;FS$11&amp;"'!B:R"),15,FALSE),"")</f>
        <v/>
      </c>
      <c r="FT139" s="96">
        <f>IFERROR(VLOOKUP($B139,INDIRECT("'GRD-"&amp;FT$11&amp;"'!B:R"),15,FALSE),"")</f>
        <v/>
      </c>
      <c r="FU139" s="96">
        <f>IFERROR(VLOOKUP($B139,INDIRECT("'GRD-"&amp;FU$11&amp;"'!B:R"),15,FALSE),"")</f>
        <v/>
      </c>
      <c r="FV139" s="96">
        <f>IFERROR(VLOOKUP($B139,INDIRECT("'GRD-"&amp;FV$11&amp;"'!B:R"),15,FALSE),"")</f>
        <v/>
      </c>
    </row>
    <row r="140">
      <c r="B140" s="85" t="n"/>
      <c r="C140" s="93" t="n"/>
      <c r="D140" s="73">
        <f>IF(K140="","",MAX($CA140:$FV140))</f>
        <v/>
      </c>
      <c r="E140" s="74">
        <f t="array" ref="E140">IF($K140="","",OFFSET($A$1,ROW($B140)-1,11+$D140*4,))</f>
        <v/>
      </c>
      <c r="F140" s="74">
        <f t="array" ref="F140">IF($K140="","",OFFSET($A$1,ROW($B140)-1,12+$D140*4,))</f>
        <v/>
      </c>
      <c r="G140" s="118">
        <f t="array" ref="G140">IF($K140="","",OFFSET($A$1,ROW($B140)-1,13+$D140*4,))</f>
        <v/>
      </c>
      <c r="H140" s="81" t="n"/>
      <c r="I140" s="82" t="n"/>
      <c r="J140" s="75">
        <f>IF(I140="A4",H140/8,IF(I140="A3",H140/4,IF(I140="A2",H140/2,IF(I140="A1",H140/1,IF(I140="A0",H140*2,"")))))</f>
        <v/>
      </c>
      <c r="K140" s="68">
        <f t="array" ref="K140">IFERROR(OFFSET($BZ$11,ROW($B140)-11,MATCH(K$10,$CA140:$FV140,0),),"")</f>
        <v/>
      </c>
      <c r="L140" s="85">
        <f>IF(K140="","",IF(VLOOKUP($B140,INDIRECT("'GRD-"&amp;M140&amp;"'!$B:$R"),16,FALSE)="","",VLOOKUP($B140,INDIRECT("'GRD-"&amp;M140&amp;"'!$B:$R"),16,FALSE)))</f>
        <v/>
      </c>
      <c r="M140" s="130">
        <f t="array" ref="M140">IF(K140="","",IFERROR(OFFSET($BZ$11,0,MATCH($K140,$CA140:$FV140,0),),""))</f>
        <v/>
      </c>
      <c r="N140" s="119">
        <f t="array" ref="N140">IF(K140="","",INDIRECT("'GRD-"&amp;M140&amp;"'!$L$7"))</f>
        <v/>
      </c>
      <c r="O140" s="76">
        <f t="array" ref="O140">IFERROR(OFFSET($BZ$11,ROW($B140)-11,MATCH(O$10,$CA140:$FV140,0),),"")</f>
        <v/>
      </c>
      <c r="P140" s="76">
        <f>IF(O140="","",IF(VLOOKUP($B140,INDIRECT("'GRD-"&amp;Q140&amp;"'!$B:$R"),16,FALSE)="","",VLOOKUP($B140,INDIRECT("'GRD-"&amp;Q140&amp;"'!$B:$R"),16,FALSE)))</f>
        <v/>
      </c>
      <c r="Q140" s="132">
        <f t="array" ref="Q140">IF(O140="","",IFERROR(OFFSET($BZ$11,0,MATCH($O140,$CA140:$FV140,0),),""))</f>
        <v/>
      </c>
      <c r="R140" s="121">
        <f t="array" ref="R140">IF(O140="","",INDIRECT("'GRD-"&amp;Q140&amp;"'!$L$7"))</f>
        <v/>
      </c>
      <c r="S140" s="83">
        <f t="array" ref="S140">IFERROR(OFFSET($BZ$11,ROW($B140)-11,MATCH(S$10,$CA140:$FV140,0),),"")</f>
        <v/>
      </c>
      <c r="T140" s="83">
        <f>IF(S140="","",IF(VLOOKUP($B140,INDIRECT("'GRD-"&amp;U140&amp;"'!$B:$R"),16,FALSE)="","",VLOOKUP($B140,INDIRECT("'GRD-"&amp;U140&amp;"'!$B:$R"),16,FALSE)))</f>
        <v/>
      </c>
      <c r="U140" s="128">
        <f t="array" ref="U140">IF(S140="","",IFERROR(OFFSET($BZ$11,0,MATCH($S140,$CA140:$FV140,0),),""))</f>
        <v/>
      </c>
      <c r="V140" s="133">
        <f t="array" ref="V140">IF(S140="","",INDIRECT("'GRD-"&amp;U140&amp;"'!$L$7"))</f>
        <v/>
      </c>
      <c r="W140" s="84">
        <f t="array" ref="W140">IFERROR(OFFSET($BZ$11,ROW($B140)-11,MATCH(W$10,$CA140:$FV140,0),),"")</f>
        <v/>
      </c>
      <c r="X140" s="84">
        <f>IF(W140="","",IF(VLOOKUP($B140,INDIRECT("'GRD-"&amp;Y140&amp;"'!$B:$R"),16,FALSE)="","",VLOOKUP($B140,INDIRECT("'GRD-"&amp;Y140&amp;"'!$B:$R"),16,FALSE)))</f>
        <v/>
      </c>
      <c r="Y140" s="129">
        <f t="array" ref="Y140">IF(W140="","",IFERROR(OFFSET($BZ$11,0,MATCH($W140,$CA140:$FV140,0),),""))</f>
        <v/>
      </c>
      <c r="Z140" s="134">
        <f t="array" ref="Z140">IF(W140="","",INDIRECT("'GRD-"&amp;Y140&amp;"'!$L$7"))</f>
        <v/>
      </c>
      <c r="AA140" s="85">
        <f t="array" ref="AA140">IFERROR(OFFSET($BZ$11,ROW($B140)-11,MATCH(AA$10,$CA140:$FV140,0),),"")</f>
        <v/>
      </c>
      <c r="AB140" s="85">
        <f>IF(AA140="","",IF(VLOOKUP($B140,INDIRECT("'GRD-"&amp;AC140&amp;"'!$B:$R"),16,FALSE)="","",VLOOKUP($B140,INDIRECT("'GRD-"&amp;AC140&amp;"'!$B:$R"),16,FALSE)))</f>
        <v/>
      </c>
      <c r="AC140" s="130">
        <f t="array" ref="AC140">IF(AA140="","",IFERROR(OFFSET($BZ$11,0,MATCH($AA140,$CA140:$FV140,0),),""))</f>
        <v/>
      </c>
      <c r="AD140" s="131">
        <f t="array" ref="AD140">IF(AA140="","",INDIRECT("'GRD-"&amp;AC140&amp;"'!$L$7"))</f>
        <v/>
      </c>
      <c r="AE140" s="76">
        <f t="array" ref="AE140">IFERROR(OFFSET($BZ$11,ROW($B140)-11,MATCH(AE$10,$CA140:$FV140,0),),"")</f>
        <v/>
      </c>
      <c r="AF140" s="76">
        <f>IF(AE140="","",IF(VLOOKUP($B140,INDIRECT("'GRD-"&amp;AG140&amp;"'!$B:$R"),16,FALSE)="","",VLOOKUP($B140,INDIRECT("'GRD-"&amp;AG140&amp;"'!$B:$R"),16,FALSE)))</f>
        <v/>
      </c>
      <c r="AG140" s="132">
        <f t="array" ref="AG140">IF(AE140="","",IFERROR(OFFSET($BZ$11,0,MATCH($AE140,$CA140:$FV140,0),),""))</f>
        <v/>
      </c>
      <c r="AH140" s="121">
        <f t="array" ref="AH140">IF(AE140="","",INDIRECT("'GRD-"&amp;AG140&amp;"'!$L$7"))</f>
        <v/>
      </c>
      <c r="AI140" s="83">
        <f t="array" ref="AI140">IFERROR(OFFSET($BZ$11,ROW($B140)-11,MATCH(AI$10,$CA140:$FV140,0),),"")</f>
        <v/>
      </c>
      <c r="AJ140" s="83">
        <f>IF(AI140="","",IF(VLOOKUP($B140,INDIRECT("'GRD-"&amp;AK140&amp;"'!$B:$R"),16,FALSE)="","",VLOOKUP($B140,INDIRECT("'GRD-"&amp;AK140&amp;"'!$B:$R"),16,FALSE)))</f>
        <v/>
      </c>
      <c r="AK140" s="128">
        <f t="array" ref="AK140">IF(AI140="","",IFERROR(OFFSET($BZ$11,0,MATCH($AI140,$CA140:$FV140,0),),""))</f>
        <v/>
      </c>
      <c r="AL140" s="133">
        <f t="array" ref="AL140">IF(AI140="","",INDIRECT("'GRD-"&amp;AK140&amp;"'!$L$7"))</f>
        <v/>
      </c>
      <c r="AM140" s="84">
        <f t="array" ref="AM140">IFERROR(OFFSET($BZ$11,ROW($B140)-11,MATCH(AM$10,$CA140:$FV140,0),),"")</f>
        <v/>
      </c>
      <c r="AN140" s="84">
        <f>IF(AM140="","",IF(VLOOKUP($B140,INDIRECT("'GRD-"&amp;AO140&amp;"'!$B:$R"),16,FALSE)="","",VLOOKUP($B140,INDIRECT("'GRD-"&amp;AO140&amp;"'!$B:$R"),16,FALSE)))</f>
        <v/>
      </c>
      <c r="AO140" s="129">
        <f t="array" ref="AO140">IF(AM140="","",IFERROR(OFFSET($BZ$11,0,MATCH($AM140,$CA140:$FV140,0),),""))</f>
        <v/>
      </c>
      <c r="AP140" s="134">
        <f t="array" ref="AP140">IF(AM140="","",INDIRECT("'GRD-"&amp;AO140&amp;"'!$L$7"))</f>
        <v/>
      </c>
      <c r="AQ140" s="85">
        <f t="array" ref="AQ140">IFERROR(OFFSET($BZ$11,ROW($B140)-11,MATCH(AQ$10,$CA140:$FV140,0),),"")</f>
        <v/>
      </c>
      <c r="AR140" s="85">
        <f>IF(AQ140="","",IF(VLOOKUP($B140,INDIRECT("'GRD-"&amp;AS140&amp;"'!$B:$R"),16,FALSE)="","",VLOOKUP($B140,INDIRECT("'GRD-"&amp;AS140&amp;"'!$B:$R"),16,FALSE)))</f>
        <v/>
      </c>
      <c r="AS140" s="130">
        <f t="array" ref="AS140">IF(AQ140="","",IFERROR(OFFSET($BZ$11,0,MATCH($AQ140,$CA140:$FV140,0),),""))</f>
        <v/>
      </c>
      <c r="AT140" s="131">
        <f t="array" ref="AT140">IF(AQ140="","",INDIRECT("'GRD-"&amp;AS140&amp;"'!$L$7"))</f>
        <v/>
      </c>
      <c r="AU140" s="76">
        <f t="array" ref="AU140">IFERROR(OFFSET($BZ$11,ROW($B140)-11,MATCH(AU$10,$CA140:$FV140,0),),"")</f>
        <v/>
      </c>
      <c r="AV140" s="76">
        <f>IF(AU140="","",IF(VLOOKUP($B140,INDIRECT("'GRD-"&amp;AW140&amp;"'!$B:$R"),16,FALSE)="","",VLOOKUP($B140,INDIRECT("'GRD-"&amp;AW140&amp;"'!$B:$R"),16,FALSE)))</f>
        <v/>
      </c>
      <c r="AW140" s="132">
        <f t="array" ref="AW140">IF(AU140="","",IFERROR(OFFSET($BZ$11,0,MATCH($AU140,$CA140:$FV140,0),),""))</f>
        <v/>
      </c>
      <c r="AX140" s="121">
        <f t="array" ref="AX140">IF(AU140="","",INDIRECT("'GRD-"&amp;AW140&amp;"'!$L$7"))</f>
        <v/>
      </c>
      <c r="AY140" s="83">
        <f t="array" ref="AY140">IFERROR(OFFSET($BZ$11,ROW($B140)-11,MATCH(AY$10,$CA140:$FV140,0),),"")</f>
        <v/>
      </c>
      <c r="AZ140" s="83">
        <f>IF(AY140="","",IF(VLOOKUP($B140,INDIRECT("'GRD-"&amp;BA140&amp;"'!$B:$R"),16,FALSE)="","",VLOOKUP($B140,INDIRECT("'GRD-"&amp;BA140&amp;"'!$B:$R"),16,FALSE)))</f>
        <v/>
      </c>
      <c r="BA140" s="128">
        <f t="array" ref="BA140">IF(AY140="","",IFERROR(OFFSET($BZ$11,0,MATCH($AY140,$CA140:$FV140,0),),""))</f>
        <v/>
      </c>
      <c r="BB140" s="133">
        <f t="array" ref="BB140">IF(AY140="","",INDIRECT("'GRD-"&amp;BA140&amp;"'!$L$7"))</f>
        <v/>
      </c>
      <c r="BC140" s="84">
        <f t="array" ref="BC140">IFERROR(OFFSET($BZ$11,ROW($B140)-11,MATCH(BC$10,$CA140:$FV140,0),),"")</f>
        <v/>
      </c>
      <c r="BD140" s="84">
        <f>IF(BC140="","",IF(VLOOKUP($B140,INDIRECT("'GRD-"&amp;BE140&amp;"'!$B:$R"),16,FALSE)="","",VLOOKUP($B140,INDIRECT("'GRD-"&amp;BE140&amp;"'!$B:$R"),16,FALSE)))</f>
        <v/>
      </c>
      <c r="BE140" s="129">
        <f t="array" ref="BE140">IF(BC140="","",IFERROR(OFFSET($BZ$11,0,MATCH($BC140,$CA140:$FV140,0),),""))</f>
        <v/>
      </c>
      <c r="BF140" s="134">
        <f t="array" ref="BF140">IF(BC140="","",INDIRECT("'GRD-"&amp;BE140&amp;"'!$L$7"))</f>
        <v/>
      </c>
      <c r="CA140" s="96">
        <f>IFERROR(VLOOKUP($B140,INDIRECT("'GRD-"&amp;CA$11&amp;"'!B:R"),15,FALSE),"")</f>
        <v/>
      </c>
      <c r="CB140" s="96">
        <f>IFERROR(VLOOKUP($B140,INDIRECT("'GRD-"&amp;CB$11&amp;"'!B:R"),15,FALSE),"")</f>
        <v/>
      </c>
      <c r="CC140" s="96">
        <f>IFERROR(VLOOKUP($B140,INDIRECT("'GRD-"&amp;CC$11&amp;"'!B:R"),15,FALSE),"")</f>
        <v/>
      </c>
      <c r="CD140" s="96">
        <f>IFERROR(VLOOKUP($B140,INDIRECT("'GRD-"&amp;CD$11&amp;"'!B:R"),15,FALSE),"")</f>
        <v/>
      </c>
      <c r="CE140" s="96">
        <f>IFERROR(VLOOKUP($B140,INDIRECT("'GRD-"&amp;CE$11&amp;"'!B:R"),15,FALSE),"")</f>
        <v/>
      </c>
      <c r="CF140" s="96">
        <f>IFERROR(VLOOKUP($B140,INDIRECT("'GRD-"&amp;CF$11&amp;"'!B:R"),15,FALSE),"")</f>
        <v/>
      </c>
      <c r="CG140" s="96">
        <f>IFERROR(VLOOKUP($B140,INDIRECT("'GRD-"&amp;CG$11&amp;"'!B:R"),15,FALSE),"")</f>
        <v/>
      </c>
      <c r="CH140" s="96">
        <f>IFERROR(VLOOKUP($B140,INDIRECT("'GRD-"&amp;CH$11&amp;"'!B:R"),15,FALSE),"")</f>
        <v/>
      </c>
      <c r="CI140" s="96">
        <f>IFERROR(VLOOKUP($B140,INDIRECT("'GRD-"&amp;CI$11&amp;"'!B:R"),15,FALSE),"")</f>
        <v/>
      </c>
      <c r="CJ140" s="96">
        <f>IFERROR(VLOOKUP($B140,INDIRECT("'GRD-"&amp;CJ$11&amp;"'!B:R"),15,FALSE),"")</f>
        <v/>
      </c>
      <c r="CK140" s="96">
        <f>IFERROR(VLOOKUP($B140,INDIRECT("'GRD-"&amp;CK$11&amp;"'!B:R"),15,FALSE),"")</f>
        <v/>
      </c>
      <c r="CL140" s="96">
        <f>IFERROR(VLOOKUP($B140,INDIRECT("'GRD-"&amp;CL$11&amp;"'!B:R"),15,FALSE),"")</f>
        <v/>
      </c>
      <c r="CM140" s="96">
        <f>IFERROR(VLOOKUP($B140,INDIRECT("'GRD-"&amp;CM$11&amp;"'!B:R"),15,FALSE),"")</f>
        <v/>
      </c>
      <c r="CN140" s="96">
        <f>IFERROR(VLOOKUP($B140,INDIRECT("'GRD-"&amp;CN$11&amp;"'!B:R"),15,FALSE),"")</f>
        <v/>
      </c>
      <c r="CO140" s="96">
        <f>IFERROR(VLOOKUP($B140,INDIRECT("'GRD-"&amp;CO$11&amp;"'!B:R"),15,FALSE),"")</f>
        <v/>
      </c>
      <c r="CP140" s="96">
        <f>IFERROR(VLOOKUP($B140,INDIRECT("'GRD-"&amp;CP$11&amp;"'!B:R"),15,FALSE),"")</f>
        <v/>
      </c>
      <c r="CQ140" s="96">
        <f>IFERROR(VLOOKUP($B140,INDIRECT("'GRD-"&amp;CQ$11&amp;"'!B:R"),15,FALSE),"")</f>
        <v/>
      </c>
      <c r="CR140" s="96">
        <f>IFERROR(VLOOKUP($B140,INDIRECT("'GRD-"&amp;CR$11&amp;"'!B:R"),15,FALSE),"")</f>
        <v/>
      </c>
      <c r="CS140" s="96">
        <f>IFERROR(VLOOKUP($B140,INDIRECT("'GRD-"&amp;CS$11&amp;"'!B:R"),15,FALSE),"")</f>
        <v/>
      </c>
      <c r="CT140" s="96">
        <f>IFERROR(VLOOKUP($B140,INDIRECT("'GRD-"&amp;CT$11&amp;"'!B:R"),15,FALSE),"")</f>
        <v/>
      </c>
      <c r="CU140" s="96">
        <f>IFERROR(VLOOKUP($B140,INDIRECT("'GRD-"&amp;CU$11&amp;"'!B:R"),15,FALSE),"")</f>
        <v/>
      </c>
      <c r="CV140" s="96">
        <f>IFERROR(VLOOKUP($B140,INDIRECT("'GRD-"&amp;CV$11&amp;"'!B:R"),15,FALSE),"")</f>
        <v/>
      </c>
      <c r="CW140" s="96">
        <f>IFERROR(VLOOKUP($B140,INDIRECT("'GRD-"&amp;CW$11&amp;"'!B:R"),15,FALSE),"")</f>
        <v/>
      </c>
      <c r="CX140" s="96">
        <f>IFERROR(VLOOKUP($B140,INDIRECT("'GRD-"&amp;CX$11&amp;"'!B:R"),15,FALSE),"")</f>
        <v/>
      </c>
      <c r="CY140" s="96">
        <f>IFERROR(VLOOKUP($B140,INDIRECT("'GRD-"&amp;CY$11&amp;"'!B:R"),15,FALSE),"")</f>
        <v/>
      </c>
      <c r="CZ140" s="96">
        <f>IFERROR(VLOOKUP($B140,INDIRECT("'GRD-"&amp;CZ$11&amp;"'!B:R"),15,FALSE),"")</f>
        <v/>
      </c>
      <c r="DA140" s="96">
        <f>IFERROR(VLOOKUP($B140,INDIRECT("'GRD-"&amp;DA$11&amp;"'!B:R"),15,FALSE),"")</f>
        <v/>
      </c>
      <c r="DB140" s="96">
        <f>IFERROR(VLOOKUP($B140,INDIRECT("'GRD-"&amp;DB$11&amp;"'!B:R"),15,FALSE),"")</f>
        <v/>
      </c>
      <c r="DC140" s="96">
        <f>IFERROR(VLOOKUP($B140,INDIRECT("'GRD-"&amp;DC$11&amp;"'!B:R"),15,FALSE),"")</f>
        <v/>
      </c>
      <c r="DD140" s="96">
        <f>IFERROR(VLOOKUP($B140,INDIRECT("'GRD-"&amp;DD$11&amp;"'!B:R"),15,FALSE),"")</f>
        <v/>
      </c>
      <c r="DE140" s="96">
        <f>IFERROR(VLOOKUP($B140,INDIRECT("'GRD-"&amp;DE$11&amp;"'!B:R"),15,FALSE),"")</f>
        <v/>
      </c>
      <c r="DF140" s="96">
        <f>IFERROR(VLOOKUP($B140,INDIRECT("'GRD-"&amp;DF$11&amp;"'!B:R"),15,FALSE),"")</f>
        <v/>
      </c>
      <c r="DG140" s="96">
        <f>IFERROR(VLOOKUP($B140,INDIRECT("'GRD-"&amp;DG$11&amp;"'!B:R"),15,FALSE),"")</f>
        <v/>
      </c>
      <c r="DH140" s="96">
        <f>IFERROR(VLOOKUP($B140,INDIRECT("'GRD-"&amp;DH$11&amp;"'!B:R"),15,FALSE),"")</f>
        <v/>
      </c>
      <c r="DI140" s="96">
        <f>IFERROR(VLOOKUP($B140,INDIRECT("'GRD-"&amp;DI$11&amp;"'!B:R"),15,FALSE),"")</f>
        <v/>
      </c>
      <c r="DJ140" s="96">
        <f>IFERROR(VLOOKUP($B140,INDIRECT("'GRD-"&amp;DJ$11&amp;"'!B:R"),15,FALSE),"")</f>
        <v/>
      </c>
      <c r="DK140" s="96">
        <f>IFERROR(VLOOKUP($B140,INDIRECT("'GRD-"&amp;DK$11&amp;"'!B:R"),15,FALSE),"")</f>
        <v/>
      </c>
      <c r="DL140" s="96">
        <f>IFERROR(VLOOKUP($B140,INDIRECT("'GRD-"&amp;DL$11&amp;"'!B:R"),15,FALSE),"")</f>
        <v/>
      </c>
      <c r="DM140" s="96">
        <f>IFERROR(VLOOKUP($B140,INDIRECT("'GRD-"&amp;DM$11&amp;"'!B:R"),15,FALSE),"")</f>
        <v/>
      </c>
      <c r="DN140" s="96">
        <f>IFERROR(VLOOKUP($B140,INDIRECT("'GRD-"&amp;DN$11&amp;"'!B:R"),15,FALSE),"")</f>
        <v/>
      </c>
      <c r="DO140" s="96">
        <f>IFERROR(VLOOKUP($B140,INDIRECT("'GRD-"&amp;DO$11&amp;"'!B:R"),15,FALSE),"")</f>
        <v/>
      </c>
      <c r="DP140" s="96">
        <f>IFERROR(VLOOKUP($B140,INDIRECT("'GRD-"&amp;DP$11&amp;"'!B:R"),15,FALSE),"")</f>
        <v/>
      </c>
      <c r="DQ140" s="96">
        <f>IFERROR(VLOOKUP($B140,INDIRECT("'GRD-"&amp;DQ$11&amp;"'!B:R"),15,FALSE),"")</f>
        <v/>
      </c>
      <c r="DR140" s="96">
        <f>IFERROR(VLOOKUP($B140,INDIRECT("'GRD-"&amp;DR$11&amp;"'!B:R"),15,FALSE),"")</f>
        <v/>
      </c>
      <c r="DS140" s="96">
        <f>IFERROR(VLOOKUP($B140,INDIRECT("'GRD-"&amp;DS$11&amp;"'!B:R"),15,FALSE),"")</f>
        <v/>
      </c>
      <c r="DT140" s="96">
        <f>IFERROR(VLOOKUP($B140,INDIRECT("'GRD-"&amp;DT$11&amp;"'!B:R"),15,FALSE),"")</f>
        <v/>
      </c>
      <c r="DU140" s="96">
        <f>IFERROR(VLOOKUP($B140,INDIRECT("'GRD-"&amp;DU$11&amp;"'!B:R"),15,FALSE),"")</f>
        <v/>
      </c>
      <c r="DV140" s="96">
        <f>IFERROR(VLOOKUP($B140,INDIRECT("'GRD-"&amp;DV$11&amp;"'!B:R"),15,FALSE),"")</f>
        <v/>
      </c>
      <c r="DW140" s="96">
        <f>IFERROR(VLOOKUP($B140,INDIRECT("'GRD-"&amp;DW$11&amp;"'!B:R"),15,FALSE),"")</f>
        <v/>
      </c>
      <c r="DX140" s="96">
        <f>IFERROR(VLOOKUP($B140,INDIRECT("'GRD-"&amp;DX$11&amp;"'!B:R"),15,FALSE),"")</f>
        <v/>
      </c>
      <c r="DY140" s="96">
        <f>IFERROR(VLOOKUP($B140,INDIRECT("'GRD-"&amp;DY$11&amp;"'!B:R"),15,FALSE),"")</f>
        <v/>
      </c>
      <c r="DZ140" s="96">
        <f>IFERROR(VLOOKUP($B140,INDIRECT("'GRD-"&amp;DZ$11&amp;"'!B:R"),15,FALSE),"")</f>
        <v/>
      </c>
      <c r="EA140" s="96">
        <f>IFERROR(VLOOKUP($B140,INDIRECT("'GRD-"&amp;EA$11&amp;"'!B:R"),15,FALSE),"")</f>
        <v/>
      </c>
      <c r="EB140" s="96">
        <f>IFERROR(VLOOKUP($B140,INDIRECT("'GRD-"&amp;EB$11&amp;"'!B:R"),15,FALSE),"")</f>
        <v/>
      </c>
      <c r="EC140" s="96">
        <f>IFERROR(VLOOKUP($B140,INDIRECT("'GRD-"&amp;EC$11&amp;"'!B:R"),15,FALSE),"")</f>
        <v/>
      </c>
      <c r="ED140" s="96">
        <f>IFERROR(VLOOKUP($B140,INDIRECT("'GRD-"&amp;ED$11&amp;"'!B:R"),15,FALSE),"")</f>
        <v/>
      </c>
      <c r="EE140" s="96">
        <f>IFERROR(VLOOKUP($B140,INDIRECT("'GRD-"&amp;EE$11&amp;"'!B:R"),15,FALSE),"")</f>
        <v/>
      </c>
      <c r="EF140" s="96">
        <f>IFERROR(VLOOKUP($B140,INDIRECT("'GRD-"&amp;EF$11&amp;"'!B:R"),15,FALSE),"")</f>
        <v/>
      </c>
      <c r="EG140" s="96">
        <f>IFERROR(VLOOKUP($B140,INDIRECT("'GRD-"&amp;EG$11&amp;"'!B:R"),15,FALSE),"")</f>
        <v/>
      </c>
      <c r="EH140" s="96">
        <f>IFERROR(VLOOKUP($B140,INDIRECT("'GRD-"&amp;EH$11&amp;"'!B:R"),15,FALSE),"")</f>
        <v/>
      </c>
      <c r="EI140" s="96">
        <f>IFERROR(VLOOKUP($B140,INDIRECT("'GRD-"&amp;EI$11&amp;"'!B:R"),15,FALSE),"")</f>
        <v/>
      </c>
      <c r="EJ140" s="96">
        <f>IFERROR(VLOOKUP($B140,INDIRECT("'GRD-"&amp;EJ$11&amp;"'!B:R"),15,FALSE),"")</f>
        <v/>
      </c>
      <c r="EK140" s="96">
        <f>IFERROR(VLOOKUP($B140,INDIRECT("'GRD-"&amp;EK$11&amp;"'!B:R"),15,FALSE),"")</f>
        <v/>
      </c>
      <c r="EL140" s="96">
        <f>IFERROR(VLOOKUP($B140,INDIRECT("'GRD-"&amp;EL$11&amp;"'!B:R"),15,FALSE),"")</f>
        <v/>
      </c>
      <c r="EM140" s="96">
        <f>IFERROR(VLOOKUP($B140,INDIRECT("'GRD-"&amp;EM$11&amp;"'!B:R"),15,FALSE),"")</f>
        <v/>
      </c>
      <c r="EN140" s="96">
        <f>IFERROR(VLOOKUP($B140,INDIRECT("'GRD-"&amp;EN$11&amp;"'!B:R"),15,FALSE),"")</f>
        <v/>
      </c>
      <c r="EO140" s="96">
        <f>IFERROR(VLOOKUP($B140,INDIRECT("'GRD-"&amp;EO$11&amp;"'!B:R"),15,FALSE),"")</f>
        <v/>
      </c>
      <c r="EP140" s="96">
        <f>IFERROR(VLOOKUP($B140,INDIRECT("'GRD-"&amp;EP$11&amp;"'!B:R"),15,FALSE),"")</f>
        <v/>
      </c>
      <c r="EQ140" s="96">
        <f>IFERROR(VLOOKUP($B140,INDIRECT("'GRD-"&amp;EQ$11&amp;"'!B:R"),15,FALSE),"")</f>
        <v/>
      </c>
      <c r="ER140" s="96">
        <f>IFERROR(VLOOKUP($B140,INDIRECT("'GRD-"&amp;ER$11&amp;"'!B:R"),15,FALSE),"")</f>
        <v/>
      </c>
      <c r="ES140" s="96">
        <f>IFERROR(VLOOKUP($B140,INDIRECT("'GRD-"&amp;ES$11&amp;"'!B:R"),15,FALSE),"")</f>
        <v/>
      </c>
      <c r="ET140" s="96">
        <f>IFERROR(VLOOKUP($B140,INDIRECT("'GRD-"&amp;ET$11&amp;"'!B:R"),15,FALSE),"")</f>
        <v/>
      </c>
      <c r="EU140" s="96">
        <f>IFERROR(VLOOKUP($B140,INDIRECT("'GRD-"&amp;EU$11&amp;"'!B:R"),15,FALSE),"")</f>
        <v/>
      </c>
      <c r="EV140" s="96">
        <f>IFERROR(VLOOKUP($B140,INDIRECT("'GRD-"&amp;EV$11&amp;"'!B:R"),15,FALSE),"")</f>
        <v/>
      </c>
      <c r="EW140" s="96">
        <f>IFERROR(VLOOKUP($B140,INDIRECT("'GRD-"&amp;EW$11&amp;"'!B:R"),15,FALSE),"")</f>
        <v/>
      </c>
      <c r="EX140" s="96">
        <f>IFERROR(VLOOKUP($B140,INDIRECT("'GRD-"&amp;EX$11&amp;"'!B:R"),15,FALSE),"")</f>
        <v/>
      </c>
      <c r="EY140" s="96">
        <f>IFERROR(VLOOKUP($B140,INDIRECT("'GRD-"&amp;EY$11&amp;"'!B:R"),15,FALSE),"")</f>
        <v/>
      </c>
      <c r="EZ140" s="96">
        <f>IFERROR(VLOOKUP($B140,INDIRECT("'GRD-"&amp;EZ$11&amp;"'!B:R"),15,FALSE),"")</f>
        <v/>
      </c>
      <c r="FA140" s="96">
        <f>IFERROR(VLOOKUP($B140,INDIRECT("'GRD-"&amp;FA$11&amp;"'!B:R"),15,FALSE),"")</f>
        <v/>
      </c>
      <c r="FB140" s="96">
        <f>IFERROR(VLOOKUP($B140,INDIRECT("'GRD-"&amp;FB$11&amp;"'!B:R"),15,FALSE),"")</f>
        <v/>
      </c>
      <c r="FC140" s="96">
        <f>IFERROR(VLOOKUP($B140,INDIRECT("'GRD-"&amp;FC$11&amp;"'!B:R"),15,FALSE),"")</f>
        <v/>
      </c>
      <c r="FD140" s="96">
        <f>IFERROR(VLOOKUP($B140,INDIRECT("'GRD-"&amp;FD$11&amp;"'!B:R"),15,FALSE),"")</f>
        <v/>
      </c>
      <c r="FE140" s="96">
        <f>IFERROR(VLOOKUP($B140,INDIRECT("'GRD-"&amp;FE$11&amp;"'!B:R"),15,FALSE),"")</f>
        <v/>
      </c>
      <c r="FF140" s="96">
        <f>IFERROR(VLOOKUP($B140,INDIRECT("'GRD-"&amp;FF$11&amp;"'!B:R"),15,FALSE),"")</f>
        <v/>
      </c>
      <c r="FG140" s="96">
        <f>IFERROR(VLOOKUP($B140,INDIRECT("'GRD-"&amp;FG$11&amp;"'!B:R"),15,FALSE),"")</f>
        <v/>
      </c>
      <c r="FH140" s="96">
        <f>IFERROR(VLOOKUP($B140,INDIRECT("'GRD-"&amp;FH$11&amp;"'!B:R"),15,FALSE),"")</f>
        <v/>
      </c>
      <c r="FI140" s="96">
        <f>IFERROR(VLOOKUP($B140,INDIRECT("'GRD-"&amp;FI$11&amp;"'!B:R"),15,FALSE),"")</f>
        <v/>
      </c>
      <c r="FJ140" s="96">
        <f>IFERROR(VLOOKUP($B140,INDIRECT("'GRD-"&amp;FJ$11&amp;"'!B:R"),15,FALSE),"")</f>
        <v/>
      </c>
      <c r="FK140" s="96">
        <f>IFERROR(VLOOKUP($B140,INDIRECT("'GRD-"&amp;FK$11&amp;"'!B:R"),15,FALSE),"")</f>
        <v/>
      </c>
      <c r="FL140" s="96">
        <f>IFERROR(VLOOKUP($B140,INDIRECT("'GRD-"&amp;FL$11&amp;"'!B:R"),15,FALSE),"")</f>
        <v/>
      </c>
      <c r="FM140" s="96">
        <f>IFERROR(VLOOKUP($B140,INDIRECT("'GRD-"&amp;FM$11&amp;"'!B:R"),15,FALSE),"")</f>
        <v/>
      </c>
      <c r="FN140" s="96">
        <f>IFERROR(VLOOKUP($B140,INDIRECT("'GRD-"&amp;FN$11&amp;"'!B:R"),15,FALSE),"")</f>
        <v/>
      </c>
      <c r="FO140" s="96">
        <f>IFERROR(VLOOKUP($B140,INDIRECT("'GRD-"&amp;FO$11&amp;"'!B:R"),15,FALSE),"")</f>
        <v/>
      </c>
      <c r="FP140" s="96">
        <f>IFERROR(VLOOKUP($B140,INDIRECT("'GRD-"&amp;FP$11&amp;"'!B:R"),15,FALSE),"")</f>
        <v/>
      </c>
      <c r="FQ140" s="96">
        <f>IFERROR(VLOOKUP($B140,INDIRECT("'GRD-"&amp;FQ$11&amp;"'!B:R"),15,FALSE),"")</f>
        <v/>
      </c>
      <c r="FR140" s="96">
        <f>IFERROR(VLOOKUP($B140,INDIRECT("'GRD-"&amp;FR$11&amp;"'!B:R"),15,FALSE),"")</f>
        <v/>
      </c>
      <c r="FS140" s="96">
        <f>IFERROR(VLOOKUP($B140,INDIRECT("'GRD-"&amp;FS$11&amp;"'!B:R"),15,FALSE),"")</f>
        <v/>
      </c>
      <c r="FT140" s="96">
        <f>IFERROR(VLOOKUP($B140,INDIRECT("'GRD-"&amp;FT$11&amp;"'!B:R"),15,FALSE),"")</f>
        <v/>
      </c>
      <c r="FU140" s="96">
        <f>IFERROR(VLOOKUP($B140,INDIRECT("'GRD-"&amp;FU$11&amp;"'!B:R"),15,FALSE),"")</f>
        <v/>
      </c>
      <c r="FV140" s="96">
        <f>IFERROR(VLOOKUP($B140,INDIRECT("'GRD-"&amp;FV$11&amp;"'!B:R"),15,FALSE),"")</f>
        <v/>
      </c>
    </row>
    <row r="141">
      <c r="B141" s="85" t="n"/>
      <c r="C141" s="93" t="n"/>
      <c r="D141" s="73">
        <f>IF(K141="","",MAX($CA141:$FV141))</f>
        <v/>
      </c>
      <c r="E141" s="74">
        <f t="array" ref="E141">IF($K141="","",OFFSET($A$1,ROW($B141)-1,11+$D141*4,))</f>
        <v/>
      </c>
      <c r="F141" s="74">
        <f t="array" ref="F141">IF($K141="","",OFFSET($A$1,ROW($B141)-1,12+$D141*4,))</f>
        <v/>
      </c>
      <c r="G141" s="118">
        <f t="array" ref="G141">IF($K141="","",OFFSET($A$1,ROW($B141)-1,13+$D141*4,))</f>
        <v/>
      </c>
      <c r="H141" s="81" t="n"/>
      <c r="I141" s="82" t="n"/>
      <c r="J141" s="75">
        <f>IF(I141="A4",H141/8,IF(I141="A3",H141/4,IF(I141="A2",H141/2,IF(I141="A1",H141/1,IF(I141="A0",H141*2,"")))))</f>
        <v/>
      </c>
      <c r="K141" s="68">
        <f t="array" ref="K141">IFERROR(OFFSET($BZ$11,ROW($B141)-11,MATCH(K$10,$CA141:$FV141,0),),"")</f>
        <v/>
      </c>
      <c r="L141" s="85">
        <f>IF(K141="","",IF(VLOOKUP($B141,INDIRECT("'GRD-"&amp;M141&amp;"'!$B:$R"),16,FALSE)="","",VLOOKUP($B141,INDIRECT("'GRD-"&amp;M141&amp;"'!$B:$R"),16,FALSE)))</f>
        <v/>
      </c>
      <c r="M141" s="130">
        <f t="array" ref="M141">IF(K141="","",IFERROR(OFFSET($BZ$11,0,MATCH($K141,$CA141:$FV141,0),),""))</f>
        <v/>
      </c>
      <c r="N141" s="119">
        <f t="array" ref="N141">IF(K141="","",INDIRECT("'GRD-"&amp;M141&amp;"'!$L$7"))</f>
        <v/>
      </c>
      <c r="O141" s="76">
        <f t="array" ref="O141">IFERROR(OFFSET($BZ$11,ROW($B141)-11,MATCH(O$10,$CA141:$FV141,0),),"")</f>
        <v/>
      </c>
      <c r="P141" s="76">
        <f>IF(O141="","",IF(VLOOKUP($B141,INDIRECT("'GRD-"&amp;Q141&amp;"'!$B:$R"),16,FALSE)="","",VLOOKUP($B141,INDIRECT("'GRD-"&amp;Q141&amp;"'!$B:$R"),16,FALSE)))</f>
        <v/>
      </c>
      <c r="Q141" s="132">
        <f t="array" ref="Q141">IF(O141="","",IFERROR(OFFSET($BZ$11,0,MATCH($O141,$CA141:$FV141,0),),""))</f>
        <v/>
      </c>
      <c r="R141" s="121">
        <f t="array" ref="R141">IF(O141="","",INDIRECT("'GRD-"&amp;Q141&amp;"'!$L$7"))</f>
        <v/>
      </c>
      <c r="S141" s="83">
        <f t="array" ref="S141">IFERROR(OFFSET($BZ$11,ROW($B141)-11,MATCH(S$10,$CA141:$FV141,0),),"")</f>
        <v/>
      </c>
      <c r="T141" s="83">
        <f>IF(S141="","",IF(VLOOKUP($B141,INDIRECT("'GRD-"&amp;U141&amp;"'!$B:$R"),16,FALSE)="","",VLOOKUP($B141,INDIRECT("'GRD-"&amp;U141&amp;"'!$B:$R"),16,FALSE)))</f>
        <v/>
      </c>
      <c r="U141" s="128">
        <f t="array" ref="U141">IF(S141="","",IFERROR(OFFSET($BZ$11,0,MATCH($S141,$CA141:$FV141,0),),""))</f>
        <v/>
      </c>
      <c r="V141" s="133">
        <f t="array" ref="V141">IF(S141="","",INDIRECT("'GRD-"&amp;U141&amp;"'!$L$7"))</f>
        <v/>
      </c>
      <c r="W141" s="84">
        <f t="array" ref="W141">IFERROR(OFFSET($BZ$11,ROW($B141)-11,MATCH(W$10,$CA141:$FV141,0),),"")</f>
        <v/>
      </c>
      <c r="X141" s="84">
        <f>IF(W141="","",IF(VLOOKUP($B141,INDIRECT("'GRD-"&amp;Y141&amp;"'!$B:$R"),16,FALSE)="","",VLOOKUP($B141,INDIRECT("'GRD-"&amp;Y141&amp;"'!$B:$R"),16,FALSE)))</f>
        <v/>
      </c>
      <c r="Y141" s="129">
        <f t="array" ref="Y141">IF(W141="","",IFERROR(OFFSET($BZ$11,0,MATCH($W141,$CA141:$FV141,0),),""))</f>
        <v/>
      </c>
      <c r="Z141" s="134">
        <f t="array" ref="Z141">IF(W141="","",INDIRECT("'GRD-"&amp;Y141&amp;"'!$L$7"))</f>
        <v/>
      </c>
      <c r="AA141" s="85">
        <f t="array" ref="AA141">IFERROR(OFFSET($BZ$11,ROW($B141)-11,MATCH(AA$10,$CA141:$FV141,0),),"")</f>
        <v/>
      </c>
      <c r="AB141" s="85">
        <f>IF(AA141="","",IF(VLOOKUP($B141,INDIRECT("'GRD-"&amp;AC141&amp;"'!$B:$R"),16,FALSE)="","",VLOOKUP($B141,INDIRECT("'GRD-"&amp;AC141&amp;"'!$B:$R"),16,FALSE)))</f>
        <v/>
      </c>
      <c r="AC141" s="130">
        <f t="array" ref="AC141">IF(AA141="","",IFERROR(OFFSET($BZ$11,0,MATCH($AA141,$CA141:$FV141,0),),""))</f>
        <v/>
      </c>
      <c r="AD141" s="131">
        <f t="array" ref="AD141">IF(AA141="","",INDIRECT("'GRD-"&amp;AC141&amp;"'!$L$7"))</f>
        <v/>
      </c>
      <c r="AE141" s="76">
        <f t="array" ref="AE141">IFERROR(OFFSET($BZ$11,ROW($B141)-11,MATCH(AE$10,$CA141:$FV141,0),),"")</f>
        <v/>
      </c>
      <c r="AF141" s="76">
        <f>IF(AE141="","",IF(VLOOKUP($B141,INDIRECT("'GRD-"&amp;AG141&amp;"'!$B:$R"),16,FALSE)="","",VLOOKUP($B141,INDIRECT("'GRD-"&amp;AG141&amp;"'!$B:$R"),16,FALSE)))</f>
        <v/>
      </c>
      <c r="AG141" s="132">
        <f t="array" ref="AG141">IF(AE141="","",IFERROR(OFFSET($BZ$11,0,MATCH($AE141,$CA141:$FV141,0),),""))</f>
        <v/>
      </c>
      <c r="AH141" s="121">
        <f t="array" ref="AH141">IF(AE141="","",INDIRECT("'GRD-"&amp;AG141&amp;"'!$L$7"))</f>
        <v/>
      </c>
      <c r="AI141" s="83">
        <f t="array" ref="AI141">IFERROR(OFFSET($BZ$11,ROW($B141)-11,MATCH(AI$10,$CA141:$FV141,0),),"")</f>
        <v/>
      </c>
      <c r="AJ141" s="83">
        <f>IF(AI141="","",IF(VLOOKUP($B141,INDIRECT("'GRD-"&amp;AK141&amp;"'!$B:$R"),16,FALSE)="","",VLOOKUP($B141,INDIRECT("'GRD-"&amp;AK141&amp;"'!$B:$R"),16,FALSE)))</f>
        <v/>
      </c>
      <c r="AK141" s="128">
        <f t="array" ref="AK141">IF(AI141="","",IFERROR(OFFSET($BZ$11,0,MATCH($AI141,$CA141:$FV141,0),),""))</f>
        <v/>
      </c>
      <c r="AL141" s="133">
        <f t="array" ref="AL141">IF(AI141="","",INDIRECT("'GRD-"&amp;AK141&amp;"'!$L$7"))</f>
        <v/>
      </c>
      <c r="AM141" s="84">
        <f t="array" ref="AM141">IFERROR(OFFSET($BZ$11,ROW($B141)-11,MATCH(AM$10,$CA141:$FV141,0),),"")</f>
        <v/>
      </c>
      <c r="AN141" s="84">
        <f>IF(AM141="","",IF(VLOOKUP($B141,INDIRECT("'GRD-"&amp;AO141&amp;"'!$B:$R"),16,FALSE)="","",VLOOKUP($B141,INDIRECT("'GRD-"&amp;AO141&amp;"'!$B:$R"),16,FALSE)))</f>
        <v/>
      </c>
      <c r="AO141" s="129">
        <f t="array" ref="AO141">IF(AM141="","",IFERROR(OFFSET($BZ$11,0,MATCH($AM141,$CA141:$FV141,0),),""))</f>
        <v/>
      </c>
      <c r="AP141" s="134">
        <f t="array" ref="AP141">IF(AM141="","",INDIRECT("'GRD-"&amp;AO141&amp;"'!$L$7"))</f>
        <v/>
      </c>
      <c r="AQ141" s="85">
        <f t="array" ref="AQ141">IFERROR(OFFSET($BZ$11,ROW($B141)-11,MATCH(AQ$10,$CA141:$FV141,0),),"")</f>
        <v/>
      </c>
      <c r="AR141" s="85">
        <f>IF(AQ141="","",IF(VLOOKUP($B141,INDIRECT("'GRD-"&amp;AS141&amp;"'!$B:$R"),16,FALSE)="","",VLOOKUP($B141,INDIRECT("'GRD-"&amp;AS141&amp;"'!$B:$R"),16,FALSE)))</f>
        <v/>
      </c>
      <c r="AS141" s="130">
        <f t="array" ref="AS141">IF(AQ141="","",IFERROR(OFFSET($BZ$11,0,MATCH($AQ141,$CA141:$FV141,0),),""))</f>
        <v/>
      </c>
      <c r="AT141" s="131">
        <f t="array" ref="AT141">IF(AQ141="","",INDIRECT("'GRD-"&amp;AS141&amp;"'!$L$7"))</f>
        <v/>
      </c>
      <c r="AU141" s="76">
        <f t="array" ref="AU141">IFERROR(OFFSET($BZ$11,ROW($B141)-11,MATCH(AU$10,$CA141:$FV141,0),),"")</f>
        <v/>
      </c>
      <c r="AV141" s="76">
        <f>IF(AU141="","",IF(VLOOKUP($B141,INDIRECT("'GRD-"&amp;AW141&amp;"'!$B:$R"),16,FALSE)="","",VLOOKUP($B141,INDIRECT("'GRD-"&amp;AW141&amp;"'!$B:$R"),16,FALSE)))</f>
        <v/>
      </c>
      <c r="AW141" s="132">
        <f t="array" ref="AW141">IF(AU141="","",IFERROR(OFFSET($BZ$11,0,MATCH($AU141,$CA141:$FV141,0),),""))</f>
        <v/>
      </c>
      <c r="AX141" s="121">
        <f t="array" ref="AX141">IF(AU141="","",INDIRECT("'GRD-"&amp;AW141&amp;"'!$L$7"))</f>
        <v/>
      </c>
      <c r="AY141" s="83">
        <f t="array" ref="AY141">IFERROR(OFFSET($BZ$11,ROW($B141)-11,MATCH(AY$10,$CA141:$FV141,0),),"")</f>
        <v/>
      </c>
      <c r="AZ141" s="83">
        <f>IF(AY141="","",IF(VLOOKUP($B141,INDIRECT("'GRD-"&amp;BA141&amp;"'!$B:$R"),16,FALSE)="","",VLOOKUP($B141,INDIRECT("'GRD-"&amp;BA141&amp;"'!$B:$R"),16,FALSE)))</f>
        <v/>
      </c>
      <c r="BA141" s="128">
        <f t="array" ref="BA141">IF(AY141="","",IFERROR(OFFSET($BZ$11,0,MATCH($AY141,$CA141:$FV141,0),),""))</f>
        <v/>
      </c>
      <c r="BB141" s="133">
        <f t="array" ref="BB141">IF(AY141="","",INDIRECT("'GRD-"&amp;BA141&amp;"'!$L$7"))</f>
        <v/>
      </c>
      <c r="BC141" s="84">
        <f t="array" ref="BC141">IFERROR(OFFSET($BZ$11,ROW($B141)-11,MATCH(BC$10,$CA141:$FV141,0),),"")</f>
        <v/>
      </c>
      <c r="BD141" s="84">
        <f>IF(BC141="","",IF(VLOOKUP($B141,INDIRECT("'GRD-"&amp;BE141&amp;"'!$B:$R"),16,FALSE)="","",VLOOKUP($B141,INDIRECT("'GRD-"&amp;BE141&amp;"'!$B:$R"),16,FALSE)))</f>
        <v/>
      </c>
      <c r="BE141" s="129">
        <f t="array" ref="BE141">IF(BC141="","",IFERROR(OFFSET($BZ$11,0,MATCH($BC141,$CA141:$FV141,0),),""))</f>
        <v/>
      </c>
      <c r="BF141" s="134">
        <f t="array" ref="BF141">IF(BC141="","",INDIRECT("'GRD-"&amp;BE141&amp;"'!$L$7"))</f>
        <v/>
      </c>
      <c r="CA141" s="96">
        <f>IFERROR(VLOOKUP($B141,INDIRECT("'GRD-"&amp;CA$11&amp;"'!B:R"),15,FALSE),"")</f>
        <v/>
      </c>
      <c r="CB141" s="96">
        <f>IFERROR(VLOOKUP($B141,INDIRECT("'GRD-"&amp;CB$11&amp;"'!B:R"),15,FALSE),"")</f>
        <v/>
      </c>
      <c r="CC141" s="96">
        <f>IFERROR(VLOOKUP($B141,INDIRECT("'GRD-"&amp;CC$11&amp;"'!B:R"),15,FALSE),"")</f>
        <v/>
      </c>
      <c r="CD141" s="96">
        <f>IFERROR(VLOOKUP($B141,INDIRECT("'GRD-"&amp;CD$11&amp;"'!B:R"),15,FALSE),"")</f>
        <v/>
      </c>
      <c r="CE141" s="96">
        <f>IFERROR(VLOOKUP($B141,INDIRECT("'GRD-"&amp;CE$11&amp;"'!B:R"),15,FALSE),"")</f>
        <v/>
      </c>
      <c r="CF141" s="96">
        <f>IFERROR(VLOOKUP($B141,INDIRECT("'GRD-"&amp;CF$11&amp;"'!B:R"),15,FALSE),"")</f>
        <v/>
      </c>
      <c r="CG141" s="96">
        <f>IFERROR(VLOOKUP($B141,INDIRECT("'GRD-"&amp;CG$11&amp;"'!B:R"),15,FALSE),"")</f>
        <v/>
      </c>
      <c r="CH141" s="96">
        <f>IFERROR(VLOOKUP($B141,INDIRECT("'GRD-"&amp;CH$11&amp;"'!B:R"),15,FALSE),"")</f>
        <v/>
      </c>
      <c r="CI141" s="96">
        <f>IFERROR(VLOOKUP($B141,INDIRECT("'GRD-"&amp;CI$11&amp;"'!B:R"),15,FALSE),"")</f>
        <v/>
      </c>
      <c r="CJ141" s="96">
        <f>IFERROR(VLOOKUP($B141,INDIRECT("'GRD-"&amp;CJ$11&amp;"'!B:R"),15,FALSE),"")</f>
        <v/>
      </c>
      <c r="CK141" s="96">
        <f>IFERROR(VLOOKUP($B141,INDIRECT("'GRD-"&amp;CK$11&amp;"'!B:R"),15,FALSE),"")</f>
        <v/>
      </c>
      <c r="CL141" s="96">
        <f>IFERROR(VLOOKUP($B141,INDIRECT("'GRD-"&amp;CL$11&amp;"'!B:R"),15,FALSE),"")</f>
        <v/>
      </c>
      <c r="CM141" s="96">
        <f>IFERROR(VLOOKUP($B141,INDIRECT("'GRD-"&amp;CM$11&amp;"'!B:R"),15,FALSE),"")</f>
        <v/>
      </c>
      <c r="CN141" s="96">
        <f>IFERROR(VLOOKUP($B141,INDIRECT("'GRD-"&amp;CN$11&amp;"'!B:R"),15,FALSE),"")</f>
        <v/>
      </c>
      <c r="CO141" s="96">
        <f>IFERROR(VLOOKUP($B141,INDIRECT("'GRD-"&amp;CO$11&amp;"'!B:R"),15,FALSE),"")</f>
        <v/>
      </c>
      <c r="CP141" s="96">
        <f>IFERROR(VLOOKUP($B141,INDIRECT("'GRD-"&amp;CP$11&amp;"'!B:R"),15,FALSE),"")</f>
        <v/>
      </c>
      <c r="CQ141" s="96">
        <f>IFERROR(VLOOKUP($B141,INDIRECT("'GRD-"&amp;CQ$11&amp;"'!B:R"),15,FALSE),"")</f>
        <v/>
      </c>
      <c r="CR141" s="96">
        <f>IFERROR(VLOOKUP($B141,INDIRECT("'GRD-"&amp;CR$11&amp;"'!B:R"),15,FALSE),"")</f>
        <v/>
      </c>
      <c r="CS141" s="96">
        <f>IFERROR(VLOOKUP($B141,INDIRECT("'GRD-"&amp;CS$11&amp;"'!B:R"),15,FALSE),"")</f>
        <v/>
      </c>
      <c r="CT141" s="96">
        <f>IFERROR(VLOOKUP($B141,INDIRECT("'GRD-"&amp;CT$11&amp;"'!B:R"),15,FALSE),"")</f>
        <v/>
      </c>
      <c r="CU141" s="96">
        <f>IFERROR(VLOOKUP($B141,INDIRECT("'GRD-"&amp;CU$11&amp;"'!B:R"),15,FALSE),"")</f>
        <v/>
      </c>
      <c r="CV141" s="96">
        <f>IFERROR(VLOOKUP($B141,INDIRECT("'GRD-"&amp;CV$11&amp;"'!B:R"),15,FALSE),"")</f>
        <v/>
      </c>
      <c r="CW141" s="96">
        <f>IFERROR(VLOOKUP($B141,INDIRECT("'GRD-"&amp;CW$11&amp;"'!B:R"),15,FALSE),"")</f>
        <v/>
      </c>
      <c r="CX141" s="96">
        <f>IFERROR(VLOOKUP($B141,INDIRECT("'GRD-"&amp;CX$11&amp;"'!B:R"),15,FALSE),"")</f>
        <v/>
      </c>
      <c r="CY141" s="96">
        <f>IFERROR(VLOOKUP($B141,INDIRECT("'GRD-"&amp;CY$11&amp;"'!B:R"),15,FALSE),"")</f>
        <v/>
      </c>
      <c r="CZ141" s="96">
        <f>IFERROR(VLOOKUP($B141,INDIRECT("'GRD-"&amp;CZ$11&amp;"'!B:R"),15,FALSE),"")</f>
        <v/>
      </c>
      <c r="DA141" s="96">
        <f>IFERROR(VLOOKUP($B141,INDIRECT("'GRD-"&amp;DA$11&amp;"'!B:R"),15,FALSE),"")</f>
        <v/>
      </c>
      <c r="DB141" s="96">
        <f>IFERROR(VLOOKUP($B141,INDIRECT("'GRD-"&amp;DB$11&amp;"'!B:R"),15,FALSE),"")</f>
        <v/>
      </c>
      <c r="DC141" s="96">
        <f>IFERROR(VLOOKUP($B141,INDIRECT("'GRD-"&amp;DC$11&amp;"'!B:R"),15,FALSE),"")</f>
        <v/>
      </c>
      <c r="DD141" s="96">
        <f>IFERROR(VLOOKUP($B141,INDIRECT("'GRD-"&amp;DD$11&amp;"'!B:R"),15,FALSE),"")</f>
        <v/>
      </c>
      <c r="DE141" s="96">
        <f>IFERROR(VLOOKUP($B141,INDIRECT("'GRD-"&amp;DE$11&amp;"'!B:R"),15,FALSE),"")</f>
        <v/>
      </c>
      <c r="DF141" s="96">
        <f>IFERROR(VLOOKUP($B141,INDIRECT("'GRD-"&amp;DF$11&amp;"'!B:R"),15,FALSE),"")</f>
        <v/>
      </c>
      <c r="DG141" s="96">
        <f>IFERROR(VLOOKUP($B141,INDIRECT("'GRD-"&amp;DG$11&amp;"'!B:R"),15,FALSE),"")</f>
        <v/>
      </c>
      <c r="DH141" s="96">
        <f>IFERROR(VLOOKUP($B141,INDIRECT("'GRD-"&amp;DH$11&amp;"'!B:R"),15,FALSE),"")</f>
        <v/>
      </c>
      <c r="DI141" s="96">
        <f>IFERROR(VLOOKUP($B141,INDIRECT("'GRD-"&amp;DI$11&amp;"'!B:R"),15,FALSE),"")</f>
        <v/>
      </c>
      <c r="DJ141" s="96">
        <f>IFERROR(VLOOKUP($B141,INDIRECT("'GRD-"&amp;DJ$11&amp;"'!B:R"),15,FALSE),"")</f>
        <v/>
      </c>
      <c r="DK141" s="96">
        <f>IFERROR(VLOOKUP($B141,INDIRECT("'GRD-"&amp;DK$11&amp;"'!B:R"),15,FALSE),"")</f>
        <v/>
      </c>
      <c r="DL141" s="96">
        <f>IFERROR(VLOOKUP($B141,INDIRECT("'GRD-"&amp;DL$11&amp;"'!B:R"),15,FALSE),"")</f>
        <v/>
      </c>
      <c r="DM141" s="96">
        <f>IFERROR(VLOOKUP($B141,INDIRECT("'GRD-"&amp;DM$11&amp;"'!B:R"),15,FALSE),"")</f>
        <v/>
      </c>
      <c r="DN141" s="96">
        <f>IFERROR(VLOOKUP($B141,INDIRECT("'GRD-"&amp;DN$11&amp;"'!B:R"),15,FALSE),"")</f>
        <v/>
      </c>
      <c r="DO141" s="96">
        <f>IFERROR(VLOOKUP($B141,INDIRECT("'GRD-"&amp;DO$11&amp;"'!B:R"),15,FALSE),"")</f>
        <v/>
      </c>
      <c r="DP141" s="96">
        <f>IFERROR(VLOOKUP($B141,INDIRECT("'GRD-"&amp;DP$11&amp;"'!B:R"),15,FALSE),"")</f>
        <v/>
      </c>
      <c r="DQ141" s="96">
        <f>IFERROR(VLOOKUP($B141,INDIRECT("'GRD-"&amp;DQ$11&amp;"'!B:R"),15,FALSE),"")</f>
        <v/>
      </c>
      <c r="DR141" s="96">
        <f>IFERROR(VLOOKUP($B141,INDIRECT("'GRD-"&amp;DR$11&amp;"'!B:R"),15,FALSE),"")</f>
        <v/>
      </c>
      <c r="DS141" s="96">
        <f>IFERROR(VLOOKUP($B141,INDIRECT("'GRD-"&amp;DS$11&amp;"'!B:R"),15,FALSE),"")</f>
        <v/>
      </c>
      <c r="DT141" s="96">
        <f>IFERROR(VLOOKUP($B141,INDIRECT("'GRD-"&amp;DT$11&amp;"'!B:R"),15,FALSE),"")</f>
        <v/>
      </c>
      <c r="DU141" s="96">
        <f>IFERROR(VLOOKUP($B141,INDIRECT("'GRD-"&amp;DU$11&amp;"'!B:R"),15,FALSE),"")</f>
        <v/>
      </c>
      <c r="DV141" s="96">
        <f>IFERROR(VLOOKUP($B141,INDIRECT("'GRD-"&amp;DV$11&amp;"'!B:R"),15,FALSE),"")</f>
        <v/>
      </c>
      <c r="DW141" s="96">
        <f>IFERROR(VLOOKUP($B141,INDIRECT("'GRD-"&amp;DW$11&amp;"'!B:R"),15,FALSE),"")</f>
        <v/>
      </c>
      <c r="DX141" s="96">
        <f>IFERROR(VLOOKUP($B141,INDIRECT("'GRD-"&amp;DX$11&amp;"'!B:R"),15,FALSE),"")</f>
        <v/>
      </c>
      <c r="DY141" s="96">
        <f>IFERROR(VLOOKUP($B141,INDIRECT("'GRD-"&amp;DY$11&amp;"'!B:R"),15,FALSE),"")</f>
        <v/>
      </c>
      <c r="DZ141" s="96">
        <f>IFERROR(VLOOKUP($B141,INDIRECT("'GRD-"&amp;DZ$11&amp;"'!B:R"),15,FALSE),"")</f>
        <v/>
      </c>
      <c r="EA141" s="96">
        <f>IFERROR(VLOOKUP($B141,INDIRECT("'GRD-"&amp;EA$11&amp;"'!B:R"),15,FALSE),"")</f>
        <v/>
      </c>
      <c r="EB141" s="96">
        <f>IFERROR(VLOOKUP($B141,INDIRECT("'GRD-"&amp;EB$11&amp;"'!B:R"),15,FALSE),"")</f>
        <v/>
      </c>
      <c r="EC141" s="96">
        <f>IFERROR(VLOOKUP($B141,INDIRECT("'GRD-"&amp;EC$11&amp;"'!B:R"),15,FALSE),"")</f>
        <v/>
      </c>
      <c r="ED141" s="96">
        <f>IFERROR(VLOOKUP($B141,INDIRECT("'GRD-"&amp;ED$11&amp;"'!B:R"),15,FALSE),"")</f>
        <v/>
      </c>
      <c r="EE141" s="96">
        <f>IFERROR(VLOOKUP($B141,INDIRECT("'GRD-"&amp;EE$11&amp;"'!B:R"),15,FALSE),"")</f>
        <v/>
      </c>
      <c r="EF141" s="96">
        <f>IFERROR(VLOOKUP($B141,INDIRECT("'GRD-"&amp;EF$11&amp;"'!B:R"),15,FALSE),"")</f>
        <v/>
      </c>
      <c r="EG141" s="96">
        <f>IFERROR(VLOOKUP($B141,INDIRECT("'GRD-"&amp;EG$11&amp;"'!B:R"),15,FALSE),"")</f>
        <v/>
      </c>
      <c r="EH141" s="96">
        <f>IFERROR(VLOOKUP($B141,INDIRECT("'GRD-"&amp;EH$11&amp;"'!B:R"),15,FALSE),"")</f>
        <v/>
      </c>
      <c r="EI141" s="96">
        <f>IFERROR(VLOOKUP($B141,INDIRECT("'GRD-"&amp;EI$11&amp;"'!B:R"),15,FALSE),"")</f>
        <v/>
      </c>
      <c r="EJ141" s="96">
        <f>IFERROR(VLOOKUP($B141,INDIRECT("'GRD-"&amp;EJ$11&amp;"'!B:R"),15,FALSE),"")</f>
        <v/>
      </c>
      <c r="EK141" s="96">
        <f>IFERROR(VLOOKUP($B141,INDIRECT("'GRD-"&amp;EK$11&amp;"'!B:R"),15,FALSE),"")</f>
        <v/>
      </c>
      <c r="EL141" s="96">
        <f>IFERROR(VLOOKUP($B141,INDIRECT("'GRD-"&amp;EL$11&amp;"'!B:R"),15,FALSE),"")</f>
        <v/>
      </c>
      <c r="EM141" s="96">
        <f>IFERROR(VLOOKUP($B141,INDIRECT("'GRD-"&amp;EM$11&amp;"'!B:R"),15,FALSE),"")</f>
        <v/>
      </c>
      <c r="EN141" s="96">
        <f>IFERROR(VLOOKUP($B141,INDIRECT("'GRD-"&amp;EN$11&amp;"'!B:R"),15,FALSE),"")</f>
        <v/>
      </c>
      <c r="EO141" s="96">
        <f>IFERROR(VLOOKUP($B141,INDIRECT("'GRD-"&amp;EO$11&amp;"'!B:R"),15,FALSE),"")</f>
        <v/>
      </c>
      <c r="EP141" s="96">
        <f>IFERROR(VLOOKUP($B141,INDIRECT("'GRD-"&amp;EP$11&amp;"'!B:R"),15,FALSE),"")</f>
        <v/>
      </c>
      <c r="EQ141" s="96">
        <f>IFERROR(VLOOKUP($B141,INDIRECT("'GRD-"&amp;EQ$11&amp;"'!B:R"),15,FALSE),"")</f>
        <v/>
      </c>
      <c r="ER141" s="96">
        <f>IFERROR(VLOOKUP($B141,INDIRECT("'GRD-"&amp;ER$11&amp;"'!B:R"),15,FALSE),"")</f>
        <v/>
      </c>
      <c r="ES141" s="96">
        <f>IFERROR(VLOOKUP($B141,INDIRECT("'GRD-"&amp;ES$11&amp;"'!B:R"),15,FALSE),"")</f>
        <v/>
      </c>
      <c r="ET141" s="96">
        <f>IFERROR(VLOOKUP($B141,INDIRECT("'GRD-"&amp;ET$11&amp;"'!B:R"),15,FALSE),"")</f>
        <v/>
      </c>
      <c r="EU141" s="96">
        <f>IFERROR(VLOOKUP($B141,INDIRECT("'GRD-"&amp;EU$11&amp;"'!B:R"),15,FALSE),"")</f>
        <v/>
      </c>
      <c r="EV141" s="96">
        <f>IFERROR(VLOOKUP($B141,INDIRECT("'GRD-"&amp;EV$11&amp;"'!B:R"),15,FALSE),"")</f>
        <v/>
      </c>
      <c r="EW141" s="96">
        <f>IFERROR(VLOOKUP($B141,INDIRECT("'GRD-"&amp;EW$11&amp;"'!B:R"),15,FALSE),"")</f>
        <v/>
      </c>
      <c r="EX141" s="96">
        <f>IFERROR(VLOOKUP($B141,INDIRECT("'GRD-"&amp;EX$11&amp;"'!B:R"),15,FALSE),"")</f>
        <v/>
      </c>
      <c r="EY141" s="96">
        <f>IFERROR(VLOOKUP($B141,INDIRECT("'GRD-"&amp;EY$11&amp;"'!B:R"),15,FALSE),"")</f>
        <v/>
      </c>
      <c r="EZ141" s="96">
        <f>IFERROR(VLOOKUP($B141,INDIRECT("'GRD-"&amp;EZ$11&amp;"'!B:R"),15,FALSE),"")</f>
        <v/>
      </c>
      <c r="FA141" s="96">
        <f>IFERROR(VLOOKUP($B141,INDIRECT("'GRD-"&amp;FA$11&amp;"'!B:R"),15,FALSE),"")</f>
        <v/>
      </c>
      <c r="FB141" s="96">
        <f>IFERROR(VLOOKUP($B141,INDIRECT("'GRD-"&amp;FB$11&amp;"'!B:R"),15,FALSE),"")</f>
        <v/>
      </c>
      <c r="FC141" s="96">
        <f>IFERROR(VLOOKUP($B141,INDIRECT("'GRD-"&amp;FC$11&amp;"'!B:R"),15,FALSE),"")</f>
        <v/>
      </c>
      <c r="FD141" s="96">
        <f>IFERROR(VLOOKUP($B141,INDIRECT("'GRD-"&amp;FD$11&amp;"'!B:R"),15,FALSE),"")</f>
        <v/>
      </c>
      <c r="FE141" s="96">
        <f>IFERROR(VLOOKUP($B141,INDIRECT("'GRD-"&amp;FE$11&amp;"'!B:R"),15,FALSE),"")</f>
        <v/>
      </c>
      <c r="FF141" s="96">
        <f>IFERROR(VLOOKUP($B141,INDIRECT("'GRD-"&amp;FF$11&amp;"'!B:R"),15,FALSE),"")</f>
        <v/>
      </c>
      <c r="FG141" s="96">
        <f>IFERROR(VLOOKUP($B141,INDIRECT("'GRD-"&amp;FG$11&amp;"'!B:R"),15,FALSE),"")</f>
        <v/>
      </c>
      <c r="FH141" s="96">
        <f>IFERROR(VLOOKUP($B141,INDIRECT("'GRD-"&amp;FH$11&amp;"'!B:R"),15,FALSE),"")</f>
        <v/>
      </c>
      <c r="FI141" s="96">
        <f>IFERROR(VLOOKUP($B141,INDIRECT("'GRD-"&amp;FI$11&amp;"'!B:R"),15,FALSE),"")</f>
        <v/>
      </c>
      <c r="FJ141" s="96">
        <f>IFERROR(VLOOKUP($B141,INDIRECT("'GRD-"&amp;FJ$11&amp;"'!B:R"),15,FALSE),"")</f>
        <v/>
      </c>
      <c r="FK141" s="96">
        <f>IFERROR(VLOOKUP($B141,INDIRECT("'GRD-"&amp;FK$11&amp;"'!B:R"),15,FALSE),"")</f>
        <v/>
      </c>
      <c r="FL141" s="96">
        <f>IFERROR(VLOOKUP($B141,INDIRECT("'GRD-"&amp;FL$11&amp;"'!B:R"),15,FALSE),"")</f>
        <v/>
      </c>
      <c r="FM141" s="96">
        <f>IFERROR(VLOOKUP($B141,INDIRECT("'GRD-"&amp;FM$11&amp;"'!B:R"),15,FALSE),"")</f>
        <v/>
      </c>
      <c r="FN141" s="96">
        <f>IFERROR(VLOOKUP($B141,INDIRECT("'GRD-"&amp;FN$11&amp;"'!B:R"),15,FALSE),"")</f>
        <v/>
      </c>
      <c r="FO141" s="96">
        <f>IFERROR(VLOOKUP($B141,INDIRECT("'GRD-"&amp;FO$11&amp;"'!B:R"),15,FALSE),"")</f>
        <v/>
      </c>
      <c r="FP141" s="96">
        <f>IFERROR(VLOOKUP($B141,INDIRECT("'GRD-"&amp;FP$11&amp;"'!B:R"),15,FALSE),"")</f>
        <v/>
      </c>
      <c r="FQ141" s="96">
        <f>IFERROR(VLOOKUP($B141,INDIRECT("'GRD-"&amp;FQ$11&amp;"'!B:R"),15,FALSE),"")</f>
        <v/>
      </c>
      <c r="FR141" s="96">
        <f>IFERROR(VLOOKUP($B141,INDIRECT("'GRD-"&amp;FR$11&amp;"'!B:R"),15,FALSE),"")</f>
        <v/>
      </c>
      <c r="FS141" s="96">
        <f>IFERROR(VLOOKUP($B141,INDIRECT("'GRD-"&amp;FS$11&amp;"'!B:R"),15,FALSE),"")</f>
        <v/>
      </c>
      <c r="FT141" s="96">
        <f>IFERROR(VLOOKUP($B141,INDIRECT("'GRD-"&amp;FT$11&amp;"'!B:R"),15,FALSE),"")</f>
        <v/>
      </c>
      <c r="FU141" s="96">
        <f>IFERROR(VLOOKUP($B141,INDIRECT("'GRD-"&amp;FU$11&amp;"'!B:R"),15,FALSE),"")</f>
        <v/>
      </c>
      <c r="FV141" s="96">
        <f>IFERROR(VLOOKUP($B141,INDIRECT("'GRD-"&amp;FV$11&amp;"'!B:R"),15,FALSE),"")</f>
        <v/>
      </c>
    </row>
    <row r="142">
      <c r="B142" s="85" t="n"/>
      <c r="C142" s="93" t="n"/>
      <c r="D142" s="73">
        <f>IF(K142="","",MAX($CA142:$FV142))</f>
        <v/>
      </c>
      <c r="E142" s="74">
        <f t="array" ref="E142">IF($K142="","",OFFSET($A$1,ROW($B142)-1,11+$D142*4,))</f>
        <v/>
      </c>
      <c r="F142" s="74">
        <f t="array" ref="F142">IF($K142="","",OFFSET($A$1,ROW($B142)-1,12+$D142*4,))</f>
        <v/>
      </c>
      <c r="G142" s="118">
        <f t="array" ref="G142">IF($K142="","",OFFSET($A$1,ROW($B142)-1,13+$D142*4,))</f>
        <v/>
      </c>
      <c r="H142" s="81" t="n"/>
      <c r="I142" s="82" t="n"/>
      <c r="J142" s="75">
        <f>IF(I142="A4",H142/8,IF(I142="A3",H142/4,IF(I142="A2",H142/2,IF(I142="A1",H142/1,IF(I142="A0",H142*2,"")))))</f>
        <v/>
      </c>
      <c r="K142" s="68">
        <f t="array" ref="K142">IFERROR(OFFSET($BZ$11,ROW($B142)-11,MATCH(K$10,$CA142:$FV142,0),),"")</f>
        <v/>
      </c>
      <c r="L142" s="85">
        <f>IF(K142="","",IF(VLOOKUP($B142,INDIRECT("'GRD-"&amp;M142&amp;"'!$B:$R"),16,FALSE)="","",VLOOKUP($B142,INDIRECT("'GRD-"&amp;M142&amp;"'!$B:$R"),16,FALSE)))</f>
        <v/>
      </c>
      <c r="M142" s="130">
        <f t="array" ref="M142">IF(K142="","",IFERROR(OFFSET($BZ$11,0,MATCH($K142,$CA142:$FV142,0),),""))</f>
        <v/>
      </c>
      <c r="N142" s="119">
        <f t="array" ref="N142">IF(K142="","",INDIRECT("'GRD-"&amp;M142&amp;"'!$L$7"))</f>
        <v/>
      </c>
      <c r="O142" s="76">
        <f t="array" ref="O142">IFERROR(OFFSET($BZ$11,ROW($B142)-11,MATCH(O$10,$CA142:$FV142,0),),"")</f>
        <v/>
      </c>
      <c r="P142" s="76">
        <f>IF(O142="","",IF(VLOOKUP($B142,INDIRECT("'GRD-"&amp;Q142&amp;"'!$B:$R"),16,FALSE)="","",VLOOKUP($B142,INDIRECT("'GRD-"&amp;Q142&amp;"'!$B:$R"),16,FALSE)))</f>
        <v/>
      </c>
      <c r="Q142" s="132">
        <f t="array" ref="Q142">IF(O142="","",IFERROR(OFFSET($BZ$11,0,MATCH($O142,$CA142:$FV142,0),),""))</f>
        <v/>
      </c>
      <c r="R142" s="121">
        <f t="array" ref="R142">IF(O142="","",INDIRECT("'GRD-"&amp;Q142&amp;"'!$L$7"))</f>
        <v/>
      </c>
      <c r="S142" s="83">
        <f t="array" ref="S142">IFERROR(OFFSET($BZ$11,ROW($B142)-11,MATCH(S$10,$CA142:$FV142,0),),"")</f>
        <v/>
      </c>
      <c r="T142" s="83">
        <f>IF(S142="","",IF(VLOOKUP($B142,INDIRECT("'GRD-"&amp;U142&amp;"'!$B:$R"),16,FALSE)="","",VLOOKUP($B142,INDIRECT("'GRD-"&amp;U142&amp;"'!$B:$R"),16,FALSE)))</f>
        <v/>
      </c>
      <c r="U142" s="128">
        <f t="array" ref="U142">IF(S142="","",IFERROR(OFFSET($BZ$11,0,MATCH($S142,$CA142:$FV142,0),),""))</f>
        <v/>
      </c>
      <c r="V142" s="133">
        <f t="array" ref="V142">IF(S142="","",INDIRECT("'GRD-"&amp;U142&amp;"'!$L$7"))</f>
        <v/>
      </c>
      <c r="W142" s="84">
        <f t="array" ref="W142">IFERROR(OFFSET($BZ$11,ROW($B142)-11,MATCH(W$10,$CA142:$FV142,0),),"")</f>
        <v/>
      </c>
      <c r="X142" s="84">
        <f>IF(W142="","",IF(VLOOKUP($B142,INDIRECT("'GRD-"&amp;Y142&amp;"'!$B:$R"),16,FALSE)="","",VLOOKUP($B142,INDIRECT("'GRD-"&amp;Y142&amp;"'!$B:$R"),16,FALSE)))</f>
        <v/>
      </c>
      <c r="Y142" s="129">
        <f t="array" ref="Y142">IF(W142="","",IFERROR(OFFSET($BZ$11,0,MATCH($W142,$CA142:$FV142,0),),""))</f>
        <v/>
      </c>
      <c r="Z142" s="134">
        <f t="array" ref="Z142">IF(W142="","",INDIRECT("'GRD-"&amp;Y142&amp;"'!$L$7"))</f>
        <v/>
      </c>
      <c r="AA142" s="85">
        <f t="array" ref="AA142">IFERROR(OFFSET($BZ$11,ROW($B142)-11,MATCH(AA$10,$CA142:$FV142,0),),"")</f>
        <v/>
      </c>
      <c r="AB142" s="85">
        <f>IF(AA142="","",IF(VLOOKUP($B142,INDIRECT("'GRD-"&amp;AC142&amp;"'!$B:$R"),16,FALSE)="","",VLOOKUP($B142,INDIRECT("'GRD-"&amp;AC142&amp;"'!$B:$R"),16,FALSE)))</f>
        <v/>
      </c>
      <c r="AC142" s="130">
        <f t="array" ref="AC142">IF(AA142="","",IFERROR(OFFSET($BZ$11,0,MATCH($AA142,$CA142:$FV142,0),),""))</f>
        <v/>
      </c>
      <c r="AD142" s="131">
        <f t="array" ref="AD142">IF(AA142="","",INDIRECT("'GRD-"&amp;AC142&amp;"'!$L$7"))</f>
        <v/>
      </c>
      <c r="AE142" s="76">
        <f t="array" ref="AE142">IFERROR(OFFSET($BZ$11,ROW($B142)-11,MATCH(AE$10,$CA142:$FV142,0),),"")</f>
        <v/>
      </c>
      <c r="AF142" s="76">
        <f>IF(AE142="","",IF(VLOOKUP($B142,INDIRECT("'GRD-"&amp;AG142&amp;"'!$B:$R"),16,FALSE)="","",VLOOKUP($B142,INDIRECT("'GRD-"&amp;AG142&amp;"'!$B:$R"),16,FALSE)))</f>
        <v/>
      </c>
      <c r="AG142" s="132">
        <f t="array" ref="AG142">IF(AE142="","",IFERROR(OFFSET($BZ$11,0,MATCH($AE142,$CA142:$FV142,0),),""))</f>
        <v/>
      </c>
      <c r="AH142" s="121">
        <f t="array" ref="AH142">IF(AE142="","",INDIRECT("'GRD-"&amp;AG142&amp;"'!$L$7"))</f>
        <v/>
      </c>
      <c r="AI142" s="83">
        <f t="array" ref="AI142">IFERROR(OFFSET($BZ$11,ROW($B142)-11,MATCH(AI$10,$CA142:$FV142,0),),"")</f>
        <v/>
      </c>
      <c r="AJ142" s="83">
        <f>IF(AI142="","",IF(VLOOKUP($B142,INDIRECT("'GRD-"&amp;AK142&amp;"'!$B:$R"),16,FALSE)="","",VLOOKUP($B142,INDIRECT("'GRD-"&amp;AK142&amp;"'!$B:$R"),16,FALSE)))</f>
        <v/>
      </c>
      <c r="AK142" s="128">
        <f t="array" ref="AK142">IF(AI142="","",IFERROR(OFFSET($BZ$11,0,MATCH($AI142,$CA142:$FV142,0),),""))</f>
        <v/>
      </c>
      <c r="AL142" s="133">
        <f t="array" ref="AL142">IF(AI142="","",INDIRECT("'GRD-"&amp;AK142&amp;"'!$L$7"))</f>
        <v/>
      </c>
      <c r="AM142" s="84">
        <f t="array" ref="AM142">IFERROR(OFFSET($BZ$11,ROW($B142)-11,MATCH(AM$10,$CA142:$FV142,0),),"")</f>
        <v/>
      </c>
      <c r="AN142" s="84">
        <f>IF(AM142="","",IF(VLOOKUP($B142,INDIRECT("'GRD-"&amp;AO142&amp;"'!$B:$R"),16,FALSE)="","",VLOOKUP($B142,INDIRECT("'GRD-"&amp;AO142&amp;"'!$B:$R"),16,FALSE)))</f>
        <v/>
      </c>
      <c r="AO142" s="129">
        <f t="array" ref="AO142">IF(AM142="","",IFERROR(OFFSET($BZ$11,0,MATCH($AM142,$CA142:$FV142,0),),""))</f>
        <v/>
      </c>
      <c r="AP142" s="134">
        <f t="array" ref="AP142">IF(AM142="","",INDIRECT("'GRD-"&amp;AO142&amp;"'!$L$7"))</f>
        <v/>
      </c>
      <c r="AQ142" s="85">
        <f t="array" ref="AQ142">IFERROR(OFFSET($BZ$11,ROW($B142)-11,MATCH(AQ$10,$CA142:$FV142,0),),"")</f>
        <v/>
      </c>
      <c r="AR142" s="85">
        <f>IF(AQ142="","",IF(VLOOKUP($B142,INDIRECT("'GRD-"&amp;AS142&amp;"'!$B:$R"),16,FALSE)="","",VLOOKUP($B142,INDIRECT("'GRD-"&amp;AS142&amp;"'!$B:$R"),16,FALSE)))</f>
        <v/>
      </c>
      <c r="AS142" s="130">
        <f t="array" ref="AS142">IF(AQ142="","",IFERROR(OFFSET($BZ$11,0,MATCH($AQ142,$CA142:$FV142,0),),""))</f>
        <v/>
      </c>
      <c r="AT142" s="131">
        <f t="array" ref="AT142">IF(AQ142="","",INDIRECT("'GRD-"&amp;AS142&amp;"'!$L$7"))</f>
        <v/>
      </c>
      <c r="AU142" s="76">
        <f t="array" ref="AU142">IFERROR(OFFSET($BZ$11,ROW($B142)-11,MATCH(AU$10,$CA142:$FV142,0),),"")</f>
        <v/>
      </c>
      <c r="AV142" s="76">
        <f>IF(AU142="","",IF(VLOOKUP($B142,INDIRECT("'GRD-"&amp;AW142&amp;"'!$B:$R"),16,FALSE)="","",VLOOKUP($B142,INDIRECT("'GRD-"&amp;AW142&amp;"'!$B:$R"),16,FALSE)))</f>
        <v/>
      </c>
      <c r="AW142" s="132">
        <f t="array" ref="AW142">IF(AU142="","",IFERROR(OFFSET($BZ$11,0,MATCH($AU142,$CA142:$FV142,0),),""))</f>
        <v/>
      </c>
      <c r="AX142" s="121">
        <f t="array" ref="AX142">IF(AU142="","",INDIRECT("'GRD-"&amp;AW142&amp;"'!$L$7"))</f>
        <v/>
      </c>
      <c r="AY142" s="83">
        <f t="array" ref="AY142">IFERROR(OFFSET($BZ$11,ROW($B142)-11,MATCH(AY$10,$CA142:$FV142,0),),"")</f>
        <v/>
      </c>
      <c r="AZ142" s="83">
        <f>IF(AY142="","",IF(VLOOKUP($B142,INDIRECT("'GRD-"&amp;BA142&amp;"'!$B:$R"),16,FALSE)="","",VLOOKUP($B142,INDIRECT("'GRD-"&amp;BA142&amp;"'!$B:$R"),16,FALSE)))</f>
        <v/>
      </c>
      <c r="BA142" s="128">
        <f t="array" ref="BA142">IF(AY142="","",IFERROR(OFFSET($BZ$11,0,MATCH($AY142,$CA142:$FV142,0),),""))</f>
        <v/>
      </c>
      <c r="BB142" s="133">
        <f t="array" ref="BB142">IF(AY142="","",INDIRECT("'GRD-"&amp;BA142&amp;"'!$L$7"))</f>
        <v/>
      </c>
      <c r="BC142" s="84">
        <f t="array" ref="BC142">IFERROR(OFFSET($BZ$11,ROW($B142)-11,MATCH(BC$10,$CA142:$FV142,0),),"")</f>
        <v/>
      </c>
      <c r="BD142" s="84">
        <f>IF(BC142="","",IF(VLOOKUP($B142,INDIRECT("'GRD-"&amp;BE142&amp;"'!$B:$R"),16,FALSE)="","",VLOOKUP($B142,INDIRECT("'GRD-"&amp;BE142&amp;"'!$B:$R"),16,FALSE)))</f>
        <v/>
      </c>
      <c r="BE142" s="129">
        <f t="array" ref="BE142">IF(BC142="","",IFERROR(OFFSET($BZ$11,0,MATCH($BC142,$CA142:$FV142,0),),""))</f>
        <v/>
      </c>
      <c r="BF142" s="134">
        <f t="array" ref="BF142">IF(BC142="","",INDIRECT("'GRD-"&amp;BE142&amp;"'!$L$7"))</f>
        <v/>
      </c>
      <c r="CA142" s="96">
        <f>IFERROR(VLOOKUP($B142,INDIRECT("'GRD-"&amp;CA$11&amp;"'!B:R"),15,FALSE),"")</f>
        <v/>
      </c>
      <c r="CB142" s="96">
        <f>IFERROR(VLOOKUP($B142,INDIRECT("'GRD-"&amp;CB$11&amp;"'!B:R"),15,FALSE),"")</f>
        <v/>
      </c>
      <c r="CC142" s="96">
        <f>IFERROR(VLOOKUP($B142,INDIRECT("'GRD-"&amp;CC$11&amp;"'!B:R"),15,FALSE),"")</f>
        <v/>
      </c>
      <c r="CD142" s="96">
        <f>IFERROR(VLOOKUP($B142,INDIRECT("'GRD-"&amp;CD$11&amp;"'!B:R"),15,FALSE),"")</f>
        <v/>
      </c>
      <c r="CE142" s="96">
        <f>IFERROR(VLOOKUP($B142,INDIRECT("'GRD-"&amp;CE$11&amp;"'!B:R"),15,FALSE),"")</f>
        <v/>
      </c>
      <c r="CF142" s="96">
        <f>IFERROR(VLOOKUP($B142,INDIRECT("'GRD-"&amp;CF$11&amp;"'!B:R"),15,FALSE),"")</f>
        <v/>
      </c>
      <c r="CG142" s="96">
        <f>IFERROR(VLOOKUP($B142,INDIRECT("'GRD-"&amp;CG$11&amp;"'!B:R"),15,FALSE),"")</f>
        <v/>
      </c>
      <c r="CH142" s="96">
        <f>IFERROR(VLOOKUP($B142,INDIRECT("'GRD-"&amp;CH$11&amp;"'!B:R"),15,FALSE),"")</f>
        <v/>
      </c>
      <c r="CI142" s="96">
        <f>IFERROR(VLOOKUP($B142,INDIRECT("'GRD-"&amp;CI$11&amp;"'!B:R"),15,FALSE),"")</f>
        <v/>
      </c>
      <c r="CJ142" s="96">
        <f>IFERROR(VLOOKUP($B142,INDIRECT("'GRD-"&amp;CJ$11&amp;"'!B:R"),15,FALSE),"")</f>
        <v/>
      </c>
      <c r="CK142" s="96">
        <f>IFERROR(VLOOKUP($B142,INDIRECT("'GRD-"&amp;CK$11&amp;"'!B:R"),15,FALSE),"")</f>
        <v/>
      </c>
      <c r="CL142" s="96">
        <f>IFERROR(VLOOKUP($B142,INDIRECT("'GRD-"&amp;CL$11&amp;"'!B:R"),15,FALSE),"")</f>
        <v/>
      </c>
      <c r="CM142" s="96">
        <f>IFERROR(VLOOKUP($B142,INDIRECT("'GRD-"&amp;CM$11&amp;"'!B:R"),15,FALSE),"")</f>
        <v/>
      </c>
      <c r="CN142" s="96">
        <f>IFERROR(VLOOKUP($B142,INDIRECT("'GRD-"&amp;CN$11&amp;"'!B:R"),15,FALSE),"")</f>
        <v/>
      </c>
      <c r="CO142" s="96">
        <f>IFERROR(VLOOKUP($B142,INDIRECT("'GRD-"&amp;CO$11&amp;"'!B:R"),15,FALSE),"")</f>
        <v/>
      </c>
      <c r="CP142" s="96">
        <f>IFERROR(VLOOKUP($B142,INDIRECT("'GRD-"&amp;CP$11&amp;"'!B:R"),15,FALSE),"")</f>
        <v/>
      </c>
      <c r="CQ142" s="96">
        <f>IFERROR(VLOOKUP($B142,INDIRECT("'GRD-"&amp;CQ$11&amp;"'!B:R"),15,FALSE),"")</f>
        <v/>
      </c>
      <c r="CR142" s="96">
        <f>IFERROR(VLOOKUP($B142,INDIRECT("'GRD-"&amp;CR$11&amp;"'!B:R"),15,FALSE),"")</f>
        <v/>
      </c>
      <c r="CS142" s="96">
        <f>IFERROR(VLOOKUP($B142,INDIRECT("'GRD-"&amp;CS$11&amp;"'!B:R"),15,FALSE),"")</f>
        <v/>
      </c>
      <c r="CT142" s="96">
        <f>IFERROR(VLOOKUP($B142,INDIRECT("'GRD-"&amp;CT$11&amp;"'!B:R"),15,FALSE),"")</f>
        <v/>
      </c>
      <c r="CU142" s="96">
        <f>IFERROR(VLOOKUP($B142,INDIRECT("'GRD-"&amp;CU$11&amp;"'!B:R"),15,FALSE),"")</f>
        <v/>
      </c>
      <c r="CV142" s="96">
        <f>IFERROR(VLOOKUP($B142,INDIRECT("'GRD-"&amp;CV$11&amp;"'!B:R"),15,FALSE),"")</f>
        <v/>
      </c>
      <c r="CW142" s="96">
        <f>IFERROR(VLOOKUP($B142,INDIRECT("'GRD-"&amp;CW$11&amp;"'!B:R"),15,FALSE),"")</f>
        <v/>
      </c>
      <c r="CX142" s="96">
        <f>IFERROR(VLOOKUP($B142,INDIRECT("'GRD-"&amp;CX$11&amp;"'!B:R"),15,FALSE),"")</f>
        <v/>
      </c>
      <c r="CY142" s="96">
        <f>IFERROR(VLOOKUP($B142,INDIRECT("'GRD-"&amp;CY$11&amp;"'!B:R"),15,FALSE),"")</f>
        <v/>
      </c>
      <c r="CZ142" s="96">
        <f>IFERROR(VLOOKUP($B142,INDIRECT("'GRD-"&amp;CZ$11&amp;"'!B:R"),15,FALSE),"")</f>
        <v/>
      </c>
      <c r="DA142" s="96">
        <f>IFERROR(VLOOKUP($B142,INDIRECT("'GRD-"&amp;DA$11&amp;"'!B:R"),15,FALSE),"")</f>
        <v/>
      </c>
      <c r="DB142" s="96">
        <f>IFERROR(VLOOKUP($B142,INDIRECT("'GRD-"&amp;DB$11&amp;"'!B:R"),15,FALSE),"")</f>
        <v/>
      </c>
      <c r="DC142" s="96">
        <f>IFERROR(VLOOKUP($B142,INDIRECT("'GRD-"&amp;DC$11&amp;"'!B:R"),15,FALSE),"")</f>
        <v/>
      </c>
      <c r="DD142" s="96">
        <f>IFERROR(VLOOKUP($B142,INDIRECT("'GRD-"&amp;DD$11&amp;"'!B:R"),15,FALSE),"")</f>
        <v/>
      </c>
      <c r="DE142" s="96">
        <f>IFERROR(VLOOKUP($B142,INDIRECT("'GRD-"&amp;DE$11&amp;"'!B:R"),15,FALSE),"")</f>
        <v/>
      </c>
      <c r="DF142" s="96">
        <f>IFERROR(VLOOKUP($B142,INDIRECT("'GRD-"&amp;DF$11&amp;"'!B:R"),15,FALSE),"")</f>
        <v/>
      </c>
      <c r="DG142" s="96">
        <f>IFERROR(VLOOKUP($B142,INDIRECT("'GRD-"&amp;DG$11&amp;"'!B:R"),15,FALSE),"")</f>
        <v/>
      </c>
      <c r="DH142" s="96">
        <f>IFERROR(VLOOKUP($B142,INDIRECT("'GRD-"&amp;DH$11&amp;"'!B:R"),15,FALSE),"")</f>
        <v/>
      </c>
      <c r="DI142" s="96">
        <f>IFERROR(VLOOKUP($B142,INDIRECT("'GRD-"&amp;DI$11&amp;"'!B:R"),15,FALSE),"")</f>
        <v/>
      </c>
      <c r="DJ142" s="96">
        <f>IFERROR(VLOOKUP($B142,INDIRECT("'GRD-"&amp;DJ$11&amp;"'!B:R"),15,FALSE),"")</f>
        <v/>
      </c>
      <c r="DK142" s="96">
        <f>IFERROR(VLOOKUP($B142,INDIRECT("'GRD-"&amp;DK$11&amp;"'!B:R"),15,FALSE),"")</f>
        <v/>
      </c>
      <c r="DL142" s="96">
        <f>IFERROR(VLOOKUP($B142,INDIRECT("'GRD-"&amp;DL$11&amp;"'!B:R"),15,FALSE),"")</f>
        <v/>
      </c>
      <c r="DM142" s="96">
        <f>IFERROR(VLOOKUP($B142,INDIRECT("'GRD-"&amp;DM$11&amp;"'!B:R"),15,FALSE),"")</f>
        <v/>
      </c>
      <c r="DN142" s="96">
        <f>IFERROR(VLOOKUP($B142,INDIRECT("'GRD-"&amp;DN$11&amp;"'!B:R"),15,FALSE),"")</f>
        <v/>
      </c>
      <c r="DO142" s="96">
        <f>IFERROR(VLOOKUP($B142,INDIRECT("'GRD-"&amp;DO$11&amp;"'!B:R"),15,FALSE),"")</f>
        <v/>
      </c>
      <c r="DP142" s="96">
        <f>IFERROR(VLOOKUP($B142,INDIRECT("'GRD-"&amp;DP$11&amp;"'!B:R"),15,FALSE),"")</f>
        <v/>
      </c>
      <c r="DQ142" s="96">
        <f>IFERROR(VLOOKUP($B142,INDIRECT("'GRD-"&amp;DQ$11&amp;"'!B:R"),15,FALSE),"")</f>
        <v/>
      </c>
      <c r="DR142" s="96">
        <f>IFERROR(VLOOKUP($B142,INDIRECT("'GRD-"&amp;DR$11&amp;"'!B:R"),15,FALSE),"")</f>
        <v/>
      </c>
      <c r="DS142" s="96">
        <f>IFERROR(VLOOKUP($B142,INDIRECT("'GRD-"&amp;DS$11&amp;"'!B:R"),15,FALSE),"")</f>
        <v/>
      </c>
      <c r="DT142" s="96">
        <f>IFERROR(VLOOKUP($B142,INDIRECT("'GRD-"&amp;DT$11&amp;"'!B:R"),15,FALSE),"")</f>
        <v/>
      </c>
      <c r="DU142" s="96">
        <f>IFERROR(VLOOKUP($B142,INDIRECT("'GRD-"&amp;DU$11&amp;"'!B:R"),15,FALSE),"")</f>
        <v/>
      </c>
      <c r="DV142" s="96">
        <f>IFERROR(VLOOKUP($B142,INDIRECT("'GRD-"&amp;DV$11&amp;"'!B:R"),15,FALSE),"")</f>
        <v/>
      </c>
      <c r="DW142" s="96">
        <f>IFERROR(VLOOKUP($B142,INDIRECT("'GRD-"&amp;DW$11&amp;"'!B:R"),15,FALSE),"")</f>
        <v/>
      </c>
      <c r="DX142" s="96">
        <f>IFERROR(VLOOKUP($B142,INDIRECT("'GRD-"&amp;DX$11&amp;"'!B:R"),15,FALSE),"")</f>
        <v/>
      </c>
      <c r="DY142" s="96">
        <f>IFERROR(VLOOKUP($B142,INDIRECT("'GRD-"&amp;DY$11&amp;"'!B:R"),15,FALSE),"")</f>
        <v/>
      </c>
      <c r="DZ142" s="96">
        <f>IFERROR(VLOOKUP($B142,INDIRECT("'GRD-"&amp;DZ$11&amp;"'!B:R"),15,FALSE),"")</f>
        <v/>
      </c>
      <c r="EA142" s="96">
        <f>IFERROR(VLOOKUP($B142,INDIRECT("'GRD-"&amp;EA$11&amp;"'!B:R"),15,FALSE),"")</f>
        <v/>
      </c>
      <c r="EB142" s="96">
        <f>IFERROR(VLOOKUP($B142,INDIRECT("'GRD-"&amp;EB$11&amp;"'!B:R"),15,FALSE),"")</f>
        <v/>
      </c>
      <c r="EC142" s="96">
        <f>IFERROR(VLOOKUP($B142,INDIRECT("'GRD-"&amp;EC$11&amp;"'!B:R"),15,FALSE),"")</f>
        <v/>
      </c>
      <c r="ED142" s="96">
        <f>IFERROR(VLOOKUP($B142,INDIRECT("'GRD-"&amp;ED$11&amp;"'!B:R"),15,FALSE),"")</f>
        <v/>
      </c>
      <c r="EE142" s="96">
        <f>IFERROR(VLOOKUP($B142,INDIRECT("'GRD-"&amp;EE$11&amp;"'!B:R"),15,FALSE),"")</f>
        <v/>
      </c>
      <c r="EF142" s="96">
        <f>IFERROR(VLOOKUP($B142,INDIRECT("'GRD-"&amp;EF$11&amp;"'!B:R"),15,FALSE),"")</f>
        <v/>
      </c>
      <c r="EG142" s="96">
        <f>IFERROR(VLOOKUP($B142,INDIRECT("'GRD-"&amp;EG$11&amp;"'!B:R"),15,FALSE),"")</f>
        <v/>
      </c>
      <c r="EH142" s="96">
        <f>IFERROR(VLOOKUP($B142,INDIRECT("'GRD-"&amp;EH$11&amp;"'!B:R"),15,FALSE),"")</f>
        <v/>
      </c>
      <c r="EI142" s="96">
        <f>IFERROR(VLOOKUP($B142,INDIRECT("'GRD-"&amp;EI$11&amp;"'!B:R"),15,FALSE),"")</f>
        <v/>
      </c>
      <c r="EJ142" s="96">
        <f>IFERROR(VLOOKUP($B142,INDIRECT("'GRD-"&amp;EJ$11&amp;"'!B:R"),15,FALSE),"")</f>
        <v/>
      </c>
      <c r="EK142" s="96">
        <f>IFERROR(VLOOKUP($B142,INDIRECT("'GRD-"&amp;EK$11&amp;"'!B:R"),15,FALSE),"")</f>
        <v/>
      </c>
      <c r="EL142" s="96">
        <f>IFERROR(VLOOKUP($B142,INDIRECT("'GRD-"&amp;EL$11&amp;"'!B:R"),15,FALSE),"")</f>
        <v/>
      </c>
      <c r="EM142" s="96">
        <f>IFERROR(VLOOKUP($B142,INDIRECT("'GRD-"&amp;EM$11&amp;"'!B:R"),15,FALSE),"")</f>
        <v/>
      </c>
      <c r="EN142" s="96">
        <f>IFERROR(VLOOKUP($B142,INDIRECT("'GRD-"&amp;EN$11&amp;"'!B:R"),15,FALSE),"")</f>
        <v/>
      </c>
      <c r="EO142" s="96">
        <f>IFERROR(VLOOKUP($B142,INDIRECT("'GRD-"&amp;EO$11&amp;"'!B:R"),15,FALSE),"")</f>
        <v/>
      </c>
      <c r="EP142" s="96">
        <f>IFERROR(VLOOKUP($B142,INDIRECT("'GRD-"&amp;EP$11&amp;"'!B:R"),15,FALSE),"")</f>
        <v/>
      </c>
      <c r="EQ142" s="96">
        <f>IFERROR(VLOOKUP($B142,INDIRECT("'GRD-"&amp;EQ$11&amp;"'!B:R"),15,FALSE),"")</f>
        <v/>
      </c>
      <c r="ER142" s="96">
        <f>IFERROR(VLOOKUP($B142,INDIRECT("'GRD-"&amp;ER$11&amp;"'!B:R"),15,FALSE),"")</f>
        <v/>
      </c>
      <c r="ES142" s="96">
        <f>IFERROR(VLOOKUP($B142,INDIRECT("'GRD-"&amp;ES$11&amp;"'!B:R"),15,FALSE),"")</f>
        <v/>
      </c>
      <c r="ET142" s="96">
        <f>IFERROR(VLOOKUP($B142,INDIRECT("'GRD-"&amp;ET$11&amp;"'!B:R"),15,FALSE),"")</f>
        <v/>
      </c>
      <c r="EU142" s="96">
        <f>IFERROR(VLOOKUP($B142,INDIRECT("'GRD-"&amp;EU$11&amp;"'!B:R"),15,FALSE),"")</f>
        <v/>
      </c>
      <c r="EV142" s="96">
        <f>IFERROR(VLOOKUP($B142,INDIRECT("'GRD-"&amp;EV$11&amp;"'!B:R"),15,FALSE),"")</f>
        <v/>
      </c>
      <c r="EW142" s="96">
        <f>IFERROR(VLOOKUP($B142,INDIRECT("'GRD-"&amp;EW$11&amp;"'!B:R"),15,FALSE),"")</f>
        <v/>
      </c>
      <c r="EX142" s="96">
        <f>IFERROR(VLOOKUP($B142,INDIRECT("'GRD-"&amp;EX$11&amp;"'!B:R"),15,FALSE),"")</f>
        <v/>
      </c>
      <c r="EY142" s="96">
        <f>IFERROR(VLOOKUP($B142,INDIRECT("'GRD-"&amp;EY$11&amp;"'!B:R"),15,FALSE),"")</f>
        <v/>
      </c>
      <c r="EZ142" s="96">
        <f>IFERROR(VLOOKUP($B142,INDIRECT("'GRD-"&amp;EZ$11&amp;"'!B:R"),15,FALSE),"")</f>
        <v/>
      </c>
      <c r="FA142" s="96">
        <f>IFERROR(VLOOKUP($B142,INDIRECT("'GRD-"&amp;FA$11&amp;"'!B:R"),15,FALSE),"")</f>
        <v/>
      </c>
      <c r="FB142" s="96">
        <f>IFERROR(VLOOKUP($B142,INDIRECT("'GRD-"&amp;FB$11&amp;"'!B:R"),15,FALSE),"")</f>
        <v/>
      </c>
      <c r="FC142" s="96">
        <f>IFERROR(VLOOKUP($B142,INDIRECT("'GRD-"&amp;FC$11&amp;"'!B:R"),15,FALSE),"")</f>
        <v/>
      </c>
      <c r="FD142" s="96">
        <f>IFERROR(VLOOKUP($B142,INDIRECT("'GRD-"&amp;FD$11&amp;"'!B:R"),15,FALSE),"")</f>
        <v/>
      </c>
      <c r="FE142" s="96">
        <f>IFERROR(VLOOKUP($B142,INDIRECT("'GRD-"&amp;FE$11&amp;"'!B:R"),15,FALSE),"")</f>
        <v/>
      </c>
      <c r="FF142" s="96">
        <f>IFERROR(VLOOKUP($B142,INDIRECT("'GRD-"&amp;FF$11&amp;"'!B:R"),15,FALSE),"")</f>
        <v/>
      </c>
      <c r="FG142" s="96">
        <f>IFERROR(VLOOKUP($B142,INDIRECT("'GRD-"&amp;FG$11&amp;"'!B:R"),15,FALSE),"")</f>
        <v/>
      </c>
      <c r="FH142" s="96">
        <f>IFERROR(VLOOKUP($B142,INDIRECT("'GRD-"&amp;FH$11&amp;"'!B:R"),15,FALSE),"")</f>
        <v/>
      </c>
      <c r="FI142" s="96">
        <f>IFERROR(VLOOKUP($B142,INDIRECT("'GRD-"&amp;FI$11&amp;"'!B:R"),15,FALSE),"")</f>
        <v/>
      </c>
      <c r="FJ142" s="96">
        <f>IFERROR(VLOOKUP($B142,INDIRECT("'GRD-"&amp;FJ$11&amp;"'!B:R"),15,FALSE),"")</f>
        <v/>
      </c>
      <c r="FK142" s="96">
        <f>IFERROR(VLOOKUP($B142,INDIRECT("'GRD-"&amp;FK$11&amp;"'!B:R"),15,FALSE),"")</f>
        <v/>
      </c>
      <c r="FL142" s="96">
        <f>IFERROR(VLOOKUP($B142,INDIRECT("'GRD-"&amp;FL$11&amp;"'!B:R"),15,FALSE),"")</f>
        <v/>
      </c>
      <c r="FM142" s="96">
        <f>IFERROR(VLOOKUP($B142,INDIRECT("'GRD-"&amp;FM$11&amp;"'!B:R"),15,FALSE),"")</f>
        <v/>
      </c>
      <c r="FN142" s="96">
        <f>IFERROR(VLOOKUP($B142,INDIRECT("'GRD-"&amp;FN$11&amp;"'!B:R"),15,FALSE),"")</f>
        <v/>
      </c>
      <c r="FO142" s="96">
        <f>IFERROR(VLOOKUP($B142,INDIRECT("'GRD-"&amp;FO$11&amp;"'!B:R"),15,FALSE),"")</f>
        <v/>
      </c>
      <c r="FP142" s="96">
        <f>IFERROR(VLOOKUP($B142,INDIRECT("'GRD-"&amp;FP$11&amp;"'!B:R"),15,FALSE),"")</f>
        <v/>
      </c>
      <c r="FQ142" s="96">
        <f>IFERROR(VLOOKUP($B142,INDIRECT("'GRD-"&amp;FQ$11&amp;"'!B:R"),15,FALSE),"")</f>
        <v/>
      </c>
      <c r="FR142" s="96">
        <f>IFERROR(VLOOKUP($B142,INDIRECT("'GRD-"&amp;FR$11&amp;"'!B:R"),15,FALSE),"")</f>
        <v/>
      </c>
      <c r="FS142" s="96">
        <f>IFERROR(VLOOKUP($B142,INDIRECT("'GRD-"&amp;FS$11&amp;"'!B:R"),15,FALSE),"")</f>
        <v/>
      </c>
      <c r="FT142" s="96">
        <f>IFERROR(VLOOKUP($B142,INDIRECT("'GRD-"&amp;FT$11&amp;"'!B:R"),15,FALSE),"")</f>
        <v/>
      </c>
      <c r="FU142" s="96">
        <f>IFERROR(VLOOKUP($B142,INDIRECT("'GRD-"&amp;FU$11&amp;"'!B:R"),15,FALSE),"")</f>
        <v/>
      </c>
      <c r="FV142" s="96">
        <f>IFERROR(VLOOKUP($B142,INDIRECT("'GRD-"&amp;FV$11&amp;"'!B:R"),15,FALSE),"")</f>
        <v/>
      </c>
    </row>
    <row r="143">
      <c r="B143" s="85" t="n"/>
      <c r="C143" s="93" t="n"/>
      <c r="D143" s="73">
        <f>IF(K143="","",MAX($CA143:$FV143))</f>
        <v/>
      </c>
      <c r="E143" s="74">
        <f t="array" ref="E143">IF($K143="","",OFFSET($A$1,ROW($B143)-1,11+$D143*4,))</f>
        <v/>
      </c>
      <c r="F143" s="74">
        <f t="array" ref="F143">IF($K143="","",OFFSET($A$1,ROW($B143)-1,12+$D143*4,))</f>
        <v/>
      </c>
      <c r="G143" s="118">
        <f t="array" ref="G143">IF($K143="","",OFFSET($A$1,ROW($B143)-1,13+$D143*4,))</f>
        <v/>
      </c>
      <c r="H143" s="81" t="n"/>
      <c r="I143" s="82" t="n"/>
      <c r="J143" s="75">
        <f>IF(I143="A4",H143/8,IF(I143="A3",H143/4,IF(I143="A2",H143/2,IF(I143="A1",H143/1,IF(I143="A0",H143*2,"")))))</f>
        <v/>
      </c>
      <c r="K143" s="68">
        <f t="array" ref="K143">IFERROR(OFFSET($BZ$11,ROW($B143)-11,MATCH(K$10,$CA143:$FV143,0),),"")</f>
        <v/>
      </c>
      <c r="L143" s="85">
        <f>IF(K143="","",IF(VLOOKUP($B143,INDIRECT("'GRD-"&amp;M143&amp;"'!$B:$R"),16,FALSE)="","",VLOOKUP($B143,INDIRECT("'GRD-"&amp;M143&amp;"'!$B:$R"),16,FALSE)))</f>
        <v/>
      </c>
      <c r="M143" s="130">
        <f t="array" ref="M143">IF(K143="","",IFERROR(OFFSET($BZ$11,0,MATCH($K143,$CA143:$FV143,0),),""))</f>
        <v/>
      </c>
      <c r="N143" s="119">
        <f t="array" ref="N143">IF(K143="","",INDIRECT("'GRD-"&amp;M143&amp;"'!$L$7"))</f>
        <v/>
      </c>
      <c r="O143" s="76">
        <f t="array" ref="O143">IFERROR(OFFSET($BZ$11,ROW($B143)-11,MATCH(O$10,$CA143:$FV143,0),),"")</f>
        <v/>
      </c>
      <c r="P143" s="76">
        <f>IF(O143="","",IF(VLOOKUP($B143,INDIRECT("'GRD-"&amp;Q143&amp;"'!$B:$R"),16,FALSE)="","",VLOOKUP($B143,INDIRECT("'GRD-"&amp;Q143&amp;"'!$B:$R"),16,FALSE)))</f>
        <v/>
      </c>
      <c r="Q143" s="132">
        <f t="array" ref="Q143">IF(O143="","",IFERROR(OFFSET($BZ$11,0,MATCH($O143,$CA143:$FV143,0),),""))</f>
        <v/>
      </c>
      <c r="R143" s="121">
        <f t="array" ref="R143">IF(O143="","",INDIRECT("'GRD-"&amp;Q143&amp;"'!$L$7"))</f>
        <v/>
      </c>
      <c r="S143" s="83">
        <f t="array" ref="S143">IFERROR(OFFSET($BZ$11,ROW($B143)-11,MATCH(S$10,$CA143:$FV143,0),),"")</f>
        <v/>
      </c>
      <c r="T143" s="83">
        <f>IF(S143="","",IF(VLOOKUP($B143,INDIRECT("'GRD-"&amp;U143&amp;"'!$B:$R"),16,FALSE)="","",VLOOKUP($B143,INDIRECT("'GRD-"&amp;U143&amp;"'!$B:$R"),16,FALSE)))</f>
        <v/>
      </c>
      <c r="U143" s="128">
        <f t="array" ref="U143">IF(S143="","",IFERROR(OFFSET($BZ$11,0,MATCH($S143,$CA143:$FV143,0),),""))</f>
        <v/>
      </c>
      <c r="V143" s="133">
        <f t="array" ref="V143">IF(S143="","",INDIRECT("'GRD-"&amp;U143&amp;"'!$L$7"))</f>
        <v/>
      </c>
      <c r="W143" s="84">
        <f t="array" ref="W143">IFERROR(OFFSET($BZ$11,ROW($B143)-11,MATCH(W$10,$CA143:$FV143,0),),"")</f>
        <v/>
      </c>
      <c r="X143" s="84">
        <f>IF(W143="","",IF(VLOOKUP($B143,INDIRECT("'GRD-"&amp;Y143&amp;"'!$B:$R"),16,FALSE)="","",VLOOKUP($B143,INDIRECT("'GRD-"&amp;Y143&amp;"'!$B:$R"),16,FALSE)))</f>
        <v/>
      </c>
      <c r="Y143" s="129">
        <f t="array" ref="Y143">IF(W143="","",IFERROR(OFFSET($BZ$11,0,MATCH($W143,$CA143:$FV143,0),),""))</f>
        <v/>
      </c>
      <c r="Z143" s="134">
        <f t="array" ref="Z143">IF(W143="","",INDIRECT("'GRD-"&amp;Y143&amp;"'!$L$7"))</f>
        <v/>
      </c>
      <c r="AA143" s="85">
        <f t="array" ref="AA143">IFERROR(OFFSET($BZ$11,ROW($B143)-11,MATCH(AA$10,$CA143:$FV143,0),),"")</f>
        <v/>
      </c>
      <c r="AB143" s="85">
        <f>IF(AA143="","",IF(VLOOKUP($B143,INDIRECT("'GRD-"&amp;AC143&amp;"'!$B:$R"),16,FALSE)="","",VLOOKUP($B143,INDIRECT("'GRD-"&amp;AC143&amp;"'!$B:$R"),16,FALSE)))</f>
        <v/>
      </c>
      <c r="AC143" s="130">
        <f t="array" ref="AC143">IF(AA143="","",IFERROR(OFFSET($BZ$11,0,MATCH($AA143,$CA143:$FV143,0),),""))</f>
        <v/>
      </c>
      <c r="AD143" s="131">
        <f t="array" ref="AD143">IF(AA143="","",INDIRECT("'GRD-"&amp;AC143&amp;"'!$L$7"))</f>
        <v/>
      </c>
      <c r="AE143" s="76">
        <f t="array" ref="AE143">IFERROR(OFFSET($BZ$11,ROW($B143)-11,MATCH(AE$10,$CA143:$FV143,0),),"")</f>
        <v/>
      </c>
      <c r="AF143" s="76">
        <f>IF(AE143="","",IF(VLOOKUP($B143,INDIRECT("'GRD-"&amp;AG143&amp;"'!$B:$R"),16,FALSE)="","",VLOOKUP($B143,INDIRECT("'GRD-"&amp;AG143&amp;"'!$B:$R"),16,FALSE)))</f>
        <v/>
      </c>
      <c r="AG143" s="132">
        <f t="array" ref="AG143">IF(AE143="","",IFERROR(OFFSET($BZ$11,0,MATCH($AE143,$CA143:$FV143,0),),""))</f>
        <v/>
      </c>
      <c r="AH143" s="121">
        <f t="array" ref="AH143">IF(AE143="","",INDIRECT("'GRD-"&amp;AG143&amp;"'!$L$7"))</f>
        <v/>
      </c>
      <c r="AI143" s="83">
        <f t="array" ref="AI143">IFERROR(OFFSET($BZ$11,ROW($B143)-11,MATCH(AI$10,$CA143:$FV143,0),),"")</f>
        <v/>
      </c>
      <c r="AJ143" s="83">
        <f>IF(AI143="","",IF(VLOOKUP($B143,INDIRECT("'GRD-"&amp;AK143&amp;"'!$B:$R"),16,FALSE)="","",VLOOKUP($B143,INDIRECT("'GRD-"&amp;AK143&amp;"'!$B:$R"),16,FALSE)))</f>
        <v/>
      </c>
      <c r="AK143" s="128">
        <f t="array" ref="AK143">IF(AI143="","",IFERROR(OFFSET($BZ$11,0,MATCH($AI143,$CA143:$FV143,0),),""))</f>
        <v/>
      </c>
      <c r="AL143" s="133">
        <f t="array" ref="AL143">IF(AI143="","",INDIRECT("'GRD-"&amp;AK143&amp;"'!$L$7"))</f>
        <v/>
      </c>
      <c r="AM143" s="84">
        <f t="array" ref="AM143">IFERROR(OFFSET($BZ$11,ROW($B143)-11,MATCH(AM$10,$CA143:$FV143,0),),"")</f>
        <v/>
      </c>
      <c r="AN143" s="84">
        <f>IF(AM143="","",IF(VLOOKUP($B143,INDIRECT("'GRD-"&amp;AO143&amp;"'!$B:$R"),16,FALSE)="","",VLOOKUP($B143,INDIRECT("'GRD-"&amp;AO143&amp;"'!$B:$R"),16,FALSE)))</f>
        <v/>
      </c>
      <c r="AO143" s="129">
        <f t="array" ref="AO143">IF(AM143="","",IFERROR(OFFSET($BZ$11,0,MATCH($AM143,$CA143:$FV143,0),),""))</f>
        <v/>
      </c>
      <c r="AP143" s="134">
        <f t="array" ref="AP143">IF(AM143="","",INDIRECT("'GRD-"&amp;AO143&amp;"'!$L$7"))</f>
        <v/>
      </c>
      <c r="AQ143" s="85">
        <f t="array" ref="AQ143">IFERROR(OFFSET($BZ$11,ROW($B143)-11,MATCH(AQ$10,$CA143:$FV143,0),),"")</f>
        <v/>
      </c>
      <c r="AR143" s="85">
        <f>IF(AQ143="","",IF(VLOOKUP($B143,INDIRECT("'GRD-"&amp;AS143&amp;"'!$B:$R"),16,FALSE)="","",VLOOKUP($B143,INDIRECT("'GRD-"&amp;AS143&amp;"'!$B:$R"),16,FALSE)))</f>
        <v/>
      </c>
      <c r="AS143" s="130">
        <f t="array" ref="AS143">IF(AQ143="","",IFERROR(OFFSET($BZ$11,0,MATCH($AQ143,$CA143:$FV143,0),),""))</f>
        <v/>
      </c>
      <c r="AT143" s="131">
        <f t="array" ref="AT143">IF(AQ143="","",INDIRECT("'GRD-"&amp;AS143&amp;"'!$L$7"))</f>
        <v/>
      </c>
      <c r="AU143" s="76">
        <f t="array" ref="AU143">IFERROR(OFFSET($BZ$11,ROW($B143)-11,MATCH(AU$10,$CA143:$FV143,0),),"")</f>
        <v/>
      </c>
      <c r="AV143" s="76">
        <f>IF(AU143="","",IF(VLOOKUP($B143,INDIRECT("'GRD-"&amp;AW143&amp;"'!$B:$R"),16,FALSE)="","",VLOOKUP($B143,INDIRECT("'GRD-"&amp;AW143&amp;"'!$B:$R"),16,FALSE)))</f>
        <v/>
      </c>
      <c r="AW143" s="132">
        <f t="array" ref="AW143">IF(AU143="","",IFERROR(OFFSET($BZ$11,0,MATCH($AU143,$CA143:$FV143,0),),""))</f>
        <v/>
      </c>
      <c r="AX143" s="121">
        <f t="array" ref="AX143">IF(AU143="","",INDIRECT("'GRD-"&amp;AW143&amp;"'!$L$7"))</f>
        <v/>
      </c>
      <c r="AY143" s="83">
        <f t="array" ref="AY143">IFERROR(OFFSET($BZ$11,ROW($B143)-11,MATCH(AY$10,$CA143:$FV143,0),),"")</f>
        <v/>
      </c>
      <c r="AZ143" s="83">
        <f>IF(AY143="","",IF(VLOOKUP($B143,INDIRECT("'GRD-"&amp;BA143&amp;"'!$B:$R"),16,FALSE)="","",VLOOKUP($B143,INDIRECT("'GRD-"&amp;BA143&amp;"'!$B:$R"),16,FALSE)))</f>
        <v/>
      </c>
      <c r="BA143" s="128">
        <f t="array" ref="BA143">IF(AY143="","",IFERROR(OFFSET($BZ$11,0,MATCH($AY143,$CA143:$FV143,0),),""))</f>
        <v/>
      </c>
      <c r="BB143" s="133">
        <f t="array" ref="BB143">IF(AY143="","",INDIRECT("'GRD-"&amp;BA143&amp;"'!$L$7"))</f>
        <v/>
      </c>
      <c r="BC143" s="84">
        <f t="array" ref="BC143">IFERROR(OFFSET($BZ$11,ROW($B143)-11,MATCH(BC$10,$CA143:$FV143,0),),"")</f>
        <v/>
      </c>
      <c r="BD143" s="84">
        <f>IF(BC143="","",IF(VLOOKUP($B143,INDIRECT("'GRD-"&amp;BE143&amp;"'!$B:$R"),16,FALSE)="","",VLOOKUP($B143,INDIRECT("'GRD-"&amp;BE143&amp;"'!$B:$R"),16,FALSE)))</f>
        <v/>
      </c>
      <c r="BE143" s="129">
        <f t="array" ref="BE143">IF(BC143="","",IFERROR(OFFSET($BZ$11,0,MATCH($BC143,$CA143:$FV143,0),),""))</f>
        <v/>
      </c>
      <c r="BF143" s="134">
        <f t="array" ref="BF143">IF(BC143="","",INDIRECT("'GRD-"&amp;BE143&amp;"'!$L$7"))</f>
        <v/>
      </c>
      <c r="CA143" s="96">
        <f>IFERROR(VLOOKUP($B143,INDIRECT("'GRD-"&amp;CA$11&amp;"'!B:R"),15,FALSE),"")</f>
        <v/>
      </c>
      <c r="CB143" s="96">
        <f>IFERROR(VLOOKUP($B143,INDIRECT("'GRD-"&amp;CB$11&amp;"'!B:R"),15,FALSE),"")</f>
        <v/>
      </c>
      <c r="CC143" s="96">
        <f>IFERROR(VLOOKUP($B143,INDIRECT("'GRD-"&amp;CC$11&amp;"'!B:R"),15,FALSE),"")</f>
        <v/>
      </c>
      <c r="CD143" s="96">
        <f>IFERROR(VLOOKUP($B143,INDIRECT("'GRD-"&amp;CD$11&amp;"'!B:R"),15,FALSE),"")</f>
        <v/>
      </c>
      <c r="CE143" s="96">
        <f>IFERROR(VLOOKUP($B143,INDIRECT("'GRD-"&amp;CE$11&amp;"'!B:R"),15,FALSE),"")</f>
        <v/>
      </c>
      <c r="CF143" s="96">
        <f>IFERROR(VLOOKUP($B143,INDIRECT("'GRD-"&amp;CF$11&amp;"'!B:R"),15,FALSE),"")</f>
        <v/>
      </c>
      <c r="CG143" s="96">
        <f>IFERROR(VLOOKUP($B143,INDIRECT("'GRD-"&amp;CG$11&amp;"'!B:R"),15,FALSE),"")</f>
        <v/>
      </c>
      <c r="CH143" s="96">
        <f>IFERROR(VLOOKUP($B143,INDIRECT("'GRD-"&amp;CH$11&amp;"'!B:R"),15,FALSE),"")</f>
        <v/>
      </c>
      <c r="CI143" s="96">
        <f>IFERROR(VLOOKUP($B143,INDIRECT("'GRD-"&amp;CI$11&amp;"'!B:R"),15,FALSE),"")</f>
        <v/>
      </c>
      <c r="CJ143" s="96">
        <f>IFERROR(VLOOKUP($B143,INDIRECT("'GRD-"&amp;CJ$11&amp;"'!B:R"),15,FALSE),"")</f>
        <v/>
      </c>
      <c r="CK143" s="96">
        <f>IFERROR(VLOOKUP($B143,INDIRECT("'GRD-"&amp;CK$11&amp;"'!B:R"),15,FALSE),"")</f>
        <v/>
      </c>
      <c r="CL143" s="96">
        <f>IFERROR(VLOOKUP($B143,INDIRECT("'GRD-"&amp;CL$11&amp;"'!B:R"),15,FALSE),"")</f>
        <v/>
      </c>
      <c r="CM143" s="96">
        <f>IFERROR(VLOOKUP($B143,INDIRECT("'GRD-"&amp;CM$11&amp;"'!B:R"),15,FALSE),"")</f>
        <v/>
      </c>
      <c r="CN143" s="96">
        <f>IFERROR(VLOOKUP($B143,INDIRECT("'GRD-"&amp;CN$11&amp;"'!B:R"),15,FALSE),"")</f>
        <v/>
      </c>
      <c r="CO143" s="96">
        <f>IFERROR(VLOOKUP($B143,INDIRECT("'GRD-"&amp;CO$11&amp;"'!B:R"),15,FALSE),"")</f>
        <v/>
      </c>
      <c r="CP143" s="96">
        <f>IFERROR(VLOOKUP($B143,INDIRECT("'GRD-"&amp;CP$11&amp;"'!B:R"),15,FALSE),"")</f>
        <v/>
      </c>
      <c r="CQ143" s="96">
        <f>IFERROR(VLOOKUP($B143,INDIRECT("'GRD-"&amp;CQ$11&amp;"'!B:R"),15,FALSE),"")</f>
        <v/>
      </c>
      <c r="CR143" s="96">
        <f>IFERROR(VLOOKUP($B143,INDIRECT("'GRD-"&amp;CR$11&amp;"'!B:R"),15,FALSE),"")</f>
        <v/>
      </c>
      <c r="CS143" s="96">
        <f>IFERROR(VLOOKUP($B143,INDIRECT("'GRD-"&amp;CS$11&amp;"'!B:R"),15,FALSE),"")</f>
        <v/>
      </c>
      <c r="CT143" s="96">
        <f>IFERROR(VLOOKUP($B143,INDIRECT("'GRD-"&amp;CT$11&amp;"'!B:R"),15,FALSE),"")</f>
        <v/>
      </c>
      <c r="CU143" s="96">
        <f>IFERROR(VLOOKUP($B143,INDIRECT("'GRD-"&amp;CU$11&amp;"'!B:R"),15,FALSE),"")</f>
        <v/>
      </c>
      <c r="CV143" s="96">
        <f>IFERROR(VLOOKUP($B143,INDIRECT("'GRD-"&amp;CV$11&amp;"'!B:R"),15,FALSE),"")</f>
        <v/>
      </c>
      <c r="CW143" s="96">
        <f>IFERROR(VLOOKUP($B143,INDIRECT("'GRD-"&amp;CW$11&amp;"'!B:R"),15,FALSE),"")</f>
        <v/>
      </c>
      <c r="CX143" s="96">
        <f>IFERROR(VLOOKUP($B143,INDIRECT("'GRD-"&amp;CX$11&amp;"'!B:R"),15,FALSE),"")</f>
        <v/>
      </c>
      <c r="CY143" s="96">
        <f>IFERROR(VLOOKUP($B143,INDIRECT("'GRD-"&amp;CY$11&amp;"'!B:R"),15,FALSE),"")</f>
        <v/>
      </c>
      <c r="CZ143" s="96">
        <f>IFERROR(VLOOKUP($B143,INDIRECT("'GRD-"&amp;CZ$11&amp;"'!B:R"),15,FALSE),"")</f>
        <v/>
      </c>
      <c r="DA143" s="96">
        <f>IFERROR(VLOOKUP($B143,INDIRECT("'GRD-"&amp;DA$11&amp;"'!B:R"),15,FALSE),"")</f>
        <v/>
      </c>
      <c r="DB143" s="96">
        <f>IFERROR(VLOOKUP($B143,INDIRECT("'GRD-"&amp;DB$11&amp;"'!B:R"),15,FALSE),"")</f>
        <v/>
      </c>
      <c r="DC143" s="96">
        <f>IFERROR(VLOOKUP($B143,INDIRECT("'GRD-"&amp;DC$11&amp;"'!B:R"),15,FALSE),"")</f>
        <v/>
      </c>
      <c r="DD143" s="96">
        <f>IFERROR(VLOOKUP($B143,INDIRECT("'GRD-"&amp;DD$11&amp;"'!B:R"),15,FALSE),"")</f>
        <v/>
      </c>
      <c r="DE143" s="96">
        <f>IFERROR(VLOOKUP($B143,INDIRECT("'GRD-"&amp;DE$11&amp;"'!B:R"),15,FALSE),"")</f>
        <v/>
      </c>
      <c r="DF143" s="96">
        <f>IFERROR(VLOOKUP($B143,INDIRECT("'GRD-"&amp;DF$11&amp;"'!B:R"),15,FALSE),"")</f>
        <v/>
      </c>
      <c r="DG143" s="96">
        <f>IFERROR(VLOOKUP($B143,INDIRECT("'GRD-"&amp;DG$11&amp;"'!B:R"),15,FALSE),"")</f>
        <v/>
      </c>
      <c r="DH143" s="96">
        <f>IFERROR(VLOOKUP($B143,INDIRECT("'GRD-"&amp;DH$11&amp;"'!B:R"),15,FALSE),"")</f>
        <v/>
      </c>
      <c r="DI143" s="96">
        <f>IFERROR(VLOOKUP($B143,INDIRECT("'GRD-"&amp;DI$11&amp;"'!B:R"),15,FALSE),"")</f>
        <v/>
      </c>
      <c r="DJ143" s="96">
        <f>IFERROR(VLOOKUP($B143,INDIRECT("'GRD-"&amp;DJ$11&amp;"'!B:R"),15,FALSE),"")</f>
        <v/>
      </c>
      <c r="DK143" s="96">
        <f>IFERROR(VLOOKUP($B143,INDIRECT("'GRD-"&amp;DK$11&amp;"'!B:R"),15,FALSE),"")</f>
        <v/>
      </c>
      <c r="DL143" s="96">
        <f>IFERROR(VLOOKUP($B143,INDIRECT("'GRD-"&amp;DL$11&amp;"'!B:R"),15,FALSE),"")</f>
        <v/>
      </c>
      <c r="DM143" s="96">
        <f>IFERROR(VLOOKUP($B143,INDIRECT("'GRD-"&amp;DM$11&amp;"'!B:R"),15,FALSE),"")</f>
        <v/>
      </c>
      <c r="DN143" s="96">
        <f>IFERROR(VLOOKUP($B143,INDIRECT("'GRD-"&amp;DN$11&amp;"'!B:R"),15,FALSE),"")</f>
        <v/>
      </c>
      <c r="DO143" s="96">
        <f>IFERROR(VLOOKUP($B143,INDIRECT("'GRD-"&amp;DO$11&amp;"'!B:R"),15,FALSE),"")</f>
        <v/>
      </c>
      <c r="DP143" s="96">
        <f>IFERROR(VLOOKUP($B143,INDIRECT("'GRD-"&amp;DP$11&amp;"'!B:R"),15,FALSE),"")</f>
        <v/>
      </c>
      <c r="DQ143" s="96">
        <f>IFERROR(VLOOKUP($B143,INDIRECT("'GRD-"&amp;DQ$11&amp;"'!B:R"),15,FALSE),"")</f>
        <v/>
      </c>
      <c r="DR143" s="96">
        <f>IFERROR(VLOOKUP($B143,INDIRECT("'GRD-"&amp;DR$11&amp;"'!B:R"),15,FALSE),"")</f>
        <v/>
      </c>
      <c r="DS143" s="96">
        <f>IFERROR(VLOOKUP($B143,INDIRECT("'GRD-"&amp;DS$11&amp;"'!B:R"),15,FALSE),"")</f>
        <v/>
      </c>
      <c r="DT143" s="96">
        <f>IFERROR(VLOOKUP($B143,INDIRECT("'GRD-"&amp;DT$11&amp;"'!B:R"),15,FALSE),"")</f>
        <v/>
      </c>
      <c r="DU143" s="96">
        <f>IFERROR(VLOOKUP($B143,INDIRECT("'GRD-"&amp;DU$11&amp;"'!B:R"),15,FALSE),"")</f>
        <v/>
      </c>
      <c r="DV143" s="96">
        <f>IFERROR(VLOOKUP($B143,INDIRECT("'GRD-"&amp;DV$11&amp;"'!B:R"),15,FALSE),"")</f>
        <v/>
      </c>
      <c r="DW143" s="96">
        <f>IFERROR(VLOOKUP($B143,INDIRECT("'GRD-"&amp;DW$11&amp;"'!B:R"),15,FALSE),"")</f>
        <v/>
      </c>
      <c r="DX143" s="96">
        <f>IFERROR(VLOOKUP($B143,INDIRECT("'GRD-"&amp;DX$11&amp;"'!B:R"),15,FALSE),"")</f>
        <v/>
      </c>
      <c r="DY143" s="96">
        <f>IFERROR(VLOOKUP($B143,INDIRECT("'GRD-"&amp;DY$11&amp;"'!B:R"),15,FALSE),"")</f>
        <v/>
      </c>
      <c r="DZ143" s="96">
        <f>IFERROR(VLOOKUP($B143,INDIRECT("'GRD-"&amp;DZ$11&amp;"'!B:R"),15,FALSE),"")</f>
        <v/>
      </c>
      <c r="EA143" s="96">
        <f>IFERROR(VLOOKUP($B143,INDIRECT("'GRD-"&amp;EA$11&amp;"'!B:R"),15,FALSE),"")</f>
        <v/>
      </c>
      <c r="EB143" s="96">
        <f>IFERROR(VLOOKUP($B143,INDIRECT("'GRD-"&amp;EB$11&amp;"'!B:R"),15,FALSE),"")</f>
        <v/>
      </c>
      <c r="EC143" s="96">
        <f>IFERROR(VLOOKUP($B143,INDIRECT("'GRD-"&amp;EC$11&amp;"'!B:R"),15,FALSE),"")</f>
        <v/>
      </c>
      <c r="ED143" s="96">
        <f>IFERROR(VLOOKUP($B143,INDIRECT("'GRD-"&amp;ED$11&amp;"'!B:R"),15,FALSE),"")</f>
        <v/>
      </c>
      <c r="EE143" s="96">
        <f>IFERROR(VLOOKUP($B143,INDIRECT("'GRD-"&amp;EE$11&amp;"'!B:R"),15,FALSE),"")</f>
        <v/>
      </c>
      <c r="EF143" s="96">
        <f>IFERROR(VLOOKUP($B143,INDIRECT("'GRD-"&amp;EF$11&amp;"'!B:R"),15,FALSE),"")</f>
        <v/>
      </c>
      <c r="EG143" s="96">
        <f>IFERROR(VLOOKUP($B143,INDIRECT("'GRD-"&amp;EG$11&amp;"'!B:R"),15,FALSE),"")</f>
        <v/>
      </c>
      <c r="EH143" s="96">
        <f>IFERROR(VLOOKUP($B143,INDIRECT("'GRD-"&amp;EH$11&amp;"'!B:R"),15,FALSE),"")</f>
        <v/>
      </c>
      <c r="EI143" s="96">
        <f>IFERROR(VLOOKUP($B143,INDIRECT("'GRD-"&amp;EI$11&amp;"'!B:R"),15,FALSE),"")</f>
        <v/>
      </c>
      <c r="EJ143" s="96">
        <f>IFERROR(VLOOKUP($B143,INDIRECT("'GRD-"&amp;EJ$11&amp;"'!B:R"),15,FALSE),"")</f>
        <v/>
      </c>
      <c r="EK143" s="96">
        <f>IFERROR(VLOOKUP($B143,INDIRECT("'GRD-"&amp;EK$11&amp;"'!B:R"),15,FALSE),"")</f>
        <v/>
      </c>
      <c r="EL143" s="96">
        <f>IFERROR(VLOOKUP($B143,INDIRECT("'GRD-"&amp;EL$11&amp;"'!B:R"),15,FALSE),"")</f>
        <v/>
      </c>
      <c r="EM143" s="96">
        <f>IFERROR(VLOOKUP($B143,INDIRECT("'GRD-"&amp;EM$11&amp;"'!B:R"),15,FALSE),"")</f>
        <v/>
      </c>
      <c r="EN143" s="96">
        <f>IFERROR(VLOOKUP($B143,INDIRECT("'GRD-"&amp;EN$11&amp;"'!B:R"),15,FALSE),"")</f>
        <v/>
      </c>
      <c r="EO143" s="96">
        <f>IFERROR(VLOOKUP($B143,INDIRECT("'GRD-"&amp;EO$11&amp;"'!B:R"),15,FALSE),"")</f>
        <v/>
      </c>
      <c r="EP143" s="96">
        <f>IFERROR(VLOOKUP($B143,INDIRECT("'GRD-"&amp;EP$11&amp;"'!B:R"),15,FALSE),"")</f>
        <v/>
      </c>
      <c r="EQ143" s="96">
        <f>IFERROR(VLOOKUP($B143,INDIRECT("'GRD-"&amp;EQ$11&amp;"'!B:R"),15,FALSE),"")</f>
        <v/>
      </c>
      <c r="ER143" s="96">
        <f>IFERROR(VLOOKUP($B143,INDIRECT("'GRD-"&amp;ER$11&amp;"'!B:R"),15,FALSE),"")</f>
        <v/>
      </c>
      <c r="ES143" s="96">
        <f>IFERROR(VLOOKUP($B143,INDIRECT("'GRD-"&amp;ES$11&amp;"'!B:R"),15,FALSE),"")</f>
        <v/>
      </c>
      <c r="ET143" s="96">
        <f>IFERROR(VLOOKUP($B143,INDIRECT("'GRD-"&amp;ET$11&amp;"'!B:R"),15,FALSE),"")</f>
        <v/>
      </c>
      <c r="EU143" s="96">
        <f>IFERROR(VLOOKUP($B143,INDIRECT("'GRD-"&amp;EU$11&amp;"'!B:R"),15,FALSE),"")</f>
        <v/>
      </c>
      <c r="EV143" s="96">
        <f>IFERROR(VLOOKUP($B143,INDIRECT("'GRD-"&amp;EV$11&amp;"'!B:R"),15,FALSE),"")</f>
        <v/>
      </c>
      <c r="EW143" s="96">
        <f>IFERROR(VLOOKUP($B143,INDIRECT("'GRD-"&amp;EW$11&amp;"'!B:R"),15,FALSE),"")</f>
        <v/>
      </c>
      <c r="EX143" s="96">
        <f>IFERROR(VLOOKUP($B143,INDIRECT("'GRD-"&amp;EX$11&amp;"'!B:R"),15,FALSE),"")</f>
        <v/>
      </c>
      <c r="EY143" s="96">
        <f>IFERROR(VLOOKUP($B143,INDIRECT("'GRD-"&amp;EY$11&amp;"'!B:R"),15,FALSE),"")</f>
        <v/>
      </c>
      <c r="EZ143" s="96">
        <f>IFERROR(VLOOKUP($B143,INDIRECT("'GRD-"&amp;EZ$11&amp;"'!B:R"),15,FALSE),"")</f>
        <v/>
      </c>
      <c r="FA143" s="96">
        <f>IFERROR(VLOOKUP($B143,INDIRECT("'GRD-"&amp;FA$11&amp;"'!B:R"),15,FALSE),"")</f>
        <v/>
      </c>
      <c r="FB143" s="96">
        <f>IFERROR(VLOOKUP($B143,INDIRECT("'GRD-"&amp;FB$11&amp;"'!B:R"),15,FALSE),"")</f>
        <v/>
      </c>
      <c r="FC143" s="96">
        <f>IFERROR(VLOOKUP($B143,INDIRECT("'GRD-"&amp;FC$11&amp;"'!B:R"),15,FALSE),"")</f>
        <v/>
      </c>
      <c r="FD143" s="96">
        <f>IFERROR(VLOOKUP($B143,INDIRECT("'GRD-"&amp;FD$11&amp;"'!B:R"),15,FALSE),"")</f>
        <v/>
      </c>
      <c r="FE143" s="96">
        <f>IFERROR(VLOOKUP($B143,INDIRECT("'GRD-"&amp;FE$11&amp;"'!B:R"),15,FALSE),"")</f>
        <v/>
      </c>
      <c r="FF143" s="96">
        <f>IFERROR(VLOOKUP($B143,INDIRECT("'GRD-"&amp;FF$11&amp;"'!B:R"),15,FALSE),"")</f>
        <v/>
      </c>
      <c r="FG143" s="96">
        <f>IFERROR(VLOOKUP($B143,INDIRECT("'GRD-"&amp;FG$11&amp;"'!B:R"),15,FALSE),"")</f>
        <v/>
      </c>
      <c r="FH143" s="96">
        <f>IFERROR(VLOOKUP($B143,INDIRECT("'GRD-"&amp;FH$11&amp;"'!B:R"),15,FALSE),"")</f>
        <v/>
      </c>
      <c r="FI143" s="96">
        <f>IFERROR(VLOOKUP($B143,INDIRECT("'GRD-"&amp;FI$11&amp;"'!B:R"),15,FALSE),"")</f>
        <v/>
      </c>
      <c r="FJ143" s="96">
        <f>IFERROR(VLOOKUP($B143,INDIRECT("'GRD-"&amp;FJ$11&amp;"'!B:R"),15,FALSE),"")</f>
        <v/>
      </c>
      <c r="FK143" s="96">
        <f>IFERROR(VLOOKUP($B143,INDIRECT("'GRD-"&amp;FK$11&amp;"'!B:R"),15,FALSE),"")</f>
        <v/>
      </c>
      <c r="FL143" s="96">
        <f>IFERROR(VLOOKUP($B143,INDIRECT("'GRD-"&amp;FL$11&amp;"'!B:R"),15,FALSE),"")</f>
        <v/>
      </c>
      <c r="FM143" s="96">
        <f>IFERROR(VLOOKUP($B143,INDIRECT("'GRD-"&amp;FM$11&amp;"'!B:R"),15,FALSE),"")</f>
        <v/>
      </c>
      <c r="FN143" s="96">
        <f>IFERROR(VLOOKUP($B143,INDIRECT("'GRD-"&amp;FN$11&amp;"'!B:R"),15,FALSE),"")</f>
        <v/>
      </c>
      <c r="FO143" s="96">
        <f>IFERROR(VLOOKUP($B143,INDIRECT("'GRD-"&amp;FO$11&amp;"'!B:R"),15,FALSE),"")</f>
        <v/>
      </c>
      <c r="FP143" s="96">
        <f>IFERROR(VLOOKUP($B143,INDIRECT("'GRD-"&amp;FP$11&amp;"'!B:R"),15,FALSE),"")</f>
        <v/>
      </c>
      <c r="FQ143" s="96">
        <f>IFERROR(VLOOKUP($B143,INDIRECT("'GRD-"&amp;FQ$11&amp;"'!B:R"),15,FALSE),"")</f>
        <v/>
      </c>
      <c r="FR143" s="96">
        <f>IFERROR(VLOOKUP($B143,INDIRECT("'GRD-"&amp;FR$11&amp;"'!B:R"),15,FALSE),"")</f>
        <v/>
      </c>
      <c r="FS143" s="96">
        <f>IFERROR(VLOOKUP($B143,INDIRECT("'GRD-"&amp;FS$11&amp;"'!B:R"),15,FALSE),"")</f>
        <v/>
      </c>
      <c r="FT143" s="96">
        <f>IFERROR(VLOOKUP($B143,INDIRECT("'GRD-"&amp;FT$11&amp;"'!B:R"),15,FALSE),"")</f>
        <v/>
      </c>
      <c r="FU143" s="96">
        <f>IFERROR(VLOOKUP($B143,INDIRECT("'GRD-"&amp;FU$11&amp;"'!B:R"),15,FALSE),"")</f>
        <v/>
      </c>
      <c r="FV143" s="96">
        <f>IFERROR(VLOOKUP($B143,INDIRECT("'GRD-"&amp;FV$11&amp;"'!B:R"),15,FALSE),"")</f>
        <v/>
      </c>
    </row>
    <row r="144">
      <c r="B144" s="85" t="n"/>
      <c r="C144" s="93" t="n"/>
      <c r="D144" s="73">
        <f>IF(K144="","",MAX($CA144:$FV144))</f>
        <v/>
      </c>
      <c r="E144" s="74">
        <f t="array" ref="E144">IF($K144="","",OFFSET($A$1,ROW($B144)-1,11+$D144*4,))</f>
        <v/>
      </c>
      <c r="F144" s="74">
        <f t="array" ref="F144">IF($K144="","",OFFSET($A$1,ROW($B144)-1,12+$D144*4,))</f>
        <v/>
      </c>
      <c r="G144" s="118">
        <f t="array" ref="G144">IF($K144="","",OFFSET($A$1,ROW($B144)-1,13+$D144*4,))</f>
        <v/>
      </c>
      <c r="H144" s="81" t="n"/>
      <c r="I144" s="82" t="n"/>
      <c r="J144" s="75">
        <f>IF(I144="A4",H144/8,IF(I144="A3",H144/4,IF(I144="A2",H144/2,IF(I144="A1",H144/1,IF(I144="A0",H144*2,"")))))</f>
        <v/>
      </c>
      <c r="K144" s="68">
        <f t="array" ref="K144">IFERROR(OFFSET($BZ$11,ROW($B144)-11,MATCH(K$10,$CA144:$FV144,0),),"")</f>
        <v/>
      </c>
      <c r="L144" s="85">
        <f>IF(K144="","",IF(VLOOKUP($B144,INDIRECT("'GRD-"&amp;M144&amp;"'!$B:$R"),16,FALSE)="","",VLOOKUP($B144,INDIRECT("'GRD-"&amp;M144&amp;"'!$B:$R"),16,FALSE)))</f>
        <v/>
      </c>
      <c r="M144" s="130">
        <f t="array" ref="M144">IF(K144="","",IFERROR(OFFSET($BZ$11,0,MATCH($K144,$CA144:$FV144,0),),""))</f>
        <v/>
      </c>
      <c r="N144" s="119">
        <f t="array" ref="N144">IF(K144="","",INDIRECT("'GRD-"&amp;M144&amp;"'!$L$7"))</f>
        <v/>
      </c>
      <c r="O144" s="76">
        <f t="array" ref="O144">IFERROR(OFFSET($BZ$11,ROW($B144)-11,MATCH(O$10,$CA144:$FV144,0),),"")</f>
        <v/>
      </c>
      <c r="P144" s="76">
        <f>IF(O144="","",IF(VLOOKUP($B144,INDIRECT("'GRD-"&amp;Q144&amp;"'!$B:$R"),16,FALSE)="","",VLOOKUP($B144,INDIRECT("'GRD-"&amp;Q144&amp;"'!$B:$R"),16,FALSE)))</f>
        <v/>
      </c>
      <c r="Q144" s="132">
        <f t="array" ref="Q144">IF(O144="","",IFERROR(OFFSET($BZ$11,0,MATCH($O144,$CA144:$FV144,0),),""))</f>
        <v/>
      </c>
      <c r="R144" s="121">
        <f t="array" ref="R144">IF(O144="","",INDIRECT("'GRD-"&amp;Q144&amp;"'!$L$7"))</f>
        <v/>
      </c>
      <c r="S144" s="83">
        <f t="array" ref="S144">IFERROR(OFFSET($BZ$11,ROW($B144)-11,MATCH(S$10,$CA144:$FV144,0),),"")</f>
        <v/>
      </c>
      <c r="T144" s="83">
        <f>IF(S144="","",IF(VLOOKUP($B144,INDIRECT("'GRD-"&amp;U144&amp;"'!$B:$R"),16,FALSE)="","",VLOOKUP($B144,INDIRECT("'GRD-"&amp;U144&amp;"'!$B:$R"),16,FALSE)))</f>
        <v/>
      </c>
      <c r="U144" s="128">
        <f t="array" ref="U144">IF(S144="","",IFERROR(OFFSET($BZ$11,0,MATCH($S144,$CA144:$FV144,0),),""))</f>
        <v/>
      </c>
      <c r="V144" s="133">
        <f t="array" ref="V144">IF(S144="","",INDIRECT("'GRD-"&amp;U144&amp;"'!$L$7"))</f>
        <v/>
      </c>
      <c r="W144" s="84">
        <f t="array" ref="W144">IFERROR(OFFSET($BZ$11,ROW($B144)-11,MATCH(W$10,$CA144:$FV144,0),),"")</f>
        <v/>
      </c>
      <c r="X144" s="84">
        <f>IF(W144="","",IF(VLOOKUP($B144,INDIRECT("'GRD-"&amp;Y144&amp;"'!$B:$R"),16,FALSE)="","",VLOOKUP($B144,INDIRECT("'GRD-"&amp;Y144&amp;"'!$B:$R"),16,FALSE)))</f>
        <v/>
      </c>
      <c r="Y144" s="129">
        <f t="array" ref="Y144">IF(W144="","",IFERROR(OFFSET($BZ$11,0,MATCH($W144,$CA144:$FV144,0),),""))</f>
        <v/>
      </c>
      <c r="Z144" s="134">
        <f t="array" ref="Z144">IF(W144="","",INDIRECT("'GRD-"&amp;Y144&amp;"'!$L$7"))</f>
        <v/>
      </c>
      <c r="AA144" s="85">
        <f t="array" ref="AA144">IFERROR(OFFSET($BZ$11,ROW($B144)-11,MATCH(AA$10,$CA144:$FV144,0),),"")</f>
        <v/>
      </c>
      <c r="AB144" s="85">
        <f>IF(AA144="","",IF(VLOOKUP($B144,INDIRECT("'GRD-"&amp;AC144&amp;"'!$B:$R"),16,FALSE)="","",VLOOKUP($B144,INDIRECT("'GRD-"&amp;AC144&amp;"'!$B:$R"),16,FALSE)))</f>
        <v/>
      </c>
      <c r="AC144" s="130">
        <f t="array" ref="AC144">IF(AA144="","",IFERROR(OFFSET($BZ$11,0,MATCH($AA144,$CA144:$FV144,0),),""))</f>
        <v/>
      </c>
      <c r="AD144" s="131">
        <f t="array" ref="AD144">IF(AA144="","",INDIRECT("'GRD-"&amp;AC144&amp;"'!$L$7"))</f>
        <v/>
      </c>
      <c r="AE144" s="76">
        <f t="array" ref="AE144">IFERROR(OFFSET($BZ$11,ROW($B144)-11,MATCH(AE$10,$CA144:$FV144,0),),"")</f>
        <v/>
      </c>
      <c r="AF144" s="76">
        <f>IF(AE144="","",IF(VLOOKUP($B144,INDIRECT("'GRD-"&amp;AG144&amp;"'!$B:$R"),16,FALSE)="","",VLOOKUP($B144,INDIRECT("'GRD-"&amp;AG144&amp;"'!$B:$R"),16,FALSE)))</f>
        <v/>
      </c>
      <c r="AG144" s="132">
        <f t="array" ref="AG144">IF(AE144="","",IFERROR(OFFSET($BZ$11,0,MATCH($AE144,$CA144:$FV144,0),),""))</f>
        <v/>
      </c>
      <c r="AH144" s="121">
        <f t="array" ref="AH144">IF(AE144="","",INDIRECT("'GRD-"&amp;AG144&amp;"'!$L$7"))</f>
        <v/>
      </c>
      <c r="AI144" s="83">
        <f t="array" ref="AI144">IFERROR(OFFSET($BZ$11,ROW($B144)-11,MATCH(AI$10,$CA144:$FV144,0),),"")</f>
        <v/>
      </c>
      <c r="AJ144" s="83">
        <f>IF(AI144="","",IF(VLOOKUP($B144,INDIRECT("'GRD-"&amp;AK144&amp;"'!$B:$R"),16,FALSE)="","",VLOOKUP($B144,INDIRECT("'GRD-"&amp;AK144&amp;"'!$B:$R"),16,FALSE)))</f>
        <v/>
      </c>
      <c r="AK144" s="128">
        <f t="array" ref="AK144">IF(AI144="","",IFERROR(OFFSET($BZ$11,0,MATCH($AI144,$CA144:$FV144,0),),""))</f>
        <v/>
      </c>
      <c r="AL144" s="133">
        <f t="array" ref="AL144">IF(AI144="","",INDIRECT("'GRD-"&amp;AK144&amp;"'!$L$7"))</f>
        <v/>
      </c>
      <c r="AM144" s="84">
        <f t="array" ref="AM144">IFERROR(OFFSET($BZ$11,ROW($B144)-11,MATCH(AM$10,$CA144:$FV144,0),),"")</f>
        <v/>
      </c>
      <c r="AN144" s="84">
        <f>IF(AM144="","",IF(VLOOKUP($B144,INDIRECT("'GRD-"&amp;AO144&amp;"'!$B:$R"),16,FALSE)="","",VLOOKUP($B144,INDIRECT("'GRD-"&amp;AO144&amp;"'!$B:$R"),16,FALSE)))</f>
        <v/>
      </c>
      <c r="AO144" s="129">
        <f t="array" ref="AO144">IF(AM144="","",IFERROR(OFFSET($BZ$11,0,MATCH($AM144,$CA144:$FV144,0),),""))</f>
        <v/>
      </c>
      <c r="AP144" s="134">
        <f t="array" ref="AP144">IF(AM144="","",INDIRECT("'GRD-"&amp;AO144&amp;"'!$L$7"))</f>
        <v/>
      </c>
      <c r="AQ144" s="85">
        <f t="array" ref="AQ144">IFERROR(OFFSET($BZ$11,ROW($B144)-11,MATCH(AQ$10,$CA144:$FV144,0),),"")</f>
        <v/>
      </c>
      <c r="AR144" s="85">
        <f>IF(AQ144="","",IF(VLOOKUP($B144,INDIRECT("'GRD-"&amp;AS144&amp;"'!$B:$R"),16,FALSE)="","",VLOOKUP($B144,INDIRECT("'GRD-"&amp;AS144&amp;"'!$B:$R"),16,FALSE)))</f>
        <v/>
      </c>
      <c r="AS144" s="130">
        <f t="array" ref="AS144">IF(AQ144="","",IFERROR(OFFSET($BZ$11,0,MATCH($AQ144,$CA144:$FV144,0),),""))</f>
        <v/>
      </c>
      <c r="AT144" s="131">
        <f t="array" ref="AT144">IF(AQ144="","",INDIRECT("'GRD-"&amp;AS144&amp;"'!$L$7"))</f>
        <v/>
      </c>
      <c r="AU144" s="76">
        <f t="array" ref="AU144">IFERROR(OFFSET($BZ$11,ROW($B144)-11,MATCH(AU$10,$CA144:$FV144,0),),"")</f>
        <v/>
      </c>
      <c r="AV144" s="76">
        <f>IF(AU144="","",IF(VLOOKUP($B144,INDIRECT("'GRD-"&amp;AW144&amp;"'!$B:$R"),16,FALSE)="","",VLOOKUP($B144,INDIRECT("'GRD-"&amp;AW144&amp;"'!$B:$R"),16,FALSE)))</f>
        <v/>
      </c>
      <c r="AW144" s="132">
        <f t="array" ref="AW144">IF(AU144="","",IFERROR(OFFSET($BZ$11,0,MATCH($AU144,$CA144:$FV144,0),),""))</f>
        <v/>
      </c>
      <c r="AX144" s="121">
        <f t="array" ref="AX144">IF(AU144="","",INDIRECT("'GRD-"&amp;AW144&amp;"'!$L$7"))</f>
        <v/>
      </c>
      <c r="AY144" s="83">
        <f t="array" ref="AY144">IFERROR(OFFSET($BZ$11,ROW($B144)-11,MATCH(AY$10,$CA144:$FV144,0),),"")</f>
        <v/>
      </c>
      <c r="AZ144" s="83">
        <f>IF(AY144="","",IF(VLOOKUP($B144,INDIRECT("'GRD-"&amp;BA144&amp;"'!$B:$R"),16,FALSE)="","",VLOOKUP($B144,INDIRECT("'GRD-"&amp;BA144&amp;"'!$B:$R"),16,FALSE)))</f>
        <v/>
      </c>
      <c r="BA144" s="128">
        <f t="array" ref="BA144">IF(AY144="","",IFERROR(OFFSET($BZ$11,0,MATCH($AY144,$CA144:$FV144,0),),""))</f>
        <v/>
      </c>
      <c r="BB144" s="133">
        <f t="array" ref="BB144">IF(AY144="","",INDIRECT("'GRD-"&amp;BA144&amp;"'!$L$7"))</f>
        <v/>
      </c>
      <c r="BC144" s="84">
        <f t="array" ref="BC144">IFERROR(OFFSET($BZ$11,ROW($B144)-11,MATCH(BC$10,$CA144:$FV144,0),),"")</f>
        <v/>
      </c>
      <c r="BD144" s="84">
        <f>IF(BC144="","",IF(VLOOKUP($B144,INDIRECT("'GRD-"&amp;BE144&amp;"'!$B:$R"),16,FALSE)="","",VLOOKUP($B144,INDIRECT("'GRD-"&amp;BE144&amp;"'!$B:$R"),16,FALSE)))</f>
        <v/>
      </c>
      <c r="BE144" s="129">
        <f t="array" ref="BE144">IF(BC144="","",IFERROR(OFFSET($BZ$11,0,MATCH($BC144,$CA144:$FV144,0),),""))</f>
        <v/>
      </c>
      <c r="BF144" s="134">
        <f t="array" ref="BF144">IF(BC144="","",INDIRECT("'GRD-"&amp;BE144&amp;"'!$L$7"))</f>
        <v/>
      </c>
      <c r="CA144" s="96">
        <f>IFERROR(VLOOKUP($B144,INDIRECT("'GRD-"&amp;CA$11&amp;"'!B:R"),15,FALSE),"")</f>
        <v/>
      </c>
      <c r="CB144" s="96">
        <f>IFERROR(VLOOKUP($B144,INDIRECT("'GRD-"&amp;CB$11&amp;"'!B:R"),15,FALSE),"")</f>
        <v/>
      </c>
      <c r="CC144" s="96">
        <f>IFERROR(VLOOKUP($B144,INDIRECT("'GRD-"&amp;CC$11&amp;"'!B:R"),15,FALSE),"")</f>
        <v/>
      </c>
      <c r="CD144" s="96">
        <f>IFERROR(VLOOKUP($B144,INDIRECT("'GRD-"&amp;CD$11&amp;"'!B:R"),15,FALSE),"")</f>
        <v/>
      </c>
      <c r="CE144" s="96">
        <f>IFERROR(VLOOKUP($B144,INDIRECT("'GRD-"&amp;CE$11&amp;"'!B:R"),15,FALSE),"")</f>
        <v/>
      </c>
      <c r="CF144" s="96">
        <f>IFERROR(VLOOKUP($B144,INDIRECT("'GRD-"&amp;CF$11&amp;"'!B:R"),15,FALSE),"")</f>
        <v/>
      </c>
      <c r="CG144" s="96">
        <f>IFERROR(VLOOKUP($B144,INDIRECT("'GRD-"&amp;CG$11&amp;"'!B:R"),15,FALSE),"")</f>
        <v/>
      </c>
      <c r="CH144" s="96">
        <f>IFERROR(VLOOKUP($B144,INDIRECT("'GRD-"&amp;CH$11&amp;"'!B:R"),15,FALSE),"")</f>
        <v/>
      </c>
      <c r="CI144" s="96">
        <f>IFERROR(VLOOKUP($B144,INDIRECT("'GRD-"&amp;CI$11&amp;"'!B:R"),15,FALSE),"")</f>
        <v/>
      </c>
      <c r="CJ144" s="96">
        <f>IFERROR(VLOOKUP($B144,INDIRECT("'GRD-"&amp;CJ$11&amp;"'!B:R"),15,FALSE),"")</f>
        <v/>
      </c>
      <c r="CK144" s="96">
        <f>IFERROR(VLOOKUP($B144,INDIRECT("'GRD-"&amp;CK$11&amp;"'!B:R"),15,FALSE),"")</f>
        <v/>
      </c>
      <c r="CL144" s="96">
        <f>IFERROR(VLOOKUP($B144,INDIRECT("'GRD-"&amp;CL$11&amp;"'!B:R"),15,FALSE),"")</f>
        <v/>
      </c>
      <c r="CM144" s="96">
        <f>IFERROR(VLOOKUP($B144,INDIRECT("'GRD-"&amp;CM$11&amp;"'!B:R"),15,FALSE),"")</f>
        <v/>
      </c>
      <c r="CN144" s="96">
        <f>IFERROR(VLOOKUP($B144,INDIRECT("'GRD-"&amp;CN$11&amp;"'!B:R"),15,FALSE),"")</f>
        <v/>
      </c>
      <c r="CO144" s="96">
        <f>IFERROR(VLOOKUP($B144,INDIRECT("'GRD-"&amp;CO$11&amp;"'!B:R"),15,FALSE),"")</f>
        <v/>
      </c>
      <c r="CP144" s="96">
        <f>IFERROR(VLOOKUP($B144,INDIRECT("'GRD-"&amp;CP$11&amp;"'!B:R"),15,FALSE),"")</f>
        <v/>
      </c>
      <c r="CQ144" s="96">
        <f>IFERROR(VLOOKUP($B144,INDIRECT("'GRD-"&amp;CQ$11&amp;"'!B:R"),15,FALSE),"")</f>
        <v/>
      </c>
      <c r="CR144" s="96">
        <f>IFERROR(VLOOKUP($B144,INDIRECT("'GRD-"&amp;CR$11&amp;"'!B:R"),15,FALSE),"")</f>
        <v/>
      </c>
      <c r="CS144" s="96">
        <f>IFERROR(VLOOKUP($B144,INDIRECT("'GRD-"&amp;CS$11&amp;"'!B:R"),15,FALSE),"")</f>
        <v/>
      </c>
      <c r="CT144" s="96">
        <f>IFERROR(VLOOKUP($B144,INDIRECT("'GRD-"&amp;CT$11&amp;"'!B:R"),15,FALSE),"")</f>
        <v/>
      </c>
      <c r="CU144" s="96">
        <f>IFERROR(VLOOKUP($B144,INDIRECT("'GRD-"&amp;CU$11&amp;"'!B:R"),15,FALSE),"")</f>
        <v/>
      </c>
      <c r="CV144" s="96">
        <f>IFERROR(VLOOKUP($B144,INDIRECT("'GRD-"&amp;CV$11&amp;"'!B:R"),15,FALSE),"")</f>
        <v/>
      </c>
      <c r="CW144" s="96">
        <f>IFERROR(VLOOKUP($B144,INDIRECT("'GRD-"&amp;CW$11&amp;"'!B:R"),15,FALSE),"")</f>
        <v/>
      </c>
      <c r="CX144" s="96">
        <f>IFERROR(VLOOKUP($B144,INDIRECT("'GRD-"&amp;CX$11&amp;"'!B:R"),15,FALSE),"")</f>
        <v/>
      </c>
      <c r="CY144" s="96">
        <f>IFERROR(VLOOKUP($B144,INDIRECT("'GRD-"&amp;CY$11&amp;"'!B:R"),15,FALSE),"")</f>
        <v/>
      </c>
      <c r="CZ144" s="96">
        <f>IFERROR(VLOOKUP($B144,INDIRECT("'GRD-"&amp;CZ$11&amp;"'!B:R"),15,FALSE),"")</f>
        <v/>
      </c>
      <c r="DA144" s="96">
        <f>IFERROR(VLOOKUP($B144,INDIRECT("'GRD-"&amp;DA$11&amp;"'!B:R"),15,FALSE),"")</f>
        <v/>
      </c>
      <c r="DB144" s="96">
        <f>IFERROR(VLOOKUP($B144,INDIRECT("'GRD-"&amp;DB$11&amp;"'!B:R"),15,FALSE),"")</f>
        <v/>
      </c>
      <c r="DC144" s="96">
        <f>IFERROR(VLOOKUP($B144,INDIRECT("'GRD-"&amp;DC$11&amp;"'!B:R"),15,FALSE),"")</f>
        <v/>
      </c>
      <c r="DD144" s="96">
        <f>IFERROR(VLOOKUP($B144,INDIRECT("'GRD-"&amp;DD$11&amp;"'!B:R"),15,FALSE),"")</f>
        <v/>
      </c>
      <c r="DE144" s="96">
        <f>IFERROR(VLOOKUP($B144,INDIRECT("'GRD-"&amp;DE$11&amp;"'!B:R"),15,FALSE),"")</f>
        <v/>
      </c>
      <c r="DF144" s="96">
        <f>IFERROR(VLOOKUP($B144,INDIRECT("'GRD-"&amp;DF$11&amp;"'!B:R"),15,FALSE),"")</f>
        <v/>
      </c>
      <c r="DG144" s="96">
        <f>IFERROR(VLOOKUP($B144,INDIRECT("'GRD-"&amp;DG$11&amp;"'!B:R"),15,FALSE),"")</f>
        <v/>
      </c>
      <c r="DH144" s="96">
        <f>IFERROR(VLOOKUP($B144,INDIRECT("'GRD-"&amp;DH$11&amp;"'!B:R"),15,FALSE),"")</f>
        <v/>
      </c>
      <c r="DI144" s="96">
        <f>IFERROR(VLOOKUP($B144,INDIRECT("'GRD-"&amp;DI$11&amp;"'!B:R"),15,FALSE),"")</f>
        <v/>
      </c>
      <c r="DJ144" s="96">
        <f>IFERROR(VLOOKUP($B144,INDIRECT("'GRD-"&amp;DJ$11&amp;"'!B:R"),15,FALSE),"")</f>
        <v/>
      </c>
      <c r="DK144" s="96">
        <f>IFERROR(VLOOKUP($B144,INDIRECT("'GRD-"&amp;DK$11&amp;"'!B:R"),15,FALSE),"")</f>
        <v/>
      </c>
      <c r="DL144" s="96">
        <f>IFERROR(VLOOKUP($B144,INDIRECT("'GRD-"&amp;DL$11&amp;"'!B:R"),15,FALSE),"")</f>
        <v/>
      </c>
      <c r="DM144" s="96">
        <f>IFERROR(VLOOKUP($B144,INDIRECT("'GRD-"&amp;DM$11&amp;"'!B:R"),15,FALSE),"")</f>
        <v/>
      </c>
      <c r="DN144" s="96">
        <f>IFERROR(VLOOKUP($B144,INDIRECT("'GRD-"&amp;DN$11&amp;"'!B:R"),15,FALSE),"")</f>
        <v/>
      </c>
      <c r="DO144" s="96">
        <f>IFERROR(VLOOKUP($B144,INDIRECT("'GRD-"&amp;DO$11&amp;"'!B:R"),15,FALSE),"")</f>
        <v/>
      </c>
      <c r="DP144" s="96">
        <f>IFERROR(VLOOKUP($B144,INDIRECT("'GRD-"&amp;DP$11&amp;"'!B:R"),15,FALSE),"")</f>
        <v/>
      </c>
      <c r="DQ144" s="96">
        <f>IFERROR(VLOOKUP($B144,INDIRECT("'GRD-"&amp;DQ$11&amp;"'!B:R"),15,FALSE),"")</f>
        <v/>
      </c>
      <c r="DR144" s="96">
        <f>IFERROR(VLOOKUP($B144,INDIRECT("'GRD-"&amp;DR$11&amp;"'!B:R"),15,FALSE),"")</f>
        <v/>
      </c>
      <c r="DS144" s="96">
        <f>IFERROR(VLOOKUP($B144,INDIRECT("'GRD-"&amp;DS$11&amp;"'!B:R"),15,FALSE),"")</f>
        <v/>
      </c>
      <c r="DT144" s="96">
        <f>IFERROR(VLOOKUP($B144,INDIRECT("'GRD-"&amp;DT$11&amp;"'!B:R"),15,FALSE),"")</f>
        <v/>
      </c>
      <c r="DU144" s="96">
        <f>IFERROR(VLOOKUP($B144,INDIRECT("'GRD-"&amp;DU$11&amp;"'!B:R"),15,FALSE),"")</f>
        <v/>
      </c>
      <c r="DV144" s="96">
        <f>IFERROR(VLOOKUP($B144,INDIRECT("'GRD-"&amp;DV$11&amp;"'!B:R"),15,FALSE),"")</f>
        <v/>
      </c>
      <c r="DW144" s="96">
        <f>IFERROR(VLOOKUP($B144,INDIRECT("'GRD-"&amp;DW$11&amp;"'!B:R"),15,FALSE),"")</f>
        <v/>
      </c>
      <c r="DX144" s="96">
        <f>IFERROR(VLOOKUP($B144,INDIRECT("'GRD-"&amp;DX$11&amp;"'!B:R"),15,FALSE),"")</f>
        <v/>
      </c>
      <c r="DY144" s="96">
        <f>IFERROR(VLOOKUP($B144,INDIRECT("'GRD-"&amp;DY$11&amp;"'!B:R"),15,FALSE),"")</f>
        <v/>
      </c>
      <c r="DZ144" s="96">
        <f>IFERROR(VLOOKUP($B144,INDIRECT("'GRD-"&amp;DZ$11&amp;"'!B:R"),15,FALSE),"")</f>
        <v/>
      </c>
      <c r="EA144" s="96">
        <f>IFERROR(VLOOKUP($B144,INDIRECT("'GRD-"&amp;EA$11&amp;"'!B:R"),15,FALSE),"")</f>
        <v/>
      </c>
      <c r="EB144" s="96">
        <f>IFERROR(VLOOKUP($B144,INDIRECT("'GRD-"&amp;EB$11&amp;"'!B:R"),15,FALSE),"")</f>
        <v/>
      </c>
      <c r="EC144" s="96">
        <f>IFERROR(VLOOKUP($B144,INDIRECT("'GRD-"&amp;EC$11&amp;"'!B:R"),15,FALSE),"")</f>
        <v/>
      </c>
      <c r="ED144" s="96">
        <f>IFERROR(VLOOKUP($B144,INDIRECT("'GRD-"&amp;ED$11&amp;"'!B:R"),15,FALSE),"")</f>
        <v/>
      </c>
      <c r="EE144" s="96">
        <f>IFERROR(VLOOKUP($B144,INDIRECT("'GRD-"&amp;EE$11&amp;"'!B:R"),15,FALSE),"")</f>
        <v/>
      </c>
      <c r="EF144" s="96">
        <f>IFERROR(VLOOKUP($B144,INDIRECT("'GRD-"&amp;EF$11&amp;"'!B:R"),15,FALSE),"")</f>
        <v/>
      </c>
      <c r="EG144" s="96">
        <f>IFERROR(VLOOKUP($B144,INDIRECT("'GRD-"&amp;EG$11&amp;"'!B:R"),15,FALSE),"")</f>
        <v/>
      </c>
      <c r="EH144" s="96">
        <f>IFERROR(VLOOKUP($B144,INDIRECT("'GRD-"&amp;EH$11&amp;"'!B:R"),15,FALSE),"")</f>
        <v/>
      </c>
      <c r="EI144" s="96">
        <f>IFERROR(VLOOKUP($B144,INDIRECT("'GRD-"&amp;EI$11&amp;"'!B:R"),15,FALSE),"")</f>
        <v/>
      </c>
      <c r="EJ144" s="96">
        <f>IFERROR(VLOOKUP($B144,INDIRECT("'GRD-"&amp;EJ$11&amp;"'!B:R"),15,FALSE),"")</f>
        <v/>
      </c>
      <c r="EK144" s="96">
        <f>IFERROR(VLOOKUP($B144,INDIRECT("'GRD-"&amp;EK$11&amp;"'!B:R"),15,FALSE),"")</f>
        <v/>
      </c>
      <c r="EL144" s="96">
        <f>IFERROR(VLOOKUP($B144,INDIRECT("'GRD-"&amp;EL$11&amp;"'!B:R"),15,FALSE),"")</f>
        <v/>
      </c>
      <c r="EM144" s="96">
        <f>IFERROR(VLOOKUP($B144,INDIRECT("'GRD-"&amp;EM$11&amp;"'!B:R"),15,FALSE),"")</f>
        <v/>
      </c>
      <c r="EN144" s="96">
        <f>IFERROR(VLOOKUP($B144,INDIRECT("'GRD-"&amp;EN$11&amp;"'!B:R"),15,FALSE),"")</f>
        <v/>
      </c>
      <c r="EO144" s="96">
        <f>IFERROR(VLOOKUP($B144,INDIRECT("'GRD-"&amp;EO$11&amp;"'!B:R"),15,FALSE),"")</f>
        <v/>
      </c>
      <c r="EP144" s="96">
        <f>IFERROR(VLOOKUP($B144,INDIRECT("'GRD-"&amp;EP$11&amp;"'!B:R"),15,FALSE),"")</f>
        <v/>
      </c>
      <c r="EQ144" s="96">
        <f>IFERROR(VLOOKUP($B144,INDIRECT("'GRD-"&amp;EQ$11&amp;"'!B:R"),15,FALSE),"")</f>
        <v/>
      </c>
      <c r="ER144" s="96">
        <f>IFERROR(VLOOKUP($B144,INDIRECT("'GRD-"&amp;ER$11&amp;"'!B:R"),15,FALSE),"")</f>
        <v/>
      </c>
      <c r="ES144" s="96">
        <f>IFERROR(VLOOKUP($B144,INDIRECT("'GRD-"&amp;ES$11&amp;"'!B:R"),15,FALSE),"")</f>
        <v/>
      </c>
      <c r="ET144" s="96">
        <f>IFERROR(VLOOKUP($B144,INDIRECT("'GRD-"&amp;ET$11&amp;"'!B:R"),15,FALSE),"")</f>
        <v/>
      </c>
      <c r="EU144" s="96">
        <f>IFERROR(VLOOKUP($B144,INDIRECT("'GRD-"&amp;EU$11&amp;"'!B:R"),15,FALSE),"")</f>
        <v/>
      </c>
      <c r="EV144" s="96">
        <f>IFERROR(VLOOKUP($B144,INDIRECT("'GRD-"&amp;EV$11&amp;"'!B:R"),15,FALSE),"")</f>
        <v/>
      </c>
      <c r="EW144" s="96">
        <f>IFERROR(VLOOKUP($B144,INDIRECT("'GRD-"&amp;EW$11&amp;"'!B:R"),15,FALSE),"")</f>
        <v/>
      </c>
      <c r="EX144" s="96">
        <f>IFERROR(VLOOKUP($B144,INDIRECT("'GRD-"&amp;EX$11&amp;"'!B:R"),15,FALSE),"")</f>
        <v/>
      </c>
      <c r="EY144" s="96">
        <f>IFERROR(VLOOKUP($B144,INDIRECT("'GRD-"&amp;EY$11&amp;"'!B:R"),15,FALSE),"")</f>
        <v/>
      </c>
      <c r="EZ144" s="96">
        <f>IFERROR(VLOOKUP($B144,INDIRECT("'GRD-"&amp;EZ$11&amp;"'!B:R"),15,FALSE),"")</f>
        <v/>
      </c>
      <c r="FA144" s="96">
        <f>IFERROR(VLOOKUP($B144,INDIRECT("'GRD-"&amp;FA$11&amp;"'!B:R"),15,FALSE),"")</f>
        <v/>
      </c>
      <c r="FB144" s="96">
        <f>IFERROR(VLOOKUP($B144,INDIRECT("'GRD-"&amp;FB$11&amp;"'!B:R"),15,FALSE),"")</f>
        <v/>
      </c>
      <c r="FC144" s="96">
        <f>IFERROR(VLOOKUP($B144,INDIRECT("'GRD-"&amp;FC$11&amp;"'!B:R"),15,FALSE),"")</f>
        <v/>
      </c>
      <c r="FD144" s="96">
        <f>IFERROR(VLOOKUP($B144,INDIRECT("'GRD-"&amp;FD$11&amp;"'!B:R"),15,FALSE),"")</f>
        <v/>
      </c>
      <c r="FE144" s="96">
        <f>IFERROR(VLOOKUP($B144,INDIRECT("'GRD-"&amp;FE$11&amp;"'!B:R"),15,FALSE),"")</f>
        <v/>
      </c>
      <c r="FF144" s="96">
        <f>IFERROR(VLOOKUP($B144,INDIRECT("'GRD-"&amp;FF$11&amp;"'!B:R"),15,FALSE),"")</f>
        <v/>
      </c>
      <c r="FG144" s="96">
        <f>IFERROR(VLOOKUP($B144,INDIRECT("'GRD-"&amp;FG$11&amp;"'!B:R"),15,FALSE),"")</f>
        <v/>
      </c>
      <c r="FH144" s="96">
        <f>IFERROR(VLOOKUP($B144,INDIRECT("'GRD-"&amp;FH$11&amp;"'!B:R"),15,FALSE),"")</f>
        <v/>
      </c>
      <c r="FI144" s="96">
        <f>IFERROR(VLOOKUP($B144,INDIRECT("'GRD-"&amp;FI$11&amp;"'!B:R"),15,FALSE),"")</f>
        <v/>
      </c>
      <c r="FJ144" s="96">
        <f>IFERROR(VLOOKUP($B144,INDIRECT("'GRD-"&amp;FJ$11&amp;"'!B:R"),15,FALSE),"")</f>
        <v/>
      </c>
      <c r="FK144" s="96">
        <f>IFERROR(VLOOKUP($B144,INDIRECT("'GRD-"&amp;FK$11&amp;"'!B:R"),15,FALSE),"")</f>
        <v/>
      </c>
      <c r="FL144" s="96">
        <f>IFERROR(VLOOKUP($B144,INDIRECT("'GRD-"&amp;FL$11&amp;"'!B:R"),15,FALSE),"")</f>
        <v/>
      </c>
      <c r="FM144" s="96">
        <f>IFERROR(VLOOKUP($B144,INDIRECT("'GRD-"&amp;FM$11&amp;"'!B:R"),15,FALSE),"")</f>
        <v/>
      </c>
      <c r="FN144" s="96">
        <f>IFERROR(VLOOKUP($B144,INDIRECT("'GRD-"&amp;FN$11&amp;"'!B:R"),15,FALSE),"")</f>
        <v/>
      </c>
      <c r="FO144" s="96">
        <f>IFERROR(VLOOKUP($B144,INDIRECT("'GRD-"&amp;FO$11&amp;"'!B:R"),15,FALSE),"")</f>
        <v/>
      </c>
      <c r="FP144" s="96">
        <f>IFERROR(VLOOKUP($B144,INDIRECT("'GRD-"&amp;FP$11&amp;"'!B:R"),15,FALSE),"")</f>
        <v/>
      </c>
      <c r="FQ144" s="96">
        <f>IFERROR(VLOOKUP($B144,INDIRECT("'GRD-"&amp;FQ$11&amp;"'!B:R"),15,FALSE),"")</f>
        <v/>
      </c>
      <c r="FR144" s="96">
        <f>IFERROR(VLOOKUP($B144,INDIRECT("'GRD-"&amp;FR$11&amp;"'!B:R"),15,FALSE),"")</f>
        <v/>
      </c>
      <c r="FS144" s="96">
        <f>IFERROR(VLOOKUP($B144,INDIRECT("'GRD-"&amp;FS$11&amp;"'!B:R"),15,FALSE),"")</f>
        <v/>
      </c>
      <c r="FT144" s="96">
        <f>IFERROR(VLOOKUP($B144,INDIRECT("'GRD-"&amp;FT$11&amp;"'!B:R"),15,FALSE),"")</f>
        <v/>
      </c>
      <c r="FU144" s="96">
        <f>IFERROR(VLOOKUP($B144,INDIRECT("'GRD-"&amp;FU$11&amp;"'!B:R"),15,FALSE),"")</f>
        <v/>
      </c>
      <c r="FV144" s="96">
        <f>IFERROR(VLOOKUP($B144,INDIRECT("'GRD-"&amp;FV$11&amp;"'!B:R"),15,FALSE),"")</f>
        <v/>
      </c>
    </row>
    <row r="145">
      <c r="B145" s="85" t="n"/>
      <c r="C145" s="93" t="n"/>
      <c r="D145" s="73">
        <f>IF(K145="","",MAX($CA145:$FV145))</f>
        <v/>
      </c>
      <c r="E145" s="74">
        <f t="array" ref="E145">IF($K145="","",OFFSET($A$1,ROW($B145)-1,11+$D145*4,))</f>
        <v/>
      </c>
      <c r="F145" s="74">
        <f t="array" ref="F145">IF($K145="","",OFFSET($A$1,ROW($B145)-1,12+$D145*4,))</f>
        <v/>
      </c>
      <c r="G145" s="118">
        <f t="array" ref="G145">IF($K145="","",OFFSET($A$1,ROW($B145)-1,13+$D145*4,))</f>
        <v/>
      </c>
      <c r="H145" s="81" t="n"/>
      <c r="I145" s="82" t="n"/>
      <c r="J145" s="75">
        <f>IF(I145="A4",H145/8,IF(I145="A3",H145/4,IF(I145="A2",H145/2,IF(I145="A1",H145/1,IF(I145="A0",H145*2,"")))))</f>
        <v/>
      </c>
      <c r="K145" s="68">
        <f t="array" ref="K145">IFERROR(OFFSET($BZ$11,ROW($B145)-11,MATCH(K$10,$CA145:$FV145,0),),"")</f>
        <v/>
      </c>
      <c r="L145" s="85">
        <f>IF(K145="","",IF(VLOOKUP($B145,INDIRECT("'GRD-"&amp;M145&amp;"'!$B:$R"),16,FALSE)="","",VLOOKUP($B145,INDIRECT("'GRD-"&amp;M145&amp;"'!$B:$R"),16,FALSE)))</f>
        <v/>
      </c>
      <c r="M145" s="130">
        <f t="array" ref="M145">IF(K145="","",IFERROR(OFFSET($BZ$11,0,MATCH($K145,$CA145:$FV145,0),),""))</f>
        <v/>
      </c>
      <c r="N145" s="119">
        <f t="array" ref="N145">IF(K145="","",INDIRECT("'GRD-"&amp;M145&amp;"'!$L$7"))</f>
        <v/>
      </c>
      <c r="O145" s="76">
        <f t="array" ref="O145">IFERROR(OFFSET($BZ$11,ROW($B145)-11,MATCH(O$10,$CA145:$FV145,0),),"")</f>
        <v/>
      </c>
      <c r="P145" s="76">
        <f>IF(O145="","",IF(VLOOKUP($B145,INDIRECT("'GRD-"&amp;Q145&amp;"'!$B:$R"),16,FALSE)="","",VLOOKUP($B145,INDIRECT("'GRD-"&amp;Q145&amp;"'!$B:$R"),16,FALSE)))</f>
        <v/>
      </c>
      <c r="Q145" s="132">
        <f t="array" ref="Q145">IF(O145="","",IFERROR(OFFSET($BZ$11,0,MATCH($O145,$CA145:$FV145,0),),""))</f>
        <v/>
      </c>
      <c r="R145" s="121">
        <f t="array" ref="R145">IF(O145="","",INDIRECT("'GRD-"&amp;Q145&amp;"'!$L$7"))</f>
        <v/>
      </c>
      <c r="S145" s="83">
        <f t="array" ref="S145">IFERROR(OFFSET($BZ$11,ROW($B145)-11,MATCH(S$10,$CA145:$FV145,0),),"")</f>
        <v/>
      </c>
      <c r="T145" s="83">
        <f>IF(S145="","",IF(VLOOKUP($B145,INDIRECT("'GRD-"&amp;U145&amp;"'!$B:$R"),16,FALSE)="","",VLOOKUP($B145,INDIRECT("'GRD-"&amp;U145&amp;"'!$B:$R"),16,FALSE)))</f>
        <v/>
      </c>
      <c r="U145" s="128">
        <f t="array" ref="U145">IF(S145="","",IFERROR(OFFSET($BZ$11,0,MATCH($S145,$CA145:$FV145,0),),""))</f>
        <v/>
      </c>
      <c r="V145" s="133">
        <f t="array" ref="V145">IF(S145="","",INDIRECT("'GRD-"&amp;U145&amp;"'!$L$7"))</f>
        <v/>
      </c>
      <c r="W145" s="84">
        <f t="array" ref="W145">IFERROR(OFFSET($BZ$11,ROW($B145)-11,MATCH(W$10,$CA145:$FV145,0),),"")</f>
        <v/>
      </c>
      <c r="X145" s="84">
        <f>IF(W145="","",IF(VLOOKUP($B145,INDIRECT("'GRD-"&amp;Y145&amp;"'!$B:$R"),16,FALSE)="","",VLOOKUP($B145,INDIRECT("'GRD-"&amp;Y145&amp;"'!$B:$R"),16,FALSE)))</f>
        <v/>
      </c>
      <c r="Y145" s="129">
        <f t="array" ref="Y145">IF(W145="","",IFERROR(OFFSET($BZ$11,0,MATCH($W145,$CA145:$FV145,0),),""))</f>
        <v/>
      </c>
      <c r="Z145" s="134">
        <f t="array" ref="Z145">IF(W145="","",INDIRECT("'GRD-"&amp;Y145&amp;"'!$L$7"))</f>
        <v/>
      </c>
      <c r="AA145" s="85">
        <f t="array" ref="AA145">IFERROR(OFFSET($BZ$11,ROW($B145)-11,MATCH(AA$10,$CA145:$FV145,0),),"")</f>
        <v/>
      </c>
      <c r="AB145" s="85">
        <f>IF(AA145="","",IF(VLOOKUP($B145,INDIRECT("'GRD-"&amp;AC145&amp;"'!$B:$R"),16,FALSE)="","",VLOOKUP($B145,INDIRECT("'GRD-"&amp;AC145&amp;"'!$B:$R"),16,FALSE)))</f>
        <v/>
      </c>
      <c r="AC145" s="130">
        <f t="array" ref="AC145">IF(AA145="","",IFERROR(OFFSET($BZ$11,0,MATCH($AA145,$CA145:$FV145,0),),""))</f>
        <v/>
      </c>
      <c r="AD145" s="131">
        <f t="array" ref="AD145">IF(AA145="","",INDIRECT("'GRD-"&amp;AC145&amp;"'!$L$7"))</f>
        <v/>
      </c>
      <c r="AE145" s="76">
        <f t="array" ref="AE145">IFERROR(OFFSET($BZ$11,ROW($B145)-11,MATCH(AE$10,$CA145:$FV145,0),),"")</f>
        <v/>
      </c>
      <c r="AF145" s="76">
        <f>IF(AE145="","",IF(VLOOKUP($B145,INDIRECT("'GRD-"&amp;AG145&amp;"'!$B:$R"),16,FALSE)="","",VLOOKUP($B145,INDIRECT("'GRD-"&amp;AG145&amp;"'!$B:$R"),16,FALSE)))</f>
        <v/>
      </c>
      <c r="AG145" s="132">
        <f t="array" ref="AG145">IF(AE145="","",IFERROR(OFFSET($BZ$11,0,MATCH($AE145,$CA145:$FV145,0),),""))</f>
        <v/>
      </c>
      <c r="AH145" s="121">
        <f t="array" ref="AH145">IF(AE145="","",INDIRECT("'GRD-"&amp;AG145&amp;"'!$L$7"))</f>
        <v/>
      </c>
      <c r="AI145" s="83">
        <f t="array" ref="AI145">IFERROR(OFFSET($BZ$11,ROW($B145)-11,MATCH(AI$10,$CA145:$FV145,0),),"")</f>
        <v/>
      </c>
      <c r="AJ145" s="83">
        <f>IF(AI145="","",IF(VLOOKUP($B145,INDIRECT("'GRD-"&amp;AK145&amp;"'!$B:$R"),16,FALSE)="","",VLOOKUP($B145,INDIRECT("'GRD-"&amp;AK145&amp;"'!$B:$R"),16,FALSE)))</f>
        <v/>
      </c>
      <c r="AK145" s="128">
        <f t="array" ref="AK145">IF(AI145="","",IFERROR(OFFSET($BZ$11,0,MATCH($AI145,$CA145:$FV145,0),),""))</f>
        <v/>
      </c>
      <c r="AL145" s="133">
        <f t="array" ref="AL145">IF(AI145="","",INDIRECT("'GRD-"&amp;AK145&amp;"'!$L$7"))</f>
        <v/>
      </c>
      <c r="AM145" s="84">
        <f t="array" ref="AM145">IFERROR(OFFSET($BZ$11,ROW($B145)-11,MATCH(AM$10,$CA145:$FV145,0),),"")</f>
        <v/>
      </c>
      <c r="AN145" s="84">
        <f>IF(AM145="","",IF(VLOOKUP($B145,INDIRECT("'GRD-"&amp;AO145&amp;"'!$B:$R"),16,FALSE)="","",VLOOKUP($B145,INDIRECT("'GRD-"&amp;AO145&amp;"'!$B:$R"),16,FALSE)))</f>
        <v/>
      </c>
      <c r="AO145" s="129">
        <f t="array" ref="AO145">IF(AM145="","",IFERROR(OFFSET($BZ$11,0,MATCH($AM145,$CA145:$FV145,0),),""))</f>
        <v/>
      </c>
      <c r="AP145" s="134">
        <f t="array" ref="AP145">IF(AM145="","",INDIRECT("'GRD-"&amp;AO145&amp;"'!$L$7"))</f>
        <v/>
      </c>
      <c r="AQ145" s="85">
        <f t="array" ref="AQ145">IFERROR(OFFSET($BZ$11,ROW($B145)-11,MATCH(AQ$10,$CA145:$FV145,0),),"")</f>
        <v/>
      </c>
      <c r="AR145" s="85">
        <f>IF(AQ145="","",IF(VLOOKUP($B145,INDIRECT("'GRD-"&amp;AS145&amp;"'!$B:$R"),16,FALSE)="","",VLOOKUP($B145,INDIRECT("'GRD-"&amp;AS145&amp;"'!$B:$R"),16,FALSE)))</f>
        <v/>
      </c>
      <c r="AS145" s="130">
        <f t="array" ref="AS145">IF(AQ145="","",IFERROR(OFFSET($BZ$11,0,MATCH($AQ145,$CA145:$FV145,0),),""))</f>
        <v/>
      </c>
      <c r="AT145" s="131">
        <f t="array" ref="AT145">IF(AQ145="","",INDIRECT("'GRD-"&amp;AS145&amp;"'!$L$7"))</f>
        <v/>
      </c>
      <c r="AU145" s="76">
        <f t="array" ref="AU145">IFERROR(OFFSET($BZ$11,ROW($B145)-11,MATCH(AU$10,$CA145:$FV145,0),),"")</f>
        <v/>
      </c>
      <c r="AV145" s="76">
        <f>IF(AU145="","",IF(VLOOKUP($B145,INDIRECT("'GRD-"&amp;AW145&amp;"'!$B:$R"),16,FALSE)="","",VLOOKUP($B145,INDIRECT("'GRD-"&amp;AW145&amp;"'!$B:$R"),16,FALSE)))</f>
        <v/>
      </c>
      <c r="AW145" s="132">
        <f t="array" ref="AW145">IF(AU145="","",IFERROR(OFFSET($BZ$11,0,MATCH($AU145,$CA145:$FV145,0),),""))</f>
        <v/>
      </c>
      <c r="AX145" s="121">
        <f t="array" ref="AX145">IF(AU145="","",INDIRECT("'GRD-"&amp;AW145&amp;"'!$L$7"))</f>
        <v/>
      </c>
      <c r="AY145" s="83">
        <f t="array" ref="AY145">IFERROR(OFFSET($BZ$11,ROW($B145)-11,MATCH(AY$10,$CA145:$FV145,0),),"")</f>
        <v/>
      </c>
      <c r="AZ145" s="83">
        <f>IF(AY145="","",IF(VLOOKUP($B145,INDIRECT("'GRD-"&amp;BA145&amp;"'!$B:$R"),16,FALSE)="","",VLOOKUP($B145,INDIRECT("'GRD-"&amp;BA145&amp;"'!$B:$R"),16,FALSE)))</f>
        <v/>
      </c>
      <c r="BA145" s="128">
        <f t="array" ref="BA145">IF(AY145="","",IFERROR(OFFSET($BZ$11,0,MATCH($AY145,$CA145:$FV145,0),),""))</f>
        <v/>
      </c>
      <c r="BB145" s="133">
        <f t="array" ref="BB145">IF(AY145="","",INDIRECT("'GRD-"&amp;BA145&amp;"'!$L$7"))</f>
        <v/>
      </c>
      <c r="BC145" s="84">
        <f t="array" ref="BC145">IFERROR(OFFSET($BZ$11,ROW($B145)-11,MATCH(BC$10,$CA145:$FV145,0),),"")</f>
        <v/>
      </c>
      <c r="BD145" s="84">
        <f>IF(BC145="","",IF(VLOOKUP($B145,INDIRECT("'GRD-"&amp;BE145&amp;"'!$B:$R"),16,FALSE)="","",VLOOKUP($B145,INDIRECT("'GRD-"&amp;BE145&amp;"'!$B:$R"),16,FALSE)))</f>
        <v/>
      </c>
      <c r="BE145" s="129">
        <f t="array" ref="BE145">IF(BC145="","",IFERROR(OFFSET($BZ$11,0,MATCH($BC145,$CA145:$FV145,0),),""))</f>
        <v/>
      </c>
      <c r="BF145" s="134">
        <f t="array" ref="BF145">IF(BC145="","",INDIRECT("'GRD-"&amp;BE145&amp;"'!$L$7"))</f>
        <v/>
      </c>
      <c r="CA145" s="96">
        <f>IFERROR(VLOOKUP($B145,INDIRECT("'GRD-"&amp;CA$11&amp;"'!B:R"),15,FALSE),"")</f>
        <v/>
      </c>
      <c r="CB145" s="96">
        <f>IFERROR(VLOOKUP($B145,INDIRECT("'GRD-"&amp;CB$11&amp;"'!B:R"),15,FALSE),"")</f>
        <v/>
      </c>
      <c r="CC145" s="96">
        <f>IFERROR(VLOOKUP($B145,INDIRECT("'GRD-"&amp;CC$11&amp;"'!B:R"),15,FALSE),"")</f>
        <v/>
      </c>
      <c r="CD145" s="96">
        <f>IFERROR(VLOOKUP($B145,INDIRECT("'GRD-"&amp;CD$11&amp;"'!B:R"),15,FALSE),"")</f>
        <v/>
      </c>
      <c r="CE145" s="96">
        <f>IFERROR(VLOOKUP($B145,INDIRECT("'GRD-"&amp;CE$11&amp;"'!B:R"),15,FALSE),"")</f>
        <v/>
      </c>
      <c r="CF145" s="96">
        <f>IFERROR(VLOOKUP($B145,INDIRECT("'GRD-"&amp;CF$11&amp;"'!B:R"),15,FALSE),"")</f>
        <v/>
      </c>
      <c r="CG145" s="96">
        <f>IFERROR(VLOOKUP($B145,INDIRECT("'GRD-"&amp;CG$11&amp;"'!B:R"),15,FALSE),"")</f>
        <v/>
      </c>
      <c r="CH145" s="96">
        <f>IFERROR(VLOOKUP($B145,INDIRECT("'GRD-"&amp;CH$11&amp;"'!B:R"),15,FALSE),"")</f>
        <v/>
      </c>
      <c r="CI145" s="96">
        <f>IFERROR(VLOOKUP($B145,INDIRECT("'GRD-"&amp;CI$11&amp;"'!B:R"),15,FALSE),"")</f>
        <v/>
      </c>
      <c r="CJ145" s="96">
        <f>IFERROR(VLOOKUP($B145,INDIRECT("'GRD-"&amp;CJ$11&amp;"'!B:R"),15,FALSE),"")</f>
        <v/>
      </c>
      <c r="CK145" s="96">
        <f>IFERROR(VLOOKUP($B145,INDIRECT("'GRD-"&amp;CK$11&amp;"'!B:R"),15,FALSE),"")</f>
        <v/>
      </c>
      <c r="CL145" s="96">
        <f>IFERROR(VLOOKUP($B145,INDIRECT("'GRD-"&amp;CL$11&amp;"'!B:R"),15,FALSE),"")</f>
        <v/>
      </c>
      <c r="CM145" s="96">
        <f>IFERROR(VLOOKUP($B145,INDIRECT("'GRD-"&amp;CM$11&amp;"'!B:R"),15,FALSE),"")</f>
        <v/>
      </c>
      <c r="CN145" s="96">
        <f>IFERROR(VLOOKUP($B145,INDIRECT("'GRD-"&amp;CN$11&amp;"'!B:R"),15,FALSE),"")</f>
        <v/>
      </c>
      <c r="CO145" s="96">
        <f>IFERROR(VLOOKUP($B145,INDIRECT("'GRD-"&amp;CO$11&amp;"'!B:R"),15,FALSE),"")</f>
        <v/>
      </c>
      <c r="CP145" s="96">
        <f>IFERROR(VLOOKUP($B145,INDIRECT("'GRD-"&amp;CP$11&amp;"'!B:R"),15,FALSE),"")</f>
        <v/>
      </c>
      <c r="CQ145" s="96">
        <f>IFERROR(VLOOKUP($B145,INDIRECT("'GRD-"&amp;CQ$11&amp;"'!B:R"),15,FALSE),"")</f>
        <v/>
      </c>
      <c r="CR145" s="96">
        <f>IFERROR(VLOOKUP($B145,INDIRECT("'GRD-"&amp;CR$11&amp;"'!B:R"),15,FALSE),"")</f>
        <v/>
      </c>
      <c r="CS145" s="96">
        <f>IFERROR(VLOOKUP($B145,INDIRECT("'GRD-"&amp;CS$11&amp;"'!B:R"),15,FALSE),"")</f>
        <v/>
      </c>
      <c r="CT145" s="96">
        <f>IFERROR(VLOOKUP($B145,INDIRECT("'GRD-"&amp;CT$11&amp;"'!B:R"),15,FALSE),"")</f>
        <v/>
      </c>
      <c r="CU145" s="96">
        <f>IFERROR(VLOOKUP($B145,INDIRECT("'GRD-"&amp;CU$11&amp;"'!B:R"),15,FALSE),"")</f>
        <v/>
      </c>
      <c r="CV145" s="96">
        <f>IFERROR(VLOOKUP($B145,INDIRECT("'GRD-"&amp;CV$11&amp;"'!B:R"),15,FALSE),"")</f>
        <v/>
      </c>
      <c r="CW145" s="96">
        <f>IFERROR(VLOOKUP($B145,INDIRECT("'GRD-"&amp;CW$11&amp;"'!B:R"),15,FALSE),"")</f>
        <v/>
      </c>
      <c r="CX145" s="96">
        <f>IFERROR(VLOOKUP($B145,INDIRECT("'GRD-"&amp;CX$11&amp;"'!B:R"),15,FALSE),"")</f>
        <v/>
      </c>
      <c r="CY145" s="96">
        <f>IFERROR(VLOOKUP($B145,INDIRECT("'GRD-"&amp;CY$11&amp;"'!B:R"),15,FALSE),"")</f>
        <v/>
      </c>
      <c r="CZ145" s="96">
        <f>IFERROR(VLOOKUP($B145,INDIRECT("'GRD-"&amp;CZ$11&amp;"'!B:R"),15,FALSE),"")</f>
        <v/>
      </c>
      <c r="DA145" s="96">
        <f>IFERROR(VLOOKUP($B145,INDIRECT("'GRD-"&amp;DA$11&amp;"'!B:R"),15,FALSE),"")</f>
        <v/>
      </c>
      <c r="DB145" s="96">
        <f>IFERROR(VLOOKUP($B145,INDIRECT("'GRD-"&amp;DB$11&amp;"'!B:R"),15,FALSE),"")</f>
        <v/>
      </c>
      <c r="DC145" s="96">
        <f>IFERROR(VLOOKUP($B145,INDIRECT("'GRD-"&amp;DC$11&amp;"'!B:R"),15,FALSE),"")</f>
        <v/>
      </c>
      <c r="DD145" s="96">
        <f>IFERROR(VLOOKUP($B145,INDIRECT("'GRD-"&amp;DD$11&amp;"'!B:R"),15,FALSE),"")</f>
        <v/>
      </c>
      <c r="DE145" s="96">
        <f>IFERROR(VLOOKUP($B145,INDIRECT("'GRD-"&amp;DE$11&amp;"'!B:R"),15,FALSE),"")</f>
        <v/>
      </c>
      <c r="DF145" s="96">
        <f>IFERROR(VLOOKUP($B145,INDIRECT("'GRD-"&amp;DF$11&amp;"'!B:R"),15,FALSE),"")</f>
        <v/>
      </c>
      <c r="DG145" s="96">
        <f>IFERROR(VLOOKUP($B145,INDIRECT("'GRD-"&amp;DG$11&amp;"'!B:R"),15,FALSE),"")</f>
        <v/>
      </c>
      <c r="DH145" s="96">
        <f>IFERROR(VLOOKUP($B145,INDIRECT("'GRD-"&amp;DH$11&amp;"'!B:R"),15,FALSE),"")</f>
        <v/>
      </c>
      <c r="DI145" s="96">
        <f>IFERROR(VLOOKUP($B145,INDIRECT("'GRD-"&amp;DI$11&amp;"'!B:R"),15,FALSE),"")</f>
        <v/>
      </c>
      <c r="DJ145" s="96">
        <f>IFERROR(VLOOKUP($B145,INDIRECT("'GRD-"&amp;DJ$11&amp;"'!B:R"),15,FALSE),"")</f>
        <v/>
      </c>
      <c r="DK145" s="96">
        <f>IFERROR(VLOOKUP($B145,INDIRECT("'GRD-"&amp;DK$11&amp;"'!B:R"),15,FALSE),"")</f>
        <v/>
      </c>
      <c r="DL145" s="96">
        <f>IFERROR(VLOOKUP($B145,INDIRECT("'GRD-"&amp;DL$11&amp;"'!B:R"),15,FALSE),"")</f>
        <v/>
      </c>
      <c r="DM145" s="96">
        <f>IFERROR(VLOOKUP($B145,INDIRECT("'GRD-"&amp;DM$11&amp;"'!B:R"),15,FALSE),"")</f>
        <v/>
      </c>
      <c r="DN145" s="96">
        <f>IFERROR(VLOOKUP($B145,INDIRECT("'GRD-"&amp;DN$11&amp;"'!B:R"),15,FALSE),"")</f>
        <v/>
      </c>
      <c r="DO145" s="96">
        <f>IFERROR(VLOOKUP($B145,INDIRECT("'GRD-"&amp;DO$11&amp;"'!B:R"),15,FALSE),"")</f>
        <v/>
      </c>
      <c r="DP145" s="96">
        <f>IFERROR(VLOOKUP($B145,INDIRECT("'GRD-"&amp;DP$11&amp;"'!B:R"),15,FALSE),"")</f>
        <v/>
      </c>
      <c r="DQ145" s="96">
        <f>IFERROR(VLOOKUP($B145,INDIRECT("'GRD-"&amp;DQ$11&amp;"'!B:R"),15,FALSE),"")</f>
        <v/>
      </c>
      <c r="DR145" s="96">
        <f>IFERROR(VLOOKUP($B145,INDIRECT("'GRD-"&amp;DR$11&amp;"'!B:R"),15,FALSE),"")</f>
        <v/>
      </c>
      <c r="DS145" s="96">
        <f>IFERROR(VLOOKUP($B145,INDIRECT("'GRD-"&amp;DS$11&amp;"'!B:R"),15,FALSE),"")</f>
        <v/>
      </c>
      <c r="DT145" s="96">
        <f>IFERROR(VLOOKUP($B145,INDIRECT("'GRD-"&amp;DT$11&amp;"'!B:R"),15,FALSE),"")</f>
        <v/>
      </c>
      <c r="DU145" s="96">
        <f>IFERROR(VLOOKUP($B145,INDIRECT("'GRD-"&amp;DU$11&amp;"'!B:R"),15,FALSE),"")</f>
        <v/>
      </c>
      <c r="DV145" s="96">
        <f>IFERROR(VLOOKUP($B145,INDIRECT("'GRD-"&amp;DV$11&amp;"'!B:R"),15,FALSE),"")</f>
        <v/>
      </c>
      <c r="DW145" s="96">
        <f>IFERROR(VLOOKUP($B145,INDIRECT("'GRD-"&amp;DW$11&amp;"'!B:R"),15,FALSE),"")</f>
        <v/>
      </c>
      <c r="DX145" s="96">
        <f>IFERROR(VLOOKUP($B145,INDIRECT("'GRD-"&amp;DX$11&amp;"'!B:R"),15,FALSE),"")</f>
        <v/>
      </c>
      <c r="DY145" s="96">
        <f>IFERROR(VLOOKUP($B145,INDIRECT("'GRD-"&amp;DY$11&amp;"'!B:R"),15,FALSE),"")</f>
        <v/>
      </c>
      <c r="DZ145" s="96">
        <f>IFERROR(VLOOKUP($B145,INDIRECT("'GRD-"&amp;DZ$11&amp;"'!B:R"),15,FALSE),"")</f>
        <v/>
      </c>
      <c r="EA145" s="96">
        <f>IFERROR(VLOOKUP($B145,INDIRECT("'GRD-"&amp;EA$11&amp;"'!B:R"),15,FALSE),"")</f>
        <v/>
      </c>
      <c r="EB145" s="96">
        <f>IFERROR(VLOOKUP($B145,INDIRECT("'GRD-"&amp;EB$11&amp;"'!B:R"),15,FALSE),"")</f>
        <v/>
      </c>
      <c r="EC145" s="96">
        <f>IFERROR(VLOOKUP($B145,INDIRECT("'GRD-"&amp;EC$11&amp;"'!B:R"),15,FALSE),"")</f>
        <v/>
      </c>
      <c r="ED145" s="96">
        <f>IFERROR(VLOOKUP($B145,INDIRECT("'GRD-"&amp;ED$11&amp;"'!B:R"),15,FALSE),"")</f>
        <v/>
      </c>
      <c r="EE145" s="96">
        <f>IFERROR(VLOOKUP($B145,INDIRECT("'GRD-"&amp;EE$11&amp;"'!B:R"),15,FALSE),"")</f>
        <v/>
      </c>
      <c r="EF145" s="96">
        <f>IFERROR(VLOOKUP($B145,INDIRECT("'GRD-"&amp;EF$11&amp;"'!B:R"),15,FALSE),"")</f>
        <v/>
      </c>
      <c r="EG145" s="96">
        <f>IFERROR(VLOOKUP($B145,INDIRECT("'GRD-"&amp;EG$11&amp;"'!B:R"),15,FALSE),"")</f>
        <v/>
      </c>
      <c r="EH145" s="96">
        <f>IFERROR(VLOOKUP($B145,INDIRECT("'GRD-"&amp;EH$11&amp;"'!B:R"),15,FALSE),"")</f>
        <v/>
      </c>
      <c r="EI145" s="96">
        <f>IFERROR(VLOOKUP($B145,INDIRECT("'GRD-"&amp;EI$11&amp;"'!B:R"),15,FALSE),"")</f>
        <v/>
      </c>
      <c r="EJ145" s="96">
        <f>IFERROR(VLOOKUP($B145,INDIRECT("'GRD-"&amp;EJ$11&amp;"'!B:R"),15,FALSE),"")</f>
        <v/>
      </c>
      <c r="EK145" s="96">
        <f>IFERROR(VLOOKUP($B145,INDIRECT("'GRD-"&amp;EK$11&amp;"'!B:R"),15,FALSE),"")</f>
        <v/>
      </c>
      <c r="EL145" s="96">
        <f>IFERROR(VLOOKUP($B145,INDIRECT("'GRD-"&amp;EL$11&amp;"'!B:R"),15,FALSE),"")</f>
        <v/>
      </c>
      <c r="EM145" s="96">
        <f>IFERROR(VLOOKUP($B145,INDIRECT("'GRD-"&amp;EM$11&amp;"'!B:R"),15,FALSE),"")</f>
        <v/>
      </c>
      <c r="EN145" s="96">
        <f>IFERROR(VLOOKUP($B145,INDIRECT("'GRD-"&amp;EN$11&amp;"'!B:R"),15,FALSE),"")</f>
        <v/>
      </c>
      <c r="EO145" s="96">
        <f>IFERROR(VLOOKUP($B145,INDIRECT("'GRD-"&amp;EO$11&amp;"'!B:R"),15,FALSE),"")</f>
        <v/>
      </c>
      <c r="EP145" s="96">
        <f>IFERROR(VLOOKUP($B145,INDIRECT("'GRD-"&amp;EP$11&amp;"'!B:R"),15,FALSE),"")</f>
        <v/>
      </c>
      <c r="EQ145" s="96">
        <f>IFERROR(VLOOKUP($B145,INDIRECT("'GRD-"&amp;EQ$11&amp;"'!B:R"),15,FALSE),"")</f>
        <v/>
      </c>
      <c r="ER145" s="96">
        <f>IFERROR(VLOOKUP($B145,INDIRECT("'GRD-"&amp;ER$11&amp;"'!B:R"),15,FALSE),"")</f>
        <v/>
      </c>
      <c r="ES145" s="96">
        <f>IFERROR(VLOOKUP($B145,INDIRECT("'GRD-"&amp;ES$11&amp;"'!B:R"),15,FALSE),"")</f>
        <v/>
      </c>
      <c r="ET145" s="96">
        <f>IFERROR(VLOOKUP($B145,INDIRECT("'GRD-"&amp;ET$11&amp;"'!B:R"),15,FALSE),"")</f>
        <v/>
      </c>
      <c r="EU145" s="96">
        <f>IFERROR(VLOOKUP($B145,INDIRECT("'GRD-"&amp;EU$11&amp;"'!B:R"),15,FALSE),"")</f>
        <v/>
      </c>
      <c r="EV145" s="96">
        <f>IFERROR(VLOOKUP($B145,INDIRECT("'GRD-"&amp;EV$11&amp;"'!B:R"),15,FALSE),"")</f>
        <v/>
      </c>
      <c r="EW145" s="96">
        <f>IFERROR(VLOOKUP($B145,INDIRECT("'GRD-"&amp;EW$11&amp;"'!B:R"),15,FALSE),"")</f>
        <v/>
      </c>
      <c r="EX145" s="96">
        <f>IFERROR(VLOOKUP($B145,INDIRECT("'GRD-"&amp;EX$11&amp;"'!B:R"),15,FALSE),"")</f>
        <v/>
      </c>
      <c r="EY145" s="96">
        <f>IFERROR(VLOOKUP($B145,INDIRECT("'GRD-"&amp;EY$11&amp;"'!B:R"),15,FALSE),"")</f>
        <v/>
      </c>
      <c r="EZ145" s="96">
        <f>IFERROR(VLOOKUP($B145,INDIRECT("'GRD-"&amp;EZ$11&amp;"'!B:R"),15,FALSE),"")</f>
        <v/>
      </c>
      <c r="FA145" s="96">
        <f>IFERROR(VLOOKUP($B145,INDIRECT("'GRD-"&amp;FA$11&amp;"'!B:R"),15,FALSE),"")</f>
        <v/>
      </c>
      <c r="FB145" s="96">
        <f>IFERROR(VLOOKUP($B145,INDIRECT("'GRD-"&amp;FB$11&amp;"'!B:R"),15,FALSE),"")</f>
        <v/>
      </c>
      <c r="FC145" s="96">
        <f>IFERROR(VLOOKUP($B145,INDIRECT("'GRD-"&amp;FC$11&amp;"'!B:R"),15,FALSE),"")</f>
        <v/>
      </c>
      <c r="FD145" s="96">
        <f>IFERROR(VLOOKUP($B145,INDIRECT("'GRD-"&amp;FD$11&amp;"'!B:R"),15,FALSE),"")</f>
        <v/>
      </c>
      <c r="FE145" s="96">
        <f>IFERROR(VLOOKUP($B145,INDIRECT("'GRD-"&amp;FE$11&amp;"'!B:R"),15,FALSE),"")</f>
        <v/>
      </c>
      <c r="FF145" s="96">
        <f>IFERROR(VLOOKUP($B145,INDIRECT("'GRD-"&amp;FF$11&amp;"'!B:R"),15,FALSE),"")</f>
        <v/>
      </c>
      <c r="FG145" s="96">
        <f>IFERROR(VLOOKUP($B145,INDIRECT("'GRD-"&amp;FG$11&amp;"'!B:R"),15,FALSE),"")</f>
        <v/>
      </c>
      <c r="FH145" s="96">
        <f>IFERROR(VLOOKUP($B145,INDIRECT("'GRD-"&amp;FH$11&amp;"'!B:R"),15,FALSE),"")</f>
        <v/>
      </c>
      <c r="FI145" s="96">
        <f>IFERROR(VLOOKUP($B145,INDIRECT("'GRD-"&amp;FI$11&amp;"'!B:R"),15,FALSE),"")</f>
        <v/>
      </c>
      <c r="FJ145" s="96">
        <f>IFERROR(VLOOKUP($B145,INDIRECT("'GRD-"&amp;FJ$11&amp;"'!B:R"),15,FALSE),"")</f>
        <v/>
      </c>
      <c r="FK145" s="96">
        <f>IFERROR(VLOOKUP($B145,INDIRECT("'GRD-"&amp;FK$11&amp;"'!B:R"),15,FALSE),"")</f>
        <v/>
      </c>
      <c r="FL145" s="96">
        <f>IFERROR(VLOOKUP($B145,INDIRECT("'GRD-"&amp;FL$11&amp;"'!B:R"),15,FALSE),"")</f>
        <v/>
      </c>
      <c r="FM145" s="96">
        <f>IFERROR(VLOOKUP($B145,INDIRECT("'GRD-"&amp;FM$11&amp;"'!B:R"),15,FALSE),"")</f>
        <v/>
      </c>
      <c r="FN145" s="96">
        <f>IFERROR(VLOOKUP($B145,INDIRECT("'GRD-"&amp;FN$11&amp;"'!B:R"),15,FALSE),"")</f>
        <v/>
      </c>
      <c r="FO145" s="96">
        <f>IFERROR(VLOOKUP($B145,INDIRECT("'GRD-"&amp;FO$11&amp;"'!B:R"),15,FALSE),"")</f>
        <v/>
      </c>
      <c r="FP145" s="96">
        <f>IFERROR(VLOOKUP($B145,INDIRECT("'GRD-"&amp;FP$11&amp;"'!B:R"),15,FALSE),"")</f>
        <v/>
      </c>
      <c r="FQ145" s="96">
        <f>IFERROR(VLOOKUP($B145,INDIRECT("'GRD-"&amp;FQ$11&amp;"'!B:R"),15,FALSE),"")</f>
        <v/>
      </c>
      <c r="FR145" s="96">
        <f>IFERROR(VLOOKUP($B145,INDIRECT("'GRD-"&amp;FR$11&amp;"'!B:R"),15,FALSE),"")</f>
        <v/>
      </c>
      <c r="FS145" s="96">
        <f>IFERROR(VLOOKUP($B145,INDIRECT("'GRD-"&amp;FS$11&amp;"'!B:R"),15,FALSE),"")</f>
        <v/>
      </c>
      <c r="FT145" s="96">
        <f>IFERROR(VLOOKUP($B145,INDIRECT("'GRD-"&amp;FT$11&amp;"'!B:R"),15,FALSE),"")</f>
        <v/>
      </c>
      <c r="FU145" s="96">
        <f>IFERROR(VLOOKUP($B145,INDIRECT("'GRD-"&amp;FU$11&amp;"'!B:R"),15,FALSE),"")</f>
        <v/>
      </c>
      <c r="FV145" s="96">
        <f>IFERROR(VLOOKUP($B145,INDIRECT("'GRD-"&amp;FV$11&amp;"'!B:R"),15,FALSE),"")</f>
        <v/>
      </c>
    </row>
    <row r="146">
      <c r="B146" s="85" t="n"/>
      <c r="C146" s="93" t="n"/>
      <c r="D146" s="73">
        <f>IF(K146="","",MAX($CA146:$FV146))</f>
        <v/>
      </c>
      <c r="E146" s="74">
        <f t="array" ref="E146">IF($K146="","",OFFSET($A$1,ROW($B146)-1,11+$D146*4,))</f>
        <v/>
      </c>
      <c r="F146" s="74">
        <f t="array" ref="F146">IF($K146="","",OFFSET($A$1,ROW($B146)-1,12+$D146*4,))</f>
        <v/>
      </c>
      <c r="G146" s="118">
        <f t="array" ref="G146">IF($K146="","",OFFSET($A$1,ROW($B146)-1,13+$D146*4,))</f>
        <v/>
      </c>
      <c r="H146" s="81" t="n"/>
      <c r="I146" s="82" t="n"/>
      <c r="J146" s="75">
        <f>IF(I146="A4",H146/8,IF(I146="A3",H146/4,IF(I146="A2",H146/2,IF(I146="A1",H146/1,IF(I146="A0",H146*2,"")))))</f>
        <v/>
      </c>
      <c r="K146" s="68">
        <f t="array" ref="K146">IFERROR(OFFSET($BZ$11,ROW($B146)-11,MATCH(K$10,$CA146:$FV146,0),),"")</f>
        <v/>
      </c>
      <c r="L146" s="85">
        <f>IF(K146="","",IF(VLOOKUP($B146,INDIRECT("'GRD-"&amp;M146&amp;"'!$B:$R"),16,FALSE)="","",VLOOKUP($B146,INDIRECT("'GRD-"&amp;M146&amp;"'!$B:$R"),16,FALSE)))</f>
        <v/>
      </c>
      <c r="M146" s="130">
        <f t="array" ref="M146">IF(K146="","",IFERROR(OFFSET($BZ$11,0,MATCH($K146,$CA146:$FV146,0),),""))</f>
        <v/>
      </c>
      <c r="N146" s="119">
        <f t="array" ref="N146">IF(K146="","",INDIRECT("'GRD-"&amp;M146&amp;"'!$L$7"))</f>
        <v/>
      </c>
      <c r="O146" s="76">
        <f t="array" ref="O146">IFERROR(OFFSET($BZ$11,ROW($B146)-11,MATCH(O$10,$CA146:$FV146,0),),"")</f>
        <v/>
      </c>
      <c r="P146" s="76">
        <f>IF(O146="","",IF(VLOOKUP($B146,INDIRECT("'GRD-"&amp;Q146&amp;"'!$B:$R"),16,FALSE)="","",VLOOKUP($B146,INDIRECT("'GRD-"&amp;Q146&amp;"'!$B:$R"),16,FALSE)))</f>
        <v/>
      </c>
      <c r="Q146" s="132">
        <f t="array" ref="Q146">IF(O146="","",IFERROR(OFFSET($BZ$11,0,MATCH($O146,$CA146:$FV146,0),),""))</f>
        <v/>
      </c>
      <c r="R146" s="121">
        <f t="array" ref="R146">IF(O146="","",INDIRECT("'GRD-"&amp;Q146&amp;"'!$L$7"))</f>
        <v/>
      </c>
      <c r="S146" s="83">
        <f t="array" ref="S146">IFERROR(OFFSET($BZ$11,ROW($B146)-11,MATCH(S$10,$CA146:$FV146,0),),"")</f>
        <v/>
      </c>
      <c r="T146" s="83">
        <f>IF(S146="","",IF(VLOOKUP($B146,INDIRECT("'GRD-"&amp;U146&amp;"'!$B:$R"),16,FALSE)="","",VLOOKUP($B146,INDIRECT("'GRD-"&amp;U146&amp;"'!$B:$R"),16,FALSE)))</f>
        <v/>
      </c>
      <c r="U146" s="128">
        <f t="array" ref="U146">IF(S146="","",IFERROR(OFFSET($BZ$11,0,MATCH($S146,$CA146:$FV146,0),),""))</f>
        <v/>
      </c>
      <c r="V146" s="133">
        <f t="array" ref="V146">IF(S146="","",INDIRECT("'GRD-"&amp;U146&amp;"'!$L$7"))</f>
        <v/>
      </c>
      <c r="W146" s="84">
        <f t="array" ref="W146">IFERROR(OFFSET($BZ$11,ROW($B146)-11,MATCH(W$10,$CA146:$FV146,0),),"")</f>
        <v/>
      </c>
      <c r="X146" s="84">
        <f>IF(W146="","",IF(VLOOKUP($B146,INDIRECT("'GRD-"&amp;Y146&amp;"'!$B:$R"),16,FALSE)="","",VLOOKUP($B146,INDIRECT("'GRD-"&amp;Y146&amp;"'!$B:$R"),16,FALSE)))</f>
        <v/>
      </c>
      <c r="Y146" s="129">
        <f t="array" ref="Y146">IF(W146="","",IFERROR(OFFSET($BZ$11,0,MATCH($W146,$CA146:$FV146,0),),""))</f>
        <v/>
      </c>
      <c r="Z146" s="134">
        <f t="array" ref="Z146">IF(W146="","",INDIRECT("'GRD-"&amp;Y146&amp;"'!$L$7"))</f>
        <v/>
      </c>
      <c r="AA146" s="85">
        <f t="array" ref="AA146">IFERROR(OFFSET($BZ$11,ROW($B146)-11,MATCH(AA$10,$CA146:$FV146,0),),"")</f>
        <v/>
      </c>
      <c r="AB146" s="85">
        <f>IF(AA146="","",IF(VLOOKUP($B146,INDIRECT("'GRD-"&amp;AC146&amp;"'!$B:$R"),16,FALSE)="","",VLOOKUP($B146,INDIRECT("'GRD-"&amp;AC146&amp;"'!$B:$R"),16,FALSE)))</f>
        <v/>
      </c>
      <c r="AC146" s="130">
        <f t="array" ref="AC146">IF(AA146="","",IFERROR(OFFSET($BZ$11,0,MATCH($AA146,$CA146:$FV146,0),),""))</f>
        <v/>
      </c>
      <c r="AD146" s="131">
        <f t="array" ref="AD146">IF(AA146="","",INDIRECT("'GRD-"&amp;AC146&amp;"'!$L$7"))</f>
        <v/>
      </c>
      <c r="AE146" s="76">
        <f t="array" ref="AE146">IFERROR(OFFSET($BZ$11,ROW($B146)-11,MATCH(AE$10,$CA146:$FV146,0),),"")</f>
        <v/>
      </c>
      <c r="AF146" s="76">
        <f>IF(AE146="","",IF(VLOOKUP($B146,INDIRECT("'GRD-"&amp;AG146&amp;"'!$B:$R"),16,FALSE)="","",VLOOKUP($B146,INDIRECT("'GRD-"&amp;AG146&amp;"'!$B:$R"),16,FALSE)))</f>
        <v/>
      </c>
      <c r="AG146" s="132">
        <f t="array" ref="AG146">IF(AE146="","",IFERROR(OFFSET($BZ$11,0,MATCH($AE146,$CA146:$FV146,0),),""))</f>
        <v/>
      </c>
      <c r="AH146" s="121">
        <f t="array" ref="AH146">IF(AE146="","",INDIRECT("'GRD-"&amp;AG146&amp;"'!$L$7"))</f>
        <v/>
      </c>
      <c r="AI146" s="83">
        <f t="array" ref="AI146">IFERROR(OFFSET($BZ$11,ROW($B146)-11,MATCH(AI$10,$CA146:$FV146,0),),"")</f>
        <v/>
      </c>
      <c r="AJ146" s="83">
        <f>IF(AI146="","",IF(VLOOKUP($B146,INDIRECT("'GRD-"&amp;AK146&amp;"'!$B:$R"),16,FALSE)="","",VLOOKUP($B146,INDIRECT("'GRD-"&amp;AK146&amp;"'!$B:$R"),16,FALSE)))</f>
        <v/>
      </c>
      <c r="AK146" s="128">
        <f t="array" ref="AK146">IF(AI146="","",IFERROR(OFFSET($BZ$11,0,MATCH($AI146,$CA146:$FV146,0),),""))</f>
        <v/>
      </c>
      <c r="AL146" s="133">
        <f t="array" ref="AL146">IF(AI146="","",INDIRECT("'GRD-"&amp;AK146&amp;"'!$L$7"))</f>
        <v/>
      </c>
      <c r="AM146" s="84">
        <f t="array" ref="AM146">IFERROR(OFFSET($BZ$11,ROW($B146)-11,MATCH(AM$10,$CA146:$FV146,0),),"")</f>
        <v/>
      </c>
      <c r="AN146" s="84">
        <f>IF(AM146="","",IF(VLOOKUP($B146,INDIRECT("'GRD-"&amp;AO146&amp;"'!$B:$R"),16,FALSE)="","",VLOOKUP($B146,INDIRECT("'GRD-"&amp;AO146&amp;"'!$B:$R"),16,FALSE)))</f>
        <v/>
      </c>
      <c r="AO146" s="129">
        <f t="array" ref="AO146">IF(AM146="","",IFERROR(OFFSET($BZ$11,0,MATCH($AM146,$CA146:$FV146,0),),""))</f>
        <v/>
      </c>
      <c r="AP146" s="134">
        <f t="array" ref="AP146">IF(AM146="","",INDIRECT("'GRD-"&amp;AO146&amp;"'!$L$7"))</f>
        <v/>
      </c>
      <c r="AQ146" s="85">
        <f t="array" ref="AQ146">IFERROR(OFFSET($BZ$11,ROW($B146)-11,MATCH(AQ$10,$CA146:$FV146,0),),"")</f>
        <v/>
      </c>
      <c r="AR146" s="85">
        <f>IF(AQ146="","",IF(VLOOKUP($B146,INDIRECT("'GRD-"&amp;AS146&amp;"'!$B:$R"),16,FALSE)="","",VLOOKUP($B146,INDIRECT("'GRD-"&amp;AS146&amp;"'!$B:$R"),16,FALSE)))</f>
        <v/>
      </c>
      <c r="AS146" s="130">
        <f t="array" ref="AS146">IF(AQ146="","",IFERROR(OFFSET($BZ$11,0,MATCH($AQ146,$CA146:$FV146,0),),""))</f>
        <v/>
      </c>
      <c r="AT146" s="131">
        <f t="array" ref="AT146">IF(AQ146="","",INDIRECT("'GRD-"&amp;AS146&amp;"'!$L$7"))</f>
        <v/>
      </c>
      <c r="AU146" s="76">
        <f t="array" ref="AU146">IFERROR(OFFSET($BZ$11,ROW($B146)-11,MATCH(AU$10,$CA146:$FV146,0),),"")</f>
        <v/>
      </c>
      <c r="AV146" s="76">
        <f>IF(AU146="","",IF(VLOOKUP($B146,INDIRECT("'GRD-"&amp;AW146&amp;"'!$B:$R"),16,FALSE)="","",VLOOKUP($B146,INDIRECT("'GRD-"&amp;AW146&amp;"'!$B:$R"),16,FALSE)))</f>
        <v/>
      </c>
      <c r="AW146" s="132">
        <f t="array" ref="AW146">IF(AU146="","",IFERROR(OFFSET($BZ$11,0,MATCH($AU146,$CA146:$FV146,0),),""))</f>
        <v/>
      </c>
      <c r="AX146" s="121">
        <f t="array" ref="AX146">IF(AU146="","",INDIRECT("'GRD-"&amp;AW146&amp;"'!$L$7"))</f>
        <v/>
      </c>
      <c r="AY146" s="83">
        <f t="array" ref="AY146">IFERROR(OFFSET($BZ$11,ROW($B146)-11,MATCH(AY$10,$CA146:$FV146,0),),"")</f>
        <v/>
      </c>
      <c r="AZ146" s="83">
        <f>IF(AY146="","",IF(VLOOKUP($B146,INDIRECT("'GRD-"&amp;BA146&amp;"'!$B:$R"),16,FALSE)="","",VLOOKUP($B146,INDIRECT("'GRD-"&amp;BA146&amp;"'!$B:$R"),16,FALSE)))</f>
        <v/>
      </c>
      <c r="BA146" s="128">
        <f t="array" ref="BA146">IF(AY146="","",IFERROR(OFFSET($BZ$11,0,MATCH($AY146,$CA146:$FV146,0),),""))</f>
        <v/>
      </c>
      <c r="BB146" s="133">
        <f t="array" ref="BB146">IF(AY146="","",INDIRECT("'GRD-"&amp;BA146&amp;"'!$L$7"))</f>
        <v/>
      </c>
      <c r="BC146" s="84">
        <f t="array" ref="BC146">IFERROR(OFFSET($BZ$11,ROW($B146)-11,MATCH(BC$10,$CA146:$FV146,0),),"")</f>
        <v/>
      </c>
      <c r="BD146" s="84">
        <f>IF(BC146="","",IF(VLOOKUP($B146,INDIRECT("'GRD-"&amp;BE146&amp;"'!$B:$R"),16,FALSE)="","",VLOOKUP($B146,INDIRECT("'GRD-"&amp;BE146&amp;"'!$B:$R"),16,FALSE)))</f>
        <v/>
      </c>
      <c r="BE146" s="129">
        <f t="array" ref="BE146">IF(BC146="","",IFERROR(OFFSET($BZ$11,0,MATCH($BC146,$CA146:$FV146,0),),""))</f>
        <v/>
      </c>
      <c r="BF146" s="134">
        <f t="array" ref="BF146">IF(BC146="","",INDIRECT("'GRD-"&amp;BE146&amp;"'!$L$7"))</f>
        <v/>
      </c>
      <c r="CA146" s="96">
        <f>IFERROR(VLOOKUP($B146,INDIRECT("'GRD-"&amp;CA$11&amp;"'!B:R"),15,FALSE),"")</f>
        <v/>
      </c>
      <c r="CB146" s="96">
        <f>IFERROR(VLOOKUP($B146,INDIRECT("'GRD-"&amp;CB$11&amp;"'!B:R"),15,FALSE),"")</f>
        <v/>
      </c>
      <c r="CC146" s="96">
        <f>IFERROR(VLOOKUP($B146,INDIRECT("'GRD-"&amp;CC$11&amp;"'!B:R"),15,FALSE),"")</f>
        <v/>
      </c>
      <c r="CD146" s="96">
        <f>IFERROR(VLOOKUP($B146,INDIRECT("'GRD-"&amp;CD$11&amp;"'!B:R"),15,FALSE),"")</f>
        <v/>
      </c>
      <c r="CE146" s="96">
        <f>IFERROR(VLOOKUP($B146,INDIRECT("'GRD-"&amp;CE$11&amp;"'!B:R"),15,FALSE),"")</f>
        <v/>
      </c>
      <c r="CF146" s="96">
        <f>IFERROR(VLOOKUP($B146,INDIRECT("'GRD-"&amp;CF$11&amp;"'!B:R"),15,FALSE),"")</f>
        <v/>
      </c>
      <c r="CG146" s="96">
        <f>IFERROR(VLOOKUP($B146,INDIRECT("'GRD-"&amp;CG$11&amp;"'!B:R"),15,FALSE),"")</f>
        <v/>
      </c>
      <c r="CH146" s="96">
        <f>IFERROR(VLOOKUP($B146,INDIRECT("'GRD-"&amp;CH$11&amp;"'!B:R"),15,FALSE),"")</f>
        <v/>
      </c>
      <c r="CI146" s="96">
        <f>IFERROR(VLOOKUP($B146,INDIRECT("'GRD-"&amp;CI$11&amp;"'!B:R"),15,FALSE),"")</f>
        <v/>
      </c>
      <c r="CJ146" s="96">
        <f>IFERROR(VLOOKUP($B146,INDIRECT("'GRD-"&amp;CJ$11&amp;"'!B:R"),15,FALSE),"")</f>
        <v/>
      </c>
      <c r="CK146" s="96">
        <f>IFERROR(VLOOKUP($B146,INDIRECT("'GRD-"&amp;CK$11&amp;"'!B:R"),15,FALSE),"")</f>
        <v/>
      </c>
      <c r="CL146" s="96">
        <f>IFERROR(VLOOKUP($B146,INDIRECT("'GRD-"&amp;CL$11&amp;"'!B:R"),15,FALSE),"")</f>
        <v/>
      </c>
      <c r="CM146" s="96">
        <f>IFERROR(VLOOKUP($B146,INDIRECT("'GRD-"&amp;CM$11&amp;"'!B:R"),15,FALSE),"")</f>
        <v/>
      </c>
      <c r="CN146" s="96">
        <f>IFERROR(VLOOKUP($B146,INDIRECT("'GRD-"&amp;CN$11&amp;"'!B:R"),15,FALSE),"")</f>
        <v/>
      </c>
      <c r="CO146" s="96">
        <f>IFERROR(VLOOKUP($B146,INDIRECT("'GRD-"&amp;CO$11&amp;"'!B:R"),15,FALSE),"")</f>
        <v/>
      </c>
      <c r="CP146" s="96">
        <f>IFERROR(VLOOKUP($B146,INDIRECT("'GRD-"&amp;CP$11&amp;"'!B:R"),15,FALSE),"")</f>
        <v/>
      </c>
      <c r="CQ146" s="96">
        <f>IFERROR(VLOOKUP($B146,INDIRECT("'GRD-"&amp;CQ$11&amp;"'!B:R"),15,FALSE),"")</f>
        <v/>
      </c>
      <c r="CR146" s="96">
        <f>IFERROR(VLOOKUP($B146,INDIRECT("'GRD-"&amp;CR$11&amp;"'!B:R"),15,FALSE),"")</f>
        <v/>
      </c>
      <c r="CS146" s="96">
        <f>IFERROR(VLOOKUP($B146,INDIRECT("'GRD-"&amp;CS$11&amp;"'!B:R"),15,FALSE),"")</f>
        <v/>
      </c>
      <c r="CT146" s="96">
        <f>IFERROR(VLOOKUP($B146,INDIRECT("'GRD-"&amp;CT$11&amp;"'!B:R"),15,FALSE),"")</f>
        <v/>
      </c>
      <c r="CU146" s="96">
        <f>IFERROR(VLOOKUP($B146,INDIRECT("'GRD-"&amp;CU$11&amp;"'!B:R"),15,FALSE),"")</f>
        <v/>
      </c>
      <c r="CV146" s="96">
        <f>IFERROR(VLOOKUP($B146,INDIRECT("'GRD-"&amp;CV$11&amp;"'!B:R"),15,FALSE),"")</f>
        <v/>
      </c>
      <c r="CW146" s="96">
        <f>IFERROR(VLOOKUP($B146,INDIRECT("'GRD-"&amp;CW$11&amp;"'!B:R"),15,FALSE),"")</f>
        <v/>
      </c>
      <c r="CX146" s="96">
        <f>IFERROR(VLOOKUP($B146,INDIRECT("'GRD-"&amp;CX$11&amp;"'!B:R"),15,FALSE),"")</f>
        <v/>
      </c>
      <c r="CY146" s="96">
        <f>IFERROR(VLOOKUP($B146,INDIRECT("'GRD-"&amp;CY$11&amp;"'!B:R"),15,FALSE),"")</f>
        <v/>
      </c>
      <c r="CZ146" s="96">
        <f>IFERROR(VLOOKUP($B146,INDIRECT("'GRD-"&amp;CZ$11&amp;"'!B:R"),15,FALSE),"")</f>
        <v/>
      </c>
      <c r="DA146" s="96">
        <f>IFERROR(VLOOKUP($B146,INDIRECT("'GRD-"&amp;DA$11&amp;"'!B:R"),15,FALSE),"")</f>
        <v/>
      </c>
      <c r="DB146" s="96">
        <f>IFERROR(VLOOKUP($B146,INDIRECT("'GRD-"&amp;DB$11&amp;"'!B:R"),15,FALSE),"")</f>
        <v/>
      </c>
      <c r="DC146" s="96">
        <f>IFERROR(VLOOKUP($B146,INDIRECT("'GRD-"&amp;DC$11&amp;"'!B:R"),15,FALSE),"")</f>
        <v/>
      </c>
      <c r="DD146" s="96">
        <f>IFERROR(VLOOKUP($B146,INDIRECT("'GRD-"&amp;DD$11&amp;"'!B:R"),15,FALSE),"")</f>
        <v/>
      </c>
      <c r="DE146" s="96">
        <f>IFERROR(VLOOKUP($B146,INDIRECT("'GRD-"&amp;DE$11&amp;"'!B:R"),15,FALSE),"")</f>
        <v/>
      </c>
      <c r="DF146" s="96">
        <f>IFERROR(VLOOKUP($B146,INDIRECT("'GRD-"&amp;DF$11&amp;"'!B:R"),15,FALSE),"")</f>
        <v/>
      </c>
      <c r="DG146" s="96">
        <f>IFERROR(VLOOKUP($B146,INDIRECT("'GRD-"&amp;DG$11&amp;"'!B:R"),15,FALSE),"")</f>
        <v/>
      </c>
      <c r="DH146" s="96">
        <f>IFERROR(VLOOKUP($B146,INDIRECT("'GRD-"&amp;DH$11&amp;"'!B:R"),15,FALSE),"")</f>
        <v/>
      </c>
      <c r="DI146" s="96">
        <f>IFERROR(VLOOKUP($B146,INDIRECT("'GRD-"&amp;DI$11&amp;"'!B:R"),15,FALSE),"")</f>
        <v/>
      </c>
      <c r="DJ146" s="96">
        <f>IFERROR(VLOOKUP($B146,INDIRECT("'GRD-"&amp;DJ$11&amp;"'!B:R"),15,FALSE),"")</f>
        <v/>
      </c>
      <c r="DK146" s="96">
        <f>IFERROR(VLOOKUP($B146,INDIRECT("'GRD-"&amp;DK$11&amp;"'!B:R"),15,FALSE),"")</f>
        <v/>
      </c>
      <c r="DL146" s="96">
        <f>IFERROR(VLOOKUP($B146,INDIRECT("'GRD-"&amp;DL$11&amp;"'!B:R"),15,FALSE),"")</f>
        <v/>
      </c>
      <c r="DM146" s="96">
        <f>IFERROR(VLOOKUP($B146,INDIRECT("'GRD-"&amp;DM$11&amp;"'!B:R"),15,FALSE),"")</f>
        <v/>
      </c>
      <c r="DN146" s="96">
        <f>IFERROR(VLOOKUP($B146,INDIRECT("'GRD-"&amp;DN$11&amp;"'!B:R"),15,FALSE),"")</f>
        <v/>
      </c>
      <c r="DO146" s="96">
        <f>IFERROR(VLOOKUP($B146,INDIRECT("'GRD-"&amp;DO$11&amp;"'!B:R"),15,FALSE),"")</f>
        <v/>
      </c>
      <c r="DP146" s="96">
        <f>IFERROR(VLOOKUP($B146,INDIRECT("'GRD-"&amp;DP$11&amp;"'!B:R"),15,FALSE),"")</f>
        <v/>
      </c>
      <c r="DQ146" s="96">
        <f>IFERROR(VLOOKUP($B146,INDIRECT("'GRD-"&amp;DQ$11&amp;"'!B:R"),15,FALSE),"")</f>
        <v/>
      </c>
      <c r="DR146" s="96">
        <f>IFERROR(VLOOKUP($B146,INDIRECT("'GRD-"&amp;DR$11&amp;"'!B:R"),15,FALSE),"")</f>
        <v/>
      </c>
      <c r="DS146" s="96">
        <f>IFERROR(VLOOKUP($B146,INDIRECT("'GRD-"&amp;DS$11&amp;"'!B:R"),15,FALSE),"")</f>
        <v/>
      </c>
      <c r="DT146" s="96">
        <f>IFERROR(VLOOKUP($B146,INDIRECT("'GRD-"&amp;DT$11&amp;"'!B:R"),15,FALSE),"")</f>
        <v/>
      </c>
      <c r="DU146" s="96">
        <f>IFERROR(VLOOKUP($B146,INDIRECT("'GRD-"&amp;DU$11&amp;"'!B:R"),15,FALSE),"")</f>
        <v/>
      </c>
      <c r="DV146" s="96">
        <f>IFERROR(VLOOKUP($B146,INDIRECT("'GRD-"&amp;DV$11&amp;"'!B:R"),15,FALSE),"")</f>
        <v/>
      </c>
      <c r="DW146" s="96">
        <f>IFERROR(VLOOKUP($B146,INDIRECT("'GRD-"&amp;DW$11&amp;"'!B:R"),15,FALSE),"")</f>
        <v/>
      </c>
      <c r="DX146" s="96">
        <f>IFERROR(VLOOKUP($B146,INDIRECT("'GRD-"&amp;DX$11&amp;"'!B:R"),15,FALSE),"")</f>
        <v/>
      </c>
      <c r="DY146" s="96">
        <f>IFERROR(VLOOKUP($B146,INDIRECT("'GRD-"&amp;DY$11&amp;"'!B:R"),15,FALSE),"")</f>
        <v/>
      </c>
      <c r="DZ146" s="96">
        <f>IFERROR(VLOOKUP($B146,INDIRECT("'GRD-"&amp;DZ$11&amp;"'!B:R"),15,FALSE),"")</f>
        <v/>
      </c>
      <c r="EA146" s="96">
        <f>IFERROR(VLOOKUP($B146,INDIRECT("'GRD-"&amp;EA$11&amp;"'!B:R"),15,FALSE),"")</f>
        <v/>
      </c>
      <c r="EB146" s="96">
        <f>IFERROR(VLOOKUP($B146,INDIRECT("'GRD-"&amp;EB$11&amp;"'!B:R"),15,FALSE),"")</f>
        <v/>
      </c>
      <c r="EC146" s="96">
        <f>IFERROR(VLOOKUP($B146,INDIRECT("'GRD-"&amp;EC$11&amp;"'!B:R"),15,FALSE),"")</f>
        <v/>
      </c>
      <c r="ED146" s="96">
        <f>IFERROR(VLOOKUP($B146,INDIRECT("'GRD-"&amp;ED$11&amp;"'!B:R"),15,FALSE),"")</f>
        <v/>
      </c>
      <c r="EE146" s="96">
        <f>IFERROR(VLOOKUP($B146,INDIRECT("'GRD-"&amp;EE$11&amp;"'!B:R"),15,FALSE),"")</f>
        <v/>
      </c>
      <c r="EF146" s="96">
        <f>IFERROR(VLOOKUP($B146,INDIRECT("'GRD-"&amp;EF$11&amp;"'!B:R"),15,FALSE),"")</f>
        <v/>
      </c>
      <c r="EG146" s="96">
        <f>IFERROR(VLOOKUP($B146,INDIRECT("'GRD-"&amp;EG$11&amp;"'!B:R"),15,FALSE),"")</f>
        <v/>
      </c>
      <c r="EH146" s="96">
        <f>IFERROR(VLOOKUP($B146,INDIRECT("'GRD-"&amp;EH$11&amp;"'!B:R"),15,FALSE),"")</f>
        <v/>
      </c>
      <c r="EI146" s="96">
        <f>IFERROR(VLOOKUP($B146,INDIRECT("'GRD-"&amp;EI$11&amp;"'!B:R"),15,FALSE),"")</f>
        <v/>
      </c>
      <c r="EJ146" s="96">
        <f>IFERROR(VLOOKUP($B146,INDIRECT("'GRD-"&amp;EJ$11&amp;"'!B:R"),15,FALSE),"")</f>
        <v/>
      </c>
      <c r="EK146" s="96">
        <f>IFERROR(VLOOKUP($B146,INDIRECT("'GRD-"&amp;EK$11&amp;"'!B:R"),15,FALSE),"")</f>
        <v/>
      </c>
      <c r="EL146" s="96">
        <f>IFERROR(VLOOKUP($B146,INDIRECT("'GRD-"&amp;EL$11&amp;"'!B:R"),15,FALSE),"")</f>
        <v/>
      </c>
      <c r="EM146" s="96">
        <f>IFERROR(VLOOKUP($B146,INDIRECT("'GRD-"&amp;EM$11&amp;"'!B:R"),15,FALSE),"")</f>
        <v/>
      </c>
      <c r="EN146" s="96">
        <f>IFERROR(VLOOKUP($B146,INDIRECT("'GRD-"&amp;EN$11&amp;"'!B:R"),15,FALSE),"")</f>
        <v/>
      </c>
      <c r="EO146" s="96">
        <f>IFERROR(VLOOKUP($B146,INDIRECT("'GRD-"&amp;EO$11&amp;"'!B:R"),15,FALSE),"")</f>
        <v/>
      </c>
      <c r="EP146" s="96">
        <f>IFERROR(VLOOKUP($B146,INDIRECT("'GRD-"&amp;EP$11&amp;"'!B:R"),15,FALSE),"")</f>
        <v/>
      </c>
      <c r="EQ146" s="96">
        <f>IFERROR(VLOOKUP($B146,INDIRECT("'GRD-"&amp;EQ$11&amp;"'!B:R"),15,FALSE),"")</f>
        <v/>
      </c>
      <c r="ER146" s="96">
        <f>IFERROR(VLOOKUP($B146,INDIRECT("'GRD-"&amp;ER$11&amp;"'!B:R"),15,FALSE),"")</f>
        <v/>
      </c>
      <c r="ES146" s="96">
        <f>IFERROR(VLOOKUP($B146,INDIRECT("'GRD-"&amp;ES$11&amp;"'!B:R"),15,FALSE),"")</f>
        <v/>
      </c>
      <c r="ET146" s="96">
        <f>IFERROR(VLOOKUP($B146,INDIRECT("'GRD-"&amp;ET$11&amp;"'!B:R"),15,FALSE),"")</f>
        <v/>
      </c>
      <c r="EU146" s="96">
        <f>IFERROR(VLOOKUP($B146,INDIRECT("'GRD-"&amp;EU$11&amp;"'!B:R"),15,FALSE),"")</f>
        <v/>
      </c>
      <c r="EV146" s="96">
        <f>IFERROR(VLOOKUP($B146,INDIRECT("'GRD-"&amp;EV$11&amp;"'!B:R"),15,FALSE),"")</f>
        <v/>
      </c>
      <c r="EW146" s="96">
        <f>IFERROR(VLOOKUP($B146,INDIRECT("'GRD-"&amp;EW$11&amp;"'!B:R"),15,FALSE),"")</f>
        <v/>
      </c>
      <c r="EX146" s="96">
        <f>IFERROR(VLOOKUP($B146,INDIRECT("'GRD-"&amp;EX$11&amp;"'!B:R"),15,FALSE),"")</f>
        <v/>
      </c>
      <c r="EY146" s="96">
        <f>IFERROR(VLOOKUP($B146,INDIRECT("'GRD-"&amp;EY$11&amp;"'!B:R"),15,FALSE),"")</f>
        <v/>
      </c>
      <c r="EZ146" s="96">
        <f>IFERROR(VLOOKUP($B146,INDIRECT("'GRD-"&amp;EZ$11&amp;"'!B:R"),15,FALSE),"")</f>
        <v/>
      </c>
      <c r="FA146" s="96">
        <f>IFERROR(VLOOKUP($B146,INDIRECT("'GRD-"&amp;FA$11&amp;"'!B:R"),15,FALSE),"")</f>
        <v/>
      </c>
      <c r="FB146" s="96">
        <f>IFERROR(VLOOKUP($B146,INDIRECT("'GRD-"&amp;FB$11&amp;"'!B:R"),15,FALSE),"")</f>
        <v/>
      </c>
      <c r="FC146" s="96">
        <f>IFERROR(VLOOKUP($B146,INDIRECT("'GRD-"&amp;FC$11&amp;"'!B:R"),15,FALSE),"")</f>
        <v/>
      </c>
      <c r="FD146" s="96">
        <f>IFERROR(VLOOKUP($B146,INDIRECT("'GRD-"&amp;FD$11&amp;"'!B:R"),15,FALSE),"")</f>
        <v/>
      </c>
      <c r="FE146" s="96">
        <f>IFERROR(VLOOKUP($B146,INDIRECT("'GRD-"&amp;FE$11&amp;"'!B:R"),15,FALSE),"")</f>
        <v/>
      </c>
      <c r="FF146" s="96">
        <f>IFERROR(VLOOKUP($B146,INDIRECT("'GRD-"&amp;FF$11&amp;"'!B:R"),15,FALSE),"")</f>
        <v/>
      </c>
      <c r="FG146" s="96">
        <f>IFERROR(VLOOKUP($B146,INDIRECT("'GRD-"&amp;FG$11&amp;"'!B:R"),15,FALSE),"")</f>
        <v/>
      </c>
      <c r="FH146" s="96">
        <f>IFERROR(VLOOKUP($B146,INDIRECT("'GRD-"&amp;FH$11&amp;"'!B:R"),15,FALSE),"")</f>
        <v/>
      </c>
      <c r="FI146" s="96">
        <f>IFERROR(VLOOKUP($B146,INDIRECT("'GRD-"&amp;FI$11&amp;"'!B:R"),15,FALSE),"")</f>
        <v/>
      </c>
      <c r="FJ146" s="96">
        <f>IFERROR(VLOOKUP($B146,INDIRECT("'GRD-"&amp;FJ$11&amp;"'!B:R"),15,FALSE),"")</f>
        <v/>
      </c>
      <c r="FK146" s="96">
        <f>IFERROR(VLOOKUP($B146,INDIRECT("'GRD-"&amp;FK$11&amp;"'!B:R"),15,FALSE),"")</f>
        <v/>
      </c>
      <c r="FL146" s="96">
        <f>IFERROR(VLOOKUP($B146,INDIRECT("'GRD-"&amp;FL$11&amp;"'!B:R"),15,FALSE),"")</f>
        <v/>
      </c>
      <c r="FM146" s="96">
        <f>IFERROR(VLOOKUP($B146,INDIRECT("'GRD-"&amp;FM$11&amp;"'!B:R"),15,FALSE),"")</f>
        <v/>
      </c>
      <c r="FN146" s="96">
        <f>IFERROR(VLOOKUP($B146,INDIRECT("'GRD-"&amp;FN$11&amp;"'!B:R"),15,FALSE),"")</f>
        <v/>
      </c>
      <c r="FO146" s="96">
        <f>IFERROR(VLOOKUP($B146,INDIRECT("'GRD-"&amp;FO$11&amp;"'!B:R"),15,FALSE),"")</f>
        <v/>
      </c>
      <c r="FP146" s="96">
        <f>IFERROR(VLOOKUP($B146,INDIRECT("'GRD-"&amp;FP$11&amp;"'!B:R"),15,FALSE),"")</f>
        <v/>
      </c>
      <c r="FQ146" s="96">
        <f>IFERROR(VLOOKUP($B146,INDIRECT("'GRD-"&amp;FQ$11&amp;"'!B:R"),15,FALSE),"")</f>
        <v/>
      </c>
      <c r="FR146" s="96">
        <f>IFERROR(VLOOKUP($B146,INDIRECT("'GRD-"&amp;FR$11&amp;"'!B:R"),15,FALSE),"")</f>
        <v/>
      </c>
      <c r="FS146" s="96">
        <f>IFERROR(VLOOKUP($B146,INDIRECT("'GRD-"&amp;FS$11&amp;"'!B:R"),15,FALSE),"")</f>
        <v/>
      </c>
      <c r="FT146" s="96">
        <f>IFERROR(VLOOKUP($B146,INDIRECT("'GRD-"&amp;FT$11&amp;"'!B:R"),15,FALSE),"")</f>
        <v/>
      </c>
      <c r="FU146" s="96">
        <f>IFERROR(VLOOKUP($B146,INDIRECT("'GRD-"&amp;FU$11&amp;"'!B:R"),15,FALSE),"")</f>
        <v/>
      </c>
      <c r="FV146" s="96">
        <f>IFERROR(VLOOKUP($B146,INDIRECT("'GRD-"&amp;FV$11&amp;"'!B:R"),15,FALSE),"")</f>
        <v/>
      </c>
    </row>
    <row r="147">
      <c r="B147" s="85" t="n"/>
      <c r="C147" s="93" t="n"/>
      <c r="D147" s="73">
        <f>IF(K147="","",MAX($CA147:$FV147))</f>
        <v/>
      </c>
      <c r="E147" s="74">
        <f t="array" ref="E147">IF($K147="","",OFFSET($A$1,ROW($B147)-1,11+$D147*4,))</f>
        <v/>
      </c>
      <c r="F147" s="74">
        <f t="array" ref="F147">IF($K147="","",OFFSET($A$1,ROW($B147)-1,12+$D147*4,))</f>
        <v/>
      </c>
      <c r="G147" s="118">
        <f t="array" ref="G147">IF($K147="","",OFFSET($A$1,ROW($B147)-1,13+$D147*4,))</f>
        <v/>
      </c>
      <c r="H147" s="81" t="n"/>
      <c r="I147" s="82" t="n"/>
      <c r="J147" s="75">
        <f>IF(I147="A4",H147/8,IF(I147="A3",H147/4,IF(I147="A2",H147/2,IF(I147="A1",H147/1,IF(I147="A0",H147*2,"")))))</f>
        <v/>
      </c>
      <c r="K147" s="68">
        <f t="array" ref="K147">IFERROR(OFFSET($BZ$11,ROW($B147)-11,MATCH(K$10,$CA147:$FV147,0),),"")</f>
        <v/>
      </c>
      <c r="L147" s="85">
        <f>IF(K147="","",IF(VLOOKUP($B147,INDIRECT("'GRD-"&amp;M147&amp;"'!$B:$R"),16,FALSE)="","",VLOOKUP($B147,INDIRECT("'GRD-"&amp;M147&amp;"'!$B:$R"),16,FALSE)))</f>
        <v/>
      </c>
      <c r="M147" s="130">
        <f t="array" ref="M147">IF(K147="","",IFERROR(OFFSET($BZ$11,0,MATCH($K147,$CA147:$FV147,0),),""))</f>
        <v/>
      </c>
      <c r="N147" s="119">
        <f t="array" ref="N147">IF(K147="","",INDIRECT("'GRD-"&amp;M147&amp;"'!$L$7"))</f>
        <v/>
      </c>
      <c r="O147" s="76">
        <f t="array" ref="O147">IFERROR(OFFSET($BZ$11,ROW($B147)-11,MATCH(O$10,$CA147:$FV147,0),),"")</f>
        <v/>
      </c>
      <c r="P147" s="76">
        <f>IF(O147="","",IF(VLOOKUP($B147,INDIRECT("'GRD-"&amp;Q147&amp;"'!$B:$R"),16,FALSE)="","",VLOOKUP($B147,INDIRECT("'GRD-"&amp;Q147&amp;"'!$B:$R"),16,FALSE)))</f>
        <v/>
      </c>
      <c r="Q147" s="132">
        <f t="array" ref="Q147">IF(O147="","",IFERROR(OFFSET($BZ$11,0,MATCH($O147,$CA147:$FV147,0),),""))</f>
        <v/>
      </c>
      <c r="R147" s="121">
        <f t="array" ref="R147">IF(O147="","",INDIRECT("'GRD-"&amp;Q147&amp;"'!$L$7"))</f>
        <v/>
      </c>
      <c r="S147" s="83">
        <f t="array" ref="S147">IFERROR(OFFSET($BZ$11,ROW($B147)-11,MATCH(S$10,$CA147:$FV147,0),),"")</f>
        <v/>
      </c>
      <c r="T147" s="83">
        <f>IF(S147="","",IF(VLOOKUP($B147,INDIRECT("'GRD-"&amp;U147&amp;"'!$B:$R"),16,FALSE)="","",VLOOKUP($B147,INDIRECT("'GRD-"&amp;U147&amp;"'!$B:$R"),16,FALSE)))</f>
        <v/>
      </c>
      <c r="U147" s="128">
        <f t="array" ref="U147">IF(S147="","",IFERROR(OFFSET($BZ$11,0,MATCH($S147,$CA147:$FV147,0),),""))</f>
        <v/>
      </c>
      <c r="V147" s="133">
        <f t="array" ref="V147">IF(S147="","",INDIRECT("'GRD-"&amp;U147&amp;"'!$L$7"))</f>
        <v/>
      </c>
      <c r="W147" s="84">
        <f t="array" ref="W147">IFERROR(OFFSET($BZ$11,ROW($B147)-11,MATCH(W$10,$CA147:$FV147,0),),"")</f>
        <v/>
      </c>
      <c r="X147" s="84">
        <f>IF(W147="","",IF(VLOOKUP($B147,INDIRECT("'GRD-"&amp;Y147&amp;"'!$B:$R"),16,FALSE)="","",VLOOKUP($B147,INDIRECT("'GRD-"&amp;Y147&amp;"'!$B:$R"),16,FALSE)))</f>
        <v/>
      </c>
      <c r="Y147" s="129">
        <f t="array" ref="Y147">IF(W147="","",IFERROR(OFFSET($BZ$11,0,MATCH($W147,$CA147:$FV147,0),),""))</f>
        <v/>
      </c>
      <c r="Z147" s="134">
        <f t="array" ref="Z147">IF(W147="","",INDIRECT("'GRD-"&amp;Y147&amp;"'!$L$7"))</f>
        <v/>
      </c>
      <c r="AA147" s="85">
        <f t="array" ref="AA147">IFERROR(OFFSET($BZ$11,ROW($B147)-11,MATCH(AA$10,$CA147:$FV147,0),),"")</f>
        <v/>
      </c>
      <c r="AB147" s="85">
        <f>IF(AA147="","",IF(VLOOKUP($B147,INDIRECT("'GRD-"&amp;AC147&amp;"'!$B:$R"),16,FALSE)="","",VLOOKUP($B147,INDIRECT("'GRD-"&amp;AC147&amp;"'!$B:$R"),16,FALSE)))</f>
        <v/>
      </c>
      <c r="AC147" s="130">
        <f t="array" ref="AC147">IF(AA147="","",IFERROR(OFFSET($BZ$11,0,MATCH($AA147,$CA147:$FV147,0),),""))</f>
        <v/>
      </c>
      <c r="AD147" s="131">
        <f t="array" ref="AD147">IF(AA147="","",INDIRECT("'GRD-"&amp;AC147&amp;"'!$L$7"))</f>
        <v/>
      </c>
      <c r="AE147" s="76">
        <f t="array" ref="AE147">IFERROR(OFFSET($BZ$11,ROW($B147)-11,MATCH(AE$10,$CA147:$FV147,0),),"")</f>
        <v/>
      </c>
      <c r="AF147" s="76">
        <f>IF(AE147="","",IF(VLOOKUP($B147,INDIRECT("'GRD-"&amp;AG147&amp;"'!$B:$R"),16,FALSE)="","",VLOOKUP($B147,INDIRECT("'GRD-"&amp;AG147&amp;"'!$B:$R"),16,FALSE)))</f>
        <v/>
      </c>
      <c r="AG147" s="132">
        <f t="array" ref="AG147">IF(AE147="","",IFERROR(OFFSET($BZ$11,0,MATCH($AE147,$CA147:$FV147,0),),""))</f>
        <v/>
      </c>
      <c r="AH147" s="121">
        <f t="array" ref="AH147">IF(AE147="","",INDIRECT("'GRD-"&amp;AG147&amp;"'!$L$7"))</f>
        <v/>
      </c>
      <c r="AI147" s="83">
        <f t="array" ref="AI147">IFERROR(OFFSET($BZ$11,ROW($B147)-11,MATCH(AI$10,$CA147:$FV147,0),),"")</f>
        <v/>
      </c>
      <c r="AJ147" s="83">
        <f>IF(AI147="","",IF(VLOOKUP($B147,INDIRECT("'GRD-"&amp;AK147&amp;"'!$B:$R"),16,FALSE)="","",VLOOKUP($B147,INDIRECT("'GRD-"&amp;AK147&amp;"'!$B:$R"),16,FALSE)))</f>
        <v/>
      </c>
      <c r="AK147" s="128">
        <f t="array" ref="AK147">IF(AI147="","",IFERROR(OFFSET($BZ$11,0,MATCH($AI147,$CA147:$FV147,0),),""))</f>
        <v/>
      </c>
      <c r="AL147" s="133">
        <f t="array" ref="AL147">IF(AI147="","",INDIRECT("'GRD-"&amp;AK147&amp;"'!$L$7"))</f>
        <v/>
      </c>
      <c r="AM147" s="84">
        <f t="array" ref="AM147">IFERROR(OFFSET($BZ$11,ROW($B147)-11,MATCH(AM$10,$CA147:$FV147,0),),"")</f>
        <v/>
      </c>
      <c r="AN147" s="84">
        <f>IF(AM147="","",IF(VLOOKUP($B147,INDIRECT("'GRD-"&amp;AO147&amp;"'!$B:$R"),16,FALSE)="","",VLOOKUP($B147,INDIRECT("'GRD-"&amp;AO147&amp;"'!$B:$R"),16,FALSE)))</f>
        <v/>
      </c>
      <c r="AO147" s="129">
        <f t="array" ref="AO147">IF(AM147="","",IFERROR(OFFSET($BZ$11,0,MATCH($AM147,$CA147:$FV147,0),),""))</f>
        <v/>
      </c>
      <c r="AP147" s="134">
        <f t="array" ref="AP147">IF(AM147="","",INDIRECT("'GRD-"&amp;AO147&amp;"'!$L$7"))</f>
        <v/>
      </c>
      <c r="AQ147" s="85">
        <f t="array" ref="AQ147">IFERROR(OFFSET($BZ$11,ROW($B147)-11,MATCH(AQ$10,$CA147:$FV147,0),),"")</f>
        <v/>
      </c>
      <c r="AR147" s="85">
        <f>IF(AQ147="","",IF(VLOOKUP($B147,INDIRECT("'GRD-"&amp;AS147&amp;"'!$B:$R"),16,FALSE)="","",VLOOKUP($B147,INDIRECT("'GRD-"&amp;AS147&amp;"'!$B:$R"),16,FALSE)))</f>
        <v/>
      </c>
      <c r="AS147" s="130">
        <f t="array" ref="AS147">IF(AQ147="","",IFERROR(OFFSET($BZ$11,0,MATCH($AQ147,$CA147:$FV147,0),),""))</f>
        <v/>
      </c>
      <c r="AT147" s="131">
        <f t="array" ref="AT147">IF(AQ147="","",INDIRECT("'GRD-"&amp;AS147&amp;"'!$L$7"))</f>
        <v/>
      </c>
      <c r="AU147" s="76">
        <f t="array" ref="AU147">IFERROR(OFFSET($BZ$11,ROW($B147)-11,MATCH(AU$10,$CA147:$FV147,0),),"")</f>
        <v/>
      </c>
      <c r="AV147" s="76">
        <f>IF(AU147="","",IF(VLOOKUP($B147,INDIRECT("'GRD-"&amp;AW147&amp;"'!$B:$R"),16,FALSE)="","",VLOOKUP($B147,INDIRECT("'GRD-"&amp;AW147&amp;"'!$B:$R"),16,FALSE)))</f>
        <v/>
      </c>
      <c r="AW147" s="132">
        <f t="array" ref="AW147">IF(AU147="","",IFERROR(OFFSET($BZ$11,0,MATCH($AU147,$CA147:$FV147,0),),""))</f>
        <v/>
      </c>
      <c r="AX147" s="121">
        <f t="array" ref="AX147">IF(AU147="","",INDIRECT("'GRD-"&amp;AW147&amp;"'!$L$7"))</f>
        <v/>
      </c>
      <c r="AY147" s="83">
        <f t="array" ref="AY147">IFERROR(OFFSET($BZ$11,ROW($B147)-11,MATCH(AY$10,$CA147:$FV147,0),),"")</f>
        <v/>
      </c>
      <c r="AZ147" s="83">
        <f>IF(AY147="","",IF(VLOOKUP($B147,INDIRECT("'GRD-"&amp;BA147&amp;"'!$B:$R"),16,FALSE)="","",VLOOKUP($B147,INDIRECT("'GRD-"&amp;BA147&amp;"'!$B:$R"),16,FALSE)))</f>
        <v/>
      </c>
      <c r="BA147" s="128">
        <f t="array" ref="BA147">IF(AY147="","",IFERROR(OFFSET($BZ$11,0,MATCH($AY147,$CA147:$FV147,0),),""))</f>
        <v/>
      </c>
      <c r="BB147" s="133">
        <f t="array" ref="BB147">IF(AY147="","",INDIRECT("'GRD-"&amp;BA147&amp;"'!$L$7"))</f>
        <v/>
      </c>
      <c r="BC147" s="84">
        <f t="array" ref="BC147">IFERROR(OFFSET($BZ$11,ROW($B147)-11,MATCH(BC$10,$CA147:$FV147,0),),"")</f>
        <v/>
      </c>
      <c r="BD147" s="84">
        <f>IF(BC147="","",IF(VLOOKUP($B147,INDIRECT("'GRD-"&amp;BE147&amp;"'!$B:$R"),16,FALSE)="","",VLOOKUP($B147,INDIRECT("'GRD-"&amp;BE147&amp;"'!$B:$R"),16,FALSE)))</f>
        <v/>
      </c>
      <c r="BE147" s="129">
        <f t="array" ref="BE147">IF(BC147="","",IFERROR(OFFSET($BZ$11,0,MATCH($BC147,$CA147:$FV147,0),),""))</f>
        <v/>
      </c>
      <c r="BF147" s="134">
        <f t="array" ref="BF147">IF(BC147="","",INDIRECT("'GRD-"&amp;BE147&amp;"'!$L$7"))</f>
        <v/>
      </c>
      <c r="CA147" s="96">
        <f>IFERROR(VLOOKUP($B147,INDIRECT("'GRD-"&amp;CA$11&amp;"'!B:R"),15,FALSE),"")</f>
        <v/>
      </c>
      <c r="CB147" s="96">
        <f>IFERROR(VLOOKUP($B147,INDIRECT("'GRD-"&amp;CB$11&amp;"'!B:R"),15,FALSE),"")</f>
        <v/>
      </c>
      <c r="CC147" s="96">
        <f>IFERROR(VLOOKUP($B147,INDIRECT("'GRD-"&amp;CC$11&amp;"'!B:R"),15,FALSE),"")</f>
        <v/>
      </c>
      <c r="CD147" s="96">
        <f>IFERROR(VLOOKUP($B147,INDIRECT("'GRD-"&amp;CD$11&amp;"'!B:R"),15,FALSE),"")</f>
        <v/>
      </c>
      <c r="CE147" s="96">
        <f>IFERROR(VLOOKUP($B147,INDIRECT("'GRD-"&amp;CE$11&amp;"'!B:R"),15,FALSE),"")</f>
        <v/>
      </c>
      <c r="CF147" s="96">
        <f>IFERROR(VLOOKUP($B147,INDIRECT("'GRD-"&amp;CF$11&amp;"'!B:R"),15,FALSE),"")</f>
        <v/>
      </c>
      <c r="CG147" s="96">
        <f>IFERROR(VLOOKUP($B147,INDIRECT("'GRD-"&amp;CG$11&amp;"'!B:R"),15,FALSE),"")</f>
        <v/>
      </c>
      <c r="CH147" s="96">
        <f>IFERROR(VLOOKUP($B147,INDIRECT("'GRD-"&amp;CH$11&amp;"'!B:R"),15,FALSE),"")</f>
        <v/>
      </c>
      <c r="CI147" s="96">
        <f>IFERROR(VLOOKUP($B147,INDIRECT("'GRD-"&amp;CI$11&amp;"'!B:R"),15,FALSE),"")</f>
        <v/>
      </c>
      <c r="CJ147" s="96">
        <f>IFERROR(VLOOKUP($B147,INDIRECT("'GRD-"&amp;CJ$11&amp;"'!B:R"),15,FALSE),"")</f>
        <v/>
      </c>
      <c r="CK147" s="96">
        <f>IFERROR(VLOOKUP($B147,INDIRECT("'GRD-"&amp;CK$11&amp;"'!B:R"),15,FALSE),"")</f>
        <v/>
      </c>
      <c r="CL147" s="96">
        <f>IFERROR(VLOOKUP($B147,INDIRECT("'GRD-"&amp;CL$11&amp;"'!B:R"),15,FALSE),"")</f>
        <v/>
      </c>
      <c r="CM147" s="96">
        <f>IFERROR(VLOOKUP($B147,INDIRECT("'GRD-"&amp;CM$11&amp;"'!B:R"),15,FALSE),"")</f>
        <v/>
      </c>
      <c r="CN147" s="96">
        <f>IFERROR(VLOOKUP($B147,INDIRECT("'GRD-"&amp;CN$11&amp;"'!B:R"),15,FALSE),"")</f>
        <v/>
      </c>
      <c r="CO147" s="96">
        <f>IFERROR(VLOOKUP($B147,INDIRECT("'GRD-"&amp;CO$11&amp;"'!B:R"),15,FALSE),"")</f>
        <v/>
      </c>
      <c r="CP147" s="96">
        <f>IFERROR(VLOOKUP($B147,INDIRECT("'GRD-"&amp;CP$11&amp;"'!B:R"),15,FALSE),"")</f>
        <v/>
      </c>
      <c r="CQ147" s="96">
        <f>IFERROR(VLOOKUP($B147,INDIRECT("'GRD-"&amp;CQ$11&amp;"'!B:R"),15,FALSE),"")</f>
        <v/>
      </c>
      <c r="CR147" s="96">
        <f>IFERROR(VLOOKUP($B147,INDIRECT("'GRD-"&amp;CR$11&amp;"'!B:R"),15,FALSE),"")</f>
        <v/>
      </c>
      <c r="CS147" s="96">
        <f>IFERROR(VLOOKUP($B147,INDIRECT("'GRD-"&amp;CS$11&amp;"'!B:R"),15,FALSE),"")</f>
        <v/>
      </c>
      <c r="CT147" s="96">
        <f>IFERROR(VLOOKUP($B147,INDIRECT("'GRD-"&amp;CT$11&amp;"'!B:R"),15,FALSE),"")</f>
        <v/>
      </c>
      <c r="CU147" s="96">
        <f>IFERROR(VLOOKUP($B147,INDIRECT("'GRD-"&amp;CU$11&amp;"'!B:R"),15,FALSE),"")</f>
        <v/>
      </c>
      <c r="CV147" s="96">
        <f>IFERROR(VLOOKUP($B147,INDIRECT("'GRD-"&amp;CV$11&amp;"'!B:R"),15,FALSE),"")</f>
        <v/>
      </c>
      <c r="CW147" s="96">
        <f>IFERROR(VLOOKUP($B147,INDIRECT("'GRD-"&amp;CW$11&amp;"'!B:R"),15,FALSE),"")</f>
        <v/>
      </c>
      <c r="CX147" s="96">
        <f>IFERROR(VLOOKUP($B147,INDIRECT("'GRD-"&amp;CX$11&amp;"'!B:R"),15,FALSE),"")</f>
        <v/>
      </c>
      <c r="CY147" s="96">
        <f>IFERROR(VLOOKUP($B147,INDIRECT("'GRD-"&amp;CY$11&amp;"'!B:R"),15,FALSE),"")</f>
        <v/>
      </c>
      <c r="CZ147" s="96">
        <f>IFERROR(VLOOKUP($B147,INDIRECT("'GRD-"&amp;CZ$11&amp;"'!B:R"),15,FALSE),"")</f>
        <v/>
      </c>
      <c r="DA147" s="96">
        <f>IFERROR(VLOOKUP($B147,INDIRECT("'GRD-"&amp;DA$11&amp;"'!B:R"),15,FALSE),"")</f>
        <v/>
      </c>
      <c r="DB147" s="96">
        <f>IFERROR(VLOOKUP($B147,INDIRECT("'GRD-"&amp;DB$11&amp;"'!B:R"),15,FALSE),"")</f>
        <v/>
      </c>
      <c r="DC147" s="96">
        <f>IFERROR(VLOOKUP($B147,INDIRECT("'GRD-"&amp;DC$11&amp;"'!B:R"),15,FALSE),"")</f>
        <v/>
      </c>
      <c r="DD147" s="96">
        <f>IFERROR(VLOOKUP($B147,INDIRECT("'GRD-"&amp;DD$11&amp;"'!B:R"),15,FALSE),"")</f>
        <v/>
      </c>
      <c r="DE147" s="96">
        <f>IFERROR(VLOOKUP($B147,INDIRECT("'GRD-"&amp;DE$11&amp;"'!B:R"),15,FALSE),"")</f>
        <v/>
      </c>
      <c r="DF147" s="96">
        <f>IFERROR(VLOOKUP($B147,INDIRECT("'GRD-"&amp;DF$11&amp;"'!B:R"),15,FALSE),"")</f>
        <v/>
      </c>
      <c r="DG147" s="96">
        <f>IFERROR(VLOOKUP($B147,INDIRECT("'GRD-"&amp;DG$11&amp;"'!B:R"),15,FALSE),"")</f>
        <v/>
      </c>
      <c r="DH147" s="96">
        <f>IFERROR(VLOOKUP($B147,INDIRECT("'GRD-"&amp;DH$11&amp;"'!B:R"),15,FALSE),"")</f>
        <v/>
      </c>
      <c r="DI147" s="96">
        <f>IFERROR(VLOOKUP($B147,INDIRECT("'GRD-"&amp;DI$11&amp;"'!B:R"),15,FALSE),"")</f>
        <v/>
      </c>
      <c r="DJ147" s="96">
        <f>IFERROR(VLOOKUP($B147,INDIRECT("'GRD-"&amp;DJ$11&amp;"'!B:R"),15,FALSE),"")</f>
        <v/>
      </c>
      <c r="DK147" s="96">
        <f>IFERROR(VLOOKUP($B147,INDIRECT("'GRD-"&amp;DK$11&amp;"'!B:R"),15,FALSE),"")</f>
        <v/>
      </c>
      <c r="DL147" s="96">
        <f>IFERROR(VLOOKUP($B147,INDIRECT("'GRD-"&amp;DL$11&amp;"'!B:R"),15,FALSE),"")</f>
        <v/>
      </c>
      <c r="DM147" s="96">
        <f>IFERROR(VLOOKUP($B147,INDIRECT("'GRD-"&amp;DM$11&amp;"'!B:R"),15,FALSE),"")</f>
        <v/>
      </c>
      <c r="DN147" s="96">
        <f>IFERROR(VLOOKUP($B147,INDIRECT("'GRD-"&amp;DN$11&amp;"'!B:R"),15,FALSE),"")</f>
        <v/>
      </c>
      <c r="DO147" s="96">
        <f>IFERROR(VLOOKUP($B147,INDIRECT("'GRD-"&amp;DO$11&amp;"'!B:R"),15,FALSE),"")</f>
        <v/>
      </c>
      <c r="DP147" s="96">
        <f>IFERROR(VLOOKUP($B147,INDIRECT("'GRD-"&amp;DP$11&amp;"'!B:R"),15,FALSE),"")</f>
        <v/>
      </c>
      <c r="DQ147" s="96">
        <f>IFERROR(VLOOKUP($B147,INDIRECT("'GRD-"&amp;DQ$11&amp;"'!B:R"),15,FALSE),"")</f>
        <v/>
      </c>
      <c r="DR147" s="96">
        <f>IFERROR(VLOOKUP($B147,INDIRECT("'GRD-"&amp;DR$11&amp;"'!B:R"),15,FALSE),"")</f>
        <v/>
      </c>
      <c r="DS147" s="96">
        <f>IFERROR(VLOOKUP($B147,INDIRECT("'GRD-"&amp;DS$11&amp;"'!B:R"),15,FALSE),"")</f>
        <v/>
      </c>
      <c r="DT147" s="96">
        <f>IFERROR(VLOOKUP($B147,INDIRECT("'GRD-"&amp;DT$11&amp;"'!B:R"),15,FALSE),"")</f>
        <v/>
      </c>
      <c r="DU147" s="96">
        <f>IFERROR(VLOOKUP($B147,INDIRECT("'GRD-"&amp;DU$11&amp;"'!B:R"),15,FALSE),"")</f>
        <v/>
      </c>
      <c r="DV147" s="96">
        <f>IFERROR(VLOOKUP($B147,INDIRECT("'GRD-"&amp;DV$11&amp;"'!B:R"),15,FALSE),"")</f>
        <v/>
      </c>
      <c r="DW147" s="96">
        <f>IFERROR(VLOOKUP($B147,INDIRECT("'GRD-"&amp;DW$11&amp;"'!B:R"),15,FALSE),"")</f>
        <v/>
      </c>
      <c r="DX147" s="96">
        <f>IFERROR(VLOOKUP($B147,INDIRECT("'GRD-"&amp;DX$11&amp;"'!B:R"),15,FALSE),"")</f>
        <v/>
      </c>
      <c r="DY147" s="96">
        <f>IFERROR(VLOOKUP($B147,INDIRECT("'GRD-"&amp;DY$11&amp;"'!B:R"),15,FALSE),"")</f>
        <v/>
      </c>
      <c r="DZ147" s="96">
        <f>IFERROR(VLOOKUP($B147,INDIRECT("'GRD-"&amp;DZ$11&amp;"'!B:R"),15,FALSE),"")</f>
        <v/>
      </c>
      <c r="EA147" s="96">
        <f>IFERROR(VLOOKUP($B147,INDIRECT("'GRD-"&amp;EA$11&amp;"'!B:R"),15,FALSE),"")</f>
        <v/>
      </c>
      <c r="EB147" s="96">
        <f>IFERROR(VLOOKUP($B147,INDIRECT("'GRD-"&amp;EB$11&amp;"'!B:R"),15,FALSE),"")</f>
        <v/>
      </c>
      <c r="EC147" s="96">
        <f>IFERROR(VLOOKUP($B147,INDIRECT("'GRD-"&amp;EC$11&amp;"'!B:R"),15,FALSE),"")</f>
        <v/>
      </c>
      <c r="ED147" s="96">
        <f>IFERROR(VLOOKUP($B147,INDIRECT("'GRD-"&amp;ED$11&amp;"'!B:R"),15,FALSE),"")</f>
        <v/>
      </c>
      <c r="EE147" s="96">
        <f>IFERROR(VLOOKUP($B147,INDIRECT("'GRD-"&amp;EE$11&amp;"'!B:R"),15,FALSE),"")</f>
        <v/>
      </c>
      <c r="EF147" s="96">
        <f>IFERROR(VLOOKUP($B147,INDIRECT("'GRD-"&amp;EF$11&amp;"'!B:R"),15,FALSE),"")</f>
        <v/>
      </c>
      <c r="EG147" s="96">
        <f>IFERROR(VLOOKUP($B147,INDIRECT("'GRD-"&amp;EG$11&amp;"'!B:R"),15,FALSE),"")</f>
        <v/>
      </c>
      <c r="EH147" s="96">
        <f>IFERROR(VLOOKUP($B147,INDIRECT("'GRD-"&amp;EH$11&amp;"'!B:R"),15,FALSE),"")</f>
        <v/>
      </c>
      <c r="EI147" s="96">
        <f>IFERROR(VLOOKUP($B147,INDIRECT("'GRD-"&amp;EI$11&amp;"'!B:R"),15,FALSE),"")</f>
        <v/>
      </c>
      <c r="EJ147" s="96">
        <f>IFERROR(VLOOKUP($B147,INDIRECT("'GRD-"&amp;EJ$11&amp;"'!B:R"),15,FALSE),"")</f>
        <v/>
      </c>
      <c r="EK147" s="96">
        <f>IFERROR(VLOOKUP($B147,INDIRECT("'GRD-"&amp;EK$11&amp;"'!B:R"),15,FALSE),"")</f>
        <v/>
      </c>
      <c r="EL147" s="96">
        <f>IFERROR(VLOOKUP($B147,INDIRECT("'GRD-"&amp;EL$11&amp;"'!B:R"),15,FALSE),"")</f>
        <v/>
      </c>
      <c r="EM147" s="96">
        <f>IFERROR(VLOOKUP($B147,INDIRECT("'GRD-"&amp;EM$11&amp;"'!B:R"),15,FALSE),"")</f>
        <v/>
      </c>
      <c r="EN147" s="96">
        <f>IFERROR(VLOOKUP($B147,INDIRECT("'GRD-"&amp;EN$11&amp;"'!B:R"),15,FALSE),"")</f>
        <v/>
      </c>
      <c r="EO147" s="96">
        <f>IFERROR(VLOOKUP($B147,INDIRECT("'GRD-"&amp;EO$11&amp;"'!B:R"),15,FALSE),"")</f>
        <v/>
      </c>
      <c r="EP147" s="96">
        <f>IFERROR(VLOOKUP($B147,INDIRECT("'GRD-"&amp;EP$11&amp;"'!B:R"),15,FALSE),"")</f>
        <v/>
      </c>
      <c r="EQ147" s="96">
        <f>IFERROR(VLOOKUP($B147,INDIRECT("'GRD-"&amp;EQ$11&amp;"'!B:R"),15,FALSE),"")</f>
        <v/>
      </c>
      <c r="ER147" s="96">
        <f>IFERROR(VLOOKUP($B147,INDIRECT("'GRD-"&amp;ER$11&amp;"'!B:R"),15,FALSE),"")</f>
        <v/>
      </c>
      <c r="ES147" s="96">
        <f>IFERROR(VLOOKUP($B147,INDIRECT("'GRD-"&amp;ES$11&amp;"'!B:R"),15,FALSE),"")</f>
        <v/>
      </c>
      <c r="ET147" s="96">
        <f>IFERROR(VLOOKUP($B147,INDIRECT("'GRD-"&amp;ET$11&amp;"'!B:R"),15,FALSE),"")</f>
        <v/>
      </c>
      <c r="EU147" s="96">
        <f>IFERROR(VLOOKUP($B147,INDIRECT("'GRD-"&amp;EU$11&amp;"'!B:R"),15,FALSE),"")</f>
        <v/>
      </c>
      <c r="EV147" s="96">
        <f>IFERROR(VLOOKUP($B147,INDIRECT("'GRD-"&amp;EV$11&amp;"'!B:R"),15,FALSE),"")</f>
        <v/>
      </c>
      <c r="EW147" s="96">
        <f>IFERROR(VLOOKUP($B147,INDIRECT("'GRD-"&amp;EW$11&amp;"'!B:R"),15,FALSE),"")</f>
        <v/>
      </c>
      <c r="EX147" s="96">
        <f>IFERROR(VLOOKUP($B147,INDIRECT("'GRD-"&amp;EX$11&amp;"'!B:R"),15,FALSE),"")</f>
        <v/>
      </c>
      <c r="EY147" s="96">
        <f>IFERROR(VLOOKUP($B147,INDIRECT("'GRD-"&amp;EY$11&amp;"'!B:R"),15,FALSE),"")</f>
        <v/>
      </c>
      <c r="EZ147" s="96">
        <f>IFERROR(VLOOKUP($B147,INDIRECT("'GRD-"&amp;EZ$11&amp;"'!B:R"),15,FALSE),"")</f>
        <v/>
      </c>
      <c r="FA147" s="96">
        <f>IFERROR(VLOOKUP($B147,INDIRECT("'GRD-"&amp;FA$11&amp;"'!B:R"),15,FALSE),"")</f>
        <v/>
      </c>
      <c r="FB147" s="96">
        <f>IFERROR(VLOOKUP($B147,INDIRECT("'GRD-"&amp;FB$11&amp;"'!B:R"),15,FALSE),"")</f>
        <v/>
      </c>
      <c r="FC147" s="96">
        <f>IFERROR(VLOOKUP($B147,INDIRECT("'GRD-"&amp;FC$11&amp;"'!B:R"),15,FALSE),"")</f>
        <v/>
      </c>
      <c r="FD147" s="96">
        <f>IFERROR(VLOOKUP($B147,INDIRECT("'GRD-"&amp;FD$11&amp;"'!B:R"),15,FALSE),"")</f>
        <v/>
      </c>
      <c r="FE147" s="96">
        <f>IFERROR(VLOOKUP($B147,INDIRECT("'GRD-"&amp;FE$11&amp;"'!B:R"),15,FALSE),"")</f>
        <v/>
      </c>
      <c r="FF147" s="96">
        <f>IFERROR(VLOOKUP($B147,INDIRECT("'GRD-"&amp;FF$11&amp;"'!B:R"),15,FALSE),"")</f>
        <v/>
      </c>
      <c r="FG147" s="96">
        <f>IFERROR(VLOOKUP($B147,INDIRECT("'GRD-"&amp;FG$11&amp;"'!B:R"),15,FALSE),"")</f>
        <v/>
      </c>
      <c r="FH147" s="96">
        <f>IFERROR(VLOOKUP($B147,INDIRECT("'GRD-"&amp;FH$11&amp;"'!B:R"),15,FALSE),"")</f>
        <v/>
      </c>
      <c r="FI147" s="96">
        <f>IFERROR(VLOOKUP($B147,INDIRECT("'GRD-"&amp;FI$11&amp;"'!B:R"),15,FALSE),"")</f>
        <v/>
      </c>
      <c r="FJ147" s="96">
        <f>IFERROR(VLOOKUP($B147,INDIRECT("'GRD-"&amp;FJ$11&amp;"'!B:R"),15,FALSE),"")</f>
        <v/>
      </c>
      <c r="FK147" s="96">
        <f>IFERROR(VLOOKUP($B147,INDIRECT("'GRD-"&amp;FK$11&amp;"'!B:R"),15,FALSE),"")</f>
        <v/>
      </c>
      <c r="FL147" s="96">
        <f>IFERROR(VLOOKUP($B147,INDIRECT("'GRD-"&amp;FL$11&amp;"'!B:R"),15,FALSE),"")</f>
        <v/>
      </c>
      <c r="FM147" s="96">
        <f>IFERROR(VLOOKUP($B147,INDIRECT("'GRD-"&amp;FM$11&amp;"'!B:R"),15,FALSE),"")</f>
        <v/>
      </c>
      <c r="FN147" s="96">
        <f>IFERROR(VLOOKUP($B147,INDIRECT("'GRD-"&amp;FN$11&amp;"'!B:R"),15,FALSE),"")</f>
        <v/>
      </c>
      <c r="FO147" s="96">
        <f>IFERROR(VLOOKUP($B147,INDIRECT("'GRD-"&amp;FO$11&amp;"'!B:R"),15,FALSE),"")</f>
        <v/>
      </c>
      <c r="FP147" s="96">
        <f>IFERROR(VLOOKUP($B147,INDIRECT("'GRD-"&amp;FP$11&amp;"'!B:R"),15,FALSE),"")</f>
        <v/>
      </c>
      <c r="FQ147" s="96">
        <f>IFERROR(VLOOKUP($B147,INDIRECT("'GRD-"&amp;FQ$11&amp;"'!B:R"),15,FALSE),"")</f>
        <v/>
      </c>
      <c r="FR147" s="96">
        <f>IFERROR(VLOOKUP($B147,INDIRECT("'GRD-"&amp;FR$11&amp;"'!B:R"),15,FALSE),"")</f>
        <v/>
      </c>
      <c r="FS147" s="96">
        <f>IFERROR(VLOOKUP($B147,INDIRECT("'GRD-"&amp;FS$11&amp;"'!B:R"),15,FALSE),"")</f>
        <v/>
      </c>
      <c r="FT147" s="96">
        <f>IFERROR(VLOOKUP($B147,INDIRECT("'GRD-"&amp;FT$11&amp;"'!B:R"),15,FALSE),"")</f>
        <v/>
      </c>
      <c r="FU147" s="96">
        <f>IFERROR(VLOOKUP($B147,INDIRECT("'GRD-"&amp;FU$11&amp;"'!B:R"),15,FALSE),"")</f>
        <v/>
      </c>
      <c r="FV147" s="96">
        <f>IFERROR(VLOOKUP($B147,INDIRECT("'GRD-"&amp;FV$11&amp;"'!B:R"),15,FALSE),"")</f>
        <v/>
      </c>
    </row>
    <row r="148">
      <c r="B148" s="85" t="n"/>
      <c r="C148" s="93" t="n"/>
      <c r="D148" s="73">
        <f>IF(K148="","",MAX($CA148:$FV148))</f>
        <v/>
      </c>
      <c r="E148" s="74">
        <f t="array" ref="E148">IF($K148="","",OFFSET($A$1,ROW($B148)-1,11+$D148*4,))</f>
        <v/>
      </c>
      <c r="F148" s="74">
        <f t="array" ref="F148">IF($K148="","",OFFSET($A$1,ROW($B148)-1,12+$D148*4,))</f>
        <v/>
      </c>
      <c r="G148" s="118">
        <f t="array" ref="G148">IF($K148="","",OFFSET($A$1,ROW($B148)-1,13+$D148*4,))</f>
        <v/>
      </c>
      <c r="H148" s="81" t="n"/>
      <c r="I148" s="82" t="n"/>
      <c r="J148" s="75">
        <f>IF(I148="A4",H148/8,IF(I148="A3",H148/4,IF(I148="A2",H148/2,IF(I148="A1",H148/1,IF(I148="A0",H148*2,"")))))</f>
        <v/>
      </c>
      <c r="K148" s="68">
        <f t="array" ref="K148">IFERROR(OFFSET($BZ$11,ROW($B148)-11,MATCH(K$10,$CA148:$FV148,0),),"")</f>
        <v/>
      </c>
      <c r="L148" s="85">
        <f>IF(K148="","",IF(VLOOKUP($B148,INDIRECT("'GRD-"&amp;M148&amp;"'!$B:$R"),16,FALSE)="","",VLOOKUP($B148,INDIRECT("'GRD-"&amp;M148&amp;"'!$B:$R"),16,FALSE)))</f>
        <v/>
      </c>
      <c r="M148" s="130">
        <f t="array" ref="M148">IF(K148="","",IFERROR(OFFSET($BZ$11,0,MATCH($K148,$CA148:$FV148,0),),""))</f>
        <v/>
      </c>
      <c r="N148" s="119">
        <f t="array" ref="N148">IF(K148="","",INDIRECT("'GRD-"&amp;M148&amp;"'!$L$7"))</f>
        <v/>
      </c>
      <c r="O148" s="76">
        <f t="array" ref="O148">IFERROR(OFFSET($BZ$11,ROW($B148)-11,MATCH(O$10,$CA148:$FV148,0),),"")</f>
        <v/>
      </c>
      <c r="P148" s="76">
        <f>IF(O148="","",IF(VLOOKUP($B148,INDIRECT("'GRD-"&amp;Q148&amp;"'!$B:$R"),16,FALSE)="","",VLOOKUP($B148,INDIRECT("'GRD-"&amp;Q148&amp;"'!$B:$R"),16,FALSE)))</f>
        <v/>
      </c>
      <c r="Q148" s="132">
        <f t="array" ref="Q148">IF(O148="","",IFERROR(OFFSET($BZ$11,0,MATCH($O148,$CA148:$FV148,0),),""))</f>
        <v/>
      </c>
      <c r="R148" s="121">
        <f t="array" ref="R148">IF(O148="","",INDIRECT("'GRD-"&amp;Q148&amp;"'!$L$7"))</f>
        <v/>
      </c>
      <c r="S148" s="83">
        <f t="array" ref="S148">IFERROR(OFFSET($BZ$11,ROW($B148)-11,MATCH(S$10,$CA148:$FV148,0),),"")</f>
        <v/>
      </c>
      <c r="T148" s="83">
        <f>IF(S148="","",IF(VLOOKUP($B148,INDIRECT("'GRD-"&amp;U148&amp;"'!$B:$R"),16,FALSE)="","",VLOOKUP($B148,INDIRECT("'GRD-"&amp;U148&amp;"'!$B:$R"),16,FALSE)))</f>
        <v/>
      </c>
      <c r="U148" s="128">
        <f t="array" ref="U148">IF(S148="","",IFERROR(OFFSET($BZ$11,0,MATCH($S148,$CA148:$FV148,0),),""))</f>
        <v/>
      </c>
      <c r="V148" s="133">
        <f t="array" ref="V148">IF(S148="","",INDIRECT("'GRD-"&amp;U148&amp;"'!$L$7"))</f>
        <v/>
      </c>
      <c r="W148" s="84">
        <f t="array" ref="W148">IFERROR(OFFSET($BZ$11,ROW($B148)-11,MATCH(W$10,$CA148:$FV148,0),),"")</f>
        <v/>
      </c>
      <c r="X148" s="84">
        <f>IF(W148="","",IF(VLOOKUP($B148,INDIRECT("'GRD-"&amp;Y148&amp;"'!$B:$R"),16,FALSE)="","",VLOOKUP($B148,INDIRECT("'GRD-"&amp;Y148&amp;"'!$B:$R"),16,FALSE)))</f>
        <v/>
      </c>
      <c r="Y148" s="129">
        <f t="array" ref="Y148">IF(W148="","",IFERROR(OFFSET($BZ$11,0,MATCH($W148,$CA148:$FV148,0),),""))</f>
        <v/>
      </c>
      <c r="Z148" s="134">
        <f t="array" ref="Z148">IF(W148="","",INDIRECT("'GRD-"&amp;Y148&amp;"'!$L$7"))</f>
        <v/>
      </c>
      <c r="AA148" s="85">
        <f t="array" ref="AA148">IFERROR(OFFSET($BZ$11,ROW($B148)-11,MATCH(AA$10,$CA148:$FV148,0),),"")</f>
        <v/>
      </c>
      <c r="AB148" s="85">
        <f>IF(AA148="","",IF(VLOOKUP($B148,INDIRECT("'GRD-"&amp;AC148&amp;"'!$B:$R"),16,FALSE)="","",VLOOKUP($B148,INDIRECT("'GRD-"&amp;AC148&amp;"'!$B:$R"),16,FALSE)))</f>
        <v/>
      </c>
      <c r="AC148" s="130">
        <f t="array" ref="AC148">IF(AA148="","",IFERROR(OFFSET($BZ$11,0,MATCH($AA148,$CA148:$FV148,0),),""))</f>
        <v/>
      </c>
      <c r="AD148" s="131">
        <f t="array" ref="AD148">IF(AA148="","",INDIRECT("'GRD-"&amp;AC148&amp;"'!$L$7"))</f>
        <v/>
      </c>
      <c r="AE148" s="76">
        <f t="array" ref="AE148">IFERROR(OFFSET($BZ$11,ROW($B148)-11,MATCH(AE$10,$CA148:$FV148,0),),"")</f>
        <v/>
      </c>
      <c r="AF148" s="76">
        <f>IF(AE148="","",IF(VLOOKUP($B148,INDIRECT("'GRD-"&amp;AG148&amp;"'!$B:$R"),16,FALSE)="","",VLOOKUP($B148,INDIRECT("'GRD-"&amp;AG148&amp;"'!$B:$R"),16,FALSE)))</f>
        <v/>
      </c>
      <c r="AG148" s="132">
        <f t="array" ref="AG148">IF(AE148="","",IFERROR(OFFSET($BZ$11,0,MATCH($AE148,$CA148:$FV148,0),),""))</f>
        <v/>
      </c>
      <c r="AH148" s="121">
        <f t="array" ref="AH148">IF(AE148="","",INDIRECT("'GRD-"&amp;AG148&amp;"'!$L$7"))</f>
        <v/>
      </c>
      <c r="AI148" s="83">
        <f t="array" ref="AI148">IFERROR(OFFSET($BZ$11,ROW($B148)-11,MATCH(AI$10,$CA148:$FV148,0),),"")</f>
        <v/>
      </c>
      <c r="AJ148" s="83">
        <f>IF(AI148="","",IF(VLOOKUP($B148,INDIRECT("'GRD-"&amp;AK148&amp;"'!$B:$R"),16,FALSE)="","",VLOOKUP($B148,INDIRECT("'GRD-"&amp;AK148&amp;"'!$B:$R"),16,FALSE)))</f>
        <v/>
      </c>
      <c r="AK148" s="128">
        <f t="array" ref="AK148">IF(AI148="","",IFERROR(OFFSET($BZ$11,0,MATCH($AI148,$CA148:$FV148,0),),""))</f>
        <v/>
      </c>
      <c r="AL148" s="133">
        <f t="array" ref="AL148">IF(AI148="","",INDIRECT("'GRD-"&amp;AK148&amp;"'!$L$7"))</f>
        <v/>
      </c>
      <c r="AM148" s="84">
        <f t="array" ref="AM148">IFERROR(OFFSET($BZ$11,ROW($B148)-11,MATCH(AM$10,$CA148:$FV148,0),),"")</f>
        <v/>
      </c>
      <c r="AN148" s="84">
        <f>IF(AM148="","",IF(VLOOKUP($B148,INDIRECT("'GRD-"&amp;AO148&amp;"'!$B:$R"),16,FALSE)="","",VLOOKUP($B148,INDIRECT("'GRD-"&amp;AO148&amp;"'!$B:$R"),16,FALSE)))</f>
        <v/>
      </c>
      <c r="AO148" s="129">
        <f t="array" ref="AO148">IF(AM148="","",IFERROR(OFFSET($BZ$11,0,MATCH($AM148,$CA148:$FV148,0),),""))</f>
        <v/>
      </c>
      <c r="AP148" s="134">
        <f t="array" ref="AP148">IF(AM148="","",INDIRECT("'GRD-"&amp;AO148&amp;"'!$L$7"))</f>
        <v/>
      </c>
      <c r="AQ148" s="85">
        <f t="array" ref="AQ148">IFERROR(OFFSET($BZ$11,ROW($B148)-11,MATCH(AQ$10,$CA148:$FV148,0),),"")</f>
        <v/>
      </c>
      <c r="AR148" s="85">
        <f>IF(AQ148="","",IF(VLOOKUP($B148,INDIRECT("'GRD-"&amp;AS148&amp;"'!$B:$R"),16,FALSE)="","",VLOOKUP($B148,INDIRECT("'GRD-"&amp;AS148&amp;"'!$B:$R"),16,FALSE)))</f>
        <v/>
      </c>
      <c r="AS148" s="130">
        <f t="array" ref="AS148">IF(AQ148="","",IFERROR(OFFSET($BZ$11,0,MATCH($AQ148,$CA148:$FV148,0),),""))</f>
        <v/>
      </c>
      <c r="AT148" s="131">
        <f t="array" ref="AT148">IF(AQ148="","",INDIRECT("'GRD-"&amp;AS148&amp;"'!$L$7"))</f>
        <v/>
      </c>
      <c r="AU148" s="76">
        <f t="array" ref="AU148">IFERROR(OFFSET($BZ$11,ROW($B148)-11,MATCH(AU$10,$CA148:$FV148,0),),"")</f>
        <v/>
      </c>
      <c r="AV148" s="76">
        <f>IF(AU148="","",IF(VLOOKUP($B148,INDIRECT("'GRD-"&amp;AW148&amp;"'!$B:$R"),16,FALSE)="","",VLOOKUP($B148,INDIRECT("'GRD-"&amp;AW148&amp;"'!$B:$R"),16,FALSE)))</f>
        <v/>
      </c>
      <c r="AW148" s="132">
        <f t="array" ref="AW148">IF(AU148="","",IFERROR(OFFSET($BZ$11,0,MATCH($AU148,$CA148:$FV148,0),),""))</f>
        <v/>
      </c>
      <c r="AX148" s="121">
        <f t="array" ref="AX148">IF(AU148="","",INDIRECT("'GRD-"&amp;AW148&amp;"'!$L$7"))</f>
        <v/>
      </c>
      <c r="AY148" s="83">
        <f t="array" ref="AY148">IFERROR(OFFSET($BZ$11,ROW($B148)-11,MATCH(AY$10,$CA148:$FV148,0),),"")</f>
        <v/>
      </c>
      <c r="AZ148" s="83">
        <f>IF(AY148="","",IF(VLOOKUP($B148,INDIRECT("'GRD-"&amp;BA148&amp;"'!$B:$R"),16,FALSE)="","",VLOOKUP($B148,INDIRECT("'GRD-"&amp;BA148&amp;"'!$B:$R"),16,FALSE)))</f>
        <v/>
      </c>
      <c r="BA148" s="128">
        <f t="array" ref="BA148">IF(AY148="","",IFERROR(OFFSET($BZ$11,0,MATCH($AY148,$CA148:$FV148,0),),""))</f>
        <v/>
      </c>
      <c r="BB148" s="133">
        <f t="array" ref="BB148">IF(AY148="","",INDIRECT("'GRD-"&amp;BA148&amp;"'!$L$7"))</f>
        <v/>
      </c>
      <c r="BC148" s="84">
        <f t="array" ref="BC148">IFERROR(OFFSET($BZ$11,ROW($B148)-11,MATCH(BC$10,$CA148:$FV148,0),),"")</f>
        <v/>
      </c>
      <c r="BD148" s="84">
        <f>IF(BC148="","",IF(VLOOKUP($B148,INDIRECT("'GRD-"&amp;BE148&amp;"'!$B:$R"),16,FALSE)="","",VLOOKUP($B148,INDIRECT("'GRD-"&amp;BE148&amp;"'!$B:$R"),16,FALSE)))</f>
        <v/>
      </c>
      <c r="BE148" s="129">
        <f t="array" ref="BE148">IF(BC148="","",IFERROR(OFFSET($BZ$11,0,MATCH($BC148,$CA148:$FV148,0),),""))</f>
        <v/>
      </c>
      <c r="BF148" s="134">
        <f t="array" ref="BF148">IF(BC148="","",INDIRECT("'GRD-"&amp;BE148&amp;"'!$L$7"))</f>
        <v/>
      </c>
      <c r="CA148" s="96">
        <f>IFERROR(VLOOKUP($B148,INDIRECT("'GRD-"&amp;CA$11&amp;"'!B:R"),15,FALSE),"")</f>
        <v/>
      </c>
      <c r="CB148" s="96">
        <f>IFERROR(VLOOKUP($B148,INDIRECT("'GRD-"&amp;CB$11&amp;"'!B:R"),15,FALSE),"")</f>
        <v/>
      </c>
      <c r="CC148" s="96">
        <f>IFERROR(VLOOKUP($B148,INDIRECT("'GRD-"&amp;CC$11&amp;"'!B:R"),15,FALSE),"")</f>
        <v/>
      </c>
      <c r="CD148" s="96">
        <f>IFERROR(VLOOKUP($B148,INDIRECT("'GRD-"&amp;CD$11&amp;"'!B:R"),15,FALSE),"")</f>
        <v/>
      </c>
      <c r="CE148" s="96">
        <f>IFERROR(VLOOKUP($B148,INDIRECT("'GRD-"&amp;CE$11&amp;"'!B:R"),15,FALSE),"")</f>
        <v/>
      </c>
      <c r="CF148" s="96">
        <f>IFERROR(VLOOKUP($B148,INDIRECT("'GRD-"&amp;CF$11&amp;"'!B:R"),15,FALSE),"")</f>
        <v/>
      </c>
      <c r="CG148" s="96">
        <f>IFERROR(VLOOKUP($B148,INDIRECT("'GRD-"&amp;CG$11&amp;"'!B:R"),15,FALSE),"")</f>
        <v/>
      </c>
      <c r="CH148" s="96">
        <f>IFERROR(VLOOKUP($B148,INDIRECT("'GRD-"&amp;CH$11&amp;"'!B:R"),15,FALSE),"")</f>
        <v/>
      </c>
      <c r="CI148" s="96">
        <f>IFERROR(VLOOKUP($B148,INDIRECT("'GRD-"&amp;CI$11&amp;"'!B:R"),15,FALSE),"")</f>
        <v/>
      </c>
      <c r="CJ148" s="96">
        <f>IFERROR(VLOOKUP($B148,INDIRECT("'GRD-"&amp;CJ$11&amp;"'!B:R"),15,FALSE),"")</f>
        <v/>
      </c>
      <c r="CK148" s="96">
        <f>IFERROR(VLOOKUP($B148,INDIRECT("'GRD-"&amp;CK$11&amp;"'!B:R"),15,FALSE),"")</f>
        <v/>
      </c>
      <c r="CL148" s="96">
        <f>IFERROR(VLOOKUP($B148,INDIRECT("'GRD-"&amp;CL$11&amp;"'!B:R"),15,FALSE),"")</f>
        <v/>
      </c>
      <c r="CM148" s="96">
        <f>IFERROR(VLOOKUP($B148,INDIRECT("'GRD-"&amp;CM$11&amp;"'!B:R"),15,FALSE),"")</f>
        <v/>
      </c>
      <c r="CN148" s="96">
        <f>IFERROR(VLOOKUP($B148,INDIRECT("'GRD-"&amp;CN$11&amp;"'!B:R"),15,FALSE),"")</f>
        <v/>
      </c>
      <c r="CO148" s="96">
        <f>IFERROR(VLOOKUP($B148,INDIRECT("'GRD-"&amp;CO$11&amp;"'!B:R"),15,FALSE),"")</f>
        <v/>
      </c>
      <c r="CP148" s="96">
        <f>IFERROR(VLOOKUP($B148,INDIRECT("'GRD-"&amp;CP$11&amp;"'!B:R"),15,FALSE),"")</f>
        <v/>
      </c>
      <c r="CQ148" s="96">
        <f>IFERROR(VLOOKUP($B148,INDIRECT("'GRD-"&amp;CQ$11&amp;"'!B:R"),15,FALSE),"")</f>
        <v/>
      </c>
      <c r="CR148" s="96">
        <f>IFERROR(VLOOKUP($B148,INDIRECT("'GRD-"&amp;CR$11&amp;"'!B:R"),15,FALSE),"")</f>
        <v/>
      </c>
      <c r="CS148" s="96">
        <f>IFERROR(VLOOKUP($B148,INDIRECT("'GRD-"&amp;CS$11&amp;"'!B:R"),15,FALSE),"")</f>
        <v/>
      </c>
      <c r="CT148" s="96">
        <f>IFERROR(VLOOKUP($B148,INDIRECT("'GRD-"&amp;CT$11&amp;"'!B:R"),15,FALSE),"")</f>
        <v/>
      </c>
      <c r="CU148" s="96">
        <f>IFERROR(VLOOKUP($B148,INDIRECT("'GRD-"&amp;CU$11&amp;"'!B:R"),15,FALSE),"")</f>
        <v/>
      </c>
      <c r="CV148" s="96">
        <f>IFERROR(VLOOKUP($B148,INDIRECT("'GRD-"&amp;CV$11&amp;"'!B:R"),15,FALSE),"")</f>
        <v/>
      </c>
      <c r="CW148" s="96">
        <f>IFERROR(VLOOKUP($B148,INDIRECT("'GRD-"&amp;CW$11&amp;"'!B:R"),15,FALSE),"")</f>
        <v/>
      </c>
      <c r="CX148" s="96">
        <f>IFERROR(VLOOKUP($B148,INDIRECT("'GRD-"&amp;CX$11&amp;"'!B:R"),15,FALSE),"")</f>
        <v/>
      </c>
      <c r="CY148" s="96">
        <f>IFERROR(VLOOKUP($B148,INDIRECT("'GRD-"&amp;CY$11&amp;"'!B:R"),15,FALSE),"")</f>
        <v/>
      </c>
      <c r="CZ148" s="96">
        <f>IFERROR(VLOOKUP($B148,INDIRECT("'GRD-"&amp;CZ$11&amp;"'!B:R"),15,FALSE),"")</f>
        <v/>
      </c>
      <c r="DA148" s="96">
        <f>IFERROR(VLOOKUP($B148,INDIRECT("'GRD-"&amp;DA$11&amp;"'!B:R"),15,FALSE),"")</f>
        <v/>
      </c>
      <c r="DB148" s="96">
        <f>IFERROR(VLOOKUP($B148,INDIRECT("'GRD-"&amp;DB$11&amp;"'!B:R"),15,FALSE),"")</f>
        <v/>
      </c>
      <c r="DC148" s="96">
        <f>IFERROR(VLOOKUP($B148,INDIRECT("'GRD-"&amp;DC$11&amp;"'!B:R"),15,FALSE),"")</f>
        <v/>
      </c>
      <c r="DD148" s="96">
        <f>IFERROR(VLOOKUP($B148,INDIRECT("'GRD-"&amp;DD$11&amp;"'!B:R"),15,FALSE),"")</f>
        <v/>
      </c>
      <c r="DE148" s="96">
        <f>IFERROR(VLOOKUP($B148,INDIRECT("'GRD-"&amp;DE$11&amp;"'!B:R"),15,FALSE),"")</f>
        <v/>
      </c>
      <c r="DF148" s="96">
        <f>IFERROR(VLOOKUP($B148,INDIRECT("'GRD-"&amp;DF$11&amp;"'!B:R"),15,FALSE),"")</f>
        <v/>
      </c>
      <c r="DG148" s="96">
        <f>IFERROR(VLOOKUP($B148,INDIRECT("'GRD-"&amp;DG$11&amp;"'!B:R"),15,FALSE),"")</f>
        <v/>
      </c>
      <c r="DH148" s="96">
        <f>IFERROR(VLOOKUP($B148,INDIRECT("'GRD-"&amp;DH$11&amp;"'!B:R"),15,FALSE),"")</f>
        <v/>
      </c>
      <c r="DI148" s="96">
        <f>IFERROR(VLOOKUP($B148,INDIRECT("'GRD-"&amp;DI$11&amp;"'!B:R"),15,FALSE),"")</f>
        <v/>
      </c>
      <c r="DJ148" s="96">
        <f>IFERROR(VLOOKUP($B148,INDIRECT("'GRD-"&amp;DJ$11&amp;"'!B:R"),15,FALSE),"")</f>
        <v/>
      </c>
      <c r="DK148" s="96">
        <f>IFERROR(VLOOKUP($B148,INDIRECT("'GRD-"&amp;DK$11&amp;"'!B:R"),15,FALSE),"")</f>
        <v/>
      </c>
      <c r="DL148" s="96">
        <f>IFERROR(VLOOKUP($B148,INDIRECT("'GRD-"&amp;DL$11&amp;"'!B:R"),15,FALSE),"")</f>
        <v/>
      </c>
      <c r="DM148" s="96">
        <f>IFERROR(VLOOKUP($B148,INDIRECT("'GRD-"&amp;DM$11&amp;"'!B:R"),15,FALSE),"")</f>
        <v/>
      </c>
      <c r="DN148" s="96">
        <f>IFERROR(VLOOKUP($B148,INDIRECT("'GRD-"&amp;DN$11&amp;"'!B:R"),15,FALSE),"")</f>
        <v/>
      </c>
      <c r="DO148" s="96">
        <f>IFERROR(VLOOKUP($B148,INDIRECT("'GRD-"&amp;DO$11&amp;"'!B:R"),15,FALSE),"")</f>
        <v/>
      </c>
      <c r="DP148" s="96">
        <f>IFERROR(VLOOKUP($B148,INDIRECT("'GRD-"&amp;DP$11&amp;"'!B:R"),15,FALSE),"")</f>
        <v/>
      </c>
      <c r="DQ148" s="96">
        <f>IFERROR(VLOOKUP($B148,INDIRECT("'GRD-"&amp;DQ$11&amp;"'!B:R"),15,FALSE),"")</f>
        <v/>
      </c>
      <c r="DR148" s="96">
        <f>IFERROR(VLOOKUP($B148,INDIRECT("'GRD-"&amp;DR$11&amp;"'!B:R"),15,FALSE),"")</f>
        <v/>
      </c>
      <c r="DS148" s="96">
        <f>IFERROR(VLOOKUP($B148,INDIRECT("'GRD-"&amp;DS$11&amp;"'!B:R"),15,FALSE),"")</f>
        <v/>
      </c>
      <c r="DT148" s="96">
        <f>IFERROR(VLOOKUP($B148,INDIRECT("'GRD-"&amp;DT$11&amp;"'!B:R"),15,FALSE),"")</f>
        <v/>
      </c>
      <c r="DU148" s="96">
        <f>IFERROR(VLOOKUP($B148,INDIRECT("'GRD-"&amp;DU$11&amp;"'!B:R"),15,FALSE),"")</f>
        <v/>
      </c>
      <c r="DV148" s="96">
        <f>IFERROR(VLOOKUP($B148,INDIRECT("'GRD-"&amp;DV$11&amp;"'!B:R"),15,FALSE),"")</f>
        <v/>
      </c>
      <c r="DW148" s="96">
        <f>IFERROR(VLOOKUP($B148,INDIRECT("'GRD-"&amp;DW$11&amp;"'!B:R"),15,FALSE),"")</f>
        <v/>
      </c>
      <c r="DX148" s="96">
        <f>IFERROR(VLOOKUP($B148,INDIRECT("'GRD-"&amp;DX$11&amp;"'!B:R"),15,FALSE),"")</f>
        <v/>
      </c>
      <c r="DY148" s="96">
        <f>IFERROR(VLOOKUP($B148,INDIRECT("'GRD-"&amp;DY$11&amp;"'!B:R"),15,FALSE),"")</f>
        <v/>
      </c>
      <c r="DZ148" s="96">
        <f>IFERROR(VLOOKUP($B148,INDIRECT("'GRD-"&amp;DZ$11&amp;"'!B:R"),15,FALSE),"")</f>
        <v/>
      </c>
      <c r="EA148" s="96">
        <f>IFERROR(VLOOKUP($B148,INDIRECT("'GRD-"&amp;EA$11&amp;"'!B:R"),15,FALSE),"")</f>
        <v/>
      </c>
      <c r="EB148" s="96">
        <f>IFERROR(VLOOKUP($B148,INDIRECT("'GRD-"&amp;EB$11&amp;"'!B:R"),15,FALSE),"")</f>
        <v/>
      </c>
      <c r="EC148" s="96">
        <f>IFERROR(VLOOKUP($B148,INDIRECT("'GRD-"&amp;EC$11&amp;"'!B:R"),15,FALSE),"")</f>
        <v/>
      </c>
      <c r="ED148" s="96">
        <f>IFERROR(VLOOKUP($B148,INDIRECT("'GRD-"&amp;ED$11&amp;"'!B:R"),15,FALSE),"")</f>
        <v/>
      </c>
      <c r="EE148" s="96">
        <f>IFERROR(VLOOKUP($B148,INDIRECT("'GRD-"&amp;EE$11&amp;"'!B:R"),15,FALSE),"")</f>
        <v/>
      </c>
      <c r="EF148" s="96">
        <f>IFERROR(VLOOKUP($B148,INDIRECT("'GRD-"&amp;EF$11&amp;"'!B:R"),15,FALSE),"")</f>
        <v/>
      </c>
      <c r="EG148" s="96">
        <f>IFERROR(VLOOKUP($B148,INDIRECT("'GRD-"&amp;EG$11&amp;"'!B:R"),15,FALSE),"")</f>
        <v/>
      </c>
      <c r="EH148" s="96">
        <f>IFERROR(VLOOKUP($B148,INDIRECT("'GRD-"&amp;EH$11&amp;"'!B:R"),15,FALSE),"")</f>
        <v/>
      </c>
      <c r="EI148" s="96">
        <f>IFERROR(VLOOKUP($B148,INDIRECT("'GRD-"&amp;EI$11&amp;"'!B:R"),15,FALSE),"")</f>
        <v/>
      </c>
      <c r="EJ148" s="96">
        <f>IFERROR(VLOOKUP($B148,INDIRECT("'GRD-"&amp;EJ$11&amp;"'!B:R"),15,FALSE),"")</f>
        <v/>
      </c>
      <c r="EK148" s="96">
        <f>IFERROR(VLOOKUP($B148,INDIRECT("'GRD-"&amp;EK$11&amp;"'!B:R"),15,FALSE),"")</f>
        <v/>
      </c>
      <c r="EL148" s="96">
        <f>IFERROR(VLOOKUP($B148,INDIRECT("'GRD-"&amp;EL$11&amp;"'!B:R"),15,FALSE),"")</f>
        <v/>
      </c>
      <c r="EM148" s="96">
        <f>IFERROR(VLOOKUP($B148,INDIRECT("'GRD-"&amp;EM$11&amp;"'!B:R"),15,FALSE),"")</f>
        <v/>
      </c>
      <c r="EN148" s="96">
        <f>IFERROR(VLOOKUP($B148,INDIRECT("'GRD-"&amp;EN$11&amp;"'!B:R"),15,FALSE),"")</f>
        <v/>
      </c>
      <c r="EO148" s="96">
        <f>IFERROR(VLOOKUP($B148,INDIRECT("'GRD-"&amp;EO$11&amp;"'!B:R"),15,FALSE),"")</f>
        <v/>
      </c>
      <c r="EP148" s="96">
        <f>IFERROR(VLOOKUP($B148,INDIRECT("'GRD-"&amp;EP$11&amp;"'!B:R"),15,FALSE),"")</f>
        <v/>
      </c>
      <c r="EQ148" s="96">
        <f>IFERROR(VLOOKUP($B148,INDIRECT("'GRD-"&amp;EQ$11&amp;"'!B:R"),15,FALSE),"")</f>
        <v/>
      </c>
      <c r="ER148" s="96">
        <f>IFERROR(VLOOKUP($B148,INDIRECT("'GRD-"&amp;ER$11&amp;"'!B:R"),15,FALSE),"")</f>
        <v/>
      </c>
      <c r="ES148" s="96">
        <f>IFERROR(VLOOKUP($B148,INDIRECT("'GRD-"&amp;ES$11&amp;"'!B:R"),15,FALSE),"")</f>
        <v/>
      </c>
      <c r="ET148" s="96">
        <f>IFERROR(VLOOKUP($B148,INDIRECT("'GRD-"&amp;ET$11&amp;"'!B:R"),15,FALSE),"")</f>
        <v/>
      </c>
      <c r="EU148" s="96">
        <f>IFERROR(VLOOKUP($B148,INDIRECT("'GRD-"&amp;EU$11&amp;"'!B:R"),15,FALSE),"")</f>
        <v/>
      </c>
      <c r="EV148" s="96">
        <f>IFERROR(VLOOKUP($B148,INDIRECT("'GRD-"&amp;EV$11&amp;"'!B:R"),15,FALSE),"")</f>
        <v/>
      </c>
      <c r="EW148" s="96">
        <f>IFERROR(VLOOKUP($B148,INDIRECT("'GRD-"&amp;EW$11&amp;"'!B:R"),15,FALSE),"")</f>
        <v/>
      </c>
      <c r="EX148" s="96">
        <f>IFERROR(VLOOKUP($B148,INDIRECT("'GRD-"&amp;EX$11&amp;"'!B:R"),15,FALSE),"")</f>
        <v/>
      </c>
      <c r="EY148" s="96">
        <f>IFERROR(VLOOKUP($B148,INDIRECT("'GRD-"&amp;EY$11&amp;"'!B:R"),15,FALSE),"")</f>
        <v/>
      </c>
      <c r="EZ148" s="96">
        <f>IFERROR(VLOOKUP($B148,INDIRECT("'GRD-"&amp;EZ$11&amp;"'!B:R"),15,FALSE),"")</f>
        <v/>
      </c>
      <c r="FA148" s="96">
        <f>IFERROR(VLOOKUP($B148,INDIRECT("'GRD-"&amp;FA$11&amp;"'!B:R"),15,FALSE),"")</f>
        <v/>
      </c>
      <c r="FB148" s="96">
        <f>IFERROR(VLOOKUP($B148,INDIRECT("'GRD-"&amp;FB$11&amp;"'!B:R"),15,FALSE),"")</f>
        <v/>
      </c>
      <c r="FC148" s="96">
        <f>IFERROR(VLOOKUP($B148,INDIRECT("'GRD-"&amp;FC$11&amp;"'!B:R"),15,FALSE),"")</f>
        <v/>
      </c>
      <c r="FD148" s="96">
        <f>IFERROR(VLOOKUP($B148,INDIRECT("'GRD-"&amp;FD$11&amp;"'!B:R"),15,FALSE),"")</f>
        <v/>
      </c>
      <c r="FE148" s="96">
        <f>IFERROR(VLOOKUP($B148,INDIRECT("'GRD-"&amp;FE$11&amp;"'!B:R"),15,FALSE),"")</f>
        <v/>
      </c>
      <c r="FF148" s="96">
        <f>IFERROR(VLOOKUP($B148,INDIRECT("'GRD-"&amp;FF$11&amp;"'!B:R"),15,FALSE),"")</f>
        <v/>
      </c>
      <c r="FG148" s="96">
        <f>IFERROR(VLOOKUP($B148,INDIRECT("'GRD-"&amp;FG$11&amp;"'!B:R"),15,FALSE),"")</f>
        <v/>
      </c>
      <c r="FH148" s="96">
        <f>IFERROR(VLOOKUP($B148,INDIRECT("'GRD-"&amp;FH$11&amp;"'!B:R"),15,FALSE),"")</f>
        <v/>
      </c>
      <c r="FI148" s="96">
        <f>IFERROR(VLOOKUP($B148,INDIRECT("'GRD-"&amp;FI$11&amp;"'!B:R"),15,FALSE),"")</f>
        <v/>
      </c>
      <c r="FJ148" s="96">
        <f>IFERROR(VLOOKUP($B148,INDIRECT("'GRD-"&amp;FJ$11&amp;"'!B:R"),15,FALSE),"")</f>
        <v/>
      </c>
      <c r="FK148" s="96">
        <f>IFERROR(VLOOKUP($B148,INDIRECT("'GRD-"&amp;FK$11&amp;"'!B:R"),15,FALSE),"")</f>
        <v/>
      </c>
      <c r="FL148" s="96">
        <f>IFERROR(VLOOKUP($B148,INDIRECT("'GRD-"&amp;FL$11&amp;"'!B:R"),15,FALSE),"")</f>
        <v/>
      </c>
      <c r="FM148" s="96">
        <f>IFERROR(VLOOKUP($B148,INDIRECT("'GRD-"&amp;FM$11&amp;"'!B:R"),15,FALSE),"")</f>
        <v/>
      </c>
      <c r="FN148" s="96">
        <f>IFERROR(VLOOKUP($B148,INDIRECT("'GRD-"&amp;FN$11&amp;"'!B:R"),15,FALSE),"")</f>
        <v/>
      </c>
      <c r="FO148" s="96">
        <f>IFERROR(VLOOKUP($B148,INDIRECT("'GRD-"&amp;FO$11&amp;"'!B:R"),15,FALSE),"")</f>
        <v/>
      </c>
      <c r="FP148" s="96">
        <f>IFERROR(VLOOKUP($B148,INDIRECT("'GRD-"&amp;FP$11&amp;"'!B:R"),15,FALSE),"")</f>
        <v/>
      </c>
      <c r="FQ148" s="96">
        <f>IFERROR(VLOOKUP($B148,INDIRECT("'GRD-"&amp;FQ$11&amp;"'!B:R"),15,FALSE),"")</f>
        <v/>
      </c>
      <c r="FR148" s="96">
        <f>IFERROR(VLOOKUP($B148,INDIRECT("'GRD-"&amp;FR$11&amp;"'!B:R"),15,FALSE),"")</f>
        <v/>
      </c>
      <c r="FS148" s="96">
        <f>IFERROR(VLOOKUP($B148,INDIRECT("'GRD-"&amp;FS$11&amp;"'!B:R"),15,FALSE),"")</f>
        <v/>
      </c>
      <c r="FT148" s="96">
        <f>IFERROR(VLOOKUP($B148,INDIRECT("'GRD-"&amp;FT$11&amp;"'!B:R"),15,FALSE),"")</f>
        <v/>
      </c>
      <c r="FU148" s="96">
        <f>IFERROR(VLOOKUP($B148,INDIRECT("'GRD-"&amp;FU$11&amp;"'!B:R"),15,FALSE),"")</f>
        <v/>
      </c>
      <c r="FV148" s="96">
        <f>IFERROR(VLOOKUP($B148,INDIRECT("'GRD-"&amp;FV$11&amp;"'!B:R"),15,FALSE),"")</f>
        <v/>
      </c>
    </row>
    <row r="149">
      <c r="B149" s="85" t="n"/>
      <c r="C149" s="93" t="n"/>
      <c r="D149" s="73">
        <f>IF(K149="","",MAX($CA149:$FV149))</f>
        <v/>
      </c>
      <c r="E149" s="74">
        <f t="array" ref="E149">IF($K149="","",OFFSET($A$1,ROW($B149)-1,11+$D149*4,))</f>
        <v/>
      </c>
      <c r="F149" s="74">
        <f t="array" ref="F149">IF($K149="","",OFFSET($A$1,ROW($B149)-1,12+$D149*4,))</f>
        <v/>
      </c>
      <c r="G149" s="118">
        <f t="array" ref="G149">IF($K149="","",OFFSET($A$1,ROW($B149)-1,13+$D149*4,))</f>
        <v/>
      </c>
      <c r="H149" s="81" t="n"/>
      <c r="I149" s="82" t="n"/>
      <c r="J149" s="75">
        <f>IF(I149="A4",H149/8,IF(I149="A3",H149/4,IF(I149="A2",H149/2,IF(I149="A1",H149/1,IF(I149="A0",H149*2,"")))))</f>
        <v/>
      </c>
      <c r="K149" s="68">
        <f t="array" ref="K149">IFERROR(OFFSET($BZ$11,ROW($B149)-11,MATCH(K$10,$CA149:$FV149,0),),"")</f>
        <v/>
      </c>
      <c r="L149" s="85">
        <f>IF(K149="","",IF(VLOOKUP($B149,INDIRECT("'GRD-"&amp;M149&amp;"'!$B:$R"),16,FALSE)="","",VLOOKUP($B149,INDIRECT("'GRD-"&amp;M149&amp;"'!$B:$R"),16,FALSE)))</f>
        <v/>
      </c>
      <c r="M149" s="130">
        <f t="array" ref="M149">IF(K149="","",IFERROR(OFFSET($BZ$11,0,MATCH($K149,$CA149:$FV149,0),),""))</f>
        <v/>
      </c>
      <c r="N149" s="119">
        <f t="array" ref="N149">IF(K149="","",INDIRECT("'GRD-"&amp;M149&amp;"'!$L$7"))</f>
        <v/>
      </c>
      <c r="O149" s="76">
        <f t="array" ref="O149">IFERROR(OFFSET($BZ$11,ROW($B149)-11,MATCH(O$10,$CA149:$FV149,0),),"")</f>
        <v/>
      </c>
      <c r="P149" s="76">
        <f>IF(O149="","",IF(VLOOKUP($B149,INDIRECT("'GRD-"&amp;Q149&amp;"'!$B:$R"),16,FALSE)="","",VLOOKUP($B149,INDIRECT("'GRD-"&amp;Q149&amp;"'!$B:$R"),16,FALSE)))</f>
        <v/>
      </c>
      <c r="Q149" s="132">
        <f t="array" ref="Q149">IF(O149="","",IFERROR(OFFSET($BZ$11,0,MATCH($O149,$CA149:$FV149,0),),""))</f>
        <v/>
      </c>
      <c r="R149" s="121">
        <f t="array" ref="R149">IF(O149="","",INDIRECT("'GRD-"&amp;Q149&amp;"'!$L$7"))</f>
        <v/>
      </c>
      <c r="S149" s="83">
        <f t="array" ref="S149">IFERROR(OFFSET($BZ$11,ROW($B149)-11,MATCH(S$10,$CA149:$FV149,0),),"")</f>
        <v/>
      </c>
      <c r="T149" s="83">
        <f>IF(S149="","",IF(VLOOKUP($B149,INDIRECT("'GRD-"&amp;U149&amp;"'!$B:$R"),16,FALSE)="","",VLOOKUP($B149,INDIRECT("'GRD-"&amp;U149&amp;"'!$B:$R"),16,FALSE)))</f>
        <v/>
      </c>
      <c r="U149" s="128">
        <f t="array" ref="U149">IF(S149="","",IFERROR(OFFSET($BZ$11,0,MATCH($S149,$CA149:$FV149,0),),""))</f>
        <v/>
      </c>
      <c r="V149" s="133">
        <f t="array" ref="V149">IF(S149="","",INDIRECT("'GRD-"&amp;U149&amp;"'!$L$7"))</f>
        <v/>
      </c>
      <c r="W149" s="84">
        <f t="array" ref="W149">IFERROR(OFFSET($BZ$11,ROW($B149)-11,MATCH(W$10,$CA149:$FV149,0),),"")</f>
        <v/>
      </c>
      <c r="X149" s="84">
        <f>IF(W149="","",IF(VLOOKUP($B149,INDIRECT("'GRD-"&amp;Y149&amp;"'!$B:$R"),16,FALSE)="","",VLOOKUP($B149,INDIRECT("'GRD-"&amp;Y149&amp;"'!$B:$R"),16,FALSE)))</f>
        <v/>
      </c>
      <c r="Y149" s="129">
        <f t="array" ref="Y149">IF(W149="","",IFERROR(OFFSET($BZ$11,0,MATCH($W149,$CA149:$FV149,0),),""))</f>
        <v/>
      </c>
      <c r="Z149" s="134">
        <f t="array" ref="Z149">IF(W149="","",INDIRECT("'GRD-"&amp;Y149&amp;"'!$L$7"))</f>
        <v/>
      </c>
      <c r="AA149" s="85">
        <f t="array" ref="AA149">IFERROR(OFFSET($BZ$11,ROW($B149)-11,MATCH(AA$10,$CA149:$FV149,0),),"")</f>
        <v/>
      </c>
      <c r="AB149" s="85">
        <f>IF(AA149="","",IF(VLOOKUP($B149,INDIRECT("'GRD-"&amp;AC149&amp;"'!$B:$R"),16,FALSE)="","",VLOOKUP($B149,INDIRECT("'GRD-"&amp;AC149&amp;"'!$B:$R"),16,FALSE)))</f>
        <v/>
      </c>
      <c r="AC149" s="130">
        <f t="array" ref="AC149">IF(AA149="","",IFERROR(OFFSET($BZ$11,0,MATCH($AA149,$CA149:$FV149,0),),""))</f>
        <v/>
      </c>
      <c r="AD149" s="131">
        <f t="array" ref="AD149">IF(AA149="","",INDIRECT("'GRD-"&amp;AC149&amp;"'!$L$7"))</f>
        <v/>
      </c>
      <c r="AE149" s="76">
        <f t="array" ref="AE149">IFERROR(OFFSET($BZ$11,ROW($B149)-11,MATCH(AE$10,$CA149:$FV149,0),),"")</f>
        <v/>
      </c>
      <c r="AF149" s="76">
        <f>IF(AE149="","",IF(VLOOKUP($B149,INDIRECT("'GRD-"&amp;AG149&amp;"'!$B:$R"),16,FALSE)="","",VLOOKUP($B149,INDIRECT("'GRD-"&amp;AG149&amp;"'!$B:$R"),16,FALSE)))</f>
        <v/>
      </c>
      <c r="AG149" s="132">
        <f t="array" ref="AG149">IF(AE149="","",IFERROR(OFFSET($BZ$11,0,MATCH($AE149,$CA149:$FV149,0),),""))</f>
        <v/>
      </c>
      <c r="AH149" s="121">
        <f t="array" ref="AH149">IF(AE149="","",INDIRECT("'GRD-"&amp;AG149&amp;"'!$L$7"))</f>
        <v/>
      </c>
      <c r="AI149" s="83">
        <f t="array" ref="AI149">IFERROR(OFFSET($BZ$11,ROW($B149)-11,MATCH(AI$10,$CA149:$FV149,0),),"")</f>
        <v/>
      </c>
      <c r="AJ149" s="83">
        <f>IF(AI149="","",IF(VLOOKUP($B149,INDIRECT("'GRD-"&amp;AK149&amp;"'!$B:$R"),16,FALSE)="","",VLOOKUP($B149,INDIRECT("'GRD-"&amp;AK149&amp;"'!$B:$R"),16,FALSE)))</f>
        <v/>
      </c>
      <c r="AK149" s="128">
        <f t="array" ref="AK149">IF(AI149="","",IFERROR(OFFSET($BZ$11,0,MATCH($AI149,$CA149:$FV149,0),),""))</f>
        <v/>
      </c>
      <c r="AL149" s="133">
        <f t="array" ref="AL149">IF(AI149="","",INDIRECT("'GRD-"&amp;AK149&amp;"'!$L$7"))</f>
        <v/>
      </c>
      <c r="AM149" s="84">
        <f t="array" ref="AM149">IFERROR(OFFSET($BZ$11,ROW($B149)-11,MATCH(AM$10,$CA149:$FV149,0),),"")</f>
        <v/>
      </c>
      <c r="AN149" s="84">
        <f>IF(AM149="","",IF(VLOOKUP($B149,INDIRECT("'GRD-"&amp;AO149&amp;"'!$B:$R"),16,FALSE)="","",VLOOKUP($B149,INDIRECT("'GRD-"&amp;AO149&amp;"'!$B:$R"),16,FALSE)))</f>
        <v/>
      </c>
      <c r="AO149" s="129">
        <f t="array" ref="AO149">IF(AM149="","",IFERROR(OFFSET($BZ$11,0,MATCH($AM149,$CA149:$FV149,0),),""))</f>
        <v/>
      </c>
      <c r="AP149" s="134">
        <f t="array" ref="AP149">IF(AM149="","",INDIRECT("'GRD-"&amp;AO149&amp;"'!$L$7"))</f>
        <v/>
      </c>
      <c r="AQ149" s="85">
        <f t="array" ref="AQ149">IFERROR(OFFSET($BZ$11,ROW($B149)-11,MATCH(AQ$10,$CA149:$FV149,0),),"")</f>
        <v/>
      </c>
      <c r="AR149" s="85">
        <f>IF(AQ149="","",IF(VLOOKUP($B149,INDIRECT("'GRD-"&amp;AS149&amp;"'!$B:$R"),16,FALSE)="","",VLOOKUP($B149,INDIRECT("'GRD-"&amp;AS149&amp;"'!$B:$R"),16,FALSE)))</f>
        <v/>
      </c>
      <c r="AS149" s="130">
        <f t="array" ref="AS149">IF(AQ149="","",IFERROR(OFFSET($BZ$11,0,MATCH($AQ149,$CA149:$FV149,0),),""))</f>
        <v/>
      </c>
      <c r="AT149" s="131">
        <f t="array" ref="AT149">IF(AQ149="","",INDIRECT("'GRD-"&amp;AS149&amp;"'!$L$7"))</f>
        <v/>
      </c>
      <c r="AU149" s="76">
        <f t="array" ref="AU149">IFERROR(OFFSET($BZ$11,ROW($B149)-11,MATCH(AU$10,$CA149:$FV149,0),),"")</f>
        <v/>
      </c>
      <c r="AV149" s="76">
        <f>IF(AU149="","",IF(VLOOKUP($B149,INDIRECT("'GRD-"&amp;AW149&amp;"'!$B:$R"),16,FALSE)="","",VLOOKUP($B149,INDIRECT("'GRD-"&amp;AW149&amp;"'!$B:$R"),16,FALSE)))</f>
        <v/>
      </c>
      <c r="AW149" s="132">
        <f t="array" ref="AW149">IF(AU149="","",IFERROR(OFFSET($BZ$11,0,MATCH($AU149,$CA149:$FV149,0),),""))</f>
        <v/>
      </c>
      <c r="AX149" s="121">
        <f t="array" ref="AX149">IF(AU149="","",INDIRECT("'GRD-"&amp;AW149&amp;"'!$L$7"))</f>
        <v/>
      </c>
      <c r="AY149" s="83">
        <f t="array" ref="AY149">IFERROR(OFFSET($BZ$11,ROW($B149)-11,MATCH(AY$10,$CA149:$FV149,0),),"")</f>
        <v/>
      </c>
      <c r="AZ149" s="83">
        <f>IF(AY149="","",IF(VLOOKUP($B149,INDIRECT("'GRD-"&amp;BA149&amp;"'!$B:$R"),16,FALSE)="","",VLOOKUP($B149,INDIRECT("'GRD-"&amp;BA149&amp;"'!$B:$R"),16,FALSE)))</f>
        <v/>
      </c>
      <c r="BA149" s="128">
        <f t="array" ref="BA149">IF(AY149="","",IFERROR(OFFSET($BZ$11,0,MATCH($AY149,$CA149:$FV149,0),),""))</f>
        <v/>
      </c>
      <c r="BB149" s="133">
        <f t="array" ref="BB149">IF(AY149="","",INDIRECT("'GRD-"&amp;BA149&amp;"'!$L$7"))</f>
        <v/>
      </c>
      <c r="BC149" s="84">
        <f t="array" ref="BC149">IFERROR(OFFSET($BZ$11,ROW($B149)-11,MATCH(BC$10,$CA149:$FV149,0),),"")</f>
        <v/>
      </c>
      <c r="BD149" s="84">
        <f>IF(BC149="","",IF(VLOOKUP($B149,INDIRECT("'GRD-"&amp;BE149&amp;"'!$B:$R"),16,FALSE)="","",VLOOKUP($B149,INDIRECT("'GRD-"&amp;BE149&amp;"'!$B:$R"),16,FALSE)))</f>
        <v/>
      </c>
      <c r="BE149" s="129">
        <f t="array" ref="BE149">IF(BC149="","",IFERROR(OFFSET($BZ$11,0,MATCH($BC149,$CA149:$FV149,0),),""))</f>
        <v/>
      </c>
      <c r="BF149" s="134">
        <f t="array" ref="BF149">IF(BC149="","",INDIRECT("'GRD-"&amp;BE149&amp;"'!$L$7"))</f>
        <v/>
      </c>
      <c r="CA149" s="96">
        <f>IFERROR(VLOOKUP($B149,INDIRECT("'GRD-"&amp;CA$11&amp;"'!B:R"),15,FALSE),"")</f>
        <v/>
      </c>
      <c r="CB149" s="96">
        <f>IFERROR(VLOOKUP($B149,INDIRECT("'GRD-"&amp;CB$11&amp;"'!B:R"),15,FALSE),"")</f>
        <v/>
      </c>
      <c r="CC149" s="96">
        <f>IFERROR(VLOOKUP($B149,INDIRECT("'GRD-"&amp;CC$11&amp;"'!B:R"),15,FALSE),"")</f>
        <v/>
      </c>
      <c r="CD149" s="96">
        <f>IFERROR(VLOOKUP($B149,INDIRECT("'GRD-"&amp;CD$11&amp;"'!B:R"),15,FALSE),"")</f>
        <v/>
      </c>
      <c r="CE149" s="96">
        <f>IFERROR(VLOOKUP($B149,INDIRECT("'GRD-"&amp;CE$11&amp;"'!B:R"),15,FALSE),"")</f>
        <v/>
      </c>
      <c r="CF149" s="96">
        <f>IFERROR(VLOOKUP($B149,INDIRECT("'GRD-"&amp;CF$11&amp;"'!B:R"),15,FALSE),"")</f>
        <v/>
      </c>
      <c r="CG149" s="96">
        <f>IFERROR(VLOOKUP($B149,INDIRECT("'GRD-"&amp;CG$11&amp;"'!B:R"),15,FALSE),"")</f>
        <v/>
      </c>
      <c r="CH149" s="96">
        <f>IFERROR(VLOOKUP($B149,INDIRECT("'GRD-"&amp;CH$11&amp;"'!B:R"),15,FALSE),"")</f>
        <v/>
      </c>
      <c r="CI149" s="96">
        <f>IFERROR(VLOOKUP($B149,INDIRECT("'GRD-"&amp;CI$11&amp;"'!B:R"),15,FALSE),"")</f>
        <v/>
      </c>
      <c r="CJ149" s="96">
        <f>IFERROR(VLOOKUP($B149,INDIRECT("'GRD-"&amp;CJ$11&amp;"'!B:R"),15,FALSE),"")</f>
        <v/>
      </c>
      <c r="CK149" s="96">
        <f>IFERROR(VLOOKUP($B149,INDIRECT("'GRD-"&amp;CK$11&amp;"'!B:R"),15,FALSE),"")</f>
        <v/>
      </c>
      <c r="CL149" s="96">
        <f>IFERROR(VLOOKUP($B149,INDIRECT("'GRD-"&amp;CL$11&amp;"'!B:R"),15,FALSE),"")</f>
        <v/>
      </c>
      <c r="CM149" s="96">
        <f>IFERROR(VLOOKUP($B149,INDIRECT("'GRD-"&amp;CM$11&amp;"'!B:R"),15,FALSE),"")</f>
        <v/>
      </c>
      <c r="CN149" s="96">
        <f>IFERROR(VLOOKUP($B149,INDIRECT("'GRD-"&amp;CN$11&amp;"'!B:R"),15,FALSE),"")</f>
        <v/>
      </c>
      <c r="CO149" s="96">
        <f>IFERROR(VLOOKUP($B149,INDIRECT("'GRD-"&amp;CO$11&amp;"'!B:R"),15,FALSE),"")</f>
        <v/>
      </c>
      <c r="CP149" s="96">
        <f>IFERROR(VLOOKUP($B149,INDIRECT("'GRD-"&amp;CP$11&amp;"'!B:R"),15,FALSE),"")</f>
        <v/>
      </c>
      <c r="CQ149" s="96">
        <f>IFERROR(VLOOKUP($B149,INDIRECT("'GRD-"&amp;CQ$11&amp;"'!B:R"),15,FALSE),"")</f>
        <v/>
      </c>
      <c r="CR149" s="96">
        <f>IFERROR(VLOOKUP($B149,INDIRECT("'GRD-"&amp;CR$11&amp;"'!B:R"),15,FALSE),"")</f>
        <v/>
      </c>
      <c r="CS149" s="96">
        <f>IFERROR(VLOOKUP($B149,INDIRECT("'GRD-"&amp;CS$11&amp;"'!B:R"),15,FALSE),"")</f>
        <v/>
      </c>
      <c r="CT149" s="96">
        <f>IFERROR(VLOOKUP($B149,INDIRECT("'GRD-"&amp;CT$11&amp;"'!B:R"),15,FALSE),"")</f>
        <v/>
      </c>
      <c r="CU149" s="96">
        <f>IFERROR(VLOOKUP($B149,INDIRECT("'GRD-"&amp;CU$11&amp;"'!B:R"),15,FALSE),"")</f>
        <v/>
      </c>
      <c r="CV149" s="96">
        <f>IFERROR(VLOOKUP($B149,INDIRECT("'GRD-"&amp;CV$11&amp;"'!B:R"),15,FALSE),"")</f>
        <v/>
      </c>
      <c r="CW149" s="96">
        <f>IFERROR(VLOOKUP($B149,INDIRECT("'GRD-"&amp;CW$11&amp;"'!B:R"),15,FALSE),"")</f>
        <v/>
      </c>
      <c r="CX149" s="96">
        <f>IFERROR(VLOOKUP($B149,INDIRECT("'GRD-"&amp;CX$11&amp;"'!B:R"),15,FALSE),"")</f>
        <v/>
      </c>
      <c r="CY149" s="96">
        <f>IFERROR(VLOOKUP($B149,INDIRECT("'GRD-"&amp;CY$11&amp;"'!B:R"),15,FALSE),"")</f>
        <v/>
      </c>
      <c r="CZ149" s="96">
        <f>IFERROR(VLOOKUP($B149,INDIRECT("'GRD-"&amp;CZ$11&amp;"'!B:R"),15,FALSE),"")</f>
        <v/>
      </c>
      <c r="DA149" s="96">
        <f>IFERROR(VLOOKUP($B149,INDIRECT("'GRD-"&amp;DA$11&amp;"'!B:R"),15,FALSE),"")</f>
        <v/>
      </c>
      <c r="DB149" s="96">
        <f>IFERROR(VLOOKUP($B149,INDIRECT("'GRD-"&amp;DB$11&amp;"'!B:R"),15,FALSE),"")</f>
        <v/>
      </c>
      <c r="DC149" s="96">
        <f>IFERROR(VLOOKUP($B149,INDIRECT("'GRD-"&amp;DC$11&amp;"'!B:R"),15,FALSE),"")</f>
        <v/>
      </c>
      <c r="DD149" s="96">
        <f>IFERROR(VLOOKUP($B149,INDIRECT("'GRD-"&amp;DD$11&amp;"'!B:R"),15,FALSE),"")</f>
        <v/>
      </c>
      <c r="DE149" s="96">
        <f>IFERROR(VLOOKUP($B149,INDIRECT("'GRD-"&amp;DE$11&amp;"'!B:R"),15,FALSE),"")</f>
        <v/>
      </c>
      <c r="DF149" s="96">
        <f>IFERROR(VLOOKUP($B149,INDIRECT("'GRD-"&amp;DF$11&amp;"'!B:R"),15,FALSE),"")</f>
        <v/>
      </c>
      <c r="DG149" s="96">
        <f>IFERROR(VLOOKUP($B149,INDIRECT("'GRD-"&amp;DG$11&amp;"'!B:R"),15,FALSE),"")</f>
        <v/>
      </c>
      <c r="DH149" s="96">
        <f>IFERROR(VLOOKUP($B149,INDIRECT("'GRD-"&amp;DH$11&amp;"'!B:R"),15,FALSE),"")</f>
        <v/>
      </c>
      <c r="DI149" s="96">
        <f>IFERROR(VLOOKUP($B149,INDIRECT("'GRD-"&amp;DI$11&amp;"'!B:R"),15,FALSE),"")</f>
        <v/>
      </c>
      <c r="DJ149" s="96">
        <f>IFERROR(VLOOKUP($B149,INDIRECT("'GRD-"&amp;DJ$11&amp;"'!B:R"),15,FALSE),"")</f>
        <v/>
      </c>
      <c r="DK149" s="96">
        <f>IFERROR(VLOOKUP($B149,INDIRECT("'GRD-"&amp;DK$11&amp;"'!B:R"),15,FALSE),"")</f>
        <v/>
      </c>
      <c r="DL149" s="96">
        <f>IFERROR(VLOOKUP($B149,INDIRECT("'GRD-"&amp;DL$11&amp;"'!B:R"),15,FALSE),"")</f>
        <v/>
      </c>
      <c r="DM149" s="96">
        <f>IFERROR(VLOOKUP($B149,INDIRECT("'GRD-"&amp;DM$11&amp;"'!B:R"),15,FALSE),"")</f>
        <v/>
      </c>
      <c r="DN149" s="96">
        <f>IFERROR(VLOOKUP($B149,INDIRECT("'GRD-"&amp;DN$11&amp;"'!B:R"),15,FALSE),"")</f>
        <v/>
      </c>
      <c r="DO149" s="96">
        <f>IFERROR(VLOOKUP($B149,INDIRECT("'GRD-"&amp;DO$11&amp;"'!B:R"),15,FALSE),"")</f>
        <v/>
      </c>
      <c r="DP149" s="96">
        <f>IFERROR(VLOOKUP($B149,INDIRECT("'GRD-"&amp;DP$11&amp;"'!B:R"),15,FALSE),"")</f>
        <v/>
      </c>
      <c r="DQ149" s="96">
        <f>IFERROR(VLOOKUP($B149,INDIRECT("'GRD-"&amp;DQ$11&amp;"'!B:R"),15,FALSE),"")</f>
        <v/>
      </c>
      <c r="DR149" s="96">
        <f>IFERROR(VLOOKUP($B149,INDIRECT("'GRD-"&amp;DR$11&amp;"'!B:R"),15,FALSE),"")</f>
        <v/>
      </c>
      <c r="DS149" s="96">
        <f>IFERROR(VLOOKUP($B149,INDIRECT("'GRD-"&amp;DS$11&amp;"'!B:R"),15,FALSE),"")</f>
        <v/>
      </c>
      <c r="DT149" s="96">
        <f>IFERROR(VLOOKUP($B149,INDIRECT("'GRD-"&amp;DT$11&amp;"'!B:R"),15,FALSE),"")</f>
        <v/>
      </c>
      <c r="DU149" s="96">
        <f>IFERROR(VLOOKUP($B149,INDIRECT("'GRD-"&amp;DU$11&amp;"'!B:R"),15,FALSE),"")</f>
        <v/>
      </c>
      <c r="DV149" s="96">
        <f>IFERROR(VLOOKUP($B149,INDIRECT("'GRD-"&amp;DV$11&amp;"'!B:R"),15,FALSE),"")</f>
        <v/>
      </c>
      <c r="DW149" s="96">
        <f>IFERROR(VLOOKUP($B149,INDIRECT("'GRD-"&amp;DW$11&amp;"'!B:R"),15,FALSE),"")</f>
        <v/>
      </c>
      <c r="DX149" s="96">
        <f>IFERROR(VLOOKUP($B149,INDIRECT("'GRD-"&amp;DX$11&amp;"'!B:R"),15,FALSE),"")</f>
        <v/>
      </c>
      <c r="DY149" s="96">
        <f>IFERROR(VLOOKUP($B149,INDIRECT("'GRD-"&amp;DY$11&amp;"'!B:R"),15,FALSE),"")</f>
        <v/>
      </c>
      <c r="DZ149" s="96">
        <f>IFERROR(VLOOKUP($B149,INDIRECT("'GRD-"&amp;DZ$11&amp;"'!B:R"),15,FALSE),"")</f>
        <v/>
      </c>
      <c r="EA149" s="96">
        <f>IFERROR(VLOOKUP($B149,INDIRECT("'GRD-"&amp;EA$11&amp;"'!B:R"),15,FALSE),"")</f>
        <v/>
      </c>
      <c r="EB149" s="96">
        <f>IFERROR(VLOOKUP($B149,INDIRECT("'GRD-"&amp;EB$11&amp;"'!B:R"),15,FALSE),"")</f>
        <v/>
      </c>
      <c r="EC149" s="96">
        <f>IFERROR(VLOOKUP($B149,INDIRECT("'GRD-"&amp;EC$11&amp;"'!B:R"),15,FALSE),"")</f>
        <v/>
      </c>
      <c r="ED149" s="96">
        <f>IFERROR(VLOOKUP($B149,INDIRECT("'GRD-"&amp;ED$11&amp;"'!B:R"),15,FALSE),"")</f>
        <v/>
      </c>
      <c r="EE149" s="96">
        <f>IFERROR(VLOOKUP($B149,INDIRECT("'GRD-"&amp;EE$11&amp;"'!B:R"),15,FALSE),"")</f>
        <v/>
      </c>
      <c r="EF149" s="96">
        <f>IFERROR(VLOOKUP($B149,INDIRECT("'GRD-"&amp;EF$11&amp;"'!B:R"),15,FALSE),"")</f>
        <v/>
      </c>
      <c r="EG149" s="96">
        <f>IFERROR(VLOOKUP($B149,INDIRECT("'GRD-"&amp;EG$11&amp;"'!B:R"),15,FALSE),"")</f>
        <v/>
      </c>
      <c r="EH149" s="96">
        <f>IFERROR(VLOOKUP($B149,INDIRECT("'GRD-"&amp;EH$11&amp;"'!B:R"),15,FALSE),"")</f>
        <v/>
      </c>
      <c r="EI149" s="96">
        <f>IFERROR(VLOOKUP($B149,INDIRECT("'GRD-"&amp;EI$11&amp;"'!B:R"),15,FALSE),"")</f>
        <v/>
      </c>
      <c r="EJ149" s="96">
        <f>IFERROR(VLOOKUP($B149,INDIRECT("'GRD-"&amp;EJ$11&amp;"'!B:R"),15,FALSE),"")</f>
        <v/>
      </c>
      <c r="EK149" s="96">
        <f>IFERROR(VLOOKUP($B149,INDIRECT("'GRD-"&amp;EK$11&amp;"'!B:R"),15,FALSE),"")</f>
        <v/>
      </c>
      <c r="EL149" s="96">
        <f>IFERROR(VLOOKUP($B149,INDIRECT("'GRD-"&amp;EL$11&amp;"'!B:R"),15,FALSE),"")</f>
        <v/>
      </c>
      <c r="EM149" s="96">
        <f>IFERROR(VLOOKUP($B149,INDIRECT("'GRD-"&amp;EM$11&amp;"'!B:R"),15,FALSE),"")</f>
        <v/>
      </c>
      <c r="EN149" s="96">
        <f>IFERROR(VLOOKUP($B149,INDIRECT("'GRD-"&amp;EN$11&amp;"'!B:R"),15,FALSE),"")</f>
        <v/>
      </c>
      <c r="EO149" s="96">
        <f>IFERROR(VLOOKUP($B149,INDIRECT("'GRD-"&amp;EO$11&amp;"'!B:R"),15,FALSE),"")</f>
        <v/>
      </c>
      <c r="EP149" s="96">
        <f>IFERROR(VLOOKUP($B149,INDIRECT("'GRD-"&amp;EP$11&amp;"'!B:R"),15,FALSE),"")</f>
        <v/>
      </c>
      <c r="EQ149" s="96">
        <f>IFERROR(VLOOKUP($B149,INDIRECT("'GRD-"&amp;EQ$11&amp;"'!B:R"),15,FALSE),"")</f>
        <v/>
      </c>
      <c r="ER149" s="96">
        <f>IFERROR(VLOOKUP($B149,INDIRECT("'GRD-"&amp;ER$11&amp;"'!B:R"),15,FALSE),"")</f>
        <v/>
      </c>
      <c r="ES149" s="96">
        <f>IFERROR(VLOOKUP($B149,INDIRECT("'GRD-"&amp;ES$11&amp;"'!B:R"),15,FALSE),"")</f>
        <v/>
      </c>
      <c r="ET149" s="96">
        <f>IFERROR(VLOOKUP($B149,INDIRECT("'GRD-"&amp;ET$11&amp;"'!B:R"),15,FALSE),"")</f>
        <v/>
      </c>
      <c r="EU149" s="96">
        <f>IFERROR(VLOOKUP($B149,INDIRECT("'GRD-"&amp;EU$11&amp;"'!B:R"),15,FALSE),"")</f>
        <v/>
      </c>
      <c r="EV149" s="96">
        <f>IFERROR(VLOOKUP($B149,INDIRECT("'GRD-"&amp;EV$11&amp;"'!B:R"),15,FALSE),"")</f>
        <v/>
      </c>
      <c r="EW149" s="96">
        <f>IFERROR(VLOOKUP($B149,INDIRECT("'GRD-"&amp;EW$11&amp;"'!B:R"),15,FALSE),"")</f>
        <v/>
      </c>
      <c r="EX149" s="96">
        <f>IFERROR(VLOOKUP($B149,INDIRECT("'GRD-"&amp;EX$11&amp;"'!B:R"),15,FALSE),"")</f>
        <v/>
      </c>
      <c r="EY149" s="96">
        <f>IFERROR(VLOOKUP($B149,INDIRECT("'GRD-"&amp;EY$11&amp;"'!B:R"),15,FALSE),"")</f>
        <v/>
      </c>
      <c r="EZ149" s="96">
        <f>IFERROR(VLOOKUP($B149,INDIRECT("'GRD-"&amp;EZ$11&amp;"'!B:R"),15,FALSE),"")</f>
        <v/>
      </c>
      <c r="FA149" s="96">
        <f>IFERROR(VLOOKUP($B149,INDIRECT("'GRD-"&amp;FA$11&amp;"'!B:R"),15,FALSE),"")</f>
        <v/>
      </c>
      <c r="FB149" s="96">
        <f>IFERROR(VLOOKUP($B149,INDIRECT("'GRD-"&amp;FB$11&amp;"'!B:R"),15,FALSE),"")</f>
        <v/>
      </c>
      <c r="FC149" s="96">
        <f>IFERROR(VLOOKUP($B149,INDIRECT("'GRD-"&amp;FC$11&amp;"'!B:R"),15,FALSE),"")</f>
        <v/>
      </c>
      <c r="FD149" s="96">
        <f>IFERROR(VLOOKUP($B149,INDIRECT("'GRD-"&amp;FD$11&amp;"'!B:R"),15,FALSE),"")</f>
        <v/>
      </c>
      <c r="FE149" s="96">
        <f>IFERROR(VLOOKUP($B149,INDIRECT("'GRD-"&amp;FE$11&amp;"'!B:R"),15,FALSE),"")</f>
        <v/>
      </c>
      <c r="FF149" s="96">
        <f>IFERROR(VLOOKUP($B149,INDIRECT("'GRD-"&amp;FF$11&amp;"'!B:R"),15,FALSE),"")</f>
        <v/>
      </c>
      <c r="FG149" s="96">
        <f>IFERROR(VLOOKUP($B149,INDIRECT("'GRD-"&amp;FG$11&amp;"'!B:R"),15,FALSE),"")</f>
        <v/>
      </c>
      <c r="FH149" s="96">
        <f>IFERROR(VLOOKUP($B149,INDIRECT("'GRD-"&amp;FH$11&amp;"'!B:R"),15,FALSE),"")</f>
        <v/>
      </c>
      <c r="FI149" s="96">
        <f>IFERROR(VLOOKUP($B149,INDIRECT("'GRD-"&amp;FI$11&amp;"'!B:R"),15,FALSE),"")</f>
        <v/>
      </c>
      <c r="FJ149" s="96">
        <f>IFERROR(VLOOKUP($B149,INDIRECT("'GRD-"&amp;FJ$11&amp;"'!B:R"),15,FALSE),"")</f>
        <v/>
      </c>
      <c r="FK149" s="96">
        <f>IFERROR(VLOOKUP($B149,INDIRECT("'GRD-"&amp;FK$11&amp;"'!B:R"),15,FALSE),"")</f>
        <v/>
      </c>
      <c r="FL149" s="96">
        <f>IFERROR(VLOOKUP($B149,INDIRECT("'GRD-"&amp;FL$11&amp;"'!B:R"),15,FALSE),"")</f>
        <v/>
      </c>
      <c r="FM149" s="96">
        <f>IFERROR(VLOOKUP($B149,INDIRECT("'GRD-"&amp;FM$11&amp;"'!B:R"),15,FALSE),"")</f>
        <v/>
      </c>
      <c r="FN149" s="96">
        <f>IFERROR(VLOOKUP($B149,INDIRECT("'GRD-"&amp;FN$11&amp;"'!B:R"),15,FALSE),"")</f>
        <v/>
      </c>
      <c r="FO149" s="96">
        <f>IFERROR(VLOOKUP($B149,INDIRECT("'GRD-"&amp;FO$11&amp;"'!B:R"),15,FALSE),"")</f>
        <v/>
      </c>
      <c r="FP149" s="96">
        <f>IFERROR(VLOOKUP($B149,INDIRECT("'GRD-"&amp;FP$11&amp;"'!B:R"),15,FALSE),"")</f>
        <v/>
      </c>
      <c r="FQ149" s="96">
        <f>IFERROR(VLOOKUP($B149,INDIRECT("'GRD-"&amp;FQ$11&amp;"'!B:R"),15,FALSE),"")</f>
        <v/>
      </c>
      <c r="FR149" s="96">
        <f>IFERROR(VLOOKUP($B149,INDIRECT("'GRD-"&amp;FR$11&amp;"'!B:R"),15,FALSE),"")</f>
        <v/>
      </c>
      <c r="FS149" s="96">
        <f>IFERROR(VLOOKUP($B149,INDIRECT("'GRD-"&amp;FS$11&amp;"'!B:R"),15,FALSE),"")</f>
        <v/>
      </c>
      <c r="FT149" s="96">
        <f>IFERROR(VLOOKUP($B149,INDIRECT("'GRD-"&amp;FT$11&amp;"'!B:R"),15,FALSE),"")</f>
        <v/>
      </c>
      <c r="FU149" s="96">
        <f>IFERROR(VLOOKUP($B149,INDIRECT("'GRD-"&amp;FU$11&amp;"'!B:R"),15,FALSE),"")</f>
        <v/>
      </c>
      <c r="FV149" s="96">
        <f>IFERROR(VLOOKUP($B149,INDIRECT("'GRD-"&amp;FV$11&amp;"'!B:R"),15,FALSE),"")</f>
        <v/>
      </c>
    </row>
    <row r="150">
      <c r="B150" s="85" t="n"/>
      <c r="C150" s="93" t="n"/>
      <c r="D150" s="73">
        <f>IF(K150="","",MAX($CA150:$FV150))</f>
        <v/>
      </c>
      <c r="E150" s="74">
        <f t="array" ref="E150">IF($K150="","",OFFSET($A$1,ROW($B150)-1,11+$D150*4,))</f>
        <v/>
      </c>
      <c r="F150" s="74">
        <f t="array" ref="F150">IF($K150="","",OFFSET($A$1,ROW($B150)-1,12+$D150*4,))</f>
        <v/>
      </c>
      <c r="G150" s="118">
        <f t="array" ref="G150">IF($K150="","",OFFSET($A$1,ROW($B150)-1,13+$D150*4,))</f>
        <v/>
      </c>
      <c r="H150" s="81" t="n"/>
      <c r="I150" s="82" t="n"/>
      <c r="J150" s="75">
        <f>IF(I150="A4",H150/8,IF(I150="A3",H150/4,IF(I150="A2",H150/2,IF(I150="A1",H150/1,IF(I150="A0",H150*2,"")))))</f>
        <v/>
      </c>
      <c r="K150" s="68">
        <f t="array" ref="K150">IFERROR(OFFSET($BZ$11,ROW($B150)-11,MATCH(K$10,$CA150:$FV150,0),),"")</f>
        <v/>
      </c>
      <c r="L150" s="85">
        <f>IF(K150="","",IF(VLOOKUP($B150,INDIRECT("'GRD-"&amp;M150&amp;"'!$B:$R"),16,FALSE)="","",VLOOKUP($B150,INDIRECT("'GRD-"&amp;M150&amp;"'!$B:$R"),16,FALSE)))</f>
        <v/>
      </c>
      <c r="M150" s="130">
        <f t="array" ref="M150">IF(K150="","",IFERROR(OFFSET($BZ$11,0,MATCH($K150,$CA150:$FV150,0),),""))</f>
        <v/>
      </c>
      <c r="N150" s="119">
        <f t="array" ref="N150">IF(K150="","",INDIRECT("'GRD-"&amp;M150&amp;"'!$L$7"))</f>
        <v/>
      </c>
      <c r="O150" s="76">
        <f t="array" ref="O150">IFERROR(OFFSET($BZ$11,ROW($B150)-11,MATCH(O$10,$CA150:$FV150,0),),"")</f>
        <v/>
      </c>
      <c r="P150" s="76">
        <f>IF(O150="","",IF(VLOOKUP($B150,INDIRECT("'GRD-"&amp;Q150&amp;"'!$B:$R"),16,FALSE)="","",VLOOKUP($B150,INDIRECT("'GRD-"&amp;Q150&amp;"'!$B:$R"),16,FALSE)))</f>
        <v/>
      </c>
      <c r="Q150" s="132">
        <f t="array" ref="Q150">IF(O150="","",IFERROR(OFFSET($BZ$11,0,MATCH($O150,$CA150:$FV150,0),),""))</f>
        <v/>
      </c>
      <c r="R150" s="121">
        <f t="array" ref="R150">IF(O150="","",INDIRECT("'GRD-"&amp;Q150&amp;"'!$L$7"))</f>
        <v/>
      </c>
      <c r="S150" s="83">
        <f t="array" ref="S150">IFERROR(OFFSET($BZ$11,ROW($B150)-11,MATCH(S$10,$CA150:$FV150,0),),"")</f>
        <v/>
      </c>
      <c r="T150" s="83">
        <f>IF(S150="","",IF(VLOOKUP($B150,INDIRECT("'GRD-"&amp;U150&amp;"'!$B:$R"),16,FALSE)="","",VLOOKUP($B150,INDIRECT("'GRD-"&amp;U150&amp;"'!$B:$R"),16,FALSE)))</f>
        <v/>
      </c>
      <c r="U150" s="128">
        <f t="array" ref="U150">IF(S150="","",IFERROR(OFFSET($BZ$11,0,MATCH($S150,$CA150:$FV150,0),),""))</f>
        <v/>
      </c>
      <c r="V150" s="133">
        <f t="array" ref="V150">IF(S150="","",INDIRECT("'GRD-"&amp;U150&amp;"'!$L$7"))</f>
        <v/>
      </c>
      <c r="W150" s="84">
        <f t="array" ref="W150">IFERROR(OFFSET($BZ$11,ROW($B150)-11,MATCH(W$10,$CA150:$FV150,0),),"")</f>
        <v/>
      </c>
      <c r="X150" s="84">
        <f>IF(W150="","",IF(VLOOKUP($B150,INDIRECT("'GRD-"&amp;Y150&amp;"'!$B:$R"),16,FALSE)="","",VLOOKUP($B150,INDIRECT("'GRD-"&amp;Y150&amp;"'!$B:$R"),16,FALSE)))</f>
        <v/>
      </c>
      <c r="Y150" s="129">
        <f t="array" ref="Y150">IF(W150="","",IFERROR(OFFSET($BZ$11,0,MATCH($W150,$CA150:$FV150,0),),""))</f>
        <v/>
      </c>
      <c r="Z150" s="134">
        <f t="array" ref="Z150">IF(W150="","",INDIRECT("'GRD-"&amp;Y150&amp;"'!$L$7"))</f>
        <v/>
      </c>
      <c r="AA150" s="85">
        <f t="array" ref="AA150">IFERROR(OFFSET($BZ$11,ROW($B150)-11,MATCH(AA$10,$CA150:$FV150,0),),"")</f>
        <v/>
      </c>
      <c r="AB150" s="85">
        <f>IF(AA150="","",IF(VLOOKUP($B150,INDIRECT("'GRD-"&amp;AC150&amp;"'!$B:$R"),16,FALSE)="","",VLOOKUP($B150,INDIRECT("'GRD-"&amp;AC150&amp;"'!$B:$R"),16,FALSE)))</f>
        <v/>
      </c>
      <c r="AC150" s="130">
        <f t="array" ref="AC150">IF(AA150="","",IFERROR(OFFSET($BZ$11,0,MATCH($AA150,$CA150:$FV150,0),),""))</f>
        <v/>
      </c>
      <c r="AD150" s="131">
        <f t="array" ref="AD150">IF(AA150="","",INDIRECT("'GRD-"&amp;AC150&amp;"'!$L$7"))</f>
        <v/>
      </c>
      <c r="AE150" s="76">
        <f t="array" ref="AE150">IFERROR(OFFSET($BZ$11,ROW($B150)-11,MATCH(AE$10,$CA150:$FV150,0),),"")</f>
        <v/>
      </c>
      <c r="AF150" s="76">
        <f>IF(AE150="","",IF(VLOOKUP($B150,INDIRECT("'GRD-"&amp;AG150&amp;"'!$B:$R"),16,FALSE)="","",VLOOKUP($B150,INDIRECT("'GRD-"&amp;AG150&amp;"'!$B:$R"),16,FALSE)))</f>
        <v/>
      </c>
      <c r="AG150" s="132">
        <f t="array" ref="AG150">IF(AE150="","",IFERROR(OFFSET($BZ$11,0,MATCH($AE150,$CA150:$FV150,0),),""))</f>
        <v/>
      </c>
      <c r="AH150" s="121">
        <f t="array" ref="AH150">IF(AE150="","",INDIRECT("'GRD-"&amp;AG150&amp;"'!$L$7"))</f>
        <v/>
      </c>
      <c r="AI150" s="83">
        <f t="array" ref="AI150">IFERROR(OFFSET($BZ$11,ROW($B150)-11,MATCH(AI$10,$CA150:$FV150,0),),"")</f>
        <v/>
      </c>
      <c r="AJ150" s="83">
        <f>IF(AI150="","",IF(VLOOKUP($B150,INDIRECT("'GRD-"&amp;AK150&amp;"'!$B:$R"),16,FALSE)="","",VLOOKUP($B150,INDIRECT("'GRD-"&amp;AK150&amp;"'!$B:$R"),16,FALSE)))</f>
        <v/>
      </c>
      <c r="AK150" s="128">
        <f t="array" ref="AK150">IF(AI150="","",IFERROR(OFFSET($BZ$11,0,MATCH($AI150,$CA150:$FV150,0),),""))</f>
        <v/>
      </c>
      <c r="AL150" s="133">
        <f t="array" ref="AL150">IF(AI150="","",INDIRECT("'GRD-"&amp;AK150&amp;"'!$L$7"))</f>
        <v/>
      </c>
      <c r="AM150" s="84">
        <f t="array" ref="AM150">IFERROR(OFFSET($BZ$11,ROW($B150)-11,MATCH(AM$10,$CA150:$FV150,0),),"")</f>
        <v/>
      </c>
      <c r="AN150" s="84">
        <f>IF(AM150="","",IF(VLOOKUP($B150,INDIRECT("'GRD-"&amp;AO150&amp;"'!$B:$R"),16,FALSE)="","",VLOOKUP($B150,INDIRECT("'GRD-"&amp;AO150&amp;"'!$B:$R"),16,FALSE)))</f>
        <v/>
      </c>
      <c r="AO150" s="129">
        <f t="array" ref="AO150">IF(AM150="","",IFERROR(OFFSET($BZ$11,0,MATCH($AM150,$CA150:$FV150,0),),""))</f>
        <v/>
      </c>
      <c r="AP150" s="134">
        <f t="array" ref="AP150">IF(AM150="","",INDIRECT("'GRD-"&amp;AO150&amp;"'!$L$7"))</f>
        <v/>
      </c>
      <c r="AQ150" s="85">
        <f t="array" ref="AQ150">IFERROR(OFFSET($BZ$11,ROW($B150)-11,MATCH(AQ$10,$CA150:$FV150,0),),"")</f>
        <v/>
      </c>
      <c r="AR150" s="85">
        <f>IF(AQ150="","",IF(VLOOKUP($B150,INDIRECT("'GRD-"&amp;AS150&amp;"'!$B:$R"),16,FALSE)="","",VLOOKUP($B150,INDIRECT("'GRD-"&amp;AS150&amp;"'!$B:$R"),16,FALSE)))</f>
        <v/>
      </c>
      <c r="AS150" s="130">
        <f t="array" ref="AS150">IF(AQ150="","",IFERROR(OFFSET($BZ$11,0,MATCH($AQ150,$CA150:$FV150,0),),""))</f>
        <v/>
      </c>
      <c r="AT150" s="131">
        <f t="array" ref="AT150">IF(AQ150="","",INDIRECT("'GRD-"&amp;AS150&amp;"'!$L$7"))</f>
        <v/>
      </c>
      <c r="AU150" s="76">
        <f t="array" ref="AU150">IFERROR(OFFSET($BZ$11,ROW($B150)-11,MATCH(AU$10,$CA150:$FV150,0),),"")</f>
        <v/>
      </c>
      <c r="AV150" s="76">
        <f>IF(AU150="","",IF(VLOOKUP($B150,INDIRECT("'GRD-"&amp;AW150&amp;"'!$B:$R"),16,FALSE)="","",VLOOKUP($B150,INDIRECT("'GRD-"&amp;AW150&amp;"'!$B:$R"),16,FALSE)))</f>
        <v/>
      </c>
      <c r="AW150" s="132">
        <f t="array" ref="AW150">IF(AU150="","",IFERROR(OFFSET($BZ$11,0,MATCH($AU150,$CA150:$FV150,0),),""))</f>
        <v/>
      </c>
      <c r="AX150" s="121">
        <f t="array" ref="AX150">IF(AU150="","",INDIRECT("'GRD-"&amp;AW150&amp;"'!$L$7"))</f>
        <v/>
      </c>
      <c r="AY150" s="83">
        <f t="array" ref="AY150">IFERROR(OFFSET($BZ$11,ROW($B150)-11,MATCH(AY$10,$CA150:$FV150,0),),"")</f>
        <v/>
      </c>
      <c r="AZ150" s="83">
        <f>IF(AY150="","",IF(VLOOKUP($B150,INDIRECT("'GRD-"&amp;BA150&amp;"'!$B:$R"),16,FALSE)="","",VLOOKUP($B150,INDIRECT("'GRD-"&amp;BA150&amp;"'!$B:$R"),16,FALSE)))</f>
        <v/>
      </c>
      <c r="BA150" s="128">
        <f t="array" ref="BA150">IF(AY150="","",IFERROR(OFFSET($BZ$11,0,MATCH($AY150,$CA150:$FV150,0),),""))</f>
        <v/>
      </c>
      <c r="BB150" s="133">
        <f t="array" ref="BB150">IF(AY150="","",INDIRECT("'GRD-"&amp;BA150&amp;"'!$L$7"))</f>
        <v/>
      </c>
      <c r="BC150" s="84">
        <f t="array" ref="BC150">IFERROR(OFFSET($BZ$11,ROW($B150)-11,MATCH(BC$10,$CA150:$FV150,0),),"")</f>
        <v/>
      </c>
      <c r="BD150" s="84">
        <f>IF(BC150="","",IF(VLOOKUP($B150,INDIRECT("'GRD-"&amp;BE150&amp;"'!$B:$R"),16,FALSE)="","",VLOOKUP($B150,INDIRECT("'GRD-"&amp;BE150&amp;"'!$B:$R"),16,FALSE)))</f>
        <v/>
      </c>
      <c r="BE150" s="129">
        <f t="array" ref="BE150">IF(BC150="","",IFERROR(OFFSET($BZ$11,0,MATCH($BC150,$CA150:$FV150,0),),""))</f>
        <v/>
      </c>
      <c r="BF150" s="134">
        <f t="array" ref="BF150">IF(BC150="","",INDIRECT("'GRD-"&amp;BE150&amp;"'!$L$7"))</f>
        <v/>
      </c>
      <c r="CA150" s="96">
        <f>IFERROR(VLOOKUP($B150,INDIRECT("'GRD-"&amp;CA$11&amp;"'!B:R"),15,FALSE),"")</f>
        <v/>
      </c>
      <c r="CB150" s="96">
        <f>IFERROR(VLOOKUP($B150,INDIRECT("'GRD-"&amp;CB$11&amp;"'!B:R"),15,FALSE),"")</f>
        <v/>
      </c>
      <c r="CC150" s="96">
        <f>IFERROR(VLOOKUP($B150,INDIRECT("'GRD-"&amp;CC$11&amp;"'!B:R"),15,FALSE),"")</f>
        <v/>
      </c>
      <c r="CD150" s="96">
        <f>IFERROR(VLOOKUP($B150,INDIRECT("'GRD-"&amp;CD$11&amp;"'!B:R"),15,FALSE),"")</f>
        <v/>
      </c>
      <c r="CE150" s="96">
        <f>IFERROR(VLOOKUP($B150,INDIRECT("'GRD-"&amp;CE$11&amp;"'!B:R"),15,FALSE),"")</f>
        <v/>
      </c>
      <c r="CF150" s="96">
        <f>IFERROR(VLOOKUP($B150,INDIRECT("'GRD-"&amp;CF$11&amp;"'!B:R"),15,FALSE),"")</f>
        <v/>
      </c>
      <c r="CG150" s="96">
        <f>IFERROR(VLOOKUP($B150,INDIRECT("'GRD-"&amp;CG$11&amp;"'!B:R"),15,FALSE),"")</f>
        <v/>
      </c>
      <c r="CH150" s="96">
        <f>IFERROR(VLOOKUP($B150,INDIRECT("'GRD-"&amp;CH$11&amp;"'!B:R"),15,FALSE),"")</f>
        <v/>
      </c>
      <c r="CI150" s="96">
        <f>IFERROR(VLOOKUP($B150,INDIRECT("'GRD-"&amp;CI$11&amp;"'!B:R"),15,FALSE),"")</f>
        <v/>
      </c>
      <c r="CJ150" s="96">
        <f>IFERROR(VLOOKUP($B150,INDIRECT("'GRD-"&amp;CJ$11&amp;"'!B:R"),15,FALSE),"")</f>
        <v/>
      </c>
      <c r="CK150" s="96">
        <f>IFERROR(VLOOKUP($B150,INDIRECT("'GRD-"&amp;CK$11&amp;"'!B:R"),15,FALSE),"")</f>
        <v/>
      </c>
      <c r="CL150" s="96">
        <f>IFERROR(VLOOKUP($B150,INDIRECT("'GRD-"&amp;CL$11&amp;"'!B:R"),15,FALSE),"")</f>
        <v/>
      </c>
      <c r="CM150" s="96">
        <f>IFERROR(VLOOKUP($B150,INDIRECT("'GRD-"&amp;CM$11&amp;"'!B:R"),15,FALSE),"")</f>
        <v/>
      </c>
      <c r="CN150" s="96">
        <f>IFERROR(VLOOKUP($B150,INDIRECT("'GRD-"&amp;CN$11&amp;"'!B:R"),15,FALSE),"")</f>
        <v/>
      </c>
      <c r="CO150" s="96">
        <f>IFERROR(VLOOKUP($B150,INDIRECT("'GRD-"&amp;CO$11&amp;"'!B:R"),15,FALSE),"")</f>
        <v/>
      </c>
      <c r="CP150" s="96">
        <f>IFERROR(VLOOKUP($B150,INDIRECT("'GRD-"&amp;CP$11&amp;"'!B:R"),15,FALSE),"")</f>
        <v/>
      </c>
      <c r="CQ150" s="96">
        <f>IFERROR(VLOOKUP($B150,INDIRECT("'GRD-"&amp;CQ$11&amp;"'!B:R"),15,FALSE),"")</f>
        <v/>
      </c>
      <c r="CR150" s="96">
        <f>IFERROR(VLOOKUP($B150,INDIRECT("'GRD-"&amp;CR$11&amp;"'!B:R"),15,FALSE),"")</f>
        <v/>
      </c>
      <c r="CS150" s="96">
        <f>IFERROR(VLOOKUP($B150,INDIRECT("'GRD-"&amp;CS$11&amp;"'!B:R"),15,FALSE),"")</f>
        <v/>
      </c>
      <c r="CT150" s="96">
        <f>IFERROR(VLOOKUP($B150,INDIRECT("'GRD-"&amp;CT$11&amp;"'!B:R"),15,FALSE),"")</f>
        <v/>
      </c>
      <c r="CU150" s="96">
        <f>IFERROR(VLOOKUP($B150,INDIRECT("'GRD-"&amp;CU$11&amp;"'!B:R"),15,FALSE),"")</f>
        <v/>
      </c>
      <c r="CV150" s="96">
        <f>IFERROR(VLOOKUP($B150,INDIRECT("'GRD-"&amp;CV$11&amp;"'!B:R"),15,FALSE),"")</f>
        <v/>
      </c>
      <c r="CW150" s="96">
        <f>IFERROR(VLOOKUP($B150,INDIRECT("'GRD-"&amp;CW$11&amp;"'!B:R"),15,FALSE),"")</f>
        <v/>
      </c>
      <c r="CX150" s="96">
        <f>IFERROR(VLOOKUP($B150,INDIRECT("'GRD-"&amp;CX$11&amp;"'!B:R"),15,FALSE),"")</f>
        <v/>
      </c>
      <c r="CY150" s="96">
        <f>IFERROR(VLOOKUP($B150,INDIRECT("'GRD-"&amp;CY$11&amp;"'!B:R"),15,FALSE),"")</f>
        <v/>
      </c>
      <c r="CZ150" s="96">
        <f>IFERROR(VLOOKUP($B150,INDIRECT("'GRD-"&amp;CZ$11&amp;"'!B:R"),15,FALSE),"")</f>
        <v/>
      </c>
      <c r="DA150" s="96">
        <f>IFERROR(VLOOKUP($B150,INDIRECT("'GRD-"&amp;DA$11&amp;"'!B:R"),15,FALSE),"")</f>
        <v/>
      </c>
      <c r="DB150" s="96">
        <f>IFERROR(VLOOKUP($B150,INDIRECT("'GRD-"&amp;DB$11&amp;"'!B:R"),15,FALSE),"")</f>
        <v/>
      </c>
      <c r="DC150" s="96">
        <f>IFERROR(VLOOKUP($B150,INDIRECT("'GRD-"&amp;DC$11&amp;"'!B:R"),15,FALSE),"")</f>
        <v/>
      </c>
      <c r="DD150" s="96">
        <f>IFERROR(VLOOKUP($B150,INDIRECT("'GRD-"&amp;DD$11&amp;"'!B:R"),15,FALSE),"")</f>
        <v/>
      </c>
      <c r="DE150" s="96">
        <f>IFERROR(VLOOKUP($B150,INDIRECT("'GRD-"&amp;DE$11&amp;"'!B:R"),15,FALSE),"")</f>
        <v/>
      </c>
      <c r="DF150" s="96">
        <f>IFERROR(VLOOKUP($B150,INDIRECT("'GRD-"&amp;DF$11&amp;"'!B:R"),15,FALSE),"")</f>
        <v/>
      </c>
      <c r="DG150" s="96">
        <f>IFERROR(VLOOKUP($B150,INDIRECT("'GRD-"&amp;DG$11&amp;"'!B:R"),15,FALSE),"")</f>
        <v/>
      </c>
      <c r="DH150" s="96">
        <f>IFERROR(VLOOKUP($B150,INDIRECT("'GRD-"&amp;DH$11&amp;"'!B:R"),15,FALSE),"")</f>
        <v/>
      </c>
      <c r="DI150" s="96">
        <f>IFERROR(VLOOKUP($B150,INDIRECT("'GRD-"&amp;DI$11&amp;"'!B:R"),15,FALSE),"")</f>
        <v/>
      </c>
      <c r="DJ150" s="96">
        <f>IFERROR(VLOOKUP($B150,INDIRECT("'GRD-"&amp;DJ$11&amp;"'!B:R"),15,FALSE),"")</f>
        <v/>
      </c>
      <c r="DK150" s="96">
        <f>IFERROR(VLOOKUP($B150,INDIRECT("'GRD-"&amp;DK$11&amp;"'!B:R"),15,FALSE),"")</f>
        <v/>
      </c>
      <c r="DL150" s="96">
        <f>IFERROR(VLOOKUP($B150,INDIRECT("'GRD-"&amp;DL$11&amp;"'!B:R"),15,FALSE),"")</f>
        <v/>
      </c>
      <c r="DM150" s="96">
        <f>IFERROR(VLOOKUP($B150,INDIRECT("'GRD-"&amp;DM$11&amp;"'!B:R"),15,FALSE),"")</f>
        <v/>
      </c>
      <c r="DN150" s="96">
        <f>IFERROR(VLOOKUP($B150,INDIRECT("'GRD-"&amp;DN$11&amp;"'!B:R"),15,FALSE),"")</f>
        <v/>
      </c>
      <c r="DO150" s="96">
        <f>IFERROR(VLOOKUP($B150,INDIRECT("'GRD-"&amp;DO$11&amp;"'!B:R"),15,FALSE),"")</f>
        <v/>
      </c>
      <c r="DP150" s="96">
        <f>IFERROR(VLOOKUP($B150,INDIRECT("'GRD-"&amp;DP$11&amp;"'!B:R"),15,FALSE),"")</f>
        <v/>
      </c>
      <c r="DQ150" s="96">
        <f>IFERROR(VLOOKUP($B150,INDIRECT("'GRD-"&amp;DQ$11&amp;"'!B:R"),15,FALSE),"")</f>
        <v/>
      </c>
      <c r="DR150" s="96">
        <f>IFERROR(VLOOKUP($B150,INDIRECT("'GRD-"&amp;DR$11&amp;"'!B:R"),15,FALSE),"")</f>
        <v/>
      </c>
      <c r="DS150" s="96">
        <f>IFERROR(VLOOKUP($B150,INDIRECT("'GRD-"&amp;DS$11&amp;"'!B:R"),15,FALSE),"")</f>
        <v/>
      </c>
      <c r="DT150" s="96">
        <f>IFERROR(VLOOKUP($B150,INDIRECT("'GRD-"&amp;DT$11&amp;"'!B:R"),15,FALSE),"")</f>
        <v/>
      </c>
      <c r="DU150" s="96">
        <f>IFERROR(VLOOKUP($B150,INDIRECT("'GRD-"&amp;DU$11&amp;"'!B:R"),15,FALSE),"")</f>
        <v/>
      </c>
      <c r="DV150" s="96">
        <f>IFERROR(VLOOKUP($B150,INDIRECT("'GRD-"&amp;DV$11&amp;"'!B:R"),15,FALSE),"")</f>
        <v/>
      </c>
      <c r="DW150" s="96">
        <f>IFERROR(VLOOKUP($B150,INDIRECT("'GRD-"&amp;DW$11&amp;"'!B:R"),15,FALSE),"")</f>
        <v/>
      </c>
      <c r="DX150" s="96">
        <f>IFERROR(VLOOKUP($B150,INDIRECT("'GRD-"&amp;DX$11&amp;"'!B:R"),15,FALSE),"")</f>
        <v/>
      </c>
      <c r="DY150" s="96">
        <f>IFERROR(VLOOKUP($B150,INDIRECT("'GRD-"&amp;DY$11&amp;"'!B:R"),15,FALSE),"")</f>
        <v/>
      </c>
      <c r="DZ150" s="96">
        <f>IFERROR(VLOOKUP($B150,INDIRECT("'GRD-"&amp;DZ$11&amp;"'!B:R"),15,FALSE),"")</f>
        <v/>
      </c>
      <c r="EA150" s="96">
        <f>IFERROR(VLOOKUP($B150,INDIRECT("'GRD-"&amp;EA$11&amp;"'!B:R"),15,FALSE),"")</f>
        <v/>
      </c>
      <c r="EB150" s="96">
        <f>IFERROR(VLOOKUP($B150,INDIRECT("'GRD-"&amp;EB$11&amp;"'!B:R"),15,FALSE),"")</f>
        <v/>
      </c>
      <c r="EC150" s="96">
        <f>IFERROR(VLOOKUP($B150,INDIRECT("'GRD-"&amp;EC$11&amp;"'!B:R"),15,FALSE),"")</f>
        <v/>
      </c>
      <c r="ED150" s="96">
        <f>IFERROR(VLOOKUP($B150,INDIRECT("'GRD-"&amp;ED$11&amp;"'!B:R"),15,FALSE),"")</f>
        <v/>
      </c>
      <c r="EE150" s="96">
        <f>IFERROR(VLOOKUP($B150,INDIRECT("'GRD-"&amp;EE$11&amp;"'!B:R"),15,FALSE),"")</f>
        <v/>
      </c>
      <c r="EF150" s="96">
        <f>IFERROR(VLOOKUP($B150,INDIRECT("'GRD-"&amp;EF$11&amp;"'!B:R"),15,FALSE),"")</f>
        <v/>
      </c>
      <c r="EG150" s="96">
        <f>IFERROR(VLOOKUP($B150,INDIRECT("'GRD-"&amp;EG$11&amp;"'!B:R"),15,FALSE),"")</f>
        <v/>
      </c>
      <c r="EH150" s="96">
        <f>IFERROR(VLOOKUP($B150,INDIRECT("'GRD-"&amp;EH$11&amp;"'!B:R"),15,FALSE),"")</f>
        <v/>
      </c>
      <c r="EI150" s="96">
        <f>IFERROR(VLOOKUP($B150,INDIRECT("'GRD-"&amp;EI$11&amp;"'!B:R"),15,FALSE),"")</f>
        <v/>
      </c>
      <c r="EJ150" s="96">
        <f>IFERROR(VLOOKUP($B150,INDIRECT("'GRD-"&amp;EJ$11&amp;"'!B:R"),15,FALSE),"")</f>
        <v/>
      </c>
      <c r="EK150" s="96">
        <f>IFERROR(VLOOKUP($B150,INDIRECT("'GRD-"&amp;EK$11&amp;"'!B:R"),15,FALSE),"")</f>
        <v/>
      </c>
      <c r="EL150" s="96">
        <f>IFERROR(VLOOKUP($B150,INDIRECT("'GRD-"&amp;EL$11&amp;"'!B:R"),15,FALSE),"")</f>
        <v/>
      </c>
      <c r="EM150" s="96">
        <f>IFERROR(VLOOKUP($B150,INDIRECT("'GRD-"&amp;EM$11&amp;"'!B:R"),15,FALSE),"")</f>
        <v/>
      </c>
      <c r="EN150" s="96">
        <f>IFERROR(VLOOKUP($B150,INDIRECT("'GRD-"&amp;EN$11&amp;"'!B:R"),15,FALSE),"")</f>
        <v/>
      </c>
      <c r="EO150" s="96">
        <f>IFERROR(VLOOKUP($B150,INDIRECT("'GRD-"&amp;EO$11&amp;"'!B:R"),15,FALSE),"")</f>
        <v/>
      </c>
      <c r="EP150" s="96">
        <f>IFERROR(VLOOKUP($B150,INDIRECT("'GRD-"&amp;EP$11&amp;"'!B:R"),15,FALSE),"")</f>
        <v/>
      </c>
      <c r="EQ150" s="96">
        <f>IFERROR(VLOOKUP($B150,INDIRECT("'GRD-"&amp;EQ$11&amp;"'!B:R"),15,FALSE),"")</f>
        <v/>
      </c>
      <c r="ER150" s="96">
        <f>IFERROR(VLOOKUP($B150,INDIRECT("'GRD-"&amp;ER$11&amp;"'!B:R"),15,FALSE),"")</f>
        <v/>
      </c>
      <c r="ES150" s="96">
        <f>IFERROR(VLOOKUP($B150,INDIRECT("'GRD-"&amp;ES$11&amp;"'!B:R"),15,FALSE),"")</f>
        <v/>
      </c>
      <c r="ET150" s="96">
        <f>IFERROR(VLOOKUP($B150,INDIRECT("'GRD-"&amp;ET$11&amp;"'!B:R"),15,FALSE),"")</f>
        <v/>
      </c>
      <c r="EU150" s="96">
        <f>IFERROR(VLOOKUP($B150,INDIRECT("'GRD-"&amp;EU$11&amp;"'!B:R"),15,FALSE),"")</f>
        <v/>
      </c>
      <c r="EV150" s="96">
        <f>IFERROR(VLOOKUP($B150,INDIRECT("'GRD-"&amp;EV$11&amp;"'!B:R"),15,FALSE),"")</f>
        <v/>
      </c>
      <c r="EW150" s="96">
        <f>IFERROR(VLOOKUP($B150,INDIRECT("'GRD-"&amp;EW$11&amp;"'!B:R"),15,FALSE),"")</f>
        <v/>
      </c>
      <c r="EX150" s="96">
        <f>IFERROR(VLOOKUP($B150,INDIRECT("'GRD-"&amp;EX$11&amp;"'!B:R"),15,FALSE),"")</f>
        <v/>
      </c>
      <c r="EY150" s="96">
        <f>IFERROR(VLOOKUP($B150,INDIRECT("'GRD-"&amp;EY$11&amp;"'!B:R"),15,FALSE),"")</f>
        <v/>
      </c>
      <c r="EZ150" s="96">
        <f>IFERROR(VLOOKUP($B150,INDIRECT("'GRD-"&amp;EZ$11&amp;"'!B:R"),15,FALSE),"")</f>
        <v/>
      </c>
      <c r="FA150" s="96">
        <f>IFERROR(VLOOKUP($B150,INDIRECT("'GRD-"&amp;FA$11&amp;"'!B:R"),15,FALSE),"")</f>
        <v/>
      </c>
      <c r="FB150" s="96">
        <f>IFERROR(VLOOKUP($B150,INDIRECT("'GRD-"&amp;FB$11&amp;"'!B:R"),15,FALSE),"")</f>
        <v/>
      </c>
      <c r="FC150" s="96">
        <f>IFERROR(VLOOKUP($B150,INDIRECT("'GRD-"&amp;FC$11&amp;"'!B:R"),15,FALSE),"")</f>
        <v/>
      </c>
      <c r="FD150" s="96">
        <f>IFERROR(VLOOKUP($B150,INDIRECT("'GRD-"&amp;FD$11&amp;"'!B:R"),15,FALSE),"")</f>
        <v/>
      </c>
      <c r="FE150" s="96">
        <f>IFERROR(VLOOKUP($B150,INDIRECT("'GRD-"&amp;FE$11&amp;"'!B:R"),15,FALSE),"")</f>
        <v/>
      </c>
      <c r="FF150" s="96">
        <f>IFERROR(VLOOKUP($B150,INDIRECT("'GRD-"&amp;FF$11&amp;"'!B:R"),15,FALSE),"")</f>
        <v/>
      </c>
      <c r="FG150" s="96">
        <f>IFERROR(VLOOKUP($B150,INDIRECT("'GRD-"&amp;FG$11&amp;"'!B:R"),15,FALSE),"")</f>
        <v/>
      </c>
      <c r="FH150" s="96">
        <f>IFERROR(VLOOKUP($B150,INDIRECT("'GRD-"&amp;FH$11&amp;"'!B:R"),15,FALSE),"")</f>
        <v/>
      </c>
      <c r="FI150" s="96">
        <f>IFERROR(VLOOKUP($B150,INDIRECT("'GRD-"&amp;FI$11&amp;"'!B:R"),15,FALSE),"")</f>
        <v/>
      </c>
      <c r="FJ150" s="96">
        <f>IFERROR(VLOOKUP($B150,INDIRECT("'GRD-"&amp;FJ$11&amp;"'!B:R"),15,FALSE),"")</f>
        <v/>
      </c>
      <c r="FK150" s="96">
        <f>IFERROR(VLOOKUP($B150,INDIRECT("'GRD-"&amp;FK$11&amp;"'!B:R"),15,FALSE),"")</f>
        <v/>
      </c>
      <c r="FL150" s="96">
        <f>IFERROR(VLOOKUP($B150,INDIRECT("'GRD-"&amp;FL$11&amp;"'!B:R"),15,FALSE),"")</f>
        <v/>
      </c>
      <c r="FM150" s="96">
        <f>IFERROR(VLOOKUP($B150,INDIRECT("'GRD-"&amp;FM$11&amp;"'!B:R"),15,FALSE),"")</f>
        <v/>
      </c>
      <c r="FN150" s="96">
        <f>IFERROR(VLOOKUP($B150,INDIRECT("'GRD-"&amp;FN$11&amp;"'!B:R"),15,FALSE),"")</f>
        <v/>
      </c>
      <c r="FO150" s="96">
        <f>IFERROR(VLOOKUP($B150,INDIRECT("'GRD-"&amp;FO$11&amp;"'!B:R"),15,FALSE),"")</f>
        <v/>
      </c>
      <c r="FP150" s="96">
        <f>IFERROR(VLOOKUP($B150,INDIRECT("'GRD-"&amp;FP$11&amp;"'!B:R"),15,FALSE),"")</f>
        <v/>
      </c>
      <c r="FQ150" s="96">
        <f>IFERROR(VLOOKUP($B150,INDIRECT("'GRD-"&amp;FQ$11&amp;"'!B:R"),15,FALSE),"")</f>
        <v/>
      </c>
      <c r="FR150" s="96">
        <f>IFERROR(VLOOKUP($B150,INDIRECT("'GRD-"&amp;FR$11&amp;"'!B:R"),15,FALSE),"")</f>
        <v/>
      </c>
      <c r="FS150" s="96">
        <f>IFERROR(VLOOKUP($B150,INDIRECT("'GRD-"&amp;FS$11&amp;"'!B:R"),15,FALSE),"")</f>
        <v/>
      </c>
      <c r="FT150" s="96">
        <f>IFERROR(VLOOKUP($B150,INDIRECT("'GRD-"&amp;FT$11&amp;"'!B:R"),15,FALSE),"")</f>
        <v/>
      </c>
      <c r="FU150" s="96">
        <f>IFERROR(VLOOKUP($B150,INDIRECT("'GRD-"&amp;FU$11&amp;"'!B:R"),15,FALSE),"")</f>
        <v/>
      </c>
      <c r="FV150" s="96">
        <f>IFERROR(VLOOKUP($B150,INDIRECT("'GRD-"&amp;FV$11&amp;"'!B:R"),15,FALSE),"")</f>
        <v/>
      </c>
    </row>
    <row r="151">
      <c r="B151" s="85" t="n"/>
      <c r="C151" s="93" t="n"/>
      <c r="D151" s="73">
        <f>IF(K151="","",MAX($CA151:$FV151))</f>
        <v/>
      </c>
      <c r="E151" s="74">
        <f t="array" ref="E151">IF($K151="","",OFFSET($A$1,ROW($B151)-1,11+$D151*4,))</f>
        <v/>
      </c>
      <c r="F151" s="74">
        <f t="array" ref="F151">IF($K151="","",OFFSET($A$1,ROW($B151)-1,12+$D151*4,))</f>
        <v/>
      </c>
      <c r="G151" s="118">
        <f t="array" ref="G151">IF($K151="","",OFFSET($A$1,ROW($B151)-1,13+$D151*4,))</f>
        <v/>
      </c>
      <c r="H151" s="81" t="n"/>
      <c r="I151" s="82" t="n"/>
      <c r="J151" s="75">
        <f>IF(I151="A4",H151/8,IF(I151="A3",H151/4,IF(I151="A2",H151/2,IF(I151="A1",H151/1,IF(I151="A0",H151*2,"")))))</f>
        <v/>
      </c>
      <c r="K151" s="68">
        <f t="array" ref="K151">IFERROR(OFFSET($BZ$11,ROW($B151)-11,MATCH(K$10,$CA151:$FV151,0),),"")</f>
        <v/>
      </c>
      <c r="L151" s="85">
        <f>IF(K151="","",IF(VLOOKUP($B151,INDIRECT("'GRD-"&amp;M151&amp;"'!$B:$R"),16,FALSE)="","",VLOOKUP($B151,INDIRECT("'GRD-"&amp;M151&amp;"'!$B:$R"),16,FALSE)))</f>
        <v/>
      </c>
      <c r="M151" s="130">
        <f t="array" ref="M151">IF(K151="","",IFERROR(OFFSET($BZ$11,0,MATCH($K151,$CA151:$FV151,0),),""))</f>
        <v/>
      </c>
      <c r="N151" s="119">
        <f t="array" ref="N151">IF(K151="","",INDIRECT("'GRD-"&amp;M151&amp;"'!$L$7"))</f>
        <v/>
      </c>
      <c r="O151" s="76">
        <f t="array" ref="O151">IFERROR(OFFSET($BZ$11,ROW($B151)-11,MATCH(O$10,$CA151:$FV151,0),),"")</f>
        <v/>
      </c>
      <c r="P151" s="76">
        <f>IF(O151="","",IF(VLOOKUP($B151,INDIRECT("'GRD-"&amp;Q151&amp;"'!$B:$R"),16,FALSE)="","",VLOOKUP($B151,INDIRECT("'GRD-"&amp;Q151&amp;"'!$B:$R"),16,FALSE)))</f>
        <v/>
      </c>
      <c r="Q151" s="132">
        <f t="array" ref="Q151">IF(O151="","",IFERROR(OFFSET($BZ$11,0,MATCH($O151,$CA151:$FV151,0),),""))</f>
        <v/>
      </c>
      <c r="R151" s="121">
        <f t="array" ref="R151">IF(O151="","",INDIRECT("'GRD-"&amp;Q151&amp;"'!$L$7"))</f>
        <v/>
      </c>
      <c r="S151" s="83">
        <f t="array" ref="S151">IFERROR(OFFSET($BZ$11,ROW($B151)-11,MATCH(S$10,$CA151:$FV151,0),),"")</f>
        <v/>
      </c>
      <c r="T151" s="83">
        <f>IF(S151="","",IF(VLOOKUP($B151,INDIRECT("'GRD-"&amp;U151&amp;"'!$B:$R"),16,FALSE)="","",VLOOKUP($B151,INDIRECT("'GRD-"&amp;U151&amp;"'!$B:$R"),16,FALSE)))</f>
        <v/>
      </c>
      <c r="U151" s="128">
        <f t="array" ref="U151">IF(S151="","",IFERROR(OFFSET($BZ$11,0,MATCH($S151,$CA151:$FV151,0),),""))</f>
        <v/>
      </c>
      <c r="V151" s="133">
        <f t="array" ref="V151">IF(S151="","",INDIRECT("'GRD-"&amp;U151&amp;"'!$L$7"))</f>
        <v/>
      </c>
      <c r="W151" s="84">
        <f t="array" ref="W151">IFERROR(OFFSET($BZ$11,ROW($B151)-11,MATCH(W$10,$CA151:$FV151,0),),"")</f>
        <v/>
      </c>
      <c r="X151" s="84">
        <f>IF(W151="","",IF(VLOOKUP($B151,INDIRECT("'GRD-"&amp;Y151&amp;"'!$B:$R"),16,FALSE)="","",VLOOKUP($B151,INDIRECT("'GRD-"&amp;Y151&amp;"'!$B:$R"),16,FALSE)))</f>
        <v/>
      </c>
      <c r="Y151" s="129">
        <f t="array" ref="Y151">IF(W151="","",IFERROR(OFFSET($BZ$11,0,MATCH($W151,$CA151:$FV151,0),),""))</f>
        <v/>
      </c>
      <c r="Z151" s="134">
        <f t="array" ref="Z151">IF(W151="","",INDIRECT("'GRD-"&amp;Y151&amp;"'!$L$7"))</f>
        <v/>
      </c>
      <c r="AA151" s="85">
        <f t="array" ref="AA151">IFERROR(OFFSET($BZ$11,ROW($B151)-11,MATCH(AA$10,$CA151:$FV151,0),),"")</f>
        <v/>
      </c>
      <c r="AB151" s="85">
        <f>IF(AA151="","",IF(VLOOKUP($B151,INDIRECT("'GRD-"&amp;AC151&amp;"'!$B:$R"),16,FALSE)="","",VLOOKUP($B151,INDIRECT("'GRD-"&amp;AC151&amp;"'!$B:$R"),16,FALSE)))</f>
        <v/>
      </c>
      <c r="AC151" s="130">
        <f t="array" ref="AC151">IF(AA151="","",IFERROR(OFFSET($BZ$11,0,MATCH($AA151,$CA151:$FV151,0),),""))</f>
        <v/>
      </c>
      <c r="AD151" s="131">
        <f t="array" ref="AD151">IF(AA151="","",INDIRECT("'GRD-"&amp;AC151&amp;"'!$L$7"))</f>
        <v/>
      </c>
      <c r="AE151" s="76">
        <f t="array" ref="AE151">IFERROR(OFFSET($BZ$11,ROW($B151)-11,MATCH(AE$10,$CA151:$FV151,0),),"")</f>
        <v/>
      </c>
      <c r="AF151" s="76">
        <f>IF(AE151="","",IF(VLOOKUP($B151,INDIRECT("'GRD-"&amp;AG151&amp;"'!$B:$R"),16,FALSE)="","",VLOOKUP($B151,INDIRECT("'GRD-"&amp;AG151&amp;"'!$B:$R"),16,FALSE)))</f>
        <v/>
      </c>
      <c r="AG151" s="132">
        <f t="array" ref="AG151">IF(AE151="","",IFERROR(OFFSET($BZ$11,0,MATCH($AE151,$CA151:$FV151,0),),""))</f>
        <v/>
      </c>
      <c r="AH151" s="121">
        <f t="array" ref="AH151">IF(AE151="","",INDIRECT("'GRD-"&amp;AG151&amp;"'!$L$7"))</f>
        <v/>
      </c>
      <c r="AI151" s="83">
        <f t="array" ref="AI151">IFERROR(OFFSET($BZ$11,ROW($B151)-11,MATCH(AI$10,$CA151:$FV151,0),),"")</f>
        <v/>
      </c>
      <c r="AJ151" s="83">
        <f>IF(AI151="","",IF(VLOOKUP($B151,INDIRECT("'GRD-"&amp;AK151&amp;"'!$B:$R"),16,FALSE)="","",VLOOKUP($B151,INDIRECT("'GRD-"&amp;AK151&amp;"'!$B:$R"),16,FALSE)))</f>
        <v/>
      </c>
      <c r="AK151" s="128">
        <f t="array" ref="AK151">IF(AI151="","",IFERROR(OFFSET($BZ$11,0,MATCH($AI151,$CA151:$FV151,0),),""))</f>
        <v/>
      </c>
      <c r="AL151" s="133">
        <f t="array" ref="AL151">IF(AI151="","",INDIRECT("'GRD-"&amp;AK151&amp;"'!$L$7"))</f>
        <v/>
      </c>
      <c r="AM151" s="84">
        <f t="array" ref="AM151">IFERROR(OFFSET($BZ$11,ROW($B151)-11,MATCH(AM$10,$CA151:$FV151,0),),"")</f>
        <v/>
      </c>
      <c r="AN151" s="84">
        <f>IF(AM151="","",IF(VLOOKUP($B151,INDIRECT("'GRD-"&amp;AO151&amp;"'!$B:$R"),16,FALSE)="","",VLOOKUP($B151,INDIRECT("'GRD-"&amp;AO151&amp;"'!$B:$R"),16,FALSE)))</f>
        <v/>
      </c>
      <c r="AO151" s="129">
        <f t="array" ref="AO151">IF(AM151="","",IFERROR(OFFSET($BZ$11,0,MATCH($AM151,$CA151:$FV151,0),),""))</f>
        <v/>
      </c>
      <c r="AP151" s="134">
        <f t="array" ref="AP151">IF(AM151="","",INDIRECT("'GRD-"&amp;AO151&amp;"'!$L$7"))</f>
        <v/>
      </c>
      <c r="AQ151" s="85">
        <f t="array" ref="AQ151">IFERROR(OFFSET($BZ$11,ROW($B151)-11,MATCH(AQ$10,$CA151:$FV151,0),),"")</f>
        <v/>
      </c>
      <c r="AR151" s="85">
        <f>IF(AQ151="","",IF(VLOOKUP($B151,INDIRECT("'GRD-"&amp;AS151&amp;"'!$B:$R"),16,FALSE)="","",VLOOKUP($B151,INDIRECT("'GRD-"&amp;AS151&amp;"'!$B:$R"),16,FALSE)))</f>
        <v/>
      </c>
      <c r="AS151" s="130">
        <f t="array" ref="AS151">IF(AQ151="","",IFERROR(OFFSET($BZ$11,0,MATCH($AQ151,$CA151:$FV151,0),),""))</f>
        <v/>
      </c>
      <c r="AT151" s="131">
        <f t="array" ref="AT151">IF(AQ151="","",INDIRECT("'GRD-"&amp;AS151&amp;"'!$L$7"))</f>
        <v/>
      </c>
      <c r="AU151" s="76">
        <f t="array" ref="AU151">IFERROR(OFFSET($BZ$11,ROW($B151)-11,MATCH(AU$10,$CA151:$FV151,0),),"")</f>
        <v/>
      </c>
      <c r="AV151" s="76">
        <f>IF(AU151="","",IF(VLOOKUP($B151,INDIRECT("'GRD-"&amp;AW151&amp;"'!$B:$R"),16,FALSE)="","",VLOOKUP($B151,INDIRECT("'GRD-"&amp;AW151&amp;"'!$B:$R"),16,FALSE)))</f>
        <v/>
      </c>
      <c r="AW151" s="132">
        <f t="array" ref="AW151">IF(AU151="","",IFERROR(OFFSET($BZ$11,0,MATCH($AU151,$CA151:$FV151,0),),""))</f>
        <v/>
      </c>
      <c r="AX151" s="121">
        <f t="array" ref="AX151">IF(AU151="","",INDIRECT("'GRD-"&amp;AW151&amp;"'!$L$7"))</f>
        <v/>
      </c>
      <c r="AY151" s="83">
        <f t="array" ref="AY151">IFERROR(OFFSET($BZ$11,ROW($B151)-11,MATCH(AY$10,$CA151:$FV151,0),),"")</f>
        <v/>
      </c>
      <c r="AZ151" s="83">
        <f>IF(AY151="","",IF(VLOOKUP($B151,INDIRECT("'GRD-"&amp;BA151&amp;"'!$B:$R"),16,FALSE)="","",VLOOKUP($B151,INDIRECT("'GRD-"&amp;BA151&amp;"'!$B:$R"),16,FALSE)))</f>
        <v/>
      </c>
      <c r="BA151" s="128">
        <f t="array" ref="BA151">IF(AY151="","",IFERROR(OFFSET($BZ$11,0,MATCH($AY151,$CA151:$FV151,0),),""))</f>
        <v/>
      </c>
      <c r="BB151" s="133">
        <f t="array" ref="BB151">IF(AY151="","",INDIRECT("'GRD-"&amp;BA151&amp;"'!$L$7"))</f>
        <v/>
      </c>
      <c r="BC151" s="84">
        <f t="array" ref="BC151">IFERROR(OFFSET($BZ$11,ROW($B151)-11,MATCH(BC$10,$CA151:$FV151,0),),"")</f>
        <v/>
      </c>
      <c r="BD151" s="84">
        <f>IF(BC151="","",IF(VLOOKUP($B151,INDIRECT("'GRD-"&amp;BE151&amp;"'!$B:$R"),16,FALSE)="","",VLOOKUP($B151,INDIRECT("'GRD-"&amp;BE151&amp;"'!$B:$R"),16,FALSE)))</f>
        <v/>
      </c>
      <c r="BE151" s="129">
        <f t="array" ref="BE151">IF(BC151="","",IFERROR(OFFSET($BZ$11,0,MATCH($BC151,$CA151:$FV151,0),),""))</f>
        <v/>
      </c>
      <c r="BF151" s="134">
        <f t="array" ref="BF151">IF(BC151="","",INDIRECT("'GRD-"&amp;BE151&amp;"'!$L$7"))</f>
        <v/>
      </c>
      <c r="CA151" s="96">
        <f>IFERROR(VLOOKUP($B151,INDIRECT("'GRD-"&amp;CA$11&amp;"'!B:R"),15,FALSE),"")</f>
        <v/>
      </c>
      <c r="CB151" s="96">
        <f>IFERROR(VLOOKUP($B151,INDIRECT("'GRD-"&amp;CB$11&amp;"'!B:R"),15,FALSE),"")</f>
        <v/>
      </c>
      <c r="CC151" s="96">
        <f>IFERROR(VLOOKUP($B151,INDIRECT("'GRD-"&amp;CC$11&amp;"'!B:R"),15,FALSE),"")</f>
        <v/>
      </c>
      <c r="CD151" s="96">
        <f>IFERROR(VLOOKUP($B151,INDIRECT("'GRD-"&amp;CD$11&amp;"'!B:R"),15,FALSE),"")</f>
        <v/>
      </c>
      <c r="CE151" s="96">
        <f>IFERROR(VLOOKUP($B151,INDIRECT("'GRD-"&amp;CE$11&amp;"'!B:R"),15,FALSE),"")</f>
        <v/>
      </c>
      <c r="CF151" s="96">
        <f>IFERROR(VLOOKUP($B151,INDIRECT("'GRD-"&amp;CF$11&amp;"'!B:R"),15,FALSE),"")</f>
        <v/>
      </c>
      <c r="CG151" s="96">
        <f>IFERROR(VLOOKUP($B151,INDIRECT("'GRD-"&amp;CG$11&amp;"'!B:R"),15,FALSE),"")</f>
        <v/>
      </c>
      <c r="CH151" s="96">
        <f>IFERROR(VLOOKUP($B151,INDIRECT("'GRD-"&amp;CH$11&amp;"'!B:R"),15,FALSE),"")</f>
        <v/>
      </c>
      <c r="CI151" s="96">
        <f>IFERROR(VLOOKUP($B151,INDIRECT("'GRD-"&amp;CI$11&amp;"'!B:R"),15,FALSE),"")</f>
        <v/>
      </c>
      <c r="CJ151" s="96">
        <f>IFERROR(VLOOKUP($B151,INDIRECT("'GRD-"&amp;CJ$11&amp;"'!B:R"),15,FALSE),"")</f>
        <v/>
      </c>
      <c r="CK151" s="96">
        <f>IFERROR(VLOOKUP($B151,INDIRECT("'GRD-"&amp;CK$11&amp;"'!B:R"),15,FALSE),"")</f>
        <v/>
      </c>
      <c r="CL151" s="96">
        <f>IFERROR(VLOOKUP($B151,INDIRECT("'GRD-"&amp;CL$11&amp;"'!B:R"),15,FALSE),"")</f>
        <v/>
      </c>
      <c r="CM151" s="96">
        <f>IFERROR(VLOOKUP($B151,INDIRECT("'GRD-"&amp;CM$11&amp;"'!B:R"),15,FALSE),"")</f>
        <v/>
      </c>
      <c r="CN151" s="96">
        <f>IFERROR(VLOOKUP($B151,INDIRECT("'GRD-"&amp;CN$11&amp;"'!B:R"),15,FALSE),"")</f>
        <v/>
      </c>
      <c r="CO151" s="96">
        <f>IFERROR(VLOOKUP($B151,INDIRECT("'GRD-"&amp;CO$11&amp;"'!B:R"),15,FALSE),"")</f>
        <v/>
      </c>
      <c r="CP151" s="96">
        <f>IFERROR(VLOOKUP($B151,INDIRECT("'GRD-"&amp;CP$11&amp;"'!B:R"),15,FALSE),"")</f>
        <v/>
      </c>
      <c r="CQ151" s="96">
        <f>IFERROR(VLOOKUP($B151,INDIRECT("'GRD-"&amp;CQ$11&amp;"'!B:R"),15,FALSE),"")</f>
        <v/>
      </c>
      <c r="CR151" s="96">
        <f>IFERROR(VLOOKUP($B151,INDIRECT("'GRD-"&amp;CR$11&amp;"'!B:R"),15,FALSE),"")</f>
        <v/>
      </c>
      <c r="CS151" s="96">
        <f>IFERROR(VLOOKUP($B151,INDIRECT("'GRD-"&amp;CS$11&amp;"'!B:R"),15,FALSE),"")</f>
        <v/>
      </c>
      <c r="CT151" s="96">
        <f>IFERROR(VLOOKUP($B151,INDIRECT("'GRD-"&amp;CT$11&amp;"'!B:R"),15,FALSE),"")</f>
        <v/>
      </c>
      <c r="CU151" s="96">
        <f>IFERROR(VLOOKUP($B151,INDIRECT("'GRD-"&amp;CU$11&amp;"'!B:R"),15,FALSE),"")</f>
        <v/>
      </c>
      <c r="CV151" s="96">
        <f>IFERROR(VLOOKUP($B151,INDIRECT("'GRD-"&amp;CV$11&amp;"'!B:R"),15,FALSE),"")</f>
        <v/>
      </c>
      <c r="CW151" s="96">
        <f>IFERROR(VLOOKUP($B151,INDIRECT("'GRD-"&amp;CW$11&amp;"'!B:R"),15,FALSE),"")</f>
        <v/>
      </c>
      <c r="CX151" s="96">
        <f>IFERROR(VLOOKUP($B151,INDIRECT("'GRD-"&amp;CX$11&amp;"'!B:R"),15,FALSE),"")</f>
        <v/>
      </c>
      <c r="CY151" s="96">
        <f>IFERROR(VLOOKUP($B151,INDIRECT("'GRD-"&amp;CY$11&amp;"'!B:R"),15,FALSE),"")</f>
        <v/>
      </c>
      <c r="CZ151" s="96">
        <f>IFERROR(VLOOKUP($B151,INDIRECT("'GRD-"&amp;CZ$11&amp;"'!B:R"),15,FALSE),"")</f>
        <v/>
      </c>
      <c r="DA151" s="96">
        <f>IFERROR(VLOOKUP($B151,INDIRECT("'GRD-"&amp;DA$11&amp;"'!B:R"),15,FALSE),"")</f>
        <v/>
      </c>
      <c r="DB151" s="96">
        <f>IFERROR(VLOOKUP($B151,INDIRECT("'GRD-"&amp;DB$11&amp;"'!B:R"),15,FALSE),"")</f>
        <v/>
      </c>
      <c r="DC151" s="96">
        <f>IFERROR(VLOOKUP($B151,INDIRECT("'GRD-"&amp;DC$11&amp;"'!B:R"),15,FALSE),"")</f>
        <v/>
      </c>
      <c r="DD151" s="96">
        <f>IFERROR(VLOOKUP($B151,INDIRECT("'GRD-"&amp;DD$11&amp;"'!B:R"),15,FALSE),"")</f>
        <v/>
      </c>
      <c r="DE151" s="96">
        <f>IFERROR(VLOOKUP($B151,INDIRECT("'GRD-"&amp;DE$11&amp;"'!B:R"),15,FALSE),"")</f>
        <v/>
      </c>
      <c r="DF151" s="96">
        <f>IFERROR(VLOOKUP($B151,INDIRECT("'GRD-"&amp;DF$11&amp;"'!B:R"),15,FALSE),"")</f>
        <v/>
      </c>
      <c r="DG151" s="96">
        <f>IFERROR(VLOOKUP($B151,INDIRECT("'GRD-"&amp;DG$11&amp;"'!B:R"),15,FALSE),"")</f>
        <v/>
      </c>
      <c r="DH151" s="96">
        <f>IFERROR(VLOOKUP($B151,INDIRECT("'GRD-"&amp;DH$11&amp;"'!B:R"),15,FALSE),"")</f>
        <v/>
      </c>
      <c r="DI151" s="96">
        <f>IFERROR(VLOOKUP($B151,INDIRECT("'GRD-"&amp;DI$11&amp;"'!B:R"),15,FALSE),"")</f>
        <v/>
      </c>
      <c r="DJ151" s="96">
        <f>IFERROR(VLOOKUP($B151,INDIRECT("'GRD-"&amp;DJ$11&amp;"'!B:R"),15,FALSE),"")</f>
        <v/>
      </c>
      <c r="DK151" s="96">
        <f>IFERROR(VLOOKUP($B151,INDIRECT("'GRD-"&amp;DK$11&amp;"'!B:R"),15,FALSE),"")</f>
        <v/>
      </c>
      <c r="DL151" s="96">
        <f>IFERROR(VLOOKUP($B151,INDIRECT("'GRD-"&amp;DL$11&amp;"'!B:R"),15,FALSE),"")</f>
        <v/>
      </c>
      <c r="DM151" s="96">
        <f>IFERROR(VLOOKUP($B151,INDIRECT("'GRD-"&amp;DM$11&amp;"'!B:R"),15,FALSE),"")</f>
        <v/>
      </c>
      <c r="DN151" s="96">
        <f>IFERROR(VLOOKUP($B151,INDIRECT("'GRD-"&amp;DN$11&amp;"'!B:R"),15,FALSE),"")</f>
        <v/>
      </c>
      <c r="DO151" s="96">
        <f>IFERROR(VLOOKUP($B151,INDIRECT("'GRD-"&amp;DO$11&amp;"'!B:R"),15,FALSE),"")</f>
        <v/>
      </c>
      <c r="DP151" s="96">
        <f>IFERROR(VLOOKUP($B151,INDIRECT("'GRD-"&amp;DP$11&amp;"'!B:R"),15,FALSE),"")</f>
        <v/>
      </c>
      <c r="DQ151" s="96">
        <f>IFERROR(VLOOKUP($B151,INDIRECT("'GRD-"&amp;DQ$11&amp;"'!B:R"),15,FALSE),"")</f>
        <v/>
      </c>
      <c r="DR151" s="96">
        <f>IFERROR(VLOOKUP($B151,INDIRECT("'GRD-"&amp;DR$11&amp;"'!B:R"),15,FALSE),"")</f>
        <v/>
      </c>
      <c r="DS151" s="96">
        <f>IFERROR(VLOOKUP($B151,INDIRECT("'GRD-"&amp;DS$11&amp;"'!B:R"),15,FALSE),"")</f>
        <v/>
      </c>
      <c r="DT151" s="96">
        <f>IFERROR(VLOOKUP($B151,INDIRECT("'GRD-"&amp;DT$11&amp;"'!B:R"),15,FALSE),"")</f>
        <v/>
      </c>
      <c r="DU151" s="96">
        <f>IFERROR(VLOOKUP($B151,INDIRECT("'GRD-"&amp;DU$11&amp;"'!B:R"),15,FALSE),"")</f>
        <v/>
      </c>
      <c r="DV151" s="96">
        <f>IFERROR(VLOOKUP($B151,INDIRECT("'GRD-"&amp;DV$11&amp;"'!B:R"),15,FALSE),"")</f>
        <v/>
      </c>
      <c r="DW151" s="96">
        <f>IFERROR(VLOOKUP($B151,INDIRECT("'GRD-"&amp;DW$11&amp;"'!B:R"),15,FALSE),"")</f>
        <v/>
      </c>
      <c r="DX151" s="96">
        <f>IFERROR(VLOOKUP($B151,INDIRECT("'GRD-"&amp;DX$11&amp;"'!B:R"),15,FALSE),"")</f>
        <v/>
      </c>
      <c r="DY151" s="96">
        <f>IFERROR(VLOOKUP($B151,INDIRECT("'GRD-"&amp;DY$11&amp;"'!B:R"),15,FALSE),"")</f>
        <v/>
      </c>
      <c r="DZ151" s="96">
        <f>IFERROR(VLOOKUP($B151,INDIRECT("'GRD-"&amp;DZ$11&amp;"'!B:R"),15,FALSE),"")</f>
        <v/>
      </c>
      <c r="EA151" s="96">
        <f>IFERROR(VLOOKUP($B151,INDIRECT("'GRD-"&amp;EA$11&amp;"'!B:R"),15,FALSE),"")</f>
        <v/>
      </c>
      <c r="EB151" s="96">
        <f>IFERROR(VLOOKUP($B151,INDIRECT("'GRD-"&amp;EB$11&amp;"'!B:R"),15,FALSE),"")</f>
        <v/>
      </c>
      <c r="EC151" s="96">
        <f>IFERROR(VLOOKUP($B151,INDIRECT("'GRD-"&amp;EC$11&amp;"'!B:R"),15,FALSE),"")</f>
        <v/>
      </c>
      <c r="ED151" s="96">
        <f>IFERROR(VLOOKUP($B151,INDIRECT("'GRD-"&amp;ED$11&amp;"'!B:R"),15,FALSE),"")</f>
        <v/>
      </c>
      <c r="EE151" s="96">
        <f>IFERROR(VLOOKUP($B151,INDIRECT("'GRD-"&amp;EE$11&amp;"'!B:R"),15,FALSE),"")</f>
        <v/>
      </c>
      <c r="EF151" s="96">
        <f>IFERROR(VLOOKUP($B151,INDIRECT("'GRD-"&amp;EF$11&amp;"'!B:R"),15,FALSE),"")</f>
        <v/>
      </c>
      <c r="EG151" s="96">
        <f>IFERROR(VLOOKUP($B151,INDIRECT("'GRD-"&amp;EG$11&amp;"'!B:R"),15,FALSE),"")</f>
        <v/>
      </c>
      <c r="EH151" s="96">
        <f>IFERROR(VLOOKUP($B151,INDIRECT("'GRD-"&amp;EH$11&amp;"'!B:R"),15,FALSE),"")</f>
        <v/>
      </c>
      <c r="EI151" s="96">
        <f>IFERROR(VLOOKUP($B151,INDIRECT("'GRD-"&amp;EI$11&amp;"'!B:R"),15,FALSE),"")</f>
        <v/>
      </c>
      <c r="EJ151" s="96">
        <f>IFERROR(VLOOKUP($B151,INDIRECT("'GRD-"&amp;EJ$11&amp;"'!B:R"),15,FALSE),"")</f>
        <v/>
      </c>
      <c r="EK151" s="96">
        <f>IFERROR(VLOOKUP($B151,INDIRECT("'GRD-"&amp;EK$11&amp;"'!B:R"),15,FALSE),"")</f>
        <v/>
      </c>
      <c r="EL151" s="96">
        <f>IFERROR(VLOOKUP($B151,INDIRECT("'GRD-"&amp;EL$11&amp;"'!B:R"),15,FALSE),"")</f>
        <v/>
      </c>
      <c r="EM151" s="96">
        <f>IFERROR(VLOOKUP($B151,INDIRECT("'GRD-"&amp;EM$11&amp;"'!B:R"),15,FALSE),"")</f>
        <v/>
      </c>
      <c r="EN151" s="96">
        <f>IFERROR(VLOOKUP($B151,INDIRECT("'GRD-"&amp;EN$11&amp;"'!B:R"),15,FALSE),"")</f>
        <v/>
      </c>
      <c r="EO151" s="96">
        <f>IFERROR(VLOOKUP($B151,INDIRECT("'GRD-"&amp;EO$11&amp;"'!B:R"),15,FALSE),"")</f>
        <v/>
      </c>
      <c r="EP151" s="96">
        <f>IFERROR(VLOOKUP($B151,INDIRECT("'GRD-"&amp;EP$11&amp;"'!B:R"),15,FALSE),"")</f>
        <v/>
      </c>
      <c r="EQ151" s="96">
        <f>IFERROR(VLOOKUP($B151,INDIRECT("'GRD-"&amp;EQ$11&amp;"'!B:R"),15,FALSE),"")</f>
        <v/>
      </c>
      <c r="ER151" s="96">
        <f>IFERROR(VLOOKUP($B151,INDIRECT("'GRD-"&amp;ER$11&amp;"'!B:R"),15,FALSE),"")</f>
        <v/>
      </c>
      <c r="ES151" s="96">
        <f>IFERROR(VLOOKUP($B151,INDIRECT("'GRD-"&amp;ES$11&amp;"'!B:R"),15,FALSE),"")</f>
        <v/>
      </c>
      <c r="ET151" s="96">
        <f>IFERROR(VLOOKUP($B151,INDIRECT("'GRD-"&amp;ET$11&amp;"'!B:R"),15,FALSE),"")</f>
        <v/>
      </c>
      <c r="EU151" s="96">
        <f>IFERROR(VLOOKUP($B151,INDIRECT("'GRD-"&amp;EU$11&amp;"'!B:R"),15,FALSE),"")</f>
        <v/>
      </c>
      <c r="EV151" s="96">
        <f>IFERROR(VLOOKUP($B151,INDIRECT("'GRD-"&amp;EV$11&amp;"'!B:R"),15,FALSE),"")</f>
        <v/>
      </c>
      <c r="EW151" s="96">
        <f>IFERROR(VLOOKUP($B151,INDIRECT("'GRD-"&amp;EW$11&amp;"'!B:R"),15,FALSE),"")</f>
        <v/>
      </c>
      <c r="EX151" s="96">
        <f>IFERROR(VLOOKUP($B151,INDIRECT("'GRD-"&amp;EX$11&amp;"'!B:R"),15,FALSE),"")</f>
        <v/>
      </c>
      <c r="EY151" s="96">
        <f>IFERROR(VLOOKUP($B151,INDIRECT("'GRD-"&amp;EY$11&amp;"'!B:R"),15,FALSE),"")</f>
        <v/>
      </c>
      <c r="EZ151" s="96">
        <f>IFERROR(VLOOKUP($B151,INDIRECT("'GRD-"&amp;EZ$11&amp;"'!B:R"),15,FALSE),"")</f>
        <v/>
      </c>
      <c r="FA151" s="96">
        <f>IFERROR(VLOOKUP($B151,INDIRECT("'GRD-"&amp;FA$11&amp;"'!B:R"),15,FALSE),"")</f>
        <v/>
      </c>
      <c r="FB151" s="96">
        <f>IFERROR(VLOOKUP($B151,INDIRECT("'GRD-"&amp;FB$11&amp;"'!B:R"),15,FALSE),"")</f>
        <v/>
      </c>
      <c r="FC151" s="96">
        <f>IFERROR(VLOOKUP($B151,INDIRECT("'GRD-"&amp;FC$11&amp;"'!B:R"),15,FALSE),"")</f>
        <v/>
      </c>
      <c r="FD151" s="96">
        <f>IFERROR(VLOOKUP($B151,INDIRECT("'GRD-"&amp;FD$11&amp;"'!B:R"),15,FALSE),"")</f>
        <v/>
      </c>
      <c r="FE151" s="96">
        <f>IFERROR(VLOOKUP($B151,INDIRECT("'GRD-"&amp;FE$11&amp;"'!B:R"),15,FALSE),"")</f>
        <v/>
      </c>
      <c r="FF151" s="96">
        <f>IFERROR(VLOOKUP($B151,INDIRECT("'GRD-"&amp;FF$11&amp;"'!B:R"),15,FALSE),"")</f>
        <v/>
      </c>
      <c r="FG151" s="96">
        <f>IFERROR(VLOOKUP($B151,INDIRECT("'GRD-"&amp;FG$11&amp;"'!B:R"),15,FALSE),"")</f>
        <v/>
      </c>
      <c r="FH151" s="96">
        <f>IFERROR(VLOOKUP($B151,INDIRECT("'GRD-"&amp;FH$11&amp;"'!B:R"),15,FALSE),"")</f>
        <v/>
      </c>
      <c r="FI151" s="96">
        <f>IFERROR(VLOOKUP($B151,INDIRECT("'GRD-"&amp;FI$11&amp;"'!B:R"),15,FALSE),"")</f>
        <v/>
      </c>
      <c r="FJ151" s="96">
        <f>IFERROR(VLOOKUP($B151,INDIRECT("'GRD-"&amp;FJ$11&amp;"'!B:R"),15,FALSE),"")</f>
        <v/>
      </c>
      <c r="FK151" s="96">
        <f>IFERROR(VLOOKUP($B151,INDIRECT("'GRD-"&amp;FK$11&amp;"'!B:R"),15,FALSE),"")</f>
        <v/>
      </c>
      <c r="FL151" s="96">
        <f>IFERROR(VLOOKUP($B151,INDIRECT("'GRD-"&amp;FL$11&amp;"'!B:R"),15,FALSE),"")</f>
        <v/>
      </c>
      <c r="FM151" s="96">
        <f>IFERROR(VLOOKUP($B151,INDIRECT("'GRD-"&amp;FM$11&amp;"'!B:R"),15,FALSE),"")</f>
        <v/>
      </c>
      <c r="FN151" s="96">
        <f>IFERROR(VLOOKUP($B151,INDIRECT("'GRD-"&amp;FN$11&amp;"'!B:R"),15,FALSE),"")</f>
        <v/>
      </c>
      <c r="FO151" s="96">
        <f>IFERROR(VLOOKUP($B151,INDIRECT("'GRD-"&amp;FO$11&amp;"'!B:R"),15,FALSE),"")</f>
        <v/>
      </c>
      <c r="FP151" s="96">
        <f>IFERROR(VLOOKUP($B151,INDIRECT("'GRD-"&amp;FP$11&amp;"'!B:R"),15,FALSE),"")</f>
        <v/>
      </c>
      <c r="FQ151" s="96">
        <f>IFERROR(VLOOKUP($B151,INDIRECT("'GRD-"&amp;FQ$11&amp;"'!B:R"),15,FALSE),"")</f>
        <v/>
      </c>
      <c r="FR151" s="96">
        <f>IFERROR(VLOOKUP($B151,INDIRECT("'GRD-"&amp;FR$11&amp;"'!B:R"),15,FALSE),"")</f>
        <v/>
      </c>
      <c r="FS151" s="96">
        <f>IFERROR(VLOOKUP($B151,INDIRECT("'GRD-"&amp;FS$11&amp;"'!B:R"),15,FALSE),"")</f>
        <v/>
      </c>
      <c r="FT151" s="96">
        <f>IFERROR(VLOOKUP($B151,INDIRECT("'GRD-"&amp;FT$11&amp;"'!B:R"),15,FALSE),"")</f>
        <v/>
      </c>
      <c r="FU151" s="96">
        <f>IFERROR(VLOOKUP($B151,INDIRECT("'GRD-"&amp;FU$11&amp;"'!B:R"),15,FALSE),"")</f>
        <v/>
      </c>
      <c r="FV151" s="96">
        <f>IFERROR(VLOOKUP($B151,INDIRECT("'GRD-"&amp;FV$11&amp;"'!B:R"),15,FALSE),"")</f>
        <v/>
      </c>
    </row>
    <row r="152">
      <c r="B152" s="85" t="n"/>
      <c r="C152" s="93" t="n"/>
      <c r="D152" s="73">
        <f>IF(K152="","",MAX($CA152:$FV152))</f>
        <v/>
      </c>
      <c r="E152" s="74">
        <f t="array" ref="E152">IF($K152="","",OFFSET($A$1,ROW($B152)-1,11+$D152*4,))</f>
        <v/>
      </c>
      <c r="F152" s="74">
        <f t="array" ref="F152">IF($K152="","",OFFSET($A$1,ROW($B152)-1,12+$D152*4,))</f>
        <v/>
      </c>
      <c r="G152" s="118">
        <f t="array" ref="G152">IF($K152="","",OFFSET($A$1,ROW($B152)-1,13+$D152*4,))</f>
        <v/>
      </c>
      <c r="H152" s="81" t="n"/>
      <c r="I152" s="82" t="n"/>
      <c r="J152" s="75">
        <f>IF(I152="A4",H152/8,IF(I152="A3",H152/4,IF(I152="A2",H152/2,IF(I152="A1",H152/1,IF(I152="A0",H152*2,"")))))</f>
        <v/>
      </c>
      <c r="K152" s="68">
        <f t="array" ref="K152">IFERROR(OFFSET($BZ$11,ROW($B152)-11,MATCH(K$10,$CA152:$FV152,0),),"")</f>
        <v/>
      </c>
      <c r="L152" s="85">
        <f>IF(K152="","",IF(VLOOKUP($B152,INDIRECT("'GRD-"&amp;M152&amp;"'!$B:$R"),16,FALSE)="","",VLOOKUP($B152,INDIRECT("'GRD-"&amp;M152&amp;"'!$B:$R"),16,FALSE)))</f>
        <v/>
      </c>
      <c r="M152" s="130">
        <f t="array" ref="M152">IF(K152="","",IFERROR(OFFSET($BZ$11,0,MATCH($K152,$CA152:$FV152,0),),""))</f>
        <v/>
      </c>
      <c r="N152" s="119">
        <f t="array" ref="N152">IF(K152="","",INDIRECT("'GRD-"&amp;M152&amp;"'!$L$7"))</f>
        <v/>
      </c>
      <c r="O152" s="76">
        <f t="array" ref="O152">IFERROR(OFFSET($BZ$11,ROW($B152)-11,MATCH(O$10,$CA152:$FV152,0),),"")</f>
        <v/>
      </c>
      <c r="P152" s="76">
        <f>IF(O152="","",IF(VLOOKUP($B152,INDIRECT("'GRD-"&amp;Q152&amp;"'!$B:$R"),16,FALSE)="","",VLOOKUP($B152,INDIRECT("'GRD-"&amp;Q152&amp;"'!$B:$R"),16,FALSE)))</f>
        <v/>
      </c>
      <c r="Q152" s="132">
        <f t="array" ref="Q152">IF(O152="","",IFERROR(OFFSET($BZ$11,0,MATCH($O152,$CA152:$FV152,0),),""))</f>
        <v/>
      </c>
      <c r="R152" s="121">
        <f t="array" ref="R152">IF(O152="","",INDIRECT("'GRD-"&amp;Q152&amp;"'!$L$7"))</f>
        <v/>
      </c>
      <c r="S152" s="83">
        <f t="array" ref="S152">IFERROR(OFFSET($BZ$11,ROW($B152)-11,MATCH(S$10,$CA152:$FV152,0),),"")</f>
        <v/>
      </c>
      <c r="T152" s="83">
        <f>IF(S152="","",IF(VLOOKUP($B152,INDIRECT("'GRD-"&amp;U152&amp;"'!$B:$R"),16,FALSE)="","",VLOOKUP($B152,INDIRECT("'GRD-"&amp;U152&amp;"'!$B:$R"),16,FALSE)))</f>
        <v/>
      </c>
      <c r="U152" s="128">
        <f t="array" ref="U152">IF(S152="","",IFERROR(OFFSET($BZ$11,0,MATCH($S152,$CA152:$FV152,0),),""))</f>
        <v/>
      </c>
      <c r="V152" s="133">
        <f t="array" ref="V152">IF(S152="","",INDIRECT("'GRD-"&amp;U152&amp;"'!$L$7"))</f>
        <v/>
      </c>
      <c r="W152" s="84">
        <f t="array" ref="W152">IFERROR(OFFSET($BZ$11,ROW($B152)-11,MATCH(W$10,$CA152:$FV152,0),),"")</f>
        <v/>
      </c>
      <c r="X152" s="84">
        <f>IF(W152="","",IF(VLOOKUP($B152,INDIRECT("'GRD-"&amp;Y152&amp;"'!$B:$R"),16,FALSE)="","",VLOOKUP($B152,INDIRECT("'GRD-"&amp;Y152&amp;"'!$B:$R"),16,FALSE)))</f>
        <v/>
      </c>
      <c r="Y152" s="129">
        <f t="array" ref="Y152">IF(W152="","",IFERROR(OFFSET($BZ$11,0,MATCH($W152,$CA152:$FV152,0),),""))</f>
        <v/>
      </c>
      <c r="Z152" s="134">
        <f t="array" ref="Z152">IF(W152="","",INDIRECT("'GRD-"&amp;Y152&amp;"'!$L$7"))</f>
        <v/>
      </c>
      <c r="AA152" s="85">
        <f t="array" ref="AA152">IFERROR(OFFSET($BZ$11,ROW($B152)-11,MATCH(AA$10,$CA152:$FV152,0),),"")</f>
        <v/>
      </c>
      <c r="AB152" s="85">
        <f>IF(AA152="","",IF(VLOOKUP($B152,INDIRECT("'GRD-"&amp;AC152&amp;"'!$B:$R"),16,FALSE)="","",VLOOKUP($B152,INDIRECT("'GRD-"&amp;AC152&amp;"'!$B:$R"),16,FALSE)))</f>
        <v/>
      </c>
      <c r="AC152" s="130">
        <f t="array" ref="AC152">IF(AA152="","",IFERROR(OFFSET($BZ$11,0,MATCH($AA152,$CA152:$FV152,0),),""))</f>
        <v/>
      </c>
      <c r="AD152" s="131">
        <f t="array" ref="AD152">IF(AA152="","",INDIRECT("'GRD-"&amp;AC152&amp;"'!$L$7"))</f>
        <v/>
      </c>
      <c r="AE152" s="76">
        <f t="array" ref="AE152">IFERROR(OFFSET($BZ$11,ROW($B152)-11,MATCH(AE$10,$CA152:$FV152,0),),"")</f>
        <v/>
      </c>
      <c r="AF152" s="76">
        <f>IF(AE152="","",IF(VLOOKUP($B152,INDIRECT("'GRD-"&amp;AG152&amp;"'!$B:$R"),16,FALSE)="","",VLOOKUP($B152,INDIRECT("'GRD-"&amp;AG152&amp;"'!$B:$R"),16,FALSE)))</f>
        <v/>
      </c>
      <c r="AG152" s="132">
        <f t="array" ref="AG152">IF(AE152="","",IFERROR(OFFSET($BZ$11,0,MATCH($AE152,$CA152:$FV152,0),),""))</f>
        <v/>
      </c>
      <c r="AH152" s="121">
        <f t="array" ref="AH152">IF(AE152="","",INDIRECT("'GRD-"&amp;AG152&amp;"'!$L$7"))</f>
        <v/>
      </c>
      <c r="AI152" s="83">
        <f t="array" ref="AI152">IFERROR(OFFSET($BZ$11,ROW($B152)-11,MATCH(AI$10,$CA152:$FV152,0),),"")</f>
        <v/>
      </c>
      <c r="AJ152" s="83">
        <f>IF(AI152="","",IF(VLOOKUP($B152,INDIRECT("'GRD-"&amp;AK152&amp;"'!$B:$R"),16,FALSE)="","",VLOOKUP($B152,INDIRECT("'GRD-"&amp;AK152&amp;"'!$B:$R"),16,FALSE)))</f>
        <v/>
      </c>
      <c r="AK152" s="128">
        <f t="array" ref="AK152">IF(AI152="","",IFERROR(OFFSET($BZ$11,0,MATCH($AI152,$CA152:$FV152,0),),""))</f>
        <v/>
      </c>
      <c r="AL152" s="133">
        <f t="array" ref="AL152">IF(AI152="","",INDIRECT("'GRD-"&amp;AK152&amp;"'!$L$7"))</f>
        <v/>
      </c>
      <c r="AM152" s="84">
        <f t="array" ref="AM152">IFERROR(OFFSET($BZ$11,ROW($B152)-11,MATCH(AM$10,$CA152:$FV152,0),),"")</f>
        <v/>
      </c>
      <c r="AN152" s="84">
        <f>IF(AM152="","",IF(VLOOKUP($B152,INDIRECT("'GRD-"&amp;AO152&amp;"'!$B:$R"),16,FALSE)="","",VLOOKUP($B152,INDIRECT("'GRD-"&amp;AO152&amp;"'!$B:$R"),16,FALSE)))</f>
        <v/>
      </c>
      <c r="AO152" s="129">
        <f t="array" ref="AO152">IF(AM152="","",IFERROR(OFFSET($BZ$11,0,MATCH($AM152,$CA152:$FV152,0),),""))</f>
        <v/>
      </c>
      <c r="AP152" s="134">
        <f t="array" ref="AP152">IF(AM152="","",INDIRECT("'GRD-"&amp;AO152&amp;"'!$L$7"))</f>
        <v/>
      </c>
      <c r="AQ152" s="85">
        <f t="array" ref="AQ152">IFERROR(OFFSET($BZ$11,ROW($B152)-11,MATCH(AQ$10,$CA152:$FV152,0),),"")</f>
        <v/>
      </c>
      <c r="AR152" s="85">
        <f>IF(AQ152="","",IF(VLOOKUP($B152,INDIRECT("'GRD-"&amp;AS152&amp;"'!$B:$R"),16,FALSE)="","",VLOOKUP($B152,INDIRECT("'GRD-"&amp;AS152&amp;"'!$B:$R"),16,FALSE)))</f>
        <v/>
      </c>
      <c r="AS152" s="130">
        <f t="array" ref="AS152">IF(AQ152="","",IFERROR(OFFSET($BZ$11,0,MATCH($AQ152,$CA152:$FV152,0),),""))</f>
        <v/>
      </c>
      <c r="AT152" s="131">
        <f t="array" ref="AT152">IF(AQ152="","",INDIRECT("'GRD-"&amp;AS152&amp;"'!$L$7"))</f>
        <v/>
      </c>
      <c r="AU152" s="76">
        <f t="array" ref="AU152">IFERROR(OFFSET($BZ$11,ROW($B152)-11,MATCH(AU$10,$CA152:$FV152,0),),"")</f>
        <v/>
      </c>
      <c r="AV152" s="76">
        <f>IF(AU152="","",IF(VLOOKUP($B152,INDIRECT("'GRD-"&amp;AW152&amp;"'!$B:$R"),16,FALSE)="","",VLOOKUP($B152,INDIRECT("'GRD-"&amp;AW152&amp;"'!$B:$R"),16,FALSE)))</f>
        <v/>
      </c>
      <c r="AW152" s="132">
        <f t="array" ref="AW152">IF(AU152="","",IFERROR(OFFSET($BZ$11,0,MATCH($AU152,$CA152:$FV152,0),),""))</f>
        <v/>
      </c>
      <c r="AX152" s="121">
        <f t="array" ref="AX152">IF(AU152="","",INDIRECT("'GRD-"&amp;AW152&amp;"'!$L$7"))</f>
        <v/>
      </c>
      <c r="AY152" s="83">
        <f t="array" ref="AY152">IFERROR(OFFSET($BZ$11,ROW($B152)-11,MATCH(AY$10,$CA152:$FV152,0),),"")</f>
        <v/>
      </c>
      <c r="AZ152" s="83">
        <f>IF(AY152="","",IF(VLOOKUP($B152,INDIRECT("'GRD-"&amp;BA152&amp;"'!$B:$R"),16,FALSE)="","",VLOOKUP($B152,INDIRECT("'GRD-"&amp;BA152&amp;"'!$B:$R"),16,FALSE)))</f>
        <v/>
      </c>
      <c r="BA152" s="128">
        <f t="array" ref="BA152">IF(AY152="","",IFERROR(OFFSET($BZ$11,0,MATCH($AY152,$CA152:$FV152,0),),""))</f>
        <v/>
      </c>
      <c r="BB152" s="133">
        <f t="array" ref="BB152">IF(AY152="","",INDIRECT("'GRD-"&amp;BA152&amp;"'!$L$7"))</f>
        <v/>
      </c>
      <c r="BC152" s="84">
        <f t="array" ref="BC152">IFERROR(OFFSET($BZ$11,ROW($B152)-11,MATCH(BC$10,$CA152:$FV152,0),),"")</f>
        <v/>
      </c>
      <c r="BD152" s="84">
        <f>IF(BC152="","",IF(VLOOKUP($B152,INDIRECT("'GRD-"&amp;BE152&amp;"'!$B:$R"),16,FALSE)="","",VLOOKUP($B152,INDIRECT("'GRD-"&amp;BE152&amp;"'!$B:$R"),16,FALSE)))</f>
        <v/>
      </c>
      <c r="BE152" s="129">
        <f t="array" ref="BE152">IF(BC152="","",IFERROR(OFFSET($BZ$11,0,MATCH($BC152,$CA152:$FV152,0),),""))</f>
        <v/>
      </c>
      <c r="BF152" s="134">
        <f t="array" ref="BF152">IF(BC152="","",INDIRECT("'GRD-"&amp;BE152&amp;"'!$L$7"))</f>
        <v/>
      </c>
      <c r="CA152" s="96">
        <f>IFERROR(VLOOKUP($B152,INDIRECT("'GRD-"&amp;CA$11&amp;"'!B:R"),15,FALSE),"")</f>
        <v/>
      </c>
      <c r="CB152" s="96">
        <f>IFERROR(VLOOKUP($B152,INDIRECT("'GRD-"&amp;CB$11&amp;"'!B:R"),15,FALSE),"")</f>
        <v/>
      </c>
      <c r="CC152" s="96">
        <f>IFERROR(VLOOKUP($B152,INDIRECT("'GRD-"&amp;CC$11&amp;"'!B:R"),15,FALSE),"")</f>
        <v/>
      </c>
      <c r="CD152" s="96">
        <f>IFERROR(VLOOKUP($B152,INDIRECT("'GRD-"&amp;CD$11&amp;"'!B:R"),15,FALSE),"")</f>
        <v/>
      </c>
      <c r="CE152" s="96">
        <f>IFERROR(VLOOKUP($B152,INDIRECT("'GRD-"&amp;CE$11&amp;"'!B:R"),15,FALSE),"")</f>
        <v/>
      </c>
      <c r="CF152" s="96">
        <f>IFERROR(VLOOKUP($B152,INDIRECT("'GRD-"&amp;CF$11&amp;"'!B:R"),15,FALSE),"")</f>
        <v/>
      </c>
      <c r="CG152" s="96">
        <f>IFERROR(VLOOKUP($B152,INDIRECT("'GRD-"&amp;CG$11&amp;"'!B:R"),15,FALSE),"")</f>
        <v/>
      </c>
      <c r="CH152" s="96">
        <f>IFERROR(VLOOKUP($B152,INDIRECT("'GRD-"&amp;CH$11&amp;"'!B:R"),15,FALSE),"")</f>
        <v/>
      </c>
      <c r="CI152" s="96">
        <f>IFERROR(VLOOKUP($B152,INDIRECT("'GRD-"&amp;CI$11&amp;"'!B:R"),15,FALSE),"")</f>
        <v/>
      </c>
      <c r="CJ152" s="96">
        <f>IFERROR(VLOOKUP($B152,INDIRECT("'GRD-"&amp;CJ$11&amp;"'!B:R"),15,FALSE),"")</f>
        <v/>
      </c>
      <c r="CK152" s="96">
        <f>IFERROR(VLOOKUP($B152,INDIRECT("'GRD-"&amp;CK$11&amp;"'!B:R"),15,FALSE),"")</f>
        <v/>
      </c>
      <c r="CL152" s="96">
        <f>IFERROR(VLOOKUP($B152,INDIRECT("'GRD-"&amp;CL$11&amp;"'!B:R"),15,FALSE),"")</f>
        <v/>
      </c>
      <c r="CM152" s="96">
        <f>IFERROR(VLOOKUP($B152,INDIRECT("'GRD-"&amp;CM$11&amp;"'!B:R"),15,FALSE),"")</f>
        <v/>
      </c>
      <c r="CN152" s="96">
        <f>IFERROR(VLOOKUP($B152,INDIRECT("'GRD-"&amp;CN$11&amp;"'!B:R"),15,FALSE),"")</f>
        <v/>
      </c>
      <c r="CO152" s="96">
        <f>IFERROR(VLOOKUP($B152,INDIRECT("'GRD-"&amp;CO$11&amp;"'!B:R"),15,FALSE),"")</f>
        <v/>
      </c>
      <c r="CP152" s="96">
        <f>IFERROR(VLOOKUP($B152,INDIRECT("'GRD-"&amp;CP$11&amp;"'!B:R"),15,FALSE),"")</f>
        <v/>
      </c>
      <c r="CQ152" s="96">
        <f>IFERROR(VLOOKUP($B152,INDIRECT("'GRD-"&amp;CQ$11&amp;"'!B:R"),15,FALSE),"")</f>
        <v/>
      </c>
      <c r="CR152" s="96">
        <f>IFERROR(VLOOKUP($B152,INDIRECT("'GRD-"&amp;CR$11&amp;"'!B:R"),15,FALSE),"")</f>
        <v/>
      </c>
      <c r="CS152" s="96">
        <f>IFERROR(VLOOKUP($B152,INDIRECT("'GRD-"&amp;CS$11&amp;"'!B:R"),15,FALSE),"")</f>
        <v/>
      </c>
      <c r="CT152" s="96">
        <f>IFERROR(VLOOKUP($B152,INDIRECT("'GRD-"&amp;CT$11&amp;"'!B:R"),15,FALSE),"")</f>
        <v/>
      </c>
      <c r="CU152" s="96">
        <f>IFERROR(VLOOKUP($B152,INDIRECT("'GRD-"&amp;CU$11&amp;"'!B:R"),15,FALSE),"")</f>
        <v/>
      </c>
      <c r="CV152" s="96">
        <f>IFERROR(VLOOKUP($B152,INDIRECT("'GRD-"&amp;CV$11&amp;"'!B:R"),15,FALSE),"")</f>
        <v/>
      </c>
      <c r="CW152" s="96">
        <f>IFERROR(VLOOKUP($B152,INDIRECT("'GRD-"&amp;CW$11&amp;"'!B:R"),15,FALSE),"")</f>
        <v/>
      </c>
      <c r="CX152" s="96">
        <f>IFERROR(VLOOKUP($B152,INDIRECT("'GRD-"&amp;CX$11&amp;"'!B:R"),15,FALSE),"")</f>
        <v/>
      </c>
      <c r="CY152" s="96">
        <f>IFERROR(VLOOKUP($B152,INDIRECT("'GRD-"&amp;CY$11&amp;"'!B:R"),15,FALSE),"")</f>
        <v/>
      </c>
      <c r="CZ152" s="96">
        <f>IFERROR(VLOOKUP($B152,INDIRECT("'GRD-"&amp;CZ$11&amp;"'!B:R"),15,FALSE),"")</f>
        <v/>
      </c>
      <c r="DA152" s="96">
        <f>IFERROR(VLOOKUP($B152,INDIRECT("'GRD-"&amp;DA$11&amp;"'!B:R"),15,FALSE),"")</f>
        <v/>
      </c>
      <c r="DB152" s="96">
        <f>IFERROR(VLOOKUP($B152,INDIRECT("'GRD-"&amp;DB$11&amp;"'!B:R"),15,FALSE),"")</f>
        <v/>
      </c>
      <c r="DC152" s="96">
        <f>IFERROR(VLOOKUP($B152,INDIRECT("'GRD-"&amp;DC$11&amp;"'!B:R"),15,FALSE),"")</f>
        <v/>
      </c>
      <c r="DD152" s="96">
        <f>IFERROR(VLOOKUP($B152,INDIRECT("'GRD-"&amp;DD$11&amp;"'!B:R"),15,FALSE),"")</f>
        <v/>
      </c>
      <c r="DE152" s="96">
        <f>IFERROR(VLOOKUP($B152,INDIRECT("'GRD-"&amp;DE$11&amp;"'!B:R"),15,FALSE),"")</f>
        <v/>
      </c>
      <c r="DF152" s="96">
        <f>IFERROR(VLOOKUP($B152,INDIRECT("'GRD-"&amp;DF$11&amp;"'!B:R"),15,FALSE),"")</f>
        <v/>
      </c>
      <c r="DG152" s="96">
        <f>IFERROR(VLOOKUP($B152,INDIRECT("'GRD-"&amp;DG$11&amp;"'!B:R"),15,FALSE),"")</f>
        <v/>
      </c>
      <c r="DH152" s="96">
        <f>IFERROR(VLOOKUP($B152,INDIRECT("'GRD-"&amp;DH$11&amp;"'!B:R"),15,FALSE),"")</f>
        <v/>
      </c>
      <c r="DI152" s="96">
        <f>IFERROR(VLOOKUP($B152,INDIRECT("'GRD-"&amp;DI$11&amp;"'!B:R"),15,FALSE),"")</f>
        <v/>
      </c>
      <c r="DJ152" s="96">
        <f>IFERROR(VLOOKUP($B152,INDIRECT("'GRD-"&amp;DJ$11&amp;"'!B:R"),15,FALSE),"")</f>
        <v/>
      </c>
      <c r="DK152" s="96">
        <f>IFERROR(VLOOKUP($B152,INDIRECT("'GRD-"&amp;DK$11&amp;"'!B:R"),15,FALSE),"")</f>
        <v/>
      </c>
      <c r="DL152" s="96">
        <f>IFERROR(VLOOKUP($B152,INDIRECT("'GRD-"&amp;DL$11&amp;"'!B:R"),15,FALSE),"")</f>
        <v/>
      </c>
      <c r="DM152" s="96">
        <f>IFERROR(VLOOKUP($B152,INDIRECT("'GRD-"&amp;DM$11&amp;"'!B:R"),15,FALSE),"")</f>
        <v/>
      </c>
      <c r="DN152" s="96">
        <f>IFERROR(VLOOKUP($B152,INDIRECT("'GRD-"&amp;DN$11&amp;"'!B:R"),15,FALSE),"")</f>
        <v/>
      </c>
      <c r="DO152" s="96">
        <f>IFERROR(VLOOKUP($B152,INDIRECT("'GRD-"&amp;DO$11&amp;"'!B:R"),15,FALSE),"")</f>
        <v/>
      </c>
      <c r="DP152" s="96">
        <f>IFERROR(VLOOKUP($B152,INDIRECT("'GRD-"&amp;DP$11&amp;"'!B:R"),15,FALSE),"")</f>
        <v/>
      </c>
      <c r="DQ152" s="96">
        <f>IFERROR(VLOOKUP($B152,INDIRECT("'GRD-"&amp;DQ$11&amp;"'!B:R"),15,FALSE),"")</f>
        <v/>
      </c>
      <c r="DR152" s="96">
        <f>IFERROR(VLOOKUP($B152,INDIRECT("'GRD-"&amp;DR$11&amp;"'!B:R"),15,FALSE),"")</f>
        <v/>
      </c>
      <c r="DS152" s="96">
        <f>IFERROR(VLOOKUP($B152,INDIRECT("'GRD-"&amp;DS$11&amp;"'!B:R"),15,FALSE),"")</f>
        <v/>
      </c>
      <c r="DT152" s="96">
        <f>IFERROR(VLOOKUP($B152,INDIRECT("'GRD-"&amp;DT$11&amp;"'!B:R"),15,FALSE),"")</f>
        <v/>
      </c>
      <c r="DU152" s="96">
        <f>IFERROR(VLOOKUP($B152,INDIRECT("'GRD-"&amp;DU$11&amp;"'!B:R"),15,FALSE),"")</f>
        <v/>
      </c>
      <c r="DV152" s="96">
        <f>IFERROR(VLOOKUP($B152,INDIRECT("'GRD-"&amp;DV$11&amp;"'!B:R"),15,FALSE),"")</f>
        <v/>
      </c>
      <c r="DW152" s="96">
        <f>IFERROR(VLOOKUP($B152,INDIRECT("'GRD-"&amp;DW$11&amp;"'!B:R"),15,FALSE),"")</f>
        <v/>
      </c>
      <c r="DX152" s="96">
        <f>IFERROR(VLOOKUP($B152,INDIRECT("'GRD-"&amp;DX$11&amp;"'!B:R"),15,FALSE),"")</f>
        <v/>
      </c>
      <c r="DY152" s="96">
        <f>IFERROR(VLOOKUP($B152,INDIRECT("'GRD-"&amp;DY$11&amp;"'!B:R"),15,FALSE),"")</f>
        <v/>
      </c>
      <c r="DZ152" s="96">
        <f>IFERROR(VLOOKUP($B152,INDIRECT("'GRD-"&amp;DZ$11&amp;"'!B:R"),15,FALSE),"")</f>
        <v/>
      </c>
      <c r="EA152" s="96">
        <f>IFERROR(VLOOKUP($B152,INDIRECT("'GRD-"&amp;EA$11&amp;"'!B:R"),15,FALSE),"")</f>
        <v/>
      </c>
      <c r="EB152" s="96">
        <f>IFERROR(VLOOKUP($B152,INDIRECT("'GRD-"&amp;EB$11&amp;"'!B:R"),15,FALSE),"")</f>
        <v/>
      </c>
      <c r="EC152" s="96">
        <f>IFERROR(VLOOKUP($B152,INDIRECT("'GRD-"&amp;EC$11&amp;"'!B:R"),15,FALSE),"")</f>
        <v/>
      </c>
      <c r="ED152" s="96">
        <f>IFERROR(VLOOKUP($B152,INDIRECT("'GRD-"&amp;ED$11&amp;"'!B:R"),15,FALSE),"")</f>
        <v/>
      </c>
      <c r="EE152" s="96">
        <f>IFERROR(VLOOKUP($B152,INDIRECT("'GRD-"&amp;EE$11&amp;"'!B:R"),15,FALSE),"")</f>
        <v/>
      </c>
      <c r="EF152" s="96">
        <f>IFERROR(VLOOKUP($B152,INDIRECT("'GRD-"&amp;EF$11&amp;"'!B:R"),15,FALSE),"")</f>
        <v/>
      </c>
      <c r="EG152" s="96">
        <f>IFERROR(VLOOKUP($B152,INDIRECT("'GRD-"&amp;EG$11&amp;"'!B:R"),15,FALSE),"")</f>
        <v/>
      </c>
      <c r="EH152" s="96">
        <f>IFERROR(VLOOKUP($B152,INDIRECT("'GRD-"&amp;EH$11&amp;"'!B:R"),15,FALSE),"")</f>
        <v/>
      </c>
      <c r="EI152" s="96">
        <f>IFERROR(VLOOKUP($B152,INDIRECT("'GRD-"&amp;EI$11&amp;"'!B:R"),15,FALSE),"")</f>
        <v/>
      </c>
      <c r="EJ152" s="96">
        <f>IFERROR(VLOOKUP($B152,INDIRECT("'GRD-"&amp;EJ$11&amp;"'!B:R"),15,FALSE),"")</f>
        <v/>
      </c>
      <c r="EK152" s="96">
        <f>IFERROR(VLOOKUP($B152,INDIRECT("'GRD-"&amp;EK$11&amp;"'!B:R"),15,FALSE),"")</f>
        <v/>
      </c>
      <c r="EL152" s="96">
        <f>IFERROR(VLOOKUP($B152,INDIRECT("'GRD-"&amp;EL$11&amp;"'!B:R"),15,FALSE),"")</f>
        <v/>
      </c>
      <c r="EM152" s="96">
        <f>IFERROR(VLOOKUP($B152,INDIRECT("'GRD-"&amp;EM$11&amp;"'!B:R"),15,FALSE),"")</f>
        <v/>
      </c>
      <c r="EN152" s="96">
        <f>IFERROR(VLOOKUP($B152,INDIRECT("'GRD-"&amp;EN$11&amp;"'!B:R"),15,FALSE),"")</f>
        <v/>
      </c>
      <c r="EO152" s="96">
        <f>IFERROR(VLOOKUP($B152,INDIRECT("'GRD-"&amp;EO$11&amp;"'!B:R"),15,FALSE),"")</f>
        <v/>
      </c>
      <c r="EP152" s="96">
        <f>IFERROR(VLOOKUP($B152,INDIRECT("'GRD-"&amp;EP$11&amp;"'!B:R"),15,FALSE),"")</f>
        <v/>
      </c>
      <c r="EQ152" s="96">
        <f>IFERROR(VLOOKUP($B152,INDIRECT("'GRD-"&amp;EQ$11&amp;"'!B:R"),15,FALSE),"")</f>
        <v/>
      </c>
      <c r="ER152" s="96">
        <f>IFERROR(VLOOKUP($B152,INDIRECT("'GRD-"&amp;ER$11&amp;"'!B:R"),15,FALSE),"")</f>
        <v/>
      </c>
      <c r="ES152" s="96">
        <f>IFERROR(VLOOKUP($B152,INDIRECT("'GRD-"&amp;ES$11&amp;"'!B:R"),15,FALSE),"")</f>
        <v/>
      </c>
      <c r="ET152" s="96">
        <f>IFERROR(VLOOKUP($B152,INDIRECT("'GRD-"&amp;ET$11&amp;"'!B:R"),15,FALSE),"")</f>
        <v/>
      </c>
      <c r="EU152" s="96">
        <f>IFERROR(VLOOKUP($B152,INDIRECT("'GRD-"&amp;EU$11&amp;"'!B:R"),15,FALSE),"")</f>
        <v/>
      </c>
      <c r="EV152" s="96">
        <f>IFERROR(VLOOKUP($B152,INDIRECT("'GRD-"&amp;EV$11&amp;"'!B:R"),15,FALSE),"")</f>
        <v/>
      </c>
      <c r="EW152" s="96">
        <f>IFERROR(VLOOKUP($B152,INDIRECT("'GRD-"&amp;EW$11&amp;"'!B:R"),15,FALSE),"")</f>
        <v/>
      </c>
      <c r="EX152" s="96">
        <f>IFERROR(VLOOKUP($B152,INDIRECT("'GRD-"&amp;EX$11&amp;"'!B:R"),15,FALSE),"")</f>
        <v/>
      </c>
      <c r="EY152" s="96">
        <f>IFERROR(VLOOKUP($B152,INDIRECT("'GRD-"&amp;EY$11&amp;"'!B:R"),15,FALSE),"")</f>
        <v/>
      </c>
      <c r="EZ152" s="96">
        <f>IFERROR(VLOOKUP($B152,INDIRECT("'GRD-"&amp;EZ$11&amp;"'!B:R"),15,FALSE),"")</f>
        <v/>
      </c>
      <c r="FA152" s="96">
        <f>IFERROR(VLOOKUP($B152,INDIRECT("'GRD-"&amp;FA$11&amp;"'!B:R"),15,FALSE),"")</f>
        <v/>
      </c>
      <c r="FB152" s="96">
        <f>IFERROR(VLOOKUP($B152,INDIRECT("'GRD-"&amp;FB$11&amp;"'!B:R"),15,FALSE),"")</f>
        <v/>
      </c>
      <c r="FC152" s="96">
        <f>IFERROR(VLOOKUP($B152,INDIRECT("'GRD-"&amp;FC$11&amp;"'!B:R"),15,FALSE),"")</f>
        <v/>
      </c>
      <c r="FD152" s="96">
        <f>IFERROR(VLOOKUP($B152,INDIRECT("'GRD-"&amp;FD$11&amp;"'!B:R"),15,FALSE),"")</f>
        <v/>
      </c>
      <c r="FE152" s="96">
        <f>IFERROR(VLOOKUP($B152,INDIRECT("'GRD-"&amp;FE$11&amp;"'!B:R"),15,FALSE),"")</f>
        <v/>
      </c>
      <c r="FF152" s="96">
        <f>IFERROR(VLOOKUP($B152,INDIRECT("'GRD-"&amp;FF$11&amp;"'!B:R"),15,FALSE),"")</f>
        <v/>
      </c>
      <c r="FG152" s="96">
        <f>IFERROR(VLOOKUP($B152,INDIRECT("'GRD-"&amp;FG$11&amp;"'!B:R"),15,FALSE),"")</f>
        <v/>
      </c>
      <c r="FH152" s="96">
        <f>IFERROR(VLOOKUP($B152,INDIRECT("'GRD-"&amp;FH$11&amp;"'!B:R"),15,FALSE),"")</f>
        <v/>
      </c>
      <c r="FI152" s="96">
        <f>IFERROR(VLOOKUP($B152,INDIRECT("'GRD-"&amp;FI$11&amp;"'!B:R"),15,FALSE),"")</f>
        <v/>
      </c>
      <c r="FJ152" s="96">
        <f>IFERROR(VLOOKUP($B152,INDIRECT("'GRD-"&amp;FJ$11&amp;"'!B:R"),15,FALSE),"")</f>
        <v/>
      </c>
      <c r="FK152" s="96">
        <f>IFERROR(VLOOKUP($B152,INDIRECT("'GRD-"&amp;FK$11&amp;"'!B:R"),15,FALSE),"")</f>
        <v/>
      </c>
      <c r="FL152" s="96">
        <f>IFERROR(VLOOKUP($B152,INDIRECT("'GRD-"&amp;FL$11&amp;"'!B:R"),15,FALSE),"")</f>
        <v/>
      </c>
      <c r="FM152" s="96">
        <f>IFERROR(VLOOKUP($B152,INDIRECT("'GRD-"&amp;FM$11&amp;"'!B:R"),15,FALSE),"")</f>
        <v/>
      </c>
      <c r="FN152" s="96">
        <f>IFERROR(VLOOKUP($B152,INDIRECT("'GRD-"&amp;FN$11&amp;"'!B:R"),15,FALSE),"")</f>
        <v/>
      </c>
      <c r="FO152" s="96">
        <f>IFERROR(VLOOKUP($B152,INDIRECT("'GRD-"&amp;FO$11&amp;"'!B:R"),15,FALSE),"")</f>
        <v/>
      </c>
      <c r="FP152" s="96">
        <f>IFERROR(VLOOKUP($B152,INDIRECT("'GRD-"&amp;FP$11&amp;"'!B:R"),15,FALSE),"")</f>
        <v/>
      </c>
      <c r="FQ152" s="96">
        <f>IFERROR(VLOOKUP($B152,INDIRECT("'GRD-"&amp;FQ$11&amp;"'!B:R"),15,FALSE),"")</f>
        <v/>
      </c>
      <c r="FR152" s="96">
        <f>IFERROR(VLOOKUP($B152,INDIRECT("'GRD-"&amp;FR$11&amp;"'!B:R"),15,FALSE),"")</f>
        <v/>
      </c>
      <c r="FS152" s="96">
        <f>IFERROR(VLOOKUP($B152,INDIRECT("'GRD-"&amp;FS$11&amp;"'!B:R"),15,FALSE),"")</f>
        <v/>
      </c>
      <c r="FT152" s="96">
        <f>IFERROR(VLOOKUP($B152,INDIRECT("'GRD-"&amp;FT$11&amp;"'!B:R"),15,FALSE),"")</f>
        <v/>
      </c>
      <c r="FU152" s="96">
        <f>IFERROR(VLOOKUP($B152,INDIRECT("'GRD-"&amp;FU$11&amp;"'!B:R"),15,FALSE),"")</f>
        <v/>
      </c>
      <c r="FV152" s="96">
        <f>IFERROR(VLOOKUP($B152,INDIRECT("'GRD-"&amp;FV$11&amp;"'!B:R"),15,FALSE),"")</f>
        <v/>
      </c>
    </row>
    <row r="153">
      <c r="B153" s="85" t="n"/>
      <c r="C153" s="93" t="n"/>
      <c r="D153" s="73">
        <f>IF(K153="","",MAX($CA153:$FV153))</f>
        <v/>
      </c>
      <c r="E153" s="74">
        <f t="array" ref="E153">IF($K153="","",OFFSET($A$1,ROW($B153)-1,11+$D153*4,))</f>
        <v/>
      </c>
      <c r="F153" s="74">
        <f t="array" ref="F153">IF($K153="","",OFFSET($A$1,ROW($B153)-1,12+$D153*4,))</f>
        <v/>
      </c>
      <c r="G153" s="118">
        <f t="array" ref="G153">IF($K153="","",OFFSET($A$1,ROW($B153)-1,13+$D153*4,))</f>
        <v/>
      </c>
      <c r="H153" s="81" t="n"/>
      <c r="I153" s="82" t="n"/>
      <c r="J153" s="75">
        <f>IF(I153="A4",H153/8,IF(I153="A3",H153/4,IF(I153="A2",H153/2,IF(I153="A1",H153/1,IF(I153="A0",H153*2,"")))))</f>
        <v/>
      </c>
      <c r="K153" s="68">
        <f t="array" ref="K153">IFERROR(OFFSET($BZ$11,ROW($B153)-11,MATCH(K$10,$CA153:$FV153,0),),"")</f>
        <v/>
      </c>
      <c r="L153" s="85">
        <f>IF(K153="","",IF(VLOOKUP($B153,INDIRECT("'GRD-"&amp;M153&amp;"'!$B:$R"),16,FALSE)="","",VLOOKUP($B153,INDIRECT("'GRD-"&amp;M153&amp;"'!$B:$R"),16,FALSE)))</f>
        <v/>
      </c>
      <c r="M153" s="130">
        <f t="array" ref="M153">IF(K153="","",IFERROR(OFFSET($BZ$11,0,MATCH($K153,$CA153:$FV153,0),),""))</f>
        <v/>
      </c>
      <c r="N153" s="119">
        <f t="array" ref="N153">IF(K153="","",INDIRECT("'GRD-"&amp;M153&amp;"'!$L$7"))</f>
        <v/>
      </c>
      <c r="O153" s="76">
        <f t="array" ref="O153">IFERROR(OFFSET($BZ$11,ROW($B153)-11,MATCH(O$10,$CA153:$FV153,0),),"")</f>
        <v/>
      </c>
      <c r="P153" s="76">
        <f>IF(O153="","",IF(VLOOKUP($B153,INDIRECT("'GRD-"&amp;Q153&amp;"'!$B:$R"),16,FALSE)="","",VLOOKUP($B153,INDIRECT("'GRD-"&amp;Q153&amp;"'!$B:$R"),16,FALSE)))</f>
        <v/>
      </c>
      <c r="Q153" s="132">
        <f t="array" ref="Q153">IF(O153="","",IFERROR(OFFSET($BZ$11,0,MATCH($O153,$CA153:$FV153,0),),""))</f>
        <v/>
      </c>
      <c r="R153" s="121">
        <f t="array" ref="R153">IF(O153="","",INDIRECT("'GRD-"&amp;Q153&amp;"'!$L$7"))</f>
        <v/>
      </c>
      <c r="S153" s="83">
        <f t="array" ref="S153">IFERROR(OFFSET($BZ$11,ROW($B153)-11,MATCH(S$10,$CA153:$FV153,0),),"")</f>
        <v/>
      </c>
      <c r="T153" s="83">
        <f>IF(S153="","",IF(VLOOKUP($B153,INDIRECT("'GRD-"&amp;U153&amp;"'!$B:$R"),16,FALSE)="","",VLOOKUP($B153,INDIRECT("'GRD-"&amp;U153&amp;"'!$B:$R"),16,FALSE)))</f>
        <v/>
      </c>
      <c r="U153" s="128">
        <f t="array" ref="U153">IF(S153="","",IFERROR(OFFSET($BZ$11,0,MATCH($S153,$CA153:$FV153,0),),""))</f>
        <v/>
      </c>
      <c r="V153" s="133">
        <f t="array" ref="V153">IF(S153="","",INDIRECT("'GRD-"&amp;U153&amp;"'!$L$7"))</f>
        <v/>
      </c>
      <c r="W153" s="84">
        <f t="array" ref="W153">IFERROR(OFFSET($BZ$11,ROW($B153)-11,MATCH(W$10,$CA153:$FV153,0),),"")</f>
        <v/>
      </c>
      <c r="X153" s="84">
        <f>IF(W153="","",IF(VLOOKUP($B153,INDIRECT("'GRD-"&amp;Y153&amp;"'!$B:$R"),16,FALSE)="","",VLOOKUP($B153,INDIRECT("'GRD-"&amp;Y153&amp;"'!$B:$R"),16,FALSE)))</f>
        <v/>
      </c>
      <c r="Y153" s="129">
        <f t="array" ref="Y153">IF(W153="","",IFERROR(OFFSET($BZ$11,0,MATCH($W153,$CA153:$FV153,0),),""))</f>
        <v/>
      </c>
      <c r="Z153" s="134">
        <f t="array" ref="Z153">IF(W153="","",INDIRECT("'GRD-"&amp;Y153&amp;"'!$L$7"))</f>
        <v/>
      </c>
      <c r="AA153" s="85">
        <f t="array" ref="AA153">IFERROR(OFFSET($BZ$11,ROW($B153)-11,MATCH(AA$10,$CA153:$FV153,0),),"")</f>
        <v/>
      </c>
      <c r="AB153" s="85">
        <f>IF(AA153="","",IF(VLOOKUP($B153,INDIRECT("'GRD-"&amp;AC153&amp;"'!$B:$R"),16,FALSE)="","",VLOOKUP($B153,INDIRECT("'GRD-"&amp;AC153&amp;"'!$B:$R"),16,FALSE)))</f>
        <v/>
      </c>
      <c r="AC153" s="130">
        <f t="array" ref="AC153">IF(AA153="","",IFERROR(OFFSET($BZ$11,0,MATCH($AA153,$CA153:$FV153,0),),""))</f>
        <v/>
      </c>
      <c r="AD153" s="131">
        <f t="array" ref="AD153">IF(AA153="","",INDIRECT("'GRD-"&amp;AC153&amp;"'!$L$7"))</f>
        <v/>
      </c>
      <c r="AE153" s="76">
        <f t="array" ref="AE153">IFERROR(OFFSET($BZ$11,ROW($B153)-11,MATCH(AE$10,$CA153:$FV153,0),),"")</f>
        <v/>
      </c>
      <c r="AF153" s="76">
        <f>IF(AE153="","",IF(VLOOKUP($B153,INDIRECT("'GRD-"&amp;AG153&amp;"'!$B:$R"),16,FALSE)="","",VLOOKUP($B153,INDIRECT("'GRD-"&amp;AG153&amp;"'!$B:$R"),16,FALSE)))</f>
        <v/>
      </c>
      <c r="AG153" s="132">
        <f t="array" ref="AG153">IF(AE153="","",IFERROR(OFFSET($BZ$11,0,MATCH($AE153,$CA153:$FV153,0),),""))</f>
        <v/>
      </c>
      <c r="AH153" s="121">
        <f t="array" ref="AH153">IF(AE153="","",INDIRECT("'GRD-"&amp;AG153&amp;"'!$L$7"))</f>
        <v/>
      </c>
      <c r="AI153" s="83">
        <f t="array" ref="AI153">IFERROR(OFFSET($BZ$11,ROW($B153)-11,MATCH(AI$10,$CA153:$FV153,0),),"")</f>
        <v/>
      </c>
      <c r="AJ153" s="83">
        <f>IF(AI153="","",IF(VLOOKUP($B153,INDIRECT("'GRD-"&amp;AK153&amp;"'!$B:$R"),16,FALSE)="","",VLOOKUP($B153,INDIRECT("'GRD-"&amp;AK153&amp;"'!$B:$R"),16,FALSE)))</f>
        <v/>
      </c>
      <c r="AK153" s="128">
        <f t="array" ref="AK153">IF(AI153="","",IFERROR(OFFSET($BZ$11,0,MATCH($AI153,$CA153:$FV153,0),),""))</f>
        <v/>
      </c>
      <c r="AL153" s="133">
        <f t="array" ref="AL153">IF(AI153="","",INDIRECT("'GRD-"&amp;AK153&amp;"'!$L$7"))</f>
        <v/>
      </c>
      <c r="AM153" s="84">
        <f t="array" ref="AM153">IFERROR(OFFSET($BZ$11,ROW($B153)-11,MATCH(AM$10,$CA153:$FV153,0),),"")</f>
        <v/>
      </c>
      <c r="AN153" s="84">
        <f>IF(AM153="","",IF(VLOOKUP($B153,INDIRECT("'GRD-"&amp;AO153&amp;"'!$B:$R"),16,FALSE)="","",VLOOKUP($B153,INDIRECT("'GRD-"&amp;AO153&amp;"'!$B:$R"),16,FALSE)))</f>
        <v/>
      </c>
      <c r="AO153" s="129">
        <f t="array" ref="AO153">IF(AM153="","",IFERROR(OFFSET($BZ$11,0,MATCH($AM153,$CA153:$FV153,0),),""))</f>
        <v/>
      </c>
      <c r="AP153" s="134">
        <f t="array" ref="AP153">IF(AM153="","",INDIRECT("'GRD-"&amp;AO153&amp;"'!$L$7"))</f>
        <v/>
      </c>
      <c r="AQ153" s="85">
        <f t="array" ref="AQ153">IFERROR(OFFSET($BZ$11,ROW($B153)-11,MATCH(AQ$10,$CA153:$FV153,0),),"")</f>
        <v/>
      </c>
      <c r="AR153" s="85">
        <f>IF(AQ153="","",IF(VLOOKUP($B153,INDIRECT("'GRD-"&amp;AS153&amp;"'!$B:$R"),16,FALSE)="","",VLOOKUP($B153,INDIRECT("'GRD-"&amp;AS153&amp;"'!$B:$R"),16,FALSE)))</f>
        <v/>
      </c>
      <c r="AS153" s="130">
        <f t="array" ref="AS153">IF(AQ153="","",IFERROR(OFFSET($BZ$11,0,MATCH($AQ153,$CA153:$FV153,0),),""))</f>
        <v/>
      </c>
      <c r="AT153" s="131">
        <f t="array" ref="AT153">IF(AQ153="","",INDIRECT("'GRD-"&amp;AS153&amp;"'!$L$7"))</f>
        <v/>
      </c>
      <c r="AU153" s="76">
        <f t="array" ref="AU153">IFERROR(OFFSET($BZ$11,ROW($B153)-11,MATCH(AU$10,$CA153:$FV153,0),),"")</f>
        <v/>
      </c>
      <c r="AV153" s="76">
        <f>IF(AU153="","",IF(VLOOKUP($B153,INDIRECT("'GRD-"&amp;AW153&amp;"'!$B:$R"),16,FALSE)="","",VLOOKUP($B153,INDIRECT("'GRD-"&amp;AW153&amp;"'!$B:$R"),16,FALSE)))</f>
        <v/>
      </c>
      <c r="AW153" s="132">
        <f t="array" ref="AW153">IF(AU153="","",IFERROR(OFFSET($BZ$11,0,MATCH($AU153,$CA153:$FV153,0),),""))</f>
        <v/>
      </c>
      <c r="AX153" s="121">
        <f t="array" ref="AX153">IF(AU153="","",INDIRECT("'GRD-"&amp;AW153&amp;"'!$L$7"))</f>
        <v/>
      </c>
      <c r="AY153" s="83">
        <f t="array" ref="AY153">IFERROR(OFFSET($BZ$11,ROW($B153)-11,MATCH(AY$10,$CA153:$FV153,0),),"")</f>
        <v/>
      </c>
      <c r="AZ153" s="83">
        <f>IF(AY153="","",IF(VLOOKUP($B153,INDIRECT("'GRD-"&amp;BA153&amp;"'!$B:$R"),16,FALSE)="","",VLOOKUP($B153,INDIRECT("'GRD-"&amp;BA153&amp;"'!$B:$R"),16,FALSE)))</f>
        <v/>
      </c>
      <c r="BA153" s="128">
        <f t="array" ref="BA153">IF(AY153="","",IFERROR(OFFSET($BZ$11,0,MATCH($AY153,$CA153:$FV153,0),),""))</f>
        <v/>
      </c>
      <c r="BB153" s="133">
        <f t="array" ref="BB153">IF(AY153="","",INDIRECT("'GRD-"&amp;BA153&amp;"'!$L$7"))</f>
        <v/>
      </c>
      <c r="BC153" s="84">
        <f t="array" ref="BC153">IFERROR(OFFSET($BZ$11,ROW($B153)-11,MATCH(BC$10,$CA153:$FV153,0),),"")</f>
        <v/>
      </c>
      <c r="BD153" s="84">
        <f>IF(BC153="","",IF(VLOOKUP($B153,INDIRECT("'GRD-"&amp;BE153&amp;"'!$B:$R"),16,FALSE)="","",VLOOKUP($B153,INDIRECT("'GRD-"&amp;BE153&amp;"'!$B:$R"),16,FALSE)))</f>
        <v/>
      </c>
      <c r="BE153" s="129">
        <f t="array" ref="BE153">IF(BC153="","",IFERROR(OFFSET($BZ$11,0,MATCH($BC153,$CA153:$FV153,0),),""))</f>
        <v/>
      </c>
      <c r="BF153" s="134">
        <f t="array" ref="BF153">IF(BC153="","",INDIRECT("'GRD-"&amp;BE153&amp;"'!$L$7"))</f>
        <v/>
      </c>
      <c r="CA153" s="96">
        <f>IFERROR(VLOOKUP($B153,INDIRECT("'GRD-"&amp;CA$11&amp;"'!B:R"),15,FALSE),"")</f>
        <v/>
      </c>
      <c r="CB153" s="96">
        <f>IFERROR(VLOOKUP($B153,INDIRECT("'GRD-"&amp;CB$11&amp;"'!B:R"),15,FALSE),"")</f>
        <v/>
      </c>
      <c r="CC153" s="96">
        <f>IFERROR(VLOOKUP($B153,INDIRECT("'GRD-"&amp;CC$11&amp;"'!B:R"),15,FALSE),"")</f>
        <v/>
      </c>
      <c r="CD153" s="96">
        <f>IFERROR(VLOOKUP($B153,INDIRECT("'GRD-"&amp;CD$11&amp;"'!B:R"),15,FALSE),"")</f>
        <v/>
      </c>
      <c r="CE153" s="96">
        <f>IFERROR(VLOOKUP($B153,INDIRECT("'GRD-"&amp;CE$11&amp;"'!B:R"),15,FALSE),"")</f>
        <v/>
      </c>
      <c r="CF153" s="96">
        <f>IFERROR(VLOOKUP($B153,INDIRECT("'GRD-"&amp;CF$11&amp;"'!B:R"),15,FALSE),"")</f>
        <v/>
      </c>
      <c r="CG153" s="96">
        <f>IFERROR(VLOOKUP($B153,INDIRECT("'GRD-"&amp;CG$11&amp;"'!B:R"),15,FALSE),"")</f>
        <v/>
      </c>
      <c r="CH153" s="96">
        <f>IFERROR(VLOOKUP($B153,INDIRECT("'GRD-"&amp;CH$11&amp;"'!B:R"),15,FALSE),"")</f>
        <v/>
      </c>
      <c r="CI153" s="96">
        <f>IFERROR(VLOOKUP($B153,INDIRECT("'GRD-"&amp;CI$11&amp;"'!B:R"),15,FALSE),"")</f>
        <v/>
      </c>
      <c r="CJ153" s="96">
        <f>IFERROR(VLOOKUP($B153,INDIRECT("'GRD-"&amp;CJ$11&amp;"'!B:R"),15,FALSE),"")</f>
        <v/>
      </c>
      <c r="CK153" s="96">
        <f>IFERROR(VLOOKUP($B153,INDIRECT("'GRD-"&amp;CK$11&amp;"'!B:R"),15,FALSE),"")</f>
        <v/>
      </c>
      <c r="CL153" s="96">
        <f>IFERROR(VLOOKUP($B153,INDIRECT("'GRD-"&amp;CL$11&amp;"'!B:R"),15,FALSE),"")</f>
        <v/>
      </c>
      <c r="CM153" s="96">
        <f>IFERROR(VLOOKUP($B153,INDIRECT("'GRD-"&amp;CM$11&amp;"'!B:R"),15,FALSE),"")</f>
        <v/>
      </c>
      <c r="CN153" s="96">
        <f>IFERROR(VLOOKUP($B153,INDIRECT("'GRD-"&amp;CN$11&amp;"'!B:R"),15,FALSE),"")</f>
        <v/>
      </c>
      <c r="CO153" s="96">
        <f>IFERROR(VLOOKUP($B153,INDIRECT("'GRD-"&amp;CO$11&amp;"'!B:R"),15,FALSE),"")</f>
        <v/>
      </c>
      <c r="CP153" s="96">
        <f>IFERROR(VLOOKUP($B153,INDIRECT("'GRD-"&amp;CP$11&amp;"'!B:R"),15,FALSE),"")</f>
        <v/>
      </c>
      <c r="CQ153" s="96">
        <f>IFERROR(VLOOKUP($B153,INDIRECT("'GRD-"&amp;CQ$11&amp;"'!B:R"),15,FALSE),"")</f>
        <v/>
      </c>
      <c r="CR153" s="96">
        <f>IFERROR(VLOOKUP($B153,INDIRECT("'GRD-"&amp;CR$11&amp;"'!B:R"),15,FALSE),"")</f>
        <v/>
      </c>
      <c r="CS153" s="96">
        <f>IFERROR(VLOOKUP($B153,INDIRECT("'GRD-"&amp;CS$11&amp;"'!B:R"),15,FALSE),"")</f>
        <v/>
      </c>
      <c r="CT153" s="96">
        <f>IFERROR(VLOOKUP($B153,INDIRECT("'GRD-"&amp;CT$11&amp;"'!B:R"),15,FALSE),"")</f>
        <v/>
      </c>
      <c r="CU153" s="96">
        <f>IFERROR(VLOOKUP($B153,INDIRECT("'GRD-"&amp;CU$11&amp;"'!B:R"),15,FALSE),"")</f>
        <v/>
      </c>
      <c r="CV153" s="96">
        <f>IFERROR(VLOOKUP($B153,INDIRECT("'GRD-"&amp;CV$11&amp;"'!B:R"),15,FALSE),"")</f>
        <v/>
      </c>
      <c r="CW153" s="96">
        <f>IFERROR(VLOOKUP($B153,INDIRECT("'GRD-"&amp;CW$11&amp;"'!B:R"),15,FALSE),"")</f>
        <v/>
      </c>
      <c r="CX153" s="96">
        <f>IFERROR(VLOOKUP($B153,INDIRECT("'GRD-"&amp;CX$11&amp;"'!B:R"),15,FALSE),"")</f>
        <v/>
      </c>
      <c r="CY153" s="96">
        <f>IFERROR(VLOOKUP($B153,INDIRECT("'GRD-"&amp;CY$11&amp;"'!B:R"),15,FALSE),"")</f>
        <v/>
      </c>
      <c r="CZ153" s="96">
        <f>IFERROR(VLOOKUP($B153,INDIRECT("'GRD-"&amp;CZ$11&amp;"'!B:R"),15,FALSE),"")</f>
        <v/>
      </c>
      <c r="DA153" s="96">
        <f>IFERROR(VLOOKUP($B153,INDIRECT("'GRD-"&amp;DA$11&amp;"'!B:R"),15,FALSE),"")</f>
        <v/>
      </c>
      <c r="DB153" s="96">
        <f>IFERROR(VLOOKUP($B153,INDIRECT("'GRD-"&amp;DB$11&amp;"'!B:R"),15,FALSE),"")</f>
        <v/>
      </c>
      <c r="DC153" s="96">
        <f>IFERROR(VLOOKUP($B153,INDIRECT("'GRD-"&amp;DC$11&amp;"'!B:R"),15,FALSE),"")</f>
        <v/>
      </c>
      <c r="DD153" s="96">
        <f>IFERROR(VLOOKUP($B153,INDIRECT("'GRD-"&amp;DD$11&amp;"'!B:R"),15,FALSE),"")</f>
        <v/>
      </c>
      <c r="DE153" s="96">
        <f>IFERROR(VLOOKUP($B153,INDIRECT("'GRD-"&amp;DE$11&amp;"'!B:R"),15,FALSE),"")</f>
        <v/>
      </c>
      <c r="DF153" s="96">
        <f>IFERROR(VLOOKUP($B153,INDIRECT("'GRD-"&amp;DF$11&amp;"'!B:R"),15,FALSE),"")</f>
        <v/>
      </c>
      <c r="DG153" s="96">
        <f>IFERROR(VLOOKUP($B153,INDIRECT("'GRD-"&amp;DG$11&amp;"'!B:R"),15,FALSE),"")</f>
        <v/>
      </c>
      <c r="DH153" s="96">
        <f>IFERROR(VLOOKUP($B153,INDIRECT("'GRD-"&amp;DH$11&amp;"'!B:R"),15,FALSE),"")</f>
        <v/>
      </c>
      <c r="DI153" s="96">
        <f>IFERROR(VLOOKUP($B153,INDIRECT("'GRD-"&amp;DI$11&amp;"'!B:R"),15,FALSE),"")</f>
        <v/>
      </c>
      <c r="DJ153" s="96">
        <f>IFERROR(VLOOKUP($B153,INDIRECT("'GRD-"&amp;DJ$11&amp;"'!B:R"),15,FALSE),"")</f>
        <v/>
      </c>
      <c r="DK153" s="96">
        <f>IFERROR(VLOOKUP($B153,INDIRECT("'GRD-"&amp;DK$11&amp;"'!B:R"),15,FALSE),"")</f>
        <v/>
      </c>
      <c r="DL153" s="96">
        <f>IFERROR(VLOOKUP($B153,INDIRECT("'GRD-"&amp;DL$11&amp;"'!B:R"),15,FALSE),"")</f>
        <v/>
      </c>
      <c r="DM153" s="96">
        <f>IFERROR(VLOOKUP($B153,INDIRECT("'GRD-"&amp;DM$11&amp;"'!B:R"),15,FALSE),"")</f>
        <v/>
      </c>
      <c r="DN153" s="96">
        <f>IFERROR(VLOOKUP($B153,INDIRECT("'GRD-"&amp;DN$11&amp;"'!B:R"),15,FALSE),"")</f>
        <v/>
      </c>
      <c r="DO153" s="96">
        <f>IFERROR(VLOOKUP($B153,INDIRECT("'GRD-"&amp;DO$11&amp;"'!B:R"),15,FALSE),"")</f>
        <v/>
      </c>
      <c r="DP153" s="96">
        <f>IFERROR(VLOOKUP($B153,INDIRECT("'GRD-"&amp;DP$11&amp;"'!B:R"),15,FALSE),"")</f>
        <v/>
      </c>
      <c r="DQ153" s="96">
        <f>IFERROR(VLOOKUP($B153,INDIRECT("'GRD-"&amp;DQ$11&amp;"'!B:R"),15,FALSE),"")</f>
        <v/>
      </c>
      <c r="DR153" s="96">
        <f>IFERROR(VLOOKUP($B153,INDIRECT("'GRD-"&amp;DR$11&amp;"'!B:R"),15,FALSE),"")</f>
        <v/>
      </c>
      <c r="DS153" s="96">
        <f>IFERROR(VLOOKUP($B153,INDIRECT("'GRD-"&amp;DS$11&amp;"'!B:R"),15,FALSE),"")</f>
        <v/>
      </c>
      <c r="DT153" s="96">
        <f>IFERROR(VLOOKUP($B153,INDIRECT("'GRD-"&amp;DT$11&amp;"'!B:R"),15,FALSE),"")</f>
        <v/>
      </c>
      <c r="DU153" s="96">
        <f>IFERROR(VLOOKUP($B153,INDIRECT("'GRD-"&amp;DU$11&amp;"'!B:R"),15,FALSE),"")</f>
        <v/>
      </c>
      <c r="DV153" s="96">
        <f>IFERROR(VLOOKUP($B153,INDIRECT("'GRD-"&amp;DV$11&amp;"'!B:R"),15,FALSE),"")</f>
        <v/>
      </c>
      <c r="DW153" s="96">
        <f>IFERROR(VLOOKUP($B153,INDIRECT("'GRD-"&amp;DW$11&amp;"'!B:R"),15,FALSE),"")</f>
        <v/>
      </c>
      <c r="DX153" s="96">
        <f>IFERROR(VLOOKUP($B153,INDIRECT("'GRD-"&amp;DX$11&amp;"'!B:R"),15,FALSE),"")</f>
        <v/>
      </c>
      <c r="DY153" s="96">
        <f>IFERROR(VLOOKUP($B153,INDIRECT("'GRD-"&amp;DY$11&amp;"'!B:R"),15,FALSE),"")</f>
        <v/>
      </c>
      <c r="DZ153" s="96">
        <f>IFERROR(VLOOKUP($B153,INDIRECT("'GRD-"&amp;DZ$11&amp;"'!B:R"),15,FALSE),"")</f>
        <v/>
      </c>
      <c r="EA153" s="96">
        <f>IFERROR(VLOOKUP($B153,INDIRECT("'GRD-"&amp;EA$11&amp;"'!B:R"),15,FALSE),"")</f>
        <v/>
      </c>
      <c r="EB153" s="96">
        <f>IFERROR(VLOOKUP($B153,INDIRECT("'GRD-"&amp;EB$11&amp;"'!B:R"),15,FALSE),"")</f>
        <v/>
      </c>
      <c r="EC153" s="96">
        <f>IFERROR(VLOOKUP($B153,INDIRECT("'GRD-"&amp;EC$11&amp;"'!B:R"),15,FALSE),"")</f>
        <v/>
      </c>
      <c r="ED153" s="96">
        <f>IFERROR(VLOOKUP($B153,INDIRECT("'GRD-"&amp;ED$11&amp;"'!B:R"),15,FALSE),"")</f>
        <v/>
      </c>
      <c r="EE153" s="96">
        <f>IFERROR(VLOOKUP($B153,INDIRECT("'GRD-"&amp;EE$11&amp;"'!B:R"),15,FALSE),"")</f>
        <v/>
      </c>
      <c r="EF153" s="96">
        <f>IFERROR(VLOOKUP($B153,INDIRECT("'GRD-"&amp;EF$11&amp;"'!B:R"),15,FALSE),"")</f>
        <v/>
      </c>
      <c r="EG153" s="96">
        <f>IFERROR(VLOOKUP($B153,INDIRECT("'GRD-"&amp;EG$11&amp;"'!B:R"),15,FALSE),"")</f>
        <v/>
      </c>
      <c r="EH153" s="96">
        <f>IFERROR(VLOOKUP($B153,INDIRECT("'GRD-"&amp;EH$11&amp;"'!B:R"),15,FALSE),"")</f>
        <v/>
      </c>
      <c r="EI153" s="96">
        <f>IFERROR(VLOOKUP($B153,INDIRECT("'GRD-"&amp;EI$11&amp;"'!B:R"),15,FALSE),"")</f>
        <v/>
      </c>
      <c r="EJ153" s="96">
        <f>IFERROR(VLOOKUP($B153,INDIRECT("'GRD-"&amp;EJ$11&amp;"'!B:R"),15,FALSE),"")</f>
        <v/>
      </c>
      <c r="EK153" s="96">
        <f>IFERROR(VLOOKUP($B153,INDIRECT("'GRD-"&amp;EK$11&amp;"'!B:R"),15,FALSE),"")</f>
        <v/>
      </c>
      <c r="EL153" s="96">
        <f>IFERROR(VLOOKUP($B153,INDIRECT("'GRD-"&amp;EL$11&amp;"'!B:R"),15,FALSE),"")</f>
        <v/>
      </c>
      <c r="EM153" s="96">
        <f>IFERROR(VLOOKUP($B153,INDIRECT("'GRD-"&amp;EM$11&amp;"'!B:R"),15,FALSE),"")</f>
        <v/>
      </c>
      <c r="EN153" s="96">
        <f>IFERROR(VLOOKUP($B153,INDIRECT("'GRD-"&amp;EN$11&amp;"'!B:R"),15,FALSE),"")</f>
        <v/>
      </c>
      <c r="EO153" s="96">
        <f>IFERROR(VLOOKUP($B153,INDIRECT("'GRD-"&amp;EO$11&amp;"'!B:R"),15,FALSE),"")</f>
        <v/>
      </c>
      <c r="EP153" s="96">
        <f>IFERROR(VLOOKUP($B153,INDIRECT("'GRD-"&amp;EP$11&amp;"'!B:R"),15,FALSE),"")</f>
        <v/>
      </c>
      <c r="EQ153" s="96">
        <f>IFERROR(VLOOKUP($B153,INDIRECT("'GRD-"&amp;EQ$11&amp;"'!B:R"),15,FALSE),"")</f>
        <v/>
      </c>
      <c r="ER153" s="96">
        <f>IFERROR(VLOOKUP($B153,INDIRECT("'GRD-"&amp;ER$11&amp;"'!B:R"),15,FALSE),"")</f>
        <v/>
      </c>
      <c r="ES153" s="96">
        <f>IFERROR(VLOOKUP($B153,INDIRECT("'GRD-"&amp;ES$11&amp;"'!B:R"),15,FALSE),"")</f>
        <v/>
      </c>
      <c r="ET153" s="96">
        <f>IFERROR(VLOOKUP($B153,INDIRECT("'GRD-"&amp;ET$11&amp;"'!B:R"),15,FALSE),"")</f>
        <v/>
      </c>
      <c r="EU153" s="96">
        <f>IFERROR(VLOOKUP($B153,INDIRECT("'GRD-"&amp;EU$11&amp;"'!B:R"),15,FALSE),"")</f>
        <v/>
      </c>
      <c r="EV153" s="96">
        <f>IFERROR(VLOOKUP($B153,INDIRECT("'GRD-"&amp;EV$11&amp;"'!B:R"),15,FALSE),"")</f>
        <v/>
      </c>
      <c r="EW153" s="96">
        <f>IFERROR(VLOOKUP($B153,INDIRECT("'GRD-"&amp;EW$11&amp;"'!B:R"),15,FALSE),"")</f>
        <v/>
      </c>
      <c r="EX153" s="96">
        <f>IFERROR(VLOOKUP($B153,INDIRECT("'GRD-"&amp;EX$11&amp;"'!B:R"),15,FALSE),"")</f>
        <v/>
      </c>
      <c r="EY153" s="96">
        <f>IFERROR(VLOOKUP($B153,INDIRECT("'GRD-"&amp;EY$11&amp;"'!B:R"),15,FALSE),"")</f>
        <v/>
      </c>
      <c r="EZ153" s="96">
        <f>IFERROR(VLOOKUP($B153,INDIRECT("'GRD-"&amp;EZ$11&amp;"'!B:R"),15,FALSE),"")</f>
        <v/>
      </c>
      <c r="FA153" s="96">
        <f>IFERROR(VLOOKUP($B153,INDIRECT("'GRD-"&amp;FA$11&amp;"'!B:R"),15,FALSE),"")</f>
        <v/>
      </c>
      <c r="FB153" s="96">
        <f>IFERROR(VLOOKUP($B153,INDIRECT("'GRD-"&amp;FB$11&amp;"'!B:R"),15,FALSE),"")</f>
        <v/>
      </c>
      <c r="FC153" s="96">
        <f>IFERROR(VLOOKUP($B153,INDIRECT("'GRD-"&amp;FC$11&amp;"'!B:R"),15,FALSE),"")</f>
        <v/>
      </c>
      <c r="FD153" s="96">
        <f>IFERROR(VLOOKUP($B153,INDIRECT("'GRD-"&amp;FD$11&amp;"'!B:R"),15,FALSE),"")</f>
        <v/>
      </c>
      <c r="FE153" s="96">
        <f>IFERROR(VLOOKUP($B153,INDIRECT("'GRD-"&amp;FE$11&amp;"'!B:R"),15,FALSE),"")</f>
        <v/>
      </c>
      <c r="FF153" s="96">
        <f>IFERROR(VLOOKUP($B153,INDIRECT("'GRD-"&amp;FF$11&amp;"'!B:R"),15,FALSE),"")</f>
        <v/>
      </c>
      <c r="FG153" s="96">
        <f>IFERROR(VLOOKUP($B153,INDIRECT("'GRD-"&amp;FG$11&amp;"'!B:R"),15,FALSE),"")</f>
        <v/>
      </c>
      <c r="FH153" s="96">
        <f>IFERROR(VLOOKUP($B153,INDIRECT("'GRD-"&amp;FH$11&amp;"'!B:R"),15,FALSE),"")</f>
        <v/>
      </c>
      <c r="FI153" s="96">
        <f>IFERROR(VLOOKUP($B153,INDIRECT("'GRD-"&amp;FI$11&amp;"'!B:R"),15,FALSE),"")</f>
        <v/>
      </c>
      <c r="FJ153" s="96">
        <f>IFERROR(VLOOKUP($B153,INDIRECT("'GRD-"&amp;FJ$11&amp;"'!B:R"),15,FALSE),"")</f>
        <v/>
      </c>
      <c r="FK153" s="96">
        <f>IFERROR(VLOOKUP($B153,INDIRECT("'GRD-"&amp;FK$11&amp;"'!B:R"),15,FALSE),"")</f>
        <v/>
      </c>
      <c r="FL153" s="96">
        <f>IFERROR(VLOOKUP($B153,INDIRECT("'GRD-"&amp;FL$11&amp;"'!B:R"),15,FALSE),"")</f>
        <v/>
      </c>
      <c r="FM153" s="96">
        <f>IFERROR(VLOOKUP($B153,INDIRECT("'GRD-"&amp;FM$11&amp;"'!B:R"),15,FALSE),"")</f>
        <v/>
      </c>
      <c r="FN153" s="96">
        <f>IFERROR(VLOOKUP($B153,INDIRECT("'GRD-"&amp;FN$11&amp;"'!B:R"),15,FALSE),"")</f>
        <v/>
      </c>
      <c r="FO153" s="96">
        <f>IFERROR(VLOOKUP($B153,INDIRECT("'GRD-"&amp;FO$11&amp;"'!B:R"),15,FALSE),"")</f>
        <v/>
      </c>
      <c r="FP153" s="96">
        <f>IFERROR(VLOOKUP($B153,INDIRECT("'GRD-"&amp;FP$11&amp;"'!B:R"),15,FALSE),"")</f>
        <v/>
      </c>
      <c r="FQ153" s="96">
        <f>IFERROR(VLOOKUP($B153,INDIRECT("'GRD-"&amp;FQ$11&amp;"'!B:R"),15,FALSE),"")</f>
        <v/>
      </c>
      <c r="FR153" s="96">
        <f>IFERROR(VLOOKUP($B153,INDIRECT("'GRD-"&amp;FR$11&amp;"'!B:R"),15,FALSE),"")</f>
        <v/>
      </c>
      <c r="FS153" s="96">
        <f>IFERROR(VLOOKUP($B153,INDIRECT("'GRD-"&amp;FS$11&amp;"'!B:R"),15,FALSE),"")</f>
        <v/>
      </c>
      <c r="FT153" s="96">
        <f>IFERROR(VLOOKUP($B153,INDIRECT("'GRD-"&amp;FT$11&amp;"'!B:R"),15,FALSE),"")</f>
        <v/>
      </c>
      <c r="FU153" s="96">
        <f>IFERROR(VLOOKUP($B153,INDIRECT("'GRD-"&amp;FU$11&amp;"'!B:R"),15,FALSE),"")</f>
        <v/>
      </c>
      <c r="FV153" s="96">
        <f>IFERROR(VLOOKUP($B153,INDIRECT("'GRD-"&amp;FV$11&amp;"'!B:R"),15,FALSE),"")</f>
        <v/>
      </c>
    </row>
    <row r="154">
      <c r="B154" s="85" t="n"/>
      <c r="C154" s="93" t="n"/>
      <c r="D154" s="73">
        <f>IF(K154="","",MAX($CA154:$FV154))</f>
        <v/>
      </c>
      <c r="E154" s="74">
        <f t="array" ref="E154">IF($K154="","",OFFSET($A$1,ROW($B154)-1,11+$D154*4,))</f>
        <v/>
      </c>
      <c r="F154" s="74">
        <f t="array" ref="F154">IF($K154="","",OFFSET($A$1,ROW($B154)-1,12+$D154*4,))</f>
        <v/>
      </c>
      <c r="G154" s="118">
        <f t="array" ref="G154">IF($K154="","",OFFSET($A$1,ROW($B154)-1,13+$D154*4,))</f>
        <v/>
      </c>
      <c r="H154" s="81" t="n"/>
      <c r="I154" s="82" t="n"/>
      <c r="J154" s="75">
        <f>IF(I154="A4",H154/8,IF(I154="A3",H154/4,IF(I154="A2",H154/2,IF(I154="A1",H154/1,IF(I154="A0",H154*2,"")))))</f>
        <v/>
      </c>
      <c r="K154" s="68">
        <f t="array" ref="K154">IFERROR(OFFSET($BZ$11,ROW($B154)-11,MATCH(K$10,$CA154:$FV154,0),),"")</f>
        <v/>
      </c>
      <c r="L154" s="85">
        <f>IF(K154="","",IF(VLOOKUP($B154,INDIRECT("'GRD-"&amp;M154&amp;"'!$B:$R"),16,FALSE)="","",VLOOKUP($B154,INDIRECT("'GRD-"&amp;M154&amp;"'!$B:$R"),16,FALSE)))</f>
        <v/>
      </c>
      <c r="M154" s="130">
        <f t="array" ref="M154">IF(K154="","",IFERROR(OFFSET($BZ$11,0,MATCH($K154,$CA154:$FV154,0),),""))</f>
        <v/>
      </c>
      <c r="N154" s="119">
        <f t="array" ref="N154">IF(K154="","",INDIRECT("'GRD-"&amp;M154&amp;"'!$L$7"))</f>
        <v/>
      </c>
      <c r="O154" s="76">
        <f t="array" ref="O154">IFERROR(OFFSET($BZ$11,ROW($B154)-11,MATCH(O$10,$CA154:$FV154,0),),"")</f>
        <v/>
      </c>
      <c r="P154" s="76">
        <f>IF(O154="","",IF(VLOOKUP($B154,INDIRECT("'GRD-"&amp;Q154&amp;"'!$B:$R"),16,FALSE)="","",VLOOKUP($B154,INDIRECT("'GRD-"&amp;Q154&amp;"'!$B:$R"),16,FALSE)))</f>
        <v/>
      </c>
      <c r="Q154" s="132">
        <f t="array" ref="Q154">IF(O154="","",IFERROR(OFFSET($BZ$11,0,MATCH($O154,$CA154:$FV154,0),),""))</f>
        <v/>
      </c>
      <c r="R154" s="121">
        <f t="array" ref="R154">IF(O154="","",INDIRECT("'GRD-"&amp;Q154&amp;"'!$L$7"))</f>
        <v/>
      </c>
      <c r="S154" s="83">
        <f t="array" ref="S154">IFERROR(OFFSET($BZ$11,ROW($B154)-11,MATCH(S$10,$CA154:$FV154,0),),"")</f>
        <v/>
      </c>
      <c r="T154" s="83">
        <f>IF(S154="","",IF(VLOOKUP($B154,INDIRECT("'GRD-"&amp;U154&amp;"'!$B:$R"),16,FALSE)="","",VLOOKUP($B154,INDIRECT("'GRD-"&amp;U154&amp;"'!$B:$R"),16,FALSE)))</f>
        <v/>
      </c>
      <c r="U154" s="128">
        <f t="array" ref="U154">IF(S154="","",IFERROR(OFFSET($BZ$11,0,MATCH($S154,$CA154:$FV154,0),),""))</f>
        <v/>
      </c>
      <c r="V154" s="133">
        <f t="array" ref="V154">IF(S154="","",INDIRECT("'GRD-"&amp;U154&amp;"'!$L$7"))</f>
        <v/>
      </c>
      <c r="W154" s="84">
        <f t="array" ref="W154">IFERROR(OFFSET($BZ$11,ROW($B154)-11,MATCH(W$10,$CA154:$FV154,0),),"")</f>
        <v/>
      </c>
      <c r="X154" s="84">
        <f>IF(W154="","",IF(VLOOKUP($B154,INDIRECT("'GRD-"&amp;Y154&amp;"'!$B:$R"),16,FALSE)="","",VLOOKUP($B154,INDIRECT("'GRD-"&amp;Y154&amp;"'!$B:$R"),16,FALSE)))</f>
        <v/>
      </c>
      <c r="Y154" s="129">
        <f t="array" ref="Y154">IF(W154="","",IFERROR(OFFSET($BZ$11,0,MATCH($W154,$CA154:$FV154,0),),""))</f>
        <v/>
      </c>
      <c r="Z154" s="134">
        <f t="array" ref="Z154">IF(W154="","",INDIRECT("'GRD-"&amp;Y154&amp;"'!$L$7"))</f>
        <v/>
      </c>
      <c r="AA154" s="85">
        <f t="array" ref="AA154">IFERROR(OFFSET($BZ$11,ROW($B154)-11,MATCH(AA$10,$CA154:$FV154,0),),"")</f>
        <v/>
      </c>
      <c r="AB154" s="85">
        <f>IF(AA154="","",IF(VLOOKUP($B154,INDIRECT("'GRD-"&amp;AC154&amp;"'!$B:$R"),16,FALSE)="","",VLOOKUP($B154,INDIRECT("'GRD-"&amp;AC154&amp;"'!$B:$R"),16,FALSE)))</f>
        <v/>
      </c>
      <c r="AC154" s="130">
        <f t="array" ref="AC154">IF(AA154="","",IFERROR(OFFSET($BZ$11,0,MATCH($AA154,$CA154:$FV154,0),),""))</f>
        <v/>
      </c>
      <c r="AD154" s="131">
        <f t="array" ref="AD154">IF(AA154="","",INDIRECT("'GRD-"&amp;AC154&amp;"'!$L$7"))</f>
        <v/>
      </c>
      <c r="AE154" s="76">
        <f t="array" ref="AE154">IFERROR(OFFSET($BZ$11,ROW($B154)-11,MATCH(AE$10,$CA154:$FV154,0),),"")</f>
        <v/>
      </c>
      <c r="AF154" s="76">
        <f>IF(AE154="","",IF(VLOOKUP($B154,INDIRECT("'GRD-"&amp;AG154&amp;"'!$B:$R"),16,FALSE)="","",VLOOKUP($B154,INDIRECT("'GRD-"&amp;AG154&amp;"'!$B:$R"),16,FALSE)))</f>
        <v/>
      </c>
      <c r="AG154" s="132">
        <f t="array" ref="AG154">IF(AE154="","",IFERROR(OFFSET($BZ$11,0,MATCH($AE154,$CA154:$FV154,0),),""))</f>
        <v/>
      </c>
      <c r="AH154" s="121">
        <f t="array" ref="AH154">IF(AE154="","",INDIRECT("'GRD-"&amp;AG154&amp;"'!$L$7"))</f>
        <v/>
      </c>
      <c r="AI154" s="83">
        <f t="array" ref="AI154">IFERROR(OFFSET($BZ$11,ROW($B154)-11,MATCH(AI$10,$CA154:$FV154,0),),"")</f>
        <v/>
      </c>
      <c r="AJ154" s="83">
        <f>IF(AI154="","",IF(VLOOKUP($B154,INDIRECT("'GRD-"&amp;AK154&amp;"'!$B:$R"),16,FALSE)="","",VLOOKUP($B154,INDIRECT("'GRD-"&amp;AK154&amp;"'!$B:$R"),16,FALSE)))</f>
        <v/>
      </c>
      <c r="AK154" s="128">
        <f t="array" ref="AK154">IF(AI154="","",IFERROR(OFFSET($BZ$11,0,MATCH($AI154,$CA154:$FV154,0),),""))</f>
        <v/>
      </c>
      <c r="AL154" s="133">
        <f t="array" ref="AL154">IF(AI154="","",INDIRECT("'GRD-"&amp;AK154&amp;"'!$L$7"))</f>
        <v/>
      </c>
      <c r="AM154" s="84">
        <f t="array" ref="AM154">IFERROR(OFFSET($BZ$11,ROW($B154)-11,MATCH(AM$10,$CA154:$FV154,0),),"")</f>
        <v/>
      </c>
      <c r="AN154" s="84">
        <f>IF(AM154="","",IF(VLOOKUP($B154,INDIRECT("'GRD-"&amp;AO154&amp;"'!$B:$R"),16,FALSE)="","",VLOOKUP($B154,INDIRECT("'GRD-"&amp;AO154&amp;"'!$B:$R"),16,FALSE)))</f>
        <v/>
      </c>
      <c r="AO154" s="129">
        <f t="array" ref="AO154">IF(AM154="","",IFERROR(OFFSET($BZ$11,0,MATCH($AM154,$CA154:$FV154,0),),""))</f>
        <v/>
      </c>
      <c r="AP154" s="134">
        <f t="array" ref="AP154">IF(AM154="","",INDIRECT("'GRD-"&amp;AO154&amp;"'!$L$7"))</f>
        <v/>
      </c>
      <c r="AQ154" s="85">
        <f t="array" ref="AQ154">IFERROR(OFFSET($BZ$11,ROW($B154)-11,MATCH(AQ$10,$CA154:$FV154,0),),"")</f>
        <v/>
      </c>
      <c r="AR154" s="85">
        <f>IF(AQ154="","",IF(VLOOKUP($B154,INDIRECT("'GRD-"&amp;AS154&amp;"'!$B:$R"),16,FALSE)="","",VLOOKUP($B154,INDIRECT("'GRD-"&amp;AS154&amp;"'!$B:$R"),16,FALSE)))</f>
        <v/>
      </c>
      <c r="AS154" s="130">
        <f t="array" ref="AS154">IF(AQ154="","",IFERROR(OFFSET($BZ$11,0,MATCH($AQ154,$CA154:$FV154,0),),""))</f>
        <v/>
      </c>
      <c r="AT154" s="131">
        <f t="array" ref="AT154">IF(AQ154="","",INDIRECT("'GRD-"&amp;AS154&amp;"'!$L$7"))</f>
        <v/>
      </c>
      <c r="AU154" s="76">
        <f t="array" ref="AU154">IFERROR(OFFSET($BZ$11,ROW($B154)-11,MATCH(AU$10,$CA154:$FV154,0),),"")</f>
        <v/>
      </c>
      <c r="AV154" s="76">
        <f>IF(AU154="","",IF(VLOOKUP($B154,INDIRECT("'GRD-"&amp;AW154&amp;"'!$B:$R"),16,FALSE)="","",VLOOKUP($B154,INDIRECT("'GRD-"&amp;AW154&amp;"'!$B:$R"),16,FALSE)))</f>
        <v/>
      </c>
      <c r="AW154" s="132">
        <f t="array" ref="AW154">IF(AU154="","",IFERROR(OFFSET($BZ$11,0,MATCH($AU154,$CA154:$FV154,0),),""))</f>
        <v/>
      </c>
      <c r="AX154" s="121">
        <f t="array" ref="AX154">IF(AU154="","",INDIRECT("'GRD-"&amp;AW154&amp;"'!$L$7"))</f>
        <v/>
      </c>
      <c r="AY154" s="83">
        <f t="array" ref="AY154">IFERROR(OFFSET($BZ$11,ROW($B154)-11,MATCH(AY$10,$CA154:$FV154,0),),"")</f>
        <v/>
      </c>
      <c r="AZ154" s="83">
        <f>IF(AY154="","",IF(VLOOKUP($B154,INDIRECT("'GRD-"&amp;BA154&amp;"'!$B:$R"),16,FALSE)="","",VLOOKUP($B154,INDIRECT("'GRD-"&amp;BA154&amp;"'!$B:$R"),16,FALSE)))</f>
        <v/>
      </c>
      <c r="BA154" s="128">
        <f t="array" ref="BA154">IF(AY154="","",IFERROR(OFFSET($BZ$11,0,MATCH($AY154,$CA154:$FV154,0),),""))</f>
        <v/>
      </c>
      <c r="BB154" s="133">
        <f t="array" ref="BB154">IF(AY154="","",INDIRECT("'GRD-"&amp;BA154&amp;"'!$L$7"))</f>
        <v/>
      </c>
      <c r="BC154" s="84">
        <f t="array" ref="BC154">IFERROR(OFFSET($BZ$11,ROW($B154)-11,MATCH(BC$10,$CA154:$FV154,0),),"")</f>
        <v/>
      </c>
      <c r="BD154" s="84">
        <f>IF(BC154="","",IF(VLOOKUP($B154,INDIRECT("'GRD-"&amp;BE154&amp;"'!$B:$R"),16,FALSE)="","",VLOOKUP($B154,INDIRECT("'GRD-"&amp;BE154&amp;"'!$B:$R"),16,FALSE)))</f>
        <v/>
      </c>
      <c r="BE154" s="129">
        <f t="array" ref="BE154">IF(BC154="","",IFERROR(OFFSET($BZ$11,0,MATCH($BC154,$CA154:$FV154,0),),""))</f>
        <v/>
      </c>
      <c r="BF154" s="134">
        <f t="array" ref="BF154">IF(BC154="","",INDIRECT("'GRD-"&amp;BE154&amp;"'!$L$7"))</f>
        <v/>
      </c>
      <c r="CA154" s="96">
        <f>IFERROR(VLOOKUP($B154,INDIRECT("'GRD-"&amp;CA$11&amp;"'!B:R"),15,FALSE),"")</f>
        <v/>
      </c>
      <c r="CB154" s="96">
        <f>IFERROR(VLOOKUP($B154,INDIRECT("'GRD-"&amp;CB$11&amp;"'!B:R"),15,FALSE),"")</f>
        <v/>
      </c>
      <c r="CC154" s="96">
        <f>IFERROR(VLOOKUP($B154,INDIRECT("'GRD-"&amp;CC$11&amp;"'!B:R"),15,FALSE),"")</f>
        <v/>
      </c>
      <c r="CD154" s="96">
        <f>IFERROR(VLOOKUP($B154,INDIRECT("'GRD-"&amp;CD$11&amp;"'!B:R"),15,FALSE),"")</f>
        <v/>
      </c>
      <c r="CE154" s="96">
        <f>IFERROR(VLOOKUP($B154,INDIRECT("'GRD-"&amp;CE$11&amp;"'!B:R"),15,FALSE),"")</f>
        <v/>
      </c>
      <c r="CF154" s="96">
        <f>IFERROR(VLOOKUP($B154,INDIRECT("'GRD-"&amp;CF$11&amp;"'!B:R"),15,FALSE),"")</f>
        <v/>
      </c>
      <c r="CG154" s="96">
        <f>IFERROR(VLOOKUP($B154,INDIRECT("'GRD-"&amp;CG$11&amp;"'!B:R"),15,FALSE),"")</f>
        <v/>
      </c>
      <c r="CH154" s="96">
        <f>IFERROR(VLOOKUP($B154,INDIRECT("'GRD-"&amp;CH$11&amp;"'!B:R"),15,FALSE),"")</f>
        <v/>
      </c>
      <c r="CI154" s="96">
        <f>IFERROR(VLOOKUP($B154,INDIRECT("'GRD-"&amp;CI$11&amp;"'!B:R"),15,FALSE),"")</f>
        <v/>
      </c>
      <c r="CJ154" s="96">
        <f>IFERROR(VLOOKUP($B154,INDIRECT("'GRD-"&amp;CJ$11&amp;"'!B:R"),15,FALSE),"")</f>
        <v/>
      </c>
      <c r="CK154" s="96">
        <f>IFERROR(VLOOKUP($B154,INDIRECT("'GRD-"&amp;CK$11&amp;"'!B:R"),15,FALSE),"")</f>
        <v/>
      </c>
      <c r="CL154" s="96">
        <f>IFERROR(VLOOKUP($B154,INDIRECT("'GRD-"&amp;CL$11&amp;"'!B:R"),15,FALSE),"")</f>
        <v/>
      </c>
      <c r="CM154" s="96">
        <f>IFERROR(VLOOKUP($B154,INDIRECT("'GRD-"&amp;CM$11&amp;"'!B:R"),15,FALSE),"")</f>
        <v/>
      </c>
      <c r="CN154" s="96">
        <f>IFERROR(VLOOKUP($B154,INDIRECT("'GRD-"&amp;CN$11&amp;"'!B:R"),15,FALSE),"")</f>
        <v/>
      </c>
      <c r="CO154" s="96">
        <f>IFERROR(VLOOKUP($B154,INDIRECT("'GRD-"&amp;CO$11&amp;"'!B:R"),15,FALSE),"")</f>
        <v/>
      </c>
      <c r="CP154" s="96">
        <f>IFERROR(VLOOKUP($B154,INDIRECT("'GRD-"&amp;CP$11&amp;"'!B:R"),15,FALSE),"")</f>
        <v/>
      </c>
      <c r="CQ154" s="96">
        <f>IFERROR(VLOOKUP($B154,INDIRECT("'GRD-"&amp;CQ$11&amp;"'!B:R"),15,FALSE),"")</f>
        <v/>
      </c>
      <c r="CR154" s="96">
        <f>IFERROR(VLOOKUP($B154,INDIRECT("'GRD-"&amp;CR$11&amp;"'!B:R"),15,FALSE),"")</f>
        <v/>
      </c>
      <c r="CS154" s="96">
        <f>IFERROR(VLOOKUP($B154,INDIRECT("'GRD-"&amp;CS$11&amp;"'!B:R"),15,FALSE),"")</f>
        <v/>
      </c>
      <c r="CT154" s="96">
        <f>IFERROR(VLOOKUP($B154,INDIRECT("'GRD-"&amp;CT$11&amp;"'!B:R"),15,FALSE),"")</f>
        <v/>
      </c>
      <c r="CU154" s="96">
        <f>IFERROR(VLOOKUP($B154,INDIRECT("'GRD-"&amp;CU$11&amp;"'!B:R"),15,FALSE),"")</f>
        <v/>
      </c>
      <c r="CV154" s="96">
        <f>IFERROR(VLOOKUP($B154,INDIRECT("'GRD-"&amp;CV$11&amp;"'!B:R"),15,FALSE),"")</f>
        <v/>
      </c>
      <c r="CW154" s="96">
        <f>IFERROR(VLOOKUP($B154,INDIRECT("'GRD-"&amp;CW$11&amp;"'!B:R"),15,FALSE),"")</f>
        <v/>
      </c>
      <c r="CX154" s="96">
        <f>IFERROR(VLOOKUP($B154,INDIRECT("'GRD-"&amp;CX$11&amp;"'!B:R"),15,FALSE),"")</f>
        <v/>
      </c>
      <c r="CY154" s="96">
        <f>IFERROR(VLOOKUP($B154,INDIRECT("'GRD-"&amp;CY$11&amp;"'!B:R"),15,FALSE),"")</f>
        <v/>
      </c>
      <c r="CZ154" s="96">
        <f>IFERROR(VLOOKUP($B154,INDIRECT("'GRD-"&amp;CZ$11&amp;"'!B:R"),15,FALSE),"")</f>
        <v/>
      </c>
      <c r="DA154" s="96">
        <f>IFERROR(VLOOKUP($B154,INDIRECT("'GRD-"&amp;DA$11&amp;"'!B:R"),15,FALSE),"")</f>
        <v/>
      </c>
      <c r="DB154" s="96">
        <f>IFERROR(VLOOKUP($B154,INDIRECT("'GRD-"&amp;DB$11&amp;"'!B:R"),15,FALSE),"")</f>
        <v/>
      </c>
      <c r="DC154" s="96">
        <f>IFERROR(VLOOKUP($B154,INDIRECT("'GRD-"&amp;DC$11&amp;"'!B:R"),15,FALSE),"")</f>
        <v/>
      </c>
      <c r="DD154" s="96">
        <f>IFERROR(VLOOKUP($B154,INDIRECT("'GRD-"&amp;DD$11&amp;"'!B:R"),15,FALSE),"")</f>
        <v/>
      </c>
      <c r="DE154" s="96">
        <f>IFERROR(VLOOKUP($B154,INDIRECT("'GRD-"&amp;DE$11&amp;"'!B:R"),15,FALSE),"")</f>
        <v/>
      </c>
      <c r="DF154" s="96">
        <f>IFERROR(VLOOKUP($B154,INDIRECT("'GRD-"&amp;DF$11&amp;"'!B:R"),15,FALSE),"")</f>
        <v/>
      </c>
      <c r="DG154" s="96">
        <f>IFERROR(VLOOKUP($B154,INDIRECT("'GRD-"&amp;DG$11&amp;"'!B:R"),15,FALSE),"")</f>
        <v/>
      </c>
      <c r="DH154" s="96">
        <f>IFERROR(VLOOKUP($B154,INDIRECT("'GRD-"&amp;DH$11&amp;"'!B:R"),15,FALSE),"")</f>
        <v/>
      </c>
      <c r="DI154" s="96">
        <f>IFERROR(VLOOKUP($B154,INDIRECT("'GRD-"&amp;DI$11&amp;"'!B:R"),15,FALSE),"")</f>
        <v/>
      </c>
      <c r="DJ154" s="96">
        <f>IFERROR(VLOOKUP($B154,INDIRECT("'GRD-"&amp;DJ$11&amp;"'!B:R"),15,FALSE),"")</f>
        <v/>
      </c>
      <c r="DK154" s="96">
        <f>IFERROR(VLOOKUP($B154,INDIRECT("'GRD-"&amp;DK$11&amp;"'!B:R"),15,FALSE),"")</f>
        <v/>
      </c>
      <c r="DL154" s="96">
        <f>IFERROR(VLOOKUP($B154,INDIRECT("'GRD-"&amp;DL$11&amp;"'!B:R"),15,FALSE),"")</f>
        <v/>
      </c>
      <c r="DM154" s="96">
        <f>IFERROR(VLOOKUP($B154,INDIRECT("'GRD-"&amp;DM$11&amp;"'!B:R"),15,FALSE),"")</f>
        <v/>
      </c>
      <c r="DN154" s="96">
        <f>IFERROR(VLOOKUP($B154,INDIRECT("'GRD-"&amp;DN$11&amp;"'!B:R"),15,FALSE),"")</f>
        <v/>
      </c>
      <c r="DO154" s="96">
        <f>IFERROR(VLOOKUP($B154,INDIRECT("'GRD-"&amp;DO$11&amp;"'!B:R"),15,FALSE),"")</f>
        <v/>
      </c>
      <c r="DP154" s="96">
        <f>IFERROR(VLOOKUP($B154,INDIRECT("'GRD-"&amp;DP$11&amp;"'!B:R"),15,FALSE),"")</f>
        <v/>
      </c>
      <c r="DQ154" s="96">
        <f>IFERROR(VLOOKUP($B154,INDIRECT("'GRD-"&amp;DQ$11&amp;"'!B:R"),15,FALSE),"")</f>
        <v/>
      </c>
      <c r="DR154" s="96">
        <f>IFERROR(VLOOKUP($B154,INDIRECT("'GRD-"&amp;DR$11&amp;"'!B:R"),15,FALSE),"")</f>
        <v/>
      </c>
      <c r="DS154" s="96">
        <f>IFERROR(VLOOKUP($B154,INDIRECT("'GRD-"&amp;DS$11&amp;"'!B:R"),15,FALSE),"")</f>
        <v/>
      </c>
      <c r="DT154" s="96">
        <f>IFERROR(VLOOKUP($B154,INDIRECT("'GRD-"&amp;DT$11&amp;"'!B:R"),15,FALSE),"")</f>
        <v/>
      </c>
      <c r="DU154" s="96">
        <f>IFERROR(VLOOKUP($B154,INDIRECT("'GRD-"&amp;DU$11&amp;"'!B:R"),15,FALSE),"")</f>
        <v/>
      </c>
      <c r="DV154" s="96">
        <f>IFERROR(VLOOKUP($B154,INDIRECT("'GRD-"&amp;DV$11&amp;"'!B:R"),15,FALSE),"")</f>
        <v/>
      </c>
      <c r="DW154" s="96">
        <f>IFERROR(VLOOKUP($B154,INDIRECT("'GRD-"&amp;DW$11&amp;"'!B:R"),15,FALSE),"")</f>
        <v/>
      </c>
      <c r="DX154" s="96">
        <f>IFERROR(VLOOKUP($B154,INDIRECT("'GRD-"&amp;DX$11&amp;"'!B:R"),15,FALSE),"")</f>
        <v/>
      </c>
      <c r="DY154" s="96">
        <f>IFERROR(VLOOKUP($B154,INDIRECT("'GRD-"&amp;DY$11&amp;"'!B:R"),15,FALSE),"")</f>
        <v/>
      </c>
      <c r="DZ154" s="96">
        <f>IFERROR(VLOOKUP($B154,INDIRECT("'GRD-"&amp;DZ$11&amp;"'!B:R"),15,FALSE),"")</f>
        <v/>
      </c>
      <c r="EA154" s="96">
        <f>IFERROR(VLOOKUP($B154,INDIRECT("'GRD-"&amp;EA$11&amp;"'!B:R"),15,FALSE),"")</f>
        <v/>
      </c>
      <c r="EB154" s="96">
        <f>IFERROR(VLOOKUP($B154,INDIRECT("'GRD-"&amp;EB$11&amp;"'!B:R"),15,FALSE),"")</f>
        <v/>
      </c>
      <c r="EC154" s="96">
        <f>IFERROR(VLOOKUP($B154,INDIRECT("'GRD-"&amp;EC$11&amp;"'!B:R"),15,FALSE),"")</f>
        <v/>
      </c>
      <c r="ED154" s="96">
        <f>IFERROR(VLOOKUP($B154,INDIRECT("'GRD-"&amp;ED$11&amp;"'!B:R"),15,FALSE),"")</f>
        <v/>
      </c>
      <c r="EE154" s="96">
        <f>IFERROR(VLOOKUP($B154,INDIRECT("'GRD-"&amp;EE$11&amp;"'!B:R"),15,FALSE),"")</f>
        <v/>
      </c>
      <c r="EF154" s="96">
        <f>IFERROR(VLOOKUP($B154,INDIRECT("'GRD-"&amp;EF$11&amp;"'!B:R"),15,FALSE),"")</f>
        <v/>
      </c>
      <c r="EG154" s="96">
        <f>IFERROR(VLOOKUP($B154,INDIRECT("'GRD-"&amp;EG$11&amp;"'!B:R"),15,FALSE),"")</f>
        <v/>
      </c>
      <c r="EH154" s="96">
        <f>IFERROR(VLOOKUP($B154,INDIRECT("'GRD-"&amp;EH$11&amp;"'!B:R"),15,FALSE),"")</f>
        <v/>
      </c>
      <c r="EI154" s="96">
        <f>IFERROR(VLOOKUP($B154,INDIRECT("'GRD-"&amp;EI$11&amp;"'!B:R"),15,FALSE),"")</f>
        <v/>
      </c>
      <c r="EJ154" s="96">
        <f>IFERROR(VLOOKUP($B154,INDIRECT("'GRD-"&amp;EJ$11&amp;"'!B:R"),15,FALSE),"")</f>
        <v/>
      </c>
      <c r="EK154" s="96">
        <f>IFERROR(VLOOKUP($B154,INDIRECT("'GRD-"&amp;EK$11&amp;"'!B:R"),15,FALSE),"")</f>
        <v/>
      </c>
      <c r="EL154" s="96">
        <f>IFERROR(VLOOKUP($B154,INDIRECT("'GRD-"&amp;EL$11&amp;"'!B:R"),15,FALSE),"")</f>
        <v/>
      </c>
      <c r="EM154" s="96">
        <f>IFERROR(VLOOKUP($B154,INDIRECT("'GRD-"&amp;EM$11&amp;"'!B:R"),15,FALSE),"")</f>
        <v/>
      </c>
      <c r="EN154" s="96">
        <f>IFERROR(VLOOKUP($B154,INDIRECT("'GRD-"&amp;EN$11&amp;"'!B:R"),15,FALSE),"")</f>
        <v/>
      </c>
      <c r="EO154" s="96">
        <f>IFERROR(VLOOKUP($B154,INDIRECT("'GRD-"&amp;EO$11&amp;"'!B:R"),15,FALSE),"")</f>
        <v/>
      </c>
      <c r="EP154" s="96">
        <f>IFERROR(VLOOKUP($B154,INDIRECT("'GRD-"&amp;EP$11&amp;"'!B:R"),15,FALSE),"")</f>
        <v/>
      </c>
      <c r="EQ154" s="96">
        <f>IFERROR(VLOOKUP($B154,INDIRECT("'GRD-"&amp;EQ$11&amp;"'!B:R"),15,FALSE),"")</f>
        <v/>
      </c>
      <c r="ER154" s="96">
        <f>IFERROR(VLOOKUP($B154,INDIRECT("'GRD-"&amp;ER$11&amp;"'!B:R"),15,FALSE),"")</f>
        <v/>
      </c>
      <c r="ES154" s="96">
        <f>IFERROR(VLOOKUP($B154,INDIRECT("'GRD-"&amp;ES$11&amp;"'!B:R"),15,FALSE),"")</f>
        <v/>
      </c>
      <c r="ET154" s="96">
        <f>IFERROR(VLOOKUP($B154,INDIRECT("'GRD-"&amp;ET$11&amp;"'!B:R"),15,FALSE),"")</f>
        <v/>
      </c>
      <c r="EU154" s="96">
        <f>IFERROR(VLOOKUP($B154,INDIRECT("'GRD-"&amp;EU$11&amp;"'!B:R"),15,FALSE),"")</f>
        <v/>
      </c>
      <c r="EV154" s="96">
        <f>IFERROR(VLOOKUP($B154,INDIRECT("'GRD-"&amp;EV$11&amp;"'!B:R"),15,FALSE),"")</f>
        <v/>
      </c>
      <c r="EW154" s="96">
        <f>IFERROR(VLOOKUP($B154,INDIRECT("'GRD-"&amp;EW$11&amp;"'!B:R"),15,FALSE),"")</f>
        <v/>
      </c>
      <c r="EX154" s="96">
        <f>IFERROR(VLOOKUP($B154,INDIRECT("'GRD-"&amp;EX$11&amp;"'!B:R"),15,FALSE),"")</f>
        <v/>
      </c>
      <c r="EY154" s="96">
        <f>IFERROR(VLOOKUP($B154,INDIRECT("'GRD-"&amp;EY$11&amp;"'!B:R"),15,FALSE),"")</f>
        <v/>
      </c>
      <c r="EZ154" s="96">
        <f>IFERROR(VLOOKUP($B154,INDIRECT("'GRD-"&amp;EZ$11&amp;"'!B:R"),15,FALSE),"")</f>
        <v/>
      </c>
      <c r="FA154" s="96">
        <f>IFERROR(VLOOKUP($B154,INDIRECT("'GRD-"&amp;FA$11&amp;"'!B:R"),15,FALSE),"")</f>
        <v/>
      </c>
      <c r="FB154" s="96">
        <f>IFERROR(VLOOKUP($B154,INDIRECT("'GRD-"&amp;FB$11&amp;"'!B:R"),15,FALSE),"")</f>
        <v/>
      </c>
      <c r="FC154" s="96">
        <f>IFERROR(VLOOKUP($B154,INDIRECT("'GRD-"&amp;FC$11&amp;"'!B:R"),15,FALSE),"")</f>
        <v/>
      </c>
      <c r="FD154" s="96">
        <f>IFERROR(VLOOKUP($B154,INDIRECT("'GRD-"&amp;FD$11&amp;"'!B:R"),15,FALSE),"")</f>
        <v/>
      </c>
      <c r="FE154" s="96">
        <f>IFERROR(VLOOKUP($B154,INDIRECT("'GRD-"&amp;FE$11&amp;"'!B:R"),15,FALSE),"")</f>
        <v/>
      </c>
      <c r="FF154" s="96">
        <f>IFERROR(VLOOKUP($B154,INDIRECT("'GRD-"&amp;FF$11&amp;"'!B:R"),15,FALSE),"")</f>
        <v/>
      </c>
      <c r="FG154" s="96">
        <f>IFERROR(VLOOKUP($B154,INDIRECT("'GRD-"&amp;FG$11&amp;"'!B:R"),15,FALSE),"")</f>
        <v/>
      </c>
      <c r="FH154" s="96">
        <f>IFERROR(VLOOKUP($B154,INDIRECT("'GRD-"&amp;FH$11&amp;"'!B:R"),15,FALSE),"")</f>
        <v/>
      </c>
      <c r="FI154" s="96">
        <f>IFERROR(VLOOKUP($B154,INDIRECT("'GRD-"&amp;FI$11&amp;"'!B:R"),15,FALSE),"")</f>
        <v/>
      </c>
      <c r="FJ154" s="96">
        <f>IFERROR(VLOOKUP($B154,INDIRECT("'GRD-"&amp;FJ$11&amp;"'!B:R"),15,FALSE),"")</f>
        <v/>
      </c>
      <c r="FK154" s="96">
        <f>IFERROR(VLOOKUP($B154,INDIRECT("'GRD-"&amp;FK$11&amp;"'!B:R"),15,FALSE),"")</f>
        <v/>
      </c>
      <c r="FL154" s="96">
        <f>IFERROR(VLOOKUP($B154,INDIRECT("'GRD-"&amp;FL$11&amp;"'!B:R"),15,FALSE),"")</f>
        <v/>
      </c>
      <c r="FM154" s="96">
        <f>IFERROR(VLOOKUP($B154,INDIRECT("'GRD-"&amp;FM$11&amp;"'!B:R"),15,FALSE),"")</f>
        <v/>
      </c>
      <c r="FN154" s="96">
        <f>IFERROR(VLOOKUP($B154,INDIRECT("'GRD-"&amp;FN$11&amp;"'!B:R"),15,FALSE),"")</f>
        <v/>
      </c>
      <c r="FO154" s="96">
        <f>IFERROR(VLOOKUP($B154,INDIRECT("'GRD-"&amp;FO$11&amp;"'!B:R"),15,FALSE),"")</f>
        <v/>
      </c>
      <c r="FP154" s="96">
        <f>IFERROR(VLOOKUP($B154,INDIRECT("'GRD-"&amp;FP$11&amp;"'!B:R"),15,FALSE),"")</f>
        <v/>
      </c>
      <c r="FQ154" s="96">
        <f>IFERROR(VLOOKUP($B154,INDIRECT("'GRD-"&amp;FQ$11&amp;"'!B:R"),15,FALSE),"")</f>
        <v/>
      </c>
      <c r="FR154" s="96">
        <f>IFERROR(VLOOKUP($B154,INDIRECT("'GRD-"&amp;FR$11&amp;"'!B:R"),15,FALSE),"")</f>
        <v/>
      </c>
      <c r="FS154" s="96">
        <f>IFERROR(VLOOKUP($B154,INDIRECT("'GRD-"&amp;FS$11&amp;"'!B:R"),15,FALSE),"")</f>
        <v/>
      </c>
      <c r="FT154" s="96">
        <f>IFERROR(VLOOKUP($B154,INDIRECT("'GRD-"&amp;FT$11&amp;"'!B:R"),15,FALSE),"")</f>
        <v/>
      </c>
      <c r="FU154" s="96">
        <f>IFERROR(VLOOKUP($B154,INDIRECT("'GRD-"&amp;FU$11&amp;"'!B:R"),15,FALSE),"")</f>
        <v/>
      </c>
      <c r="FV154" s="96">
        <f>IFERROR(VLOOKUP($B154,INDIRECT("'GRD-"&amp;FV$11&amp;"'!B:R"),15,FALSE),"")</f>
        <v/>
      </c>
    </row>
    <row r="155">
      <c r="B155" s="85" t="n"/>
      <c r="C155" s="93" t="n"/>
      <c r="D155" s="73">
        <f>IF(K155="","",MAX($CA155:$FV155))</f>
        <v/>
      </c>
      <c r="E155" s="74">
        <f t="array" ref="E155">IF($K155="","",OFFSET($A$1,ROW($B155)-1,11+$D155*4,))</f>
        <v/>
      </c>
      <c r="F155" s="74">
        <f t="array" ref="F155">IF($K155="","",OFFSET($A$1,ROW($B155)-1,12+$D155*4,))</f>
        <v/>
      </c>
      <c r="G155" s="118">
        <f t="array" ref="G155">IF($K155="","",OFFSET($A$1,ROW($B155)-1,13+$D155*4,))</f>
        <v/>
      </c>
      <c r="H155" s="81" t="n"/>
      <c r="I155" s="82" t="n"/>
      <c r="J155" s="75">
        <f>IF(I155="A4",H155/8,IF(I155="A3",H155/4,IF(I155="A2",H155/2,IF(I155="A1",H155/1,IF(I155="A0",H155*2,"")))))</f>
        <v/>
      </c>
      <c r="K155" s="68">
        <f t="array" ref="K155">IFERROR(OFFSET($BZ$11,ROW($B155)-11,MATCH(K$10,$CA155:$FV155,0),),"")</f>
        <v/>
      </c>
      <c r="L155" s="85">
        <f>IF(K155="","",IF(VLOOKUP($B155,INDIRECT("'GRD-"&amp;M155&amp;"'!$B:$R"),16,FALSE)="","",VLOOKUP($B155,INDIRECT("'GRD-"&amp;M155&amp;"'!$B:$R"),16,FALSE)))</f>
        <v/>
      </c>
      <c r="M155" s="130">
        <f t="array" ref="M155">IF(K155="","",IFERROR(OFFSET($BZ$11,0,MATCH($K155,$CA155:$FV155,0),),""))</f>
        <v/>
      </c>
      <c r="N155" s="119">
        <f t="array" ref="N155">IF(K155="","",INDIRECT("'GRD-"&amp;M155&amp;"'!$L$7"))</f>
        <v/>
      </c>
      <c r="O155" s="76">
        <f t="array" ref="O155">IFERROR(OFFSET($BZ$11,ROW($B155)-11,MATCH(O$10,$CA155:$FV155,0),),"")</f>
        <v/>
      </c>
      <c r="P155" s="76">
        <f>IF(O155="","",IF(VLOOKUP($B155,INDIRECT("'GRD-"&amp;Q155&amp;"'!$B:$R"),16,FALSE)="","",VLOOKUP($B155,INDIRECT("'GRD-"&amp;Q155&amp;"'!$B:$R"),16,FALSE)))</f>
        <v/>
      </c>
      <c r="Q155" s="132">
        <f t="array" ref="Q155">IF(O155="","",IFERROR(OFFSET($BZ$11,0,MATCH($O155,$CA155:$FV155,0),),""))</f>
        <v/>
      </c>
      <c r="R155" s="121">
        <f t="array" ref="R155">IF(O155="","",INDIRECT("'GRD-"&amp;Q155&amp;"'!$L$7"))</f>
        <v/>
      </c>
      <c r="S155" s="83">
        <f t="array" ref="S155">IFERROR(OFFSET($BZ$11,ROW($B155)-11,MATCH(S$10,$CA155:$FV155,0),),"")</f>
        <v/>
      </c>
      <c r="T155" s="83">
        <f>IF(S155="","",IF(VLOOKUP($B155,INDIRECT("'GRD-"&amp;U155&amp;"'!$B:$R"),16,FALSE)="","",VLOOKUP($B155,INDIRECT("'GRD-"&amp;U155&amp;"'!$B:$R"),16,FALSE)))</f>
        <v/>
      </c>
      <c r="U155" s="128">
        <f t="array" ref="U155">IF(S155="","",IFERROR(OFFSET($BZ$11,0,MATCH($S155,$CA155:$FV155,0),),""))</f>
        <v/>
      </c>
      <c r="V155" s="133">
        <f t="array" ref="V155">IF(S155="","",INDIRECT("'GRD-"&amp;U155&amp;"'!$L$7"))</f>
        <v/>
      </c>
      <c r="W155" s="84">
        <f t="array" ref="W155">IFERROR(OFFSET($BZ$11,ROW($B155)-11,MATCH(W$10,$CA155:$FV155,0),),"")</f>
        <v/>
      </c>
      <c r="X155" s="84">
        <f>IF(W155="","",IF(VLOOKUP($B155,INDIRECT("'GRD-"&amp;Y155&amp;"'!$B:$R"),16,FALSE)="","",VLOOKUP($B155,INDIRECT("'GRD-"&amp;Y155&amp;"'!$B:$R"),16,FALSE)))</f>
        <v/>
      </c>
      <c r="Y155" s="129">
        <f t="array" ref="Y155">IF(W155="","",IFERROR(OFFSET($BZ$11,0,MATCH($W155,$CA155:$FV155,0),),""))</f>
        <v/>
      </c>
      <c r="Z155" s="134">
        <f t="array" ref="Z155">IF(W155="","",INDIRECT("'GRD-"&amp;Y155&amp;"'!$L$7"))</f>
        <v/>
      </c>
      <c r="AA155" s="85">
        <f t="array" ref="AA155">IFERROR(OFFSET($BZ$11,ROW($B155)-11,MATCH(AA$10,$CA155:$FV155,0),),"")</f>
        <v/>
      </c>
      <c r="AB155" s="85">
        <f>IF(AA155="","",IF(VLOOKUP($B155,INDIRECT("'GRD-"&amp;AC155&amp;"'!$B:$R"),16,FALSE)="","",VLOOKUP($B155,INDIRECT("'GRD-"&amp;AC155&amp;"'!$B:$R"),16,FALSE)))</f>
        <v/>
      </c>
      <c r="AC155" s="130">
        <f t="array" ref="AC155">IF(AA155="","",IFERROR(OFFSET($BZ$11,0,MATCH($AA155,$CA155:$FV155,0),),""))</f>
        <v/>
      </c>
      <c r="AD155" s="131">
        <f t="array" ref="AD155">IF(AA155="","",INDIRECT("'GRD-"&amp;AC155&amp;"'!$L$7"))</f>
        <v/>
      </c>
      <c r="AE155" s="76">
        <f t="array" ref="AE155">IFERROR(OFFSET($BZ$11,ROW($B155)-11,MATCH(AE$10,$CA155:$FV155,0),),"")</f>
        <v/>
      </c>
      <c r="AF155" s="76">
        <f>IF(AE155="","",IF(VLOOKUP($B155,INDIRECT("'GRD-"&amp;AG155&amp;"'!$B:$R"),16,FALSE)="","",VLOOKUP($B155,INDIRECT("'GRD-"&amp;AG155&amp;"'!$B:$R"),16,FALSE)))</f>
        <v/>
      </c>
      <c r="AG155" s="132">
        <f t="array" ref="AG155">IF(AE155="","",IFERROR(OFFSET($BZ$11,0,MATCH($AE155,$CA155:$FV155,0),),""))</f>
        <v/>
      </c>
      <c r="AH155" s="121">
        <f t="array" ref="AH155">IF(AE155="","",INDIRECT("'GRD-"&amp;AG155&amp;"'!$L$7"))</f>
        <v/>
      </c>
      <c r="AI155" s="83">
        <f t="array" ref="AI155">IFERROR(OFFSET($BZ$11,ROW($B155)-11,MATCH(AI$10,$CA155:$FV155,0),),"")</f>
        <v/>
      </c>
      <c r="AJ155" s="83">
        <f>IF(AI155="","",IF(VLOOKUP($B155,INDIRECT("'GRD-"&amp;AK155&amp;"'!$B:$R"),16,FALSE)="","",VLOOKUP($B155,INDIRECT("'GRD-"&amp;AK155&amp;"'!$B:$R"),16,FALSE)))</f>
        <v/>
      </c>
      <c r="AK155" s="128">
        <f t="array" ref="AK155">IF(AI155="","",IFERROR(OFFSET($BZ$11,0,MATCH($AI155,$CA155:$FV155,0),),""))</f>
        <v/>
      </c>
      <c r="AL155" s="133">
        <f t="array" ref="AL155">IF(AI155="","",INDIRECT("'GRD-"&amp;AK155&amp;"'!$L$7"))</f>
        <v/>
      </c>
      <c r="AM155" s="84">
        <f t="array" ref="AM155">IFERROR(OFFSET($BZ$11,ROW($B155)-11,MATCH(AM$10,$CA155:$FV155,0),),"")</f>
        <v/>
      </c>
      <c r="AN155" s="84">
        <f>IF(AM155="","",IF(VLOOKUP($B155,INDIRECT("'GRD-"&amp;AO155&amp;"'!$B:$R"),16,FALSE)="","",VLOOKUP($B155,INDIRECT("'GRD-"&amp;AO155&amp;"'!$B:$R"),16,FALSE)))</f>
        <v/>
      </c>
      <c r="AO155" s="129">
        <f t="array" ref="AO155">IF(AM155="","",IFERROR(OFFSET($BZ$11,0,MATCH($AM155,$CA155:$FV155,0),),""))</f>
        <v/>
      </c>
      <c r="AP155" s="134">
        <f t="array" ref="AP155">IF(AM155="","",INDIRECT("'GRD-"&amp;AO155&amp;"'!$L$7"))</f>
        <v/>
      </c>
      <c r="AQ155" s="85">
        <f t="array" ref="AQ155">IFERROR(OFFSET($BZ$11,ROW($B155)-11,MATCH(AQ$10,$CA155:$FV155,0),),"")</f>
        <v/>
      </c>
      <c r="AR155" s="85">
        <f>IF(AQ155="","",IF(VLOOKUP($B155,INDIRECT("'GRD-"&amp;AS155&amp;"'!$B:$R"),16,FALSE)="","",VLOOKUP($B155,INDIRECT("'GRD-"&amp;AS155&amp;"'!$B:$R"),16,FALSE)))</f>
        <v/>
      </c>
      <c r="AS155" s="130">
        <f t="array" ref="AS155">IF(AQ155="","",IFERROR(OFFSET($BZ$11,0,MATCH($AQ155,$CA155:$FV155,0),),""))</f>
        <v/>
      </c>
      <c r="AT155" s="131">
        <f t="array" ref="AT155">IF(AQ155="","",INDIRECT("'GRD-"&amp;AS155&amp;"'!$L$7"))</f>
        <v/>
      </c>
      <c r="AU155" s="76">
        <f t="array" ref="AU155">IFERROR(OFFSET($BZ$11,ROW($B155)-11,MATCH(AU$10,$CA155:$FV155,0),),"")</f>
        <v/>
      </c>
      <c r="AV155" s="76">
        <f>IF(AU155="","",IF(VLOOKUP($B155,INDIRECT("'GRD-"&amp;AW155&amp;"'!$B:$R"),16,FALSE)="","",VLOOKUP($B155,INDIRECT("'GRD-"&amp;AW155&amp;"'!$B:$R"),16,FALSE)))</f>
        <v/>
      </c>
      <c r="AW155" s="132">
        <f t="array" ref="AW155">IF(AU155="","",IFERROR(OFFSET($BZ$11,0,MATCH($AU155,$CA155:$FV155,0),),""))</f>
        <v/>
      </c>
      <c r="AX155" s="121">
        <f t="array" ref="AX155">IF(AU155="","",INDIRECT("'GRD-"&amp;AW155&amp;"'!$L$7"))</f>
        <v/>
      </c>
      <c r="AY155" s="83">
        <f t="array" ref="AY155">IFERROR(OFFSET($BZ$11,ROW($B155)-11,MATCH(AY$10,$CA155:$FV155,0),),"")</f>
        <v/>
      </c>
      <c r="AZ155" s="83">
        <f>IF(AY155="","",IF(VLOOKUP($B155,INDIRECT("'GRD-"&amp;BA155&amp;"'!$B:$R"),16,FALSE)="","",VLOOKUP($B155,INDIRECT("'GRD-"&amp;BA155&amp;"'!$B:$R"),16,FALSE)))</f>
        <v/>
      </c>
      <c r="BA155" s="128">
        <f t="array" ref="BA155">IF(AY155="","",IFERROR(OFFSET($BZ$11,0,MATCH($AY155,$CA155:$FV155,0),),""))</f>
        <v/>
      </c>
      <c r="BB155" s="133">
        <f t="array" ref="BB155">IF(AY155="","",INDIRECT("'GRD-"&amp;BA155&amp;"'!$L$7"))</f>
        <v/>
      </c>
      <c r="BC155" s="84">
        <f t="array" ref="BC155">IFERROR(OFFSET($BZ$11,ROW($B155)-11,MATCH(BC$10,$CA155:$FV155,0),),"")</f>
        <v/>
      </c>
      <c r="BD155" s="84">
        <f>IF(BC155="","",IF(VLOOKUP($B155,INDIRECT("'GRD-"&amp;BE155&amp;"'!$B:$R"),16,FALSE)="","",VLOOKUP($B155,INDIRECT("'GRD-"&amp;BE155&amp;"'!$B:$R"),16,FALSE)))</f>
        <v/>
      </c>
      <c r="BE155" s="129">
        <f t="array" ref="BE155">IF(BC155="","",IFERROR(OFFSET($BZ$11,0,MATCH($BC155,$CA155:$FV155,0),),""))</f>
        <v/>
      </c>
      <c r="BF155" s="134">
        <f t="array" ref="BF155">IF(BC155="","",INDIRECT("'GRD-"&amp;BE155&amp;"'!$L$7"))</f>
        <v/>
      </c>
      <c r="CA155" s="96">
        <f>IFERROR(VLOOKUP($B155,INDIRECT("'GRD-"&amp;CA$11&amp;"'!B:R"),15,FALSE),"")</f>
        <v/>
      </c>
      <c r="CB155" s="96">
        <f>IFERROR(VLOOKUP($B155,INDIRECT("'GRD-"&amp;CB$11&amp;"'!B:R"),15,FALSE),"")</f>
        <v/>
      </c>
      <c r="CC155" s="96">
        <f>IFERROR(VLOOKUP($B155,INDIRECT("'GRD-"&amp;CC$11&amp;"'!B:R"),15,FALSE),"")</f>
        <v/>
      </c>
      <c r="CD155" s="96">
        <f>IFERROR(VLOOKUP($B155,INDIRECT("'GRD-"&amp;CD$11&amp;"'!B:R"),15,FALSE),"")</f>
        <v/>
      </c>
      <c r="CE155" s="96">
        <f>IFERROR(VLOOKUP($B155,INDIRECT("'GRD-"&amp;CE$11&amp;"'!B:R"),15,FALSE),"")</f>
        <v/>
      </c>
      <c r="CF155" s="96">
        <f>IFERROR(VLOOKUP($B155,INDIRECT("'GRD-"&amp;CF$11&amp;"'!B:R"),15,FALSE),"")</f>
        <v/>
      </c>
      <c r="CG155" s="96">
        <f>IFERROR(VLOOKUP($B155,INDIRECT("'GRD-"&amp;CG$11&amp;"'!B:R"),15,FALSE),"")</f>
        <v/>
      </c>
      <c r="CH155" s="96">
        <f>IFERROR(VLOOKUP($B155,INDIRECT("'GRD-"&amp;CH$11&amp;"'!B:R"),15,FALSE),"")</f>
        <v/>
      </c>
      <c r="CI155" s="96">
        <f>IFERROR(VLOOKUP($B155,INDIRECT("'GRD-"&amp;CI$11&amp;"'!B:R"),15,FALSE),"")</f>
        <v/>
      </c>
      <c r="CJ155" s="96">
        <f>IFERROR(VLOOKUP($B155,INDIRECT("'GRD-"&amp;CJ$11&amp;"'!B:R"),15,FALSE),"")</f>
        <v/>
      </c>
      <c r="CK155" s="96">
        <f>IFERROR(VLOOKUP($B155,INDIRECT("'GRD-"&amp;CK$11&amp;"'!B:R"),15,FALSE),"")</f>
        <v/>
      </c>
      <c r="CL155" s="96">
        <f>IFERROR(VLOOKUP($B155,INDIRECT("'GRD-"&amp;CL$11&amp;"'!B:R"),15,FALSE),"")</f>
        <v/>
      </c>
      <c r="CM155" s="96">
        <f>IFERROR(VLOOKUP($B155,INDIRECT("'GRD-"&amp;CM$11&amp;"'!B:R"),15,FALSE),"")</f>
        <v/>
      </c>
      <c r="CN155" s="96">
        <f>IFERROR(VLOOKUP($B155,INDIRECT("'GRD-"&amp;CN$11&amp;"'!B:R"),15,FALSE),"")</f>
        <v/>
      </c>
      <c r="CO155" s="96">
        <f>IFERROR(VLOOKUP($B155,INDIRECT("'GRD-"&amp;CO$11&amp;"'!B:R"),15,FALSE),"")</f>
        <v/>
      </c>
      <c r="CP155" s="96">
        <f>IFERROR(VLOOKUP($B155,INDIRECT("'GRD-"&amp;CP$11&amp;"'!B:R"),15,FALSE),"")</f>
        <v/>
      </c>
      <c r="CQ155" s="96">
        <f>IFERROR(VLOOKUP($B155,INDIRECT("'GRD-"&amp;CQ$11&amp;"'!B:R"),15,FALSE),"")</f>
        <v/>
      </c>
      <c r="CR155" s="96">
        <f>IFERROR(VLOOKUP($B155,INDIRECT("'GRD-"&amp;CR$11&amp;"'!B:R"),15,FALSE),"")</f>
        <v/>
      </c>
      <c r="CS155" s="96">
        <f>IFERROR(VLOOKUP($B155,INDIRECT("'GRD-"&amp;CS$11&amp;"'!B:R"),15,FALSE),"")</f>
        <v/>
      </c>
      <c r="CT155" s="96">
        <f>IFERROR(VLOOKUP($B155,INDIRECT("'GRD-"&amp;CT$11&amp;"'!B:R"),15,FALSE),"")</f>
        <v/>
      </c>
      <c r="CU155" s="96">
        <f>IFERROR(VLOOKUP($B155,INDIRECT("'GRD-"&amp;CU$11&amp;"'!B:R"),15,FALSE),"")</f>
        <v/>
      </c>
      <c r="CV155" s="96">
        <f>IFERROR(VLOOKUP($B155,INDIRECT("'GRD-"&amp;CV$11&amp;"'!B:R"),15,FALSE),"")</f>
        <v/>
      </c>
      <c r="CW155" s="96">
        <f>IFERROR(VLOOKUP($B155,INDIRECT("'GRD-"&amp;CW$11&amp;"'!B:R"),15,FALSE),"")</f>
        <v/>
      </c>
      <c r="CX155" s="96">
        <f>IFERROR(VLOOKUP($B155,INDIRECT("'GRD-"&amp;CX$11&amp;"'!B:R"),15,FALSE),"")</f>
        <v/>
      </c>
      <c r="CY155" s="96">
        <f>IFERROR(VLOOKUP($B155,INDIRECT("'GRD-"&amp;CY$11&amp;"'!B:R"),15,FALSE),"")</f>
        <v/>
      </c>
      <c r="CZ155" s="96">
        <f>IFERROR(VLOOKUP($B155,INDIRECT("'GRD-"&amp;CZ$11&amp;"'!B:R"),15,FALSE),"")</f>
        <v/>
      </c>
      <c r="DA155" s="96">
        <f>IFERROR(VLOOKUP($B155,INDIRECT("'GRD-"&amp;DA$11&amp;"'!B:R"),15,FALSE),"")</f>
        <v/>
      </c>
      <c r="DB155" s="96">
        <f>IFERROR(VLOOKUP($B155,INDIRECT("'GRD-"&amp;DB$11&amp;"'!B:R"),15,FALSE),"")</f>
        <v/>
      </c>
      <c r="DC155" s="96">
        <f>IFERROR(VLOOKUP($B155,INDIRECT("'GRD-"&amp;DC$11&amp;"'!B:R"),15,FALSE),"")</f>
        <v/>
      </c>
      <c r="DD155" s="96">
        <f>IFERROR(VLOOKUP($B155,INDIRECT("'GRD-"&amp;DD$11&amp;"'!B:R"),15,FALSE),"")</f>
        <v/>
      </c>
      <c r="DE155" s="96">
        <f>IFERROR(VLOOKUP($B155,INDIRECT("'GRD-"&amp;DE$11&amp;"'!B:R"),15,FALSE),"")</f>
        <v/>
      </c>
      <c r="DF155" s="96">
        <f>IFERROR(VLOOKUP($B155,INDIRECT("'GRD-"&amp;DF$11&amp;"'!B:R"),15,FALSE),"")</f>
        <v/>
      </c>
      <c r="DG155" s="96">
        <f>IFERROR(VLOOKUP($B155,INDIRECT("'GRD-"&amp;DG$11&amp;"'!B:R"),15,FALSE),"")</f>
        <v/>
      </c>
      <c r="DH155" s="96">
        <f>IFERROR(VLOOKUP($B155,INDIRECT("'GRD-"&amp;DH$11&amp;"'!B:R"),15,FALSE),"")</f>
        <v/>
      </c>
      <c r="DI155" s="96">
        <f>IFERROR(VLOOKUP($B155,INDIRECT("'GRD-"&amp;DI$11&amp;"'!B:R"),15,FALSE),"")</f>
        <v/>
      </c>
      <c r="DJ155" s="96">
        <f>IFERROR(VLOOKUP($B155,INDIRECT("'GRD-"&amp;DJ$11&amp;"'!B:R"),15,FALSE),"")</f>
        <v/>
      </c>
      <c r="DK155" s="96">
        <f>IFERROR(VLOOKUP($B155,INDIRECT("'GRD-"&amp;DK$11&amp;"'!B:R"),15,FALSE),"")</f>
        <v/>
      </c>
      <c r="DL155" s="96">
        <f>IFERROR(VLOOKUP($B155,INDIRECT("'GRD-"&amp;DL$11&amp;"'!B:R"),15,FALSE),"")</f>
        <v/>
      </c>
      <c r="DM155" s="96">
        <f>IFERROR(VLOOKUP($B155,INDIRECT("'GRD-"&amp;DM$11&amp;"'!B:R"),15,FALSE),"")</f>
        <v/>
      </c>
      <c r="DN155" s="96">
        <f>IFERROR(VLOOKUP($B155,INDIRECT("'GRD-"&amp;DN$11&amp;"'!B:R"),15,FALSE),"")</f>
        <v/>
      </c>
      <c r="DO155" s="96">
        <f>IFERROR(VLOOKUP($B155,INDIRECT("'GRD-"&amp;DO$11&amp;"'!B:R"),15,FALSE),"")</f>
        <v/>
      </c>
      <c r="DP155" s="96">
        <f>IFERROR(VLOOKUP($B155,INDIRECT("'GRD-"&amp;DP$11&amp;"'!B:R"),15,FALSE),"")</f>
        <v/>
      </c>
      <c r="DQ155" s="96">
        <f>IFERROR(VLOOKUP($B155,INDIRECT("'GRD-"&amp;DQ$11&amp;"'!B:R"),15,FALSE),"")</f>
        <v/>
      </c>
      <c r="DR155" s="96">
        <f>IFERROR(VLOOKUP($B155,INDIRECT("'GRD-"&amp;DR$11&amp;"'!B:R"),15,FALSE),"")</f>
        <v/>
      </c>
      <c r="DS155" s="96">
        <f>IFERROR(VLOOKUP($B155,INDIRECT("'GRD-"&amp;DS$11&amp;"'!B:R"),15,FALSE),"")</f>
        <v/>
      </c>
      <c r="DT155" s="96">
        <f>IFERROR(VLOOKUP($B155,INDIRECT("'GRD-"&amp;DT$11&amp;"'!B:R"),15,FALSE),"")</f>
        <v/>
      </c>
      <c r="DU155" s="96">
        <f>IFERROR(VLOOKUP($B155,INDIRECT("'GRD-"&amp;DU$11&amp;"'!B:R"),15,FALSE),"")</f>
        <v/>
      </c>
      <c r="DV155" s="96">
        <f>IFERROR(VLOOKUP($B155,INDIRECT("'GRD-"&amp;DV$11&amp;"'!B:R"),15,FALSE),"")</f>
        <v/>
      </c>
      <c r="DW155" s="96">
        <f>IFERROR(VLOOKUP($B155,INDIRECT("'GRD-"&amp;DW$11&amp;"'!B:R"),15,FALSE),"")</f>
        <v/>
      </c>
      <c r="DX155" s="96">
        <f>IFERROR(VLOOKUP($B155,INDIRECT("'GRD-"&amp;DX$11&amp;"'!B:R"),15,FALSE),"")</f>
        <v/>
      </c>
      <c r="DY155" s="96">
        <f>IFERROR(VLOOKUP($B155,INDIRECT("'GRD-"&amp;DY$11&amp;"'!B:R"),15,FALSE),"")</f>
        <v/>
      </c>
      <c r="DZ155" s="96">
        <f>IFERROR(VLOOKUP($B155,INDIRECT("'GRD-"&amp;DZ$11&amp;"'!B:R"),15,FALSE),"")</f>
        <v/>
      </c>
      <c r="EA155" s="96">
        <f>IFERROR(VLOOKUP($B155,INDIRECT("'GRD-"&amp;EA$11&amp;"'!B:R"),15,FALSE),"")</f>
        <v/>
      </c>
      <c r="EB155" s="96">
        <f>IFERROR(VLOOKUP($B155,INDIRECT("'GRD-"&amp;EB$11&amp;"'!B:R"),15,FALSE),"")</f>
        <v/>
      </c>
      <c r="EC155" s="96">
        <f>IFERROR(VLOOKUP($B155,INDIRECT("'GRD-"&amp;EC$11&amp;"'!B:R"),15,FALSE),"")</f>
        <v/>
      </c>
      <c r="ED155" s="96">
        <f>IFERROR(VLOOKUP($B155,INDIRECT("'GRD-"&amp;ED$11&amp;"'!B:R"),15,FALSE),"")</f>
        <v/>
      </c>
      <c r="EE155" s="96">
        <f>IFERROR(VLOOKUP($B155,INDIRECT("'GRD-"&amp;EE$11&amp;"'!B:R"),15,FALSE),"")</f>
        <v/>
      </c>
      <c r="EF155" s="96">
        <f>IFERROR(VLOOKUP($B155,INDIRECT("'GRD-"&amp;EF$11&amp;"'!B:R"),15,FALSE),"")</f>
        <v/>
      </c>
      <c r="EG155" s="96">
        <f>IFERROR(VLOOKUP($B155,INDIRECT("'GRD-"&amp;EG$11&amp;"'!B:R"),15,FALSE),"")</f>
        <v/>
      </c>
      <c r="EH155" s="96">
        <f>IFERROR(VLOOKUP($B155,INDIRECT("'GRD-"&amp;EH$11&amp;"'!B:R"),15,FALSE),"")</f>
        <v/>
      </c>
      <c r="EI155" s="96">
        <f>IFERROR(VLOOKUP($B155,INDIRECT("'GRD-"&amp;EI$11&amp;"'!B:R"),15,FALSE),"")</f>
        <v/>
      </c>
      <c r="EJ155" s="96">
        <f>IFERROR(VLOOKUP($B155,INDIRECT("'GRD-"&amp;EJ$11&amp;"'!B:R"),15,FALSE),"")</f>
        <v/>
      </c>
      <c r="EK155" s="96">
        <f>IFERROR(VLOOKUP($B155,INDIRECT("'GRD-"&amp;EK$11&amp;"'!B:R"),15,FALSE),"")</f>
        <v/>
      </c>
      <c r="EL155" s="96">
        <f>IFERROR(VLOOKUP($B155,INDIRECT("'GRD-"&amp;EL$11&amp;"'!B:R"),15,FALSE),"")</f>
        <v/>
      </c>
      <c r="EM155" s="96">
        <f>IFERROR(VLOOKUP($B155,INDIRECT("'GRD-"&amp;EM$11&amp;"'!B:R"),15,FALSE),"")</f>
        <v/>
      </c>
      <c r="EN155" s="96">
        <f>IFERROR(VLOOKUP($B155,INDIRECT("'GRD-"&amp;EN$11&amp;"'!B:R"),15,FALSE),"")</f>
        <v/>
      </c>
      <c r="EO155" s="96">
        <f>IFERROR(VLOOKUP($B155,INDIRECT("'GRD-"&amp;EO$11&amp;"'!B:R"),15,FALSE),"")</f>
        <v/>
      </c>
      <c r="EP155" s="96">
        <f>IFERROR(VLOOKUP($B155,INDIRECT("'GRD-"&amp;EP$11&amp;"'!B:R"),15,FALSE),"")</f>
        <v/>
      </c>
      <c r="EQ155" s="96">
        <f>IFERROR(VLOOKUP($B155,INDIRECT("'GRD-"&amp;EQ$11&amp;"'!B:R"),15,FALSE),"")</f>
        <v/>
      </c>
      <c r="ER155" s="96">
        <f>IFERROR(VLOOKUP($B155,INDIRECT("'GRD-"&amp;ER$11&amp;"'!B:R"),15,FALSE),"")</f>
        <v/>
      </c>
      <c r="ES155" s="96">
        <f>IFERROR(VLOOKUP($B155,INDIRECT("'GRD-"&amp;ES$11&amp;"'!B:R"),15,FALSE),"")</f>
        <v/>
      </c>
      <c r="ET155" s="96">
        <f>IFERROR(VLOOKUP($B155,INDIRECT("'GRD-"&amp;ET$11&amp;"'!B:R"),15,FALSE),"")</f>
        <v/>
      </c>
      <c r="EU155" s="96">
        <f>IFERROR(VLOOKUP($B155,INDIRECT("'GRD-"&amp;EU$11&amp;"'!B:R"),15,FALSE),"")</f>
        <v/>
      </c>
      <c r="EV155" s="96">
        <f>IFERROR(VLOOKUP($B155,INDIRECT("'GRD-"&amp;EV$11&amp;"'!B:R"),15,FALSE),"")</f>
        <v/>
      </c>
      <c r="EW155" s="96">
        <f>IFERROR(VLOOKUP($B155,INDIRECT("'GRD-"&amp;EW$11&amp;"'!B:R"),15,FALSE),"")</f>
        <v/>
      </c>
      <c r="EX155" s="96">
        <f>IFERROR(VLOOKUP($B155,INDIRECT("'GRD-"&amp;EX$11&amp;"'!B:R"),15,FALSE),"")</f>
        <v/>
      </c>
      <c r="EY155" s="96">
        <f>IFERROR(VLOOKUP($B155,INDIRECT("'GRD-"&amp;EY$11&amp;"'!B:R"),15,FALSE),"")</f>
        <v/>
      </c>
      <c r="EZ155" s="96">
        <f>IFERROR(VLOOKUP($B155,INDIRECT("'GRD-"&amp;EZ$11&amp;"'!B:R"),15,FALSE),"")</f>
        <v/>
      </c>
      <c r="FA155" s="96">
        <f>IFERROR(VLOOKUP($B155,INDIRECT("'GRD-"&amp;FA$11&amp;"'!B:R"),15,FALSE),"")</f>
        <v/>
      </c>
      <c r="FB155" s="96">
        <f>IFERROR(VLOOKUP($B155,INDIRECT("'GRD-"&amp;FB$11&amp;"'!B:R"),15,FALSE),"")</f>
        <v/>
      </c>
      <c r="FC155" s="96">
        <f>IFERROR(VLOOKUP($B155,INDIRECT("'GRD-"&amp;FC$11&amp;"'!B:R"),15,FALSE),"")</f>
        <v/>
      </c>
      <c r="FD155" s="96">
        <f>IFERROR(VLOOKUP($B155,INDIRECT("'GRD-"&amp;FD$11&amp;"'!B:R"),15,FALSE),"")</f>
        <v/>
      </c>
      <c r="FE155" s="96">
        <f>IFERROR(VLOOKUP($B155,INDIRECT("'GRD-"&amp;FE$11&amp;"'!B:R"),15,FALSE),"")</f>
        <v/>
      </c>
      <c r="FF155" s="96">
        <f>IFERROR(VLOOKUP($B155,INDIRECT("'GRD-"&amp;FF$11&amp;"'!B:R"),15,FALSE),"")</f>
        <v/>
      </c>
      <c r="FG155" s="96">
        <f>IFERROR(VLOOKUP($B155,INDIRECT("'GRD-"&amp;FG$11&amp;"'!B:R"),15,FALSE),"")</f>
        <v/>
      </c>
      <c r="FH155" s="96">
        <f>IFERROR(VLOOKUP($B155,INDIRECT("'GRD-"&amp;FH$11&amp;"'!B:R"),15,FALSE),"")</f>
        <v/>
      </c>
      <c r="FI155" s="96">
        <f>IFERROR(VLOOKUP($B155,INDIRECT("'GRD-"&amp;FI$11&amp;"'!B:R"),15,FALSE),"")</f>
        <v/>
      </c>
      <c r="FJ155" s="96">
        <f>IFERROR(VLOOKUP($B155,INDIRECT("'GRD-"&amp;FJ$11&amp;"'!B:R"),15,FALSE),"")</f>
        <v/>
      </c>
      <c r="FK155" s="96">
        <f>IFERROR(VLOOKUP($B155,INDIRECT("'GRD-"&amp;FK$11&amp;"'!B:R"),15,FALSE),"")</f>
        <v/>
      </c>
      <c r="FL155" s="96">
        <f>IFERROR(VLOOKUP($B155,INDIRECT("'GRD-"&amp;FL$11&amp;"'!B:R"),15,FALSE),"")</f>
        <v/>
      </c>
      <c r="FM155" s="96">
        <f>IFERROR(VLOOKUP($B155,INDIRECT("'GRD-"&amp;FM$11&amp;"'!B:R"),15,FALSE),"")</f>
        <v/>
      </c>
      <c r="FN155" s="96">
        <f>IFERROR(VLOOKUP($B155,INDIRECT("'GRD-"&amp;FN$11&amp;"'!B:R"),15,FALSE),"")</f>
        <v/>
      </c>
      <c r="FO155" s="96">
        <f>IFERROR(VLOOKUP($B155,INDIRECT("'GRD-"&amp;FO$11&amp;"'!B:R"),15,FALSE),"")</f>
        <v/>
      </c>
      <c r="FP155" s="96">
        <f>IFERROR(VLOOKUP($B155,INDIRECT("'GRD-"&amp;FP$11&amp;"'!B:R"),15,FALSE),"")</f>
        <v/>
      </c>
      <c r="FQ155" s="96">
        <f>IFERROR(VLOOKUP($B155,INDIRECT("'GRD-"&amp;FQ$11&amp;"'!B:R"),15,FALSE),"")</f>
        <v/>
      </c>
      <c r="FR155" s="96">
        <f>IFERROR(VLOOKUP($B155,INDIRECT("'GRD-"&amp;FR$11&amp;"'!B:R"),15,FALSE),"")</f>
        <v/>
      </c>
      <c r="FS155" s="96">
        <f>IFERROR(VLOOKUP($B155,INDIRECT("'GRD-"&amp;FS$11&amp;"'!B:R"),15,FALSE),"")</f>
        <v/>
      </c>
      <c r="FT155" s="96">
        <f>IFERROR(VLOOKUP($B155,INDIRECT("'GRD-"&amp;FT$11&amp;"'!B:R"),15,FALSE),"")</f>
        <v/>
      </c>
      <c r="FU155" s="96">
        <f>IFERROR(VLOOKUP($B155,INDIRECT("'GRD-"&amp;FU$11&amp;"'!B:R"),15,FALSE),"")</f>
        <v/>
      </c>
      <c r="FV155" s="96">
        <f>IFERROR(VLOOKUP($B155,INDIRECT("'GRD-"&amp;FV$11&amp;"'!B:R"),15,FALSE),"")</f>
        <v/>
      </c>
    </row>
    <row r="156">
      <c r="B156" s="85" t="n"/>
      <c r="C156" s="93" t="n"/>
      <c r="D156" s="73">
        <f>IF(K156="","",MAX($CA156:$FV156))</f>
        <v/>
      </c>
      <c r="E156" s="74">
        <f t="array" ref="E156">IF($K156="","",OFFSET($A$1,ROW($B156)-1,11+$D156*4,))</f>
        <v/>
      </c>
      <c r="F156" s="74">
        <f t="array" ref="F156">IF($K156="","",OFFSET($A$1,ROW($B156)-1,12+$D156*4,))</f>
        <v/>
      </c>
      <c r="G156" s="118">
        <f t="array" ref="G156">IF($K156="","",OFFSET($A$1,ROW($B156)-1,13+$D156*4,))</f>
        <v/>
      </c>
      <c r="H156" s="81" t="n"/>
      <c r="I156" s="82" t="n"/>
      <c r="J156" s="75">
        <f>IF(I156="A4",H156/8,IF(I156="A3",H156/4,IF(I156="A2",H156/2,IF(I156="A1",H156/1,IF(I156="A0",H156*2,"")))))</f>
        <v/>
      </c>
      <c r="K156" s="68">
        <f t="array" ref="K156">IFERROR(OFFSET($BZ$11,ROW($B156)-11,MATCH(K$10,$CA156:$FV156,0),),"")</f>
        <v/>
      </c>
      <c r="L156" s="85">
        <f>IF(K156="","",IF(VLOOKUP($B156,INDIRECT("'GRD-"&amp;M156&amp;"'!$B:$R"),16,FALSE)="","",VLOOKUP($B156,INDIRECT("'GRD-"&amp;M156&amp;"'!$B:$R"),16,FALSE)))</f>
        <v/>
      </c>
      <c r="M156" s="130">
        <f t="array" ref="M156">IF(K156="","",IFERROR(OFFSET($BZ$11,0,MATCH($K156,$CA156:$FV156,0),),""))</f>
        <v/>
      </c>
      <c r="N156" s="119">
        <f t="array" ref="N156">IF(K156="","",INDIRECT("'GRD-"&amp;M156&amp;"'!$L$7"))</f>
        <v/>
      </c>
      <c r="O156" s="76">
        <f t="array" ref="O156">IFERROR(OFFSET($BZ$11,ROW($B156)-11,MATCH(O$10,$CA156:$FV156,0),),"")</f>
        <v/>
      </c>
      <c r="P156" s="76">
        <f>IF(O156="","",IF(VLOOKUP($B156,INDIRECT("'GRD-"&amp;Q156&amp;"'!$B:$R"),16,FALSE)="","",VLOOKUP($B156,INDIRECT("'GRD-"&amp;Q156&amp;"'!$B:$R"),16,FALSE)))</f>
        <v/>
      </c>
      <c r="Q156" s="132">
        <f t="array" ref="Q156">IF(O156="","",IFERROR(OFFSET($BZ$11,0,MATCH($O156,$CA156:$FV156,0),),""))</f>
        <v/>
      </c>
      <c r="R156" s="121">
        <f t="array" ref="R156">IF(O156="","",INDIRECT("'GRD-"&amp;Q156&amp;"'!$L$7"))</f>
        <v/>
      </c>
      <c r="S156" s="83">
        <f t="array" ref="S156">IFERROR(OFFSET($BZ$11,ROW($B156)-11,MATCH(S$10,$CA156:$FV156,0),),"")</f>
        <v/>
      </c>
      <c r="T156" s="83">
        <f>IF(S156="","",IF(VLOOKUP($B156,INDIRECT("'GRD-"&amp;U156&amp;"'!$B:$R"),16,FALSE)="","",VLOOKUP($B156,INDIRECT("'GRD-"&amp;U156&amp;"'!$B:$R"),16,FALSE)))</f>
        <v/>
      </c>
      <c r="U156" s="128">
        <f t="array" ref="U156">IF(S156="","",IFERROR(OFFSET($BZ$11,0,MATCH($S156,$CA156:$FV156,0),),""))</f>
        <v/>
      </c>
      <c r="V156" s="133">
        <f t="array" ref="V156">IF(S156="","",INDIRECT("'GRD-"&amp;U156&amp;"'!$L$7"))</f>
        <v/>
      </c>
      <c r="W156" s="84">
        <f t="array" ref="W156">IFERROR(OFFSET($BZ$11,ROW($B156)-11,MATCH(W$10,$CA156:$FV156,0),),"")</f>
        <v/>
      </c>
      <c r="X156" s="84">
        <f>IF(W156="","",IF(VLOOKUP($B156,INDIRECT("'GRD-"&amp;Y156&amp;"'!$B:$R"),16,FALSE)="","",VLOOKUP($B156,INDIRECT("'GRD-"&amp;Y156&amp;"'!$B:$R"),16,FALSE)))</f>
        <v/>
      </c>
      <c r="Y156" s="129">
        <f t="array" ref="Y156">IF(W156="","",IFERROR(OFFSET($BZ$11,0,MATCH($W156,$CA156:$FV156,0),),""))</f>
        <v/>
      </c>
      <c r="Z156" s="134">
        <f t="array" ref="Z156">IF(W156="","",INDIRECT("'GRD-"&amp;Y156&amp;"'!$L$7"))</f>
        <v/>
      </c>
      <c r="AA156" s="85">
        <f t="array" ref="AA156">IFERROR(OFFSET($BZ$11,ROW($B156)-11,MATCH(AA$10,$CA156:$FV156,0),),"")</f>
        <v/>
      </c>
      <c r="AB156" s="85">
        <f>IF(AA156="","",IF(VLOOKUP($B156,INDIRECT("'GRD-"&amp;AC156&amp;"'!$B:$R"),16,FALSE)="","",VLOOKUP($B156,INDIRECT("'GRD-"&amp;AC156&amp;"'!$B:$R"),16,FALSE)))</f>
        <v/>
      </c>
      <c r="AC156" s="130">
        <f t="array" ref="AC156">IF(AA156="","",IFERROR(OFFSET($BZ$11,0,MATCH($AA156,$CA156:$FV156,0),),""))</f>
        <v/>
      </c>
      <c r="AD156" s="131">
        <f t="array" ref="AD156">IF(AA156="","",INDIRECT("'GRD-"&amp;AC156&amp;"'!$L$7"))</f>
        <v/>
      </c>
      <c r="AE156" s="76">
        <f t="array" ref="AE156">IFERROR(OFFSET($BZ$11,ROW($B156)-11,MATCH(AE$10,$CA156:$FV156,0),),"")</f>
        <v/>
      </c>
      <c r="AF156" s="76">
        <f>IF(AE156="","",IF(VLOOKUP($B156,INDIRECT("'GRD-"&amp;AG156&amp;"'!$B:$R"),16,FALSE)="","",VLOOKUP($B156,INDIRECT("'GRD-"&amp;AG156&amp;"'!$B:$R"),16,FALSE)))</f>
        <v/>
      </c>
      <c r="AG156" s="132">
        <f t="array" ref="AG156">IF(AE156="","",IFERROR(OFFSET($BZ$11,0,MATCH($AE156,$CA156:$FV156,0),),""))</f>
        <v/>
      </c>
      <c r="AH156" s="121">
        <f t="array" ref="AH156">IF(AE156="","",INDIRECT("'GRD-"&amp;AG156&amp;"'!$L$7"))</f>
        <v/>
      </c>
      <c r="AI156" s="83">
        <f t="array" ref="AI156">IFERROR(OFFSET($BZ$11,ROW($B156)-11,MATCH(AI$10,$CA156:$FV156,0),),"")</f>
        <v/>
      </c>
      <c r="AJ156" s="83">
        <f>IF(AI156="","",IF(VLOOKUP($B156,INDIRECT("'GRD-"&amp;AK156&amp;"'!$B:$R"),16,FALSE)="","",VLOOKUP($B156,INDIRECT("'GRD-"&amp;AK156&amp;"'!$B:$R"),16,FALSE)))</f>
        <v/>
      </c>
      <c r="AK156" s="128">
        <f t="array" ref="AK156">IF(AI156="","",IFERROR(OFFSET($BZ$11,0,MATCH($AI156,$CA156:$FV156,0),),""))</f>
        <v/>
      </c>
      <c r="AL156" s="133">
        <f t="array" ref="AL156">IF(AI156="","",INDIRECT("'GRD-"&amp;AK156&amp;"'!$L$7"))</f>
        <v/>
      </c>
      <c r="AM156" s="84">
        <f t="array" ref="AM156">IFERROR(OFFSET($BZ$11,ROW($B156)-11,MATCH(AM$10,$CA156:$FV156,0),),"")</f>
        <v/>
      </c>
      <c r="AN156" s="84">
        <f>IF(AM156="","",IF(VLOOKUP($B156,INDIRECT("'GRD-"&amp;AO156&amp;"'!$B:$R"),16,FALSE)="","",VLOOKUP($B156,INDIRECT("'GRD-"&amp;AO156&amp;"'!$B:$R"),16,FALSE)))</f>
        <v/>
      </c>
      <c r="AO156" s="129">
        <f t="array" ref="AO156">IF(AM156="","",IFERROR(OFFSET($BZ$11,0,MATCH($AM156,$CA156:$FV156,0),),""))</f>
        <v/>
      </c>
      <c r="AP156" s="134">
        <f t="array" ref="AP156">IF(AM156="","",INDIRECT("'GRD-"&amp;AO156&amp;"'!$L$7"))</f>
        <v/>
      </c>
      <c r="AQ156" s="85">
        <f t="array" ref="AQ156">IFERROR(OFFSET($BZ$11,ROW($B156)-11,MATCH(AQ$10,$CA156:$FV156,0),),"")</f>
        <v/>
      </c>
      <c r="AR156" s="85">
        <f>IF(AQ156="","",IF(VLOOKUP($B156,INDIRECT("'GRD-"&amp;AS156&amp;"'!$B:$R"),16,FALSE)="","",VLOOKUP($B156,INDIRECT("'GRD-"&amp;AS156&amp;"'!$B:$R"),16,FALSE)))</f>
        <v/>
      </c>
      <c r="AS156" s="130">
        <f t="array" ref="AS156">IF(AQ156="","",IFERROR(OFFSET($BZ$11,0,MATCH($AQ156,$CA156:$FV156,0),),""))</f>
        <v/>
      </c>
      <c r="AT156" s="131">
        <f t="array" ref="AT156">IF(AQ156="","",INDIRECT("'GRD-"&amp;AS156&amp;"'!$L$7"))</f>
        <v/>
      </c>
      <c r="AU156" s="76">
        <f t="array" ref="AU156">IFERROR(OFFSET($BZ$11,ROW($B156)-11,MATCH(AU$10,$CA156:$FV156,0),),"")</f>
        <v/>
      </c>
      <c r="AV156" s="76">
        <f>IF(AU156="","",IF(VLOOKUP($B156,INDIRECT("'GRD-"&amp;AW156&amp;"'!$B:$R"),16,FALSE)="","",VLOOKUP($B156,INDIRECT("'GRD-"&amp;AW156&amp;"'!$B:$R"),16,FALSE)))</f>
        <v/>
      </c>
      <c r="AW156" s="132">
        <f t="array" ref="AW156">IF(AU156="","",IFERROR(OFFSET($BZ$11,0,MATCH($AU156,$CA156:$FV156,0),),""))</f>
        <v/>
      </c>
      <c r="AX156" s="121">
        <f t="array" ref="AX156">IF(AU156="","",INDIRECT("'GRD-"&amp;AW156&amp;"'!$L$7"))</f>
        <v/>
      </c>
      <c r="AY156" s="83">
        <f t="array" ref="AY156">IFERROR(OFFSET($BZ$11,ROW($B156)-11,MATCH(AY$10,$CA156:$FV156,0),),"")</f>
        <v/>
      </c>
      <c r="AZ156" s="83">
        <f>IF(AY156="","",IF(VLOOKUP($B156,INDIRECT("'GRD-"&amp;BA156&amp;"'!$B:$R"),16,FALSE)="","",VLOOKUP($B156,INDIRECT("'GRD-"&amp;BA156&amp;"'!$B:$R"),16,FALSE)))</f>
        <v/>
      </c>
      <c r="BA156" s="128">
        <f t="array" ref="BA156">IF(AY156="","",IFERROR(OFFSET($BZ$11,0,MATCH($AY156,$CA156:$FV156,0),),""))</f>
        <v/>
      </c>
      <c r="BB156" s="133">
        <f t="array" ref="BB156">IF(AY156="","",INDIRECT("'GRD-"&amp;BA156&amp;"'!$L$7"))</f>
        <v/>
      </c>
      <c r="BC156" s="84">
        <f t="array" ref="BC156">IFERROR(OFFSET($BZ$11,ROW($B156)-11,MATCH(BC$10,$CA156:$FV156,0),),"")</f>
        <v/>
      </c>
      <c r="BD156" s="84">
        <f>IF(BC156="","",IF(VLOOKUP($B156,INDIRECT("'GRD-"&amp;BE156&amp;"'!$B:$R"),16,FALSE)="","",VLOOKUP($B156,INDIRECT("'GRD-"&amp;BE156&amp;"'!$B:$R"),16,FALSE)))</f>
        <v/>
      </c>
      <c r="BE156" s="129">
        <f t="array" ref="BE156">IF(BC156="","",IFERROR(OFFSET($BZ$11,0,MATCH($BC156,$CA156:$FV156,0),),""))</f>
        <v/>
      </c>
      <c r="BF156" s="134">
        <f t="array" ref="BF156">IF(BC156="","",INDIRECT("'GRD-"&amp;BE156&amp;"'!$L$7"))</f>
        <v/>
      </c>
      <c r="CA156" s="96">
        <f>IFERROR(VLOOKUP($B156,INDIRECT("'GRD-"&amp;CA$11&amp;"'!B:R"),15,FALSE),"")</f>
        <v/>
      </c>
      <c r="CB156" s="96">
        <f>IFERROR(VLOOKUP($B156,INDIRECT("'GRD-"&amp;CB$11&amp;"'!B:R"),15,FALSE),"")</f>
        <v/>
      </c>
      <c r="CC156" s="96">
        <f>IFERROR(VLOOKUP($B156,INDIRECT("'GRD-"&amp;CC$11&amp;"'!B:R"),15,FALSE),"")</f>
        <v/>
      </c>
      <c r="CD156" s="96">
        <f>IFERROR(VLOOKUP($B156,INDIRECT("'GRD-"&amp;CD$11&amp;"'!B:R"),15,FALSE),"")</f>
        <v/>
      </c>
      <c r="CE156" s="96">
        <f>IFERROR(VLOOKUP($B156,INDIRECT("'GRD-"&amp;CE$11&amp;"'!B:R"),15,FALSE),"")</f>
        <v/>
      </c>
      <c r="CF156" s="96">
        <f>IFERROR(VLOOKUP($B156,INDIRECT("'GRD-"&amp;CF$11&amp;"'!B:R"),15,FALSE),"")</f>
        <v/>
      </c>
      <c r="CG156" s="96">
        <f>IFERROR(VLOOKUP($B156,INDIRECT("'GRD-"&amp;CG$11&amp;"'!B:R"),15,FALSE),"")</f>
        <v/>
      </c>
      <c r="CH156" s="96">
        <f>IFERROR(VLOOKUP($B156,INDIRECT("'GRD-"&amp;CH$11&amp;"'!B:R"),15,FALSE),"")</f>
        <v/>
      </c>
      <c r="CI156" s="96">
        <f>IFERROR(VLOOKUP($B156,INDIRECT("'GRD-"&amp;CI$11&amp;"'!B:R"),15,FALSE),"")</f>
        <v/>
      </c>
      <c r="CJ156" s="96">
        <f>IFERROR(VLOOKUP($B156,INDIRECT("'GRD-"&amp;CJ$11&amp;"'!B:R"),15,FALSE),"")</f>
        <v/>
      </c>
      <c r="CK156" s="96">
        <f>IFERROR(VLOOKUP($B156,INDIRECT("'GRD-"&amp;CK$11&amp;"'!B:R"),15,FALSE),"")</f>
        <v/>
      </c>
      <c r="CL156" s="96">
        <f>IFERROR(VLOOKUP($B156,INDIRECT("'GRD-"&amp;CL$11&amp;"'!B:R"),15,FALSE),"")</f>
        <v/>
      </c>
      <c r="CM156" s="96">
        <f>IFERROR(VLOOKUP($B156,INDIRECT("'GRD-"&amp;CM$11&amp;"'!B:R"),15,FALSE),"")</f>
        <v/>
      </c>
      <c r="CN156" s="96">
        <f>IFERROR(VLOOKUP($B156,INDIRECT("'GRD-"&amp;CN$11&amp;"'!B:R"),15,FALSE),"")</f>
        <v/>
      </c>
      <c r="CO156" s="96">
        <f>IFERROR(VLOOKUP($B156,INDIRECT("'GRD-"&amp;CO$11&amp;"'!B:R"),15,FALSE),"")</f>
        <v/>
      </c>
      <c r="CP156" s="96">
        <f>IFERROR(VLOOKUP($B156,INDIRECT("'GRD-"&amp;CP$11&amp;"'!B:R"),15,FALSE),"")</f>
        <v/>
      </c>
      <c r="CQ156" s="96">
        <f>IFERROR(VLOOKUP($B156,INDIRECT("'GRD-"&amp;CQ$11&amp;"'!B:R"),15,FALSE),"")</f>
        <v/>
      </c>
      <c r="CR156" s="96">
        <f>IFERROR(VLOOKUP($B156,INDIRECT("'GRD-"&amp;CR$11&amp;"'!B:R"),15,FALSE),"")</f>
        <v/>
      </c>
      <c r="CS156" s="96">
        <f>IFERROR(VLOOKUP($B156,INDIRECT("'GRD-"&amp;CS$11&amp;"'!B:R"),15,FALSE),"")</f>
        <v/>
      </c>
      <c r="CT156" s="96">
        <f>IFERROR(VLOOKUP($B156,INDIRECT("'GRD-"&amp;CT$11&amp;"'!B:R"),15,FALSE),"")</f>
        <v/>
      </c>
      <c r="CU156" s="96">
        <f>IFERROR(VLOOKUP($B156,INDIRECT("'GRD-"&amp;CU$11&amp;"'!B:R"),15,FALSE),"")</f>
        <v/>
      </c>
      <c r="CV156" s="96">
        <f>IFERROR(VLOOKUP($B156,INDIRECT("'GRD-"&amp;CV$11&amp;"'!B:R"),15,FALSE),"")</f>
        <v/>
      </c>
      <c r="CW156" s="96">
        <f>IFERROR(VLOOKUP($B156,INDIRECT("'GRD-"&amp;CW$11&amp;"'!B:R"),15,FALSE),"")</f>
        <v/>
      </c>
      <c r="CX156" s="96">
        <f>IFERROR(VLOOKUP($B156,INDIRECT("'GRD-"&amp;CX$11&amp;"'!B:R"),15,FALSE),"")</f>
        <v/>
      </c>
      <c r="CY156" s="96">
        <f>IFERROR(VLOOKUP($B156,INDIRECT("'GRD-"&amp;CY$11&amp;"'!B:R"),15,FALSE),"")</f>
        <v/>
      </c>
      <c r="CZ156" s="96">
        <f>IFERROR(VLOOKUP($B156,INDIRECT("'GRD-"&amp;CZ$11&amp;"'!B:R"),15,FALSE),"")</f>
        <v/>
      </c>
      <c r="DA156" s="96">
        <f>IFERROR(VLOOKUP($B156,INDIRECT("'GRD-"&amp;DA$11&amp;"'!B:R"),15,FALSE),"")</f>
        <v/>
      </c>
      <c r="DB156" s="96">
        <f>IFERROR(VLOOKUP($B156,INDIRECT("'GRD-"&amp;DB$11&amp;"'!B:R"),15,FALSE),"")</f>
        <v/>
      </c>
      <c r="DC156" s="96">
        <f>IFERROR(VLOOKUP($B156,INDIRECT("'GRD-"&amp;DC$11&amp;"'!B:R"),15,FALSE),"")</f>
        <v/>
      </c>
      <c r="DD156" s="96">
        <f>IFERROR(VLOOKUP($B156,INDIRECT("'GRD-"&amp;DD$11&amp;"'!B:R"),15,FALSE),"")</f>
        <v/>
      </c>
      <c r="DE156" s="96">
        <f>IFERROR(VLOOKUP($B156,INDIRECT("'GRD-"&amp;DE$11&amp;"'!B:R"),15,FALSE),"")</f>
        <v/>
      </c>
      <c r="DF156" s="96">
        <f>IFERROR(VLOOKUP($B156,INDIRECT("'GRD-"&amp;DF$11&amp;"'!B:R"),15,FALSE),"")</f>
        <v/>
      </c>
      <c r="DG156" s="96">
        <f>IFERROR(VLOOKUP($B156,INDIRECT("'GRD-"&amp;DG$11&amp;"'!B:R"),15,FALSE),"")</f>
        <v/>
      </c>
      <c r="DH156" s="96">
        <f>IFERROR(VLOOKUP($B156,INDIRECT("'GRD-"&amp;DH$11&amp;"'!B:R"),15,FALSE),"")</f>
        <v/>
      </c>
      <c r="DI156" s="96">
        <f>IFERROR(VLOOKUP($B156,INDIRECT("'GRD-"&amp;DI$11&amp;"'!B:R"),15,FALSE),"")</f>
        <v/>
      </c>
      <c r="DJ156" s="96">
        <f>IFERROR(VLOOKUP($B156,INDIRECT("'GRD-"&amp;DJ$11&amp;"'!B:R"),15,FALSE),"")</f>
        <v/>
      </c>
      <c r="DK156" s="96">
        <f>IFERROR(VLOOKUP($B156,INDIRECT("'GRD-"&amp;DK$11&amp;"'!B:R"),15,FALSE),"")</f>
        <v/>
      </c>
      <c r="DL156" s="96">
        <f>IFERROR(VLOOKUP($B156,INDIRECT("'GRD-"&amp;DL$11&amp;"'!B:R"),15,FALSE),"")</f>
        <v/>
      </c>
      <c r="DM156" s="96">
        <f>IFERROR(VLOOKUP($B156,INDIRECT("'GRD-"&amp;DM$11&amp;"'!B:R"),15,FALSE),"")</f>
        <v/>
      </c>
      <c r="DN156" s="96">
        <f>IFERROR(VLOOKUP($B156,INDIRECT("'GRD-"&amp;DN$11&amp;"'!B:R"),15,FALSE),"")</f>
        <v/>
      </c>
      <c r="DO156" s="96">
        <f>IFERROR(VLOOKUP($B156,INDIRECT("'GRD-"&amp;DO$11&amp;"'!B:R"),15,FALSE),"")</f>
        <v/>
      </c>
      <c r="DP156" s="96">
        <f>IFERROR(VLOOKUP($B156,INDIRECT("'GRD-"&amp;DP$11&amp;"'!B:R"),15,FALSE),"")</f>
        <v/>
      </c>
      <c r="DQ156" s="96">
        <f>IFERROR(VLOOKUP($B156,INDIRECT("'GRD-"&amp;DQ$11&amp;"'!B:R"),15,FALSE),"")</f>
        <v/>
      </c>
      <c r="DR156" s="96">
        <f>IFERROR(VLOOKUP($B156,INDIRECT("'GRD-"&amp;DR$11&amp;"'!B:R"),15,FALSE),"")</f>
        <v/>
      </c>
      <c r="DS156" s="96">
        <f>IFERROR(VLOOKUP($B156,INDIRECT("'GRD-"&amp;DS$11&amp;"'!B:R"),15,FALSE),"")</f>
        <v/>
      </c>
      <c r="DT156" s="96">
        <f>IFERROR(VLOOKUP($B156,INDIRECT("'GRD-"&amp;DT$11&amp;"'!B:R"),15,FALSE),"")</f>
        <v/>
      </c>
      <c r="DU156" s="96">
        <f>IFERROR(VLOOKUP($B156,INDIRECT("'GRD-"&amp;DU$11&amp;"'!B:R"),15,FALSE),"")</f>
        <v/>
      </c>
      <c r="DV156" s="96">
        <f>IFERROR(VLOOKUP($B156,INDIRECT("'GRD-"&amp;DV$11&amp;"'!B:R"),15,FALSE),"")</f>
        <v/>
      </c>
      <c r="DW156" s="96">
        <f>IFERROR(VLOOKUP($B156,INDIRECT("'GRD-"&amp;DW$11&amp;"'!B:R"),15,FALSE),"")</f>
        <v/>
      </c>
      <c r="DX156" s="96">
        <f>IFERROR(VLOOKUP($B156,INDIRECT("'GRD-"&amp;DX$11&amp;"'!B:R"),15,FALSE),"")</f>
        <v/>
      </c>
      <c r="DY156" s="96">
        <f>IFERROR(VLOOKUP($B156,INDIRECT("'GRD-"&amp;DY$11&amp;"'!B:R"),15,FALSE),"")</f>
        <v/>
      </c>
      <c r="DZ156" s="96">
        <f>IFERROR(VLOOKUP($B156,INDIRECT("'GRD-"&amp;DZ$11&amp;"'!B:R"),15,FALSE),"")</f>
        <v/>
      </c>
      <c r="EA156" s="96">
        <f>IFERROR(VLOOKUP($B156,INDIRECT("'GRD-"&amp;EA$11&amp;"'!B:R"),15,FALSE),"")</f>
        <v/>
      </c>
      <c r="EB156" s="96">
        <f>IFERROR(VLOOKUP($B156,INDIRECT("'GRD-"&amp;EB$11&amp;"'!B:R"),15,FALSE),"")</f>
        <v/>
      </c>
      <c r="EC156" s="96">
        <f>IFERROR(VLOOKUP($B156,INDIRECT("'GRD-"&amp;EC$11&amp;"'!B:R"),15,FALSE),"")</f>
        <v/>
      </c>
      <c r="ED156" s="96">
        <f>IFERROR(VLOOKUP($B156,INDIRECT("'GRD-"&amp;ED$11&amp;"'!B:R"),15,FALSE),"")</f>
        <v/>
      </c>
      <c r="EE156" s="96">
        <f>IFERROR(VLOOKUP($B156,INDIRECT("'GRD-"&amp;EE$11&amp;"'!B:R"),15,FALSE),"")</f>
        <v/>
      </c>
      <c r="EF156" s="96">
        <f>IFERROR(VLOOKUP($B156,INDIRECT("'GRD-"&amp;EF$11&amp;"'!B:R"),15,FALSE),"")</f>
        <v/>
      </c>
      <c r="EG156" s="96">
        <f>IFERROR(VLOOKUP($B156,INDIRECT("'GRD-"&amp;EG$11&amp;"'!B:R"),15,FALSE),"")</f>
        <v/>
      </c>
      <c r="EH156" s="96">
        <f>IFERROR(VLOOKUP($B156,INDIRECT("'GRD-"&amp;EH$11&amp;"'!B:R"),15,FALSE),"")</f>
        <v/>
      </c>
      <c r="EI156" s="96">
        <f>IFERROR(VLOOKUP($B156,INDIRECT("'GRD-"&amp;EI$11&amp;"'!B:R"),15,FALSE),"")</f>
        <v/>
      </c>
      <c r="EJ156" s="96">
        <f>IFERROR(VLOOKUP($B156,INDIRECT("'GRD-"&amp;EJ$11&amp;"'!B:R"),15,FALSE),"")</f>
        <v/>
      </c>
      <c r="EK156" s="96">
        <f>IFERROR(VLOOKUP($B156,INDIRECT("'GRD-"&amp;EK$11&amp;"'!B:R"),15,FALSE),"")</f>
        <v/>
      </c>
      <c r="EL156" s="96">
        <f>IFERROR(VLOOKUP($B156,INDIRECT("'GRD-"&amp;EL$11&amp;"'!B:R"),15,FALSE),"")</f>
        <v/>
      </c>
      <c r="EM156" s="96">
        <f>IFERROR(VLOOKUP($B156,INDIRECT("'GRD-"&amp;EM$11&amp;"'!B:R"),15,FALSE),"")</f>
        <v/>
      </c>
      <c r="EN156" s="96">
        <f>IFERROR(VLOOKUP($B156,INDIRECT("'GRD-"&amp;EN$11&amp;"'!B:R"),15,FALSE),"")</f>
        <v/>
      </c>
      <c r="EO156" s="96">
        <f>IFERROR(VLOOKUP($B156,INDIRECT("'GRD-"&amp;EO$11&amp;"'!B:R"),15,FALSE),"")</f>
        <v/>
      </c>
      <c r="EP156" s="96">
        <f>IFERROR(VLOOKUP($B156,INDIRECT("'GRD-"&amp;EP$11&amp;"'!B:R"),15,FALSE),"")</f>
        <v/>
      </c>
      <c r="EQ156" s="96">
        <f>IFERROR(VLOOKUP($B156,INDIRECT("'GRD-"&amp;EQ$11&amp;"'!B:R"),15,FALSE),"")</f>
        <v/>
      </c>
      <c r="ER156" s="96">
        <f>IFERROR(VLOOKUP($B156,INDIRECT("'GRD-"&amp;ER$11&amp;"'!B:R"),15,FALSE),"")</f>
        <v/>
      </c>
      <c r="ES156" s="96">
        <f>IFERROR(VLOOKUP($B156,INDIRECT("'GRD-"&amp;ES$11&amp;"'!B:R"),15,FALSE),"")</f>
        <v/>
      </c>
      <c r="ET156" s="96">
        <f>IFERROR(VLOOKUP($B156,INDIRECT("'GRD-"&amp;ET$11&amp;"'!B:R"),15,FALSE),"")</f>
        <v/>
      </c>
      <c r="EU156" s="96">
        <f>IFERROR(VLOOKUP($B156,INDIRECT("'GRD-"&amp;EU$11&amp;"'!B:R"),15,FALSE),"")</f>
        <v/>
      </c>
      <c r="EV156" s="96">
        <f>IFERROR(VLOOKUP($B156,INDIRECT("'GRD-"&amp;EV$11&amp;"'!B:R"),15,FALSE),"")</f>
        <v/>
      </c>
      <c r="EW156" s="96">
        <f>IFERROR(VLOOKUP($B156,INDIRECT("'GRD-"&amp;EW$11&amp;"'!B:R"),15,FALSE),"")</f>
        <v/>
      </c>
      <c r="EX156" s="96">
        <f>IFERROR(VLOOKUP($B156,INDIRECT("'GRD-"&amp;EX$11&amp;"'!B:R"),15,FALSE),"")</f>
        <v/>
      </c>
      <c r="EY156" s="96">
        <f>IFERROR(VLOOKUP($B156,INDIRECT("'GRD-"&amp;EY$11&amp;"'!B:R"),15,FALSE),"")</f>
        <v/>
      </c>
      <c r="EZ156" s="96">
        <f>IFERROR(VLOOKUP($B156,INDIRECT("'GRD-"&amp;EZ$11&amp;"'!B:R"),15,FALSE),"")</f>
        <v/>
      </c>
      <c r="FA156" s="96">
        <f>IFERROR(VLOOKUP($B156,INDIRECT("'GRD-"&amp;FA$11&amp;"'!B:R"),15,FALSE),"")</f>
        <v/>
      </c>
      <c r="FB156" s="96">
        <f>IFERROR(VLOOKUP($B156,INDIRECT("'GRD-"&amp;FB$11&amp;"'!B:R"),15,FALSE),"")</f>
        <v/>
      </c>
      <c r="FC156" s="96">
        <f>IFERROR(VLOOKUP($B156,INDIRECT("'GRD-"&amp;FC$11&amp;"'!B:R"),15,FALSE),"")</f>
        <v/>
      </c>
      <c r="FD156" s="96">
        <f>IFERROR(VLOOKUP($B156,INDIRECT("'GRD-"&amp;FD$11&amp;"'!B:R"),15,FALSE),"")</f>
        <v/>
      </c>
      <c r="FE156" s="96">
        <f>IFERROR(VLOOKUP($B156,INDIRECT("'GRD-"&amp;FE$11&amp;"'!B:R"),15,FALSE),"")</f>
        <v/>
      </c>
      <c r="FF156" s="96">
        <f>IFERROR(VLOOKUP($B156,INDIRECT("'GRD-"&amp;FF$11&amp;"'!B:R"),15,FALSE),"")</f>
        <v/>
      </c>
      <c r="FG156" s="96">
        <f>IFERROR(VLOOKUP($B156,INDIRECT("'GRD-"&amp;FG$11&amp;"'!B:R"),15,FALSE),"")</f>
        <v/>
      </c>
      <c r="FH156" s="96">
        <f>IFERROR(VLOOKUP($B156,INDIRECT("'GRD-"&amp;FH$11&amp;"'!B:R"),15,FALSE),"")</f>
        <v/>
      </c>
      <c r="FI156" s="96">
        <f>IFERROR(VLOOKUP($B156,INDIRECT("'GRD-"&amp;FI$11&amp;"'!B:R"),15,FALSE),"")</f>
        <v/>
      </c>
      <c r="FJ156" s="96">
        <f>IFERROR(VLOOKUP($B156,INDIRECT("'GRD-"&amp;FJ$11&amp;"'!B:R"),15,FALSE),"")</f>
        <v/>
      </c>
      <c r="FK156" s="96">
        <f>IFERROR(VLOOKUP($B156,INDIRECT("'GRD-"&amp;FK$11&amp;"'!B:R"),15,FALSE),"")</f>
        <v/>
      </c>
      <c r="FL156" s="96">
        <f>IFERROR(VLOOKUP($B156,INDIRECT("'GRD-"&amp;FL$11&amp;"'!B:R"),15,FALSE),"")</f>
        <v/>
      </c>
      <c r="FM156" s="96">
        <f>IFERROR(VLOOKUP($B156,INDIRECT("'GRD-"&amp;FM$11&amp;"'!B:R"),15,FALSE),"")</f>
        <v/>
      </c>
      <c r="FN156" s="96">
        <f>IFERROR(VLOOKUP($B156,INDIRECT("'GRD-"&amp;FN$11&amp;"'!B:R"),15,FALSE),"")</f>
        <v/>
      </c>
      <c r="FO156" s="96">
        <f>IFERROR(VLOOKUP($B156,INDIRECT("'GRD-"&amp;FO$11&amp;"'!B:R"),15,FALSE),"")</f>
        <v/>
      </c>
      <c r="FP156" s="96">
        <f>IFERROR(VLOOKUP($B156,INDIRECT("'GRD-"&amp;FP$11&amp;"'!B:R"),15,FALSE),"")</f>
        <v/>
      </c>
      <c r="FQ156" s="96">
        <f>IFERROR(VLOOKUP($B156,INDIRECT("'GRD-"&amp;FQ$11&amp;"'!B:R"),15,FALSE),"")</f>
        <v/>
      </c>
      <c r="FR156" s="96">
        <f>IFERROR(VLOOKUP($B156,INDIRECT("'GRD-"&amp;FR$11&amp;"'!B:R"),15,FALSE),"")</f>
        <v/>
      </c>
      <c r="FS156" s="96">
        <f>IFERROR(VLOOKUP($B156,INDIRECT("'GRD-"&amp;FS$11&amp;"'!B:R"),15,FALSE),"")</f>
        <v/>
      </c>
      <c r="FT156" s="96">
        <f>IFERROR(VLOOKUP($B156,INDIRECT("'GRD-"&amp;FT$11&amp;"'!B:R"),15,FALSE),"")</f>
        <v/>
      </c>
      <c r="FU156" s="96">
        <f>IFERROR(VLOOKUP($B156,INDIRECT("'GRD-"&amp;FU$11&amp;"'!B:R"),15,FALSE),"")</f>
        <v/>
      </c>
      <c r="FV156" s="96">
        <f>IFERROR(VLOOKUP($B156,INDIRECT("'GRD-"&amp;FV$11&amp;"'!B:R"),15,FALSE),"")</f>
        <v/>
      </c>
    </row>
    <row r="157">
      <c r="B157" s="85" t="n"/>
      <c r="C157" s="93" t="n"/>
      <c r="D157" s="73">
        <f>IF(K157="","",MAX($CA157:$FV157))</f>
        <v/>
      </c>
      <c r="E157" s="74">
        <f t="array" ref="E157">IF($K157="","",OFFSET($A$1,ROW($B157)-1,11+$D157*4,))</f>
        <v/>
      </c>
      <c r="F157" s="74">
        <f t="array" ref="F157">IF($K157="","",OFFSET($A$1,ROW($B157)-1,12+$D157*4,))</f>
        <v/>
      </c>
      <c r="G157" s="118">
        <f t="array" ref="G157">IF($K157="","",OFFSET($A$1,ROW($B157)-1,13+$D157*4,))</f>
        <v/>
      </c>
      <c r="H157" s="81" t="n"/>
      <c r="I157" s="82" t="n"/>
      <c r="J157" s="75">
        <f>IF(I157="A4",H157/8,IF(I157="A3",H157/4,IF(I157="A2",H157/2,IF(I157="A1",H157/1,IF(I157="A0",H157*2,"")))))</f>
        <v/>
      </c>
      <c r="K157" s="68">
        <f t="array" ref="K157">IFERROR(OFFSET($BZ$11,ROW($B157)-11,MATCH(K$10,$CA157:$FV157,0),),"")</f>
        <v/>
      </c>
      <c r="L157" s="85">
        <f>IF(K157="","",IF(VLOOKUP($B157,INDIRECT("'GRD-"&amp;M157&amp;"'!$B:$R"),16,FALSE)="","",VLOOKUP($B157,INDIRECT("'GRD-"&amp;M157&amp;"'!$B:$R"),16,FALSE)))</f>
        <v/>
      </c>
      <c r="M157" s="130">
        <f t="array" ref="M157">IF(K157="","",IFERROR(OFFSET($BZ$11,0,MATCH($K157,$CA157:$FV157,0),),""))</f>
        <v/>
      </c>
      <c r="N157" s="119">
        <f t="array" ref="N157">IF(K157="","",INDIRECT("'GRD-"&amp;M157&amp;"'!$L$7"))</f>
        <v/>
      </c>
      <c r="O157" s="76">
        <f t="array" ref="O157">IFERROR(OFFSET($BZ$11,ROW($B157)-11,MATCH(O$10,$CA157:$FV157,0),),"")</f>
        <v/>
      </c>
      <c r="P157" s="76">
        <f>IF(O157="","",IF(VLOOKUP($B157,INDIRECT("'GRD-"&amp;Q157&amp;"'!$B:$R"),16,FALSE)="","",VLOOKUP($B157,INDIRECT("'GRD-"&amp;Q157&amp;"'!$B:$R"),16,FALSE)))</f>
        <v/>
      </c>
      <c r="Q157" s="132">
        <f t="array" ref="Q157">IF(O157="","",IFERROR(OFFSET($BZ$11,0,MATCH($O157,$CA157:$FV157,0),),""))</f>
        <v/>
      </c>
      <c r="R157" s="121">
        <f t="array" ref="R157">IF(O157="","",INDIRECT("'GRD-"&amp;Q157&amp;"'!$L$7"))</f>
        <v/>
      </c>
      <c r="S157" s="83">
        <f t="array" ref="S157">IFERROR(OFFSET($BZ$11,ROW($B157)-11,MATCH(S$10,$CA157:$FV157,0),),"")</f>
        <v/>
      </c>
      <c r="T157" s="83">
        <f>IF(S157="","",IF(VLOOKUP($B157,INDIRECT("'GRD-"&amp;U157&amp;"'!$B:$R"),16,FALSE)="","",VLOOKUP($B157,INDIRECT("'GRD-"&amp;U157&amp;"'!$B:$R"),16,FALSE)))</f>
        <v/>
      </c>
      <c r="U157" s="128">
        <f t="array" ref="U157">IF(S157="","",IFERROR(OFFSET($BZ$11,0,MATCH($S157,$CA157:$FV157,0),),""))</f>
        <v/>
      </c>
      <c r="V157" s="133">
        <f t="array" ref="V157">IF(S157="","",INDIRECT("'GRD-"&amp;U157&amp;"'!$L$7"))</f>
        <v/>
      </c>
      <c r="W157" s="84">
        <f t="array" ref="W157">IFERROR(OFFSET($BZ$11,ROW($B157)-11,MATCH(W$10,$CA157:$FV157,0),),"")</f>
        <v/>
      </c>
      <c r="X157" s="84">
        <f>IF(W157="","",IF(VLOOKUP($B157,INDIRECT("'GRD-"&amp;Y157&amp;"'!$B:$R"),16,FALSE)="","",VLOOKUP($B157,INDIRECT("'GRD-"&amp;Y157&amp;"'!$B:$R"),16,FALSE)))</f>
        <v/>
      </c>
      <c r="Y157" s="129">
        <f t="array" ref="Y157">IF(W157="","",IFERROR(OFFSET($BZ$11,0,MATCH($W157,$CA157:$FV157,0),),""))</f>
        <v/>
      </c>
      <c r="Z157" s="134">
        <f t="array" ref="Z157">IF(W157="","",INDIRECT("'GRD-"&amp;Y157&amp;"'!$L$7"))</f>
        <v/>
      </c>
      <c r="AA157" s="85">
        <f t="array" ref="AA157">IFERROR(OFFSET($BZ$11,ROW($B157)-11,MATCH(AA$10,$CA157:$FV157,0),),"")</f>
        <v/>
      </c>
      <c r="AB157" s="85">
        <f>IF(AA157="","",IF(VLOOKUP($B157,INDIRECT("'GRD-"&amp;AC157&amp;"'!$B:$R"),16,FALSE)="","",VLOOKUP($B157,INDIRECT("'GRD-"&amp;AC157&amp;"'!$B:$R"),16,FALSE)))</f>
        <v/>
      </c>
      <c r="AC157" s="130">
        <f t="array" ref="AC157">IF(AA157="","",IFERROR(OFFSET($BZ$11,0,MATCH($AA157,$CA157:$FV157,0),),""))</f>
        <v/>
      </c>
      <c r="AD157" s="131">
        <f t="array" ref="AD157">IF(AA157="","",INDIRECT("'GRD-"&amp;AC157&amp;"'!$L$7"))</f>
        <v/>
      </c>
      <c r="AE157" s="76">
        <f t="array" ref="AE157">IFERROR(OFFSET($BZ$11,ROW($B157)-11,MATCH(AE$10,$CA157:$FV157,0),),"")</f>
        <v/>
      </c>
      <c r="AF157" s="76">
        <f>IF(AE157="","",IF(VLOOKUP($B157,INDIRECT("'GRD-"&amp;AG157&amp;"'!$B:$R"),16,FALSE)="","",VLOOKUP($B157,INDIRECT("'GRD-"&amp;AG157&amp;"'!$B:$R"),16,FALSE)))</f>
        <v/>
      </c>
      <c r="AG157" s="132">
        <f t="array" ref="AG157">IF(AE157="","",IFERROR(OFFSET($BZ$11,0,MATCH($AE157,$CA157:$FV157,0),),""))</f>
        <v/>
      </c>
      <c r="AH157" s="121">
        <f t="array" ref="AH157">IF(AE157="","",INDIRECT("'GRD-"&amp;AG157&amp;"'!$L$7"))</f>
        <v/>
      </c>
      <c r="AI157" s="83">
        <f t="array" ref="AI157">IFERROR(OFFSET($BZ$11,ROW($B157)-11,MATCH(AI$10,$CA157:$FV157,0),),"")</f>
        <v/>
      </c>
      <c r="AJ157" s="83">
        <f>IF(AI157="","",IF(VLOOKUP($B157,INDIRECT("'GRD-"&amp;AK157&amp;"'!$B:$R"),16,FALSE)="","",VLOOKUP($B157,INDIRECT("'GRD-"&amp;AK157&amp;"'!$B:$R"),16,FALSE)))</f>
        <v/>
      </c>
      <c r="AK157" s="128">
        <f t="array" ref="AK157">IF(AI157="","",IFERROR(OFFSET($BZ$11,0,MATCH($AI157,$CA157:$FV157,0),),""))</f>
        <v/>
      </c>
      <c r="AL157" s="133">
        <f t="array" ref="AL157">IF(AI157="","",INDIRECT("'GRD-"&amp;AK157&amp;"'!$L$7"))</f>
        <v/>
      </c>
      <c r="AM157" s="84">
        <f t="array" ref="AM157">IFERROR(OFFSET($BZ$11,ROW($B157)-11,MATCH(AM$10,$CA157:$FV157,0),),"")</f>
        <v/>
      </c>
      <c r="AN157" s="84">
        <f>IF(AM157="","",IF(VLOOKUP($B157,INDIRECT("'GRD-"&amp;AO157&amp;"'!$B:$R"),16,FALSE)="","",VLOOKUP($B157,INDIRECT("'GRD-"&amp;AO157&amp;"'!$B:$R"),16,FALSE)))</f>
        <v/>
      </c>
      <c r="AO157" s="129">
        <f t="array" ref="AO157">IF(AM157="","",IFERROR(OFFSET($BZ$11,0,MATCH($AM157,$CA157:$FV157,0),),""))</f>
        <v/>
      </c>
      <c r="AP157" s="134">
        <f t="array" ref="AP157">IF(AM157="","",INDIRECT("'GRD-"&amp;AO157&amp;"'!$L$7"))</f>
        <v/>
      </c>
      <c r="AQ157" s="85">
        <f t="array" ref="AQ157">IFERROR(OFFSET($BZ$11,ROW($B157)-11,MATCH(AQ$10,$CA157:$FV157,0),),"")</f>
        <v/>
      </c>
      <c r="AR157" s="85">
        <f>IF(AQ157="","",IF(VLOOKUP($B157,INDIRECT("'GRD-"&amp;AS157&amp;"'!$B:$R"),16,FALSE)="","",VLOOKUP($B157,INDIRECT("'GRD-"&amp;AS157&amp;"'!$B:$R"),16,FALSE)))</f>
        <v/>
      </c>
      <c r="AS157" s="130">
        <f t="array" ref="AS157">IF(AQ157="","",IFERROR(OFFSET($BZ$11,0,MATCH($AQ157,$CA157:$FV157,0),),""))</f>
        <v/>
      </c>
      <c r="AT157" s="131">
        <f t="array" ref="AT157">IF(AQ157="","",INDIRECT("'GRD-"&amp;AS157&amp;"'!$L$7"))</f>
        <v/>
      </c>
      <c r="AU157" s="76">
        <f t="array" ref="AU157">IFERROR(OFFSET($BZ$11,ROW($B157)-11,MATCH(AU$10,$CA157:$FV157,0),),"")</f>
        <v/>
      </c>
      <c r="AV157" s="76">
        <f>IF(AU157="","",IF(VLOOKUP($B157,INDIRECT("'GRD-"&amp;AW157&amp;"'!$B:$R"),16,FALSE)="","",VLOOKUP($B157,INDIRECT("'GRD-"&amp;AW157&amp;"'!$B:$R"),16,FALSE)))</f>
        <v/>
      </c>
      <c r="AW157" s="132">
        <f t="array" ref="AW157">IF(AU157="","",IFERROR(OFFSET($BZ$11,0,MATCH($AU157,$CA157:$FV157,0),),""))</f>
        <v/>
      </c>
      <c r="AX157" s="121">
        <f t="array" ref="AX157">IF(AU157="","",INDIRECT("'GRD-"&amp;AW157&amp;"'!$L$7"))</f>
        <v/>
      </c>
      <c r="AY157" s="83">
        <f t="array" ref="AY157">IFERROR(OFFSET($BZ$11,ROW($B157)-11,MATCH(AY$10,$CA157:$FV157,0),),"")</f>
        <v/>
      </c>
      <c r="AZ157" s="83">
        <f>IF(AY157="","",IF(VLOOKUP($B157,INDIRECT("'GRD-"&amp;BA157&amp;"'!$B:$R"),16,FALSE)="","",VLOOKUP($B157,INDIRECT("'GRD-"&amp;BA157&amp;"'!$B:$R"),16,FALSE)))</f>
        <v/>
      </c>
      <c r="BA157" s="128">
        <f t="array" ref="BA157">IF(AY157="","",IFERROR(OFFSET($BZ$11,0,MATCH($AY157,$CA157:$FV157,0),),""))</f>
        <v/>
      </c>
      <c r="BB157" s="133">
        <f t="array" ref="BB157">IF(AY157="","",INDIRECT("'GRD-"&amp;BA157&amp;"'!$L$7"))</f>
        <v/>
      </c>
      <c r="BC157" s="84">
        <f t="array" ref="BC157">IFERROR(OFFSET($BZ$11,ROW($B157)-11,MATCH(BC$10,$CA157:$FV157,0),),"")</f>
        <v/>
      </c>
      <c r="BD157" s="84">
        <f>IF(BC157="","",IF(VLOOKUP($B157,INDIRECT("'GRD-"&amp;BE157&amp;"'!$B:$R"),16,FALSE)="","",VLOOKUP($B157,INDIRECT("'GRD-"&amp;BE157&amp;"'!$B:$R"),16,FALSE)))</f>
        <v/>
      </c>
      <c r="BE157" s="129">
        <f t="array" ref="BE157">IF(BC157="","",IFERROR(OFFSET($BZ$11,0,MATCH($BC157,$CA157:$FV157,0),),""))</f>
        <v/>
      </c>
      <c r="BF157" s="134">
        <f t="array" ref="BF157">IF(BC157="","",INDIRECT("'GRD-"&amp;BE157&amp;"'!$L$7"))</f>
        <v/>
      </c>
      <c r="CA157" s="96">
        <f>IFERROR(VLOOKUP($B157,INDIRECT("'GRD-"&amp;CA$11&amp;"'!B:R"),15,FALSE),"")</f>
        <v/>
      </c>
      <c r="CB157" s="96">
        <f>IFERROR(VLOOKUP($B157,INDIRECT("'GRD-"&amp;CB$11&amp;"'!B:R"),15,FALSE),"")</f>
        <v/>
      </c>
      <c r="CC157" s="96">
        <f>IFERROR(VLOOKUP($B157,INDIRECT("'GRD-"&amp;CC$11&amp;"'!B:R"),15,FALSE),"")</f>
        <v/>
      </c>
      <c r="CD157" s="96">
        <f>IFERROR(VLOOKUP($B157,INDIRECT("'GRD-"&amp;CD$11&amp;"'!B:R"),15,FALSE),"")</f>
        <v/>
      </c>
      <c r="CE157" s="96">
        <f>IFERROR(VLOOKUP($B157,INDIRECT("'GRD-"&amp;CE$11&amp;"'!B:R"),15,FALSE),"")</f>
        <v/>
      </c>
      <c r="CF157" s="96">
        <f>IFERROR(VLOOKUP($B157,INDIRECT("'GRD-"&amp;CF$11&amp;"'!B:R"),15,FALSE),"")</f>
        <v/>
      </c>
      <c r="CG157" s="96">
        <f>IFERROR(VLOOKUP($B157,INDIRECT("'GRD-"&amp;CG$11&amp;"'!B:R"),15,FALSE),"")</f>
        <v/>
      </c>
      <c r="CH157" s="96">
        <f>IFERROR(VLOOKUP($B157,INDIRECT("'GRD-"&amp;CH$11&amp;"'!B:R"),15,FALSE),"")</f>
        <v/>
      </c>
      <c r="CI157" s="96">
        <f>IFERROR(VLOOKUP($B157,INDIRECT("'GRD-"&amp;CI$11&amp;"'!B:R"),15,FALSE),"")</f>
        <v/>
      </c>
      <c r="CJ157" s="96">
        <f>IFERROR(VLOOKUP($B157,INDIRECT("'GRD-"&amp;CJ$11&amp;"'!B:R"),15,FALSE),"")</f>
        <v/>
      </c>
      <c r="CK157" s="96">
        <f>IFERROR(VLOOKUP($B157,INDIRECT("'GRD-"&amp;CK$11&amp;"'!B:R"),15,FALSE),"")</f>
        <v/>
      </c>
      <c r="CL157" s="96">
        <f>IFERROR(VLOOKUP($B157,INDIRECT("'GRD-"&amp;CL$11&amp;"'!B:R"),15,FALSE),"")</f>
        <v/>
      </c>
      <c r="CM157" s="96">
        <f>IFERROR(VLOOKUP($B157,INDIRECT("'GRD-"&amp;CM$11&amp;"'!B:R"),15,FALSE),"")</f>
        <v/>
      </c>
      <c r="CN157" s="96">
        <f>IFERROR(VLOOKUP($B157,INDIRECT("'GRD-"&amp;CN$11&amp;"'!B:R"),15,FALSE),"")</f>
        <v/>
      </c>
      <c r="CO157" s="96">
        <f>IFERROR(VLOOKUP($B157,INDIRECT("'GRD-"&amp;CO$11&amp;"'!B:R"),15,FALSE),"")</f>
        <v/>
      </c>
      <c r="CP157" s="96">
        <f>IFERROR(VLOOKUP($B157,INDIRECT("'GRD-"&amp;CP$11&amp;"'!B:R"),15,FALSE),"")</f>
        <v/>
      </c>
      <c r="CQ157" s="96">
        <f>IFERROR(VLOOKUP($B157,INDIRECT("'GRD-"&amp;CQ$11&amp;"'!B:R"),15,FALSE),"")</f>
        <v/>
      </c>
      <c r="CR157" s="96">
        <f>IFERROR(VLOOKUP($B157,INDIRECT("'GRD-"&amp;CR$11&amp;"'!B:R"),15,FALSE),"")</f>
        <v/>
      </c>
      <c r="CS157" s="96">
        <f>IFERROR(VLOOKUP($B157,INDIRECT("'GRD-"&amp;CS$11&amp;"'!B:R"),15,FALSE),"")</f>
        <v/>
      </c>
      <c r="CT157" s="96">
        <f>IFERROR(VLOOKUP($B157,INDIRECT("'GRD-"&amp;CT$11&amp;"'!B:R"),15,FALSE),"")</f>
        <v/>
      </c>
      <c r="CU157" s="96">
        <f>IFERROR(VLOOKUP($B157,INDIRECT("'GRD-"&amp;CU$11&amp;"'!B:R"),15,FALSE),"")</f>
        <v/>
      </c>
      <c r="CV157" s="96">
        <f>IFERROR(VLOOKUP($B157,INDIRECT("'GRD-"&amp;CV$11&amp;"'!B:R"),15,FALSE),"")</f>
        <v/>
      </c>
      <c r="CW157" s="96">
        <f>IFERROR(VLOOKUP($B157,INDIRECT("'GRD-"&amp;CW$11&amp;"'!B:R"),15,FALSE),"")</f>
        <v/>
      </c>
      <c r="CX157" s="96">
        <f>IFERROR(VLOOKUP($B157,INDIRECT("'GRD-"&amp;CX$11&amp;"'!B:R"),15,FALSE),"")</f>
        <v/>
      </c>
      <c r="CY157" s="96">
        <f>IFERROR(VLOOKUP($B157,INDIRECT("'GRD-"&amp;CY$11&amp;"'!B:R"),15,FALSE),"")</f>
        <v/>
      </c>
      <c r="CZ157" s="96">
        <f>IFERROR(VLOOKUP($B157,INDIRECT("'GRD-"&amp;CZ$11&amp;"'!B:R"),15,FALSE),"")</f>
        <v/>
      </c>
      <c r="DA157" s="96">
        <f>IFERROR(VLOOKUP($B157,INDIRECT("'GRD-"&amp;DA$11&amp;"'!B:R"),15,FALSE),"")</f>
        <v/>
      </c>
      <c r="DB157" s="96">
        <f>IFERROR(VLOOKUP($B157,INDIRECT("'GRD-"&amp;DB$11&amp;"'!B:R"),15,FALSE),"")</f>
        <v/>
      </c>
      <c r="DC157" s="96">
        <f>IFERROR(VLOOKUP($B157,INDIRECT("'GRD-"&amp;DC$11&amp;"'!B:R"),15,FALSE),"")</f>
        <v/>
      </c>
      <c r="DD157" s="96">
        <f>IFERROR(VLOOKUP($B157,INDIRECT("'GRD-"&amp;DD$11&amp;"'!B:R"),15,FALSE),"")</f>
        <v/>
      </c>
      <c r="DE157" s="96">
        <f>IFERROR(VLOOKUP($B157,INDIRECT("'GRD-"&amp;DE$11&amp;"'!B:R"),15,FALSE),"")</f>
        <v/>
      </c>
      <c r="DF157" s="96">
        <f>IFERROR(VLOOKUP($B157,INDIRECT("'GRD-"&amp;DF$11&amp;"'!B:R"),15,FALSE),"")</f>
        <v/>
      </c>
      <c r="DG157" s="96">
        <f>IFERROR(VLOOKUP($B157,INDIRECT("'GRD-"&amp;DG$11&amp;"'!B:R"),15,FALSE),"")</f>
        <v/>
      </c>
      <c r="DH157" s="96">
        <f>IFERROR(VLOOKUP($B157,INDIRECT("'GRD-"&amp;DH$11&amp;"'!B:R"),15,FALSE),"")</f>
        <v/>
      </c>
      <c r="DI157" s="96">
        <f>IFERROR(VLOOKUP($B157,INDIRECT("'GRD-"&amp;DI$11&amp;"'!B:R"),15,FALSE),"")</f>
        <v/>
      </c>
      <c r="DJ157" s="96">
        <f>IFERROR(VLOOKUP($B157,INDIRECT("'GRD-"&amp;DJ$11&amp;"'!B:R"),15,FALSE),"")</f>
        <v/>
      </c>
      <c r="DK157" s="96">
        <f>IFERROR(VLOOKUP($B157,INDIRECT("'GRD-"&amp;DK$11&amp;"'!B:R"),15,FALSE),"")</f>
        <v/>
      </c>
      <c r="DL157" s="96">
        <f>IFERROR(VLOOKUP($B157,INDIRECT("'GRD-"&amp;DL$11&amp;"'!B:R"),15,FALSE),"")</f>
        <v/>
      </c>
      <c r="DM157" s="96">
        <f>IFERROR(VLOOKUP($B157,INDIRECT("'GRD-"&amp;DM$11&amp;"'!B:R"),15,FALSE),"")</f>
        <v/>
      </c>
      <c r="DN157" s="96">
        <f>IFERROR(VLOOKUP($B157,INDIRECT("'GRD-"&amp;DN$11&amp;"'!B:R"),15,FALSE),"")</f>
        <v/>
      </c>
      <c r="DO157" s="96">
        <f>IFERROR(VLOOKUP($B157,INDIRECT("'GRD-"&amp;DO$11&amp;"'!B:R"),15,FALSE),"")</f>
        <v/>
      </c>
      <c r="DP157" s="96">
        <f>IFERROR(VLOOKUP($B157,INDIRECT("'GRD-"&amp;DP$11&amp;"'!B:R"),15,FALSE),"")</f>
        <v/>
      </c>
      <c r="DQ157" s="96">
        <f>IFERROR(VLOOKUP($B157,INDIRECT("'GRD-"&amp;DQ$11&amp;"'!B:R"),15,FALSE),"")</f>
        <v/>
      </c>
      <c r="DR157" s="96">
        <f>IFERROR(VLOOKUP($B157,INDIRECT("'GRD-"&amp;DR$11&amp;"'!B:R"),15,FALSE),"")</f>
        <v/>
      </c>
      <c r="DS157" s="96">
        <f>IFERROR(VLOOKUP($B157,INDIRECT("'GRD-"&amp;DS$11&amp;"'!B:R"),15,FALSE),"")</f>
        <v/>
      </c>
      <c r="DT157" s="96">
        <f>IFERROR(VLOOKUP($B157,INDIRECT("'GRD-"&amp;DT$11&amp;"'!B:R"),15,FALSE),"")</f>
        <v/>
      </c>
      <c r="DU157" s="96">
        <f>IFERROR(VLOOKUP($B157,INDIRECT("'GRD-"&amp;DU$11&amp;"'!B:R"),15,FALSE),"")</f>
        <v/>
      </c>
      <c r="DV157" s="96">
        <f>IFERROR(VLOOKUP($B157,INDIRECT("'GRD-"&amp;DV$11&amp;"'!B:R"),15,FALSE),"")</f>
        <v/>
      </c>
      <c r="DW157" s="96">
        <f>IFERROR(VLOOKUP($B157,INDIRECT("'GRD-"&amp;DW$11&amp;"'!B:R"),15,FALSE),"")</f>
        <v/>
      </c>
      <c r="DX157" s="96">
        <f>IFERROR(VLOOKUP($B157,INDIRECT("'GRD-"&amp;DX$11&amp;"'!B:R"),15,FALSE),"")</f>
        <v/>
      </c>
      <c r="DY157" s="96">
        <f>IFERROR(VLOOKUP($B157,INDIRECT("'GRD-"&amp;DY$11&amp;"'!B:R"),15,FALSE),"")</f>
        <v/>
      </c>
      <c r="DZ157" s="96">
        <f>IFERROR(VLOOKUP($B157,INDIRECT("'GRD-"&amp;DZ$11&amp;"'!B:R"),15,FALSE),"")</f>
        <v/>
      </c>
      <c r="EA157" s="96">
        <f>IFERROR(VLOOKUP($B157,INDIRECT("'GRD-"&amp;EA$11&amp;"'!B:R"),15,FALSE),"")</f>
        <v/>
      </c>
      <c r="EB157" s="96">
        <f>IFERROR(VLOOKUP($B157,INDIRECT("'GRD-"&amp;EB$11&amp;"'!B:R"),15,FALSE),"")</f>
        <v/>
      </c>
      <c r="EC157" s="96">
        <f>IFERROR(VLOOKUP($B157,INDIRECT("'GRD-"&amp;EC$11&amp;"'!B:R"),15,FALSE),"")</f>
        <v/>
      </c>
      <c r="ED157" s="96">
        <f>IFERROR(VLOOKUP($B157,INDIRECT("'GRD-"&amp;ED$11&amp;"'!B:R"),15,FALSE),"")</f>
        <v/>
      </c>
      <c r="EE157" s="96">
        <f>IFERROR(VLOOKUP($B157,INDIRECT("'GRD-"&amp;EE$11&amp;"'!B:R"),15,FALSE),"")</f>
        <v/>
      </c>
      <c r="EF157" s="96">
        <f>IFERROR(VLOOKUP($B157,INDIRECT("'GRD-"&amp;EF$11&amp;"'!B:R"),15,FALSE),"")</f>
        <v/>
      </c>
      <c r="EG157" s="96">
        <f>IFERROR(VLOOKUP($B157,INDIRECT("'GRD-"&amp;EG$11&amp;"'!B:R"),15,FALSE),"")</f>
        <v/>
      </c>
      <c r="EH157" s="96">
        <f>IFERROR(VLOOKUP($B157,INDIRECT("'GRD-"&amp;EH$11&amp;"'!B:R"),15,FALSE),"")</f>
        <v/>
      </c>
      <c r="EI157" s="96">
        <f>IFERROR(VLOOKUP($B157,INDIRECT("'GRD-"&amp;EI$11&amp;"'!B:R"),15,FALSE),"")</f>
        <v/>
      </c>
      <c r="EJ157" s="96">
        <f>IFERROR(VLOOKUP($B157,INDIRECT("'GRD-"&amp;EJ$11&amp;"'!B:R"),15,FALSE),"")</f>
        <v/>
      </c>
      <c r="EK157" s="96">
        <f>IFERROR(VLOOKUP($B157,INDIRECT("'GRD-"&amp;EK$11&amp;"'!B:R"),15,FALSE),"")</f>
        <v/>
      </c>
      <c r="EL157" s="96">
        <f>IFERROR(VLOOKUP($B157,INDIRECT("'GRD-"&amp;EL$11&amp;"'!B:R"),15,FALSE),"")</f>
        <v/>
      </c>
      <c r="EM157" s="96">
        <f>IFERROR(VLOOKUP($B157,INDIRECT("'GRD-"&amp;EM$11&amp;"'!B:R"),15,FALSE),"")</f>
        <v/>
      </c>
      <c r="EN157" s="96">
        <f>IFERROR(VLOOKUP($B157,INDIRECT("'GRD-"&amp;EN$11&amp;"'!B:R"),15,FALSE),"")</f>
        <v/>
      </c>
      <c r="EO157" s="96">
        <f>IFERROR(VLOOKUP($B157,INDIRECT("'GRD-"&amp;EO$11&amp;"'!B:R"),15,FALSE),"")</f>
        <v/>
      </c>
      <c r="EP157" s="96">
        <f>IFERROR(VLOOKUP($B157,INDIRECT("'GRD-"&amp;EP$11&amp;"'!B:R"),15,FALSE),"")</f>
        <v/>
      </c>
      <c r="EQ157" s="96">
        <f>IFERROR(VLOOKUP($B157,INDIRECT("'GRD-"&amp;EQ$11&amp;"'!B:R"),15,FALSE),"")</f>
        <v/>
      </c>
      <c r="ER157" s="96">
        <f>IFERROR(VLOOKUP($B157,INDIRECT("'GRD-"&amp;ER$11&amp;"'!B:R"),15,FALSE),"")</f>
        <v/>
      </c>
      <c r="ES157" s="96">
        <f>IFERROR(VLOOKUP($B157,INDIRECT("'GRD-"&amp;ES$11&amp;"'!B:R"),15,FALSE),"")</f>
        <v/>
      </c>
      <c r="ET157" s="96">
        <f>IFERROR(VLOOKUP($B157,INDIRECT("'GRD-"&amp;ET$11&amp;"'!B:R"),15,FALSE),"")</f>
        <v/>
      </c>
      <c r="EU157" s="96">
        <f>IFERROR(VLOOKUP($B157,INDIRECT("'GRD-"&amp;EU$11&amp;"'!B:R"),15,FALSE),"")</f>
        <v/>
      </c>
      <c r="EV157" s="96">
        <f>IFERROR(VLOOKUP($B157,INDIRECT("'GRD-"&amp;EV$11&amp;"'!B:R"),15,FALSE),"")</f>
        <v/>
      </c>
      <c r="EW157" s="96">
        <f>IFERROR(VLOOKUP($B157,INDIRECT("'GRD-"&amp;EW$11&amp;"'!B:R"),15,FALSE),"")</f>
        <v/>
      </c>
      <c r="EX157" s="96">
        <f>IFERROR(VLOOKUP($B157,INDIRECT("'GRD-"&amp;EX$11&amp;"'!B:R"),15,FALSE),"")</f>
        <v/>
      </c>
      <c r="EY157" s="96">
        <f>IFERROR(VLOOKUP($B157,INDIRECT("'GRD-"&amp;EY$11&amp;"'!B:R"),15,FALSE),"")</f>
        <v/>
      </c>
      <c r="EZ157" s="96">
        <f>IFERROR(VLOOKUP($B157,INDIRECT("'GRD-"&amp;EZ$11&amp;"'!B:R"),15,FALSE),"")</f>
        <v/>
      </c>
      <c r="FA157" s="96">
        <f>IFERROR(VLOOKUP($B157,INDIRECT("'GRD-"&amp;FA$11&amp;"'!B:R"),15,FALSE),"")</f>
        <v/>
      </c>
      <c r="FB157" s="96">
        <f>IFERROR(VLOOKUP($B157,INDIRECT("'GRD-"&amp;FB$11&amp;"'!B:R"),15,FALSE),"")</f>
        <v/>
      </c>
      <c r="FC157" s="96">
        <f>IFERROR(VLOOKUP($B157,INDIRECT("'GRD-"&amp;FC$11&amp;"'!B:R"),15,FALSE),"")</f>
        <v/>
      </c>
      <c r="FD157" s="96">
        <f>IFERROR(VLOOKUP($B157,INDIRECT("'GRD-"&amp;FD$11&amp;"'!B:R"),15,FALSE),"")</f>
        <v/>
      </c>
      <c r="FE157" s="96">
        <f>IFERROR(VLOOKUP($B157,INDIRECT("'GRD-"&amp;FE$11&amp;"'!B:R"),15,FALSE),"")</f>
        <v/>
      </c>
      <c r="FF157" s="96">
        <f>IFERROR(VLOOKUP($B157,INDIRECT("'GRD-"&amp;FF$11&amp;"'!B:R"),15,FALSE),"")</f>
        <v/>
      </c>
      <c r="FG157" s="96">
        <f>IFERROR(VLOOKUP($B157,INDIRECT("'GRD-"&amp;FG$11&amp;"'!B:R"),15,FALSE),"")</f>
        <v/>
      </c>
      <c r="FH157" s="96">
        <f>IFERROR(VLOOKUP($B157,INDIRECT("'GRD-"&amp;FH$11&amp;"'!B:R"),15,FALSE),"")</f>
        <v/>
      </c>
      <c r="FI157" s="96">
        <f>IFERROR(VLOOKUP($B157,INDIRECT("'GRD-"&amp;FI$11&amp;"'!B:R"),15,FALSE),"")</f>
        <v/>
      </c>
      <c r="FJ157" s="96">
        <f>IFERROR(VLOOKUP($B157,INDIRECT("'GRD-"&amp;FJ$11&amp;"'!B:R"),15,FALSE),"")</f>
        <v/>
      </c>
      <c r="FK157" s="96">
        <f>IFERROR(VLOOKUP($B157,INDIRECT("'GRD-"&amp;FK$11&amp;"'!B:R"),15,FALSE),"")</f>
        <v/>
      </c>
      <c r="FL157" s="96">
        <f>IFERROR(VLOOKUP($B157,INDIRECT("'GRD-"&amp;FL$11&amp;"'!B:R"),15,FALSE),"")</f>
        <v/>
      </c>
      <c r="FM157" s="96">
        <f>IFERROR(VLOOKUP($B157,INDIRECT("'GRD-"&amp;FM$11&amp;"'!B:R"),15,FALSE),"")</f>
        <v/>
      </c>
      <c r="FN157" s="96">
        <f>IFERROR(VLOOKUP($B157,INDIRECT("'GRD-"&amp;FN$11&amp;"'!B:R"),15,FALSE),"")</f>
        <v/>
      </c>
      <c r="FO157" s="96">
        <f>IFERROR(VLOOKUP($B157,INDIRECT("'GRD-"&amp;FO$11&amp;"'!B:R"),15,FALSE),"")</f>
        <v/>
      </c>
      <c r="FP157" s="96">
        <f>IFERROR(VLOOKUP($B157,INDIRECT("'GRD-"&amp;FP$11&amp;"'!B:R"),15,FALSE),"")</f>
        <v/>
      </c>
      <c r="FQ157" s="96">
        <f>IFERROR(VLOOKUP($B157,INDIRECT("'GRD-"&amp;FQ$11&amp;"'!B:R"),15,FALSE),"")</f>
        <v/>
      </c>
      <c r="FR157" s="96">
        <f>IFERROR(VLOOKUP($B157,INDIRECT("'GRD-"&amp;FR$11&amp;"'!B:R"),15,FALSE),"")</f>
        <v/>
      </c>
      <c r="FS157" s="96">
        <f>IFERROR(VLOOKUP($B157,INDIRECT("'GRD-"&amp;FS$11&amp;"'!B:R"),15,FALSE),"")</f>
        <v/>
      </c>
      <c r="FT157" s="96">
        <f>IFERROR(VLOOKUP($B157,INDIRECT("'GRD-"&amp;FT$11&amp;"'!B:R"),15,FALSE),"")</f>
        <v/>
      </c>
      <c r="FU157" s="96">
        <f>IFERROR(VLOOKUP($B157,INDIRECT("'GRD-"&amp;FU$11&amp;"'!B:R"),15,FALSE),"")</f>
        <v/>
      </c>
      <c r="FV157" s="96">
        <f>IFERROR(VLOOKUP($B157,INDIRECT("'GRD-"&amp;FV$11&amp;"'!B:R"),15,FALSE),"")</f>
        <v/>
      </c>
    </row>
    <row r="158">
      <c r="B158" s="85" t="n"/>
      <c r="C158" s="93" t="n"/>
      <c r="D158" s="73">
        <f>IF(K158="","",MAX($CA158:$FV158))</f>
        <v/>
      </c>
      <c r="E158" s="74">
        <f t="array" ref="E158">IF($K158="","",OFFSET($A$1,ROW($B158)-1,11+$D158*4,))</f>
        <v/>
      </c>
      <c r="F158" s="74">
        <f t="array" ref="F158">IF($K158="","",OFFSET($A$1,ROW($B158)-1,12+$D158*4,))</f>
        <v/>
      </c>
      <c r="G158" s="118">
        <f t="array" ref="G158">IF($K158="","",OFFSET($A$1,ROW($B158)-1,13+$D158*4,))</f>
        <v/>
      </c>
      <c r="H158" s="81" t="n"/>
      <c r="I158" s="82" t="n"/>
      <c r="J158" s="75">
        <f>IF(I158="A4",H158/8,IF(I158="A3",H158/4,IF(I158="A2",H158/2,IF(I158="A1",H158/1,IF(I158="A0",H158*2,"")))))</f>
        <v/>
      </c>
      <c r="K158" s="68">
        <f t="array" ref="K158">IFERROR(OFFSET($BZ$11,ROW($B158)-11,MATCH(K$10,$CA158:$FV158,0),),"")</f>
        <v/>
      </c>
      <c r="L158" s="85">
        <f>IF(K158="","",IF(VLOOKUP($B158,INDIRECT("'GRD-"&amp;M158&amp;"'!$B:$R"),16,FALSE)="","",VLOOKUP($B158,INDIRECT("'GRD-"&amp;M158&amp;"'!$B:$R"),16,FALSE)))</f>
        <v/>
      </c>
      <c r="M158" s="130">
        <f t="array" ref="M158">IF(K158="","",IFERROR(OFFSET($BZ$11,0,MATCH($K158,$CA158:$FV158,0),),""))</f>
        <v/>
      </c>
      <c r="N158" s="119">
        <f t="array" ref="N158">IF(K158="","",INDIRECT("'GRD-"&amp;M158&amp;"'!$L$7"))</f>
        <v/>
      </c>
      <c r="O158" s="76">
        <f t="array" ref="O158">IFERROR(OFFSET($BZ$11,ROW($B158)-11,MATCH(O$10,$CA158:$FV158,0),),"")</f>
        <v/>
      </c>
      <c r="P158" s="76">
        <f>IF(O158="","",IF(VLOOKUP($B158,INDIRECT("'GRD-"&amp;Q158&amp;"'!$B:$R"),16,FALSE)="","",VLOOKUP($B158,INDIRECT("'GRD-"&amp;Q158&amp;"'!$B:$R"),16,FALSE)))</f>
        <v/>
      </c>
      <c r="Q158" s="132">
        <f t="array" ref="Q158">IF(O158="","",IFERROR(OFFSET($BZ$11,0,MATCH($O158,$CA158:$FV158,0),),""))</f>
        <v/>
      </c>
      <c r="R158" s="121">
        <f t="array" ref="R158">IF(O158="","",INDIRECT("'GRD-"&amp;Q158&amp;"'!$L$7"))</f>
        <v/>
      </c>
      <c r="S158" s="83">
        <f t="array" ref="S158">IFERROR(OFFSET($BZ$11,ROW($B158)-11,MATCH(S$10,$CA158:$FV158,0),),"")</f>
        <v/>
      </c>
      <c r="T158" s="83">
        <f>IF(S158="","",IF(VLOOKUP($B158,INDIRECT("'GRD-"&amp;U158&amp;"'!$B:$R"),16,FALSE)="","",VLOOKUP($B158,INDIRECT("'GRD-"&amp;U158&amp;"'!$B:$R"),16,FALSE)))</f>
        <v/>
      </c>
      <c r="U158" s="128">
        <f t="array" ref="U158">IF(S158="","",IFERROR(OFFSET($BZ$11,0,MATCH($S158,$CA158:$FV158,0),),""))</f>
        <v/>
      </c>
      <c r="V158" s="133">
        <f t="array" ref="V158">IF(S158="","",INDIRECT("'GRD-"&amp;U158&amp;"'!$L$7"))</f>
        <v/>
      </c>
      <c r="W158" s="84">
        <f t="array" ref="W158">IFERROR(OFFSET($BZ$11,ROW($B158)-11,MATCH(W$10,$CA158:$FV158,0),),"")</f>
        <v/>
      </c>
      <c r="X158" s="84">
        <f>IF(W158="","",IF(VLOOKUP($B158,INDIRECT("'GRD-"&amp;Y158&amp;"'!$B:$R"),16,FALSE)="","",VLOOKUP($B158,INDIRECT("'GRD-"&amp;Y158&amp;"'!$B:$R"),16,FALSE)))</f>
        <v/>
      </c>
      <c r="Y158" s="129">
        <f t="array" ref="Y158">IF(W158="","",IFERROR(OFFSET($BZ$11,0,MATCH($W158,$CA158:$FV158,0),),""))</f>
        <v/>
      </c>
      <c r="Z158" s="134">
        <f t="array" ref="Z158">IF(W158="","",INDIRECT("'GRD-"&amp;Y158&amp;"'!$L$7"))</f>
        <v/>
      </c>
      <c r="AA158" s="85">
        <f t="array" ref="AA158">IFERROR(OFFSET($BZ$11,ROW($B158)-11,MATCH(AA$10,$CA158:$FV158,0),),"")</f>
        <v/>
      </c>
      <c r="AB158" s="85">
        <f>IF(AA158="","",IF(VLOOKUP($B158,INDIRECT("'GRD-"&amp;AC158&amp;"'!$B:$R"),16,FALSE)="","",VLOOKUP($B158,INDIRECT("'GRD-"&amp;AC158&amp;"'!$B:$R"),16,FALSE)))</f>
        <v/>
      </c>
      <c r="AC158" s="130">
        <f t="array" ref="AC158">IF(AA158="","",IFERROR(OFFSET($BZ$11,0,MATCH($AA158,$CA158:$FV158,0),),""))</f>
        <v/>
      </c>
      <c r="AD158" s="131">
        <f t="array" ref="AD158">IF(AA158="","",INDIRECT("'GRD-"&amp;AC158&amp;"'!$L$7"))</f>
        <v/>
      </c>
      <c r="AE158" s="76">
        <f t="array" ref="AE158">IFERROR(OFFSET($BZ$11,ROW($B158)-11,MATCH(AE$10,$CA158:$FV158,0),),"")</f>
        <v/>
      </c>
      <c r="AF158" s="76">
        <f>IF(AE158="","",IF(VLOOKUP($B158,INDIRECT("'GRD-"&amp;AG158&amp;"'!$B:$R"),16,FALSE)="","",VLOOKUP($B158,INDIRECT("'GRD-"&amp;AG158&amp;"'!$B:$R"),16,FALSE)))</f>
        <v/>
      </c>
      <c r="AG158" s="132">
        <f t="array" ref="AG158">IF(AE158="","",IFERROR(OFFSET($BZ$11,0,MATCH($AE158,$CA158:$FV158,0),),""))</f>
        <v/>
      </c>
      <c r="AH158" s="121">
        <f t="array" ref="AH158">IF(AE158="","",INDIRECT("'GRD-"&amp;AG158&amp;"'!$L$7"))</f>
        <v/>
      </c>
      <c r="AI158" s="83">
        <f t="array" ref="AI158">IFERROR(OFFSET($BZ$11,ROW($B158)-11,MATCH(AI$10,$CA158:$FV158,0),),"")</f>
        <v/>
      </c>
      <c r="AJ158" s="83">
        <f>IF(AI158="","",IF(VLOOKUP($B158,INDIRECT("'GRD-"&amp;AK158&amp;"'!$B:$R"),16,FALSE)="","",VLOOKUP($B158,INDIRECT("'GRD-"&amp;AK158&amp;"'!$B:$R"),16,FALSE)))</f>
        <v/>
      </c>
      <c r="AK158" s="128">
        <f t="array" ref="AK158">IF(AI158="","",IFERROR(OFFSET($BZ$11,0,MATCH($AI158,$CA158:$FV158,0),),""))</f>
        <v/>
      </c>
      <c r="AL158" s="133">
        <f t="array" ref="AL158">IF(AI158="","",INDIRECT("'GRD-"&amp;AK158&amp;"'!$L$7"))</f>
        <v/>
      </c>
      <c r="AM158" s="84">
        <f t="array" ref="AM158">IFERROR(OFFSET($BZ$11,ROW($B158)-11,MATCH(AM$10,$CA158:$FV158,0),),"")</f>
        <v/>
      </c>
      <c r="AN158" s="84">
        <f>IF(AM158="","",IF(VLOOKUP($B158,INDIRECT("'GRD-"&amp;AO158&amp;"'!$B:$R"),16,FALSE)="","",VLOOKUP($B158,INDIRECT("'GRD-"&amp;AO158&amp;"'!$B:$R"),16,FALSE)))</f>
        <v/>
      </c>
      <c r="AO158" s="129">
        <f t="array" ref="AO158">IF(AM158="","",IFERROR(OFFSET($BZ$11,0,MATCH($AM158,$CA158:$FV158,0),),""))</f>
        <v/>
      </c>
      <c r="AP158" s="134">
        <f t="array" ref="AP158">IF(AM158="","",INDIRECT("'GRD-"&amp;AO158&amp;"'!$L$7"))</f>
        <v/>
      </c>
      <c r="AQ158" s="85">
        <f t="array" ref="AQ158">IFERROR(OFFSET($BZ$11,ROW($B158)-11,MATCH(AQ$10,$CA158:$FV158,0),),"")</f>
        <v/>
      </c>
      <c r="AR158" s="85">
        <f>IF(AQ158="","",IF(VLOOKUP($B158,INDIRECT("'GRD-"&amp;AS158&amp;"'!$B:$R"),16,FALSE)="","",VLOOKUP($B158,INDIRECT("'GRD-"&amp;AS158&amp;"'!$B:$R"),16,FALSE)))</f>
        <v/>
      </c>
      <c r="AS158" s="130">
        <f t="array" ref="AS158">IF(AQ158="","",IFERROR(OFFSET($BZ$11,0,MATCH($AQ158,$CA158:$FV158,0),),""))</f>
        <v/>
      </c>
      <c r="AT158" s="131">
        <f t="array" ref="AT158">IF(AQ158="","",INDIRECT("'GRD-"&amp;AS158&amp;"'!$L$7"))</f>
        <v/>
      </c>
      <c r="AU158" s="76">
        <f t="array" ref="AU158">IFERROR(OFFSET($BZ$11,ROW($B158)-11,MATCH(AU$10,$CA158:$FV158,0),),"")</f>
        <v/>
      </c>
      <c r="AV158" s="76">
        <f>IF(AU158="","",IF(VLOOKUP($B158,INDIRECT("'GRD-"&amp;AW158&amp;"'!$B:$R"),16,FALSE)="","",VLOOKUP($B158,INDIRECT("'GRD-"&amp;AW158&amp;"'!$B:$R"),16,FALSE)))</f>
        <v/>
      </c>
      <c r="AW158" s="132">
        <f t="array" ref="AW158">IF(AU158="","",IFERROR(OFFSET($BZ$11,0,MATCH($AU158,$CA158:$FV158,0),),""))</f>
        <v/>
      </c>
      <c r="AX158" s="121">
        <f t="array" ref="AX158">IF(AU158="","",INDIRECT("'GRD-"&amp;AW158&amp;"'!$L$7"))</f>
        <v/>
      </c>
      <c r="AY158" s="83">
        <f t="array" ref="AY158">IFERROR(OFFSET($BZ$11,ROW($B158)-11,MATCH(AY$10,$CA158:$FV158,0),),"")</f>
        <v/>
      </c>
      <c r="AZ158" s="83">
        <f>IF(AY158="","",IF(VLOOKUP($B158,INDIRECT("'GRD-"&amp;BA158&amp;"'!$B:$R"),16,FALSE)="","",VLOOKUP($B158,INDIRECT("'GRD-"&amp;BA158&amp;"'!$B:$R"),16,FALSE)))</f>
        <v/>
      </c>
      <c r="BA158" s="128">
        <f t="array" ref="BA158">IF(AY158="","",IFERROR(OFFSET($BZ$11,0,MATCH($AY158,$CA158:$FV158,0),),""))</f>
        <v/>
      </c>
      <c r="BB158" s="133">
        <f t="array" ref="BB158">IF(AY158="","",INDIRECT("'GRD-"&amp;BA158&amp;"'!$L$7"))</f>
        <v/>
      </c>
      <c r="BC158" s="84">
        <f t="array" ref="BC158">IFERROR(OFFSET($BZ$11,ROW($B158)-11,MATCH(BC$10,$CA158:$FV158,0),),"")</f>
        <v/>
      </c>
      <c r="BD158" s="84">
        <f>IF(BC158="","",IF(VLOOKUP($B158,INDIRECT("'GRD-"&amp;BE158&amp;"'!$B:$R"),16,FALSE)="","",VLOOKUP($B158,INDIRECT("'GRD-"&amp;BE158&amp;"'!$B:$R"),16,FALSE)))</f>
        <v/>
      </c>
      <c r="BE158" s="129">
        <f t="array" ref="BE158">IF(BC158="","",IFERROR(OFFSET($BZ$11,0,MATCH($BC158,$CA158:$FV158,0),),""))</f>
        <v/>
      </c>
      <c r="BF158" s="134">
        <f t="array" ref="BF158">IF(BC158="","",INDIRECT("'GRD-"&amp;BE158&amp;"'!$L$7"))</f>
        <v/>
      </c>
      <c r="CA158" s="96">
        <f>IFERROR(VLOOKUP($B158,INDIRECT("'GRD-"&amp;CA$11&amp;"'!B:R"),15,FALSE),"")</f>
        <v/>
      </c>
      <c r="CB158" s="96">
        <f>IFERROR(VLOOKUP($B158,INDIRECT("'GRD-"&amp;CB$11&amp;"'!B:R"),15,FALSE),"")</f>
        <v/>
      </c>
      <c r="CC158" s="96">
        <f>IFERROR(VLOOKUP($B158,INDIRECT("'GRD-"&amp;CC$11&amp;"'!B:R"),15,FALSE),"")</f>
        <v/>
      </c>
      <c r="CD158" s="96">
        <f>IFERROR(VLOOKUP($B158,INDIRECT("'GRD-"&amp;CD$11&amp;"'!B:R"),15,FALSE),"")</f>
        <v/>
      </c>
      <c r="CE158" s="96">
        <f>IFERROR(VLOOKUP($B158,INDIRECT("'GRD-"&amp;CE$11&amp;"'!B:R"),15,FALSE),"")</f>
        <v/>
      </c>
      <c r="CF158" s="96">
        <f>IFERROR(VLOOKUP($B158,INDIRECT("'GRD-"&amp;CF$11&amp;"'!B:R"),15,FALSE),"")</f>
        <v/>
      </c>
      <c r="CG158" s="96">
        <f>IFERROR(VLOOKUP($B158,INDIRECT("'GRD-"&amp;CG$11&amp;"'!B:R"),15,FALSE),"")</f>
        <v/>
      </c>
      <c r="CH158" s="96">
        <f>IFERROR(VLOOKUP($B158,INDIRECT("'GRD-"&amp;CH$11&amp;"'!B:R"),15,FALSE),"")</f>
        <v/>
      </c>
      <c r="CI158" s="96">
        <f>IFERROR(VLOOKUP($B158,INDIRECT("'GRD-"&amp;CI$11&amp;"'!B:R"),15,FALSE),"")</f>
        <v/>
      </c>
      <c r="CJ158" s="96">
        <f>IFERROR(VLOOKUP($B158,INDIRECT("'GRD-"&amp;CJ$11&amp;"'!B:R"),15,FALSE),"")</f>
        <v/>
      </c>
      <c r="CK158" s="96">
        <f>IFERROR(VLOOKUP($B158,INDIRECT("'GRD-"&amp;CK$11&amp;"'!B:R"),15,FALSE),"")</f>
        <v/>
      </c>
      <c r="CL158" s="96">
        <f>IFERROR(VLOOKUP($B158,INDIRECT("'GRD-"&amp;CL$11&amp;"'!B:R"),15,FALSE),"")</f>
        <v/>
      </c>
      <c r="CM158" s="96">
        <f>IFERROR(VLOOKUP($B158,INDIRECT("'GRD-"&amp;CM$11&amp;"'!B:R"),15,FALSE),"")</f>
        <v/>
      </c>
      <c r="CN158" s="96">
        <f>IFERROR(VLOOKUP($B158,INDIRECT("'GRD-"&amp;CN$11&amp;"'!B:R"),15,FALSE),"")</f>
        <v/>
      </c>
      <c r="CO158" s="96">
        <f>IFERROR(VLOOKUP($B158,INDIRECT("'GRD-"&amp;CO$11&amp;"'!B:R"),15,FALSE),"")</f>
        <v/>
      </c>
      <c r="CP158" s="96">
        <f>IFERROR(VLOOKUP($B158,INDIRECT("'GRD-"&amp;CP$11&amp;"'!B:R"),15,FALSE),"")</f>
        <v/>
      </c>
      <c r="CQ158" s="96">
        <f>IFERROR(VLOOKUP($B158,INDIRECT("'GRD-"&amp;CQ$11&amp;"'!B:R"),15,FALSE),"")</f>
        <v/>
      </c>
      <c r="CR158" s="96">
        <f>IFERROR(VLOOKUP($B158,INDIRECT("'GRD-"&amp;CR$11&amp;"'!B:R"),15,FALSE),"")</f>
        <v/>
      </c>
      <c r="CS158" s="96">
        <f>IFERROR(VLOOKUP($B158,INDIRECT("'GRD-"&amp;CS$11&amp;"'!B:R"),15,FALSE),"")</f>
        <v/>
      </c>
      <c r="CT158" s="96">
        <f>IFERROR(VLOOKUP($B158,INDIRECT("'GRD-"&amp;CT$11&amp;"'!B:R"),15,FALSE),"")</f>
        <v/>
      </c>
      <c r="CU158" s="96">
        <f>IFERROR(VLOOKUP($B158,INDIRECT("'GRD-"&amp;CU$11&amp;"'!B:R"),15,FALSE),"")</f>
        <v/>
      </c>
      <c r="CV158" s="96">
        <f>IFERROR(VLOOKUP($B158,INDIRECT("'GRD-"&amp;CV$11&amp;"'!B:R"),15,FALSE),"")</f>
        <v/>
      </c>
      <c r="CW158" s="96">
        <f>IFERROR(VLOOKUP($B158,INDIRECT("'GRD-"&amp;CW$11&amp;"'!B:R"),15,FALSE),"")</f>
        <v/>
      </c>
      <c r="CX158" s="96">
        <f>IFERROR(VLOOKUP($B158,INDIRECT("'GRD-"&amp;CX$11&amp;"'!B:R"),15,FALSE),"")</f>
        <v/>
      </c>
      <c r="CY158" s="96">
        <f>IFERROR(VLOOKUP($B158,INDIRECT("'GRD-"&amp;CY$11&amp;"'!B:R"),15,FALSE),"")</f>
        <v/>
      </c>
      <c r="CZ158" s="96">
        <f>IFERROR(VLOOKUP($B158,INDIRECT("'GRD-"&amp;CZ$11&amp;"'!B:R"),15,FALSE),"")</f>
        <v/>
      </c>
      <c r="DA158" s="96">
        <f>IFERROR(VLOOKUP($B158,INDIRECT("'GRD-"&amp;DA$11&amp;"'!B:R"),15,FALSE),"")</f>
        <v/>
      </c>
      <c r="DB158" s="96">
        <f>IFERROR(VLOOKUP($B158,INDIRECT("'GRD-"&amp;DB$11&amp;"'!B:R"),15,FALSE),"")</f>
        <v/>
      </c>
      <c r="DC158" s="96">
        <f>IFERROR(VLOOKUP($B158,INDIRECT("'GRD-"&amp;DC$11&amp;"'!B:R"),15,FALSE),"")</f>
        <v/>
      </c>
      <c r="DD158" s="96">
        <f>IFERROR(VLOOKUP($B158,INDIRECT("'GRD-"&amp;DD$11&amp;"'!B:R"),15,FALSE),"")</f>
        <v/>
      </c>
      <c r="DE158" s="96">
        <f>IFERROR(VLOOKUP($B158,INDIRECT("'GRD-"&amp;DE$11&amp;"'!B:R"),15,FALSE),"")</f>
        <v/>
      </c>
      <c r="DF158" s="96">
        <f>IFERROR(VLOOKUP($B158,INDIRECT("'GRD-"&amp;DF$11&amp;"'!B:R"),15,FALSE),"")</f>
        <v/>
      </c>
      <c r="DG158" s="96">
        <f>IFERROR(VLOOKUP($B158,INDIRECT("'GRD-"&amp;DG$11&amp;"'!B:R"),15,FALSE),"")</f>
        <v/>
      </c>
      <c r="DH158" s="96">
        <f>IFERROR(VLOOKUP($B158,INDIRECT("'GRD-"&amp;DH$11&amp;"'!B:R"),15,FALSE),"")</f>
        <v/>
      </c>
      <c r="DI158" s="96">
        <f>IFERROR(VLOOKUP($B158,INDIRECT("'GRD-"&amp;DI$11&amp;"'!B:R"),15,FALSE),"")</f>
        <v/>
      </c>
      <c r="DJ158" s="96">
        <f>IFERROR(VLOOKUP($B158,INDIRECT("'GRD-"&amp;DJ$11&amp;"'!B:R"),15,FALSE),"")</f>
        <v/>
      </c>
      <c r="DK158" s="96">
        <f>IFERROR(VLOOKUP($B158,INDIRECT("'GRD-"&amp;DK$11&amp;"'!B:R"),15,FALSE),"")</f>
        <v/>
      </c>
      <c r="DL158" s="96">
        <f>IFERROR(VLOOKUP($B158,INDIRECT("'GRD-"&amp;DL$11&amp;"'!B:R"),15,FALSE),"")</f>
        <v/>
      </c>
      <c r="DM158" s="96">
        <f>IFERROR(VLOOKUP($B158,INDIRECT("'GRD-"&amp;DM$11&amp;"'!B:R"),15,FALSE),"")</f>
        <v/>
      </c>
      <c r="DN158" s="96">
        <f>IFERROR(VLOOKUP($B158,INDIRECT("'GRD-"&amp;DN$11&amp;"'!B:R"),15,FALSE),"")</f>
        <v/>
      </c>
      <c r="DO158" s="96">
        <f>IFERROR(VLOOKUP($B158,INDIRECT("'GRD-"&amp;DO$11&amp;"'!B:R"),15,FALSE),"")</f>
        <v/>
      </c>
      <c r="DP158" s="96">
        <f>IFERROR(VLOOKUP($B158,INDIRECT("'GRD-"&amp;DP$11&amp;"'!B:R"),15,FALSE),"")</f>
        <v/>
      </c>
      <c r="DQ158" s="96">
        <f>IFERROR(VLOOKUP($B158,INDIRECT("'GRD-"&amp;DQ$11&amp;"'!B:R"),15,FALSE),"")</f>
        <v/>
      </c>
      <c r="DR158" s="96">
        <f>IFERROR(VLOOKUP($B158,INDIRECT("'GRD-"&amp;DR$11&amp;"'!B:R"),15,FALSE),"")</f>
        <v/>
      </c>
      <c r="DS158" s="96">
        <f>IFERROR(VLOOKUP($B158,INDIRECT("'GRD-"&amp;DS$11&amp;"'!B:R"),15,FALSE),"")</f>
        <v/>
      </c>
      <c r="DT158" s="96">
        <f>IFERROR(VLOOKUP($B158,INDIRECT("'GRD-"&amp;DT$11&amp;"'!B:R"),15,FALSE),"")</f>
        <v/>
      </c>
      <c r="DU158" s="96">
        <f>IFERROR(VLOOKUP($B158,INDIRECT("'GRD-"&amp;DU$11&amp;"'!B:R"),15,FALSE),"")</f>
        <v/>
      </c>
      <c r="DV158" s="96">
        <f>IFERROR(VLOOKUP($B158,INDIRECT("'GRD-"&amp;DV$11&amp;"'!B:R"),15,FALSE),"")</f>
        <v/>
      </c>
      <c r="DW158" s="96">
        <f>IFERROR(VLOOKUP($B158,INDIRECT("'GRD-"&amp;DW$11&amp;"'!B:R"),15,FALSE),"")</f>
        <v/>
      </c>
      <c r="DX158" s="96">
        <f>IFERROR(VLOOKUP($B158,INDIRECT("'GRD-"&amp;DX$11&amp;"'!B:R"),15,FALSE),"")</f>
        <v/>
      </c>
      <c r="DY158" s="96">
        <f>IFERROR(VLOOKUP($B158,INDIRECT("'GRD-"&amp;DY$11&amp;"'!B:R"),15,FALSE),"")</f>
        <v/>
      </c>
      <c r="DZ158" s="96">
        <f>IFERROR(VLOOKUP($B158,INDIRECT("'GRD-"&amp;DZ$11&amp;"'!B:R"),15,FALSE),"")</f>
        <v/>
      </c>
      <c r="EA158" s="96">
        <f>IFERROR(VLOOKUP($B158,INDIRECT("'GRD-"&amp;EA$11&amp;"'!B:R"),15,FALSE),"")</f>
        <v/>
      </c>
      <c r="EB158" s="96">
        <f>IFERROR(VLOOKUP($B158,INDIRECT("'GRD-"&amp;EB$11&amp;"'!B:R"),15,FALSE),"")</f>
        <v/>
      </c>
      <c r="EC158" s="96">
        <f>IFERROR(VLOOKUP($B158,INDIRECT("'GRD-"&amp;EC$11&amp;"'!B:R"),15,FALSE),"")</f>
        <v/>
      </c>
      <c r="ED158" s="96">
        <f>IFERROR(VLOOKUP($B158,INDIRECT("'GRD-"&amp;ED$11&amp;"'!B:R"),15,FALSE),"")</f>
        <v/>
      </c>
      <c r="EE158" s="96">
        <f>IFERROR(VLOOKUP($B158,INDIRECT("'GRD-"&amp;EE$11&amp;"'!B:R"),15,FALSE),"")</f>
        <v/>
      </c>
      <c r="EF158" s="96">
        <f>IFERROR(VLOOKUP($B158,INDIRECT("'GRD-"&amp;EF$11&amp;"'!B:R"),15,FALSE),"")</f>
        <v/>
      </c>
      <c r="EG158" s="96">
        <f>IFERROR(VLOOKUP($B158,INDIRECT("'GRD-"&amp;EG$11&amp;"'!B:R"),15,FALSE),"")</f>
        <v/>
      </c>
      <c r="EH158" s="96">
        <f>IFERROR(VLOOKUP($B158,INDIRECT("'GRD-"&amp;EH$11&amp;"'!B:R"),15,FALSE),"")</f>
        <v/>
      </c>
      <c r="EI158" s="96">
        <f>IFERROR(VLOOKUP($B158,INDIRECT("'GRD-"&amp;EI$11&amp;"'!B:R"),15,FALSE),"")</f>
        <v/>
      </c>
      <c r="EJ158" s="96">
        <f>IFERROR(VLOOKUP($B158,INDIRECT("'GRD-"&amp;EJ$11&amp;"'!B:R"),15,FALSE),"")</f>
        <v/>
      </c>
      <c r="EK158" s="96">
        <f>IFERROR(VLOOKUP($B158,INDIRECT("'GRD-"&amp;EK$11&amp;"'!B:R"),15,FALSE),"")</f>
        <v/>
      </c>
      <c r="EL158" s="96">
        <f>IFERROR(VLOOKUP($B158,INDIRECT("'GRD-"&amp;EL$11&amp;"'!B:R"),15,FALSE),"")</f>
        <v/>
      </c>
      <c r="EM158" s="96">
        <f>IFERROR(VLOOKUP($B158,INDIRECT("'GRD-"&amp;EM$11&amp;"'!B:R"),15,FALSE),"")</f>
        <v/>
      </c>
      <c r="EN158" s="96">
        <f>IFERROR(VLOOKUP($B158,INDIRECT("'GRD-"&amp;EN$11&amp;"'!B:R"),15,FALSE),"")</f>
        <v/>
      </c>
      <c r="EO158" s="96">
        <f>IFERROR(VLOOKUP($B158,INDIRECT("'GRD-"&amp;EO$11&amp;"'!B:R"),15,FALSE),"")</f>
        <v/>
      </c>
      <c r="EP158" s="96">
        <f>IFERROR(VLOOKUP($B158,INDIRECT("'GRD-"&amp;EP$11&amp;"'!B:R"),15,FALSE),"")</f>
        <v/>
      </c>
      <c r="EQ158" s="96">
        <f>IFERROR(VLOOKUP($B158,INDIRECT("'GRD-"&amp;EQ$11&amp;"'!B:R"),15,FALSE),"")</f>
        <v/>
      </c>
      <c r="ER158" s="96">
        <f>IFERROR(VLOOKUP($B158,INDIRECT("'GRD-"&amp;ER$11&amp;"'!B:R"),15,FALSE),"")</f>
        <v/>
      </c>
      <c r="ES158" s="96">
        <f>IFERROR(VLOOKUP($B158,INDIRECT("'GRD-"&amp;ES$11&amp;"'!B:R"),15,FALSE),"")</f>
        <v/>
      </c>
      <c r="ET158" s="96">
        <f>IFERROR(VLOOKUP($B158,INDIRECT("'GRD-"&amp;ET$11&amp;"'!B:R"),15,FALSE),"")</f>
        <v/>
      </c>
      <c r="EU158" s="96">
        <f>IFERROR(VLOOKUP($B158,INDIRECT("'GRD-"&amp;EU$11&amp;"'!B:R"),15,FALSE),"")</f>
        <v/>
      </c>
      <c r="EV158" s="96">
        <f>IFERROR(VLOOKUP($B158,INDIRECT("'GRD-"&amp;EV$11&amp;"'!B:R"),15,FALSE),"")</f>
        <v/>
      </c>
      <c r="EW158" s="96">
        <f>IFERROR(VLOOKUP($B158,INDIRECT("'GRD-"&amp;EW$11&amp;"'!B:R"),15,FALSE),"")</f>
        <v/>
      </c>
      <c r="EX158" s="96">
        <f>IFERROR(VLOOKUP($B158,INDIRECT("'GRD-"&amp;EX$11&amp;"'!B:R"),15,FALSE),"")</f>
        <v/>
      </c>
      <c r="EY158" s="96">
        <f>IFERROR(VLOOKUP($B158,INDIRECT("'GRD-"&amp;EY$11&amp;"'!B:R"),15,FALSE),"")</f>
        <v/>
      </c>
      <c r="EZ158" s="96">
        <f>IFERROR(VLOOKUP($B158,INDIRECT("'GRD-"&amp;EZ$11&amp;"'!B:R"),15,FALSE),"")</f>
        <v/>
      </c>
      <c r="FA158" s="96">
        <f>IFERROR(VLOOKUP($B158,INDIRECT("'GRD-"&amp;FA$11&amp;"'!B:R"),15,FALSE),"")</f>
        <v/>
      </c>
      <c r="FB158" s="96">
        <f>IFERROR(VLOOKUP($B158,INDIRECT("'GRD-"&amp;FB$11&amp;"'!B:R"),15,FALSE),"")</f>
        <v/>
      </c>
      <c r="FC158" s="96">
        <f>IFERROR(VLOOKUP($B158,INDIRECT("'GRD-"&amp;FC$11&amp;"'!B:R"),15,FALSE),"")</f>
        <v/>
      </c>
      <c r="FD158" s="96">
        <f>IFERROR(VLOOKUP($B158,INDIRECT("'GRD-"&amp;FD$11&amp;"'!B:R"),15,FALSE),"")</f>
        <v/>
      </c>
      <c r="FE158" s="96">
        <f>IFERROR(VLOOKUP($B158,INDIRECT("'GRD-"&amp;FE$11&amp;"'!B:R"),15,FALSE),"")</f>
        <v/>
      </c>
      <c r="FF158" s="96">
        <f>IFERROR(VLOOKUP($B158,INDIRECT("'GRD-"&amp;FF$11&amp;"'!B:R"),15,FALSE),"")</f>
        <v/>
      </c>
      <c r="FG158" s="96">
        <f>IFERROR(VLOOKUP($B158,INDIRECT("'GRD-"&amp;FG$11&amp;"'!B:R"),15,FALSE),"")</f>
        <v/>
      </c>
      <c r="FH158" s="96">
        <f>IFERROR(VLOOKUP($B158,INDIRECT("'GRD-"&amp;FH$11&amp;"'!B:R"),15,FALSE),"")</f>
        <v/>
      </c>
      <c r="FI158" s="96">
        <f>IFERROR(VLOOKUP($B158,INDIRECT("'GRD-"&amp;FI$11&amp;"'!B:R"),15,FALSE),"")</f>
        <v/>
      </c>
      <c r="FJ158" s="96">
        <f>IFERROR(VLOOKUP($B158,INDIRECT("'GRD-"&amp;FJ$11&amp;"'!B:R"),15,FALSE),"")</f>
        <v/>
      </c>
      <c r="FK158" s="96">
        <f>IFERROR(VLOOKUP($B158,INDIRECT("'GRD-"&amp;FK$11&amp;"'!B:R"),15,FALSE),"")</f>
        <v/>
      </c>
      <c r="FL158" s="96">
        <f>IFERROR(VLOOKUP($B158,INDIRECT("'GRD-"&amp;FL$11&amp;"'!B:R"),15,FALSE),"")</f>
        <v/>
      </c>
      <c r="FM158" s="96">
        <f>IFERROR(VLOOKUP($B158,INDIRECT("'GRD-"&amp;FM$11&amp;"'!B:R"),15,FALSE),"")</f>
        <v/>
      </c>
      <c r="FN158" s="96">
        <f>IFERROR(VLOOKUP($B158,INDIRECT("'GRD-"&amp;FN$11&amp;"'!B:R"),15,FALSE),"")</f>
        <v/>
      </c>
      <c r="FO158" s="96">
        <f>IFERROR(VLOOKUP($B158,INDIRECT("'GRD-"&amp;FO$11&amp;"'!B:R"),15,FALSE),"")</f>
        <v/>
      </c>
      <c r="FP158" s="96">
        <f>IFERROR(VLOOKUP($B158,INDIRECT("'GRD-"&amp;FP$11&amp;"'!B:R"),15,FALSE),"")</f>
        <v/>
      </c>
      <c r="FQ158" s="96">
        <f>IFERROR(VLOOKUP($B158,INDIRECT("'GRD-"&amp;FQ$11&amp;"'!B:R"),15,FALSE),"")</f>
        <v/>
      </c>
      <c r="FR158" s="96">
        <f>IFERROR(VLOOKUP($B158,INDIRECT("'GRD-"&amp;FR$11&amp;"'!B:R"),15,FALSE),"")</f>
        <v/>
      </c>
      <c r="FS158" s="96">
        <f>IFERROR(VLOOKUP($B158,INDIRECT("'GRD-"&amp;FS$11&amp;"'!B:R"),15,FALSE),"")</f>
        <v/>
      </c>
      <c r="FT158" s="96">
        <f>IFERROR(VLOOKUP($B158,INDIRECT("'GRD-"&amp;FT$11&amp;"'!B:R"),15,FALSE),"")</f>
        <v/>
      </c>
      <c r="FU158" s="96">
        <f>IFERROR(VLOOKUP($B158,INDIRECT("'GRD-"&amp;FU$11&amp;"'!B:R"),15,FALSE),"")</f>
        <v/>
      </c>
      <c r="FV158" s="96">
        <f>IFERROR(VLOOKUP($B158,INDIRECT("'GRD-"&amp;FV$11&amp;"'!B:R"),15,FALSE),"")</f>
        <v/>
      </c>
    </row>
    <row r="159">
      <c r="B159" s="85" t="n"/>
      <c r="C159" s="93" t="n"/>
      <c r="D159" s="73">
        <f>IF(K159="","",MAX($CA159:$FV159))</f>
        <v/>
      </c>
      <c r="E159" s="74">
        <f t="array" ref="E159">IF($K159="","",OFFSET($A$1,ROW($B159)-1,11+$D159*4,))</f>
        <v/>
      </c>
      <c r="F159" s="74">
        <f t="array" ref="F159">IF($K159="","",OFFSET($A$1,ROW($B159)-1,12+$D159*4,))</f>
        <v/>
      </c>
      <c r="G159" s="118">
        <f t="array" ref="G159">IF($K159="","",OFFSET($A$1,ROW($B159)-1,13+$D159*4,))</f>
        <v/>
      </c>
      <c r="H159" s="81" t="n"/>
      <c r="I159" s="82" t="n"/>
      <c r="J159" s="75">
        <f>IF(I159="A4",H159/8,IF(I159="A3",H159/4,IF(I159="A2",H159/2,IF(I159="A1",H159/1,IF(I159="A0",H159*2,"")))))</f>
        <v/>
      </c>
      <c r="K159" s="68">
        <f t="array" ref="K159">IFERROR(OFFSET($BZ$11,ROW($B159)-11,MATCH(K$10,$CA159:$FV159,0),),"")</f>
        <v/>
      </c>
      <c r="L159" s="85">
        <f>IF(K159="","",IF(VLOOKUP($B159,INDIRECT("'GRD-"&amp;M159&amp;"'!$B:$R"),16,FALSE)="","",VLOOKUP($B159,INDIRECT("'GRD-"&amp;M159&amp;"'!$B:$R"),16,FALSE)))</f>
        <v/>
      </c>
      <c r="M159" s="130">
        <f t="array" ref="M159">IF(K159="","",IFERROR(OFFSET($BZ$11,0,MATCH($K159,$CA159:$FV159,0),),""))</f>
        <v/>
      </c>
      <c r="N159" s="119">
        <f t="array" ref="N159">IF(K159="","",INDIRECT("'GRD-"&amp;M159&amp;"'!$L$7"))</f>
        <v/>
      </c>
      <c r="O159" s="76">
        <f t="array" ref="O159">IFERROR(OFFSET($BZ$11,ROW($B159)-11,MATCH(O$10,$CA159:$FV159,0),),"")</f>
        <v/>
      </c>
      <c r="P159" s="76">
        <f>IF(O159="","",IF(VLOOKUP($B159,INDIRECT("'GRD-"&amp;Q159&amp;"'!$B:$R"),16,FALSE)="","",VLOOKUP($B159,INDIRECT("'GRD-"&amp;Q159&amp;"'!$B:$R"),16,FALSE)))</f>
        <v/>
      </c>
      <c r="Q159" s="132">
        <f t="array" ref="Q159">IF(O159="","",IFERROR(OFFSET($BZ$11,0,MATCH($O159,$CA159:$FV159,0),),""))</f>
        <v/>
      </c>
      <c r="R159" s="121">
        <f t="array" ref="R159">IF(O159="","",INDIRECT("'GRD-"&amp;Q159&amp;"'!$L$7"))</f>
        <v/>
      </c>
      <c r="S159" s="83">
        <f t="array" ref="S159">IFERROR(OFFSET($BZ$11,ROW($B159)-11,MATCH(S$10,$CA159:$FV159,0),),"")</f>
        <v/>
      </c>
      <c r="T159" s="83">
        <f>IF(S159="","",IF(VLOOKUP($B159,INDIRECT("'GRD-"&amp;U159&amp;"'!$B:$R"),16,FALSE)="","",VLOOKUP($B159,INDIRECT("'GRD-"&amp;U159&amp;"'!$B:$R"),16,FALSE)))</f>
        <v/>
      </c>
      <c r="U159" s="128">
        <f t="array" ref="U159">IF(S159="","",IFERROR(OFFSET($BZ$11,0,MATCH($S159,$CA159:$FV159,0),),""))</f>
        <v/>
      </c>
      <c r="V159" s="133">
        <f t="array" ref="V159">IF(S159="","",INDIRECT("'GRD-"&amp;U159&amp;"'!$L$7"))</f>
        <v/>
      </c>
      <c r="W159" s="84">
        <f t="array" ref="W159">IFERROR(OFFSET($BZ$11,ROW($B159)-11,MATCH(W$10,$CA159:$FV159,0),),"")</f>
        <v/>
      </c>
      <c r="X159" s="84">
        <f>IF(W159="","",IF(VLOOKUP($B159,INDIRECT("'GRD-"&amp;Y159&amp;"'!$B:$R"),16,FALSE)="","",VLOOKUP($B159,INDIRECT("'GRD-"&amp;Y159&amp;"'!$B:$R"),16,FALSE)))</f>
        <v/>
      </c>
      <c r="Y159" s="129">
        <f t="array" ref="Y159">IF(W159="","",IFERROR(OFFSET($BZ$11,0,MATCH($W159,$CA159:$FV159,0),),""))</f>
        <v/>
      </c>
      <c r="Z159" s="134">
        <f t="array" ref="Z159">IF(W159="","",INDIRECT("'GRD-"&amp;Y159&amp;"'!$L$7"))</f>
        <v/>
      </c>
      <c r="AA159" s="85">
        <f t="array" ref="AA159">IFERROR(OFFSET($BZ$11,ROW($B159)-11,MATCH(AA$10,$CA159:$FV159,0),),"")</f>
        <v/>
      </c>
      <c r="AB159" s="85">
        <f>IF(AA159="","",IF(VLOOKUP($B159,INDIRECT("'GRD-"&amp;AC159&amp;"'!$B:$R"),16,FALSE)="","",VLOOKUP($B159,INDIRECT("'GRD-"&amp;AC159&amp;"'!$B:$R"),16,FALSE)))</f>
        <v/>
      </c>
      <c r="AC159" s="130">
        <f t="array" ref="AC159">IF(AA159="","",IFERROR(OFFSET($BZ$11,0,MATCH($AA159,$CA159:$FV159,0),),""))</f>
        <v/>
      </c>
      <c r="AD159" s="131">
        <f t="array" ref="AD159">IF(AA159="","",INDIRECT("'GRD-"&amp;AC159&amp;"'!$L$7"))</f>
        <v/>
      </c>
      <c r="AE159" s="76">
        <f t="array" ref="AE159">IFERROR(OFFSET($BZ$11,ROW($B159)-11,MATCH(AE$10,$CA159:$FV159,0),),"")</f>
        <v/>
      </c>
      <c r="AF159" s="76">
        <f>IF(AE159="","",IF(VLOOKUP($B159,INDIRECT("'GRD-"&amp;AG159&amp;"'!$B:$R"),16,FALSE)="","",VLOOKUP($B159,INDIRECT("'GRD-"&amp;AG159&amp;"'!$B:$R"),16,FALSE)))</f>
        <v/>
      </c>
      <c r="AG159" s="132">
        <f t="array" ref="AG159">IF(AE159="","",IFERROR(OFFSET($BZ$11,0,MATCH($AE159,$CA159:$FV159,0),),""))</f>
        <v/>
      </c>
      <c r="AH159" s="121">
        <f t="array" ref="AH159">IF(AE159="","",INDIRECT("'GRD-"&amp;AG159&amp;"'!$L$7"))</f>
        <v/>
      </c>
      <c r="AI159" s="83">
        <f t="array" ref="AI159">IFERROR(OFFSET($BZ$11,ROW($B159)-11,MATCH(AI$10,$CA159:$FV159,0),),"")</f>
        <v/>
      </c>
      <c r="AJ159" s="83">
        <f>IF(AI159="","",IF(VLOOKUP($B159,INDIRECT("'GRD-"&amp;AK159&amp;"'!$B:$R"),16,FALSE)="","",VLOOKUP($B159,INDIRECT("'GRD-"&amp;AK159&amp;"'!$B:$R"),16,FALSE)))</f>
        <v/>
      </c>
      <c r="AK159" s="128">
        <f t="array" ref="AK159">IF(AI159="","",IFERROR(OFFSET($BZ$11,0,MATCH($AI159,$CA159:$FV159,0),),""))</f>
        <v/>
      </c>
      <c r="AL159" s="133">
        <f t="array" ref="AL159">IF(AI159="","",INDIRECT("'GRD-"&amp;AK159&amp;"'!$L$7"))</f>
        <v/>
      </c>
      <c r="AM159" s="84">
        <f t="array" ref="AM159">IFERROR(OFFSET($BZ$11,ROW($B159)-11,MATCH(AM$10,$CA159:$FV159,0),),"")</f>
        <v/>
      </c>
      <c r="AN159" s="84">
        <f>IF(AM159="","",IF(VLOOKUP($B159,INDIRECT("'GRD-"&amp;AO159&amp;"'!$B:$R"),16,FALSE)="","",VLOOKUP($B159,INDIRECT("'GRD-"&amp;AO159&amp;"'!$B:$R"),16,FALSE)))</f>
        <v/>
      </c>
      <c r="AO159" s="129">
        <f t="array" ref="AO159">IF(AM159="","",IFERROR(OFFSET($BZ$11,0,MATCH($AM159,$CA159:$FV159,0),),""))</f>
        <v/>
      </c>
      <c r="AP159" s="134">
        <f t="array" ref="AP159">IF(AM159="","",INDIRECT("'GRD-"&amp;AO159&amp;"'!$L$7"))</f>
        <v/>
      </c>
      <c r="AQ159" s="85">
        <f t="array" ref="AQ159">IFERROR(OFFSET($BZ$11,ROW($B159)-11,MATCH(AQ$10,$CA159:$FV159,0),),"")</f>
        <v/>
      </c>
      <c r="AR159" s="85">
        <f>IF(AQ159="","",IF(VLOOKUP($B159,INDIRECT("'GRD-"&amp;AS159&amp;"'!$B:$R"),16,FALSE)="","",VLOOKUP($B159,INDIRECT("'GRD-"&amp;AS159&amp;"'!$B:$R"),16,FALSE)))</f>
        <v/>
      </c>
      <c r="AS159" s="130">
        <f t="array" ref="AS159">IF(AQ159="","",IFERROR(OFFSET($BZ$11,0,MATCH($AQ159,$CA159:$FV159,0),),""))</f>
        <v/>
      </c>
      <c r="AT159" s="131">
        <f t="array" ref="AT159">IF(AQ159="","",INDIRECT("'GRD-"&amp;AS159&amp;"'!$L$7"))</f>
        <v/>
      </c>
      <c r="AU159" s="76">
        <f t="array" ref="AU159">IFERROR(OFFSET($BZ$11,ROW($B159)-11,MATCH(AU$10,$CA159:$FV159,0),),"")</f>
        <v/>
      </c>
      <c r="AV159" s="76">
        <f>IF(AU159="","",IF(VLOOKUP($B159,INDIRECT("'GRD-"&amp;AW159&amp;"'!$B:$R"),16,FALSE)="","",VLOOKUP($B159,INDIRECT("'GRD-"&amp;AW159&amp;"'!$B:$R"),16,FALSE)))</f>
        <v/>
      </c>
      <c r="AW159" s="132">
        <f t="array" ref="AW159">IF(AU159="","",IFERROR(OFFSET($BZ$11,0,MATCH($AU159,$CA159:$FV159,0),),""))</f>
        <v/>
      </c>
      <c r="AX159" s="121">
        <f t="array" ref="AX159">IF(AU159="","",INDIRECT("'GRD-"&amp;AW159&amp;"'!$L$7"))</f>
        <v/>
      </c>
      <c r="AY159" s="83">
        <f t="array" ref="AY159">IFERROR(OFFSET($BZ$11,ROW($B159)-11,MATCH(AY$10,$CA159:$FV159,0),),"")</f>
        <v/>
      </c>
      <c r="AZ159" s="83">
        <f>IF(AY159="","",IF(VLOOKUP($B159,INDIRECT("'GRD-"&amp;BA159&amp;"'!$B:$R"),16,FALSE)="","",VLOOKUP($B159,INDIRECT("'GRD-"&amp;BA159&amp;"'!$B:$R"),16,FALSE)))</f>
        <v/>
      </c>
      <c r="BA159" s="128">
        <f t="array" ref="BA159">IF(AY159="","",IFERROR(OFFSET($BZ$11,0,MATCH($AY159,$CA159:$FV159,0),),""))</f>
        <v/>
      </c>
      <c r="BB159" s="133">
        <f t="array" ref="BB159">IF(AY159="","",INDIRECT("'GRD-"&amp;BA159&amp;"'!$L$7"))</f>
        <v/>
      </c>
      <c r="BC159" s="84">
        <f t="array" ref="BC159">IFERROR(OFFSET($BZ$11,ROW($B159)-11,MATCH(BC$10,$CA159:$FV159,0),),"")</f>
        <v/>
      </c>
      <c r="BD159" s="84">
        <f>IF(BC159="","",IF(VLOOKUP($B159,INDIRECT("'GRD-"&amp;BE159&amp;"'!$B:$R"),16,FALSE)="","",VLOOKUP($B159,INDIRECT("'GRD-"&amp;BE159&amp;"'!$B:$R"),16,FALSE)))</f>
        <v/>
      </c>
      <c r="BE159" s="129">
        <f t="array" ref="BE159">IF(BC159="","",IFERROR(OFFSET($BZ$11,0,MATCH($BC159,$CA159:$FV159,0),),""))</f>
        <v/>
      </c>
      <c r="BF159" s="134">
        <f t="array" ref="BF159">IF(BC159="","",INDIRECT("'GRD-"&amp;BE159&amp;"'!$L$7"))</f>
        <v/>
      </c>
      <c r="CA159" s="96">
        <f>IFERROR(VLOOKUP($B159,INDIRECT("'GRD-"&amp;CA$11&amp;"'!B:R"),15,FALSE),"")</f>
        <v/>
      </c>
      <c r="CB159" s="96">
        <f>IFERROR(VLOOKUP($B159,INDIRECT("'GRD-"&amp;CB$11&amp;"'!B:R"),15,FALSE),"")</f>
        <v/>
      </c>
      <c r="CC159" s="96">
        <f>IFERROR(VLOOKUP($B159,INDIRECT("'GRD-"&amp;CC$11&amp;"'!B:R"),15,FALSE),"")</f>
        <v/>
      </c>
      <c r="CD159" s="96">
        <f>IFERROR(VLOOKUP($B159,INDIRECT("'GRD-"&amp;CD$11&amp;"'!B:R"),15,FALSE),"")</f>
        <v/>
      </c>
      <c r="CE159" s="96">
        <f>IFERROR(VLOOKUP($B159,INDIRECT("'GRD-"&amp;CE$11&amp;"'!B:R"),15,FALSE),"")</f>
        <v/>
      </c>
      <c r="CF159" s="96">
        <f>IFERROR(VLOOKUP($B159,INDIRECT("'GRD-"&amp;CF$11&amp;"'!B:R"),15,FALSE),"")</f>
        <v/>
      </c>
      <c r="CG159" s="96">
        <f>IFERROR(VLOOKUP($B159,INDIRECT("'GRD-"&amp;CG$11&amp;"'!B:R"),15,FALSE),"")</f>
        <v/>
      </c>
      <c r="CH159" s="96">
        <f>IFERROR(VLOOKUP($B159,INDIRECT("'GRD-"&amp;CH$11&amp;"'!B:R"),15,FALSE),"")</f>
        <v/>
      </c>
      <c r="CI159" s="96">
        <f>IFERROR(VLOOKUP($B159,INDIRECT("'GRD-"&amp;CI$11&amp;"'!B:R"),15,FALSE),"")</f>
        <v/>
      </c>
      <c r="CJ159" s="96">
        <f>IFERROR(VLOOKUP($B159,INDIRECT("'GRD-"&amp;CJ$11&amp;"'!B:R"),15,FALSE),"")</f>
        <v/>
      </c>
      <c r="CK159" s="96">
        <f>IFERROR(VLOOKUP($B159,INDIRECT("'GRD-"&amp;CK$11&amp;"'!B:R"),15,FALSE),"")</f>
        <v/>
      </c>
      <c r="CL159" s="96">
        <f>IFERROR(VLOOKUP($B159,INDIRECT("'GRD-"&amp;CL$11&amp;"'!B:R"),15,FALSE),"")</f>
        <v/>
      </c>
      <c r="CM159" s="96">
        <f>IFERROR(VLOOKUP($B159,INDIRECT("'GRD-"&amp;CM$11&amp;"'!B:R"),15,FALSE),"")</f>
        <v/>
      </c>
      <c r="CN159" s="96">
        <f>IFERROR(VLOOKUP($B159,INDIRECT("'GRD-"&amp;CN$11&amp;"'!B:R"),15,FALSE),"")</f>
        <v/>
      </c>
      <c r="CO159" s="96">
        <f>IFERROR(VLOOKUP($B159,INDIRECT("'GRD-"&amp;CO$11&amp;"'!B:R"),15,FALSE),"")</f>
        <v/>
      </c>
      <c r="CP159" s="96">
        <f>IFERROR(VLOOKUP($B159,INDIRECT("'GRD-"&amp;CP$11&amp;"'!B:R"),15,FALSE),"")</f>
        <v/>
      </c>
      <c r="CQ159" s="96">
        <f>IFERROR(VLOOKUP($B159,INDIRECT("'GRD-"&amp;CQ$11&amp;"'!B:R"),15,FALSE),"")</f>
        <v/>
      </c>
      <c r="CR159" s="96">
        <f>IFERROR(VLOOKUP($B159,INDIRECT("'GRD-"&amp;CR$11&amp;"'!B:R"),15,FALSE),"")</f>
        <v/>
      </c>
      <c r="CS159" s="96">
        <f>IFERROR(VLOOKUP($B159,INDIRECT("'GRD-"&amp;CS$11&amp;"'!B:R"),15,FALSE),"")</f>
        <v/>
      </c>
      <c r="CT159" s="96">
        <f>IFERROR(VLOOKUP($B159,INDIRECT("'GRD-"&amp;CT$11&amp;"'!B:R"),15,FALSE),"")</f>
        <v/>
      </c>
      <c r="CU159" s="96">
        <f>IFERROR(VLOOKUP($B159,INDIRECT("'GRD-"&amp;CU$11&amp;"'!B:R"),15,FALSE),"")</f>
        <v/>
      </c>
      <c r="CV159" s="96">
        <f>IFERROR(VLOOKUP($B159,INDIRECT("'GRD-"&amp;CV$11&amp;"'!B:R"),15,FALSE),"")</f>
        <v/>
      </c>
      <c r="CW159" s="96">
        <f>IFERROR(VLOOKUP($B159,INDIRECT("'GRD-"&amp;CW$11&amp;"'!B:R"),15,FALSE),"")</f>
        <v/>
      </c>
      <c r="CX159" s="96">
        <f>IFERROR(VLOOKUP($B159,INDIRECT("'GRD-"&amp;CX$11&amp;"'!B:R"),15,FALSE),"")</f>
        <v/>
      </c>
      <c r="CY159" s="96">
        <f>IFERROR(VLOOKUP($B159,INDIRECT("'GRD-"&amp;CY$11&amp;"'!B:R"),15,FALSE),"")</f>
        <v/>
      </c>
      <c r="CZ159" s="96">
        <f>IFERROR(VLOOKUP($B159,INDIRECT("'GRD-"&amp;CZ$11&amp;"'!B:R"),15,FALSE),"")</f>
        <v/>
      </c>
      <c r="DA159" s="96">
        <f>IFERROR(VLOOKUP($B159,INDIRECT("'GRD-"&amp;DA$11&amp;"'!B:R"),15,FALSE),"")</f>
        <v/>
      </c>
      <c r="DB159" s="96">
        <f>IFERROR(VLOOKUP($B159,INDIRECT("'GRD-"&amp;DB$11&amp;"'!B:R"),15,FALSE),"")</f>
        <v/>
      </c>
      <c r="DC159" s="96">
        <f>IFERROR(VLOOKUP($B159,INDIRECT("'GRD-"&amp;DC$11&amp;"'!B:R"),15,FALSE),"")</f>
        <v/>
      </c>
      <c r="DD159" s="96">
        <f>IFERROR(VLOOKUP($B159,INDIRECT("'GRD-"&amp;DD$11&amp;"'!B:R"),15,FALSE),"")</f>
        <v/>
      </c>
      <c r="DE159" s="96">
        <f>IFERROR(VLOOKUP($B159,INDIRECT("'GRD-"&amp;DE$11&amp;"'!B:R"),15,FALSE),"")</f>
        <v/>
      </c>
      <c r="DF159" s="96">
        <f>IFERROR(VLOOKUP($B159,INDIRECT("'GRD-"&amp;DF$11&amp;"'!B:R"),15,FALSE),"")</f>
        <v/>
      </c>
      <c r="DG159" s="96">
        <f>IFERROR(VLOOKUP($B159,INDIRECT("'GRD-"&amp;DG$11&amp;"'!B:R"),15,FALSE),"")</f>
        <v/>
      </c>
      <c r="DH159" s="96">
        <f>IFERROR(VLOOKUP($B159,INDIRECT("'GRD-"&amp;DH$11&amp;"'!B:R"),15,FALSE),"")</f>
        <v/>
      </c>
      <c r="DI159" s="96">
        <f>IFERROR(VLOOKUP($B159,INDIRECT("'GRD-"&amp;DI$11&amp;"'!B:R"),15,FALSE),"")</f>
        <v/>
      </c>
      <c r="DJ159" s="96">
        <f>IFERROR(VLOOKUP($B159,INDIRECT("'GRD-"&amp;DJ$11&amp;"'!B:R"),15,FALSE),"")</f>
        <v/>
      </c>
      <c r="DK159" s="96">
        <f>IFERROR(VLOOKUP($B159,INDIRECT("'GRD-"&amp;DK$11&amp;"'!B:R"),15,FALSE),"")</f>
        <v/>
      </c>
      <c r="DL159" s="96">
        <f>IFERROR(VLOOKUP($B159,INDIRECT("'GRD-"&amp;DL$11&amp;"'!B:R"),15,FALSE),"")</f>
        <v/>
      </c>
      <c r="DM159" s="96">
        <f>IFERROR(VLOOKUP($B159,INDIRECT("'GRD-"&amp;DM$11&amp;"'!B:R"),15,FALSE),"")</f>
        <v/>
      </c>
      <c r="DN159" s="96">
        <f>IFERROR(VLOOKUP($B159,INDIRECT("'GRD-"&amp;DN$11&amp;"'!B:R"),15,FALSE),"")</f>
        <v/>
      </c>
      <c r="DO159" s="96">
        <f>IFERROR(VLOOKUP($B159,INDIRECT("'GRD-"&amp;DO$11&amp;"'!B:R"),15,FALSE),"")</f>
        <v/>
      </c>
      <c r="DP159" s="96">
        <f>IFERROR(VLOOKUP($B159,INDIRECT("'GRD-"&amp;DP$11&amp;"'!B:R"),15,FALSE),"")</f>
        <v/>
      </c>
      <c r="DQ159" s="96">
        <f>IFERROR(VLOOKUP($B159,INDIRECT("'GRD-"&amp;DQ$11&amp;"'!B:R"),15,FALSE),"")</f>
        <v/>
      </c>
      <c r="DR159" s="96">
        <f>IFERROR(VLOOKUP($B159,INDIRECT("'GRD-"&amp;DR$11&amp;"'!B:R"),15,FALSE),"")</f>
        <v/>
      </c>
      <c r="DS159" s="96">
        <f>IFERROR(VLOOKUP($B159,INDIRECT("'GRD-"&amp;DS$11&amp;"'!B:R"),15,FALSE),"")</f>
        <v/>
      </c>
      <c r="DT159" s="96">
        <f>IFERROR(VLOOKUP($B159,INDIRECT("'GRD-"&amp;DT$11&amp;"'!B:R"),15,FALSE),"")</f>
        <v/>
      </c>
      <c r="DU159" s="96">
        <f>IFERROR(VLOOKUP($B159,INDIRECT("'GRD-"&amp;DU$11&amp;"'!B:R"),15,FALSE),"")</f>
        <v/>
      </c>
      <c r="DV159" s="96">
        <f>IFERROR(VLOOKUP($B159,INDIRECT("'GRD-"&amp;DV$11&amp;"'!B:R"),15,FALSE),"")</f>
        <v/>
      </c>
      <c r="DW159" s="96">
        <f>IFERROR(VLOOKUP($B159,INDIRECT("'GRD-"&amp;DW$11&amp;"'!B:R"),15,FALSE),"")</f>
        <v/>
      </c>
      <c r="DX159" s="96">
        <f>IFERROR(VLOOKUP($B159,INDIRECT("'GRD-"&amp;DX$11&amp;"'!B:R"),15,FALSE),"")</f>
        <v/>
      </c>
      <c r="DY159" s="96">
        <f>IFERROR(VLOOKUP($B159,INDIRECT("'GRD-"&amp;DY$11&amp;"'!B:R"),15,FALSE),"")</f>
        <v/>
      </c>
      <c r="DZ159" s="96">
        <f>IFERROR(VLOOKUP($B159,INDIRECT("'GRD-"&amp;DZ$11&amp;"'!B:R"),15,FALSE),"")</f>
        <v/>
      </c>
      <c r="EA159" s="96">
        <f>IFERROR(VLOOKUP($B159,INDIRECT("'GRD-"&amp;EA$11&amp;"'!B:R"),15,FALSE),"")</f>
        <v/>
      </c>
      <c r="EB159" s="96">
        <f>IFERROR(VLOOKUP($B159,INDIRECT("'GRD-"&amp;EB$11&amp;"'!B:R"),15,FALSE),"")</f>
        <v/>
      </c>
      <c r="EC159" s="96">
        <f>IFERROR(VLOOKUP($B159,INDIRECT("'GRD-"&amp;EC$11&amp;"'!B:R"),15,FALSE),"")</f>
        <v/>
      </c>
      <c r="ED159" s="96">
        <f>IFERROR(VLOOKUP($B159,INDIRECT("'GRD-"&amp;ED$11&amp;"'!B:R"),15,FALSE),"")</f>
        <v/>
      </c>
      <c r="EE159" s="96">
        <f>IFERROR(VLOOKUP($B159,INDIRECT("'GRD-"&amp;EE$11&amp;"'!B:R"),15,FALSE),"")</f>
        <v/>
      </c>
      <c r="EF159" s="96">
        <f>IFERROR(VLOOKUP($B159,INDIRECT("'GRD-"&amp;EF$11&amp;"'!B:R"),15,FALSE),"")</f>
        <v/>
      </c>
      <c r="EG159" s="96">
        <f>IFERROR(VLOOKUP($B159,INDIRECT("'GRD-"&amp;EG$11&amp;"'!B:R"),15,FALSE),"")</f>
        <v/>
      </c>
      <c r="EH159" s="96">
        <f>IFERROR(VLOOKUP($B159,INDIRECT("'GRD-"&amp;EH$11&amp;"'!B:R"),15,FALSE),"")</f>
        <v/>
      </c>
      <c r="EI159" s="96">
        <f>IFERROR(VLOOKUP($B159,INDIRECT("'GRD-"&amp;EI$11&amp;"'!B:R"),15,FALSE),"")</f>
        <v/>
      </c>
      <c r="EJ159" s="96">
        <f>IFERROR(VLOOKUP($B159,INDIRECT("'GRD-"&amp;EJ$11&amp;"'!B:R"),15,FALSE),"")</f>
        <v/>
      </c>
      <c r="EK159" s="96">
        <f>IFERROR(VLOOKUP($B159,INDIRECT("'GRD-"&amp;EK$11&amp;"'!B:R"),15,FALSE),"")</f>
        <v/>
      </c>
      <c r="EL159" s="96">
        <f>IFERROR(VLOOKUP($B159,INDIRECT("'GRD-"&amp;EL$11&amp;"'!B:R"),15,FALSE),"")</f>
        <v/>
      </c>
      <c r="EM159" s="96">
        <f>IFERROR(VLOOKUP($B159,INDIRECT("'GRD-"&amp;EM$11&amp;"'!B:R"),15,FALSE),"")</f>
        <v/>
      </c>
      <c r="EN159" s="96">
        <f>IFERROR(VLOOKUP($B159,INDIRECT("'GRD-"&amp;EN$11&amp;"'!B:R"),15,FALSE),"")</f>
        <v/>
      </c>
      <c r="EO159" s="96">
        <f>IFERROR(VLOOKUP($B159,INDIRECT("'GRD-"&amp;EO$11&amp;"'!B:R"),15,FALSE),"")</f>
        <v/>
      </c>
      <c r="EP159" s="96">
        <f>IFERROR(VLOOKUP($B159,INDIRECT("'GRD-"&amp;EP$11&amp;"'!B:R"),15,FALSE),"")</f>
        <v/>
      </c>
      <c r="EQ159" s="96">
        <f>IFERROR(VLOOKUP($B159,INDIRECT("'GRD-"&amp;EQ$11&amp;"'!B:R"),15,FALSE),"")</f>
        <v/>
      </c>
      <c r="ER159" s="96">
        <f>IFERROR(VLOOKUP($B159,INDIRECT("'GRD-"&amp;ER$11&amp;"'!B:R"),15,FALSE),"")</f>
        <v/>
      </c>
      <c r="ES159" s="96">
        <f>IFERROR(VLOOKUP($B159,INDIRECT("'GRD-"&amp;ES$11&amp;"'!B:R"),15,FALSE),"")</f>
        <v/>
      </c>
      <c r="ET159" s="96">
        <f>IFERROR(VLOOKUP($B159,INDIRECT("'GRD-"&amp;ET$11&amp;"'!B:R"),15,FALSE),"")</f>
        <v/>
      </c>
      <c r="EU159" s="96">
        <f>IFERROR(VLOOKUP($B159,INDIRECT("'GRD-"&amp;EU$11&amp;"'!B:R"),15,FALSE),"")</f>
        <v/>
      </c>
      <c r="EV159" s="96">
        <f>IFERROR(VLOOKUP($B159,INDIRECT("'GRD-"&amp;EV$11&amp;"'!B:R"),15,FALSE),"")</f>
        <v/>
      </c>
      <c r="EW159" s="96">
        <f>IFERROR(VLOOKUP($B159,INDIRECT("'GRD-"&amp;EW$11&amp;"'!B:R"),15,FALSE),"")</f>
        <v/>
      </c>
      <c r="EX159" s="96">
        <f>IFERROR(VLOOKUP($B159,INDIRECT("'GRD-"&amp;EX$11&amp;"'!B:R"),15,FALSE),"")</f>
        <v/>
      </c>
      <c r="EY159" s="96">
        <f>IFERROR(VLOOKUP($B159,INDIRECT("'GRD-"&amp;EY$11&amp;"'!B:R"),15,FALSE),"")</f>
        <v/>
      </c>
      <c r="EZ159" s="96">
        <f>IFERROR(VLOOKUP($B159,INDIRECT("'GRD-"&amp;EZ$11&amp;"'!B:R"),15,FALSE),"")</f>
        <v/>
      </c>
      <c r="FA159" s="96">
        <f>IFERROR(VLOOKUP($B159,INDIRECT("'GRD-"&amp;FA$11&amp;"'!B:R"),15,FALSE),"")</f>
        <v/>
      </c>
      <c r="FB159" s="96">
        <f>IFERROR(VLOOKUP($B159,INDIRECT("'GRD-"&amp;FB$11&amp;"'!B:R"),15,FALSE),"")</f>
        <v/>
      </c>
      <c r="FC159" s="96">
        <f>IFERROR(VLOOKUP($B159,INDIRECT("'GRD-"&amp;FC$11&amp;"'!B:R"),15,FALSE),"")</f>
        <v/>
      </c>
      <c r="FD159" s="96">
        <f>IFERROR(VLOOKUP($B159,INDIRECT("'GRD-"&amp;FD$11&amp;"'!B:R"),15,FALSE),"")</f>
        <v/>
      </c>
      <c r="FE159" s="96">
        <f>IFERROR(VLOOKUP($B159,INDIRECT("'GRD-"&amp;FE$11&amp;"'!B:R"),15,FALSE),"")</f>
        <v/>
      </c>
      <c r="FF159" s="96">
        <f>IFERROR(VLOOKUP($B159,INDIRECT("'GRD-"&amp;FF$11&amp;"'!B:R"),15,FALSE),"")</f>
        <v/>
      </c>
      <c r="FG159" s="96">
        <f>IFERROR(VLOOKUP($B159,INDIRECT("'GRD-"&amp;FG$11&amp;"'!B:R"),15,FALSE),"")</f>
        <v/>
      </c>
      <c r="FH159" s="96">
        <f>IFERROR(VLOOKUP($B159,INDIRECT("'GRD-"&amp;FH$11&amp;"'!B:R"),15,FALSE),"")</f>
        <v/>
      </c>
      <c r="FI159" s="96">
        <f>IFERROR(VLOOKUP($B159,INDIRECT("'GRD-"&amp;FI$11&amp;"'!B:R"),15,FALSE),"")</f>
        <v/>
      </c>
      <c r="FJ159" s="96">
        <f>IFERROR(VLOOKUP($B159,INDIRECT("'GRD-"&amp;FJ$11&amp;"'!B:R"),15,FALSE),"")</f>
        <v/>
      </c>
      <c r="FK159" s="96">
        <f>IFERROR(VLOOKUP($B159,INDIRECT("'GRD-"&amp;FK$11&amp;"'!B:R"),15,FALSE),"")</f>
        <v/>
      </c>
      <c r="FL159" s="96">
        <f>IFERROR(VLOOKUP($B159,INDIRECT("'GRD-"&amp;FL$11&amp;"'!B:R"),15,FALSE),"")</f>
        <v/>
      </c>
      <c r="FM159" s="96">
        <f>IFERROR(VLOOKUP($B159,INDIRECT("'GRD-"&amp;FM$11&amp;"'!B:R"),15,FALSE),"")</f>
        <v/>
      </c>
      <c r="FN159" s="96">
        <f>IFERROR(VLOOKUP($B159,INDIRECT("'GRD-"&amp;FN$11&amp;"'!B:R"),15,FALSE),"")</f>
        <v/>
      </c>
      <c r="FO159" s="96">
        <f>IFERROR(VLOOKUP($B159,INDIRECT("'GRD-"&amp;FO$11&amp;"'!B:R"),15,FALSE),"")</f>
        <v/>
      </c>
      <c r="FP159" s="96">
        <f>IFERROR(VLOOKUP($B159,INDIRECT("'GRD-"&amp;FP$11&amp;"'!B:R"),15,FALSE),"")</f>
        <v/>
      </c>
      <c r="FQ159" s="96">
        <f>IFERROR(VLOOKUP($B159,INDIRECT("'GRD-"&amp;FQ$11&amp;"'!B:R"),15,FALSE),"")</f>
        <v/>
      </c>
      <c r="FR159" s="96">
        <f>IFERROR(VLOOKUP($B159,INDIRECT("'GRD-"&amp;FR$11&amp;"'!B:R"),15,FALSE),"")</f>
        <v/>
      </c>
      <c r="FS159" s="96">
        <f>IFERROR(VLOOKUP($B159,INDIRECT("'GRD-"&amp;FS$11&amp;"'!B:R"),15,FALSE),"")</f>
        <v/>
      </c>
      <c r="FT159" s="96">
        <f>IFERROR(VLOOKUP($B159,INDIRECT("'GRD-"&amp;FT$11&amp;"'!B:R"),15,FALSE),"")</f>
        <v/>
      </c>
      <c r="FU159" s="96">
        <f>IFERROR(VLOOKUP($B159,INDIRECT("'GRD-"&amp;FU$11&amp;"'!B:R"),15,FALSE),"")</f>
        <v/>
      </c>
      <c r="FV159" s="96">
        <f>IFERROR(VLOOKUP($B159,INDIRECT("'GRD-"&amp;FV$11&amp;"'!B:R"),15,FALSE),"")</f>
        <v/>
      </c>
    </row>
    <row r="160">
      <c r="B160" s="85" t="n"/>
      <c r="C160" s="93" t="n"/>
      <c r="D160" s="73">
        <f>IF(K160="","",MAX($CA160:$FV160))</f>
        <v/>
      </c>
      <c r="E160" s="74">
        <f t="array" ref="E160">IF($K160="","",OFFSET($A$1,ROW($B160)-1,11+$D160*4,))</f>
        <v/>
      </c>
      <c r="F160" s="74">
        <f t="array" ref="F160">IF($K160="","",OFFSET($A$1,ROW($B160)-1,12+$D160*4,))</f>
        <v/>
      </c>
      <c r="G160" s="118">
        <f t="array" ref="G160">IF($K160="","",OFFSET($A$1,ROW($B160)-1,13+$D160*4,))</f>
        <v/>
      </c>
      <c r="H160" s="81" t="n"/>
      <c r="I160" s="82" t="n"/>
      <c r="J160" s="75">
        <f>IF(I160="A4",H160/8,IF(I160="A3",H160/4,IF(I160="A2",H160/2,IF(I160="A1",H160/1,IF(I160="A0",H160*2,"")))))</f>
        <v/>
      </c>
      <c r="K160" s="68">
        <f t="array" ref="K160">IFERROR(OFFSET($BZ$11,ROW($B160)-11,MATCH(K$10,$CA160:$FV160,0),),"")</f>
        <v/>
      </c>
      <c r="L160" s="85">
        <f>IF(K160="","",IF(VLOOKUP($B160,INDIRECT("'GRD-"&amp;M160&amp;"'!$B:$R"),16,FALSE)="","",VLOOKUP($B160,INDIRECT("'GRD-"&amp;M160&amp;"'!$B:$R"),16,FALSE)))</f>
        <v/>
      </c>
      <c r="M160" s="130">
        <f t="array" ref="M160">IF(K160="","",IFERROR(OFFSET($BZ$11,0,MATCH($K160,$CA160:$FV160,0),),""))</f>
        <v/>
      </c>
      <c r="N160" s="119">
        <f t="array" ref="N160">IF(K160="","",INDIRECT("'GRD-"&amp;M160&amp;"'!$L$7"))</f>
        <v/>
      </c>
      <c r="O160" s="76">
        <f t="array" ref="O160">IFERROR(OFFSET($BZ$11,ROW($B160)-11,MATCH(O$10,$CA160:$FV160,0),),"")</f>
        <v/>
      </c>
      <c r="P160" s="76">
        <f>IF(O160="","",IF(VLOOKUP($B160,INDIRECT("'GRD-"&amp;Q160&amp;"'!$B:$R"),16,FALSE)="","",VLOOKUP($B160,INDIRECT("'GRD-"&amp;Q160&amp;"'!$B:$R"),16,FALSE)))</f>
        <v/>
      </c>
      <c r="Q160" s="132">
        <f t="array" ref="Q160">IF(O160="","",IFERROR(OFFSET($BZ$11,0,MATCH($O160,$CA160:$FV160,0),),""))</f>
        <v/>
      </c>
      <c r="R160" s="121">
        <f t="array" ref="R160">IF(O160="","",INDIRECT("'GRD-"&amp;Q160&amp;"'!$L$7"))</f>
        <v/>
      </c>
      <c r="S160" s="83">
        <f t="array" ref="S160">IFERROR(OFFSET($BZ$11,ROW($B160)-11,MATCH(S$10,$CA160:$FV160,0),),"")</f>
        <v/>
      </c>
      <c r="T160" s="83">
        <f>IF(S160="","",IF(VLOOKUP($B160,INDIRECT("'GRD-"&amp;U160&amp;"'!$B:$R"),16,FALSE)="","",VLOOKUP($B160,INDIRECT("'GRD-"&amp;U160&amp;"'!$B:$R"),16,FALSE)))</f>
        <v/>
      </c>
      <c r="U160" s="128">
        <f t="array" ref="U160">IF(S160="","",IFERROR(OFFSET($BZ$11,0,MATCH($S160,$CA160:$FV160,0),),""))</f>
        <v/>
      </c>
      <c r="V160" s="133">
        <f t="array" ref="V160">IF(S160="","",INDIRECT("'GRD-"&amp;U160&amp;"'!$L$7"))</f>
        <v/>
      </c>
      <c r="W160" s="84">
        <f t="array" ref="W160">IFERROR(OFFSET($BZ$11,ROW($B160)-11,MATCH(W$10,$CA160:$FV160,0),),"")</f>
        <v/>
      </c>
      <c r="X160" s="84">
        <f>IF(W160="","",IF(VLOOKUP($B160,INDIRECT("'GRD-"&amp;Y160&amp;"'!$B:$R"),16,FALSE)="","",VLOOKUP($B160,INDIRECT("'GRD-"&amp;Y160&amp;"'!$B:$R"),16,FALSE)))</f>
        <v/>
      </c>
      <c r="Y160" s="129">
        <f t="array" ref="Y160">IF(W160="","",IFERROR(OFFSET($BZ$11,0,MATCH($W160,$CA160:$FV160,0),),""))</f>
        <v/>
      </c>
      <c r="Z160" s="134">
        <f t="array" ref="Z160">IF(W160="","",INDIRECT("'GRD-"&amp;Y160&amp;"'!$L$7"))</f>
        <v/>
      </c>
      <c r="AA160" s="85">
        <f t="array" ref="AA160">IFERROR(OFFSET($BZ$11,ROW($B160)-11,MATCH(AA$10,$CA160:$FV160,0),),"")</f>
        <v/>
      </c>
      <c r="AB160" s="85">
        <f>IF(AA160="","",IF(VLOOKUP($B160,INDIRECT("'GRD-"&amp;AC160&amp;"'!$B:$R"),16,FALSE)="","",VLOOKUP($B160,INDIRECT("'GRD-"&amp;AC160&amp;"'!$B:$R"),16,FALSE)))</f>
        <v/>
      </c>
      <c r="AC160" s="130">
        <f t="array" ref="AC160">IF(AA160="","",IFERROR(OFFSET($BZ$11,0,MATCH($AA160,$CA160:$FV160,0),),""))</f>
        <v/>
      </c>
      <c r="AD160" s="131">
        <f t="array" ref="AD160">IF(AA160="","",INDIRECT("'GRD-"&amp;AC160&amp;"'!$L$7"))</f>
        <v/>
      </c>
      <c r="AE160" s="76">
        <f t="array" ref="AE160">IFERROR(OFFSET($BZ$11,ROW($B160)-11,MATCH(AE$10,$CA160:$FV160,0),),"")</f>
        <v/>
      </c>
      <c r="AF160" s="76">
        <f>IF(AE160="","",IF(VLOOKUP($B160,INDIRECT("'GRD-"&amp;AG160&amp;"'!$B:$R"),16,FALSE)="","",VLOOKUP($B160,INDIRECT("'GRD-"&amp;AG160&amp;"'!$B:$R"),16,FALSE)))</f>
        <v/>
      </c>
      <c r="AG160" s="132">
        <f t="array" ref="AG160">IF(AE160="","",IFERROR(OFFSET($BZ$11,0,MATCH($AE160,$CA160:$FV160,0),),""))</f>
        <v/>
      </c>
      <c r="AH160" s="121">
        <f t="array" ref="AH160">IF(AE160="","",INDIRECT("'GRD-"&amp;AG160&amp;"'!$L$7"))</f>
        <v/>
      </c>
      <c r="AI160" s="83">
        <f t="array" ref="AI160">IFERROR(OFFSET($BZ$11,ROW($B160)-11,MATCH(AI$10,$CA160:$FV160,0),),"")</f>
        <v/>
      </c>
      <c r="AJ160" s="83">
        <f>IF(AI160="","",IF(VLOOKUP($B160,INDIRECT("'GRD-"&amp;AK160&amp;"'!$B:$R"),16,FALSE)="","",VLOOKUP($B160,INDIRECT("'GRD-"&amp;AK160&amp;"'!$B:$R"),16,FALSE)))</f>
        <v/>
      </c>
      <c r="AK160" s="128">
        <f t="array" ref="AK160">IF(AI160="","",IFERROR(OFFSET($BZ$11,0,MATCH($AI160,$CA160:$FV160,0),),""))</f>
        <v/>
      </c>
      <c r="AL160" s="133">
        <f t="array" ref="AL160">IF(AI160="","",INDIRECT("'GRD-"&amp;AK160&amp;"'!$L$7"))</f>
        <v/>
      </c>
      <c r="AM160" s="84">
        <f t="array" ref="AM160">IFERROR(OFFSET($BZ$11,ROW($B160)-11,MATCH(AM$10,$CA160:$FV160,0),),"")</f>
        <v/>
      </c>
      <c r="AN160" s="84">
        <f>IF(AM160="","",IF(VLOOKUP($B160,INDIRECT("'GRD-"&amp;AO160&amp;"'!$B:$R"),16,FALSE)="","",VLOOKUP($B160,INDIRECT("'GRD-"&amp;AO160&amp;"'!$B:$R"),16,FALSE)))</f>
        <v/>
      </c>
      <c r="AO160" s="129">
        <f t="array" ref="AO160">IF(AM160="","",IFERROR(OFFSET($BZ$11,0,MATCH($AM160,$CA160:$FV160,0),),""))</f>
        <v/>
      </c>
      <c r="AP160" s="134">
        <f t="array" ref="AP160">IF(AM160="","",INDIRECT("'GRD-"&amp;AO160&amp;"'!$L$7"))</f>
        <v/>
      </c>
      <c r="AQ160" s="85">
        <f t="array" ref="AQ160">IFERROR(OFFSET($BZ$11,ROW($B160)-11,MATCH(AQ$10,$CA160:$FV160,0),),"")</f>
        <v/>
      </c>
      <c r="AR160" s="85">
        <f>IF(AQ160="","",IF(VLOOKUP($B160,INDIRECT("'GRD-"&amp;AS160&amp;"'!$B:$R"),16,FALSE)="","",VLOOKUP($B160,INDIRECT("'GRD-"&amp;AS160&amp;"'!$B:$R"),16,FALSE)))</f>
        <v/>
      </c>
      <c r="AS160" s="130">
        <f t="array" ref="AS160">IF(AQ160="","",IFERROR(OFFSET($BZ$11,0,MATCH($AQ160,$CA160:$FV160,0),),""))</f>
        <v/>
      </c>
      <c r="AT160" s="131">
        <f t="array" ref="AT160">IF(AQ160="","",INDIRECT("'GRD-"&amp;AS160&amp;"'!$L$7"))</f>
        <v/>
      </c>
      <c r="AU160" s="76">
        <f t="array" ref="AU160">IFERROR(OFFSET($BZ$11,ROW($B160)-11,MATCH(AU$10,$CA160:$FV160,0),),"")</f>
        <v/>
      </c>
      <c r="AV160" s="76">
        <f>IF(AU160="","",IF(VLOOKUP($B160,INDIRECT("'GRD-"&amp;AW160&amp;"'!$B:$R"),16,FALSE)="","",VLOOKUP($B160,INDIRECT("'GRD-"&amp;AW160&amp;"'!$B:$R"),16,FALSE)))</f>
        <v/>
      </c>
      <c r="AW160" s="132">
        <f t="array" ref="AW160">IF(AU160="","",IFERROR(OFFSET($BZ$11,0,MATCH($AU160,$CA160:$FV160,0),),""))</f>
        <v/>
      </c>
      <c r="AX160" s="121">
        <f t="array" ref="AX160">IF(AU160="","",INDIRECT("'GRD-"&amp;AW160&amp;"'!$L$7"))</f>
        <v/>
      </c>
      <c r="AY160" s="83">
        <f t="array" ref="AY160">IFERROR(OFFSET($BZ$11,ROW($B160)-11,MATCH(AY$10,$CA160:$FV160,0),),"")</f>
        <v/>
      </c>
      <c r="AZ160" s="83">
        <f>IF(AY160="","",IF(VLOOKUP($B160,INDIRECT("'GRD-"&amp;BA160&amp;"'!$B:$R"),16,FALSE)="","",VLOOKUP($B160,INDIRECT("'GRD-"&amp;BA160&amp;"'!$B:$R"),16,FALSE)))</f>
        <v/>
      </c>
      <c r="BA160" s="128">
        <f t="array" ref="BA160">IF(AY160="","",IFERROR(OFFSET($BZ$11,0,MATCH($AY160,$CA160:$FV160,0),),""))</f>
        <v/>
      </c>
      <c r="BB160" s="133">
        <f t="array" ref="BB160">IF(AY160="","",INDIRECT("'GRD-"&amp;BA160&amp;"'!$L$7"))</f>
        <v/>
      </c>
      <c r="BC160" s="84">
        <f t="array" ref="BC160">IFERROR(OFFSET($BZ$11,ROW($B160)-11,MATCH(BC$10,$CA160:$FV160,0),),"")</f>
        <v/>
      </c>
      <c r="BD160" s="84">
        <f>IF(BC160="","",IF(VLOOKUP($B160,INDIRECT("'GRD-"&amp;BE160&amp;"'!$B:$R"),16,FALSE)="","",VLOOKUP($B160,INDIRECT("'GRD-"&amp;BE160&amp;"'!$B:$R"),16,FALSE)))</f>
        <v/>
      </c>
      <c r="BE160" s="129">
        <f t="array" ref="BE160">IF(BC160="","",IFERROR(OFFSET($BZ$11,0,MATCH($BC160,$CA160:$FV160,0),),""))</f>
        <v/>
      </c>
      <c r="BF160" s="134">
        <f t="array" ref="BF160">IF(BC160="","",INDIRECT("'GRD-"&amp;BE160&amp;"'!$L$7"))</f>
        <v/>
      </c>
      <c r="CA160" s="96">
        <f>IFERROR(VLOOKUP($B160,INDIRECT("'GRD-"&amp;CA$11&amp;"'!B:R"),15,FALSE),"")</f>
        <v/>
      </c>
      <c r="CB160" s="96">
        <f>IFERROR(VLOOKUP($B160,INDIRECT("'GRD-"&amp;CB$11&amp;"'!B:R"),15,FALSE),"")</f>
        <v/>
      </c>
      <c r="CC160" s="96">
        <f>IFERROR(VLOOKUP($B160,INDIRECT("'GRD-"&amp;CC$11&amp;"'!B:R"),15,FALSE),"")</f>
        <v/>
      </c>
      <c r="CD160" s="96">
        <f>IFERROR(VLOOKUP($B160,INDIRECT("'GRD-"&amp;CD$11&amp;"'!B:R"),15,FALSE),"")</f>
        <v/>
      </c>
      <c r="CE160" s="96">
        <f>IFERROR(VLOOKUP($B160,INDIRECT("'GRD-"&amp;CE$11&amp;"'!B:R"),15,FALSE),"")</f>
        <v/>
      </c>
      <c r="CF160" s="96">
        <f>IFERROR(VLOOKUP($B160,INDIRECT("'GRD-"&amp;CF$11&amp;"'!B:R"),15,FALSE),"")</f>
        <v/>
      </c>
      <c r="CG160" s="96">
        <f>IFERROR(VLOOKUP($B160,INDIRECT("'GRD-"&amp;CG$11&amp;"'!B:R"),15,FALSE),"")</f>
        <v/>
      </c>
      <c r="CH160" s="96">
        <f>IFERROR(VLOOKUP($B160,INDIRECT("'GRD-"&amp;CH$11&amp;"'!B:R"),15,FALSE),"")</f>
        <v/>
      </c>
      <c r="CI160" s="96">
        <f>IFERROR(VLOOKUP($B160,INDIRECT("'GRD-"&amp;CI$11&amp;"'!B:R"),15,FALSE),"")</f>
        <v/>
      </c>
      <c r="CJ160" s="96">
        <f>IFERROR(VLOOKUP($B160,INDIRECT("'GRD-"&amp;CJ$11&amp;"'!B:R"),15,FALSE),"")</f>
        <v/>
      </c>
      <c r="CK160" s="96">
        <f>IFERROR(VLOOKUP($B160,INDIRECT("'GRD-"&amp;CK$11&amp;"'!B:R"),15,FALSE),"")</f>
        <v/>
      </c>
      <c r="CL160" s="96">
        <f>IFERROR(VLOOKUP($B160,INDIRECT("'GRD-"&amp;CL$11&amp;"'!B:R"),15,FALSE),"")</f>
        <v/>
      </c>
      <c r="CM160" s="96">
        <f>IFERROR(VLOOKUP($B160,INDIRECT("'GRD-"&amp;CM$11&amp;"'!B:R"),15,FALSE),"")</f>
        <v/>
      </c>
      <c r="CN160" s="96">
        <f>IFERROR(VLOOKUP($B160,INDIRECT("'GRD-"&amp;CN$11&amp;"'!B:R"),15,FALSE),"")</f>
        <v/>
      </c>
      <c r="CO160" s="96">
        <f>IFERROR(VLOOKUP($B160,INDIRECT("'GRD-"&amp;CO$11&amp;"'!B:R"),15,FALSE),"")</f>
        <v/>
      </c>
      <c r="CP160" s="96">
        <f>IFERROR(VLOOKUP($B160,INDIRECT("'GRD-"&amp;CP$11&amp;"'!B:R"),15,FALSE),"")</f>
        <v/>
      </c>
      <c r="CQ160" s="96">
        <f>IFERROR(VLOOKUP($B160,INDIRECT("'GRD-"&amp;CQ$11&amp;"'!B:R"),15,FALSE),"")</f>
        <v/>
      </c>
      <c r="CR160" s="96">
        <f>IFERROR(VLOOKUP($B160,INDIRECT("'GRD-"&amp;CR$11&amp;"'!B:R"),15,FALSE),"")</f>
        <v/>
      </c>
      <c r="CS160" s="96">
        <f>IFERROR(VLOOKUP($B160,INDIRECT("'GRD-"&amp;CS$11&amp;"'!B:R"),15,FALSE),"")</f>
        <v/>
      </c>
      <c r="CT160" s="96">
        <f>IFERROR(VLOOKUP($B160,INDIRECT("'GRD-"&amp;CT$11&amp;"'!B:R"),15,FALSE),"")</f>
        <v/>
      </c>
      <c r="CU160" s="96">
        <f>IFERROR(VLOOKUP($B160,INDIRECT("'GRD-"&amp;CU$11&amp;"'!B:R"),15,FALSE),"")</f>
        <v/>
      </c>
      <c r="CV160" s="96">
        <f>IFERROR(VLOOKUP($B160,INDIRECT("'GRD-"&amp;CV$11&amp;"'!B:R"),15,FALSE),"")</f>
        <v/>
      </c>
      <c r="CW160" s="96">
        <f>IFERROR(VLOOKUP($B160,INDIRECT("'GRD-"&amp;CW$11&amp;"'!B:R"),15,FALSE),"")</f>
        <v/>
      </c>
      <c r="CX160" s="96">
        <f>IFERROR(VLOOKUP($B160,INDIRECT("'GRD-"&amp;CX$11&amp;"'!B:R"),15,FALSE),"")</f>
        <v/>
      </c>
      <c r="CY160" s="96">
        <f>IFERROR(VLOOKUP($B160,INDIRECT("'GRD-"&amp;CY$11&amp;"'!B:R"),15,FALSE),"")</f>
        <v/>
      </c>
      <c r="CZ160" s="96">
        <f>IFERROR(VLOOKUP($B160,INDIRECT("'GRD-"&amp;CZ$11&amp;"'!B:R"),15,FALSE),"")</f>
        <v/>
      </c>
      <c r="DA160" s="96">
        <f>IFERROR(VLOOKUP($B160,INDIRECT("'GRD-"&amp;DA$11&amp;"'!B:R"),15,FALSE),"")</f>
        <v/>
      </c>
      <c r="DB160" s="96">
        <f>IFERROR(VLOOKUP($B160,INDIRECT("'GRD-"&amp;DB$11&amp;"'!B:R"),15,FALSE),"")</f>
        <v/>
      </c>
      <c r="DC160" s="96">
        <f>IFERROR(VLOOKUP($B160,INDIRECT("'GRD-"&amp;DC$11&amp;"'!B:R"),15,FALSE),"")</f>
        <v/>
      </c>
      <c r="DD160" s="96">
        <f>IFERROR(VLOOKUP($B160,INDIRECT("'GRD-"&amp;DD$11&amp;"'!B:R"),15,FALSE),"")</f>
        <v/>
      </c>
      <c r="DE160" s="96">
        <f>IFERROR(VLOOKUP($B160,INDIRECT("'GRD-"&amp;DE$11&amp;"'!B:R"),15,FALSE),"")</f>
        <v/>
      </c>
      <c r="DF160" s="96">
        <f>IFERROR(VLOOKUP($B160,INDIRECT("'GRD-"&amp;DF$11&amp;"'!B:R"),15,FALSE),"")</f>
        <v/>
      </c>
      <c r="DG160" s="96">
        <f>IFERROR(VLOOKUP($B160,INDIRECT("'GRD-"&amp;DG$11&amp;"'!B:R"),15,FALSE),"")</f>
        <v/>
      </c>
      <c r="DH160" s="96">
        <f>IFERROR(VLOOKUP($B160,INDIRECT("'GRD-"&amp;DH$11&amp;"'!B:R"),15,FALSE),"")</f>
        <v/>
      </c>
      <c r="DI160" s="96">
        <f>IFERROR(VLOOKUP($B160,INDIRECT("'GRD-"&amp;DI$11&amp;"'!B:R"),15,FALSE),"")</f>
        <v/>
      </c>
      <c r="DJ160" s="96">
        <f>IFERROR(VLOOKUP($B160,INDIRECT("'GRD-"&amp;DJ$11&amp;"'!B:R"),15,FALSE),"")</f>
        <v/>
      </c>
      <c r="DK160" s="96">
        <f>IFERROR(VLOOKUP($B160,INDIRECT("'GRD-"&amp;DK$11&amp;"'!B:R"),15,FALSE),"")</f>
        <v/>
      </c>
      <c r="DL160" s="96">
        <f>IFERROR(VLOOKUP($B160,INDIRECT("'GRD-"&amp;DL$11&amp;"'!B:R"),15,FALSE),"")</f>
        <v/>
      </c>
      <c r="DM160" s="96">
        <f>IFERROR(VLOOKUP($B160,INDIRECT("'GRD-"&amp;DM$11&amp;"'!B:R"),15,FALSE),"")</f>
        <v/>
      </c>
      <c r="DN160" s="96">
        <f>IFERROR(VLOOKUP($B160,INDIRECT("'GRD-"&amp;DN$11&amp;"'!B:R"),15,FALSE),"")</f>
        <v/>
      </c>
      <c r="DO160" s="96">
        <f>IFERROR(VLOOKUP($B160,INDIRECT("'GRD-"&amp;DO$11&amp;"'!B:R"),15,FALSE),"")</f>
        <v/>
      </c>
      <c r="DP160" s="96">
        <f>IFERROR(VLOOKUP($B160,INDIRECT("'GRD-"&amp;DP$11&amp;"'!B:R"),15,FALSE),"")</f>
        <v/>
      </c>
      <c r="DQ160" s="96">
        <f>IFERROR(VLOOKUP($B160,INDIRECT("'GRD-"&amp;DQ$11&amp;"'!B:R"),15,FALSE),"")</f>
        <v/>
      </c>
      <c r="DR160" s="96">
        <f>IFERROR(VLOOKUP($B160,INDIRECT("'GRD-"&amp;DR$11&amp;"'!B:R"),15,FALSE),"")</f>
        <v/>
      </c>
      <c r="DS160" s="96">
        <f>IFERROR(VLOOKUP($B160,INDIRECT("'GRD-"&amp;DS$11&amp;"'!B:R"),15,FALSE),"")</f>
        <v/>
      </c>
      <c r="DT160" s="96">
        <f>IFERROR(VLOOKUP($B160,INDIRECT("'GRD-"&amp;DT$11&amp;"'!B:R"),15,FALSE),"")</f>
        <v/>
      </c>
      <c r="DU160" s="96">
        <f>IFERROR(VLOOKUP($B160,INDIRECT("'GRD-"&amp;DU$11&amp;"'!B:R"),15,FALSE),"")</f>
        <v/>
      </c>
      <c r="DV160" s="96">
        <f>IFERROR(VLOOKUP($B160,INDIRECT("'GRD-"&amp;DV$11&amp;"'!B:R"),15,FALSE),"")</f>
        <v/>
      </c>
      <c r="DW160" s="96">
        <f>IFERROR(VLOOKUP($B160,INDIRECT("'GRD-"&amp;DW$11&amp;"'!B:R"),15,FALSE),"")</f>
        <v/>
      </c>
      <c r="DX160" s="96">
        <f>IFERROR(VLOOKUP($B160,INDIRECT("'GRD-"&amp;DX$11&amp;"'!B:R"),15,FALSE),"")</f>
        <v/>
      </c>
      <c r="DY160" s="96">
        <f>IFERROR(VLOOKUP($B160,INDIRECT("'GRD-"&amp;DY$11&amp;"'!B:R"),15,FALSE),"")</f>
        <v/>
      </c>
      <c r="DZ160" s="96">
        <f>IFERROR(VLOOKUP($B160,INDIRECT("'GRD-"&amp;DZ$11&amp;"'!B:R"),15,FALSE),"")</f>
        <v/>
      </c>
      <c r="EA160" s="96">
        <f>IFERROR(VLOOKUP($B160,INDIRECT("'GRD-"&amp;EA$11&amp;"'!B:R"),15,FALSE),"")</f>
        <v/>
      </c>
      <c r="EB160" s="96">
        <f>IFERROR(VLOOKUP($B160,INDIRECT("'GRD-"&amp;EB$11&amp;"'!B:R"),15,FALSE),"")</f>
        <v/>
      </c>
      <c r="EC160" s="96">
        <f>IFERROR(VLOOKUP($B160,INDIRECT("'GRD-"&amp;EC$11&amp;"'!B:R"),15,FALSE),"")</f>
        <v/>
      </c>
      <c r="ED160" s="96">
        <f>IFERROR(VLOOKUP($B160,INDIRECT("'GRD-"&amp;ED$11&amp;"'!B:R"),15,FALSE),"")</f>
        <v/>
      </c>
      <c r="EE160" s="96">
        <f>IFERROR(VLOOKUP($B160,INDIRECT("'GRD-"&amp;EE$11&amp;"'!B:R"),15,FALSE),"")</f>
        <v/>
      </c>
      <c r="EF160" s="96">
        <f>IFERROR(VLOOKUP($B160,INDIRECT("'GRD-"&amp;EF$11&amp;"'!B:R"),15,FALSE),"")</f>
        <v/>
      </c>
      <c r="EG160" s="96">
        <f>IFERROR(VLOOKUP($B160,INDIRECT("'GRD-"&amp;EG$11&amp;"'!B:R"),15,FALSE),"")</f>
        <v/>
      </c>
      <c r="EH160" s="96">
        <f>IFERROR(VLOOKUP($B160,INDIRECT("'GRD-"&amp;EH$11&amp;"'!B:R"),15,FALSE),"")</f>
        <v/>
      </c>
      <c r="EI160" s="96">
        <f>IFERROR(VLOOKUP($B160,INDIRECT("'GRD-"&amp;EI$11&amp;"'!B:R"),15,FALSE),"")</f>
        <v/>
      </c>
      <c r="EJ160" s="96">
        <f>IFERROR(VLOOKUP($B160,INDIRECT("'GRD-"&amp;EJ$11&amp;"'!B:R"),15,FALSE),"")</f>
        <v/>
      </c>
      <c r="EK160" s="96">
        <f>IFERROR(VLOOKUP($B160,INDIRECT("'GRD-"&amp;EK$11&amp;"'!B:R"),15,FALSE),"")</f>
        <v/>
      </c>
      <c r="EL160" s="96">
        <f>IFERROR(VLOOKUP($B160,INDIRECT("'GRD-"&amp;EL$11&amp;"'!B:R"),15,FALSE),"")</f>
        <v/>
      </c>
      <c r="EM160" s="96">
        <f>IFERROR(VLOOKUP($B160,INDIRECT("'GRD-"&amp;EM$11&amp;"'!B:R"),15,FALSE),"")</f>
        <v/>
      </c>
      <c r="EN160" s="96">
        <f>IFERROR(VLOOKUP($B160,INDIRECT("'GRD-"&amp;EN$11&amp;"'!B:R"),15,FALSE),"")</f>
        <v/>
      </c>
      <c r="EO160" s="96">
        <f>IFERROR(VLOOKUP($B160,INDIRECT("'GRD-"&amp;EO$11&amp;"'!B:R"),15,FALSE),"")</f>
        <v/>
      </c>
      <c r="EP160" s="96">
        <f>IFERROR(VLOOKUP($B160,INDIRECT("'GRD-"&amp;EP$11&amp;"'!B:R"),15,FALSE),"")</f>
        <v/>
      </c>
      <c r="EQ160" s="96">
        <f>IFERROR(VLOOKUP($B160,INDIRECT("'GRD-"&amp;EQ$11&amp;"'!B:R"),15,FALSE),"")</f>
        <v/>
      </c>
      <c r="ER160" s="96">
        <f>IFERROR(VLOOKUP($B160,INDIRECT("'GRD-"&amp;ER$11&amp;"'!B:R"),15,FALSE),"")</f>
        <v/>
      </c>
      <c r="ES160" s="96">
        <f>IFERROR(VLOOKUP($B160,INDIRECT("'GRD-"&amp;ES$11&amp;"'!B:R"),15,FALSE),"")</f>
        <v/>
      </c>
      <c r="ET160" s="96">
        <f>IFERROR(VLOOKUP($B160,INDIRECT("'GRD-"&amp;ET$11&amp;"'!B:R"),15,FALSE),"")</f>
        <v/>
      </c>
      <c r="EU160" s="96">
        <f>IFERROR(VLOOKUP($B160,INDIRECT("'GRD-"&amp;EU$11&amp;"'!B:R"),15,FALSE),"")</f>
        <v/>
      </c>
      <c r="EV160" s="96">
        <f>IFERROR(VLOOKUP($B160,INDIRECT("'GRD-"&amp;EV$11&amp;"'!B:R"),15,FALSE),"")</f>
        <v/>
      </c>
      <c r="EW160" s="96">
        <f>IFERROR(VLOOKUP($B160,INDIRECT("'GRD-"&amp;EW$11&amp;"'!B:R"),15,FALSE),"")</f>
        <v/>
      </c>
      <c r="EX160" s="96">
        <f>IFERROR(VLOOKUP($B160,INDIRECT("'GRD-"&amp;EX$11&amp;"'!B:R"),15,FALSE),"")</f>
        <v/>
      </c>
      <c r="EY160" s="96">
        <f>IFERROR(VLOOKUP($B160,INDIRECT("'GRD-"&amp;EY$11&amp;"'!B:R"),15,FALSE),"")</f>
        <v/>
      </c>
      <c r="EZ160" s="96">
        <f>IFERROR(VLOOKUP($B160,INDIRECT("'GRD-"&amp;EZ$11&amp;"'!B:R"),15,FALSE),"")</f>
        <v/>
      </c>
      <c r="FA160" s="96">
        <f>IFERROR(VLOOKUP($B160,INDIRECT("'GRD-"&amp;FA$11&amp;"'!B:R"),15,FALSE),"")</f>
        <v/>
      </c>
      <c r="FB160" s="96">
        <f>IFERROR(VLOOKUP($B160,INDIRECT("'GRD-"&amp;FB$11&amp;"'!B:R"),15,FALSE),"")</f>
        <v/>
      </c>
      <c r="FC160" s="96">
        <f>IFERROR(VLOOKUP($B160,INDIRECT("'GRD-"&amp;FC$11&amp;"'!B:R"),15,FALSE),"")</f>
        <v/>
      </c>
      <c r="FD160" s="96">
        <f>IFERROR(VLOOKUP($B160,INDIRECT("'GRD-"&amp;FD$11&amp;"'!B:R"),15,FALSE),"")</f>
        <v/>
      </c>
      <c r="FE160" s="96">
        <f>IFERROR(VLOOKUP($B160,INDIRECT("'GRD-"&amp;FE$11&amp;"'!B:R"),15,FALSE),"")</f>
        <v/>
      </c>
      <c r="FF160" s="96">
        <f>IFERROR(VLOOKUP($B160,INDIRECT("'GRD-"&amp;FF$11&amp;"'!B:R"),15,FALSE),"")</f>
        <v/>
      </c>
      <c r="FG160" s="96">
        <f>IFERROR(VLOOKUP($B160,INDIRECT("'GRD-"&amp;FG$11&amp;"'!B:R"),15,FALSE),"")</f>
        <v/>
      </c>
      <c r="FH160" s="96">
        <f>IFERROR(VLOOKUP($B160,INDIRECT("'GRD-"&amp;FH$11&amp;"'!B:R"),15,FALSE),"")</f>
        <v/>
      </c>
      <c r="FI160" s="96">
        <f>IFERROR(VLOOKUP($B160,INDIRECT("'GRD-"&amp;FI$11&amp;"'!B:R"),15,FALSE),"")</f>
        <v/>
      </c>
      <c r="FJ160" s="96">
        <f>IFERROR(VLOOKUP($B160,INDIRECT("'GRD-"&amp;FJ$11&amp;"'!B:R"),15,FALSE),"")</f>
        <v/>
      </c>
      <c r="FK160" s="96">
        <f>IFERROR(VLOOKUP($B160,INDIRECT("'GRD-"&amp;FK$11&amp;"'!B:R"),15,FALSE),"")</f>
        <v/>
      </c>
      <c r="FL160" s="96">
        <f>IFERROR(VLOOKUP($B160,INDIRECT("'GRD-"&amp;FL$11&amp;"'!B:R"),15,FALSE),"")</f>
        <v/>
      </c>
      <c r="FM160" s="96">
        <f>IFERROR(VLOOKUP($B160,INDIRECT("'GRD-"&amp;FM$11&amp;"'!B:R"),15,FALSE),"")</f>
        <v/>
      </c>
      <c r="FN160" s="96">
        <f>IFERROR(VLOOKUP($B160,INDIRECT("'GRD-"&amp;FN$11&amp;"'!B:R"),15,FALSE),"")</f>
        <v/>
      </c>
      <c r="FO160" s="96">
        <f>IFERROR(VLOOKUP($B160,INDIRECT("'GRD-"&amp;FO$11&amp;"'!B:R"),15,FALSE),"")</f>
        <v/>
      </c>
      <c r="FP160" s="96">
        <f>IFERROR(VLOOKUP($B160,INDIRECT("'GRD-"&amp;FP$11&amp;"'!B:R"),15,FALSE),"")</f>
        <v/>
      </c>
      <c r="FQ160" s="96">
        <f>IFERROR(VLOOKUP($B160,INDIRECT("'GRD-"&amp;FQ$11&amp;"'!B:R"),15,FALSE),"")</f>
        <v/>
      </c>
      <c r="FR160" s="96">
        <f>IFERROR(VLOOKUP($B160,INDIRECT("'GRD-"&amp;FR$11&amp;"'!B:R"),15,FALSE),"")</f>
        <v/>
      </c>
      <c r="FS160" s="96">
        <f>IFERROR(VLOOKUP($B160,INDIRECT("'GRD-"&amp;FS$11&amp;"'!B:R"),15,FALSE),"")</f>
        <v/>
      </c>
      <c r="FT160" s="96">
        <f>IFERROR(VLOOKUP($B160,INDIRECT("'GRD-"&amp;FT$11&amp;"'!B:R"),15,FALSE),"")</f>
        <v/>
      </c>
      <c r="FU160" s="96">
        <f>IFERROR(VLOOKUP($B160,INDIRECT("'GRD-"&amp;FU$11&amp;"'!B:R"),15,FALSE),"")</f>
        <v/>
      </c>
      <c r="FV160" s="96">
        <f>IFERROR(VLOOKUP($B160,INDIRECT("'GRD-"&amp;FV$11&amp;"'!B:R"),15,FALSE),"")</f>
        <v/>
      </c>
    </row>
    <row r="161">
      <c r="B161" s="85" t="n"/>
      <c r="C161" s="93" t="n"/>
      <c r="D161" s="73">
        <f>IF(K161="","",MAX($CA161:$FV161))</f>
        <v/>
      </c>
      <c r="E161" s="74">
        <f t="array" ref="E161">IF($K161="","",OFFSET($A$1,ROW($B161)-1,11+$D161*4,))</f>
        <v/>
      </c>
      <c r="F161" s="74">
        <f t="array" ref="F161">IF($K161="","",OFFSET($A$1,ROW($B161)-1,12+$D161*4,))</f>
        <v/>
      </c>
      <c r="G161" s="118">
        <f t="array" ref="G161">IF($K161="","",OFFSET($A$1,ROW($B161)-1,13+$D161*4,))</f>
        <v/>
      </c>
      <c r="H161" s="81" t="n"/>
      <c r="I161" s="82" t="n"/>
      <c r="J161" s="75">
        <f>IF(I161="A4",H161/8,IF(I161="A3",H161/4,IF(I161="A2",H161/2,IF(I161="A1",H161/1,IF(I161="A0",H161*2,"")))))</f>
        <v/>
      </c>
      <c r="K161" s="68">
        <f t="array" ref="K161">IFERROR(OFFSET($BZ$11,ROW($B161)-11,MATCH(K$10,$CA161:$FV161,0),),"")</f>
        <v/>
      </c>
      <c r="L161" s="85">
        <f>IF(K161="","",IF(VLOOKUP($B161,INDIRECT("'GRD-"&amp;M161&amp;"'!$B:$R"),16,FALSE)="","",VLOOKUP($B161,INDIRECT("'GRD-"&amp;M161&amp;"'!$B:$R"),16,FALSE)))</f>
        <v/>
      </c>
      <c r="M161" s="130">
        <f t="array" ref="M161">IF(K161="","",IFERROR(OFFSET($BZ$11,0,MATCH($K161,$CA161:$FV161,0),),""))</f>
        <v/>
      </c>
      <c r="N161" s="119">
        <f t="array" ref="N161">IF(K161="","",INDIRECT("'GRD-"&amp;M161&amp;"'!$L$7"))</f>
        <v/>
      </c>
      <c r="O161" s="76">
        <f t="array" ref="O161">IFERROR(OFFSET($BZ$11,ROW($B161)-11,MATCH(O$10,$CA161:$FV161,0),),"")</f>
        <v/>
      </c>
      <c r="P161" s="76">
        <f>IF(O161="","",IF(VLOOKUP($B161,INDIRECT("'GRD-"&amp;Q161&amp;"'!$B:$R"),16,FALSE)="","",VLOOKUP($B161,INDIRECT("'GRD-"&amp;Q161&amp;"'!$B:$R"),16,FALSE)))</f>
        <v/>
      </c>
      <c r="Q161" s="132">
        <f t="array" ref="Q161">IF(O161="","",IFERROR(OFFSET($BZ$11,0,MATCH($O161,$CA161:$FV161,0),),""))</f>
        <v/>
      </c>
      <c r="R161" s="121">
        <f t="array" ref="R161">IF(O161="","",INDIRECT("'GRD-"&amp;Q161&amp;"'!$L$7"))</f>
        <v/>
      </c>
      <c r="S161" s="83">
        <f t="array" ref="S161">IFERROR(OFFSET($BZ$11,ROW($B161)-11,MATCH(S$10,$CA161:$FV161,0),),"")</f>
        <v/>
      </c>
      <c r="T161" s="83">
        <f>IF(S161="","",IF(VLOOKUP($B161,INDIRECT("'GRD-"&amp;U161&amp;"'!$B:$R"),16,FALSE)="","",VLOOKUP($B161,INDIRECT("'GRD-"&amp;U161&amp;"'!$B:$R"),16,FALSE)))</f>
        <v/>
      </c>
      <c r="U161" s="128">
        <f t="array" ref="U161">IF(S161="","",IFERROR(OFFSET($BZ$11,0,MATCH($S161,$CA161:$FV161,0),),""))</f>
        <v/>
      </c>
      <c r="V161" s="133">
        <f t="array" ref="V161">IF(S161="","",INDIRECT("'GRD-"&amp;U161&amp;"'!$L$7"))</f>
        <v/>
      </c>
      <c r="W161" s="84">
        <f t="array" ref="W161">IFERROR(OFFSET($BZ$11,ROW($B161)-11,MATCH(W$10,$CA161:$FV161,0),),"")</f>
        <v/>
      </c>
      <c r="X161" s="84">
        <f>IF(W161="","",IF(VLOOKUP($B161,INDIRECT("'GRD-"&amp;Y161&amp;"'!$B:$R"),16,FALSE)="","",VLOOKUP($B161,INDIRECT("'GRD-"&amp;Y161&amp;"'!$B:$R"),16,FALSE)))</f>
        <v/>
      </c>
      <c r="Y161" s="129">
        <f t="array" ref="Y161">IF(W161="","",IFERROR(OFFSET($BZ$11,0,MATCH($W161,$CA161:$FV161,0),),""))</f>
        <v/>
      </c>
      <c r="Z161" s="134">
        <f t="array" ref="Z161">IF(W161="","",INDIRECT("'GRD-"&amp;Y161&amp;"'!$L$7"))</f>
        <v/>
      </c>
      <c r="AA161" s="85">
        <f t="array" ref="AA161">IFERROR(OFFSET($BZ$11,ROW($B161)-11,MATCH(AA$10,$CA161:$FV161,0),),"")</f>
        <v/>
      </c>
      <c r="AB161" s="85">
        <f>IF(AA161="","",IF(VLOOKUP($B161,INDIRECT("'GRD-"&amp;AC161&amp;"'!$B:$R"),16,FALSE)="","",VLOOKUP($B161,INDIRECT("'GRD-"&amp;AC161&amp;"'!$B:$R"),16,FALSE)))</f>
        <v/>
      </c>
      <c r="AC161" s="130">
        <f t="array" ref="AC161">IF(AA161="","",IFERROR(OFFSET($BZ$11,0,MATCH($AA161,$CA161:$FV161,0),),""))</f>
        <v/>
      </c>
      <c r="AD161" s="131">
        <f t="array" ref="AD161">IF(AA161="","",INDIRECT("'GRD-"&amp;AC161&amp;"'!$L$7"))</f>
        <v/>
      </c>
      <c r="AE161" s="76">
        <f t="array" ref="AE161">IFERROR(OFFSET($BZ$11,ROW($B161)-11,MATCH(AE$10,$CA161:$FV161,0),),"")</f>
        <v/>
      </c>
      <c r="AF161" s="76">
        <f>IF(AE161="","",IF(VLOOKUP($B161,INDIRECT("'GRD-"&amp;AG161&amp;"'!$B:$R"),16,FALSE)="","",VLOOKUP($B161,INDIRECT("'GRD-"&amp;AG161&amp;"'!$B:$R"),16,FALSE)))</f>
        <v/>
      </c>
      <c r="AG161" s="132">
        <f t="array" ref="AG161">IF(AE161="","",IFERROR(OFFSET($BZ$11,0,MATCH($AE161,$CA161:$FV161,0),),""))</f>
        <v/>
      </c>
      <c r="AH161" s="121">
        <f t="array" ref="AH161">IF(AE161="","",INDIRECT("'GRD-"&amp;AG161&amp;"'!$L$7"))</f>
        <v/>
      </c>
      <c r="AI161" s="83">
        <f t="array" ref="AI161">IFERROR(OFFSET($BZ$11,ROW($B161)-11,MATCH(AI$10,$CA161:$FV161,0),),"")</f>
        <v/>
      </c>
      <c r="AJ161" s="83">
        <f>IF(AI161="","",IF(VLOOKUP($B161,INDIRECT("'GRD-"&amp;AK161&amp;"'!$B:$R"),16,FALSE)="","",VLOOKUP($B161,INDIRECT("'GRD-"&amp;AK161&amp;"'!$B:$R"),16,FALSE)))</f>
        <v/>
      </c>
      <c r="AK161" s="128">
        <f t="array" ref="AK161">IF(AI161="","",IFERROR(OFFSET($BZ$11,0,MATCH($AI161,$CA161:$FV161,0),),""))</f>
        <v/>
      </c>
      <c r="AL161" s="133">
        <f t="array" ref="AL161">IF(AI161="","",INDIRECT("'GRD-"&amp;AK161&amp;"'!$L$7"))</f>
        <v/>
      </c>
      <c r="AM161" s="84">
        <f t="array" ref="AM161">IFERROR(OFFSET($BZ$11,ROW($B161)-11,MATCH(AM$10,$CA161:$FV161,0),),"")</f>
        <v/>
      </c>
      <c r="AN161" s="84">
        <f>IF(AM161="","",IF(VLOOKUP($B161,INDIRECT("'GRD-"&amp;AO161&amp;"'!$B:$R"),16,FALSE)="","",VLOOKUP($B161,INDIRECT("'GRD-"&amp;AO161&amp;"'!$B:$R"),16,FALSE)))</f>
        <v/>
      </c>
      <c r="AO161" s="129">
        <f t="array" ref="AO161">IF(AM161="","",IFERROR(OFFSET($BZ$11,0,MATCH($AM161,$CA161:$FV161,0),),""))</f>
        <v/>
      </c>
      <c r="AP161" s="134">
        <f t="array" ref="AP161">IF(AM161="","",INDIRECT("'GRD-"&amp;AO161&amp;"'!$L$7"))</f>
        <v/>
      </c>
      <c r="AQ161" s="85">
        <f t="array" ref="AQ161">IFERROR(OFFSET($BZ$11,ROW($B161)-11,MATCH(AQ$10,$CA161:$FV161,0),),"")</f>
        <v/>
      </c>
      <c r="AR161" s="85">
        <f>IF(AQ161="","",IF(VLOOKUP($B161,INDIRECT("'GRD-"&amp;AS161&amp;"'!$B:$R"),16,FALSE)="","",VLOOKUP($B161,INDIRECT("'GRD-"&amp;AS161&amp;"'!$B:$R"),16,FALSE)))</f>
        <v/>
      </c>
      <c r="AS161" s="130">
        <f t="array" ref="AS161">IF(AQ161="","",IFERROR(OFFSET($BZ$11,0,MATCH($AQ161,$CA161:$FV161,0),),""))</f>
        <v/>
      </c>
      <c r="AT161" s="131">
        <f t="array" ref="AT161">IF(AQ161="","",INDIRECT("'GRD-"&amp;AS161&amp;"'!$L$7"))</f>
        <v/>
      </c>
      <c r="AU161" s="76">
        <f t="array" ref="AU161">IFERROR(OFFSET($BZ$11,ROW($B161)-11,MATCH(AU$10,$CA161:$FV161,0),),"")</f>
        <v/>
      </c>
      <c r="AV161" s="76">
        <f>IF(AU161="","",IF(VLOOKUP($B161,INDIRECT("'GRD-"&amp;AW161&amp;"'!$B:$R"),16,FALSE)="","",VLOOKUP($B161,INDIRECT("'GRD-"&amp;AW161&amp;"'!$B:$R"),16,FALSE)))</f>
        <v/>
      </c>
      <c r="AW161" s="132">
        <f t="array" ref="AW161">IF(AU161="","",IFERROR(OFFSET($BZ$11,0,MATCH($AU161,$CA161:$FV161,0),),""))</f>
        <v/>
      </c>
      <c r="AX161" s="121">
        <f t="array" ref="AX161">IF(AU161="","",INDIRECT("'GRD-"&amp;AW161&amp;"'!$L$7"))</f>
        <v/>
      </c>
      <c r="AY161" s="83">
        <f t="array" ref="AY161">IFERROR(OFFSET($BZ$11,ROW($B161)-11,MATCH(AY$10,$CA161:$FV161,0),),"")</f>
        <v/>
      </c>
      <c r="AZ161" s="83">
        <f>IF(AY161="","",IF(VLOOKUP($B161,INDIRECT("'GRD-"&amp;BA161&amp;"'!$B:$R"),16,FALSE)="","",VLOOKUP($B161,INDIRECT("'GRD-"&amp;BA161&amp;"'!$B:$R"),16,FALSE)))</f>
        <v/>
      </c>
      <c r="BA161" s="128">
        <f t="array" ref="BA161">IF(AY161="","",IFERROR(OFFSET($BZ$11,0,MATCH($AY161,$CA161:$FV161,0),),""))</f>
        <v/>
      </c>
      <c r="BB161" s="133">
        <f t="array" ref="BB161">IF(AY161="","",INDIRECT("'GRD-"&amp;BA161&amp;"'!$L$7"))</f>
        <v/>
      </c>
      <c r="BC161" s="84">
        <f t="array" ref="BC161">IFERROR(OFFSET($BZ$11,ROW($B161)-11,MATCH(BC$10,$CA161:$FV161,0),),"")</f>
        <v/>
      </c>
      <c r="BD161" s="84">
        <f>IF(BC161="","",IF(VLOOKUP($B161,INDIRECT("'GRD-"&amp;BE161&amp;"'!$B:$R"),16,FALSE)="","",VLOOKUP($B161,INDIRECT("'GRD-"&amp;BE161&amp;"'!$B:$R"),16,FALSE)))</f>
        <v/>
      </c>
      <c r="BE161" s="129">
        <f t="array" ref="BE161">IF(BC161="","",IFERROR(OFFSET($BZ$11,0,MATCH($BC161,$CA161:$FV161,0),),""))</f>
        <v/>
      </c>
      <c r="BF161" s="134">
        <f t="array" ref="BF161">IF(BC161="","",INDIRECT("'GRD-"&amp;BE161&amp;"'!$L$7"))</f>
        <v/>
      </c>
      <c r="CA161" s="96">
        <f>IFERROR(VLOOKUP($B161,INDIRECT("'GRD-"&amp;CA$11&amp;"'!B:R"),15,FALSE),"")</f>
        <v/>
      </c>
      <c r="CB161" s="96">
        <f>IFERROR(VLOOKUP($B161,INDIRECT("'GRD-"&amp;CB$11&amp;"'!B:R"),15,FALSE),"")</f>
        <v/>
      </c>
      <c r="CC161" s="96">
        <f>IFERROR(VLOOKUP($B161,INDIRECT("'GRD-"&amp;CC$11&amp;"'!B:R"),15,FALSE),"")</f>
        <v/>
      </c>
      <c r="CD161" s="96">
        <f>IFERROR(VLOOKUP($B161,INDIRECT("'GRD-"&amp;CD$11&amp;"'!B:R"),15,FALSE),"")</f>
        <v/>
      </c>
      <c r="CE161" s="96">
        <f>IFERROR(VLOOKUP($B161,INDIRECT("'GRD-"&amp;CE$11&amp;"'!B:R"),15,FALSE),"")</f>
        <v/>
      </c>
      <c r="CF161" s="96">
        <f>IFERROR(VLOOKUP($B161,INDIRECT("'GRD-"&amp;CF$11&amp;"'!B:R"),15,FALSE),"")</f>
        <v/>
      </c>
      <c r="CG161" s="96">
        <f>IFERROR(VLOOKUP($B161,INDIRECT("'GRD-"&amp;CG$11&amp;"'!B:R"),15,FALSE),"")</f>
        <v/>
      </c>
      <c r="CH161" s="96">
        <f>IFERROR(VLOOKUP($B161,INDIRECT("'GRD-"&amp;CH$11&amp;"'!B:R"),15,FALSE),"")</f>
        <v/>
      </c>
      <c r="CI161" s="96">
        <f>IFERROR(VLOOKUP($B161,INDIRECT("'GRD-"&amp;CI$11&amp;"'!B:R"),15,FALSE),"")</f>
        <v/>
      </c>
      <c r="CJ161" s="96">
        <f>IFERROR(VLOOKUP($B161,INDIRECT("'GRD-"&amp;CJ$11&amp;"'!B:R"),15,FALSE),"")</f>
        <v/>
      </c>
      <c r="CK161" s="96">
        <f>IFERROR(VLOOKUP($B161,INDIRECT("'GRD-"&amp;CK$11&amp;"'!B:R"),15,FALSE),"")</f>
        <v/>
      </c>
      <c r="CL161" s="96">
        <f>IFERROR(VLOOKUP($B161,INDIRECT("'GRD-"&amp;CL$11&amp;"'!B:R"),15,FALSE),"")</f>
        <v/>
      </c>
      <c r="CM161" s="96">
        <f>IFERROR(VLOOKUP($B161,INDIRECT("'GRD-"&amp;CM$11&amp;"'!B:R"),15,FALSE),"")</f>
        <v/>
      </c>
      <c r="CN161" s="96">
        <f>IFERROR(VLOOKUP($B161,INDIRECT("'GRD-"&amp;CN$11&amp;"'!B:R"),15,FALSE),"")</f>
        <v/>
      </c>
      <c r="CO161" s="96">
        <f>IFERROR(VLOOKUP($B161,INDIRECT("'GRD-"&amp;CO$11&amp;"'!B:R"),15,FALSE),"")</f>
        <v/>
      </c>
      <c r="CP161" s="96">
        <f>IFERROR(VLOOKUP($B161,INDIRECT("'GRD-"&amp;CP$11&amp;"'!B:R"),15,FALSE),"")</f>
        <v/>
      </c>
      <c r="CQ161" s="96">
        <f>IFERROR(VLOOKUP($B161,INDIRECT("'GRD-"&amp;CQ$11&amp;"'!B:R"),15,FALSE),"")</f>
        <v/>
      </c>
      <c r="CR161" s="96">
        <f>IFERROR(VLOOKUP($B161,INDIRECT("'GRD-"&amp;CR$11&amp;"'!B:R"),15,FALSE),"")</f>
        <v/>
      </c>
      <c r="CS161" s="96">
        <f>IFERROR(VLOOKUP($B161,INDIRECT("'GRD-"&amp;CS$11&amp;"'!B:R"),15,FALSE),"")</f>
        <v/>
      </c>
      <c r="CT161" s="96">
        <f>IFERROR(VLOOKUP($B161,INDIRECT("'GRD-"&amp;CT$11&amp;"'!B:R"),15,FALSE),"")</f>
        <v/>
      </c>
      <c r="CU161" s="96">
        <f>IFERROR(VLOOKUP($B161,INDIRECT("'GRD-"&amp;CU$11&amp;"'!B:R"),15,FALSE),"")</f>
        <v/>
      </c>
      <c r="CV161" s="96">
        <f>IFERROR(VLOOKUP($B161,INDIRECT("'GRD-"&amp;CV$11&amp;"'!B:R"),15,FALSE),"")</f>
        <v/>
      </c>
      <c r="CW161" s="96">
        <f>IFERROR(VLOOKUP($B161,INDIRECT("'GRD-"&amp;CW$11&amp;"'!B:R"),15,FALSE),"")</f>
        <v/>
      </c>
      <c r="CX161" s="96">
        <f>IFERROR(VLOOKUP($B161,INDIRECT("'GRD-"&amp;CX$11&amp;"'!B:R"),15,FALSE),"")</f>
        <v/>
      </c>
      <c r="CY161" s="96">
        <f>IFERROR(VLOOKUP($B161,INDIRECT("'GRD-"&amp;CY$11&amp;"'!B:R"),15,FALSE),"")</f>
        <v/>
      </c>
      <c r="CZ161" s="96">
        <f>IFERROR(VLOOKUP($B161,INDIRECT("'GRD-"&amp;CZ$11&amp;"'!B:R"),15,FALSE),"")</f>
        <v/>
      </c>
      <c r="DA161" s="96">
        <f>IFERROR(VLOOKUP($B161,INDIRECT("'GRD-"&amp;DA$11&amp;"'!B:R"),15,FALSE),"")</f>
        <v/>
      </c>
      <c r="DB161" s="96">
        <f>IFERROR(VLOOKUP($B161,INDIRECT("'GRD-"&amp;DB$11&amp;"'!B:R"),15,FALSE),"")</f>
        <v/>
      </c>
      <c r="DC161" s="96">
        <f>IFERROR(VLOOKUP($B161,INDIRECT("'GRD-"&amp;DC$11&amp;"'!B:R"),15,FALSE),"")</f>
        <v/>
      </c>
      <c r="DD161" s="96">
        <f>IFERROR(VLOOKUP($B161,INDIRECT("'GRD-"&amp;DD$11&amp;"'!B:R"),15,FALSE),"")</f>
        <v/>
      </c>
      <c r="DE161" s="96">
        <f>IFERROR(VLOOKUP($B161,INDIRECT("'GRD-"&amp;DE$11&amp;"'!B:R"),15,FALSE),"")</f>
        <v/>
      </c>
      <c r="DF161" s="96">
        <f>IFERROR(VLOOKUP($B161,INDIRECT("'GRD-"&amp;DF$11&amp;"'!B:R"),15,FALSE),"")</f>
        <v/>
      </c>
      <c r="DG161" s="96">
        <f>IFERROR(VLOOKUP($B161,INDIRECT("'GRD-"&amp;DG$11&amp;"'!B:R"),15,FALSE),"")</f>
        <v/>
      </c>
      <c r="DH161" s="96">
        <f>IFERROR(VLOOKUP($B161,INDIRECT("'GRD-"&amp;DH$11&amp;"'!B:R"),15,FALSE),"")</f>
        <v/>
      </c>
      <c r="DI161" s="96">
        <f>IFERROR(VLOOKUP($B161,INDIRECT("'GRD-"&amp;DI$11&amp;"'!B:R"),15,FALSE),"")</f>
        <v/>
      </c>
      <c r="DJ161" s="96">
        <f>IFERROR(VLOOKUP($B161,INDIRECT("'GRD-"&amp;DJ$11&amp;"'!B:R"),15,FALSE),"")</f>
        <v/>
      </c>
      <c r="DK161" s="96">
        <f>IFERROR(VLOOKUP($B161,INDIRECT("'GRD-"&amp;DK$11&amp;"'!B:R"),15,FALSE),"")</f>
        <v/>
      </c>
      <c r="DL161" s="96">
        <f>IFERROR(VLOOKUP($B161,INDIRECT("'GRD-"&amp;DL$11&amp;"'!B:R"),15,FALSE),"")</f>
        <v/>
      </c>
      <c r="DM161" s="96">
        <f>IFERROR(VLOOKUP($B161,INDIRECT("'GRD-"&amp;DM$11&amp;"'!B:R"),15,FALSE),"")</f>
        <v/>
      </c>
      <c r="DN161" s="96">
        <f>IFERROR(VLOOKUP($B161,INDIRECT("'GRD-"&amp;DN$11&amp;"'!B:R"),15,FALSE),"")</f>
        <v/>
      </c>
      <c r="DO161" s="96">
        <f>IFERROR(VLOOKUP($B161,INDIRECT("'GRD-"&amp;DO$11&amp;"'!B:R"),15,FALSE),"")</f>
        <v/>
      </c>
      <c r="DP161" s="96">
        <f>IFERROR(VLOOKUP($B161,INDIRECT("'GRD-"&amp;DP$11&amp;"'!B:R"),15,FALSE),"")</f>
        <v/>
      </c>
      <c r="DQ161" s="96">
        <f>IFERROR(VLOOKUP($B161,INDIRECT("'GRD-"&amp;DQ$11&amp;"'!B:R"),15,FALSE),"")</f>
        <v/>
      </c>
      <c r="DR161" s="96">
        <f>IFERROR(VLOOKUP($B161,INDIRECT("'GRD-"&amp;DR$11&amp;"'!B:R"),15,FALSE),"")</f>
        <v/>
      </c>
      <c r="DS161" s="96">
        <f>IFERROR(VLOOKUP($B161,INDIRECT("'GRD-"&amp;DS$11&amp;"'!B:R"),15,FALSE),"")</f>
        <v/>
      </c>
      <c r="DT161" s="96">
        <f>IFERROR(VLOOKUP($B161,INDIRECT("'GRD-"&amp;DT$11&amp;"'!B:R"),15,FALSE),"")</f>
        <v/>
      </c>
      <c r="DU161" s="96">
        <f>IFERROR(VLOOKUP($B161,INDIRECT("'GRD-"&amp;DU$11&amp;"'!B:R"),15,FALSE),"")</f>
        <v/>
      </c>
      <c r="DV161" s="96">
        <f>IFERROR(VLOOKUP($B161,INDIRECT("'GRD-"&amp;DV$11&amp;"'!B:R"),15,FALSE),"")</f>
        <v/>
      </c>
      <c r="DW161" s="96">
        <f>IFERROR(VLOOKUP($B161,INDIRECT("'GRD-"&amp;DW$11&amp;"'!B:R"),15,FALSE),"")</f>
        <v/>
      </c>
      <c r="DX161" s="96">
        <f>IFERROR(VLOOKUP($B161,INDIRECT("'GRD-"&amp;DX$11&amp;"'!B:R"),15,FALSE),"")</f>
        <v/>
      </c>
      <c r="DY161" s="96">
        <f>IFERROR(VLOOKUP($B161,INDIRECT("'GRD-"&amp;DY$11&amp;"'!B:R"),15,FALSE),"")</f>
        <v/>
      </c>
      <c r="DZ161" s="96">
        <f>IFERROR(VLOOKUP($B161,INDIRECT("'GRD-"&amp;DZ$11&amp;"'!B:R"),15,FALSE),"")</f>
        <v/>
      </c>
      <c r="EA161" s="96">
        <f>IFERROR(VLOOKUP($B161,INDIRECT("'GRD-"&amp;EA$11&amp;"'!B:R"),15,FALSE),"")</f>
        <v/>
      </c>
      <c r="EB161" s="96">
        <f>IFERROR(VLOOKUP($B161,INDIRECT("'GRD-"&amp;EB$11&amp;"'!B:R"),15,FALSE),"")</f>
        <v/>
      </c>
      <c r="EC161" s="96">
        <f>IFERROR(VLOOKUP($B161,INDIRECT("'GRD-"&amp;EC$11&amp;"'!B:R"),15,FALSE),"")</f>
        <v/>
      </c>
      <c r="ED161" s="96">
        <f>IFERROR(VLOOKUP($B161,INDIRECT("'GRD-"&amp;ED$11&amp;"'!B:R"),15,FALSE),"")</f>
        <v/>
      </c>
      <c r="EE161" s="96">
        <f>IFERROR(VLOOKUP($B161,INDIRECT("'GRD-"&amp;EE$11&amp;"'!B:R"),15,FALSE),"")</f>
        <v/>
      </c>
      <c r="EF161" s="96">
        <f>IFERROR(VLOOKUP($B161,INDIRECT("'GRD-"&amp;EF$11&amp;"'!B:R"),15,FALSE),"")</f>
        <v/>
      </c>
      <c r="EG161" s="96">
        <f>IFERROR(VLOOKUP($B161,INDIRECT("'GRD-"&amp;EG$11&amp;"'!B:R"),15,FALSE),"")</f>
        <v/>
      </c>
      <c r="EH161" s="96">
        <f>IFERROR(VLOOKUP($B161,INDIRECT("'GRD-"&amp;EH$11&amp;"'!B:R"),15,FALSE),"")</f>
        <v/>
      </c>
      <c r="EI161" s="96">
        <f>IFERROR(VLOOKUP($B161,INDIRECT("'GRD-"&amp;EI$11&amp;"'!B:R"),15,FALSE),"")</f>
        <v/>
      </c>
      <c r="EJ161" s="96">
        <f>IFERROR(VLOOKUP($B161,INDIRECT("'GRD-"&amp;EJ$11&amp;"'!B:R"),15,FALSE),"")</f>
        <v/>
      </c>
      <c r="EK161" s="96">
        <f>IFERROR(VLOOKUP($B161,INDIRECT("'GRD-"&amp;EK$11&amp;"'!B:R"),15,FALSE),"")</f>
        <v/>
      </c>
      <c r="EL161" s="96">
        <f>IFERROR(VLOOKUP($B161,INDIRECT("'GRD-"&amp;EL$11&amp;"'!B:R"),15,FALSE),"")</f>
        <v/>
      </c>
      <c r="EM161" s="96">
        <f>IFERROR(VLOOKUP($B161,INDIRECT("'GRD-"&amp;EM$11&amp;"'!B:R"),15,FALSE),"")</f>
        <v/>
      </c>
      <c r="EN161" s="96">
        <f>IFERROR(VLOOKUP($B161,INDIRECT("'GRD-"&amp;EN$11&amp;"'!B:R"),15,FALSE),"")</f>
        <v/>
      </c>
      <c r="EO161" s="96">
        <f>IFERROR(VLOOKUP($B161,INDIRECT("'GRD-"&amp;EO$11&amp;"'!B:R"),15,FALSE),"")</f>
        <v/>
      </c>
      <c r="EP161" s="96">
        <f>IFERROR(VLOOKUP($B161,INDIRECT("'GRD-"&amp;EP$11&amp;"'!B:R"),15,FALSE),"")</f>
        <v/>
      </c>
      <c r="EQ161" s="96">
        <f>IFERROR(VLOOKUP($B161,INDIRECT("'GRD-"&amp;EQ$11&amp;"'!B:R"),15,FALSE),"")</f>
        <v/>
      </c>
      <c r="ER161" s="96">
        <f>IFERROR(VLOOKUP($B161,INDIRECT("'GRD-"&amp;ER$11&amp;"'!B:R"),15,FALSE),"")</f>
        <v/>
      </c>
      <c r="ES161" s="96">
        <f>IFERROR(VLOOKUP($B161,INDIRECT("'GRD-"&amp;ES$11&amp;"'!B:R"),15,FALSE),"")</f>
        <v/>
      </c>
      <c r="ET161" s="96">
        <f>IFERROR(VLOOKUP($B161,INDIRECT("'GRD-"&amp;ET$11&amp;"'!B:R"),15,FALSE),"")</f>
        <v/>
      </c>
      <c r="EU161" s="96">
        <f>IFERROR(VLOOKUP($B161,INDIRECT("'GRD-"&amp;EU$11&amp;"'!B:R"),15,FALSE),"")</f>
        <v/>
      </c>
      <c r="EV161" s="96">
        <f>IFERROR(VLOOKUP($B161,INDIRECT("'GRD-"&amp;EV$11&amp;"'!B:R"),15,FALSE),"")</f>
        <v/>
      </c>
      <c r="EW161" s="96">
        <f>IFERROR(VLOOKUP($B161,INDIRECT("'GRD-"&amp;EW$11&amp;"'!B:R"),15,FALSE),"")</f>
        <v/>
      </c>
      <c r="EX161" s="96">
        <f>IFERROR(VLOOKUP($B161,INDIRECT("'GRD-"&amp;EX$11&amp;"'!B:R"),15,FALSE),"")</f>
        <v/>
      </c>
      <c r="EY161" s="96">
        <f>IFERROR(VLOOKUP($B161,INDIRECT("'GRD-"&amp;EY$11&amp;"'!B:R"),15,FALSE),"")</f>
        <v/>
      </c>
      <c r="EZ161" s="96">
        <f>IFERROR(VLOOKUP($B161,INDIRECT("'GRD-"&amp;EZ$11&amp;"'!B:R"),15,FALSE),"")</f>
        <v/>
      </c>
      <c r="FA161" s="96">
        <f>IFERROR(VLOOKUP($B161,INDIRECT("'GRD-"&amp;FA$11&amp;"'!B:R"),15,FALSE),"")</f>
        <v/>
      </c>
      <c r="FB161" s="96">
        <f>IFERROR(VLOOKUP($B161,INDIRECT("'GRD-"&amp;FB$11&amp;"'!B:R"),15,FALSE),"")</f>
        <v/>
      </c>
      <c r="FC161" s="96">
        <f>IFERROR(VLOOKUP($B161,INDIRECT("'GRD-"&amp;FC$11&amp;"'!B:R"),15,FALSE),"")</f>
        <v/>
      </c>
      <c r="FD161" s="96">
        <f>IFERROR(VLOOKUP($B161,INDIRECT("'GRD-"&amp;FD$11&amp;"'!B:R"),15,FALSE),"")</f>
        <v/>
      </c>
      <c r="FE161" s="96">
        <f>IFERROR(VLOOKUP($B161,INDIRECT("'GRD-"&amp;FE$11&amp;"'!B:R"),15,FALSE),"")</f>
        <v/>
      </c>
      <c r="FF161" s="96">
        <f>IFERROR(VLOOKUP($B161,INDIRECT("'GRD-"&amp;FF$11&amp;"'!B:R"),15,FALSE),"")</f>
        <v/>
      </c>
      <c r="FG161" s="96">
        <f>IFERROR(VLOOKUP($B161,INDIRECT("'GRD-"&amp;FG$11&amp;"'!B:R"),15,FALSE),"")</f>
        <v/>
      </c>
      <c r="FH161" s="96">
        <f>IFERROR(VLOOKUP($B161,INDIRECT("'GRD-"&amp;FH$11&amp;"'!B:R"),15,FALSE),"")</f>
        <v/>
      </c>
      <c r="FI161" s="96">
        <f>IFERROR(VLOOKUP($B161,INDIRECT("'GRD-"&amp;FI$11&amp;"'!B:R"),15,FALSE),"")</f>
        <v/>
      </c>
      <c r="FJ161" s="96">
        <f>IFERROR(VLOOKUP($B161,INDIRECT("'GRD-"&amp;FJ$11&amp;"'!B:R"),15,FALSE),"")</f>
        <v/>
      </c>
      <c r="FK161" s="96">
        <f>IFERROR(VLOOKUP($B161,INDIRECT("'GRD-"&amp;FK$11&amp;"'!B:R"),15,FALSE),"")</f>
        <v/>
      </c>
      <c r="FL161" s="96">
        <f>IFERROR(VLOOKUP($B161,INDIRECT("'GRD-"&amp;FL$11&amp;"'!B:R"),15,FALSE),"")</f>
        <v/>
      </c>
      <c r="FM161" s="96">
        <f>IFERROR(VLOOKUP($B161,INDIRECT("'GRD-"&amp;FM$11&amp;"'!B:R"),15,FALSE),"")</f>
        <v/>
      </c>
      <c r="FN161" s="96">
        <f>IFERROR(VLOOKUP($B161,INDIRECT("'GRD-"&amp;FN$11&amp;"'!B:R"),15,FALSE),"")</f>
        <v/>
      </c>
      <c r="FO161" s="96">
        <f>IFERROR(VLOOKUP($B161,INDIRECT("'GRD-"&amp;FO$11&amp;"'!B:R"),15,FALSE),"")</f>
        <v/>
      </c>
      <c r="FP161" s="96">
        <f>IFERROR(VLOOKUP($B161,INDIRECT("'GRD-"&amp;FP$11&amp;"'!B:R"),15,FALSE),"")</f>
        <v/>
      </c>
      <c r="FQ161" s="96">
        <f>IFERROR(VLOOKUP($B161,INDIRECT("'GRD-"&amp;FQ$11&amp;"'!B:R"),15,FALSE),"")</f>
        <v/>
      </c>
      <c r="FR161" s="96">
        <f>IFERROR(VLOOKUP($B161,INDIRECT("'GRD-"&amp;FR$11&amp;"'!B:R"),15,FALSE),"")</f>
        <v/>
      </c>
      <c r="FS161" s="96">
        <f>IFERROR(VLOOKUP($B161,INDIRECT("'GRD-"&amp;FS$11&amp;"'!B:R"),15,FALSE),"")</f>
        <v/>
      </c>
      <c r="FT161" s="96">
        <f>IFERROR(VLOOKUP($B161,INDIRECT("'GRD-"&amp;FT$11&amp;"'!B:R"),15,FALSE),"")</f>
        <v/>
      </c>
      <c r="FU161" s="96">
        <f>IFERROR(VLOOKUP($B161,INDIRECT("'GRD-"&amp;FU$11&amp;"'!B:R"),15,FALSE),"")</f>
        <v/>
      </c>
      <c r="FV161" s="96">
        <f>IFERROR(VLOOKUP($B161,INDIRECT("'GRD-"&amp;FV$11&amp;"'!B:R"),15,FALSE),"")</f>
        <v/>
      </c>
    </row>
    <row r="162">
      <c r="B162" s="85" t="n"/>
      <c r="C162" s="93" t="n"/>
      <c r="D162" s="73">
        <f>IF(K162="","",MAX($CA162:$FV162))</f>
        <v/>
      </c>
      <c r="E162" s="74">
        <f t="array" ref="E162">IF($K162="","",OFFSET($A$1,ROW($B162)-1,11+$D162*4,))</f>
        <v/>
      </c>
      <c r="F162" s="74">
        <f t="array" ref="F162">IF($K162="","",OFFSET($A$1,ROW($B162)-1,12+$D162*4,))</f>
        <v/>
      </c>
      <c r="G162" s="118">
        <f t="array" ref="G162">IF($K162="","",OFFSET($A$1,ROW($B162)-1,13+$D162*4,))</f>
        <v/>
      </c>
      <c r="H162" s="81" t="n"/>
      <c r="I162" s="82" t="n"/>
      <c r="J162" s="75">
        <f>IF(I162="A4",H162/8,IF(I162="A3",H162/4,IF(I162="A2",H162/2,IF(I162="A1",H162/1,IF(I162="A0",H162*2,"")))))</f>
        <v/>
      </c>
      <c r="K162" s="68">
        <f t="array" ref="K162">IFERROR(OFFSET($BZ$11,ROW($B162)-11,MATCH(K$10,$CA162:$FV162,0),),"")</f>
        <v/>
      </c>
      <c r="L162" s="85">
        <f>IF(K162="","",IF(VLOOKUP($B162,INDIRECT("'GRD-"&amp;M162&amp;"'!$B:$R"),16,FALSE)="","",VLOOKUP($B162,INDIRECT("'GRD-"&amp;M162&amp;"'!$B:$R"),16,FALSE)))</f>
        <v/>
      </c>
      <c r="M162" s="130">
        <f t="array" ref="M162">IF(K162="","",IFERROR(OFFSET($BZ$11,0,MATCH($K162,$CA162:$FV162,0),),""))</f>
        <v/>
      </c>
      <c r="N162" s="119">
        <f t="array" ref="N162">IF(K162="","",INDIRECT("'GRD-"&amp;M162&amp;"'!$L$7"))</f>
        <v/>
      </c>
      <c r="O162" s="76">
        <f t="array" ref="O162">IFERROR(OFFSET($BZ$11,ROW($B162)-11,MATCH(O$10,$CA162:$FV162,0),),"")</f>
        <v/>
      </c>
      <c r="P162" s="76">
        <f>IF(O162="","",IF(VLOOKUP($B162,INDIRECT("'GRD-"&amp;Q162&amp;"'!$B:$R"),16,FALSE)="","",VLOOKUP($B162,INDIRECT("'GRD-"&amp;Q162&amp;"'!$B:$R"),16,FALSE)))</f>
        <v/>
      </c>
      <c r="Q162" s="132">
        <f t="array" ref="Q162">IF(O162="","",IFERROR(OFFSET($BZ$11,0,MATCH($O162,$CA162:$FV162,0),),""))</f>
        <v/>
      </c>
      <c r="R162" s="121">
        <f t="array" ref="R162">IF(O162="","",INDIRECT("'GRD-"&amp;Q162&amp;"'!$L$7"))</f>
        <v/>
      </c>
      <c r="S162" s="83">
        <f t="array" ref="S162">IFERROR(OFFSET($BZ$11,ROW($B162)-11,MATCH(S$10,$CA162:$FV162,0),),"")</f>
        <v/>
      </c>
      <c r="T162" s="83">
        <f>IF(S162="","",IF(VLOOKUP($B162,INDIRECT("'GRD-"&amp;U162&amp;"'!$B:$R"),16,FALSE)="","",VLOOKUP($B162,INDIRECT("'GRD-"&amp;U162&amp;"'!$B:$R"),16,FALSE)))</f>
        <v/>
      </c>
      <c r="U162" s="128">
        <f t="array" ref="U162">IF(S162="","",IFERROR(OFFSET($BZ$11,0,MATCH($S162,$CA162:$FV162,0),),""))</f>
        <v/>
      </c>
      <c r="V162" s="133">
        <f t="array" ref="V162">IF(S162="","",INDIRECT("'GRD-"&amp;U162&amp;"'!$L$7"))</f>
        <v/>
      </c>
      <c r="W162" s="84">
        <f t="array" ref="W162">IFERROR(OFFSET($BZ$11,ROW($B162)-11,MATCH(W$10,$CA162:$FV162,0),),"")</f>
        <v/>
      </c>
      <c r="X162" s="84">
        <f>IF(W162="","",IF(VLOOKUP($B162,INDIRECT("'GRD-"&amp;Y162&amp;"'!$B:$R"),16,FALSE)="","",VLOOKUP($B162,INDIRECT("'GRD-"&amp;Y162&amp;"'!$B:$R"),16,FALSE)))</f>
        <v/>
      </c>
      <c r="Y162" s="129">
        <f t="array" ref="Y162">IF(W162="","",IFERROR(OFFSET($BZ$11,0,MATCH($W162,$CA162:$FV162,0),),""))</f>
        <v/>
      </c>
      <c r="Z162" s="134">
        <f t="array" ref="Z162">IF(W162="","",INDIRECT("'GRD-"&amp;Y162&amp;"'!$L$7"))</f>
        <v/>
      </c>
      <c r="AA162" s="85">
        <f t="array" ref="AA162">IFERROR(OFFSET($BZ$11,ROW($B162)-11,MATCH(AA$10,$CA162:$FV162,0),),"")</f>
        <v/>
      </c>
      <c r="AB162" s="85">
        <f>IF(AA162="","",IF(VLOOKUP($B162,INDIRECT("'GRD-"&amp;AC162&amp;"'!$B:$R"),16,FALSE)="","",VLOOKUP($B162,INDIRECT("'GRD-"&amp;AC162&amp;"'!$B:$R"),16,FALSE)))</f>
        <v/>
      </c>
      <c r="AC162" s="130">
        <f t="array" ref="AC162">IF(AA162="","",IFERROR(OFFSET($BZ$11,0,MATCH($AA162,$CA162:$FV162,0),),""))</f>
        <v/>
      </c>
      <c r="AD162" s="131">
        <f t="array" ref="AD162">IF(AA162="","",INDIRECT("'GRD-"&amp;AC162&amp;"'!$L$7"))</f>
        <v/>
      </c>
      <c r="AE162" s="76">
        <f t="array" ref="AE162">IFERROR(OFFSET($BZ$11,ROW($B162)-11,MATCH(AE$10,$CA162:$FV162,0),),"")</f>
        <v/>
      </c>
      <c r="AF162" s="76">
        <f>IF(AE162="","",IF(VLOOKUP($B162,INDIRECT("'GRD-"&amp;AG162&amp;"'!$B:$R"),16,FALSE)="","",VLOOKUP($B162,INDIRECT("'GRD-"&amp;AG162&amp;"'!$B:$R"),16,FALSE)))</f>
        <v/>
      </c>
      <c r="AG162" s="132">
        <f t="array" ref="AG162">IF(AE162="","",IFERROR(OFFSET($BZ$11,0,MATCH($AE162,$CA162:$FV162,0),),""))</f>
        <v/>
      </c>
      <c r="AH162" s="121">
        <f t="array" ref="AH162">IF(AE162="","",INDIRECT("'GRD-"&amp;AG162&amp;"'!$L$7"))</f>
        <v/>
      </c>
      <c r="AI162" s="83">
        <f t="array" ref="AI162">IFERROR(OFFSET($BZ$11,ROW($B162)-11,MATCH(AI$10,$CA162:$FV162,0),),"")</f>
        <v/>
      </c>
      <c r="AJ162" s="83">
        <f>IF(AI162="","",IF(VLOOKUP($B162,INDIRECT("'GRD-"&amp;AK162&amp;"'!$B:$R"),16,FALSE)="","",VLOOKUP($B162,INDIRECT("'GRD-"&amp;AK162&amp;"'!$B:$R"),16,FALSE)))</f>
        <v/>
      </c>
      <c r="AK162" s="128">
        <f t="array" ref="AK162">IF(AI162="","",IFERROR(OFFSET($BZ$11,0,MATCH($AI162,$CA162:$FV162,0),),""))</f>
        <v/>
      </c>
      <c r="AL162" s="133">
        <f t="array" ref="AL162">IF(AI162="","",INDIRECT("'GRD-"&amp;AK162&amp;"'!$L$7"))</f>
        <v/>
      </c>
      <c r="AM162" s="84">
        <f t="array" ref="AM162">IFERROR(OFFSET($BZ$11,ROW($B162)-11,MATCH(AM$10,$CA162:$FV162,0),),"")</f>
        <v/>
      </c>
      <c r="AN162" s="84">
        <f>IF(AM162="","",IF(VLOOKUP($B162,INDIRECT("'GRD-"&amp;AO162&amp;"'!$B:$R"),16,FALSE)="","",VLOOKUP($B162,INDIRECT("'GRD-"&amp;AO162&amp;"'!$B:$R"),16,FALSE)))</f>
        <v/>
      </c>
      <c r="AO162" s="129">
        <f t="array" ref="AO162">IF(AM162="","",IFERROR(OFFSET($BZ$11,0,MATCH($AM162,$CA162:$FV162,0),),""))</f>
        <v/>
      </c>
      <c r="AP162" s="134">
        <f t="array" ref="AP162">IF(AM162="","",INDIRECT("'GRD-"&amp;AO162&amp;"'!$L$7"))</f>
        <v/>
      </c>
      <c r="AQ162" s="85">
        <f t="array" ref="AQ162">IFERROR(OFFSET($BZ$11,ROW($B162)-11,MATCH(AQ$10,$CA162:$FV162,0),),"")</f>
        <v/>
      </c>
      <c r="AR162" s="85">
        <f>IF(AQ162="","",IF(VLOOKUP($B162,INDIRECT("'GRD-"&amp;AS162&amp;"'!$B:$R"),16,FALSE)="","",VLOOKUP($B162,INDIRECT("'GRD-"&amp;AS162&amp;"'!$B:$R"),16,FALSE)))</f>
        <v/>
      </c>
      <c r="AS162" s="130">
        <f t="array" ref="AS162">IF(AQ162="","",IFERROR(OFFSET($BZ$11,0,MATCH($AQ162,$CA162:$FV162,0),),""))</f>
        <v/>
      </c>
      <c r="AT162" s="131">
        <f t="array" ref="AT162">IF(AQ162="","",INDIRECT("'GRD-"&amp;AS162&amp;"'!$L$7"))</f>
        <v/>
      </c>
      <c r="AU162" s="76">
        <f t="array" ref="AU162">IFERROR(OFFSET($BZ$11,ROW($B162)-11,MATCH(AU$10,$CA162:$FV162,0),),"")</f>
        <v/>
      </c>
      <c r="AV162" s="76">
        <f>IF(AU162="","",IF(VLOOKUP($B162,INDIRECT("'GRD-"&amp;AW162&amp;"'!$B:$R"),16,FALSE)="","",VLOOKUP($B162,INDIRECT("'GRD-"&amp;AW162&amp;"'!$B:$R"),16,FALSE)))</f>
        <v/>
      </c>
      <c r="AW162" s="132">
        <f t="array" ref="AW162">IF(AU162="","",IFERROR(OFFSET($BZ$11,0,MATCH($AU162,$CA162:$FV162,0),),""))</f>
        <v/>
      </c>
      <c r="AX162" s="121">
        <f t="array" ref="AX162">IF(AU162="","",INDIRECT("'GRD-"&amp;AW162&amp;"'!$L$7"))</f>
        <v/>
      </c>
      <c r="AY162" s="83">
        <f t="array" ref="AY162">IFERROR(OFFSET($BZ$11,ROW($B162)-11,MATCH(AY$10,$CA162:$FV162,0),),"")</f>
        <v/>
      </c>
      <c r="AZ162" s="83">
        <f>IF(AY162="","",IF(VLOOKUP($B162,INDIRECT("'GRD-"&amp;BA162&amp;"'!$B:$R"),16,FALSE)="","",VLOOKUP($B162,INDIRECT("'GRD-"&amp;BA162&amp;"'!$B:$R"),16,FALSE)))</f>
        <v/>
      </c>
      <c r="BA162" s="128">
        <f t="array" ref="BA162">IF(AY162="","",IFERROR(OFFSET($BZ$11,0,MATCH($AY162,$CA162:$FV162,0),),""))</f>
        <v/>
      </c>
      <c r="BB162" s="133">
        <f t="array" ref="BB162">IF(AY162="","",INDIRECT("'GRD-"&amp;BA162&amp;"'!$L$7"))</f>
        <v/>
      </c>
      <c r="BC162" s="84">
        <f t="array" ref="BC162">IFERROR(OFFSET($BZ$11,ROW($B162)-11,MATCH(BC$10,$CA162:$FV162,0),),"")</f>
        <v/>
      </c>
      <c r="BD162" s="84">
        <f>IF(BC162="","",IF(VLOOKUP($B162,INDIRECT("'GRD-"&amp;BE162&amp;"'!$B:$R"),16,FALSE)="","",VLOOKUP($B162,INDIRECT("'GRD-"&amp;BE162&amp;"'!$B:$R"),16,FALSE)))</f>
        <v/>
      </c>
      <c r="BE162" s="129">
        <f t="array" ref="BE162">IF(BC162="","",IFERROR(OFFSET($BZ$11,0,MATCH($BC162,$CA162:$FV162,0),),""))</f>
        <v/>
      </c>
      <c r="BF162" s="134">
        <f t="array" ref="BF162">IF(BC162="","",INDIRECT("'GRD-"&amp;BE162&amp;"'!$L$7"))</f>
        <v/>
      </c>
      <c r="CA162" s="96">
        <f>IFERROR(VLOOKUP($B162,INDIRECT("'GRD-"&amp;CA$11&amp;"'!B:R"),15,FALSE),"")</f>
        <v/>
      </c>
      <c r="CB162" s="96">
        <f>IFERROR(VLOOKUP($B162,INDIRECT("'GRD-"&amp;CB$11&amp;"'!B:R"),15,FALSE),"")</f>
        <v/>
      </c>
      <c r="CC162" s="96">
        <f>IFERROR(VLOOKUP($B162,INDIRECT("'GRD-"&amp;CC$11&amp;"'!B:R"),15,FALSE),"")</f>
        <v/>
      </c>
      <c r="CD162" s="96">
        <f>IFERROR(VLOOKUP($B162,INDIRECT("'GRD-"&amp;CD$11&amp;"'!B:R"),15,FALSE),"")</f>
        <v/>
      </c>
      <c r="CE162" s="96">
        <f>IFERROR(VLOOKUP($B162,INDIRECT("'GRD-"&amp;CE$11&amp;"'!B:R"),15,FALSE),"")</f>
        <v/>
      </c>
      <c r="CF162" s="96">
        <f>IFERROR(VLOOKUP($B162,INDIRECT("'GRD-"&amp;CF$11&amp;"'!B:R"),15,FALSE),"")</f>
        <v/>
      </c>
      <c r="CG162" s="96">
        <f>IFERROR(VLOOKUP($B162,INDIRECT("'GRD-"&amp;CG$11&amp;"'!B:R"),15,FALSE),"")</f>
        <v/>
      </c>
      <c r="CH162" s="96">
        <f>IFERROR(VLOOKUP($B162,INDIRECT("'GRD-"&amp;CH$11&amp;"'!B:R"),15,FALSE),"")</f>
        <v/>
      </c>
      <c r="CI162" s="96">
        <f>IFERROR(VLOOKUP($B162,INDIRECT("'GRD-"&amp;CI$11&amp;"'!B:R"),15,FALSE),"")</f>
        <v/>
      </c>
      <c r="CJ162" s="96">
        <f>IFERROR(VLOOKUP($B162,INDIRECT("'GRD-"&amp;CJ$11&amp;"'!B:R"),15,FALSE),"")</f>
        <v/>
      </c>
      <c r="CK162" s="96">
        <f>IFERROR(VLOOKUP($B162,INDIRECT("'GRD-"&amp;CK$11&amp;"'!B:R"),15,FALSE),"")</f>
        <v/>
      </c>
      <c r="CL162" s="96">
        <f>IFERROR(VLOOKUP($B162,INDIRECT("'GRD-"&amp;CL$11&amp;"'!B:R"),15,FALSE),"")</f>
        <v/>
      </c>
      <c r="CM162" s="96">
        <f>IFERROR(VLOOKUP($B162,INDIRECT("'GRD-"&amp;CM$11&amp;"'!B:R"),15,FALSE),"")</f>
        <v/>
      </c>
      <c r="CN162" s="96">
        <f>IFERROR(VLOOKUP($B162,INDIRECT("'GRD-"&amp;CN$11&amp;"'!B:R"),15,FALSE),"")</f>
        <v/>
      </c>
      <c r="CO162" s="96">
        <f>IFERROR(VLOOKUP($B162,INDIRECT("'GRD-"&amp;CO$11&amp;"'!B:R"),15,FALSE),"")</f>
        <v/>
      </c>
      <c r="CP162" s="96">
        <f>IFERROR(VLOOKUP($B162,INDIRECT("'GRD-"&amp;CP$11&amp;"'!B:R"),15,FALSE),"")</f>
        <v/>
      </c>
      <c r="CQ162" s="96">
        <f>IFERROR(VLOOKUP($B162,INDIRECT("'GRD-"&amp;CQ$11&amp;"'!B:R"),15,FALSE),"")</f>
        <v/>
      </c>
      <c r="CR162" s="96">
        <f>IFERROR(VLOOKUP($B162,INDIRECT("'GRD-"&amp;CR$11&amp;"'!B:R"),15,FALSE),"")</f>
        <v/>
      </c>
      <c r="CS162" s="96">
        <f>IFERROR(VLOOKUP($B162,INDIRECT("'GRD-"&amp;CS$11&amp;"'!B:R"),15,FALSE),"")</f>
        <v/>
      </c>
      <c r="CT162" s="96">
        <f>IFERROR(VLOOKUP($B162,INDIRECT("'GRD-"&amp;CT$11&amp;"'!B:R"),15,FALSE),"")</f>
        <v/>
      </c>
      <c r="CU162" s="96">
        <f>IFERROR(VLOOKUP($B162,INDIRECT("'GRD-"&amp;CU$11&amp;"'!B:R"),15,FALSE),"")</f>
        <v/>
      </c>
      <c r="CV162" s="96">
        <f>IFERROR(VLOOKUP($B162,INDIRECT("'GRD-"&amp;CV$11&amp;"'!B:R"),15,FALSE),"")</f>
        <v/>
      </c>
      <c r="CW162" s="96">
        <f>IFERROR(VLOOKUP($B162,INDIRECT("'GRD-"&amp;CW$11&amp;"'!B:R"),15,FALSE),"")</f>
        <v/>
      </c>
      <c r="CX162" s="96">
        <f>IFERROR(VLOOKUP($B162,INDIRECT("'GRD-"&amp;CX$11&amp;"'!B:R"),15,FALSE),"")</f>
        <v/>
      </c>
      <c r="CY162" s="96">
        <f>IFERROR(VLOOKUP($B162,INDIRECT("'GRD-"&amp;CY$11&amp;"'!B:R"),15,FALSE),"")</f>
        <v/>
      </c>
      <c r="CZ162" s="96">
        <f>IFERROR(VLOOKUP($B162,INDIRECT("'GRD-"&amp;CZ$11&amp;"'!B:R"),15,FALSE),"")</f>
        <v/>
      </c>
      <c r="DA162" s="96">
        <f>IFERROR(VLOOKUP($B162,INDIRECT("'GRD-"&amp;DA$11&amp;"'!B:R"),15,FALSE),"")</f>
        <v/>
      </c>
      <c r="DB162" s="96">
        <f>IFERROR(VLOOKUP($B162,INDIRECT("'GRD-"&amp;DB$11&amp;"'!B:R"),15,FALSE),"")</f>
        <v/>
      </c>
      <c r="DC162" s="96">
        <f>IFERROR(VLOOKUP($B162,INDIRECT("'GRD-"&amp;DC$11&amp;"'!B:R"),15,FALSE),"")</f>
        <v/>
      </c>
      <c r="DD162" s="96">
        <f>IFERROR(VLOOKUP($B162,INDIRECT("'GRD-"&amp;DD$11&amp;"'!B:R"),15,FALSE),"")</f>
        <v/>
      </c>
      <c r="DE162" s="96">
        <f>IFERROR(VLOOKUP($B162,INDIRECT("'GRD-"&amp;DE$11&amp;"'!B:R"),15,FALSE),"")</f>
        <v/>
      </c>
      <c r="DF162" s="96">
        <f>IFERROR(VLOOKUP($B162,INDIRECT("'GRD-"&amp;DF$11&amp;"'!B:R"),15,FALSE),"")</f>
        <v/>
      </c>
      <c r="DG162" s="96">
        <f>IFERROR(VLOOKUP($B162,INDIRECT("'GRD-"&amp;DG$11&amp;"'!B:R"),15,FALSE),"")</f>
        <v/>
      </c>
      <c r="DH162" s="96">
        <f>IFERROR(VLOOKUP($B162,INDIRECT("'GRD-"&amp;DH$11&amp;"'!B:R"),15,FALSE),"")</f>
        <v/>
      </c>
      <c r="DI162" s="96">
        <f>IFERROR(VLOOKUP($B162,INDIRECT("'GRD-"&amp;DI$11&amp;"'!B:R"),15,FALSE),"")</f>
        <v/>
      </c>
      <c r="DJ162" s="96">
        <f>IFERROR(VLOOKUP($B162,INDIRECT("'GRD-"&amp;DJ$11&amp;"'!B:R"),15,FALSE),"")</f>
        <v/>
      </c>
      <c r="DK162" s="96">
        <f>IFERROR(VLOOKUP($B162,INDIRECT("'GRD-"&amp;DK$11&amp;"'!B:R"),15,FALSE),"")</f>
        <v/>
      </c>
      <c r="DL162" s="96">
        <f>IFERROR(VLOOKUP($B162,INDIRECT("'GRD-"&amp;DL$11&amp;"'!B:R"),15,FALSE),"")</f>
        <v/>
      </c>
      <c r="DM162" s="96">
        <f>IFERROR(VLOOKUP($B162,INDIRECT("'GRD-"&amp;DM$11&amp;"'!B:R"),15,FALSE),"")</f>
        <v/>
      </c>
      <c r="DN162" s="96">
        <f>IFERROR(VLOOKUP($B162,INDIRECT("'GRD-"&amp;DN$11&amp;"'!B:R"),15,FALSE),"")</f>
        <v/>
      </c>
      <c r="DO162" s="96">
        <f>IFERROR(VLOOKUP($B162,INDIRECT("'GRD-"&amp;DO$11&amp;"'!B:R"),15,FALSE),"")</f>
        <v/>
      </c>
      <c r="DP162" s="96">
        <f>IFERROR(VLOOKUP($B162,INDIRECT("'GRD-"&amp;DP$11&amp;"'!B:R"),15,FALSE),"")</f>
        <v/>
      </c>
      <c r="DQ162" s="96">
        <f>IFERROR(VLOOKUP($B162,INDIRECT("'GRD-"&amp;DQ$11&amp;"'!B:R"),15,FALSE),"")</f>
        <v/>
      </c>
      <c r="DR162" s="96">
        <f>IFERROR(VLOOKUP($B162,INDIRECT("'GRD-"&amp;DR$11&amp;"'!B:R"),15,FALSE),"")</f>
        <v/>
      </c>
      <c r="DS162" s="96">
        <f>IFERROR(VLOOKUP($B162,INDIRECT("'GRD-"&amp;DS$11&amp;"'!B:R"),15,FALSE),"")</f>
        <v/>
      </c>
      <c r="DT162" s="96">
        <f>IFERROR(VLOOKUP($B162,INDIRECT("'GRD-"&amp;DT$11&amp;"'!B:R"),15,FALSE),"")</f>
        <v/>
      </c>
      <c r="DU162" s="96">
        <f>IFERROR(VLOOKUP($B162,INDIRECT("'GRD-"&amp;DU$11&amp;"'!B:R"),15,FALSE),"")</f>
        <v/>
      </c>
      <c r="DV162" s="96">
        <f>IFERROR(VLOOKUP($B162,INDIRECT("'GRD-"&amp;DV$11&amp;"'!B:R"),15,FALSE),"")</f>
        <v/>
      </c>
      <c r="DW162" s="96">
        <f>IFERROR(VLOOKUP($B162,INDIRECT("'GRD-"&amp;DW$11&amp;"'!B:R"),15,FALSE),"")</f>
        <v/>
      </c>
      <c r="DX162" s="96">
        <f>IFERROR(VLOOKUP($B162,INDIRECT("'GRD-"&amp;DX$11&amp;"'!B:R"),15,FALSE),"")</f>
        <v/>
      </c>
      <c r="DY162" s="96">
        <f>IFERROR(VLOOKUP($B162,INDIRECT("'GRD-"&amp;DY$11&amp;"'!B:R"),15,FALSE),"")</f>
        <v/>
      </c>
      <c r="DZ162" s="96">
        <f>IFERROR(VLOOKUP($B162,INDIRECT("'GRD-"&amp;DZ$11&amp;"'!B:R"),15,FALSE),"")</f>
        <v/>
      </c>
      <c r="EA162" s="96">
        <f>IFERROR(VLOOKUP($B162,INDIRECT("'GRD-"&amp;EA$11&amp;"'!B:R"),15,FALSE),"")</f>
        <v/>
      </c>
      <c r="EB162" s="96">
        <f>IFERROR(VLOOKUP($B162,INDIRECT("'GRD-"&amp;EB$11&amp;"'!B:R"),15,FALSE),"")</f>
        <v/>
      </c>
      <c r="EC162" s="96">
        <f>IFERROR(VLOOKUP($B162,INDIRECT("'GRD-"&amp;EC$11&amp;"'!B:R"),15,FALSE),"")</f>
        <v/>
      </c>
      <c r="ED162" s="96">
        <f>IFERROR(VLOOKUP($B162,INDIRECT("'GRD-"&amp;ED$11&amp;"'!B:R"),15,FALSE),"")</f>
        <v/>
      </c>
      <c r="EE162" s="96">
        <f>IFERROR(VLOOKUP($B162,INDIRECT("'GRD-"&amp;EE$11&amp;"'!B:R"),15,FALSE),"")</f>
        <v/>
      </c>
      <c r="EF162" s="96">
        <f>IFERROR(VLOOKUP($B162,INDIRECT("'GRD-"&amp;EF$11&amp;"'!B:R"),15,FALSE),"")</f>
        <v/>
      </c>
      <c r="EG162" s="96">
        <f>IFERROR(VLOOKUP($B162,INDIRECT("'GRD-"&amp;EG$11&amp;"'!B:R"),15,FALSE),"")</f>
        <v/>
      </c>
      <c r="EH162" s="96">
        <f>IFERROR(VLOOKUP($B162,INDIRECT("'GRD-"&amp;EH$11&amp;"'!B:R"),15,FALSE),"")</f>
        <v/>
      </c>
      <c r="EI162" s="96">
        <f>IFERROR(VLOOKUP($B162,INDIRECT("'GRD-"&amp;EI$11&amp;"'!B:R"),15,FALSE),"")</f>
        <v/>
      </c>
      <c r="EJ162" s="96">
        <f>IFERROR(VLOOKUP($B162,INDIRECT("'GRD-"&amp;EJ$11&amp;"'!B:R"),15,FALSE),"")</f>
        <v/>
      </c>
      <c r="EK162" s="96">
        <f>IFERROR(VLOOKUP($B162,INDIRECT("'GRD-"&amp;EK$11&amp;"'!B:R"),15,FALSE),"")</f>
        <v/>
      </c>
      <c r="EL162" s="96">
        <f>IFERROR(VLOOKUP($B162,INDIRECT("'GRD-"&amp;EL$11&amp;"'!B:R"),15,FALSE),"")</f>
        <v/>
      </c>
      <c r="EM162" s="96">
        <f>IFERROR(VLOOKUP($B162,INDIRECT("'GRD-"&amp;EM$11&amp;"'!B:R"),15,FALSE),"")</f>
        <v/>
      </c>
      <c r="EN162" s="96">
        <f>IFERROR(VLOOKUP($B162,INDIRECT("'GRD-"&amp;EN$11&amp;"'!B:R"),15,FALSE),"")</f>
        <v/>
      </c>
      <c r="EO162" s="96">
        <f>IFERROR(VLOOKUP($B162,INDIRECT("'GRD-"&amp;EO$11&amp;"'!B:R"),15,FALSE),"")</f>
        <v/>
      </c>
      <c r="EP162" s="96">
        <f>IFERROR(VLOOKUP($B162,INDIRECT("'GRD-"&amp;EP$11&amp;"'!B:R"),15,FALSE),"")</f>
        <v/>
      </c>
      <c r="EQ162" s="96">
        <f>IFERROR(VLOOKUP($B162,INDIRECT("'GRD-"&amp;EQ$11&amp;"'!B:R"),15,FALSE),"")</f>
        <v/>
      </c>
      <c r="ER162" s="96">
        <f>IFERROR(VLOOKUP($B162,INDIRECT("'GRD-"&amp;ER$11&amp;"'!B:R"),15,FALSE),"")</f>
        <v/>
      </c>
      <c r="ES162" s="96">
        <f>IFERROR(VLOOKUP($B162,INDIRECT("'GRD-"&amp;ES$11&amp;"'!B:R"),15,FALSE),"")</f>
        <v/>
      </c>
      <c r="ET162" s="96">
        <f>IFERROR(VLOOKUP($B162,INDIRECT("'GRD-"&amp;ET$11&amp;"'!B:R"),15,FALSE),"")</f>
        <v/>
      </c>
      <c r="EU162" s="96">
        <f>IFERROR(VLOOKUP($B162,INDIRECT("'GRD-"&amp;EU$11&amp;"'!B:R"),15,FALSE),"")</f>
        <v/>
      </c>
      <c r="EV162" s="96">
        <f>IFERROR(VLOOKUP($B162,INDIRECT("'GRD-"&amp;EV$11&amp;"'!B:R"),15,FALSE),"")</f>
        <v/>
      </c>
      <c r="EW162" s="96">
        <f>IFERROR(VLOOKUP($B162,INDIRECT("'GRD-"&amp;EW$11&amp;"'!B:R"),15,FALSE),"")</f>
        <v/>
      </c>
      <c r="EX162" s="96">
        <f>IFERROR(VLOOKUP($B162,INDIRECT("'GRD-"&amp;EX$11&amp;"'!B:R"),15,FALSE),"")</f>
        <v/>
      </c>
      <c r="EY162" s="96">
        <f>IFERROR(VLOOKUP($B162,INDIRECT("'GRD-"&amp;EY$11&amp;"'!B:R"),15,FALSE),"")</f>
        <v/>
      </c>
      <c r="EZ162" s="96">
        <f>IFERROR(VLOOKUP($B162,INDIRECT("'GRD-"&amp;EZ$11&amp;"'!B:R"),15,FALSE),"")</f>
        <v/>
      </c>
      <c r="FA162" s="96">
        <f>IFERROR(VLOOKUP($B162,INDIRECT("'GRD-"&amp;FA$11&amp;"'!B:R"),15,FALSE),"")</f>
        <v/>
      </c>
      <c r="FB162" s="96">
        <f>IFERROR(VLOOKUP($B162,INDIRECT("'GRD-"&amp;FB$11&amp;"'!B:R"),15,FALSE),"")</f>
        <v/>
      </c>
      <c r="FC162" s="96">
        <f>IFERROR(VLOOKUP($B162,INDIRECT("'GRD-"&amp;FC$11&amp;"'!B:R"),15,FALSE),"")</f>
        <v/>
      </c>
      <c r="FD162" s="96">
        <f>IFERROR(VLOOKUP($B162,INDIRECT("'GRD-"&amp;FD$11&amp;"'!B:R"),15,FALSE),"")</f>
        <v/>
      </c>
      <c r="FE162" s="96">
        <f>IFERROR(VLOOKUP($B162,INDIRECT("'GRD-"&amp;FE$11&amp;"'!B:R"),15,FALSE),"")</f>
        <v/>
      </c>
      <c r="FF162" s="96">
        <f>IFERROR(VLOOKUP($B162,INDIRECT("'GRD-"&amp;FF$11&amp;"'!B:R"),15,FALSE),"")</f>
        <v/>
      </c>
      <c r="FG162" s="96">
        <f>IFERROR(VLOOKUP($B162,INDIRECT("'GRD-"&amp;FG$11&amp;"'!B:R"),15,FALSE),"")</f>
        <v/>
      </c>
      <c r="FH162" s="96">
        <f>IFERROR(VLOOKUP($B162,INDIRECT("'GRD-"&amp;FH$11&amp;"'!B:R"),15,FALSE),"")</f>
        <v/>
      </c>
      <c r="FI162" s="96">
        <f>IFERROR(VLOOKUP($B162,INDIRECT("'GRD-"&amp;FI$11&amp;"'!B:R"),15,FALSE),"")</f>
        <v/>
      </c>
      <c r="FJ162" s="96">
        <f>IFERROR(VLOOKUP($B162,INDIRECT("'GRD-"&amp;FJ$11&amp;"'!B:R"),15,FALSE),"")</f>
        <v/>
      </c>
      <c r="FK162" s="96">
        <f>IFERROR(VLOOKUP($B162,INDIRECT("'GRD-"&amp;FK$11&amp;"'!B:R"),15,FALSE),"")</f>
        <v/>
      </c>
      <c r="FL162" s="96">
        <f>IFERROR(VLOOKUP($B162,INDIRECT("'GRD-"&amp;FL$11&amp;"'!B:R"),15,FALSE),"")</f>
        <v/>
      </c>
      <c r="FM162" s="96">
        <f>IFERROR(VLOOKUP($B162,INDIRECT("'GRD-"&amp;FM$11&amp;"'!B:R"),15,FALSE),"")</f>
        <v/>
      </c>
      <c r="FN162" s="96">
        <f>IFERROR(VLOOKUP($B162,INDIRECT("'GRD-"&amp;FN$11&amp;"'!B:R"),15,FALSE),"")</f>
        <v/>
      </c>
      <c r="FO162" s="96">
        <f>IFERROR(VLOOKUP($B162,INDIRECT("'GRD-"&amp;FO$11&amp;"'!B:R"),15,FALSE),"")</f>
        <v/>
      </c>
      <c r="FP162" s="96">
        <f>IFERROR(VLOOKUP($B162,INDIRECT("'GRD-"&amp;FP$11&amp;"'!B:R"),15,FALSE),"")</f>
        <v/>
      </c>
      <c r="FQ162" s="96">
        <f>IFERROR(VLOOKUP($B162,INDIRECT("'GRD-"&amp;FQ$11&amp;"'!B:R"),15,FALSE),"")</f>
        <v/>
      </c>
      <c r="FR162" s="96">
        <f>IFERROR(VLOOKUP($B162,INDIRECT("'GRD-"&amp;FR$11&amp;"'!B:R"),15,FALSE),"")</f>
        <v/>
      </c>
      <c r="FS162" s="96">
        <f>IFERROR(VLOOKUP($B162,INDIRECT("'GRD-"&amp;FS$11&amp;"'!B:R"),15,FALSE),"")</f>
        <v/>
      </c>
      <c r="FT162" s="96">
        <f>IFERROR(VLOOKUP($B162,INDIRECT("'GRD-"&amp;FT$11&amp;"'!B:R"),15,FALSE),"")</f>
        <v/>
      </c>
      <c r="FU162" s="96">
        <f>IFERROR(VLOOKUP($B162,INDIRECT("'GRD-"&amp;FU$11&amp;"'!B:R"),15,FALSE),"")</f>
        <v/>
      </c>
      <c r="FV162" s="96">
        <f>IFERROR(VLOOKUP($B162,INDIRECT("'GRD-"&amp;FV$11&amp;"'!B:R"),15,FALSE),"")</f>
        <v/>
      </c>
    </row>
    <row r="163">
      <c r="B163" s="85" t="n"/>
      <c r="C163" s="93" t="n"/>
      <c r="D163" s="73">
        <f>IF(K163="","",MAX($CA163:$FV163))</f>
        <v/>
      </c>
      <c r="E163" s="74">
        <f t="array" ref="E163">IF($K163="","",OFFSET($A$1,ROW($B163)-1,11+$D163*4,))</f>
        <v/>
      </c>
      <c r="F163" s="74">
        <f t="array" ref="F163">IF($K163="","",OFFSET($A$1,ROW($B163)-1,12+$D163*4,))</f>
        <v/>
      </c>
      <c r="G163" s="118">
        <f t="array" ref="G163">IF($K163="","",OFFSET($A$1,ROW($B163)-1,13+$D163*4,))</f>
        <v/>
      </c>
      <c r="H163" s="81" t="n"/>
      <c r="I163" s="82" t="n"/>
      <c r="J163" s="75">
        <f>IF(I163="A4",H163/8,IF(I163="A3",H163/4,IF(I163="A2",H163/2,IF(I163="A1",H163/1,IF(I163="A0",H163*2,"")))))</f>
        <v/>
      </c>
      <c r="K163" s="68">
        <f t="array" ref="K163">IFERROR(OFFSET($BZ$11,ROW($B163)-11,MATCH(K$10,$CA163:$FV163,0),),"")</f>
        <v/>
      </c>
      <c r="L163" s="85">
        <f>IF(K163="","",IF(VLOOKUP($B163,INDIRECT("'GRD-"&amp;M163&amp;"'!$B:$R"),16,FALSE)="","",VLOOKUP($B163,INDIRECT("'GRD-"&amp;M163&amp;"'!$B:$R"),16,FALSE)))</f>
        <v/>
      </c>
      <c r="M163" s="130">
        <f t="array" ref="M163">IF(K163="","",IFERROR(OFFSET($BZ$11,0,MATCH($K163,$CA163:$FV163,0),),""))</f>
        <v/>
      </c>
      <c r="N163" s="119">
        <f t="array" ref="N163">IF(K163="","",INDIRECT("'GRD-"&amp;M163&amp;"'!$L$7"))</f>
        <v/>
      </c>
      <c r="O163" s="76">
        <f t="array" ref="O163">IFERROR(OFFSET($BZ$11,ROW($B163)-11,MATCH(O$10,$CA163:$FV163,0),),"")</f>
        <v/>
      </c>
      <c r="P163" s="76">
        <f>IF(O163="","",IF(VLOOKUP($B163,INDIRECT("'GRD-"&amp;Q163&amp;"'!$B:$R"),16,FALSE)="","",VLOOKUP($B163,INDIRECT("'GRD-"&amp;Q163&amp;"'!$B:$R"),16,FALSE)))</f>
        <v/>
      </c>
      <c r="Q163" s="132">
        <f t="array" ref="Q163">IF(O163="","",IFERROR(OFFSET($BZ$11,0,MATCH($O163,$CA163:$FV163,0),),""))</f>
        <v/>
      </c>
      <c r="R163" s="121">
        <f t="array" ref="R163">IF(O163="","",INDIRECT("'GRD-"&amp;Q163&amp;"'!$L$7"))</f>
        <v/>
      </c>
      <c r="S163" s="83">
        <f t="array" ref="S163">IFERROR(OFFSET($BZ$11,ROW($B163)-11,MATCH(S$10,$CA163:$FV163,0),),"")</f>
        <v/>
      </c>
      <c r="T163" s="83">
        <f>IF(S163="","",IF(VLOOKUP($B163,INDIRECT("'GRD-"&amp;U163&amp;"'!$B:$R"),16,FALSE)="","",VLOOKUP($B163,INDIRECT("'GRD-"&amp;U163&amp;"'!$B:$R"),16,FALSE)))</f>
        <v/>
      </c>
      <c r="U163" s="128">
        <f t="array" ref="U163">IF(S163="","",IFERROR(OFFSET($BZ$11,0,MATCH($S163,$CA163:$FV163,0),),""))</f>
        <v/>
      </c>
      <c r="V163" s="133">
        <f t="array" ref="V163">IF(S163="","",INDIRECT("'GRD-"&amp;U163&amp;"'!$L$7"))</f>
        <v/>
      </c>
      <c r="W163" s="84">
        <f t="array" ref="W163">IFERROR(OFFSET($BZ$11,ROW($B163)-11,MATCH(W$10,$CA163:$FV163,0),),"")</f>
        <v/>
      </c>
      <c r="X163" s="84">
        <f>IF(W163="","",IF(VLOOKUP($B163,INDIRECT("'GRD-"&amp;Y163&amp;"'!$B:$R"),16,FALSE)="","",VLOOKUP($B163,INDIRECT("'GRD-"&amp;Y163&amp;"'!$B:$R"),16,FALSE)))</f>
        <v/>
      </c>
      <c r="Y163" s="129">
        <f t="array" ref="Y163">IF(W163="","",IFERROR(OFFSET($BZ$11,0,MATCH($W163,$CA163:$FV163,0),),""))</f>
        <v/>
      </c>
      <c r="Z163" s="134">
        <f t="array" ref="Z163">IF(W163="","",INDIRECT("'GRD-"&amp;Y163&amp;"'!$L$7"))</f>
        <v/>
      </c>
      <c r="AA163" s="85">
        <f t="array" ref="AA163">IFERROR(OFFSET($BZ$11,ROW($B163)-11,MATCH(AA$10,$CA163:$FV163,0),),"")</f>
        <v/>
      </c>
      <c r="AB163" s="85">
        <f>IF(AA163="","",IF(VLOOKUP($B163,INDIRECT("'GRD-"&amp;AC163&amp;"'!$B:$R"),16,FALSE)="","",VLOOKUP($B163,INDIRECT("'GRD-"&amp;AC163&amp;"'!$B:$R"),16,FALSE)))</f>
        <v/>
      </c>
      <c r="AC163" s="130">
        <f t="array" ref="AC163">IF(AA163="","",IFERROR(OFFSET($BZ$11,0,MATCH($AA163,$CA163:$FV163,0),),""))</f>
        <v/>
      </c>
      <c r="AD163" s="131">
        <f t="array" ref="AD163">IF(AA163="","",INDIRECT("'GRD-"&amp;AC163&amp;"'!$L$7"))</f>
        <v/>
      </c>
      <c r="AE163" s="76">
        <f t="array" ref="AE163">IFERROR(OFFSET($BZ$11,ROW($B163)-11,MATCH(AE$10,$CA163:$FV163,0),),"")</f>
        <v/>
      </c>
      <c r="AF163" s="76">
        <f>IF(AE163="","",IF(VLOOKUP($B163,INDIRECT("'GRD-"&amp;AG163&amp;"'!$B:$R"),16,FALSE)="","",VLOOKUP($B163,INDIRECT("'GRD-"&amp;AG163&amp;"'!$B:$R"),16,FALSE)))</f>
        <v/>
      </c>
      <c r="AG163" s="132">
        <f t="array" ref="AG163">IF(AE163="","",IFERROR(OFFSET($BZ$11,0,MATCH($AE163,$CA163:$FV163,0),),""))</f>
        <v/>
      </c>
      <c r="AH163" s="121">
        <f t="array" ref="AH163">IF(AE163="","",INDIRECT("'GRD-"&amp;AG163&amp;"'!$L$7"))</f>
        <v/>
      </c>
      <c r="AI163" s="83">
        <f t="array" ref="AI163">IFERROR(OFFSET($BZ$11,ROW($B163)-11,MATCH(AI$10,$CA163:$FV163,0),),"")</f>
        <v/>
      </c>
      <c r="AJ163" s="83">
        <f>IF(AI163="","",IF(VLOOKUP($B163,INDIRECT("'GRD-"&amp;AK163&amp;"'!$B:$R"),16,FALSE)="","",VLOOKUP($B163,INDIRECT("'GRD-"&amp;AK163&amp;"'!$B:$R"),16,FALSE)))</f>
        <v/>
      </c>
      <c r="AK163" s="128">
        <f t="array" ref="AK163">IF(AI163="","",IFERROR(OFFSET($BZ$11,0,MATCH($AI163,$CA163:$FV163,0),),""))</f>
        <v/>
      </c>
      <c r="AL163" s="133">
        <f t="array" ref="AL163">IF(AI163="","",INDIRECT("'GRD-"&amp;AK163&amp;"'!$L$7"))</f>
        <v/>
      </c>
      <c r="AM163" s="84">
        <f t="array" ref="AM163">IFERROR(OFFSET($BZ$11,ROW($B163)-11,MATCH(AM$10,$CA163:$FV163,0),),"")</f>
        <v/>
      </c>
      <c r="AN163" s="84">
        <f>IF(AM163="","",IF(VLOOKUP($B163,INDIRECT("'GRD-"&amp;AO163&amp;"'!$B:$R"),16,FALSE)="","",VLOOKUP($B163,INDIRECT("'GRD-"&amp;AO163&amp;"'!$B:$R"),16,FALSE)))</f>
        <v/>
      </c>
      <c r="AO163" s="129">
        <f t="array" ref="AO163">IF(AM163="","",IFERROR(OFFSET($BZ$11,0,MATCH($AM163,$CA163:$FV163,0),),""))</f>
        <v/>
      </c>
      <c r="AP163" s="134">
        <f t="array" ref="AP163">IF(AM163="","",INDIRECT("'GRD-"&amp;AO163&amp;"'!$L$7"))</f>
        <v/>
      </c>
      <c r="AQ163" s="85">
        <f t="array" ref="AQ163">IFERROR(OFFSET($BZ$11,ROW($B163)-11,MATCH(AQ$10,$CA163:$FV163,0),),"")</f>
        <v/>
      </c>
      <c r="AR163" s="85">
        <f>IF(AQ163="","",IF(VLOOKUP($B163,INDIRECT("'GRD-"&amp;AS163&amp;"'!$B:$R"),16,FALSE)="","",VLOOKUP($B163,INDIRECT("'GRD-"&amp;AS163&amp;"'!$B:$R"),16,FALSE)))</f>
        <v/>
      </c>
      <c r="AS163" s="130">
        <f t="array" ref="AS163">IF(AQ163="","",IFERROR(OFFSET($BZ$11,0,MATCH($AQ163,$CA163:$FV163,0),),""))</f>
        <v/>
      </c>
      <c r="AT163" s="131">
        <f t="array" ref="AT163">IF(AQ163="","",INDIRECT("'GRD-"&amp;AS163&amp;"'!$L$7"))</f>
        <v/>
      </c>
      <c r="AU163" s="76">
        <f t="array" ref="AU163">IFERROR(OFFSET($BZ$11,ROW($B163)-11,MATCH(AU$10,$CA163:$FV163,0),),"")</f>
        <v/>
      </c>
      <c r="AV163" s="76">
        <f>IF(AU163="","",IF(VLOOKUP($B163,INDIRECT("'GRD-"&amp;AW163&amp;"'!$B:$R"),16,FALSE)="","",VLOOKUP($B163,INDIRECT("'GRD-"&amp;AW163&amp;"'!$B:$R"),16,FALSE)))</f>
        <v/>
      </c>
      <c r="AW163" s="132">
        <f t="array" ref="AW163">IF(AU163="","",IFERROR(OFFSET($BZ$11,0,MATCH($AU163,$CA163:$FV163,0),),""))</f>
        <v/>
      </c>
      <c r="AX163" s="121">
        <f t="array" ref="AX163">IF(AU163="","",INDIRECT("'GRD-"&amp;AW163&amp;"'!$L$7"))</f>
        <v/>
      </c>
      <c r="AY163" s="83">
        <f t="array" ref="AY163">IFERROR(OFFSET($BZ$11,ROW($B163)-11,MATCH(AY$10,$CA163:$FV163,0),),"")</f>
        <v/>
      </c>
      <c r="AZ163" s="83">
        <f>IF(AY163="","",IF(VLOOKUP($B163,INDIRECT("'GRD-"&amp;BA163&amp;"'!$B:$R"),16,FALSE)="","",VLOOKUP($B163,INDIRECT("'GRD-"&amp;BA163&amp;"'!$B:$R"),16,FALSE)))</f>
        <v/>
      </c>
      <c r="BA163" s="128">
        <f t="array" ref="BA163">IF(AY163="","",IFERROR(OFFSET($BZ$11,0,MATCH($AY163,$CA163:$FV163,0),),""))</f>
        <v/>
      </c>
      <c r="BB163" s="133">
        <f t="array" ref="BB163">IF(AY163="","",INDIRECT("'GRD-"&amp;BA163&amp;"'!$L$7"))</f>
        <v/>
      </c>
      <c r="BC163" s="84">
        <f t="array" ref="BC163">IFERROR(OFFSET($BZ$11,ROW($B163)-11,MATCH(BC$10,$CA163:$FV163,0),),"")</f>
        <v/>
      </c>
      <c r="BD163" s="84">
        <f>IF(BC163="","",IF(VLOOKUP($B163,INDIRECT("'GRD-"&amp;BE163&amp;"'!$B:$R"),16,FALSE)="","",VLOOKUP($B163,INDIRECT("'GRD-"&amp;BE163&amp;"'!$B:$R"),16,FALSE)))</f>
        <v/>
      </c>
      <c r="BE163" s="129">
        <f t="array" ref="BE163">IF(BC163="","",IFERROR(OFFSET($BZ$11,0,MATCH($BC163,$CA163:$FV163,0),),""))</f>
        <v/>
      </c>
      <c r="BF163" s="134">
        <f t="array" ref="BF163">IF(BC163="","",INDIRECT("'GRD-"&amp;BE163&amp;"'!$L$7"))</f>
        <v/>
      </c>
      <c r="CA163" s="96">
        <f>IFERROR(VLOOKUP($B163,INDIRECT("'GRD-"&amp;CA$11&amp;"'!B:R"),15,FALSE),"")</f>
        <v/>
      </c>
      <c r="CB163" s="96">
        <f>IFERROR(VLOOKUP($B163,INDIRECT("'GRD-"&amp;CB$11&amp;"'!B:R"),15,FALSE),"")</f>
        <v/>
      </c>
      <c r="CC163" s="96">
        <f>IFERROR(VLOOKUP($B163,INDIRECT("'GRD-"&amp;CC$11&amp;"'!B:R"),15,FALSE),"")</f>
        <v/>
      </c>
      <c r="CD163" s="96">
        <f>IFERROR(VLOOKUP($B163,INDIRECT("'GRD-"&amp;CD$11&amp;"'!B:R"),15,FALSE),"")</f>
        <v/>
      </c>
      <c r="CE163" s="96">
        <f>IFERROR(VLOOKUP($B163,INDIRECT("'GRD-"&amp;CE$11&amp;"'!B:R"),15,FALSE),"")</f>
        <v/>
      </c>
      <c r="CF163" s="96">
        <f>IFERROR(VLOOKUP($B163,INDIRECT("'GRD-"&amp;CF$11&amp;"'!B:R"),15,FALSE),"")</f>
        <v/>
      </c>
      <c r="CG163" s="96">
        <f>IFERROR(VLOOKUP($B163,INDIRECT("'GRD-"&amp;CG$11&amp;"'!B:R"),15,FALSE),"")</f>
        <v/>
      </c>
      <c r="CH163" s="96">
        <f>IFERROR(VLOOKUP($B163,INDIRECT("'GRD-"&amp;CH$11&amp;"'!B:R"),15,FALSE),"")</f>
        <v/>
      </c>
      <c r="CI163" s="96">
        <f>IFERROR(VLOOKUP($B163,INDIRECT("'GRD-"&amp;CI$11&amp;"'!B:R"),15,FALSE),"")</f>
        <v/>
      </c>
      <c r="CJ163" s="96">
        <f>IFERROR(VLOOKUP($B163,INDIRECT("'GRD-"&amp;CJ$11&amp;"'!B:R"),15,FALSE),"")</f>
        <v/>
      </c>
      <c r="CK163" s="96">
        <f>IFERROR(VLOOKUP($B163,INDIRECT("'GRD-"&amp;CK$11&amp;"'!B:R"),15,FALSE),"")</f>
        <v/>
      </c>
      <c r="CL163" s="96">
        <f>IFERROR(VLOOKUP($B163,INDIRECT("'GRD-"&amp;CL$11&amp;"'!B:R"),15,FALSE),"")</f>
        <v/>
      </c>
      <c r="CM163" s="96">
        <f>IFERROR(VLOOKUP($B163,INDIRECT("'GRD-"&amp;CM$11&amp;"'!B:R"),15,FALSE),"")</f>
        <v/>
      </c>
      <c r="CN163" s="96">
        <f>IFERROR(VLOOKUP($B163,INDIRECT("'GRD-"&amp;CN$11&amp;"'!B:R"),15,FALSE),"")</f>
        <v/>
      </c>
      <c r="CO163" s="96">
        <f>IFERROR(VLOOKUP($B163,INDIRECT("'GRD-"&amp;CO$11&amp;"'!B:R"),15,FALSE),"")</f>
        <v/>
      </c>
      <c r="CP163" s="96">
        <f>IFERROR(VLOOKUP($B163,INDIRECT("'GRD-"&amp;CP$11&amp;"'!B:R"),15,FALSE),"")</f>
        <v/>
      </c>
      <c r="CQ163" s="96">
        <f>IFERROR(VLOOKUP($B163,INDIRECT("'GRD-"&amp;CQ$11&amp;"'!B:R"),15,FALSE),"")</f>
        <v/>
      </c>
      <c r="CR163" s="96">
        <f>IFERROR(VLOOKUP($B163,INDIRECT("'GRD-"&amp;CR$11&amp;"'!B:R"),15,FALSE),"")</f>
        <v/>
      </c>
      <c r="CS163" s="96">
        <f>IFERROR(VLOOKUP($B163,INDIRECT("'GRD-"&amp;CS$11&amp;"'!B:R"),15,FALSE),"")</f>
        <v/>
      </c>
      <c r="CT163" s="96">
        <f>IFERROR(VLOOKUP($B163,INDIRECT("'GRD-"&amp;CT$11&amp;"'!B:R"),15,FALSE),"")</f>
        <v/>
      </c>
      <c r="CU163" s="96">
        <f>IFERROR(VLOOKUP($B163,INDIRECT("'GRD-"&amp;CU$11&amp;"'!B:R"),15,FALSE),"")</f>
        <v/>
      </c>
      <c r="CV163" s="96">
        <f>IFERROR(VLOOKUP($B163,INDIRECT("'GRD-"&amp;CV$11&amp;"'!B:R"),15,FALSE),"")</f>
        <v/>
      </c>
      <c r="CW163" s="96">
        <f>IFERROR(VLOOKUP($B163,INDIRECT("'GRD-"&amp;CW$11&amp;"'!B:R"),15,FALSE),"")</f>
        <v/>
      </c>
      <c r="CX163" s="96">
        <f>IFERROR(VLOOKUP($B163,INDIRECT("'GRD-"&amp;CX$11&amp;"'!B:R"),15,FALSE),"")</f>
        <v/>
      </c>
      <c r="CY163" s="96">
        <f>IFERROR(VLOOKUP($B163,INDIRECT("'GRD-"&amp;CY$11&amp;"'!B:R"),15,FALSE),"")</f>
        <v/>
      </c>
      <c r="CZ163" s="96">
        <f>IFERROR(VLOOKUP($B163,INDIRECT("'GRD-"&amp;CZ$11&amp;"'!B:R"),15,FALSE),"")</f>
        <v/>
      </c>
      <c r="DA163" s="96">
        <f>IFERROR(VLOOKUP($B163,INDIRECT("'GRD-"&amp;DA$11&amp;"'!B:R"),15,FALSE),"")</f>
        <v/>
      </c>
      <c r="DB163" s="96">
        <f>IFERROR(VLOOKUP($B163,INDIRECT("'GRD-"&amp;DB$11&amp;"'!B:R"),15,FALSE),"")</f>
        <v/>
      </c>
      <c r="DC163" s="96">
        <f>IFERROR(VLOOKUP($B163,INDIRECT("'GRD-"&amp;DC$11&amp;"'!B:R"),15,FALSE),"")</f>
        <v/>
      </c>
      <c r="DD163" s="96">
        <f>IFERROR(VLOOKUP($B163,INDIRECT("'GRD-"&amp;DD$11&amp;"'!B:R"),15,FALSE),"")</f>
        <v/>
      </c>
      <c r="DE163" s="96">
        <f>IFERROR(VLOOKUP($B163,INDIRECT("'GRD-"&amp;DE$11&amp;"'!B:R"),15,FALSE),"")</f>
        <v/>
      </c>
      <c r="DF163" s="96">
        <f>IFERROR(VLOOKUP($B163,INDIRECT("'GRD-"&amp;DF$11&amp;"'!B:R"),15,FALSE),"")</f>
        <v/>
      </c>
      <c r="DG163" s="96">
        <f>IFERROR(VLOOKUP($B163,INDIRECT("'GRD-"&amp;DG$11&amp;"'!B:R"),15,FALSE),"")</f>
        <v/>
      </c>
      <c r="DH163" s="96">
        <f>IFERROR(VLOOKUP($B163,INDIRECT("'GRD-"&amp;DH$11&amp;"'!B:R"),15,FALSE),"")</f>
        <v/>
      </c>
      <c r="DI163" s="96">
        <f>IFERROR(VLOOKUP($B163,INDIRECT("'GRD-"&amp;DI$11&amp;"'!B:R"),15,FALSE),"")</f>
        <v/>
      </c>
      <c r="DJ163" s="96">
        <f>IFERROR(VLOOKUP($B163,INDIRECT("'GRD-"&amp;DJ$11&amp;"'!B:R"),15,FALSE),"")</f>
        <v/>
      </c>
      <c r="DK163" s="96">
        <f>IFERROR(VLOOKUP($B163,INDIRECT("'GRD-"&amp;DK$11&amp;"'!B:R"),15,FALSE),"")</f>
        <v/>
      </c>
      <c r="DL163" s="96">
        <f>IFERROR(VLOOKUP($B163,INDIRECT("'GRD-"&amp;DL$11&amp;"'!B:R"),15,FALSE),"")</f>
        <v/>
      </c>
      <c r="DM163" s="96">
        <f>IFERROR(VLOOKUP($B163,INDIRECT("'GRD-"&amp;DM$11&amp;"'!B:R"),15,FALSE),"")</f>
        <v/>
      </c>
      <c r="DN163" s="96">
        <f>IFERROR(VLOOKUP($B163,INDIRECT("'GRD-"&amp;DN$11&amp;"'!B:R"),15,FALSE),"")</f>
        <v/>
      </c>
      <c r="DO163" s="96">
        <f>IFERROR(VLOOKUP($B163,INDIRECT("'GRD-"&amp;DO$11&amp;"'!B:R"),15,FALSE),"")</f>
        <v/>
      </c>
      <c r="DP163" s="96">
        <f>IFERROR(VLOOKUP($B163,INDIRECT("'GRD-"&amp;DP$11&amp;"'!B:R"),15,FALSE),"")</f>
        <v/>
      </c>
      <c r="DQ163" s="96">
        <f>IFERROR(VLOOKUP($B163,INDIRECT("'GRD-"&amp;DQ$11&amp;"'!B:R"),15,FALSE),"")</f>
        <v/>
      </c>
      <c r="DR163" s="96">
        <f>IFERROR(VLOOKUP($B163,INDIRECT("'GRD-"&amp;DR$11&amp;"'!B:R"),15,FALSE),"")</f>
        <v/>
      </c>
      <c r="DS163" s="96">
        <f>IFERROR(VLOOKUP($B163,INDIRECT("'GRD-"&amp;DS$11&amp;"'!B:R"),15,FALSE),"")</f>
        <v/>
      </c>
      <c r="DT163" s="96">
        <f>IFERROR(VLOOKUP($B163,INDIRECT("'GRD-"&amp;DT$11&amp;"'!B:R"),15,FALSE),"")</f>
        <v/>
      </c>
      <c r="DU163" s="96">
        <f>IFERROR(VLOOKUP($B163,INDIRECT("'GRD-"&amp;DU$11&amp;"'!B:R"),15,FALSE),"")</f>
        <v/>
      </c>
      <c r="DV163" s="96">
        <f>IFERROR(VLOOKUP($B163,INDIRECT("'GRD-"&amp;DV$11&amp;"'!B:R"),15,FALSE),"")</f>
        <v/>
      </c>
      <c r="DW163" s="96">
        <f>IFERROR(VLOOKUP($B163,INDIRECT("'GRD-"&amp;DW$11&amp;"'!B:R"),15,FALSE),"")</f>
        <v/>
      </c>
      <c r="DX163" s="96">
        <f>IFERROR(VLOOKUP($B163,INDIRECT("'GRD-"&amp;DX$11&amp;"'!B:R"),15,FALSE),"")</f>
        <v/>
      </c>
      <c r="DY163" s="96">
        <f>IFERROR(VLOOKUP($B163,INDIRECT("'GRD-"&amp;DY$11&amp;"'!B:R"),15,FALSE),"")</f>
        <v/>
      </c>
      <c r="DZ163" s="96">
        <f>IFERROR(VLOOKUP($B163,INDIRECT("'GRD-"&amp;DZ$11&amp;"'!B:R"),15,FALSE),"")</f>
        <v/>
      </c>
      <c r="EA163" s="96">
        <f>IFERROR(VLOOKUP($B163,INDIRECT("'GRD-"&amp;EA$11&amp;"'!B:R"),15,FALSE),"")</f>
        <v/>
      </c>
      <c r="EB163" s="96">
        <f>IFERROR(VLOOKUP($B163,INDIRECT("'GRD-"&amp;EB$11&amp;"'!B:R"),15,FALSE),"")</f>
        <v/>
      </c>
      <c r="EC163" s="96">
        <f>IFERROR(VLOOKUP($B163,INDIRECT("'GRD-"&amp;EC$11&amp;"'!B:R"),15,FALSE),"")</f>
        <v/>
      </c>
      <c r="ED163" s="96">
        <f>IFERROR(VLOOKUP($B163,INDIRECT("'GRD-"&amp;ED$11&amp;"'!B:R"),15,FALSE),"")</f>
        <v/>
      </c>
      <c r="EE163" s="96">
        <f>IFERROR(VLOOKUP($B163,INDIRECT("'GRD-"&amp;EE$11&amp;"'!B:R"),15,FALSE),"")</f>
        <v/>
      </c>
      <c r="EF163" s="96">
        <f>IFERROR(VLOOKUP($B163,INDIRECT("'GRD-"&amp;EF$11&amp;"'!B:R"),15,FALSE),"")</f>
        <v/>
      </c>
      <c r="EG163" s="96">
        <f>IFERROR(VLOOKUP($B163,INDIRECT("'GRD-"&amp;EG$11&amp;"'!B:R"),15,FALSE),"")</f>
        <v/>
      </c>
      <c r="EH163" s="96">
        <f>IFERROR(VLOOKUP($B163,INDIRECT("'GRD-"&amp;EH$11&amp;"'!B:R"),15,FALSE),"")</f>
        <v/>
      </c>
      <c r="EI163" s="96">
        <f>IFERROR(VLOOKUP($B163,INDIRECT("'GRD-"&amp;EI$11&amp;"'!B:R"),15,FALSE),"")</f>
        <v/>
      </c>
      <c r="EJ163" s="96">
        <f>IFERROR(VLOOKUP($B163,INDIRECT("'GRD-"&amp;EJ$11&amp;"'!B:R"),15,FALSE),"")</f>
        <v/>
      </c>
      <c r="EK163" s="96">
        <f>IFERROR(VLOOKUP($B163,INDIRECT("'GRD-"&amp;EK$11&amp;"'!B:R"),15,FALSE),"")</f>
        <v/>
      </c>
      <c r="EL163" s="96">
        <f>IFERROR(VLOOKUP($B163,INDIRECT("'GRD-"&amp;EL$11&amp;"'!B:R"),15,FALSE),"")</f>
        <v/>
      </c>
      <c r="EM163" s="96">
        <f>IFERROR(VLOOKUP($B163,INDIRECT("'GRD-"&amp;EM$11&amp;"'!B:R"),15,FALSE),"")</f>
        <v/>
      </c>
      <c r="EN163" s="96">
        <f>IFERROR(VLOOKUP($B163,INDIRECT("'GRD-"&amp;EN$11&amp;"'!B:R"),15,FALSE),"")</f>
        <v/>
      </c>
      <c r="EO163" s="96">
        <f>IFERROR(VLOOKUP($B163,INDIRECT("'GRD-"&amp;EO$11&amp;"'!B:R"),15,FALSE),"")</f>
        <v/>
      </c>
      <c r="EP163" s="96">
        <f>IFERROR(VLOOKUP($B163,INDIRECT("'GRD-"&amp;EP$11&amp;"'!B:R"),15,FALSE),"")</f>
        <v/>
      </c>
      <c r="EQ163" s="96">
        <f>IFERROR(VLOOKUP($B163,INDIRECT("'GRD-"&amp;EQ$11&amp;"'!B:R"),15,FALSE),"")</f>
        <v/>
      </c>
      <c r="ER163" s="96">
        <f>IFERROR(VLOOKUP($B163,INDIRECT("'GRD-"&amp;ER$11&amp;"'!B:R"),15,FALSE),"")</f>
        <v/>
      </c>
      <c r="ES163" s="96">
        <f>IFERROR(VLOOKUP($B163,INDIRECT("'GRD-"&amp;ES$11&amp;"'!B:R"),15,FALSE),"")</f>
        <v/>
      </c>
      <c r="ET163" s="96">
        <f>IFERROR(VLOOKUP($B163,INDIRECT("'GRD-"&amp;ET$11&amp;"'!B:R"),15,FALSE),"")</f>
        <v/>
      </c>
      <c r="EU163" s="96">
        <f>IFERROR(VLOOKUP($B163,INDIRECT("'GRD-"&amp;EU$11&amp;"'!B:R"),15,FALSE),"")</f>
        <v/>
      </c>
      <c r="EV163" s="96">
        <f>IFERROR(VLOOKUP($B163,INDIRECT("'GRD-"&amp;EV$11&amp;"'!B:R"),15,FALSE),"")</f>
        <v/>
      </c>
      <c r="EW163" s="96">
        <f>IFERROR(VLOOKUP($B163,INDIRECT("'GRD-"&amp;EW$11&amp;"'!B:R"),15,FALSE),"")</f>
        <v/>
      </c>
      <c r="EX163" s="96">
        <f>IFERROR(VLOOKUP($B163,INDIRECT("'GRD-"&amp;EX$11&amp;"'!B:R"),15,FALSE),"")</f>
        <v/>
      </c>
      <c r="EY163" s="96">
        <f>IFERROR(VLOOKUP($B163,INDIRECT("'GRD-"&amp;EY$11&amp;"'!B:R"),15,FALSE),"")</f>
        <v/>
      </c>
      <c r="EZ163" s="96">
        <f>IFERROR(VLOOKUP($B163,INDIRECT("'GRD-"&amp;EZ$11&amp;"'!B:R"),15,FALSE),"")</f>
        <v/>
      </c>
      <c r="FA163" s="96">
        <f>IFERROR(VLOOKUP($B163,INDIRECT("'GRD-"&amp;FA$11&amp;"'!B:R"),15,FALSE),"")</f>
        <v/>
      </c>
      <c r="FB163" s="96">
        <f>IFERROR(VLOOKUP($B163,INDIRECT("'GRD-"&amp;FB$11&amp;"'!B:R"),15,FALSE),"")</f>
        <v/>
      </c>
      <c r="FC163" s="96">
        <f>IFERROR(VLOOKUP($B163,INDIRECT("'GRD-"&amp;FC$11&amp;"'!B:R"),15,FALSE),"")</f>
        <v/>
      </c>
      <c r="FD163" s="96">
        <f>IFERROR(VLOOKUP($B163,INDIRECT("'GRD-"&amp;FD$11&amp;"'!B:R"),15,FALSE),"")</f>
        <v/>
      </c>
      <c r="FE163" s="96">
        <f>IFERROR(VLOOKUP($B163,INDIRECT("'GRD-"&amp;FE$11&amp;"'!B:R"),15,FALSE),"")</f>
        <v/>
      </c>
      <c r="FF163" s="96">
        <f>IFERROR(VLOOKUP($B163,INDIRECT("'GRD-"&amp;FF$11&amp;"'!B:R"),15,FALSE),"")</f>
        <v/>
      </c>
      <c r="FG163" s="96">
        <f>IFERROR(VLOOKUP($B163,INDIRECT("'GRD-"&amp;FG$11&amp;"'!B:R"),15,FALSE),"")</f>
        <v/>
      </c>
      <c r="FH163" s="96">
        <f>IFERROR(VLOOKUP($B163,INDIRECT("'GRD-"&amp;FH$11&amp;"'!B:R"),15,FALSE),"")</f>
        <v/>
      </c>
      <c r="FI163" s="96">
        <f>IFERROR(VLOOKUP($B163,INDIRECT("'GRD-"&amp;FI$11&amp;"'!B:R"),15,FALSE),"")</f>
        <v/>
      </c>
      <c r="FJ163" s="96">
        <f>IFERROR(VLOOKUP($B163,INDIRECT("'GRD-"&amp;FJ$11&amp;"'!B:R"),15,FALSE),"")</f>
        <v/>
      </c>
      <c r="FK163" s="96">
        <f>IFERROR(VLOOKUP($B163,INDIRECT("'GRD-"&amp;FK$11&amp;"'!B:R"),15,FALSE),"")</f>
        <v/>
      </c>
      <c r="FL163" s="96">
        <f>IFERROR(VLOOKUP($B163,INDIRECT("'GRD-"&amp;FL$11&amp;"'!B:R"),15,FALSE),"")</f>
        <v/>
      </c>
      <c r="FM163" s="96">
        <f>IFERROR(VLOOKUP($B163,INDIRECT("'GRD-"&amp;FM$11&amp;"'!B:R"),15,FALSE),"")</f>
        <v/>
      </c>
      <c r="FN163" s="96">
        <f>IFERROR(VLOOKUP($B163,INDIRECT("'GRD-"&amp;FN$11&amp;"'!B:R"),15,FALSE),"")</f>
        <v/>
      </c>
      <c r="FO163" s="96">
        <f>IFERROR(VLOOKUP($B163,INDIRECT("'GRD-"&amp;FO$11&amp;"'!B:R"),15,FALSE),"")</f>
        <v/>
      </c>
      <c r="FP163" s="96">
        <f>IFERROR(VLOOKUP($B163,INDIRECT("'GRD-"&amp;FP$11&amp;"'!B:R"),15,FALSE),"")</f>
        <v/>
      </c>
      <c r="FQ163" s="96">
        <f>IFERROR(VLOOKUP($B163,INDIRECT("'GRD-"&amp;FQ$11&amp;"'!B:R"),15,FALSE),"")</f>
        <v/>
      </c>
      <c r="FR163" s="96">
        <f>IFERROR(VLOOKUP($B163,INDIRECT("'GRD-"&amp;FR$11&amp;"'!B:R"),15,FALSE),"")</f>
        <v/>
      </c>
      <c r="FS163" s="96">
        <f>IFERROR(VLOOKUP($B163,INDIRECT("'GRD-"&amp;FS$11&amp;"'!B:R"),15,FALSE),"")</f>
        <v/>
      </c>
      <c r="FT163" s="96">
        <f>IFERROR(VLOOKUP($B163,INDIRECT("'GRD-"&amp;FT$11&amp;"'!B:R"),15,FALSE),"")</f>
        <v/>
      </c>
      <c r="FU163" s="96">
        <f>IFERROR(VLOOKUP($B163,INDIRECT("'GRD-"&amp;FU$11&amp;"'!B:R"),15,FALSE),"")</f>
        <v/>
      </c>
      <c r="FV163" s="96">
        <f>IFERROR(VLOOKUP($B163,INDIRECT("'GRD-"&amp;FV$11&amp;"'!B:R"),15,FALSE),"")</f>
        <v/>
      </c>
    </row>
    <row r="164">
      <c r="B164" s="85" t="n"/>
      <c r="C164" s="93" t="n"/>
      <c r="D164" s="73">
        <f>IF(K164="","",MAX($CA164:$FV164))</f>
        <v/>
      </c>
      <c r="E164" s="74">
        <f t="array" ref="E164">IF($K164="","",OFFSET($A$1,ROW($B164)-1,11+$D164*4,))</f>
        <v/>
      </c>
      <c r="F164" s="74">
        <f t="array" ref="F164">IF($K164="","",OFFSET($A$1,ROW($B164)-1,12+$D164*4,))</f>
        <v/>
      </c>
      <c r="G164" s="118">
        <f t="array" ref="G164">IF($K164="","",OFFSET($A$1,ROW($B164)-1,13+$D164*4,))</f>
        <v/>
      </c>
      <c r="H164" s="81" t="n"/>
      <c r="I164" s="82" t="n"/>
      <c r="J164" s="75">
        <f>IF(I164="A4",H164/8,IF(I164="A3",H164/4,IF(I164="A2",H164/2,IF(I164="A1",H164/1,IF(I164="A0",H164*2,"")))))</f>
        <v/>
      </c>
      <c r="K164" s="68">
        <f t="array" ref="K164">IFERROR(OFFSET($BZ$11,ROW($B164)-11,MATCH(K$10,$CA164:$FV164,0),),"")</f>
        <v/>
      </c>
      <c r="L164" s="85">
        <f>IF(K164="","",IF(VLOOKUP($B164,INDIRECT("'GRD-"&amp;M164&amp;"'!$B:$R"),16,FALSE)="","",VLOOKUP($B164,INDIRECT("'GRD-"&amp;M164&amp;"'!$B:$R"),16,FALSE)))</f>
        <v/>
      </c>
      <c r="M164" s="130">
        <f t="array" ref="M164">IF(K164="","",IFERROR(OFFSET($BZ$11,0,MATCH($K164,$CA164:$FV164,0),),""))</f>
        <v/>
      </c>
      <c r="N164" s="119">
        <f t="array" ref="N164">IF(K164="","",INDIRECT("'GRD-"&amp;M164&amp;"'!$L$7"))</f>
        <v/>
      </c>
      <c r="O164" s="76">
        <f t="array" ref="O164">IFERROR(OFFSET($BZ$11,ROW($B164)-11,MATCH(O$10,$CA164:$FV164,0),),"")</f>
        <v/>
      </c>
      <c r="P164" s="76">
        <f>IF(O164="","",IF(VLOOKUP($B164,INDIRECT("'GRD-"&amp;Q164&amp;"'!$B:$R"),16,FALSE)="","",VLOOKUP($B164,INDIRECT("'GRD-"&amp;Q164&amp;"'!$B:$R"),16,FALSE)))</f>
        <v/>
      </c>
      <c r="Q164" s="132">
        <f t="array" ref="Q164">IF(O164="","",IFERROR(OFFSET($BZ$11,0,MATCH($O164,$CA164:$FV164,0),),""))</f>
        <v/>
      </c>
      <c r="R164" s="121">
        <f t="array" ref="R164">IF(O164="","",INDIRECT("'GRD-"&amp;Q164&amp;"'!$L$7"))</f>
        <v/>
      </c>
      <c r="S164" s="83">
        <f t="array" ref="S164">IFERROR(OFFSET($BZ$11,ROW($B164)-11,MATCH(S$10,$CA164:$FV164,0),),"")</f>
        <v/>
      </c>
      <c r="T164" s="83">
        <f>IF(S164="","",IF(VLOOKUP($B164,INDIRECT("'GRD-"&amp;U164&amp;"'!$B:$R"),16,FALSE)="","",VLOOKUP($B164,INDIRECT("'GRD-"&amp;U164&amp;"'!$B:$R"),16,FALSE)))</f>
        <v/>
      </c>
      <c r="U164" s="128">
        <f t="array" ref="U164">IF(S164="","",IFERROR(OFFSET($BZ$11,0,MATCH($S164,$CA164:$FV164,0),),""))</f>
        <v/>
      </c>
      <c r="V164" s="133">
        <f t="array" ref="V164">IF(S164="","",INDIRECT("'GRD-"&amp;U164&amp;"'!$L$7"))</f>
        <v/>
      </c>
      <c r="W164" s="84">
        <f t="array" ref="W164">IFERROR(OFFSET($BZ$11,ROW($B164)-11,MATCH(W$10,$CA164:$FV164,0),),"")</f>
        <v/>
      </c>
      <c r="X164" s="84">
        <f>IF(W164="","",IF(VLOOKUP($B164,INDIRECT("'GRD-"&amp;Y164&amp;"'!$B:$R"),16,FALSE)="","",VLOOKUP($B164,INDIRECT("'GRD-"&amp;Y164&amp;"'!$B:$R"),16,FALSE)))</f>
        <v/>
      </c>
      <c r="Y164" s="129">
        <f t="array" ref="Y164">IF(W164="","",IFERROR(OFFSET($BZ$11,0,MATCH($W164,$CA164:$FV164,0),),""))</f>
        <v/>
      </c>
      <c r="Z164" s="134">
        <f t="array" ref="Z164">IF(W164="","",INDIRECT("'GRD-"&amp;Y164&amp;"'!$L$7"))</f>
        <v/>
      </c>
      <c r="AA164" s="85">
        <f t="array" ref="AA164">IFERROR(OFFSET($BZ$11,ROW($B164)-11,MATCH(AA$10,$CA164:$FV164,0),),"")</f>
        <v/>
      </c>
      <c r="AB164" s="85">
        <f>IF(AA164="","",IF(VLOOKUP($B164,INDIRECT("'GRD-"&amp;AC164&amp;"'!$B:$R"),16,FALSE)="","",VLOOKUP($B164,INDIRECT("'GRD-"&amp;AC164&amp;"'!$B:$R"),16,FALSE)))</f>
        <v/>
      </c>
      <c r="AC164" s="130">
        <f t="array" ref="AC164">IF(AA164="","",IFERROR(OFFSET($BZ$11,0,MATCH($AA164,$CA164:$FV164,0),),""))</f>
        <v/>
      </c>
      <c r="AD164" s="131">
        <f t="array" ref="AD164">IF(AA164="","",INDIRECT("'GRD-"&amp;AC164&amp;"'!$L$7"))</f>
        <v/>
      </c>
      <c r="AE164" s="76">
        <f t="array" ref="AE164">IFERROR(OFFSET($BZ$11,ROW($B164)-11,MATCH(AE$10,$CA164:$FV164,0),),"")</f>
        <v/>
      </c>
      <c r="AF164" s="76">
        <f>IF(AE164="","",IF(VLOOKUP($B164,INDIRECT("'GRD-"&amp;AG164&amp;"'!$B:$R"),16,FALSE)="","",VLOOKUP($B164,INDIRECT("'GRD-"&amp;AG164&amp;"'!$B:$R"),16,FALSE)))</f>
        <v/>
      </c>
      <c r="AG164" s="132">
        <f t="array" ref="AG164">IF(AE164="","",IFERROR(OFFSET($BZ$11,0,MATCH($AE164,$CA164:$FV164,0),),""))</f>
        <v/>
      </c>
      <c r="AH164" s="121">
        <f t="array" ref="AH164">IF(AE164="","",INDIRECT("'GRD-"&amp;AG164&amp;"'!$L$7"))</f>
        <v/>
      </c>
      <c r="AI164" s="83">
        <f t="array" ref="AI164">IFERROR(OFFSET($BZ$11,ROW($B164)-11,MATCH(AI$10,$CA164:$FV164,0),),"")</f>
        <v/>
      </c>
      <c r="AJ164" s="83">
        <f>IF(AI164="","",IF(VLOOKUP($B164,INDIRECT("'GRD-"&amp;AK164&amp;"'!$B:$R"),16,FALSE)="","",VLOOKUP($B164,INDIRECT("'GRD-"&amp;AK164&amp;"'!$B:$R"),16,FALSE)))</f>
        <v/>
      </c>
      <c r="AK164" s="128">
        <f t="array" ref="AK164">IF(AI164="","",IFERROR(OFFSET($BZ$11,0,MATCH($AI164,$CA164:$FV164,0),),""))</f>
        <v/>
      </c>
      <c r="AL164" s="133">
        <f t="array" ref="AL164">IF(AI164="","",INDIRECT("'GRD-"&amp;AK164&amp;"'!$L$7"))</f>
        <v/>
      </c>
      <c r="AM164" s="84">
        <f t="array" ref="AM164">IFERROR(OFFSET($BZ$11,ROW($B164)-11,MATCH(AM$10,$CA164:$FV164,0),),"")</f>
        <v/>
      </c>
      <c r="AN164" s="84">
        <f>IF(AM164="","",IF(VLOOKUP($B164,INDIRECT("'GRD-"&amp;AO164&amp;"'!$B:$R"),16,FALSE)="","",VLOOKUP($B164,INDIRECT("'GRD-"&amp;AO164&amp;"'!$B:$R"),16,FALSE)))</f>
        <v/>
      </c>
      <c r="AO164" s="129">
        <f t="array" ref="AO164">IF(AM164="","",IFERROR(OFFSET($BZ$11,0,MATCH($AM164,$CA164:$FV164,0),),""))</f>
        <v/>
      </c>
      <c r="AP164" s="134">
        <f t="array" ref="AP164">IF(AM164="","",INDIRECT("'GRD-"&amp;AO164&amp;"'!$L$7"))</f>
        <v/>
      </c>
      <c r="AQ164" s="85">
        <f t="array" ref="AQ164">IFERROR(OFFSET($BZ$11,ROW($B164)-11,MATCH(AQ$10,$CA164:$FV164,0),),"")</f>
        <v/>
      </c>
      <c r="AR164" s="85">
        <f>IF(AQ164="","",IF(VLOOKUP($B164,INDIRECT("'GRD-"&amp;AS164&amp;"'!$B:$R"),16,FALSE)="","",VLOOKUP($B164,INDIRECT("'GRD-"&amp;AS164&amp;"'!$B:$R"),16,FALSE)))</f>
        <v/>
      </c>
      <c r="AS164" s="130">
        <f t="array" ref="AS164">IF(AQ164="","",IFERROR(OFFSET($BZ$11,0,MATCH($AQ164,$CA164:$FV164,0),),""))</f>
        <v/>
      </c>
      <c r="AT164" s="131">
        <f t="array" ref="AT164">IF(AQ164="","",INDIRECT("'GRD-"&amp;AS164&amp;"'!$L$7"))</f>
        <v/>
      </c>
      <c r="AU164" s="76">
        <f t="array" ref="AU164">IFERROR(OFFSET($BZ$11,ROW($B164)-11,MATCH(AU$10,$CA164:$FV164,0),),"")</f>
        <v/>
      </c>
      <c r="AV164" s="76">
        <f>IF(AU164="","",IF(VLOOKUP($B164,INDIRECT("'GRD-"&amp;AW164&amp;"'!$B:$R"),16,FALSE)="","",VLOOKUP($B164,INDIRECT("'GRD-"&amp;AW164&amp;"'!$B:$R"),16,FALSE)))</f>
        <v/>
      </c>
      <c r="AW164" s="132">
        <f t="array" ref="AW164">IF(AU164="","",IFERROR(OFFSET($BZ$11,0,MATCH($AU164,$CA164:$FV164,0),),""))</f>
        <v/>
      </c>
      <c r="AX164" s="121">
        <f t="array" ref="AX164">IF(AU164="","",INDIRECT("'GRD-"&amp;AW164&amp;"'!$L$7"))</f>
        <v/>
      </c>
      <c r="AY164" s="83">
        <f t="array" ref="AY164">IFERROR(OFFSET($BZ$11,ROW($B164)-11,MATCH(AY$10,$CA164:$FV164,0),),"")</f>
        <v/>
      </c>
      <c r="AZ164" s="83">
        <f>IF(AY164="","",IF(VLOOKUP($B164,INDIRECT("'GRD-"&amp;BA164&amp;"'!$B:$R"),16,FALSE)="","",VLOOKUP($B164,INDIRECT("'GRD-"&amp;BA164&amp;"'!$B:$R"),16,FALSE)))</f>
        <v/>
      </c>
      <c r="BA164" s="128">
        <f t="array" ref="BA164">IF(AY164="","",IFERROR(OFFSET($BZ$11,0,MATCH($AY164,$CA164:$FV164,0),),""))</f>
        <v/>
      </c>
      <c r="BB164" s="133">
        <f t="array" ref="BB164">IF(AY164="","",INDIRECT("'GRD-"&amp;BA164&amp;"'!$L$7"))</f>
        <v/>
      </c>
      <c r="BC164" s="84">
        <f t="array" ref="BC164">IFERROR(OFFSET($BZ$11,ROW($B164)-11,MATCH(BC$10,$CA164:$FV164,0),),"")</f>
        <v/>
      </c>
      <c r="BD164" s="84">
        <f>IF(BC164="","",IF(VLOOKUP($B164,INDIRECT("'GRD-"&amp;BE164&amp;"'!$B:$R"),16,FALSE)="","",VLOOKUP($B164,INDIRECT("'GRD-"&amp;BE164&amp;"'!$B:$R"),16,FALSE)))</f>
        <v/>
      </c>
      <c r="BE164" s="129">
        <f t="array" ref="BE164">IF(BC164="","",IFERROR(OFFSET($BZ$11,0,MATCH($BC164,$CA164:$FV164,0),),""))</f>
        <v/>
      </c>
      <c r="BF164" s="134">
        <f t="array" ref="BF164">IF(BC164="","",INDIRECT("'GRD-"&amp;BE164&amp;"'!$L$7"))</f>
        <v/>
      </c>
      <c r="CA164" s="96">
        <f>IFERROR(VLOOKUP($B164,INDIRECT("'GRD-"&amp;CA$11&amp;"'!B:R"),15,FALSE),"")</f>
        <v/>
      </c>
      <c r="CB164" s="96">
        <f>IFERROR(VLOOKUP($B164,INDIRECT("'GRD-"&amp;CB$11&amp;"'!B:R"),15,FALSE),"")</f>
        <v/>
      </c>
      <c r="CC164" s="96">
        <f>IFERROR(VLOOKUP($B164,INDIRECT("'GRD-"&amp;CC$11&amp;"'!B:R"),15,FALSE),"")</f>
        <v/>
      </c>
      <c r="CD164" s="96">
        <f>IFERROR(VLOOKUP($B164,INDIRECT("'GRD-"&amp;CD$11&amp;"'!B:R"),15,FALSE),"")</f>
        <v/>
      </c>
      <c r="CE164" s="96">
        <f>IFERROR(VLOOKUP($B164,INDIRECT("'GRD-"&amp;CE$11&amp;"'!B:R"),15,FALSE),"")</f>
        <v/>
      </c>
      <c r="CF164" s="96">
        <f>IFERROR(VLOOKUP($B164,INDIRECT("'GRD-"&amp;CF$11&amp;"'!B:R"),15,FALSE),"")</f>
        <v/>
      </c>
      <c r="CG164" s="96">
        <f>IFERROR(VLOOKUP($B164,INDIRECT("'GRD-"&amp;CG$11&amp;"'!B:R"),15,FALSE),"")</f>
        <v/>
      </c>
      <c r="CH164" s="96">
        <f>IFERROR(VLOOKUP($B164,INDIRECT("'GRD-"&amp;CH$11&amp;"'!B:R"),15,FALSE),"")</f>
        <v/>
      </c>
      <c r="CI164" s="96">
        <f>IFERROR(VLOOKUP($B164,INDIRECT("'GRD-"&amp;CI$11&amp;"'!B:R"),15,FALSE),"")</f>
        <v/>
      </c>
      <c r="CJ164" s="96">
        <f>IFERROR(VLOOKUP($B164,INDIRECT("'GRD-"&amp;CJ$11&amp;"'!B:R"),15,FALSE),"")</f>
        <v/>
      </c>
      <c r="CK164" s="96">
        <f>IFERROR(VLOOKUP($B164,INDIRECT("'GRD-"&amp;CK$11&amp;"'!B:R"),15,FALSE),"")</f>
        <v/>
      </c>
      <c r="CL164" s="96">
        <f>IFERROR(VLOOKUP($B164,INDIRECT("'GRD-"&amp;CL$11&amp;"'!B:R"),15,FALSE),"")</f>
        <v/>
      </c>
      <c r="CM164" s="96">
        <f>IFERROR(VLOOKUP($B164,INDIRECT("'GRD-"&amp;CM$11&amp;"'!B:R"),15,FALSE),"")</f>
        <v/>
      </c>
      <c r="CN164" s="96">
        <f>IFERROR(VLOOKUP($B164,INDIRECT("'GRD-"&amp;CN$11&amp;"'!B:R"),15,FALSE),"")</f>
        <v/>
      </c>
      <c r="CO164" s="96">
        <f>IFERROR(VLOOKUP($B164,INDIRECT("'GRD-"&amp;CO$11&amp;"'!B:R"),15,FALSE),"")</f>
        <v/>
      </c>
      <c r="CP164" s="96">
        <f>IFERROR(VLOOKUP($B164,INDIRECT("'GRD-"&amp;CP$11&amp;"'!B:R"),15,FALSE),"")</f>
        <v/>
      </c>
      <c r="CQ164" s="96">
        <f>IFERROR(VLOOKUP($B164,INDIRECT("'GRD-"&amp;CQ$11&amp;"'!B:R"),15,FALSE),"")</f>
        <v/>
      </c>
      <c r="CR164" s="96">
        <f>IFERROR(VLOOKUP($B164,INDIRECT("'GRD-"&amp;CR$11&amp;"'!B:R"),15,FALSE),"")</f>
        <v/>
      </c>
      <c r="CS164" s="96">
        <f>IFERROR(VLOOKUP($B164,INDIRECT("'GRD-"&amp;CS$11&amp;"'!B:R"),15,FALSE),"")</f>
        <v/>
      </c>
      <c r="CT164" s="96">
        <f>IFERROR(VLOOKUP($B164,INDIRECT("'GRD-"&amp;CT$11&amp;"'!B:R"),15,FALSE),"")</f>
        <v/>
      </c>
      <c r="CU164" s="96">
        <f>IFERROR(VLOOKUP($B164,INDIRECT("'GRD-"&amp;CU$11&amp;"'!B:R"),15,FALSE),"")</f>
        <v/>
      </c>
      <c r="CV164" s="96">
        <f>IFERROR(VLOOKUP($B164,INDIRECT("'GRD-"&amp;CV$11&amp;"'!B:R"),15,FALSE),"")</f>
        <v/>
      </c>
      <c r="CW164" s="96">
        <f>IFERROR(VLOOKUP($B164,INDIRECT("'GRD-"&amp;CW$11&amp;"'!B:R"),15,FALSE),"")</f>
        <v/>
      </c>
      <c r="CX164" s="96">
        <f>IFERROR(VLOOKUP($B164,INDIRECT("'GRD-"&amp;CX$11&amp;"'!B:R"),15,FALSE),"")</f>
        <v/>
      </c>
      <c r="CY164" s="96">
        <f>IFERROR(VLOOKUP($B164,INDIRECT("'GRD-"&amp;CY$11&amp;"'!B:R"),15,FALSE),"")</f>
        <v/>
      </c>
      <c r="CZ164" s="96">
        <f>IFERROR(VLOOKUP($B164,INDIRECT("'GRD-"&amp;CZ$11&amp;"'!B:R"),15,FALSE),"")</f>
        <v/>
      </c>
      <c r="DA164" s="96">
        <f>IFERROR(VLOOKUP($B164,INDIRECT("'GRD-"&amp;DA$11&amp;"'!B:R"),15,FALSE),"")</f>
        <v/>
      </c>
      <c r="DB164" s="96">
        <f>IFERROR(VLOOKUP($B164,INDIRECT("'GRD-"&amp;DB$11&amp;"'!B:R"),15,FALSE),"")</f>
        <v/>
      </c>
      <c r="DC164" s="96">
        <f>IFERROR(VLOOKUP($B164,INDIRECT("'GRD-"&amp;DC$11&amp;"'!B:R"),15,FALSE),"")</f>
        <v/>
      </c>
      <c r="DD164" s="96">
        <f>IFERROR(VLOOKUP($B164,INDIRECT("'GRD-"&amp;DD$11&amp;"'!B:R"),15,FALSE),"")</f>
        <v/>
      </c>
      <c r="DE164" s="96">
        <f>IFERROR(VLOOKUP($B164,INDIRECT("'GRD-"&amp;DE$11&amp;"'!B:R"),15,FALSE),"")</f>
        <v/>
      </c>
      <c r="DF164" s="96">
        <f>IFERROR(VLOOKUP($B164,INDIRECT("'GRD-"&amp;DF$11&amp;"'!B:R"),15,FALSE),"")</f>
        <v/>
      </c>
      <c r="DG164" s="96">
        <f>IFERROR(VLOOKUP($B164,INDIRECT("'GRD-"&amp;DG$11&amp;"'!B:R"),15,FALSE),"")</f>
        <v/>
      </c>
      <c r="DH164" s="96">
        <f>IFERROR(VLOOKUP($B164,INDIRECT("'GRD-"&amp;DH$11&amp;"'!B:R"),15,FALSE),"")</f>
        <v/>
      </c>
      <c r="DI164" s="96">
        <f>IFERROR(VLOOKUP($B164,INDIRECT("'GRD-"&amp;DI$11&amp;"'!B:R"),15,FALSE),"")</f>
        <v/>
      </c>
      <c r="DJ164" s="96">
        <f>IFERROR(VLOOKUP($B164,INDIRECT("'GRD-"&amp;DJ$11&amp;"'!B:R"),15,FALSE),"")</f>
        <v/>
      </c>
      <c r="DK164" s="96">
        <f>IFERROR(VLOOKUP($B164,INDIRECT("'GRD-"&amp;DK$11&amp;"'!B:R"),15,FALSE),"")</f>
        <v/>
      </c>
      <c r="DL164" s="96">
        <f>IFERROR(VLOOKUP($B164,INDIRECT("'GRD-"&amp;DL$11&amp;"'!B:R"),15,FALSE),"")</f>
        <v/>
      </c>
      <c r="DM164" s="96">
        <f>IFERROR(VLOOKUP($B164,INDIRECT("'GRD-"&amp;DM$11&amp;"'!B:R"),15,FALSE),"")</f>
        <v/>
      </c>
      <c r="DN164" s="96">
        <f>IFERROR(VLOOKUP($B164,INDIRECT("'GRD-"&amp;DN$11&amp;"'!B:R"),15,FALSE),"")</f>
        <v/>
      </c>
      <c r="DO164" s="96">
        <f>IFERROR(VLOOKUP($B164,INDIRECT("'GRD-"&amp;DO$11&amp;"'!B:R"),15,FALSE),"")</f>
        <v/>
      </c>
      <c r="DP164" s="96">
        <f>IFERROR(VLOOKUP($B164,INDIRECT("'GRD-"&amp;DP$11&amp;"'!B:R"),15,FALSE),"")</f>
        <v/>
      </c>
      <c r="DQ164" s="96">
        <f>IFERROR(VLOOKUP($B164,INDIRECT("'GRD-"&amp;DQ$11&amp;"'!B:R"),15,FALSE),"")</f>
        <v/>
      </c>
      <c r="DR164" s="96">
        <f>IFERROR(VLOOKUP($B164,INDIRECT("'GRD-"&amp;DR$11&amp;"'!B:R"),15,FALSE),"")</f>
        <v/>
      </c>
      <c r="DS164" s="96">
        <f>IFERROR(VLOOKUP($B164,INDIRECT("'GRD-"&amp;DS$11&amp;"'!B:R"),15,FALSE),"")</f>
        <v/>
      </c>
      <c r="DT164" s="96">
        <f>IFERROR(VLOOKUP($B164,INDIRECT("'GRD-"&amp;DT$11&amp;"'!B:R"),15,FALSE),"")</f>
        <v/>
      </c>
      <c r="DU164" s="96">
        <f>IFERROR(VLOOKUP($B164,INDIRECT("'GRD-"&amp;DU$11&amp;"'!B:R"),15,FALSE),"")</f>
        <v/>
      </c>
      <c r="DV164" s="96">
        <f>IFERROR(VLOOKUP($B164,INDIRECT("'GRD-"&amp;DV$11&amp;"'!B:R"),15,FALSE),"")</f>
        <v/>
      </c>
      <c r="DW164" s="96">
        <f>IFERROR(VLOOKUP($B164,INDIRECT("'GRD-"&amp;DW$11&amp;"'!B:R"),15,FALSE),"")</f>
        <v/>
      </c>
      <c r="DX164" s="96">
        <f>IFERROR(VLOOKUP($B164,INDIRECT("'GRD-"&amp;DX$11&amp;"'!B:R"),15,FALSE),"")</f>
        <v/>
      </c>
      <c r="DY164" s="96">
        <f>IFERROR(VLOOKUP($B164,INDIRECT("'GRD-"&amp;DY$11&amp;"'!B:R"),15,FALSE),"")</f>
        <v/>
      </c>
      <c r="DZ164" s="96">
        <f>IFERROR(VLOOKUP($B164,INDIRECT("'GRD-"&amp;DZ$11&amp;"'!B:R"),15,FALSE),"")</f>
        <v/>
      </c>
      <c r="EA164" s="96">
        <f>IFERROR(VLOOKUP($B164,INDIRECT("'GRD-"&amp;EA$11&amp;"'!B:R"),15,FALSE),"")</f>
        <v/>
      </c>
      <c r="EB164" s="96">
        <f>IFERROR(VLOOKUP($B164,INDIRECT("'GRD-"&amp;EB$11&amp;"'!B:R"),15,FALSE),"")</f>
        <v/>
      </c>
      <c r="EC164" s="96">
        <f>IFERROR(VLOOKUP($B164,INDIRECT("'GRD-"&amp;EC$11&amp;"'!B:R"),15,FALSE),"")</f>
        <v/>
      </c>
      <c r="ED164" s="96">
        <f>IFERROR(VLOOKUP($B164,INDIRECT("'GRD-"&amp;ED$11&amp;"'!B:R"),15,FALSE),"")</f>
        <v/>
      </c>
      <c r="EE164" s="96">
        <f>IFERROR(VLOOKUP($B164,INDIRECT("'GRD-"&amp;EE$11&amp;"'!B:R"),15,FALSE),"")</f>
        <v/>
      </c>
      <c r="EF164" s="96">
        <f>IFERROR(VLOOKUP($B164,INDIRECT("'GRD-"&amp;EF$11&amp;"'!B:R"),15,FALSE),"")</f>
        <v/>
      </c>
      <c r="EG164" s="96">
        <f>IFERROR(VLOOKUP($B164,INDIRECT("'GRD-"&amp;EG$11&amp;"'!B:R"),15,FALSE),"")</f>
        <v/>
      </c>
      <c r="EH164" s="96">
        <f>IFERROR(VLOOKUP($B164,INDIRECT("'GRD-"&amp;EH$11&amp;"'!B:R"),15,FALSE),"")</f>
        <v/>
      </c>
      <c r="EI164" s="96">
        <f>IFERROR(VLOOKUP($B164,INDIRECT("'GRD-"&amp;EI$11&amp;"'!B:R"),15,FALSE),"")</f>
        <v/>
      </c>
      <c r="EJ164" s="96">
        <f>IFERROR(VLOOKUP($B164,INDIRECT("'GRD-"&amp;EJ$11&amp;"'!B:R"),15,FALSE),"")</f>
        <v/>
      </c>
      <c r="EK164" s="96">
        <f>IFERROR(VLOOKUP($B164,INDIRECT("'GRD-"&amp;EK$11&amp;"'!B:R"),15,FALSE),"")</f>
        <v/>
      </c>
      <c r="EL164" s="96">
        <f>IFERROR(VLOOKUP($B164,INDIRECT("'GRD-"&amp;EL$11&amp;"'!B:R"),15,FALSE),"")</f>
        <v/>
      </c>
      <c r="EM164" s="96">
        <f>IFERROR(VLOOKUP($B164,INDIRECT("'GRD-"&amp;EM$11&amp;"'!B:R"),15,FALSE),"")</f>
        <v/>
      </c>
      <c r="EN164" s="96">
        <f>IFERROR(VLOOKUP($B164,INDIRECT("'GRD-"&amp;EN$11&amp;"'!B:R"),15,FALSE),"")</f>
        <v/>
      </c>
      <c r="EO164" s="96">
        <f>IFERROR(VLOOKUP($B164,INDIRECT("'GRD-"&amp;EO$11&amp;"'!B:R"),15,FALSE),"")</f>
        <v/>
      </c>
      <c r="EP164" s="96">
        <f>IFERROR(VLOOKUP($B164,INDIRECT("'GRD-"&amp;EP$11&amp;"'!B:R"),15,FALSE),"")</f>
        <v/>
      </c>
      <c r="EQ164" s="96">
        <f>IFERROR(VLOOKUP($B164,INDIRECT("'GRD-"&amp;EQ$11&amp;"'!B:R"),15,FALSE),"")</f>
        <v/>
      </c>
      <c r="ER164" s="96">
        <f>IFERROR(VLOOKUP($B164,INDIRECT("'GRD-"&amp;ER$11&amp;"'!B:R"),15,FALSE),"")</f>
        <v/>
      </c>
      <c r="ES164" s="96">
        <f>IFERROR(VLOOKUP($B164,INDIRECT("'GRD-"&amp;ES$11&amp;"'!B:R"),15,FALSE),"")</f>
        <v/>
      </c>
      <c r="ET164" s="96">
        <f>IFERROR(VLOOKUP($B164,INDIRECT("'GRD-"&amp;ET$11&amp;"'!B:R"),15,FALSE),"")</f>
        <v/>
      </c>
      <c r="EU164" s="96">
        <f>IFERROR(VLOOKUP($B164,INDIRECT("'GRD-"&amp;EU$11&amp;"'!B:R"),15,FALSE),"")</f>
        <v/>
      </c>
      <c r="EV164" s="96">
        <f>IFERROR(VLOOKUP($B164,INDIRECT("'GRD-"&amp;EV$11&amp;"'!B:R"),15,FALSE),"")</f>
        <v/>
      </c>
      <c r="EW164" s="96">
        <f>IFERROR(VLOOKUP($B164,INDIRECT("'GRD-"&amp;EW$11&amp;"'!B:R"),15,FALSE),"")</f>
        <v/>
      </c>
      <c r="EX164" s="96">
        <f>IFERROR(VLOOKUP($B164,INDIRECT("'GRD-"&amp;EX$11&amp;"'!B:R"),15,FALSE),"")</f>
        <v/>
      </c>
      <c r="EY164" s="96">
        <f>IFERROR(VLOOKUP($B164,INDIRECT("'GRD-"&amp;EY$11&amp;"'!B:R"),15,FALSE),"")</f>
        <v/>
      </c>
      <c r="EZ164" s="96">
        <f>IFERROR(VLOOKUP($B164,INDIRECT("'GRD-"&amp;EZ$11&amp;"'!B:R"),15,FALSE),"")</f>
        <v/>
      </c>
      <c r="FA164" s="96">
        <f>IFERROR(VLOOKUP($B164,INDIRECT("'GRD-"&amp;FA$11&amp;"'!B:R"),15,FALSE),"")</f>
        <v/>
      </c>
      <c r="FB164" s="96">
        <f>IFERROR(VLOOKUP($B164,INDIRECT("'GRD-"&amp;FB$11&amp;"'!B:R"),15,FALSE),"")</f>
        <v/>
      </c>
      <c r="FC164" s="96">
        <f>IFERROR(VLOOKUP($B164,INDIRECT("'GRD-"&amp;FC$11&amp;"'!B:R"),15,FALSE),"")</f>
        <v/>
      </c>
      <c r="FD164" s="96">
        <f>IFERROR(VLOOKUP($B164,INDIRECT("'GRD-"&amp;FD$11&amp;"'!B:R"),15,FALSE),"")</f>
        <v/>
      </c>
      <c r="FE164" s="96">
        <f>IFERROR(VLOOKUP($B164,INDIRECT("'GRD-"&amp;FE$11&amp;"'!B:R"),15,FALSE),"")</f>
        <v/>
      </c>
      <c r="FF164" s="96">
        <f>IFERROR(VLOOKUP($B164,INDIRECT("'GRD-"&amp;FF$11&amp;"'!B:R"),15,FALSE),"")</f>
        <v/>
      </c>
      <c r="FG164" s="96">
        <f>IFERROR(VLOOKUP($B164,INDIRECT("'GRD-"&amp;FG$11&amp;"'!B:R"),15,FALSE),"")</f>
        <v/>
      </c>
      <c r="FH164" s="96">
        <f>IFERROR(VLOOKUP($B164,INDIRECT("'GRD-"&amp;FH$11&amp;"'!B:R"),15,FALSE),"")</f>
        <v/>
      </c>
      <c r="FI164" s="96">
        <f>IFERROR(VLOOKUP($B164,INDIRECT("'GRD-"&amp;FI$11&amp;"'!B:R"),15,FALSE),"")</f>
        <v/>
      </c>
      <c r="FJ164" s="96">
        <f>IFERROR(VLOOKUP($B164,INDIRECT("'GRD-"&amp;FJ$11&amp;"'!B:R"),15,FALSE),"")</f>
        <v/>
      </c>
      <c r="FK164" s="96">
        <f>IFERROR(VLOOKUP($B164,INDIRECT("'GRD-"&amp;FK$11&amp;"'!B:R"),15,FALSE),"")</f>
        <v/>
      </c>
      <c r="FL164" s="96">
        <f>IFERROR(VLOOKUP($B164,INDIRECT("'GRD-"&amp;FL$11&amp;"'!B:R"),15,FALSE),"")</f>
        <v/>
      </c>
      <c r="FM164" s="96">
        <f>IFERROR(VLOOKUP($B164,INDIRECT("'GRD-"&amp;FM$11&amp;"'!B:R"),15,FALSE),"")</f>
        <v/>
      </c>
      <c r="FN164" s="96">
        <f>IFERROR(VLOOKUP($B164,INDIRECT("'GRD-"&amp;FN$11&amp;"'!B:R"),15,FALSE),"")</f>
        <v/>
      </c>
      <c r="FO164" s="96">
        <f>IFERROR(VLOOKUP($B164,INDIRECT("'GRD-"&amp;FO$11&amp;"'!B:R"),15,FALSE),"")</f>
        <v/>
      </c>
      <c r="FP164" s="96">
        <f>IFERROR(VLOOKUP($B164,INDIRECT("'GRD-"&amp;FP$11&amp;"'!B:R"),15,FALSE),"")</f>
        <v/>
      </c>
      <c r="FQ164" s="96">
        <f>IFERROR(VLOOKUP($B164,INDIRECT("'GRD-"&amp;FQ$11&amp;"'!B:R"),15,FALSE),"")</f>
        <v/>
      </c>
      <c r="FR164" s="96">
        <f>IFERROR(VLOOKUP($B164,INDIRECT("'GRD-"&amp;FR$11&amp;"'!B:R"),15,FALSE),"")</f>
        <v/>
      </c>
      <c r="FS164" s="96">
        <f>IFERROR(VLOOKUP($B164,INDIRECT("'GRD-"&amp;FS$11&amp;"'!B:R"),15,FALSE),"")</f>
        <v/>
      </c>
      <c r="FT164" s="96">
        <f>IFERROR(VLOOKUP($B164,INDIRECT("'GRD-"&amp;FT$11&amp;"'!B:R"),15,FALSE),"")</f>
        <v/>
      </c>
      <c r="FU164" s="96">
        <f>IFERROR(VLOOKUP($B164,INDIRECT("'GRD-"&amp;FU$11&amp;"'!B:R"),15,FALSE),"")</f>
        <v/>
      </c>
      <c r="FV164" s="96">
        <f>IFERROR(VLOOKUP($B164,INDIRECT("'GRD-"&amp;FV$11&amp;"'!B:R"),15,FALSE),"")</f>
        <v/>
      </c>
    </row>
    <row r="165">
      <c r="B165" s="85" t="n"/>
      <c r="C165" s="93" t="n"/>
      <c r="D165" s="73">
        <f>IF(K165="","",MAX($CA165:$FV165))</f>
        <v/>
      </c>
      <c r="E165" s="74">
        <f t="array" ref="E165">IF($K165="","",OFFSET($A$1,ROW($B165)-1,11+$D165*4,))</f>
        <v/>
      </c>
      <c r="F165" s="74">
        <f t="array" ref="F165">IF($K165="","",OFFSET($A$1,ROW($B165)-1,12+$D165*4,))</f>
        <v/>
      </c>
      <c r="G165" s="118">
        <f t="array" ref="G165">IF($K165="","",OFFSET($A$1,ROW($B165)-1,13+$D165*4,))</f>
        <v/>
      </c>
      <c r="H165" s="81" t="n"/>
      <c r="I165" s="82" t="n"/>
      <c r="J165" s="75">
        <f>IF(I165="A4",H165/8,IF(I165="A3",H165/4,IF(I165="A2",H165/2,IF(I165="A1",H165/1,IF(I165="A0",H165*2,"")))))</f>
        <v/>
      </c>
      <c r="K165" s="68">
        <f t="array" ref="K165">IFERROR(OFFSET($BZ$11,ROW($B165)-11,MATCH(K$10,$CA165:$FV165,0),),"")</f>
        <v/>
      </c>
      <c r="L165" s="85">
        <f>IF(K165="","",IF(VLOOKUP($B165,INDIRECT("'GRD-"&amp;M165&amp;"'!$B:$R"),16,FALSE)="","",VLOOKUP($B165,INDIRECT("'GRD-"&amp;M165&amp;"'!$B:$R"),16,FALSE)))</f>
        <v/>
      </c>
      <c r="M165" s="130">
        <f t="array" ref="M165">IF(K165="","",IFERROR(OFFSET($BZ$11,0,MATCH($K165,$CA165:$FV165,0),),""))</f>
        <v/>
      </c>
      <c r="N165" s="119">
        <f t="array" ref="N165">IF(K165="","",INDIRECT("'GRD-"&amp;M165&amp;"'!$L$7"))</f>
        <v/>
      </c>
      <c r="O165" s="76">
        <f t="array" ref="O165">IFERROR(OFFSET($BZ$11,ROW($B165)-11,MATCH(O$10,$CA165:$FV165,0),),"")</f>
        <v/>
      </c>
      <c r="P165" s="76">
        <f>IF(O165="","",IF(VLOOKUP($B165,INDIRECT("'GRD-"&amp;Q165&amp;"'!$B:$R"),16,FALSE)="","",VLOOKUP($B165,INDIRECT("'GRD-"&amp;Q165&amp;"'!$B:$R"),16,FALSE)))</f>
        <v/>
      </c>
      <c r="Q165" s="132">
        <f t="array" ref="Q165">IF(O165="","",IFERROR(OFFSET($BZ$11,0,MATCH($O165,$CA165:$FV165,0),),""))</f>
        <v/>
      </c>
      <c r="R165" s="121">
        <f t="array" ref="R165">IF(O165="","",INDIRECT("'GRD-"&amp;Q165&amp;"'!$L$7"))</f>
        <v/>
      </c>
      <c r="S165" s="83">
        <f t="array" ref="S165">IFERROR(OFFSET($BZ$11,ROW($B165)-11,MATCH(S$10,$CA165:$FV165,0),),"")</f>
        <v/>
      </c>
      <c r="T165" s="83">
        <f>IF(S165="","",IF(VLOOKUP($B165,INDIRECT("'GRD-"&amp;U165&amp;"'!$B:$R"),16,FALSE)="","",VLOOKUP($B165,INDIRECT("'GRD-"&amp;U165&amp;"'!$B:$R"),16,FALSE)))</f>
        <v/>
      </c>
      <c r="U165" s="128">
        <f t="array" ref="U165">IF(S165="","",IFERROR(OFFSET($BZ$11,0,MATCH($S165,$CA165:$FV165,0),),""))</f>
        <v/>
      </c>
      <c r="V165" s="133">
        <f t="array" ref="V165">IF(S165="","",INDIRECT("'GRD-"&amp;U165&amp;"'!$L$7"))</f>
        <v/>
      </c>
      <c r="W165" s="84">
        <f t="array" ref="W165">IFERROR(OFFSET($BZ$11,ROW($B165)-11,MATCH(W$10,$CA165:$FV165,0),),"")</f>
        <v/>
      </c>
      <c r="X165" s="84">
        <f>IF(W165="","",IF(VLOOKUP($B165,INDIRECT("'GRD-"&amp;Y165&amp;"'!$B:$R"),16,FALSE)="","",VLOOKUP($B165,INDIRECT("'GRD-"&amp;Y165&amp;"'!$B:$R"),16,FALSE)))</f>
        <v/>
      </c>
      <c r="Y165" s="129">
        <f t="array" ref="Y165">IF(W165="","",IFERROR(OFFSET($BZ$11,0,MATCH($W165,$CA165:$FV165,0),),""))</f>
        <v/>
      </c>
      <c r="Z165" s="134">
        <f t="array" ref="Z165">IF(W165="","",INDIRECT("'GRD-"&amp;Y165&amp;"'!$L$7"))</f>
        <v/>
      </c>
      <c r="AA165" s="85">
        <f t="array" ref="AA165">IFERROR(OFFSET($BZ$11,ROW($B165)-11,MATCH(AA$10,$CA165:$FV165,0),),"")</f>
        <v/>
      </c>
      <c r="AB165" s="85">
        <f>IF(AA165="","",IF(VLOOKUP($B165,INDIRECT("'GRD-"&amp;AC165&amp;"'!$B:$R"),16,FALSE)="","",VLOOKUP($B165,INDIRECT("'GRD-"&amp;AC165&amp;"'!$B:$R"),16,FALSE)))</f>
        <v/>
      </c>
      <c r="AC165" s="130">
        <f t="array" ref="AC165">IF(AA165="","",IFERROR(OFFSET($BZ$11,0,MATCH($AA165,$CA165:$FV165,0),),""))</f>
        <v/>
      </c>
      <c r="AD165" s="131">
        <f t="array" ref="AD165">IF(AA165="","",INDIRECT("'GRD-"&amp;AC165&amp;"'!$L$7"))</f>
        <v/>
      </c>
      <c r="AE165" s="76">
        <f t="array" ref="AE165">IFERROR(OFFSET($BZ$11,ROW($B165)-11,MATCH(AE$10,$CA165:$FV165,0),),"")</f>
        <v/>
      </c>
      <c r="AF165" s="76">
        <f>IF(AE165="","",IF(VLOOKUP($B165,INDIRECT("'GRD-"&amp;AG165&amp;"'!$B:$R"),16,FALSE)="","",VLOOKUP($B165,INDIRECT("'GRD-"&amp;AG165&amp;"'!$B:$R"),16,FALSE)))</f>
        <v/>
      </c>
      <c r="AG165" s="132">
        <f t="array" ref="AG165">IF(AE165="","",IFERROR(OFFSET($BZ$11,0,MATCH($AE165,$CA165:$FV165,0),),""))</f>
        <v/>
      </c>
      <c r="AH165" s="121">
        <f t="array" ref="AH165">IF(AE165="","",INDIRECT("'GRD-"&amp;AG165&amp;"'!$L$7"))</f>
        <v/>
      </c>
      <c r="AI165" s="83">
        <f t="array" ref="AI165">IFERROR(OFFSET($BZ$11,ROW($B165)-11,MATCH(AI$10,$CA165:$FV165,0),),"")</f>
        <v/>
      </c>
      <c r="AJ165" s="83">
        <f>IF(AI165="","",IF(VLOOKUP($B165,INDIRECT("'GRD-"&amp;AK165&amp;"'!$B:$R"),16,FALSE)="","",VLOOKUP($B165,INDIRECT("'GRD-"&amp;AK165&amp;"'!$B:$R"),16,FALSE)))</f>
        <v/>
      </c>
      <c r="AK165" s="128">
        <f t="array" ref="AK165">IF(AI165="","",IFERROR(OFFSET($BZ$11,0,MATCH($AI165,$CA165:$FV165,0),),""))</f>
        <v/>
      </c>
      <c r="AL165" s="133">
        <f t="array" ref="AL165">IF(AI165="","",INDIRECT("'GRD-"&amp;AK165&amp;"'!$L$7"))</f>
        <v/>
      </c>
      <c r="AM165" s="84">
        <f t="array" ref="AM165">IFERROR(OFFSET($BZ$11,ROW($B165)-11,MATCH(AM$10,$CA165:$FV165,0),),"")</f>
        <v/>
      </c>
      <c r="AN165" s="84">
        <f>IF(AM165="","",IF(VLOOKUP($B165,INDIRECT("'GRD-"&amp;AO165&amp;"'!$B:$R"),16,FALSE)="","",VLOOKUP($B165,INDIRECT("'GRD-"&amp;AO165&amp;"'!$B:$R"),16,FALSE)))</f>
        <v/>
      </c>
      <c r="AO165" s="129">
        <f t="array" ref="AO165">IF(AM165="","",IFERROR(OFFSET($BZ$11,0,MATCH($AM165,$CA165:$FV165,0),),""))</f>
        <v/>
      </c>
      <c r="AP165" s="134">
        <f t="array" ref="AP165">IF(AM165="","",INDIRECT("'GRD-"&amp;AO165&amp;"'!$L$7"))</f>
        <v/>
      </c>
      <c r="AQ165" s="85">
        <f t="array" ref="AQ165">IFERROR(OFFSET($BZ$11,ROW($B165)-11,MATCH(AQ$10,$CA165:$FV165,0),),"")</f>
        <v/>
      </c>
      <c r="AR165" s="85">
        <f>IF(AQ165="","",IF(VLOOKUP($B165,INDIRECT("'GRD-"&amp;AS165&amp;"'!$B:$R"),16,FALSE)="","",VLOOKUP($B165,INDIRECT("'GRD-"&amp;AS165&amp;"'!$B:$R"),16,FALSE)))</f>
        <v/>
      </c>
      <c r="AS165" s="130">
        <f t="array" ref="AS165">IF(AQ165="","",IFERROR(OFFSET($BZ$11,0,MATCH($AQ165,$CA165:$FV165,0),),""))</f>
        <v/>
      </c>
      <c r="AT165" s="131">
        <f t="array" ref="AT165">IF(AQ165="","",INDIRECT("'GRD-"&amp;AS165&amp;"'!$L$7"))</f>
        <v/>
      </c>
      <c r="AU165" s="76">
        <f t="array" ref="AU165">IFERROR(OFFSET($BZ$11,ROW($B165)-11,MATCH(AU$10,$CA165:$FV165,0),),"")</f>
        <v/>
      </c>
      <c r="AV165" s="76">
        <f>IF(AU165="","",IF(VLOOKUP($B165,INDIRECT("'GRD-"&amp;AW165&amp;"'!$B:$R"),16,FALSE)="","",VLOOKUP($B165,INDIRECT("'GRD-"&amp;AW165&amp;"'!$B:$R"),16,FALSE)))</f>
        <v/>
      </c>
      <c r="AW165" s="132">
        <f t="array" ref="AW165">IF(AU165="","",IFERROR(OFFSET($BZ$11,0,MATCH($AU165,$CA165:$FV165,0),),""))</f>
        <v/>
      </c>
      <c r="AX165" s="121">
        <f t="array" ref="AX165">IF(AU165="","",INDIRECT("'GRD-"&amp;AW165&amp;"'!$L$7"))</f>
        <v/>
      </c>
      <c r="AY165" s="83">
        <f t="array" ref="AY165">IFERROR(OFFSET($BZ$11,ROW($B165)-11,MATCH(AY$10,$CA165:$FV165,0),),"")</f>
        <v/>
      </c>
      <c r="AZ165" s="83">
        <f>IF(AY165="","",IF(VLOOKUP($B165,INDIRECT("'GRD-"&amp;BA165&amp;"'!$B:$R"),16,FALSE)="","",VLOOKUP($B165,INDIRECT("'GRD-"&amp;BA165&amp;"'!$B:$R"),16,FALSE)))</f>
        <v/>
      </c>
      <c r="BA165" s="128">
        <f t="array" ref="BA165">IF(AY165="","",IFERROR(OFFSET($BZ$11,0,MATCH($AY165,$CA165:$FV165,0),),""))</f>
        <v/>
      </c>
      <c r="BB165" s="133">
        <f t="array" ref="BB165">IF(AY165="","",INDIRECT("'GRD-"&amp;BA165&amp;"'!$L$7"))</f>
        <v/>
      </c>
      <c r="BC165" s="84">
        <f t="array" ref="BC165">IFERROR(OFFSET($BZ$11,ROW($B165)-11,MATCH(BC$10,$CA165:$FV165,0),),"")</f>
        <v/>
      </c>
      <c r="BD165" s="84">
        <f>IF(BC165="","",IF(VLOOKUP($B165,INDIRECT("'GRD-"&amp;BE165&amp;"'!$B:$R"),16,FALSE)="","",VLOOKUP($B165,INDIRECT("'GRD-"&amp;BE165&amp;"'!$B:$R"),16,FALSE)))</f>
        <v/>
      </c>
      <c r="BE165" s="129">
        <f t="array" ref="BE165">IF(BC165="","",IFERROR(OFFSET($BZ$11,0,MATCH($BC165,$CA165:$FV165,0),),""))</f>
        <v/>
      </c>
      <c r="BF165" s="134">
        <f t="array" ref="BF165">IF(BC165="","",INDIRECT("'GRD-"&amp;BE165&amp;"'!$L$7"))</f>
        <v/>
      </c>
      <c r="CA165" s="96">
        <f>IFERROR(VLOOKUP($B165,INDIRECT("'GRD-"&amp;CA$11&amp;"'!B:R"),15,FALSE),"")</f>
        <v/>
      </c>
      <c r="CB165" s="96">
        <f>IFERROR(VLOOKUP($B165,INDIRECT("'GRD-"&amp;CB$11&amp;"'!B:R"),15,FALSE),"")</f>
        <v/>
      </c>
      <c r="CC165" s="96">
        <f>IFERROR(VLOOKUP($B165,INDIRECT("'GRD-"&amp;CC$11&amp;"'!B:R"),15,FALSE),"")</f>
        <v/>
      </c>
      <c r="CD165" s="96">
        <f>IFERROR(VLOOKUP($B165,INDIRECT("'GRD-"&amp;CD$11&amp;"'!B:R"),15,FALSE),"")</f>
        <v/>
      </c>
      <c r="CE165" s="96">
        <f>IFERROR(VLOOKUP($B165,INDIRECT("'GRD-"&amp;CE$11&amp;"'!B:R"),15,FALSE),"")</f>
        <v/>
      </c>
      <c r="CF165" s="96">
        <f>IFERROR(VLOOKUP($B165,INDIRECT("'GRD-"&amp;CF$11&amp;"'!B:R"),15,FALSE),"")</f>
        <v/>
      </c>
      <c r="CG165" s="96">
        <f>IFERROR(VLOOKUP($B165,INDIRECT("'GRD-"&amp;CG$11&amp;"'!B:R"),15,FALSE),"")</f>
        <v/>
      </c>
      <c r="CH165" s="96">
        <f>IFERROR(VLOOKUP($B165,INDIRECT("'GRD-"&amp;CH$11&amp;"'!B:R"),15,FALSE),"")</f>
        <v/>
      </c>
      <c r="CI165" s="96">
        <f>IFERROR(VLOOKUP($B165,INDIRECT("'GRD-"&amp;CI$11&amp;"'!B:R"),15,FALSE),"")</f>
        <v/>
      </c>
      <c r="CJ165" s="96">
        <f>IFERROR(VLOOKUP($B165,INDIRECT("'GRD-"&amp;CJ$11&amp;"'!B:R"),15,FALSE),"")</f>
        <v/>
      </c>
      <c r="CK165" s="96">
        <f>IFERROR(VLOOKUP($B165,INDIRECT("'GRD-"&amp;CK$11&amp;"'!B:R"),15,FALSE),"")</f>
        <v/>
      </c>
      <c r="CL165" s="96">
        <f>IFERROR(VLOOKUP($B165,INDIRECT("'GRD-"&amp;CL$11&amp;"'!B:R"),15,FALSE),"")</f>
        <v/>
      </c>
      <c r="CM165" s="96">
        <f>IFERROR(VLOOKUP($B165,INDIRECT("'GRD-"&amp;CM$11&amp;"'!B:R"),15,FALSE),"")</f>
        <v/>
      </c>
      <c r="CN165" s="96">
        <f>IFERROR(VLOOKUP($B165,INDIRECT("'GRD-"&amp;CN$11&amp;"'!B:R"),15,FALSE),"")</f>
        <v/>
      </c>
      <c r="CO165" s="96">
        <f>IFERROR(VLOOKUP($B165,INDIRECT("'GRD-"&amp;CO$11&amp;"'!B:R"),15,FALSE),"")</f>
        <v/>
      </c>
      <c r="CP165" s="96">
        <f>IFERROR(VLOOKUP($B165,INDIRECT("'GRD-"&amp;CP$11&amp;"'!B:R"),15,FALSE),"")</f>
        <v/>
      </c>
      <c r="CQ165" s="96">
        <f>IFERROR(VLOOKUP($B165,INDIRECT("'GRD-"&amp;CQ$11&amp;"'!B:R"),15,FALSE),"")</f>
        <v/>
      </c>
      <c r="CR165" s="96">
        <f>IFERROR(VLOOKUP($B165,INDIRECT("'GRD-"&amp;CR$11&amp;"'!B:R"),15,FALSE),"")</f>
        <v/>
      </c>
      <c r="CS165" s="96">
        <f>IFERROR(VLOOKUP($B165,INDIRECT("'GRD-"&amp;CS$11&amp;"'!B:R"),15,FALSE),"")</f>
        <v/>
      </c>
      <c r="CT165" s="96">
        <f>IFERROR(VLOOKUP($B165,INDIRECT("'GRD-"&amp;CT$11&amp;"'!B:R"),15,FALSE),"")</f>
        <v/>
      </c>
      <c r="CU165" s="96">
        <f>IFERROR(VLOOKUP($B165,INDIRECT("'GRD-"&amp;CU$11&amp;"'!B:R"),15,FALSE),"")</f>
        <v/>
      </c>
      <c r="CV165" s="96">
        <f>IFERROR(VLOOKUP($B165,INDIRECT("'GRD-"&amp;CV$11&amp;"'!B:R"),15,FALSE),"")</f>
        <v/>
      </c>
      <c r="CW165" s="96">
        <f>IFERROR(VLOOKUP($B165,INDIRECT("'GRD-"&amp;CW$11&amp;"'!B:R"),15,FALSE),"")</f>
        <v/>
      </c>
      <c r="CX165" s="96">
        <f>IFERROR(VLOOKUP($B165,INDIRECT("'GRD-"&amp;CX$11&amp;"'!B:R"),15,FALSE),"")</f>
        <v/>
      </c>
      <c r="CY165" s="96">
        <f>IFERROR(VLOOKUP($B165,INDIRECT("'GRD-"&amp;CY$11&amp;"'!B:R"),15,FALSE),"")</f>
        <v/>
      </c>
      <c r="CZ165" s="96">
        <f>IFERROR(VLOOKUP($B165,INDIRECT("'GRD-"&amp;CZ$11&amp;"'!B:R"),15,FALSE),"")</f>
        <v/>
      </c>
      <c r="DA165" s="96">
        <f>IFERROR(VLOOKUP($B165,INDIRECT("'GRD-"&amp;DA$11&amp;"'!B:R"),15,FALSE),"")</f>
        <v/>
      </c>
      <c r="DB165" s="96">
        <f>IFERROR(VLOOKUP($B165,INDIRECT("'GRD-"&amp;DB$11&amp;"'!B:R"),15,FALSE),"")</f>
        <v/>
      </c>
      <c r="DC165" s="96">
        <f>IFERROR(VLOOKUP($B165,INDIRECT("'GRD-"&amp;DC$11&amp;"'!B:R"),15,FALSE),"")</f>
        <v/>
      </c>
      <c r="DD165" s="96">
        <f>IFERROR(VLOOKUP($B165,INDIRECT("'GRD-"&amp;DD$11&amp;"'!B:R"),15,FALSE),"")</f>
        <v/>
      </c>
      <c r="DE165" s="96">
        <f>IFERROR(VLOOKUP($B165,INDIRECT("'GRD-"&amp;DE$11&amp;"'!B:R"),15,FALSE),"")</f>
        <v/>
      </c>
      <c r="DF165" s="96">
        <f>IFERROR(VLOOKUP($B165,INDIRECT("'GRD-"&amp;DF$11&amp;"'!B:R"),15,FALSE),"")</f>
        <v/>
      </c>
      <c r="DG165" s="96">
        <f>IFERROR(VLOOKUP($B165,INDIRECT("'GRD-"&amp;DG$11&amp;"'!B:R"),15,FALSE),"")</f>
        <v/>
      </c>
      <c r="DH165" s="96">
        <f>IFERROR(VLOOKUP($B165,INDIRECT("'GRD-"&amp;DH$11&amp;"'!B:R"),15,FALSE),"")</f>
        <v/>
      </c>
      <c r="DI165" s="96">
        <f>IFERROR(VLOOKUP($B165,INDIRECT("'GRD-"&amp;DI$11&amp;"'!B:R"),15,FALSE),"")</f>
        <v/>
      </c>
      <c r="DJ165" s="96">
        <f>IFERROR(VLOOKUP($B165,INDIRECT("'GRD-"&amp;DJ$11&amp;"'!B:R"),15,FALSE),"")</f>
        <v/>
      </c>
      <c r="DK165" s="96">
        <f>IFERROR(VLOOKUP($B165,INDIRECT("'GRD-"&amp;DK$11&amp;"'!B:R"),15,FALSE),"")</f>
        <v/>
      </c>
      <c r="DL165" s="96">
        <f>IFERROR(VLOOKUP($B165,INDIRECT("'GRD-"&amp;DL$11&amp;"'!B:R"),15,FALSE),"")</f>
        <v/>
      </c>
      <c r="DM165" s="96">
        <f>IFERROR(VLOOKUP($B165,INDIRECT("'GRD-"&amp;DM$11&amp;"'!B:R"),15,FALSE),"")</f>
        <v/>
      </c>
      <c r="DN165" s="96">
        <f>IFERROR(VLOOKUP($B165,INDIRECT("'GRD-"&amp;DN$11&amp;"'!B:R"),15,FALSE),"")</f>
        <v/>
      </c>
      <c r="DO165" s="96">
        <f>IFERROR(VLOOKUP($B165,INDIRECT("'GRD-"&amp;DO$11&amp;"'!B:R"),15,FALSE),"")</f>
        <v/>
      </c>
      <c r="DP165" s="96">
        <f>IFERROR(VLOOKUP($B165,INDIRECT("'GRD-"&amp;DP$11&amp;"'!B:R"),15,FALSE),"")</f>
        <v/>
      </c>
      <c r="DQ165" s="96">
        <f>IFERROR(VLOOKUP($B165,INDIRECT("'GRD-"&amp;DQ$11&amp;"'!B:R"),15,FALSE),"")</f>
        <v/>
      </c>
      <c r="DR165" s="96">
        <f>IFERROR(VLOOKUP($B165,INDIRECT("'GRD-"&amp;DR$11&amp;"'!B:R"),15,FALSE),"")</f>
        <v/>
      </c>
      <c r="DS165" s="96">
        <f>IFERROR(VLOOKUP($B165,INDIRECT("'GRD-"&amp;DS$11&amp;"'!B:R"),15,FALSE),"")</f>
        <v/>
      </c>
      <c r="DT165" s="96">
        <f>IFERROR(VLOOKUP($B165,INDIRECT("'GRD-"&amp;DT$11&amp;"'!B:R"),15,FALSE),"")</f>
        <v/>
      </c>
      <c r="DU165" s="96">
        <f>IFERROR(VLOOKUP($B165,INDIRECT("'GRD-"&amp;DU$11&amp;"'!B:R"),15,FALSE),"")</f>
        <v/>
      </c>
      <c r="DV165" s="96">
        <f>IFERROR(VLOOKUP($B165,INDIRECT("'GRD-"&amp;DV$11&amp;"'!B:R"),15,FALSE),"")</f>
        <v/>
      </c>
      <c r="DW165" s="96">
        <f>IFERROR(VLOOKUP($B165,INDIRECT("'GRD-"&amp;DW$11&amp;"'!B:R"),15,FALSE),"")</f>
        <v/>
      </c>
      <c r="DX165" s="96">
        <f>IFERROR(VLOOKUP($B165,INDIRECT("'GRD-"&amp;DX$11&amp;"'!B:R"),15,FALSE),"")</f>
        <v/>
      </c>
      <c r="DY165" s="96">
        <f>IFERROR(VLOOKUP($B165,INDIRECT("'GRD-"&amp;DY$11&amp;"'!B:R"),15,FALSE),"")</f>
        <v/>
      </c>
      <c r="DZ165" s="96">
        <f>IFERROR(VLOOKUP($B165,INDIRECT("'GRD-"&amp;DZ$11&amp;"'!B:R"),15,FALSE),"")</f>
        <v/>
      </c>
      <c r="EA165" s="96">
        <f>IFERROR(VLOOKUP($B165,INDIRECT("'GRD-"&amp;EA$11&amp;"'!B:R"),15,FALSE),"")</f>
        <v/>
      </c>
      <c r="EB165" s="96">
        <f>IFERROR(VLOOKUP($B165,INDIRECT("'GRD-"&amp;EB$11&amp;"'!B:R"),15,FALSE),"")</f>
        <v/>
      </c>
      <c r="EC165" s="96">
        <f>IFERROR(VLOOKUP($B165,INDIRECT("'GRD-"&amp;EC$11&amp;"'!B:R"),15,FALSE),"")</f>
        <v/>
      </c>
      <c r="ED165" s="96">
        <f>IFERROR(VLOOKUP($B165,INDIRECT("'GRD-"&amp;ED$11&amp;"'!B:R"),15,FALSE),"")</f>
        <v/>
      </c>
      <c r="EE165" s="96">
        <f>IFERROR(VLOOKUP($B165,INDIRECT("'GRD-"&amp;EE$11&amp;"'!B:R"),15,FALSE),"")</f>
        <v/>
      </c>
      <c r="EF165" s="96">
        <f>IFERROR(VLOOKUP($B165,INDIRECT("'GRD-"&amp;EF$11&amp;"'!B:R"),15,FALSE),"")</f>
        <v/>
      </c>
      <c r="EG165" s="96">
        <f>IFERROR(VLOOKUP($B165,INDIRECT("'GRD-"&amp;EG$11&amp;"'!B:R"),15,FALSE),"")</f>
        <v/>
      </c>
      <c r="EH165" s="96">
        <f>IFERROR(VLOOKUP($B165,INDIRECT("'GRD-"&amp;EH$11&amp;"'!B:R"),15,FALSE),"")</f>
        <v/>
      </c>
      <c r="EI165" s="96">
        <f>IFERROR(VLOOKUP($B165,INDIRECT("'GRD-"&amp;EI$11&amp;"'!B:R"),15,FALSE),"")</f>
        <v/>
      </c>
      <c r="EJ165" s="96">
        <f>IFERROR(VLOOKUP($B165,INDIRECT("'GRD-"&amp;EJ$11&amp;"'!B:R"),15,FALSE),"")</f>
        <v/>
      </c>
      <c r="EK165" s="96">
        <f>IFERROR(VLOOKUP($B165,INDIRECT("'GRD-"&amp;EK$11&amp;"'!B:R"),15,FALSE),"")</f>
        <v/>
      </c>
      <c r="EL165" s="96">
        <f>IFERROR(VLOOKUP($B165,INDIRECT("'GRD-"&amp;EL$11&amp;"'!B:R"),15,FALSE),"")</f>
        <v/>
      </c>
      <c r="EM165" s="96">
        <f>IFERROR(VLOOKUP($B165,INDIRECT("'GRD-"&amp;EM$11&amp;"'!B:R"),15,FALSE),"")</f>
        <v/>
      </c>
      <c r="EN165" s="96">
        <f>IFERROR(VLOOKUP($B165,INDIRECT("'GRD-"&amp;EN$11&amp;"'!B:R"),15,FALSE),"")</f>
        <v/>
      </c>
      <c r="EO165" s="96">
        <f>IFERROR(VLOOKUP($B165,INDIRECT("'GRD-"&amp;EO$11&amp;"'!B:R"),15,FALSE),"")</f>
        <v/>
      </c>
      <c r="EP165" s="96">
        <f>IFERROR(VLOOKUP($B165,INDIRECT("'GRD-"&amp;EP$11&amp;"'!B:R"),15,FALSE),"")</f>
        <v/>
      </c>
      <c r="EQ165" s="96">
        <f>IFERROR(VLOOKUP($B165,INDIRECT("'GRD-"&amp;EQ$11&amp;"'!B:R"),15,FALSE),"")</f>
        <v/>
      </c>
      <c r="ER165" s="96">
        <f>IFERROR(VLOOKUP($B165,INDIRECT("'GRD-"&amp;ER$11&amp;"'!B:R"),15,FALSE),"")</f>
        <v/>
      </c>
      <c r="ES165" s="96">
        <f>IFERROR(VLOOKUP($B165,INDIRECT("'GRD-"&amp;ES$11&amp;"'!B:R"),15,FALSE),"")</f>
        <v/>
      </c>
      <c r="ET165" s="96">
        <f>IFERROR(VLOOKUP($B165,INDIRECT("'GRD-"&amp;ET$11&amp;"'!B:R"),15,FALSE),"")</f>
        <v/>
      </c>
      <c r="EU165" s="96">
        <f>IFERROR(VLOOKUP($B165,INDIRECT("'GRD-"&amp;EU$11&amp;"'!B:R"),15,FALSE),"")</f>
        <v/>
      </c>
      <c r="EV165" s="96">
        <f>IFERROR(VLOOKUP($B165,INDIRECT("'GRD-"&amp;EV$11&amp;"'!B:R"),15,FALSE),"")</f>
        <v/>
      </c>
      <c r="EW165" s="96">
        <f>IFERROR(VLOOKUP($B165,INDIRECT("'GRD-"&amp;EW$11&amp;"'!B:R"),15,FALSE),"")</f>
        <v/>
      </c>
      <c r="EX165" s="96">
        <f>IFERROR(VLOOKUP($B165,INDIRECT("'GRD-"&amp;EX$11&amp;"'!B:R"),15,FALSE),"")</f>
        <v/>
      </c>
      <c r="EY165" s="96">
        <f>IFERROR(VLOOKUP($B165,INDIRECT("'GRD-"&amp;EY$11&amp;"'!B:R"),15,FALSE),"")</f>
        <v/>
      </c>
      <c r="EZ165" s="96">
        <f>IFERROR(VLOOKUP($B165,INDIRECT("'GRD-"&amp;EZ$11&amp;"'!B:R"),15,FALSE),"")</f>
        <v/>
      </c>
      <c r="FA165" s="96">
        <f>IFERROR(VLOOKUP($B165,INDIRECT("'GRD-"&amp;FA$11&amp;"'!B:R"),15,FALSE),"")</f>
        <v/>
      </c>
      <c r="FB165" s="96">
        <f>IFERROR(VLOOKUP($B165,INDIRECT("'GRD-"&amp;FB$11&amp;"'!B:R"),15,FALSE),"")</f>
        <v/>
      </c>
      <c r="FC165" s="96">
        <f>IFERROR(VLOOKUP($B165,INDIRECT("'GRD-"&amp;FC$11&amp;"'!B:R"),15,FALSE),"")</f>
        <v/>
      </c>
      <c r="FD165" s="96">
        <f>IFERROR(VLOOKUP($B165,INDIRECT("'GRD-"&amp;FD$11&amp;"'!B:R"),15,FALSE),"")</f>
        <v/>
      </c>
      <c r="FE165" s="96">
        <f>IFERROR(VLOOKUP($B165,INDIRECT("'GRD-"&amp;FE$11&amp;"'!B:R"),15,FALSE),"")</f>
        <v/>
      </c>
      <c r="FF165" s="96">
        <f>IFERROR(VLOOKUP($B165,INDIRECT("'GRD-"&amp;FF$11&amp;"'!B:R"),15,FALSE),"")</f>
        <v/>
      </c>
      <c r="FG165" s="96">
        <f>IFERROR(VLOOKUP($B165,INDIRECT("'GRD-"&amp;FG$11&amp;"'!B:R"),15,FALSE),"")</f>
        <v/>
      </c>
      <c r="FH165" s="96">
        <f>IFERROR(VLOOKUP($B165,INDIRECT("'GRD-"&amp;FH$11&amp;"'!B:R"),15,FALSE),"")</f>
        <v/>
      </c>
      <c r="FI165" s="96">
        <f>IFERROR(VLOOKUP($B165,INDIRECT("'GRD-"&amp;FI$11&amp;"'!B:R"),15,FALSE),"")</f>
        <v/>
      </c>
      <c r="FJ165" s="96">
        <f>IFERROR(VLOOKUP($B165,INDIRECT("'GRD-"&amp;FJ$11&amp;"'!B:R"),15,FALSE),"")</f>
        <v/>
      </c>
      <c r="FK165" s="96">
        <f>IFERROR(VLOOKUP($B165,INDIRECT("'GRD-"&amp;FK$11&amp;"'!B:R"),15,FALSE),"")</f>
        <v/>
      </c>
      <c r="FL165" s="96">
        <f>IFERROR(VLOOKUP($B165,INDIRECT("'GRD-"&amp;FL$11&amp;"'!B:R"),15,FALSE),"")</f>
        <v/>
      </c>
      <c r="FM165" s="96">
        <f>IFERROR(VLOOKUP($B165,INDIRECT("'GRD-"&amp;FM$11&amp;"'!B:R"),15,FALSE),"")</f>
        <v/>
      </c>
      <c r="FN165" s="96">
        <f>IFERROR(VLOOKUP($B165,INDIRECT("'GRD-"&amp;FN$11&amp;"'!B:R"),15,FALSE),"")</f>
        <v/>
      </c>
      <c r="FO165" s="96">
        <f>IFERROR(VLOOKUP($B165,INDIRECT("'GRD-"&amp;FO$11&amp;"'!B:R"),15,FALSE),"")</f>
        <v/>
      </c>
      <c r="FP165" s="96">
        <f>IFERROR(VLOOKUP($B165,INDIRECT("'GRD-"&amp;FP$11&amp;"'!B:R"),15,FALSE),"")</f>
        <v/>
      </c>
      <c r="FQ165" s="96">
        <f>IFERROR(VLOOKUP($B165,INDIRECT("'GRD-"&amp;FQ$11&amp;"'!B:R"),15,FALSE),"")</f>
        <v/>
      </c>
      <c r="FR165" s="96">
        <f>IFERROR(VLOOKUP($B165,INDIRECT("'GRD-"&amp;FR$11&amp;"'!B:R"),15,FALSE),"")</f>
        <v/>
      </c>
      <c r="FS165" s="96">
        <f>IFERROR(VLOOKUP($B165,INDIRECT("'GRD-"&amp;FS$11&amp;"'!B:R"),15,FALSE),"")</f>
        <v/>
      </c>
      <c r="FT165" s="96">
        <f>IFERROR(VLOOKUP($B165,INDIRECT("'GRD-"&amp;FT$11&amp;"'!B:R"),15,FALSE),"")</f>
        <v/>
      </c>
      <c r="FU165" s="96">
        <f>IFERROR(VLOOKUP($B165,INDIRECT("'GRD-"&amp;FU$11&amp;"'!B:R"),15,FALSE),"")</f>
        <v/>
      </c>
      <c r="FV165" s="96">
        <f>IFERROR(VLOOKUP($B165,INDIRECT("'GRD-"&amp;FV$11&amp;"'!B:R"),15,FALSE),"")</f>
        <v/>
      </c>
    </row>
    <row r="166">
      <c r="B166" s="85" t="n"/>
      <c r="C166" s="93" t="n"/>
      <c r="D166" s="73">
        <f>IF(K166="","",MAX($CA166:$FV166))</f>
        <v/>
      </c>
      <c r="E166" s="74">
        <f t="array" ref="E166">IF($K166="","",OFFSET($A$1,ROW($B166)-1,11+$D166*4,))</f>
        <v/>
      </c>
      <c r="F166" s="74">
        <f t="array" ref="F166">IF($K166="","",OFFSET($A$1,ROW($B166)-1,12+$D166*4,))</f>
        <v/>
      </c>
      <c r="G166" s="118">
        <f t="array" ref="G166">IF($K166="","",OFFSET($A$1,ROW($B166)-1,13+$D166*4,))</f>
        <v/>
      </c>
      <c r="H166" s="81" t="n"/>
      <c r="I166" s="82" t="n"/>
      <c r="J166" s="75">
        <f>IF(I166="A4",H166/8,IF(I166="A3",H166/4,IF(I166="A2",H166/2,IF(I166="A1",H166/1,IF(I166="A0",H166*2,"")))))</f>
        <v/>
      </c>
      <c r="K166" s="68">
        <f t="array" ref="K166">IFERROR(OFFSET($BZ$11,ROW($B166)-11,MATCH(K$10,$CA166:$FV166,0),),"")</f>
        <v/>
      </c>
      <c r="L166" s="85">
        <f>IF(K166="","",IF(VLOOKUP($B166,INDIRECT("'GRD-"&amp;M166&amp;"'!$B:$R"),16,FALSE)="","",VLOOKUP($B166,INDIRECT("'GRD-"&amp;M166&amp;"'!$B:$R"),16,FALSE)))</f>
        <v/>
      </c>
      <c r="M166" s="130">
        <f t="array" ref="M166">IF(K166="","",IFERROR(OFFSET($BZ$11,0,MATCH($K166,$CA166:$FV166,0),),""))</f>
        <v/>
      </c>
      <c r="N166" s="119">
        <f t="array" ref="N166">IF(K166="","",INDIRECT("'GRD-"&amp;M166&amp;"'!$L$7"))</f>
        <v/>
      </c>
      <c r="O166" s="76">
        <f t="array" ref="O166">IFERROR(OFFSET($BZ$11,ROW($B166)-11,MATCH(O$10,$CA166:$FV166,0),),"")</f>
        <v/>
      </c>
      <c r="P166" s="76">
        <f>IF(O166="","",IF(VLOOKUP($B166,INDIRECT("'GRD-"&amp;Q166&amp;"'!$B:$R"),16,FALSE)="","",VLOOKUP($B166,INDIRECT("'GRD-"&amp;Q166&amp;"'!$B:$R"),16,FALSE)))</f>
        <v/>
      </c>
      <c r="Q166" s="132">
        <f t="array" ref="Q166">IF(O166="","",IFERROR(OFFSET($BZ$11,0,MATCH($O166,$CA166:$FV166,0),),""))</f>
        <v/>
      </c>
      <c r="R166" s="121">
        <f t="array" ref="R166">IF(O166="","",INDIRECT("'GRD-"&amp;Q166&amp;"'!$L$7"))</f>
        <v/>
      </c>
      <c r="S166" s="83">
        <f t="array" ref="S166">IFERROR(OFFSET($BZ$11,ROW($B166)-11,MATCH(S$10,$CA166:$FV166,0),),"")</f>
        <v/>
      </c>
      <c r="T166" s="83">
        <f>IF(S166="","",IF(VLOOKUP($B166,INDIRECT("'GRD-"&amp;U166&amp;"'!$B:$R"),16,FALSE)="","",VLOOKUP($B166,INDIRECT("'GRD-"&amp;U166&amp;"'!$B:$R"),16,FALSE)))</f>
        <v/>
      </c>
      <c r="U166" s="128">
        <f t="array" ref="U166">IF(S166="","",IFERROR(OFFSET($BZ$11,0,MATCH($S166,$CA166:$FV166,0),),""))</f>
        <v/>
      </c>
      <c r="V166" s="133">
        <f t="array" ref="V166">IF(S166="","",INDIRECT("'GRD-"&amp;U166&amp;"'!$L$7"))</f>
        <v/>
      </c>
      <c r="W166" s="84">
        <f t="array" ref="W166">IFERROR(OFFSET($BZ$11,ROW($B166)-11,MATCH(W$10,$CA166:$FV166,0),),"")</f>
        <v/>
      </c>
      <c r="X166" s="84">
        <f>IF(W166="","",IF(VLOOKUP($B166,INDIRECT("'GRD-"&amp;Y166&amp;"'!$B:$R"),16,FALSE)="","",VLOOKUP($B166,INDIRECT("'GRD-"&amp;Y166&amp;"'!$B:$R"),16,FALSE)))</f>
        <v/>
      </c>
      <c r="Y166" s="129">
        <f t="array" ref="Y166">IF(W166="","",IFERROR(OFFSET($BZ$11,0,MATCH($W166,$CA166:$FV166,0),),""))</f>
        <v/>
      </c>
      <c r="Z166" s="134">
        <f t="array" ref="Z166">IF(W166="","",INDIRECT("'GRD-"&amp;Y166&amp;"'!$L$7"))</f>
        <v/>
      </c>
      <c r="AA166" s="85">
        <f t="array" ref="AA166">IFERROR(OFFSET($BZ$11,ROW($B166)-11,MATCH(AA$10,$CA166:$FV166,0),),"")</f>
        <v/>
      </c>
      <c r="AB166" s="85">
        <f>IF(AA166="","",IF(VLOOKUP($B166,INDIRECT("'GRD-"&amp;AC166&amp;"'!$B:$R"),16,FALSE)="","",VLOOKUP($B166,INDIRECT("'GRD-"&amp;AC166&amp;"'!$B:$R"),16,FALSE)))</f>
        <v/>
      </c>
      <c r="AC166" s="130">
        <f t="array" ref="AC166">IF(AA166="","",IFERROR(OFFSET($BZ$11,0,MATCH($AA166,$CA166:$FV166,0),),""))</f>
        <v/>
      </c>
      <c r="AD166" s="131">
        <f t="array" ref="AD166">IF(AA166="","",INDIRECT("'GRD-"&amp;AC166&amp;"'!$L$7"))</f>
        <v/>
      </c>
      <c r="AE166" s="76">
        <f t="array" ref="AE166">IFERROR(OFFSET($BZ$11,ROW($B166)-11,MATCH(AE$10,$CA166:$FV166,0),),"")</f>
        <v/>
      </c>
      <c r="AF166" s="76">
        <f>IF(AE166="","",IF(VLOOKUP($B166,INDIRECT("'GRD-"&amp;AG166&amp;"'!$B:$R"),16,FALSE)="","",VLOOKUP($B166,INDIRECT("'GRD-"&amp;AG166&amp;"'!$B:$R"),16,FALSE)))</f>
        <v/>
      </c>
      <c r="AG166" s="132">
        <f t="array" ref="AG166">IF(AE166="","",IFERROR(OFFSET($BZ$11,0,MATCH($AE166,$CA166:$FV166,0),),""))</f>
        <v/>
      </c>
      <c r="AH166" s="121">
        <f t="array" ref="AH166">IF(AE166="","",INDIRECT("'GRD-"&amp;AG166&amp;"'!$L$7"))</f>
        <v/>
      </c>
      <c r="AI166" s="83">
        <f t="array" ref="AI166">IFERROR(OFFSET($BZ$11,ROW($B166)-11,MATCH(AI$10,$CA166:$FV166,0),),"")</f>
        <v/>
      </c>
      <c r="AJ166" s="83">
        <f>IF(AI166="","",IF(VLOOKUP($B166,INDIRECT("'GRD-"&amp;AK166&amp;"'!$B:$R"),16,FALSE)="","",VLOOKUP($B166,INDIRECT("'GRD-"&amp;AK166&amp;"'!$B:$R"),16,FALSE)))</f>
        <v/>
      </c>
      <c r="AK166" s="128">
        <f t="array" ref="AK166">IF(AI166="","",IFERROR(OFFSET($BZ$11,0,MATCH($AI166,$CA166:$FV166,0),),""))</f>
        <v/>
      </c>
      <c r="AL166" s="133">
        <f t="array" ref="AL166">IF(AI166="","",INDIRECT("'GRD-"&amp;AK166&amp;"'!$L$7"))</f>
        <v/>
      </c>
      <c r="AM166" s="84">
        <f t="array" ref="AM166">IFERROR(OFFSET($BZ$11,ROW($B166)-11,MATCH(AM$10,$CA166:$FV166,0),),"")</f>
        <v/>
      </c>
      <c r="AN166" s="84">
        <f>IF(AM166="","",IF(VLOOKUP($B166,INDIRECT("'GRD-"&amp;AO166&amp;"'!$B:$R"),16,FALSE)="","",VLOOKUP($B166,INDIRECT("'GRD-"&amp;AO166&amp;"'!$B:$R"),16,FALSE)))</f>
        <v/>
      </c>
      <c r="AO166" s="129">
        <f t="array" ref="AO166">IF(AM166="","",IFERROR(OFFSET($BZ$11,0,MATCH($AM166,$CA166:$FV166,0),),""))</f>
        <v/>
      </c>
      <c r="AP166" s="134">
        <f t="array" ref="AP166">IF(AM166="","",INDIRECT("'GRD-"&amp;AO166&amp;"'!$L$7"))</f>
        <v/>
      </c>
      <c r="AQ166" s="85">
        <f t="array" ref="AQ166">IFERROR(OFFSET($BZ$11,ROW($B166)-11,MATCH(AQ$10,$CA166:$FV166,0),),"")</f>
        <v/>
      </c>
      <c r="AR166" s="85">
        <f>IF(AQ166="","",IF(VLOOKUP($B166,INDIRECT("'GRD-"&amp;AS166&amp;"'!$B:$R"),16,FALSE)="","",VLOOKUP($B166,INDIRECT("'GRD-"&amp;AS166&amp;"'!$B:$R"),16,FALSE)))</f>
        <v/>
      </c>
      <c r="AS166" s="130">
        <f t="array" ref="AS166">IF(AQ166="","",IFERROR(OFFSET($BZ$11,0,MATCH($AQ166,$CA166:$FV166,0),),""))</f>
        <v/>
      </c>
      <c r="AT166" s="131">
        <f t="array" ref="AT166">IF(AQ166="","",INDIRECT("'GRD-"&amp;AS166&amp;"'!$L$7"))</f>
        <v/>
      </c>
      <c r="AU166" s="76">
        <f t="array" ref="AU166">IFERROR(OFFSET($BZ$11,ROW($B166)-11,MATCH(AU$10,$CA166:$FV166,0),),"")</f>
        <v/>
      </c>
      <c r="AV166" s="76">
        <f>IF(AU166="","",IF(VLOOKUP($B166,INDIRECT("'GRD-"&amp;AW166&amp;"'!$B:$R"),16,FALSE)="","",VLOOKUP($B166,INDIRECT("'GRD-"&amp;AW166&amp;"'!$B:$R"),16,FALSE)))</f>
        <v/>
      </c>
      <c r="AW166" s="132">
        <f t="array" ref="AW166">IF(AU166="","",IFERROR(OFFSET($BZ$11,0,MATCH($AU166,$CA166:$FV166,0),),""))</f>
        <v/>
      </c>
      <c r="AX166" s="121">
        <f t="array" ref="AX166">IF(AU166="","",INDIRECT("'GRD-"&amp;AW166&amp;"'!$L$7"))</f>
        <v/>
      </c>
      <c r="AY166" s="83">
        <f t="array" ref="AY166">IFERROR(OFFSET($BZ$11,ROW($B166)-11,MATCH(AY$10,$CA166:$FV166,0),),"")</f>
        <v/>
      </c>
      <c r="AZ166" s="83">
        <f>IF(AY166="","",IF(VLOOKUP($B166,INDIRECT("'GRD-"&amp;BA166&amp;"'!$B:$R"),16,FALSE)="","",VLOOKUP($B166,INDIRECT("'GRD-"&amp;BA166&amp;"'!$B:$R"),16,FALSE)))</f>
        <v/>
      </c>
      <c r="BA166" s="128">
        <f t="array" ref="BA166">IF(AY166="","",IFERROR(OFFSET($BZ$11,0,MATCH($AY166,$CA166:$FV166,0),),""))</f>
        <v/>
      </c>
      <c r="BB166" s="133">
        <f t="array" ref="BB166">IF(AY166="","",INDIRECT("'GRD-"&amp;BA166&amp;"'!$L$7"))</f>
        <v/>
      </c>
      <c r="BC166" s="84">
        <f t="array" ref="BC166">IFERROR(OFFSET($BZ$11,ROW($B166)-11,MATCH(BC$10,$CA166:$FV166,0),),"")</f>
        <v/>
      </c>
      <c r="BD166" s="84">
        <f>IF(BC166="","",IF(VLOOKUP($B166,INDIRECT("'GRD-"&amp;BE166&amp;"'!$B:$R"),16,FALSE)="","",VLOOKUP($B166,INDIRECT("'GRD-"&amp;BE166&amp;"'!$B:$R"),16,FALSE)))</f>
        <v/>
      </c>
      <c r="BE166" s="129">
        <f t="array" ref="BE166">IF(BC166="","",IFERROR(OFFSET($BZ$11,0,MATCH($BC166,$CA166:$FV166,0),),""))</f>
        <v/>
      </c>
      <c r="BF166" s="134">
        <f t="array" ref="BF166">IF(BC166="","",INDIRECT("'GRD-"&amp;BE166&amp;"'!$L$7"))</f>
        <v/>
      </c>
      <c r="CA166" s="96">
        <f>IFERROR(VLOOKUP($B166,INDIRECT("'GRD-"&amp;CA$11&amp;"'!B:R"),15,FALSE),"")</f>
        <v/>
      </c>
      <c r="CB166" s="96">
        <f>IFERROR(VLOOKUP($B166,INDIRECT("'GRD-"&amp;CB$11&amp;"'!B:R"),15,FALSE),"")</f>
        <v/>
      </c>
      <c r="CC166" s="96">
        <f>IFERROR(VLOOKUP($B166,INDIRECT("'GRD-"&amp;CC$11&amp;"'!B:R"),15,FALSE),"")</f>
        <v/>
      </c>
      <c r="CD166" s="96">
        <f>IFERROR(VLOOKUP($B166,INDIRECT("'GRD-"&amp;CD$11&amp;"'!B:R"),15,FALSE),"")</f>
        <v/>
      </c>
      <c r="CE166" s="96">
        <f>IFERROR(VLOOKUP($B166,INDIRECT("'GRD-"&amp;CE$11&amp;"'!B:R"),15,FALSE),"")</f>
        <v/>
      </c>
      <c r="CF166" s="96">
        <f>IFERROR(VLOOKUP($B166,INDIRECT("'GRD-"&amp;CF$11&amp;"'!B:R"),15,FALSE),"")</f>
        <v/>
      </c>
      <c r="CG166" s="96">
        <f>IFERROR(VLOOKUP($B166,INDIRECT("'GRD-"&amp;CG$11&amp;"'!B:R"),15,FALSE),"")</f>
        <v/>
      </c>
      <c r="CH166" s="96">
        <f>IFERROR(VLOOKUP($B166,INDIRECT("'GRD-"&amp;CH$11&amp;"'!B:R"),15,FALSE),"")</f>
        <v/>
      </c>
      <c r="CI166" s="96">
        <f>IFERROR(VLOOKUP($B166,INDIRECT("'GRD-"&amp;CI$11&amp;"'!B:R"),15,FALSE),"")</f>
        <v/>
      </c>
      <c r="CJ166" s="96">
        <f>IFERROR(VLOOKUP($B166,INDIRECT("'GRD-"&amp;CJ$11&amp;"'!B:R"),15,FALSE),"")</f>
        <v/>
      </c>
      <c r="CK166" s="96">
        <f>IFERROR(VLOOKUP($B166,INDIRECT("'GRD-"&amp;CK$11&amp;"'!B:R"),15,FALSE),"")</f>
        <v/>
      </c>
      <c r="CL166" s="96">
        <f>IFERROR(VLOOKUP($B166,INDIRECT("'GRD-"&amp;CL$11&amp;"'!B:R"),15,FALSE),"")</f>
        <v/>
      </c>
      <c r="CM166" s="96">
        <f>IFERROR(VLOOKUP($B166,INDIRECT("'GRD-"&amp;CM$11&amp;"'!B:R"),15,FALSE),"")</f>
        <v/>
      </c>
      <c r="CN166" s="96">
        <f>IFERROR(VLOOKUP($B166,INDIRECT("'GRD-"&amp;CN$11&amp;"'!B:R"),15,FALSE),"")</f>
        <v/>
      </c>
      <c r="CO166" s="96">
        <f>IFERROR(VLOOKUP($B166,INDIRECT("'GRD-"&amp;CO$11&amp;"'!B:R"),15,FALSE),"")</f>
        <v/>
      </c>
      <c r="CP166" s="96">
        <f>IFERROR(VLOOKUP($B166,INDIRECT("'GRD-"&amp;CP$11&amp;"'!B:R"),15,FALSE),"")</f>
        <v/>
      </c>
      <c r="CQ166" s="96">
        <f>IFERROR(VLOOKUP($B166,INDIRECT("'GRD-"&amp;CQ$11&amp;"'!B:R"),15,FALSE),"")</f>
        <v/>
      </c>
      <c r="CR166" s="96">
        <f>IFERROR(VLOOKUP($B166,INDIRECT("'GRD-"&amp;CR$11&amp;"'!B:R"),15,FALSE),"")</f>
        <v/>
      </c>
      <c r="CS166" s="96">
        <f>IFERROR(VLOOKUP($B166,INDIRECT("'GRD-"&amp;CS$11&amp;"'!B:R"),15,FALSE),"")</f>
        <v/>
      </c>
      <c r="CT166" s="96">
        <f>IFERROR(VLOOKUP($B166,INDIRECT("'GRD-"&amp;CT$11&amp;"'!B:R"),15,FALSE),"")</f>
        <v/>
      </c>
      <c r="CU166" s="96">
        <f>IFERROR(VLOOKUP($B166,INDIRECT("'GRD-"&amp;CU$11&amp;"'!B:R"),15,FALSE),"")</f>
        <v/>
      </c>
      <c r="CV166" s="96">
        <f>IFERROR(VLOOKUP($B166,INDIRECT("'GRD-"&amp;CV$11&amp;"'!B:R"),15,FALSE),"")</f>
        <v/>
      </c>
      <c r="CW166" s="96">
        <f>IFERROR(VLOOKUP($B166,INDIRECT("'GRD-"&amp;CW$11&amp;"'!B:R"),15,FALSE),"")</f>
        <v/>
      </c>
      <c r="CX166" s="96">
        <f>IFERROR(VLOOKUP($B166,INDIRECT("'GRD-"&amp;CX$11&amp;"'!B:R"),15,FALSE),"")</f>
        <v/>
      </c>
      <c r="CY166" s="96">
        <f>IFERROR(VLOOKUP($B166,INDIRECT("'GRD-"&amp;CY$11&amp;"'!B:R"),15,FALSE),"")</f>
        <v/>
      </c>
      <c r="CZ166" s="96">
        <f>IFERROR(VLOOKUP($B166,INDIRECT("'GRD-"&amp;CZ$11&amp;"'!B:R"),15,FALSE),"")</f>
        <v/>
      </c>
      <c r="DA166" s="96">
        <f>IFERROR(VLOOKUP($B166,INDIRECT("'GRD-"&amp;DA$11&amp;"'!B:R"),15,FALSE),"")</f>
        <v/>
      </c>
      <c r="DB166" s="96">
        <f>IFERROR(VLOOKUP($B166,INDIRECT("'GRD-"&amp;DB$11&amp;"'!B:R"),15,FALSE),"")</f>
        <v/>
      </c>
      <c r="DC166" s="96">
        <f>IFERROR(VLOOKUP($B166,INDIRECT("'GRD-"&amp;DC$11&amp;"'!B:R"),15,FALSE),"")</f>
        <v/>
      </c>
      <c r="DD166" s="96">
        <f>IFERROR(VLOOKUP($B166,INDIRECT("'GRD-"&amp;DD$11&amp;"'!B:R"),15,FALSE),"")</f>
        <v/>
      </c>
      <c r="DE166" s="96">
        <f>IFERROR(VLOOKUP($B166,INDIRECT("'GRD-"&amp;DE$11&amp;"'!B:R"),15,FALSE),"")</f>
        <v/>
      </c>
      <c r="DF166" s="96">
        <f>IFERROR(VLOOKUP($B166,INDIRECT("'GRD-"&amp;DF$11&amp;"'!B:R"),15,FALSE),"")</f>
        <v/>
      </c>
      <c r="DG166" s="96">
        <f>IFERROR(VLOOKUP($B166,INDIRECT("'GRD-"&amp;DG$11&amp;"'!B:R"),15,FALSE),"")</f>
        <v/>
      </c>
      <c r="DH166" s="96">
        <f>IFERROR(VLOOKUP($B166,INDIRECT("'GRD-"&amp;DH$11&amp;"'!B:R"),15,FALSE),"")</f>
        <v/>
      </c>
      <c r="DI166" s="96">
        <f>IFERROR(VLOOKUP($B166,INDIRECT("'GRD-"&amp;DI$11&amp;"'!B:R"),15,FALSE),"")</f>
        <v/>
      </c>
      <c r="DJ166" s="96">
        <f>IFERROR(VLOOKUP($B166,INDIRECT("'GRD-"&amp;DJ$11&amp;"'!B:R"),15,FALSE),"")</f>
        <v/>
      </c>
      <c r="DK166" s="96">
        <f>IFERROR(VLOOKUP($B166,INDIRECT("'GRD-"&amp;DK$11&amp;"'!B:R"),15,FALSE),"")</f>
        <v/>
      </c>
      <c r="DL166" s="96">
        <f>IFERROR(VLOOKUP($B166,INDIRECT("'GRD-"&amp;DL$11&amp;"'!B:R"),15,FALSE),"")</f>
        <v/>
      </c>
      <c r="DM166" s="96">
        <f>IFERROR(VLOOKUP($B166,INDIRECT("'GRD-"&amp;DM$11&amp;"'!B:R"),15,FALSE),"")</f>
        <v/>
      </c>
      <c r="DN166" s="96">
        <f>IFERROR(VLOOKUP($B166,INDIRECT("'GRD-"&amp;DN$11&amp;"'!B:R"),15,FALSE),"")</f>
        <v/>
      </c>
      <c r="DO166" s="96">
        <f>IFERROR(VLOOKUP($B166,INDIRECT("'GRD-"&amp;DO$11&amp;"'!B:R"),15,FALSE),"")</f>
        <v/>
      </c>
      <c r="DP166" s="96">
        <f>IFERROR(VLOOKUP($B166,INDIRECT("'GRD-"&amp;DP$11&amp;"'!B:R"),15,FALSE),"")</f>
        <v/>
      </c>
      <c r="DQ166" s="96">
        <f>IFERROR(VLOOKUP($B166,INDIRECT("'GRD-"&amp;DQ$11&amp;"'!B:R"),15,FALSE),"")</f>
        <v/>
      </c>
      <c r="DR166" s="96">
        <f>IFERROR(VLOOKUP($B166,INDIRECT("'GRD-"&amp;DR$11&amp;"'!B:R"),15,FALSE),"")</f>
        <v/>
      </c>
      <c r="DS166" s="96">
        <f>IFERROR(VLOOKUP($B166,INDIRECT("'GRD-"&amp;DS$11&amp;"'!B:R"),15,FALSE),"")</f>
        <v/>
      </c>
      <c r="DT166" s="96">
        <f>IFERROR(VLOOKUP($B166,INDIRECT("'GRD-"&amp;DT$11&amp;"'!B:R"),15,FALSE),"")</f>
        <v/>
      </c>
      <c r="DU166" s="96">
        <f>IFERROR(VLOOKUP($B166,INDIRECT("'GRD-"&amp;DU$11&amp;"'!B:R"),15,FALSE),"")</f>
        <v/>
      </c>
      <c r="DV166" s="96">
        <f>IFERROR(VLOOKUP($B166,INDIRECT("'GRD-"&amp;DV$11&amp;"'!B:R"),15,FALSE),"")</f>
        <v/>
      </c>
      <c r="DW166" s="96">
        <f>IFERROR(VLOOKUP($B166,INDIRECT("'GRD-"&amp;DW$11&amp;"'!B:R"),15,FALSE),"")</f>
        <v/>
      </c>
      <c r="DX166" s="96">
        <f>IFERROR(VLOOKUP($B166,INDIRECT("'GRD-"&amp;DX$11&amp;"'!B:R"),15,FALSE),"")</f>
        <v/>
      </c>
      <c r="DY166" s="96">
        <f>IFERROR(VLOOKUP($B166,INDIRECT("'GRD-"&amp;DY$11&amp;"'!B:R"),15,FALSE),"")</f>
        <v/>
      </c>
      <c r="DZ166" s="96">
        <f>IFERROR(VLOOKUP($B166,INDIRECT("'GRD-"&amp;DZ$11&amp;"'!B:R"),15,FALSE),"")</f>
        <v/>
      </c>
      <c r="EA166" s="96">
        <f>IFERROR(VLOOKUP($B166,INDIRECT("'GRD-"&amp;EA$11&amp;"'!B:R"),15,FALSE),"")</f>
        <v/>
      </c>
      <c r="EB166" s="96">
        <f>IFERROR(VLOOKUP($B166,INDIRECT("'GRD-"&amp;EB$11&amp;"'!B:R"),15,FALSE),"")</f>
        <v/>
      </c>
      <c r="EC166" s="96">
        <f>IFERROR(VLOOKUP($B166,INDIRECT("'GRD-"&amp;EC$11&amp;"'!B:R"),15,FALSE),"")</f>
        <v/>
      </c>
      <c r="ED166" s="96">
        <f>IFERROR(VLOOKUP($B166,INDIRECT("'GRD-"&amp;ED$11&amp;"'!B:R"),15,FALSE),"")</f>
        <v/>
      </c>
      <c r="EE166" s="96">
        <f>IFERROR(VLOOKUP($B166,INDIRECT("'GRD-"&amp;EE$11&amp;"'!B:R"),15,FALSE),"")</f>
        <v/>
      </c>
      <c r="EF166" s="96">
        <f>IFERROR(VLOOKUP($B166,INDIRECT("'GRD-"&amp;EF$11&amp;"'!B:R"),15,FALSE),"")</f>
        <v/>
      </c>
      <c r="EG166" s="96">
        <f>IFERROR(VLOOKUP($B166,INDIRECT("'GRD-"&amp;EG$11&amp;"'!B:R"),15,FALSE),"")</f>
        <v/>
      </c>
      <c r="EH166" s="96">
        <f>IFERROR(VLOOKUP($B166,INDIRECT("'GRD-"&amp;EH$11&amp;"'!B:R"),15,FALSE),"")</f>
        <v/>
      </c>
      <c r="EI166" s="96">
        <f>IFERROR(VLOOKUP($B166,INDIRECT("'GRD-"&amp;EI$11&amp;"'!B:R"),15,FALSE),"")</f>
        <v/>
      </c>
      <c r="EJ166" s="96">
        <f>IFERROR(VLOOKUP($B166,INDIRECT("'GRD-"&amp;EJ$11&amp;"'!B:R"),15,FALSE),"")</f>
        <v/>
      </c>
      <c r="EK166" s="96">
        <f>IFERROR(VLOOKUP($B166,INDIRECT("'GRD-"&amp;EK$11&amp;"'!B:R"),15,FALSE),"")</f>
        <v/>
      </c>
      <c r="EL166" s="96">
        <f>IFERROR(VLOOKUP($B166,INDIRECT("'GRD-"&amp;EL$11&amp;"'!B:R"),15,FALSE),"")</f>
        <v/>
      </c>
      <c r="EM166" s="96">
        <f>IFERROR(VLOOKUP($B166,INDIRECT("'GRD-"&amp;EM$11&amp;"'!B:R"),15,FALSE),"")</f>
        <v/>
      </c>
      <c r="EN166" s="96">
        <f>IFERROR(VLOOKUP($B166,INDIRECT("'GRD-"&amp;EN$11&amp;"'!B:R"),15,FALSE),"")</f>
        <v/>
      </c>
      <c r="EO166" s="96">
        <f>IFERROR(VLOOKUP($B166,INDIRECT("'GRD-"&amp;EO$11&amp;"'!B:R"),15,FALSE),"")</f>
        <v/>
      </c>
      <c r="EP166" s="96">
        <f>IFERROR(VLOOKUP($B166,INDIRECT("'GRD-"&amp;EP$11&amp;"'!B:R"),15,FALSE),"")</f>
        <v/>
      </c>
      <c r="EQ166" s="96">
        <f>IFERROR(VLOOKUP($B166,INDIRECT("'GRD-"&amp;EQ$11&amp;"'!B:R"),15,FALSE),"")</f>
        <v/>
      </c>
      <c r="ER166" s="96">
        <f>IFERROR(VLOOKUP($B166,INDIRECT("'GRD-"&amp;ER$11&amp;"'!B:R"),15,FALSE),"")</f>
        <v/>
      </c>
      <c r="ES166" s="96">
        <f>IFERROR(VLOOKUP($B166,INDIRECT("'GRD-"&amp;ES$11&amp;"'!B:R"),15,FALSE),"")</f>
        <v/>
      </c>
      <c r="ET166" s="96">
        <f>IFERROR(VLOOKUP($B166,INDIRECT("'GRD-"&amp;ET$11&amp;"'!B:R"),15,FALSE),"")</f>
        <v/>
      </c>
      <c r="EU166" s="96">
        <f>IFERROR(VLOOKUP($B166,INDIRECT("'GRD-"&amp;EU$11&amp;"'!B:R"),15,FALSE),"")</f>
        <v/>
      </c>
      <c r="EV166" s="96">
        <f>IFERROR(VLOOKUP($B166,INDIRECT("'GRD-"&amp;EV$11&amp;"'!B:R"),15,FALSE),"")</f>
        <v/>
      </c>
      <c r="EW166" s="96">
        <f>IFERROR(VLOOKUP($B166,INDIRECT("'GRD-"&amp;EW$11&amp;"'!B:R"),15,FALSE),"")</f>
        <v/>
      </c>
      <c r="EX166" s="96">
        <f>IFERROR(VLOOKUP($B166,INDIRECT("'GRD-"&amp;EX$11&amp;"'!B:R"),15,FALSE),"")</f>
        <v/>
      </c>
      <c r="EY166" s="96">
        <f>IFERROR(VLOOKUP($B166,INDIRECT("'GRD-"&amp;EY$11&amp;"'!B:R"),15,FALSE),"")</f>
        <v/>
      </c>
      <c r="EZ166" s="96">
        <f>IFERROR(VLOOKUP($B166,INDIRECT("'GRD-"&amp;EZ$11&amp;"'!B:R"),15,FALSE),"")</f>
        <v/>
      </c>
      <c r="FA166" s="96">
        <f>IFERROR(VLOOKUP($B166,INDIRECT("'GRD-"&amp;FA$11&amp;"'!B:R"),15,FALSE),"")</f>
        <v/>
      </c>
      <c r="FB166" s="96">
        <f>IFERROR(VLOOKUP($B166,INDIRECT("'GRD-"&amp;FB$11&amp;"'!B:R"),15,FALSE),"")</f>
        <v/>
      </c>
      <c r="FC166" s="96">
        <f>IFERROR(VLOOKUP($B166,INDIRECT("'GRD-"&amp;FC$11&amp;"'!B:R"),15,FALSE),"")</f>
        <v/>
      </c>
      <c r="FD166" s="96">
        <f>IFERROR(VLOOKUP($B166,INDIRECT("'GRD-"&amp;FD$11&amp;"'!B:R"),15,FALSE),"")</f>
        <v/>
      </c>
      <c r="FE166" s="96">
        <f>IFERROR(VLOOKUP($B166,INDIRECT("'GRD-"&amp;FE$11&amp;"'!B:R"),15,FALSE),"")</f>
        <v/>
      </c>
      <c r="FF166" s="96">
        <f>IFERROR(VLOOKUP($B166,INDIRECT("'GRD-"&amp;FF$11&amp;"'!B:R"),15,FALSE),"")</f>
        <v/>
      </c>
      <c r="FG166" s="96">
        <f>IFERROR(VLOOKUP($B166,INDIRECT("'GRD-"&amp;FG$11&amp;"'!B:R"),15,FALSE),"")</f>
        <v/>
      </c>
      <c r="FH166" s="96">
        <f>IFERROR(VLOOKUP($B166,INDIRECT("'GRD-"&amp;FH$11&amp;"'!B:R"),15,FALSE),"")</f>
        <v/>
      </c>
      <c r="FI166" s="96">
        <f>IFERROR(VLOOKUP($B166,INDIRECT("'GRD-"&amp;FI$11&amp;"'!B:R"),15,FALSE),"")</f>
        <v/>
      </c>
      <c r="FJ166" s="96">
        <f>IFERROR(VLOOKUP($B166,INDIRECT("'GRD-"&amp;FJ$11&amp;"'!B:R"),15,FALSE),"")</f>
        <v/>
      </c>
      <c r="FK166" s="96">
        <f>IFERROR(VLOOKUP($B166,INDIRECT("'GRD-"&amp;FK$11&amp;"'!B:R"),15,FALSE),"")</f>
        <v/>
      </c>
      <c r="FL166" s="96">
        <f>IFERROR(VLOOKUP($B166,INDIRECT("'GRD-"&amp;FL$11&amp;"'!B:R"),15,FALSE),"")</f>
        <v/>
      </c>
      <c r="FM166" s="96">
        <f>IFERROR(VLOOKUP($B166,INDIRECT("'GRD-"&amp;FM$11&amp;"'!B:R"),15,FALSE),"")</f>
        <v/>
      </c>
      <c r="FN166" s="96">
        <f>IFERROR(VLOOKUP($B166,INDIRECT("'GRD-"&amp;FN$11&amp;"'!B:R"),15,FALSE),"")</f>
        <v/>
      </c>
      <c r="FO166" s="96">
        <f>IFERROR(VLOOKUP($B166,INDIRECT("'GRD-"&amp;FO$11&amp;"'!B:R"),15,FALSE),"")</f>
        <v/>
      </c>
      <c r="FP166" s="96">
        <f>IFERROR(VLOOKUP($B166,INDIRECT("'GRD-"&amp;FP$11&amp;"'!B:R"),15,FALSE),"")</f>
        <v/>
      </c>
      <c r="FQ166" s="96">
        <f>IFERROR(VLOOKUP($B166,INDIRECT("'GRD-"&amp;FQ$11&amp;"'!B:R"),15,FALSE),"")</f>
        <v/>
      </c>
      <c r="FR166" s="96">
        <f>IFERROR(VLOOKUP($B166,INDIRECT("'GRD-"&amp;FR$11&amp;"'!B:R"),15,FALSE),"")</f>
        <v/>
      </c>
      <c r="FS166" s="96">
        <f>IFERROR(VLOOKUP($B166,INDIRECT("'GRD-"&amp;FS$11&amp;"'!B:R"),15,FALSE),"")</f>
        <v/>
      </c>
      <c r="FT166" s="96">
        <f>IFERROR(VLOOKUP($B166,INDIRECT("'GRD-"&amp;FT$11&amp;"'!B:R"),15,FALSE),"")</f>
        <v/>
      </c>
      <c r="FU166" s="96">
        <f>IFERROR(VLOOKUP($B166,INDIRECT("'GRD-"&amp;FU$11&amp;"'!B:R"),15,FALSE),"")</f>
        <v/>
      </c>
      <c r="FV166" s="96">
        <f>IFERROR(VLOOKUP($B166,INDIRECT("'GRD-"&amp;FV$11&amp;"'!B:R"),15,FALSE),"")</f>
        <v/>
      </c>
    </row>
    <row r="167">
      <c r="B167" s="85" t="n"/>
      <c r="C167" s="93" t="n"/>
      <c r="D167" s="73">
        <f>IF(K167="","",MAX($CA167:$FV167))</f>
        <v/>
      </c>
      <c r="E167" s="74">
        <f t="array" ref="E167">IF($K167="","",OFFSET($A$1,ROW($B167)-1,11+$D167*4,))</f>
        <v/>
      </c>
      <c r="F167" s="74">
        <f t="array" ref="F167">IF($K167="","",OFFSET($A$1,ROW($B167)-1,12+$D167*4,))</f>
        <v/>
      </c>
      <c r="G167" s="118">
        <f t="array" ref="G167">IF($K167="","",OFFSET($A$1,ROW($B167)-1,13+$D167*4,))</f>
        <v/>
      </c>
      <c r="H167" s="81" t="n"/>
      <c r="I167" s="82" t="n"/>
      <c r="J167" s="75">
        <f>IF(I167="A4",H167/8,IF(I167="A3",H167/4,IF(I167="A2",H167/2,IF(I167="A1",H167/1,IF(I167="A0",H167*2,"")))))</f>
        <v/>
      </c>
      <c r="K167" s="68">
        <f t="array" ref="K167">IFERROR(OFFSET($BZ$11,ROW($B167)-11,MATCH(K$10,$CA167:$FV167,0),),"")</f>
        <v/>
      </c>
      <c r="L167" s="85">
        <f>IF(K167="","",IF(VLOOKUP($B167,INDIRECT("'GRD-"&amp;M167&amp;"'!$B:$R"),16,FALSE)="","",VLOOKUP($B167,INDIRECT("'GRD-"&amp;M167&amp;"'!$B:$R"),16,FALSE)))</f>
        <v/>
      </c>
      <c r="M167" s="130">
        <f t="array" ref="M167">IF(K167="","",IFERROR(OFFSET($BZ$11,0,MATCH($K167,$CA167:$FV167,0),),""))</f>
        <v/>
      </c>
      <c r="N167" s="119">
        <f t="array" ref="N167">IF(K167="","",INDIRECT("'GRD-"&amp;M167&amp;"'!$L$7"))</f>
        <v/>
      </c>
      <c r="O167" s="76">
        <f t="array" ref="O167">IFERROR(OFFSET($BZ$11,ROW($B167)-11,MATCH(O$10,$CA167:$FV167,0),),"")</f>
        <v/>
      </c>
      <c r="P167" s="76">
        <f>IF(O167="","",IF(VLOOKUP($B167,INDIRECT("'GRD-"&amp;Q167&amp;"'!$B:$R"),16,FALSE)="","",VLOOKUP($B167,INDIRECT("'GRD-"&amp;Q167&amp;"'!$B:$R"),16,FALSE)))</f>
        <v/>
      </c>
      <c r="Q167" s="132">
        <f t="array" ref="Q167">IF(O167="","",IFERROR(OFFSET($BZ$11,0,MATCH($O167,$CA167:$FV167,0),),""))</f>
        <v/>
      </c>
      <c r="R167" s="121">
        <f t="array" ref="R167">IF(O167="","",INDIRECT("'GRD-"&amp;Q167&amp;"'!$L$7"))</f>
        <v/>
      </c>
      <c r="S167" s="83">
        <f t="array" ref="S167">IFERROR(OFFSET($BZ$11,ROW($B167)-11,MATCH(S$10,$CA167:$FV167,0),),"")</f>
        <v/>
      </c>
      <c r="T167" s="83">
        <f>IF(S167="","",IF(VLOOKUP($B167,INDIRECT("'GRD-"&amp;U167&amp;"'!$B:$R"),16,FALSE)="","",VLOOKUP($B167,INDIRECT("'GRD-"&amp;U167&amp;"'!$B:$R"),16,FALSE)))</f>
        <v/>
      </c>
      <c r="U167" s="128">
        <f t="array" ref="U167">IF(S167="","",IFERROR(OFFSET($BZ$11,0,MATCH($S167,$CA167:$FV167,0),),""))</f>
        <v/>
      </c>
      <c r="V167" s="133">
        <f t="array" ref="V167">IF(S167="","",INDIRECT("'GRD-"&amp;U167&amp;"'!$L$7"))</f>
        <v/>
      </c>
      <c r="W167" s="84">
        <f t="array" ref="W167">IFERROR(OFFSET($BZ$11,ROW($B167)-11,MATCH(W$10,$CA167:$FV167,0),),"")</f>
        <v/>
      </c>
      <c r="X167" s="84">
        <f>IF(W167="","",IF(VLOOKUP($B167,INDIRECT("'GRD-"&amp;Y167&amp;"'!$B:$R"),16,FALSE)="","",VLOOKUP($B167,INDIRECT("'GRD-"&amp;Y167&amp;"'!$B:$R"),16,FALSE)))</f>
        <v/>
      </c>
      <c r="Y167" s="129">
        <f t="array" ref="Y167">IF(W167="","",IFERROR(OFFSET($BZ$11,0,MATCH($W167,$CA167:$FV167,0),),""))</f>
        <v/>
      </c>
      <c r="Z167" s="134">
        <f t="array" ref="Z167">IF(W167="","",INDIRECT("'GRD-"&amp;Y167&amp;"'!$L$7"))</f>
        <v/>
      </c>
      <c r="AA167" s="85">
        <f t="array" ref="AA167">IFERROR(OFFSET($BZ$11,ROW($B167)-11,MATCH(AA$10,$CA167:$FV167,0),),"")</f>
        <v/>
      </c>
      <c r="AB167" s="85">
        <f>IF(AA167="","",IF(VLOOKUP($B167,INDIRECT("'GRD-"&amp;AC167&amp;"'!$B:$R"),16,FALSE)="","",VLOOKUP($B167,INDIRECT("'GRD-"&amp;AC167&amp;"'!$B:$R"),16,FALSE)))</f>
        <v/>
      </c>
      <c r="AC167" s="130">
        <f t="array" ref="AC167">IF(AA167="","",IFERROR(OFFSET($BZ$11,0,MATCH($AA167,$CA167:$FV167,0),),""))</f>
        <v/>
      </c>
      <c r="AD167" s="131">
        <f t="array" ref="AD167">IF(AA167="","",INDIRECT("'GRD-"&amp;AC167&amp;"'!$L$7"))</f>
        <v/>
      </c>
      <c r="AE167" s="76">
        <f t="array" ref="AE167">IFERROR(OFFSET($BZ$11,ROW($B167)-11,MATCH(AE$10,$CA167:$FV167,0),),"")</f>
        <v/>
      </c>
      <c r="AF167" s="76">
        <f>IF(AE167="","",IF(VLOOKUP($B167,INDIRECT("'GRD-"&amp;AG167&amp;"'!$B:$R"),16,FALSE)="","",VLOOKUP($B167,INDIRECT("'GRD-"&amp;AG167&amp;"'!$B:$R"),16,FALSE)))</f>
        <v/>
      </c>
      <c r="AG167" s="132">
        <f t="array" ref="AG167">IF(AE167="","",IFERROR(OFFSET($BZ$11,0,MATCH($AE167,$CA167:$FV167,0),),""))</f>
        <v/>
      </c>
      <c r="AH167" s="121">
        <f t="array" ref="AH167">IF(AE167="","",INDIRECT("'GRD-"&amp;AG167&amp;"'!$L$7"))</f>
        <v/>
      </c>
      <c r="AI167" s="83">
        <f t="array" ref="AI167">IFERROR(OFFSET($BZ$11,ROW($B167)-11,MATCH(AI$10,$CA167:$FV167,0),),"")</f>
        <v/>
      </c>
      <c r="AJ167" s="83">
        <f>IF(AI167="","",IF(VLOOKUP($B167,INDIRECT("'GRD-"&amp;AK167&amp;"'!$B:$R"),16,FALSE)="","",VLOOKUP($B167,INDIRECT("'GRD-"&amp;AK167&amp;"'!$B:$R"),16,FALSE)))</f>
        <v/>
      </c>
      <c r="AK167" s="128">
        <f t="array" ref="AK167">IF(AI167="","",IFERROR(OFFSET($BZ$11,0,MATCH($AI167,$CA167:$FV167,0),),""))</f>
        <v/>
      </c>
      <c r="AL167" s="133">
        <f t="array" ref="AL167">IF(AI167="","",INDIRECT("'GRD-"&amp;AK167&amp;"'!$L$7"))</f>
        <v/>
      </c>
      <c r="AM167" s="84">
        <f t="array" ref="AM167">IFERROR(OFFSET($BZ$11,ROW($B167)-11,MATCH(AM$10,$CA167:$FV167,0),),"")</f>
        <v/>
      </c>
      <c r="AN167" s="84">
        <f>IF(AM167="","",IF(VLOOKUP($B167,INDIRECT("'GRD-"&amp;AO167&amp;"'!$B:$R"),16,FALSE)="","",VLOOKUP($B167,INDIRECT("'GRD-"&amp;AO167&amp;"'!$B:$R"),16,FALSE)))</f>
        <v/>
      </c>
      <c r="AO167" s="129">
        <f t="array" ref="AO167">IF(AM167="","",IFERROR(OFFSET($BZ$11,0,MATCH($AM167,$CA167:$FV167,0),),""))</f>
        <v/>
      </c>
      <c r="AP167" s="134">
        <f t="array" ref="AP167">IF(AM167="","",INDIRECT("'GRD-"&amp;AO167&amp;"'!$L$7"))</f>
        <v/>
      </c>
      <c r="AQ167" s="85">
        <f t="array" ref="AQ167">IFERROR(OFFSET($BZ$11,ROW($B167)-11,MATCH(AQ$10,$CA167:$FV167,0),),"")</f>
        <v/>
      </c>
      <c r="AR167" s="85">
        <f>IF(AQ167="","",IF(VLOOKUP($B167,INDIRECT("'GRD-"&amp;AS167&amp;"'!$B:$R"),16,FALSE)="","",VLOOKUP($B167,INDIRECT("'GRD-"&amp;AS167&amp;"'!$B:$R"),16,FALSE)))</f>
        <v/>
      </c>
      <c r="AS167" s="130">
        <f t="array" ref="AS167">IF(AQ167="","",IFERROR(OFFSET($BZ$11,0,MATCH($AQ167,$CA167:$FV167,0),),""))</f>
        <v/>
      </c>
      <c r="AT167" s="131">
        <f t="array" ref="AT167">IF(AQ167="","",INDIRECT("'GRD-"&amp;AS167&amp;"'!$L$7"))</f>
        <v/>
      </c>
      <c r="AU167" s="76">
        <f t="array" ref="AU167">IFERROR(OFFSET($BZ$11,ROW($B167)-11,MATCH(AU$10,$CA167:$FV167,0),),"")</f>
        <v/>
      </c>
      <c r="AV167" s="76">
        <f>IF(AU167="","",IF(VLOOKUP($B167,INDIRECT("'GRD-"&amp;AW167&amp;"'!$B:$R"),16,FALSE)="","",VLOOKUP($B167,INDIRECT("'GRD-"&amp;AW167&amp;"'!$B:$R"),16,FALSE)))</f>
        <v/>
      </c>
      <c r="AW167" s="132">
        <f t="array" ref="AW167">IF(AU167="","",IFERROR(OFFSET($BZ$11,0,MATCH($AU167,$CA167:$FV167,0),),""))</f>
        <v/>
      </c>
      <c r="AX167" s="121">
        <f t="array" ref="AX167">IF(AU167="","",INDIRECT("'GRD-"&amp;AW167&amp;"'!$L$7"))</f>
        <v/>
      </c>
      <c r="AY167" s="83">
        <f t="array" ref="AY167">IFERROR(OFFSET($BZ$11,ROW($B167)-11,MATCH(AY$10,$CA167:$FV167,0),),"")</f>
        <v/>
      </c>
      <c r="AZ167" s="83">
        <f>IF(AY167="","",IF(VLOOKUP($B167,INDIRECT("'GRD-"&amp;BA167&amp;"'!$B:$R"),16,FALSE)="","",VLOOKUP($B167,INDIRECT("'GRD-"&amp;BA167&amp;"'!$B:$R"),16,FALSE)))</f>
        <v/>
      </c>
      <c r="BA167" s="128">
        <f t="array" ref="BA167">IF(AY167="","",IFERROR(OFFSET($BZ$11,0,MATCH($AY167,$CA167:$FV167,0),),""))</f>
        <v/>
      </c>
      <c r="BB167" s="133">
        <f t="array" ref="BB167">IF(AY167="","",INDIRECT("'GRD-"&amp;BA167&amp;"'!$L$7"))</f>
        <v/>
      </c>
      <c r="BC167" s="84">
        <f t="array" ref="BC167">IFERROR(OFFSET($BZ$11,ROW($B167)-11,MATCH(BC$10,$CA167:$FV167,0),),"")</f>
        <v/>
      </c>
      <c r="BD167" s="84">
        <f>IF(BC167="","",IF(VLOOKUP($B167,INDIRECT("'GRD-"&amp;BE167&amp;"'!$B:$R"),16,FALSE)="","",VLOOKUP($B167,INDIRECT("'GRD-"&amp;BE167&amp;"'!$B:$R"),16,FALSE)))</f>
        <v/>
      </c>
      <c r="BE167" s="129">
        <f t="array" ref="BE167">IF(BC167="","",IFERROR(OFFSET($BZ$11,0,MATCH($BC167,$CA167:$FV167,0),),""))</f>
        <v/>
      </c>
      <c r="BF167" s="134">
        <f t="array" ref="BF167">IF(BC167="","",INDIRECT("'GRD-"&amp;BE167&amp;"'!$L$7"))</f>
        <v/>
      </c>
      <c r="CA167" s="96">
        <f>IFERROR(VLOOKUP($B167,INDIRECT("'GRD-"&amp;CA$11&amp;"'!B:R"),15,FALSE),"")</f>
        <v/>
      </c>
      <c r="CB167" s="96">
        <f>IFERROR(VLOOKUP($B167,INDIRECT("'GRD-"&amp;CB$11&amp;"'!B:R"),15,FALSE),"")</f>
        <v/>
      </c>
      <c r="CC167" s="96">
        <f>IFERROR(VLOOKUP($B167,INDIRECT("'GRD-"&amp;CC$11&amp;"'!B:R"),15,FALSE),"")</f>
        <v/>
      </c>
      <c r="CD167" s="96">
        <f>IFERROR(VLOOKUP($B167,INDIRECT("'GRD-"&amp;CD$11&amp;"'!B:R"),15,FALSE),"")</f>
        <v/>
      </c>
      <c r="CE167" s="96">
        <f>IFERROR(VLOOKUP($B167,INDIRECT("'GRD-"&amp;CE$11&amp;"'!B:R"),15,FALSE),"")</f>
        <v/>
      </c>
      <c r="CF167" s="96">
        <f>IFERROR(VLOOKUP($B167,INDIRECT("'GRD-"&amp;CF$11&amp;"'!B:R"),15,FALSE),"")</f>
        <v/>
      </c>
      <c r="CG167" s="96">
        <f>IFERROR(VLOOKUP($B167,INDIRECT("'GRD-"&amp;CG$11&amp;"'!B:R"),15,FALSE),"")</f>
        <v/>
      </c>
      <c r="CH167" s="96">
        <f>IFERROR(VLOOKUP($B167,INDIRECT("'GRD-"&amp;CH$11&amp;"'!B:R"),15,FALSE),"")</f>
        <v/>
      </c>
      <c r="CI167" s="96">
        <f>IFERROR(VLOOKUP($B167,INDIRECT("'GRD-"&amp;CI$11&amp;"'!B:R"),15,FALSE),"")</f>
        <v/>
      </c>
      <c r="CJ167" s="96">
        <f>IFERROR(VLOOKUP($B167,INDIRECT("'GRD-"&amp;CJ$11&amp;"'!B:R"),15,FALSE),"")</f>
        <v/>
      </c>
      <c r="CK167" s="96">
        <f>IFERROR(VLOOKUP($B167,INDIRECT("'GRD-"&amp;CK$11&amp;"'!B:R"),15,FALSE),"")</f>
        <v/>
      </c>
      <c r="CL167" s="96">
        <f>IFERROR(VLOOKUP($B167,INDIRECT("'GRD-"&amp;CL$11&amp;"'!B:R"),15,FALSE),"")</f>
        <v/>
      </c>
      <c r="CM167" s="96">
        <f>IFERROR(VLOOKUP($B167,INDIRECT("'GRD-"&amp;CM$11&amp;"'!B:R"),15,FALSE),"")</f>
        <v/>
      </c>
      <c r="CN167" s="96">
        <f>IFERROR(VLOOKUP($B167,INDIRECT("'GRD-"&amp;CN$11&amp;"'!B:R"),15,FALSE),"")</f>
        <v/>
      </c>
      <c r="CO167" s="96">
        <f>IFERROR(VLOOKUP($B167,INDIRECT("'GRD-"&amp;CO$11&amp;"'!B:R"),15,FALSE),"")</f>
        <v/>
      </c>
      <c r="CP167" s="96">
        <f>IFERROR(VLOOKUP($B167,INDIRECT("'GRD-"&amp;CP$11&amp;"'!B:R"),15,FALSE),"")</f>
        <v/>
      </c>
      <c r="CQ167" s="96">
        <f>IFERROR(VLOOKUP($B167,INDIRECT("'GRD-"&amp;CQ$11&amp;"'!B:R"),15,FALSE),"")</f>
        <v/>
      </c>
      <c r="CR167" s="96">
        <f>IFERROR(VLOOKUP($B167,INDIRECT("'GRD-"&amp;CR$11&amp;"'!B:R"),15,FALSE),"")</f>
        <v/>
      </c>
      <c r="CS167" s="96">
        <f>IFERROR(VLOOKUP($B167,INDIRECT("'GRD-"&amp;CS$11&amp;"'!B:R"),15,FALSE),"")</f>
        <v/>
      </c>
      <c r="CT167" s="96">
        <f>IFERROR(VLOOKUP($B167,INDIRECT("'GRD-"&amp;CT$11&amp;"'!B:R"),15,FALSE),"")</f>
        <v/>
      </c>
      <c r="CU167" s="96">
        <f>IFERROR(VLOOKUP($B167,INDIRECT("'GRD-"&amp;CU$11&amp;"'!B:R"),15,FALSE),"")</f>
        <v/>
      </c>
      <c r="CV167" s="96">
        <f>IFERROR(VLOOKUP($B167,INDIRECT("'GRD-"&amp;CV$11&amp;"'!B:R"),15,FALSE),"")</f>
        <v/>
      </c>
      <c r="CW167" s="96">
        <f>IFERROR(VLOOKUP($B167,INDIRECT("'GRD-"&amp;CW$11&amp;"'!B:R"),15,FALSE),"")</f>
        <v/>
      </c>
      <c r="CX167" s="96">
        <f>IFERROR(VLOOKUP($B167,INDIRECT("'GRD-"&amp;CX$11&amp;"'!B:R"),15,FALSE),"")</f>
        <v/>
      </c>
      <c r="CY167" s="96">
        <f>IFERROR(VLOOKUP($B167,INDIRECT("'GRD-"&amp;CY$11&amp;"'!B:R"),15,FALSE),"")</f>
        <v/>
      </c>
      <c r="CZ167" s="96">
        <f>IFERROR(VLOOKUP($B167,INDIRECT("'GRD-"&amp;CZ$11&amp;"'!B:R"),15,FALSE),"")</f>
        <v/>
      </c>
      <c r="DA167" s="96">
        <f>IFERROR(VLOOKUP($B167,INDIRECT("'GRD-"&amp;DA$11&amp;"'!B:R"),15,FALSE),"")</f>
        <v/>
      </c>
      <c r="DB167" s="96">
        <f>IFERROR(VLOOKUP($B167,INDIRECT("'GRD-"&amp;DB$11&amp;"'!B:R"),15,FALSE),"")</f>
        <v/>
      </c>
      <c r="DC167" s="96">
        <f>IFERROR(VLOOKUP($B167,INDIRECT("'GRD-"&amp;DC$11&amp;"'!B:R"),15,FALSE),"")</f>
        <v/>
      </c>
      <c r="DD167" s="96">
        <f>IFERROR(VLOOKUP($B167,INDIRECT("'GRD-"&amp;DD$11&amp;"'!B:R"),15,FALSE),"")</f>
        <v/>
      </c>
      <c r="DE167" s="96">
        <f>IFERROR(VLOOKUP($B167,INDIRECT("'GRD-"&amp;DE$11&amp;"'!B:R"),15,FALSE),"")</f>
        <v/>
      </c>
      <c r="DF167" s="96">
        <f>IFERROR(VLOOKUP($B167,INDIRECT("'GRD-"&amp;DF$11&amp;"'!B:R"),15,FALSE),"")</f>
        <v/>
      </c>
      <c r="DG167" s="96">
        <f>IFERROR(VLOOKUP($B167,INDIRECT("'GRD-"&amp;DG$11&amp;"'!B:R"),15,FALSE),"")</f>
        <v/>
      </c>
      <c r="DH167" s="96">
        <f>IFERROR(VLOOKUP($B167,INDIRECT("'GRD-"&amp;DH$11&amp;"'!B:R"),15,FALSE),"")</f>
        <v/>
      </c>
      <c r="DI167" s="96">
        <f>IFERROR(VLOOKUP($B167,INDIRECT("'GRD-"&amp;DI$11&amp;"'!B:R"),15,FALSE),"")</f>
        <v/>
      </c>
      <c r="DJ167" s="96">
        <f>IFERROR(VLOOKUP($B167,INDIRECT("'GRD-"&amp;DJ$11&amp;"'!B:R"),15,FALSE),"")</f>
        <v/>
      </c>
      <c r="DK167" s="96">
        <f>IFERROR(VLOOKUP($B167,INDIRECT("'GRD-"&amp;DK$11&amp;"'!B:R"),15,FALSE),"")</f>
        <v/>
      </c>
      <c r="DL167" s="96">
        <f>IFERROR(VLOOKUP($B167,INDIRECT("'GRD-"&amp;DL$11&amp;"'!B:R"),15,FALSE),"")</f>
        <v/>
      </c>
      <c r="DM167" s="96">
        <f>IFERROR(VLOOKUP($B167,INDIRECT("'GRD-"&amp;DM$11&amp;"'!B:R"),15,FALSE),"")</f>
        <v/>
      </c>
      <c r="DN167" s="96">
        <f>IFERROR(VLOOKUP($B167,INDIRECT("'GRD-"&amp;DN$11&amp;"'!B:R"),15,FALSE),"")</f>
        <v/>
      </c>
      <c r="DO167" s="96">
        <f>IFERROR(VLOOKUP($B167,INDIRECT("'GRD-"&amp;DO$11&amp;"'!B:R"),15,FALSE),"")</f>
        <v/>
      </c>
      <c r="DP167" s="96">
        <f>IFERROR(VLOOKUP($B167,INDIRECT("'GRD-"&amp;DP$11&amp;"'!B:R"),15,FALSE),"")</f>
        <v/>
      </c>
      <c r="DQ167" s="96">
        <f>IFERROR(VLOOKUP($B167,INDIRECT("'GRD-"&amp;DQ$11&amp;"'!B:R"),15,FALSE),"")</f>
        <v/>
      </c>
      <c r="DR167" s="96">
        <f>IFERROR(VLOOKUP($B167,INDIRECT("'GRD-"&amp;DR$11&amp;"'!B:R"),15,FALSE),"")</f>
        <v/>
      </c>
      <c r="DS167" s="96">
        <f>IFERROR(VLOOKUP($B167,INDIRECT("'GRD-"&amp;DS$11&amp;"'!B:R"),15,FALSE),"")</f>
        <v/>
      </c>
      <c r="DT167" s="96">
        <f>IFERROR(VLOOKUP($B167,INDIRECT("'GRD-"&amp;DT$11&amp;"'!B:R"),15,FALSE),"")</f>
        <v/>
      </c>
      <c r="DU167" s="96">
        <f>IFERROR(VLOOKUP($B167,INDIRECT("'GRD-"&amp;DU$11&amp;"'!B:R"),15,FALSE),"")</f>
        <v/>
      </c>
      <c r="DV167" s="96">
        <f>IFERROR(VLOOKUP($B167,INDIRECT("'GRD-"&amp;DV$11&amp;"'!B:R"),15,FALSE),"")</f>
        <v/>
      </c>
      <c r="DW167" s="96">
        <f>IFERROR(VLOOKUP($B167,INDIRECT("'GRD-"&amp;DW$11&amp;"'!B:R"),15,FALSE),"")</f>
        <v/>
      </c>
      <c r="DX167" s="96">
        <f>IFERROR(VLOOKUP($B167,INDIRECT("'GRD-"&amp;DX$11&amp;"'!B:R"),15,FALSE),"")</f>
        <v/>
      </c>
      <c r="DY167" s="96">
        <f>IFERROR(VLOOKUP($B167,INDIRECT("'GRD-"&amp;DY$11&amp;"'!B:R"),15,FALSE),"")</f>
        <v/>
      </c>
      <c r="DZ167" s="96">
        <f>IFERROR(VLOOKUP($B167,INDIRECT("'GRD-"&amp;DZ$11&amp;"'!B:R"),15,FALSE),"")</f>
        <v/>
      </c>
      <c r="EA167" s="96">
        <f>IFERROR(VLOOKUP($B167,INDIRECT("'GRD-"&amp;EA$11&amp;"'!B:R"),15,FALSE),"")</f>
        <v/>
      </c>
      <c r="EB167" s="96">
        <f>IFERROR(VLOOKUP($B167,INDIRECT("'GRD-"&amp;EB$11&amp;"'!B:R"),15,FALSE),"")</f>
        <v/>
      </c>
      <c r="EC167" s="96">
        <f>IFERROR(VLOOKUP($B167,INDIRECT("'GRD-"&amp;EC$11&amp;"'!B:R"),15,FALSE),"")</f>
        <v/>
      </c>
      <c r="ED167" s="96">
        <f>IFERROR(VLOOKUP($B167,INDIRECT("'GRD-"&amp;ED$11&amp;"'!B:R"),15,FALSE),"")</f>
        <v/>
      </c>
      <c r="EE167" s="96">
        <f>IFERROR(VLOOKUP($B167,INDIRECT("'GRD-"&amp;EE$11&amp;"'!B:R"),15,FALSE),"")</f>
        <v/>
      </c>
      <c r="EF167" s="96">
        <f>IFERROR(VLOOKUP($B167,INDIRECT("'GRD-"&amp;EF$11&amp;"'!B:R"),15,FALSE),"")</f>
        <v/>
      </c>
      <c r="EG167" s="96">
        <f>IFERROR(VLOOKUP($B167,INDIRECT("'GRD-"&amp;EG$11&amp;"'!B:R"),15,FALSE),"")</f>
        <v/>
      </c>
      <c r="EH167" s="96">
        <f>IFERROR(VLOOKUP($B167,INDIRECT("'GRD-"&amp;EH$11&amp;"'!B:R"),15,FALSE),"")</f>
        <v/>
      </c>
      <c r="EI167" s="96">
        <f>IFERROR(VLOOKUP($B167,INDIRECT("'GRD-"&amp;EI$11&amp;"'!B:R"),15,FALSE),"")</f>
        <v/>
      </c>
      <c r="EJ167" s="96">
        <f>IFERROR(VLOOKUP($B167,INDIRECT("'GRD-"&amp;EJ$11&amp;"'!B:R"),15,FALSE),"")</f>
        <v/>
      </c>
      <c r="EK167" s="96">
        <f>IFERROR(VLOOKUP($B167,INDIRECT("'GRD-"&amp;EK$11&amp;"'!B:R"),15,FALSE),"")</f>
        <v/>
      </c>
      <c r="EL167" s="96">
        <f>IFERROR(VLOOKUP($B167,INDIRECT("'GRD-"&amp;EL$11&amp;"'!B:R"),15,FALSE),"")</f>
        <v/>
      </c>
      <c r="EM167" s="96">
        <f>IFERROR(VLOOKUP($B167,INDIRECT("'GRD-"&amp;EM$11&amp;"'!B:R"),15,FALSE),"")</f>
        <v/>
      </c>
      <c r="EN167" s="96">
        <f>IFERROR(VLOOKUP($B167,INDIRECT("'GRD-"&amp;EN$11&amp;"'!B:R"),15,FALSE),"")</f>
        <v/>
      </c>
      <c r="EO167" s="96">
        <f>IFERROR(VLOOKUP($B167,INDIRECT("'GRD-"&amp;EO$11&amp;"'!B:R"),15,FALSE),"")</f>
        <v/>
      </c>
      <c r="EP167" s="96">
        <f>IFERROR(VLOOKUP($B167,INDIRECT("'GRD-"&amp;EP$11&amp;"'!B:R"),15,FALSE),"")</f>
        <v/>
      </c>
      <c r="EQ167" s="96">
        <f>IFERROR(VLOOKUP($B167,INDIRECT("'GRD-"&amp;EQ$11&amp;"'!B:R"),15,FALSE),"")</f>
        <v/>
      </c>
      <c r="ER167" s="96">
        <f>IFERROR(VLOOKUP($B167,INDIRECT("'GRD-"&amp;ER$11&amp;"'!B:R"),15,FALSE),"")</f>
        <v/>
      </c>
      <c r="ES167" s="96">
        <f>IFERROR(VLOOKUP($B167,INDIRECT("'GRD-"&amp;ES$11&amp;"'!B:R"),15,FALSE),"")</f>
        <v/>
      </c>
      <c r="ET167" s="96">
        <f>IFERROR(VLOOKUP($B167,INDIRECT("'GRD-"&amp;ET$11&amp;"'!B:R"),15,FALSE),"")</f>
        <v/>
      </c>
      <c r="EU167" s="96">
        <f>IFERROR(VLOOKUP($B167,INDIRECT("'GRD-"&amp;EU$11&amp;"'!B:R"),15,FALSE),"")</f>
        <v/>
      </c>
      <c r="EV167" s="96">
        <f>IFERROR(VLOOKUP($B167,INDIRECT("'GRD-"&amp;EV$11&amp;"'!B:R"),15,FALSE),"")</f>
        <v/>
      </c>
      <c r="EW167" s="96">
        <f>IFERROR(VLOOKUP($B167,INDIRECT("'GRD-"&amp;EW$11&amp;"'!B:R"),15,FALSE),"")</f>
        <v/>
      </c>
      <c r="EX167" s="96">
        <f>IFERROR(VLOOKUP($B167,INDIRECT("'GRD-"&amp;EX$11&amp;"'!B:R"),15,FALSE),"")</f>
        <v/>
      </c>
      <c r="EY167" s="96">
        <f>IFERROR(VLOOKUP($B167,INDIRECT("'GRD-"&amp;EY$11&amp;"'!B:R"),15,FALSE),"")</f>
        <v/>
      </c>
      <c r="EZ167" s="96">
        <f>IFERROR(VLOOKUP($B167,INDIRECT("'GRD-"&amp;EZ$11&amp;"'!B:R"),15,FALSE),"")</f>
        <v/>
      </c>
      <c r="FA167" s="96">
        <f>IFERROR(VLOOKUP($B167,INDIRECT("'GRD-"&amp;FA$11&amp;"'!B:R"),15,FALSE),"")</f>
        <v/>
      </c>
      <c r="FB167" s="96">
        <f>IFERROR(VLOOKUP($B167,INDIRECT("'GRD-"&amp;FB$11&amp;"'!B:R"),15,FALSE),"")</f>
        <v/>
      </c>
      <c r="FC167" s="96">
        <f>IFERROR(VLOOKUP($B167,INDIRECT("'GRD-"&amp;FC$11&amp;"'!B:R"),15,FALSE),"")</f>
        <v/>
      </c>
      <c r="FD167" s="96">
        <f>IFERROR(VLOOKUP($B167,INDIRECT("'GRD-"&amp;FD$11&amp;"'!B:R"),15,FALSE),"")</f>
        <v/>
      </c>
      <c r="FE167" s="96">
        <f>IFERROR(VLOOKUP($B167,INDIRECT("'GRD-"&amp;FE$11&amp;"'!B:R"),15,FALSE),"")</f>
        <v/>
      </c>
      <c r="FF167" s="96">
        <f>IFERROR(VLOOKUP($B167,INDIRECT("'GRD-"&amp;FF$11&amp;"'!B:R"),15,FALSE),"")</f>
        <v/>
      </c>
      <c r="FG167" s="96">
        <f>IFERROR(VLOOKUP($B167,INDIRECT("'GRD-"&amp;FG$11&amp;"'!B:R"),15,FALSE),"")</f>
        <v/>
      </c>
      <c r="FH167" s="96">
        <f>IFERROR(VLOOKUP($B167,INDIRECT("'GRD-"&amp;FH$11&amp;"'!B:R"),15,FALSE),"")</f>
        <v/>
      </c>
      <c r="FI167" s="96">
        <f>IFERROR(VLOOKUP($B167,INDIRECT("'GRD-"&amp;FI$11&amp;"'!B:R"),15,FALSE),"")</f>
        <v/>
      </c>
      <c r="FJ167" s="96">
        <f>IFERROR(VLOOKUP($B167,INDIRECT("'GRD-"&amp;FJ$11&amp;"'!B:R"),15,FALSE),"")</f>
        <v/>
      </c>
      <c r="FK167" s="96">
        <f>IFERROR(VLOOKUP($B167,INDIRECT("'GRD-"&amp;FK$11&amp;"'!B:R"),15,FALSE),"")</f>
        <v/>
      </c>
      <c r="FL167" s="96">
        <f>IFERROR(VLOOKUP($B167,INDIRECT("'GRD-"&amp;FL$11&amp;"'!B:R"),15,FALSE),"")</f>
        <v/>
      </c>
      <c r="FM167" s="96">
        <f>IFERROR(VLOOKUP($B167,INDIRECT("'GRD-"&amp;FM$11&amp;"'!B:R"),15,FALSE),"")</f>
        <v/>
      </c>
      <c r="FN167" s="96">
        <f>IFERROR(VLOOKUP($B167,INDIRECT("'GRD-"&amp;FN$11&amp;"'!B:R"),15,FALSE),"")</f>
        <v/>
      </c>
      <c r="FO167" s="96">
        <f>IFERROR(VLOOKUP($B167,INDIRECT("'GRD-"&amp;FO$11&amp;"'!B:R"),15,FALSE),"")</f>
        <v/>
      </c>
      <c r="FP167" s="96">
        <f>IFERROR(VLOOKUP($B167,INDIRECT("'GRD-"&amp;FP$11&amp;"'!B:R"),15,FALSE),"")</f>
        <v/>
      </c>
      <c r="FQ167" s="96">
        <f>IFERROR(VLOOKUP($B167,INDIRECT("'GRD-"&amp;FQ$11&amp;"'!B:R"),15,FALSE),"")</f>
        <v/>
      </c>
      <c r="FR167" s="96">
        <f>IFERROR(VLOOKUP($B167,INDIRECT("'GRD-"&amp;FR$11&amp;"'!B:R"),15,FALSE),"")</f>
        <v/>
      </c>
      <c r="FS167" s="96">
        <f>IFERROR(VLOOKUP($B167,INDIRECT("'GRD-"&amp;FS$11&amp;"'!B:R"),15,FALSE),"")</f>
        <v/>
      </c>
      <c r="FT167" s="96">
        <f>IFERROR(VLOOKUP($B167,INDIRECT("'GRD-"&amp;FT$11&amp;"'!B:R"),15,FALSE),"")</f>
        <v/>
      </c>
      <c r="FU167" s="96">
        <f>IFERROR(VLOOKUP($B167,INDIRECT("'GRD-"&amp;FU$11&amp;"'!B:R"),15,FALSE),"")</f>
        <v/>
      </c>
      <c r="FV167" s="96">
        <f>IFERROR(VLOOKUP($B167,INDIRECT("'GRD-"&amp;FV$11&amp;"'!B:R"),15,FALSE),"")</f>
        <v/>
      </c>
    </row>
    <row r="168">
      <c r="B168" s="85" t="n"/>
      <c r="C168" s="93" t="n"/>
      <c r="D168" s="73">
        <f>IF(K168="","",MAX($CA168:$FV168))</f>
        <v/>
      </c>
      <c r="E168" s="74">
        <f t="array" ref="E168">IF($K168="","",OFFSET($A$1,ROW($B168)-1,11+$D168*4,))</f>
        <v/>
      </c>
      <c r="F168" s="74">
        <f t="array" ref="F168">IF($K168="","",OFFSET($A$1,ROW($B168)-1,12+$D168*4,))</f>
        <v/>
      </c>
      <c r="G168" s="118">
        <f t="array" ref="G168">IF($K168="","",OFFSET($A$1,ROW($B168)-1,13+$D168*4,))</f>
        <v/>
      </c>
      <c r="H168" s="81" t="n"/>
      <c r="I168" s="82" t="n"/>
      <c r="J168" s="75">
        <f>IF(I168="A4",H168/8,IF(I168="A3",H168/4,IF(I168="A2",H168/2,IF(I168="A1",H168/1,IF(I168="A0",H168*2,"")))))</f>
        <v/>
      </c>
      <c r="K168" s="68">
        <f t="array" ref="K168">IFERROR(OFFSET($BZ$11,ROW($B168)-11,MATCH(K$10,$CA168:$FV168,0),),"")</f>
        <v/>
      </c>
      <c r="L168" s="85">
        <f>IF(K168="","",IF(VLOOKUP($B168,INDIRECT("'GRD-"&amp;M168&amp;"'!$B:$R"),16,FALSE)="","",VLOOKUP($B168,INDIRECT("'GRD-"&amp;M168&amp;"'!$B:$R"),16,FALSE)))</f>
        <v/>
      </c>
      <c r="M168" s="130">
        <f t="array" ref="M168">IF(K168="","",IFERROR(OFFSET($BZ$11,0,MATCH($K168,$CA168:$FV168,0),),""))</f>
        <v/>
      </c>
      <c r="N168" s="119">
        <f t="array" ref="N168">IF(K168="","",INDIRECT("'GRD-"&amp;M168&amp;"'!$L$7"))</f>
        <v/>
      </c>
      <c r="O168" s="76">
        <f t="array" ref="O168">IFERROR(OFFSET($BZ$11,ROW($B168)-11,MATCH(O$10,$CA168:$FV168,0),),"")</f>
        <v/>
      </c>
      <c r="P168" s="76">
        <f>IF(O168="","",IF(VLOOKUP($B168,INDIRECT("'GRD-"&amp;Q168&amp;"'!$B:$R"),16,FALSE)="","",VLOOKUP($B168,INDIRECT("'GRD-"&amp;Q168&amp;"'!$B:$R"),16,FALSE)))</f>
        <v/>
      </c>
      <c r="Q168" s="132">
        <f t="array" ref="Q168">IF(O168="","",IFERROR(OFFSET($BZ$11,0,MATCH($O168,$CA168:$FV168,0),),""))</f>
        <v/>
      </c>
      <c r="R168" s="121">
        <f t="array" ref="R168">IF(O168="","",INDIRECT("'GRD-"&amp;Q168&amp;"'!$L$7"))</f>
        <v/>
      </c>
      <c r="S168" s="83">
        <f t="array" ref="S168">IFERROR(OFFSET($BZ$11,ROW($B168)-11,MATCH(S$10,$CA168:$FV168,0),),"")</f>
        <v/>
      </c>
      <c r="T168" s="83">
        <f>IF(S168="","",IF(VLOOKUP($B168,INDIRECT("'GRD-"&amp;U168&amp;"'!$B:$R"),16,FALSE)="","",VLOOKUP($B168,INDIRECT("'GRD-"&amp;U168&amp;"'!$B:$R"),16,FALSE)))</f>
        <v/>
      </c>
      <c r="U168" s="128">
        <f t="array" ref="U168">IF(S168="","",IFERROR(OFFSET($BZ$11,0,MATCH($S168,$CA168:$FV168,0),),""))</f>
        <v/>
      </c>
      <c r="V168" s="133">
        <f t="array" ref="V168">IF(S168="","",INDIRECT("'GRD-"&amp;U168&amp;"'!$L$7"))</f>
        <v/>
      </c>
      <c r="W168" s="84">
        <f t="array" ref="W168">IFERROR(OFFSET($BZ$11,ROW($B168)-11,MATCH(W$10,$CA168:$FV168,0),),"")</f>
        <v/>
      </c>
      <c r="X168" s="84">
        <f>IF(W168="","",IF(VLOOKUP($B168,INDIRECT("'GRD-"&amp;Y168&amp;"'!$B:$R"),16,FALSE)="","",VLOOKUP($B168,INDIRECT("'GRD-"&amp;Y168&amp;"'!$B:$R"),16,FALSE)))</f>
        <v/>
      </c>
      <c r="Y168" s="129">
        <f t="array" ref="Y168">IF(W168="","",IFERROR(OFFSET($BZ$11,0,MATCH($W168,$CA168:$FV168,0),),""))</f>
        <v/>
      </c>
      <c r="Z168" s="134">
        <f t="array" ref="Z168">IF(W168="","",INDIRECT("'GRD-"&amp;Y168&amp;"'!$L$7"))</f>
        <v/>
      </c>
      <c r="AA168" s="85">
        <f t="array" ref="AA168">IFERROR(OFFSET($BZ$11,ROW($B168)-11,MATCH(AA$10,$CA168:$FV168,0),),"")</f>
        <v/>
      </c>
      <c r="AB168" s="85">
        <f>IF(AA168="","",IF(VLOOKUP($B168,INDIRECT("'GRD-"&amp;AC168&amp;"'!$B:$R"),16,FALSE)="","",VLOOKUP($B168,INDIRECT("'GRD-"&amp;AC168&amp;"'!$B:$R"),16,FALSE)))</f>
        <v/>
      </c>
      <c r="AC168" s="130">
        <f t="array" ref="AC168">IF(AA168="","",IFERROR(OFFSET($BZ$11,0,MATCH($AA168,$CA168:$FV168,0),),""))</f>
        <v/>
      </c>
      <c r="AD168" s="131">
        <f t="array" ref="AD168">IF(AA168="","",INDIRECT("'GRD-"&amp;AC168&amp;"'!$L$7"))</f>
        <v/>
      </c>
      <c r="AE168" s="76">
        <f t="array" ref="AE168">IFERROR(OFFSET($BZ$11,ROW($B168)-11,MATCH(AE$10,$CA168:$FV168,0),),"")</f>
        <v/>
      </c>
      <c r="AF168" s="76">
        <f>IF(AE168="","",IF(VLOOKUP($B168,INDIRECT("'GRD-"&amp;AG168&amp;"'!$B:$R"),16,FALSE)="","",VLOOKUP($B168,INDIRECT("'GRD-"&amp;AG168&amp;"'!$B:$R"),16,FALSE)))</f>
        <v/>
      </c>
      <c r="AG168" s="132">
        <f t="array" ref="AG168">IF(AE168="","",IFERROR(OFFSET($BZ$11,0,MATCH($AE168,$CA168:$FV168,0),),""))</f>
        <v/>
      </c>
      <c r="AH168" s="121">
        <f t="array" ref="AH168">IF(AE168="","",INDIRECT("'GRD-"&amp;AG168&amp;"'!$L$7"))</f>
        <v/>
      </c>
      <c r="AI168" s="83">
        <f t="array" ref="AI168">IFERROR(OFFSET($BZ$11,ROW($B168)-11,MATCH(AI$10,$CA168:$FV168,0),),"")</f>
        <v/>
      </c>
      <c r="AJ168" s="83">
        <f>IF(AI168="","",IF(VLOOKUP($B168,INDIRECT("'GRD-"&amp;AK168&amp;"'!$B:$R"),16,FALSE)="","",VLOOKUP($B168,INDIRECT("'GRD-"&amp;AK168&amp;"'!$B:$R"),16,FALSE)))</f>
        <v/>
      </c>
      <c r="AK168" s="128">
        <f t="array" ref="AK168">IF(AI168="","",IFERROR(OFFSET($BZ$11,0,MATCH($AI168,$CA168:$FV168,0),),""))</f>
        <v/>
      </c>
      <c r="AL168" s="133">
        <f t="array" ref="AL168">IF(AI168="","",INDIRECT("'GRD-"&amp;AK168&amp;"'!$L$7"))</f>
        <v/>
      </c>
      <c r="AM168" s="84">
        <f t="array" ref="AM168">IFERROR(OFFSET($BZ$11,ROW($B168)-11,MATCH(AM$10,$CA168:$FV168,0),),"")</f>
        <v/>
      </c>
      <c r="AN168" s="84">
        <f>IF(AM168="","",IF(VLOOKUP($B168,INDIRECT("'GRD-"&amp;AO168&amp;"'!$B:$R"),16,FALSE)="","",VLOOKUP($B168,INDIRECT("'GRD-"&amp;AO168&amp;"'!$B:$R"),16,FALSE)))</f>
        <v/>
      </c>
      <c r="AO168" s="129">
        <f t="array" ref="AO168">IF(AM168="","",IFERROR(OFFSET($BZ$11,0,MATCH($AM168,$CA168:$FV168,0),),""))</f>
        <v/>
      </c>
      <c r="AP168" s="134">
        <f t="array" ref="AP168">IF(AM168="","",INDIRECT("'GRD-"&amp;AO168&amp;"'!$L$7"))</f>
        <v/>
      </c>
      <c r="AQ168" s="85">
        <f t="array" ref="AQ168">IFERROR(OFFSET($BZ$11,ROW($B168)-11,MATCH(AQ$10,$CA168:$FV168,0),),"")</f>
        <v/>
      </c>
      <c r="AR168" s="85">
        <f>IF(AQ168="","",IF(VLOOKUP($B168,INDIRECT("'GRD-"&amp;AS168&amp;"'!$B:$R"),16,FALSE)="","",VLOOKUP($B168,INDIRECT("'GRD-"&amp;AS168&amp;"'!$B:$R"),16,FALSE)))</f>
        <v/>
      </c>
      <c r="AS168" s="130">
        <f t="array" ref="AS168">IF(AQ168="","",IFERROR(OFFSET($BZ$11,0,MATCH($AQ168,$CA168:$FV168,0),),""))</f>
        <v/>
      </c>
      <c r="AT168" s="131">
        <f t="array" ref="AT168">IF(AQ168="","",INDIRECT("'GRD-"&amp;AS168&amp;"'!$L$7"))</f>
        <v/>
      </c>
      <c r="AU168" s="76">
        <f t="array" ref="AU168">IFERROR(OFFSET($BZ$11,ROW($B168)-11,MATCH(AU$10,$CA168:$FV168,0),),"")</f>
        <v/>
      </c>
      <c r="AV168" s="76">
        <f>IF(AU168="","",IF(VLOOKUP($B168,INDIRECT("'GRD-"&amp;AW168&amp;"'!$B:$R"),16,FALSE)="","",VLOOKUP($B168,INDIRECT("'GRD-"&amp;AW168&amp;"'!$B:$R"),16,FALSE)))</f>
        <v/>
      </c>
      <c r="AW168" s="132">
        <f t="array" ref="AW168">IF(AU168="","",IFERROR(OFFSET($BZ$11,0,MATCH($AU168,$CA168:$FV168,0),),""))</f>
        <v/>
      </c>
      <c r="AX168" s="121">
        <f t="array" ref="AX168">IF(AU168="","",INDIRECT("'GRD-"&amp;AW168&amp;"'!$L$7"))</f>
        <v/>
      </c>
      <c r="AY168" s="83">
        <f t="array" ref="AY168">IFERROR(OFFSET($BZ$11,ROW($B168)-11,MATCH(AY$10,$CA168:$FV168,0),),"")</f>
        <v/>
      </c>
      <c r="AZ168" s="83">
        <f>IF(AY168="","",IF(VLOOKUP($B168,INDIRECT("'GRD-"&amp;BA168&amp;"'!$B:$R"),16,FALSE)="","",VLOOKUP($B168,INDIRECT("'GRD-"&amp;BA168&amp;"'!$B:$R"),16,FALSE)))</f>
        <v/>
      </c>
      <c r="BA168" s="128">
        <f t="array" ref="BA168">IF(AY168="","",IFERROR(OFFSET($BZ$11,0,MATCH($AY168,$CA168:$FV168,0),),""))</f>
        <v/>
      </c>
      <c r="BB168" s="133">
        <f t="array" ref="BB168">IF(AY168="","",INDIRECT("'GRD-"&amp;BA168&amp;"'!$L$7"))</f>
        <v/>
      </c>
      <c r="BC168" s="84">
        <f t="array" ref="BC168">IFERROR(OFFSET($BZ$11,ROW($B168)-11,MATCH(BC$10,$CA168:$FV168,0),),"")</f>
        <v/>
      </c>
      <c r="BD168" s="84">
        <f>IF(BC168="","",IF(VLOOKUP($B168,INDIRECT("'GRD-"&amp;BE168&amp;"'!$B:$R"),16,FALSE)="","",VLOOKUP($B168,INDIRECT("'GRD-"&amp;BE168&amp;"'!$B:$R"),16,FALSE)))</f>
        <v/>
      </c>
      <c r="BE168" s="129">
        <f t="array" ref="BE168">IF(BC168="","",IFERROR(OFFSET($BZ$11,0,MATCH($BC168,$CA168:$FV168,0),),""))</f>
        <v/>
      </c>
      <c r="BF168" s="134">
        <f t="array" ref="BF168">IF(BC168="","",INDIRECT("'GRD-"&amp;BE168&amp;"'!$L$7"))</f>
        <v/>
      </c>
      <c r="CA168" s="96">
        <f>IFERROR(VLOOKUP($B168,INDIRECT("'GRD-"&amp;CA$11&amp;"'!B:R"),15,FALSE),"")</f>
        <v/>
      </c>
      <c r="CB168" s="96">
        <f>IFERROR(VLOOKUP($B168,INDIRECT("'GRD-"&amp;CB$11&amp;"'!B:R"),15,FALSE),"")</f>
        <v/>
      </c>
      <c r="CC168" s="96">
        <f>IFERROR(VLOOKUP($B168,INDIRECT("'GRD-"&amp;CC$11&amp;"'!B:R"),15,FALSE),"")</f>
        <v/>
      </c>
      <c r="CD168" s="96">
        <f>IFERROR(VLOOKUP($B168,INDIRECT("'GRD-"&amp;CD$11&amp;"'!B:R"),15,FALSE),"")</f>
        <v/>
      </c>
      <c r="CE168" s="96">
        <f>IFERROR(VLOOKUP($B168,INDIRECT("'GRD-"&amp;CE$11&amp;"'!B:R"),15,FALSE),"")</f>
        <v/>
      </c>
      <c r="CF168" s="96">
        <f>IFERROR(VLOOKUP($B168,INDIRECT("'GRD-"&amp;CF$11&amp;"'!B:R"),15,FALSE),"")</f>
        <v/>
      </c>
      <c r="CG168" s="96">
        <f>IFERROR(VLOOKUP($B168,INDIRECT("'GRD-"&amp;CG$11&amp;"'!B:R"),15,FALSE),"")</f>
        <v/>
      </c>
      <c r="CH168" s="96">
        <f>IFERROR(VLOOKUP($B168,INDIRECT("'GRD-"&amp;CH$11&amp;"'!B:R"),15,FALSE),"")</f>
        <v/>
      </c>
      <c r="CI168" s="96">
        <f>IFERROR(VLOOKUP($B168,INDIRECT("'GRD-"&amp;CI$11&amp;"'!B:R"),15,FALSE),"")</f>
        <v/>
      </c>
      <c r="CJ168" s="96">
        <f>IFERROR(VLOOKUP($B168,INDIRECT("'GRD-"&amp;CJ$11&amp;"'!B:R"),15,FALSE),"")</f>
        <v/>
      </c>
      <c r="CK168" s="96">
        <f>IFERROR(VLOOKUP($B168,INDIRECT("'GRD-"&amp;CK$11&amp;"'!B:R"),15,FALSE),"")</f>
        <v/>
      </c>
      <c r="CL168" s="96">
        <f>IFERROR(VLOOKUP($B168,INDIRECT("'GRD-"&amp;CL$11&amp;"'!B:R"),15,FALSE),"")</f>
        <v/>
      </c>
      <c r="CM168" s="96">
        <f>IFERROR(VLOOKUP($B168,INDIRECT("'GRD-"&amp;CM$11&amp;"'!B:R"),15,FALSE),"")</f>
        <v/>
      </c>
      <c r="CN168" s="96">
        <f>IFERROR(VLOOKUP($B168,INDIRECT("'GRD-"&amp;CN$11&amp;"'!B:R"),15,FALSE),"")</f>
        <v/>
      </c>
      <c r="CO168" s="96">
        <f>IFERROR(VLOOKUP($B168,INDIRECT("'GRD-"&amp;CO$11&amp;"'!B:R"),15,FALSE),"")</f>
        <v/>
      </c>
      <c r="CP168" s="96">
        <f>IFERROR(VLOOKUP($B168,INDIRECT("'GRD-"&amp;CP$11&amp;"'!B:R"),15,FALSE),"")</f>
        <v/>
      </c>
      <c r="CQ168" s="96">
        <f>IFERROR(VLOOKUP($B168,INDIRECT("'GRD-"&amp;CQ$11&amp;"'!B:R"),15,FALSE),"")</f>
        <v/>
      </c>
      <c r="CR168" s="96">
        <f>IFERROR(VLOOKUP($B168,INDIRECT("'GRD-"&amp;CR$11&amp;"'!B:R"),15,FALSE),"")</f>
        <v/>
      </c>
      <c r="CS168" s="96">
        <f>IFERROR(VLOOKUP($B168,INDIRECT("'GRD-"&amp;CS$11&amp;"'!B:R"),15,FALSE),"")</f>
        <v/>
      </c>
      <c r="CT168" s="96">
        <f>IFERROR(VLOOKUP($B168,INDIRECT("'GRD-"&amp;CT$11&amp;"'!B:R"),15,FALSE),"")</f>
        <v/>
      </c>
      <c r="CU168" s="96">
        <f>IFERROR(VLOOKUP($B168,INDIRECT("'GRD-"&amp;CU$11&amp;"'!B:R"),15,FALSE),"")</f>
        <v/>
      </c>
      <c r="CV168" s="96">
        <f>IFERROR(VLOOKUP($B168,INDIRECT("'GRD-"&amp;CV$11&amp;"'!B:R"),15,FALSE),"")</f>
        <v/>
      </c>
      <c r="CW168" s="96">
        <f>IFERROR(VLOOKUP($B168,INDIRECT("'GRD-"&amp;CW$11&amp;"'!B:R"),15,FALSE),"")</f>
        <v/>
      </c>
      <c r="CX168" s="96">
        <f>IFERROR(VLOOKUP($B168,INDIRECT("'GRD-"&amp;CX$11&amp;"'!B:R"),15,FALSE),"")</f>
        <v/>
      </c>
      <c r="CY168" s="96">
        <f>IFERROR(VLOOKUP($B168,INDIRECT("'GRD-"&amp;CY$11&amp;"'!B:R"),15,FALSE),"")</f>
        <v/>
      </c>
      <c r="CZ168" s="96">
        <f>IFERROR(VLOOKUP($B168,INDIRECT("'GRD-"&amp;CZ$11&amp;"'!B:R"),15,FALSE),"")</f>
        <v/>
      </c>
      <c r="DA168" s="96">
        <f>IFERROR(VLOOKUP($B168,INDIRECT("'GRD-"&amp;DA$11&amp;"'!B:R"),15,FALSE),"")</f>
        <v/>
      </c>
      <c r="DB168" s="96">
        <f>IFERROR(VLOOKUP($B168,INDIRECT("'GRD-"&amp;DB$11&amp;"'!B:R"),15,FALSE),"")</f>
        <v/>
      </c>
      <c r="DC168" s="96">
        <f>IFERROR(VLOOKUP($B168,INDIRECT("'GRD-"&amp;DC$11&amp;"'!B:R"),15,FALSE),"")</f>
        <v/>
      </c>
      <c r="DD168" s="96">
        <f>IFERROR(VLOOKUP($B168,INDIRECT("'GRD-"&amp;DD$11&amp;"'!B:R"),15,FALSE),"")</f>
        <v/>
      </c>
      <c r="DE168" s="96">
        <f>IFERROR(VLOOKUP($B168,INDIRECT("'GRD-"&amp;DE$11&amp;"'!B:R"),15,FALSE),"")</f>
        <v/>
      </c>
      <c r="DF168" s="96">
        <f>IFERROR(VLOOKUP($B168,INDIRECT("'GRD-"&amp;DF$11&amp;"'!B:R"),15,FALSE),"")</f>
        <v/>
      </c>
      <c r="DG168" s="96">
        <f>IFERROR(VLOOKUP($B168,INDIRECT("'GRD-"&amp;DG$11&amp;"'!B:R"),15,FALSE),"")</f>
        <v/>
      </c>
      <c r="DH168" s="96">
        <f>IFERROR(VLOOKUP($B168,INDIRECT("'GRD-"&amp;DH$11&amp;"'!B:R"),15,FALSE),"")</f>
        <v/>
      </c>
      <c r="DI168" s="96">
        <f>IFERROR(VLOOKUP($B168,INDIRECT("'GRD-"&amp;DI$11&amp;"'!B:R"),15,FALSE),"")</f>
        <v/>
      </c>
      <c r="DJ168" s="96">
        <f>IFERROR(VLOOKUP($B168,INDIRECT("'GRD-"&amp;DJ$11&amp;"'!B:R"),15,FALSE),"")</f>
        <v/>
      </c>
      <c r="DK168" s="96">
        <f>IFERROR(VLOOKUP($B168,INDIRECT("'GRD-"&amp;DK$11&amp;"'!B:R"),15,FALSE),"")</f>
        <v/>
      </c>
      <c r="DL168" s="96">
        <f>IFERROR(VLOOKUP($B168,INDIRECT("'GRD-"&amp;DL$11&amp;"'!B:R"),15,FALSE),"")</f>
        <v/>
      </c>
      <c r="DM168" s="96">
        <f>IFERROR(VLOOKUP($B168,INDIRECT("'GRD-"&amp;DM$11&amp;"'!B:R"),15,FALSE),"")</f>
        <v/>
      </c>
      <c r="DN168" s="96">
        <f>IFERROR(VLOOKUP($B168,INDIRECT("'GRD-"&amp;DN$11&amp;"'!B:R"),15,FALSE),"")</f>
        <v/>
      </c>
      <c r="DO168" s="96">
        <f>IFERROR(VLOOKUP($B168,INDIRECT("'GRD-"&amp;DO$11&amp;"'!B:R"),15,FALSE),"")</f>
        <v/>
      </c>
      <c r="DP168" s="96">
        <f>IFERROR(VLOOKUP($B168,INDIRECT("'GRD-"&amp;DP$11&amp;"'!B:R"),15,FALSE),"")</f>
        <v/>
      </c>
      <c r="DQ168" s="96">
        <f>IFERROR(VLOOKUP($B168,INDIRECT("'GRD-"&amp;DQ$11&amp;"'!B:R"),15,FALSE),"")</f>
        <v/>
      </c>
      <c r="DR168" s="96">
        <f>IFERROR(VLOOKUP($B168,INDIRECT("'GRD-"&amp;DR$11&amp;"'!B:R"),15,FALSE),"")</f>
        <v/>
      </c>
      <c r="DS168" s="96">
        <f>IFERROR(VLOOKUP($B168,INDIRECT("'GRD-"&amp;DS$11&amp;"'!B:R"),15,FALSE),"")</f>
        <v/>
      </c>
      <c r="DT168" s="96">
        <f>IFERROR(VLOOKUP($B168,INDIRECT("'GRD-"&amp;DT$11&amp;"'!B:R"),15,FALSE),"")</f>
        <v/>
      </c>
      <c r="DU168" s="96">
        <f>IFERROR(VLOOKUP($B168,INDIRECT("'GRD-"&amp;DU$11&amp;"'!B:R"),15,FALSE),"")</f>
        <v/>
      </c>
      <c r="DV168" s="96">
        <f>IFERROR(VLOOKUP($B168,INDIRECT("'GRD-"&amp;DV$11&amp;"'!B:R"),15,FALSE),"")</f>
        <v/>
      </c>
      <c r="DW168" s="96">
        <f>IFERROR(VLOOKUP($B168,INDIRECT("'GRD-"&amp;DW$11&amp;"'!B:R"),15,FALSE),"")</f>
        <v/>
      </c>
      <c r="DX168" s="96">
        <f>IFERROR(VLOOKUP($B168,INDIRECT("'GRD-"&amp;DX$11&amp;"'!B:R"),15,FALSE),"")</f>
        <v/>
      </c>
      <c r="DY168" s="96">
        <f>IFERROR(VLOOKUP($B168,INDIRECT("'GRD-"&amp;DY$11&amp;"'!B:R"),15,FALSE),"")</f>
        <v/>
      </c>
      <c r="DZ168" s="96">
        <f>IFERROR(VLOOKUP($B168,INDIRECT("'GRD-"&amp;DZ$11&amp;"'!B:R"),15,FALSE),"")</f>
        <v/>
      </c>
      <c r="EA168" s="96">
        <f>IFERROR(VLOOKUP($B168,INDIRECT("'GRD-"&amp;EA$11&amp;"'!B:R"),15,FALSE),"")</f>
        <v/>
      </c>
      <c r="EB168" s="96">
        <f>IFERROR(VLOOKUP($B168,INDIRECT("'GRD-"&amp;EB$11&amp;"'!B:R"),15,FALSE),"")</f>
        <v/>
      </c>
      <c r="EC168" s="96">
        <f>IFERROR(VLOOKUP($B168,INDIRECT("'GRD-"&amp;EC$11&amp;"'!B:R"),15,FALSE),"")</f>
        <v/>
      </c>
      <c r="ED168" s="96">
        <f>IFERROR(VLOOKUP($B168,INDIRECT("'GRD-"&amp;ED$11&amp;"'!B:R"),15,FALSE),"")</f>
        <v/>
      </c>
      <c r="EE168" s="96">
        <f>IFERROR(VLOOKUP($B168,INDIRECT("'GRD-"&amp;EE$11&amp;"'!B:R"),15,FALSE),"")</f>
        <v/>
      </c>
      <c r="EF168" s="96">
        <f>IFERROR(VLOOKUP($B168,INDIRECT("'GRD-"&amp;EF$11&amp;"'!B:R"),15,FALSE),"")</f>
        <v/>
      </c>
      <c r="EG168" s="96">
        <f>IFERROR(VLOOKUP($B168,INDIRECT("'GRD-"&amp;EG$11&amp;"'!B:R"),15,FALSE),"")</f>
        <v/>
      </c>
      <c r="EH168" s="96">
        <f>IFERROR(VLOOKUP($B168,INDIRECT("'GRD-"&amp;EH$11&amp;"'!B:R"),15,FALSE),"")</f>
        <v/>
      </c>
      <c r="EI168" s="96">
        <f>IFERROR(VLOOKUP($B168,INDIRECT("'GRD-"&amp;EI$11&amp;"'!B:R"),15,FALSE),"")</f>
        <v/>
      </c>
      <c r="EJ168" s="96">
        <f>IFERROR(VLOOKUP($B168,INDIRECT("'GRD-"&amp;EJ$11&amp;"'!B:R"),15,FALSE),"")</f>
        <v/>
      </c>
      <c r="EK168" s="96">
        <f>IFERROR(VLOOKUP($B168,INDIRECT("'GRD-"&amp;EK$11&amp;"'!B:R"),15,FALSE),"")</f>
        <v/>
      </c>
      <c r="EL168" s="96">
        <f>IFERROR(VLOOKUP($B168,INDIRECT("'GRD-"&amp;EL$11&amp;"'!B:R"),15,FALSE),"")</f>
        <v/>
      </c>
      <c r="EM168" s="96">
        <f>IFERROR(VLOOKUP($B168,INDIRECT("'GRD-"&amp;EM$11&amp;"'!B:R"),15,FALSE),"")</f>
        <v/>
      </c>
      <c r="EN168" s="96">
        <f>IFERROR(VLOOKUP($B168,INDIRECT("'GRD-"&amp;EN$11&amp;"'!B:R"),15,FALSE),"")</f>
        <v/>
      </c>
      <c r="EO168" s="96">
        <f>IFERROR(VLOOKUP($B168,INDIRECT("'GRD-"&amp;EO$11&amp;"'!B:R"),15,FALSE),"")</f>
        <v/>
      </c>
      <c r="EP168" s="96">
        <f>IFERROR(VLOOKUP($B168,INDIRECT("'GRD-"&amp;EP$11&amp;"'!B:R"),15,FALSE),"")</f>
        <v/>
      </c>
      <c r="EQ168" s="96">
        <f>IFERROR(VLOOKUP($B168,INDIRECT("'GRD-"&amp;EQ$11&amp;"'!B:R"),15,FALSE),"")</f>
        <v/>
      </c>
      <c r="ER168" s="96">
        <f>IFERROR(VLOOKUP($B168,INDIRECT("'GRD-"&amp;ER$11&amp;"'!B:R"),15,FALSE),"")</f>
        <v/>
      </c>
      <c r="ES168" s="96">
        <f>IFERROR(VLOOKUP($B168,INDIRECT("'GRD-"&amp;ES$11&amp;"'!B:R"),15,FALSE),"")</f>
        <v/>
      </c>
      <c r="ET168" s="96">
        <f>IFERROR(VLOOKUP($B168,INDIRECT("'GRD-"&amp;ET$11&amp;"'!B:R"),15,FALSE),"")</f>
        <v/>
      </c>
      <c r="EU168" s="96">
        <f>IFERROR(VLOOKUP($B168,INDIRECT("'GRD-"&amp;EU$11&amp;"'!B:R"),15,FALSE),"")</f>
        <v/>
      </c>
      <c r="EV168" s="96">
        <f>IFERROR(VLOOKUP($B168,INDIRECT("'GRD-"&amp;EV$11&amp;"'!B:R"),15,FALSE),"")</f>
        <v/>
      </c>
      <c r="EW168" s="96">
        <f>IFERROR(VLOOKUP($B168,INDIRECT("'GRD-"&amp;EW$11&amp;"'!B:R"),15,FALSE),"")</f>
        <v/>
      </c>
      <c r="EX168" s="96">
        <f>IFERROR(VLOOKUP($B168,INDIRECT("'GRD-"&amp;EX$11&amp;"'!B:R"),15,FALSE),"")</f>
        <v/>
      </c>
      <c r="EY168" s="96">
        <f>IFERROR(VLOOKUP($B168,INDIRECT("'GRD-"&amp;EY$11&amp;"'!B:R"),15,FALSE),"")</f>
        <v/>
      </c>
      <c r="EZ168" s="96">
        <f>IFERROR(VLOOKUP($B168,INDIRECT("'GRD-"&amp;EZ$11&amp;"'!B:R"),15,FALSE),"")</f>
        <v/>
      </c>
      <c r="FA168" s="96">
        <f>IFERROR(VLOOKUP($B168,INDIRECT("'GRD-"&amp;FA$11&amp;"'!B:R"),15,FALSE),"")</f>
        <v/>
      </c>
      <c r="FB168" s="96">
        <f>IFERROR(VLOOKUP($B168,INDIRECT("'GRD-"&amp;FB$11&amp;"'!B:R"),15,FALSE),"")</f>
        <v/>
      </c>
      <c r="FC168" s="96">
        <f>IFERROR(VLOOKUP($B168,INDIRECT("'GRD-"&amp;FC$11&amp;"'!B:R"),15,FALSE),"")</f>
        <v/>
      </c>
      <c r="FD168" s="96">
        <f>IFERROR(VLOOKUP($B168,INDIRECT("'GRD-"&amp;FD$11&amp;"'!B:R"),15,FALSE),"")</f>
        <v/>
      </c>
      <c r="FE168" s="96">
        <f>IFERROR(VLOOKUP($B168,INDIRECT("'GRD-"&amp;FE$11&amp;"'!B:R"),15,FALSE),"")</f>
        <v/>
      </c>
      <c r="FF168" s="96">
        <f>IFERROR(VLOOKUP($B168,INDIRECT("'GRD-"&amp;FF$11&amp;"'!B:R"),15,FALSE),"")</f>
        <v/>
      </c>
      <c r="FG168" s="96">
        <f>IFERROR(VLOOKUP($B168,INDIRECT("'GRD-"&amp;FG$11&amp;"'!B:R"),15,FALSE),"")</f>
        <v/>
      </c>
      <c r="FH168" s="96">
        <f>IFERROR(VLOOKUP($B168,INDIRECT("'GRD-"&amp;FH$11&amp;"'!B:R"),15,FALSE),"")</f>
        <v/>
      </c>
      <c r="FI168" s="96">
        <f>IFERROR(VLOOKUP($B168,INDIRECT("'GRD-"&amp;FI$11&amp;"'!B:R"),15,FALSE),"")</f>
        <v/>
      </c>
      <c r="FJ168" s="96">
        <f>IFERROR(VLOOKUP($B168,INDIRECT("'GRD-"&amp;FJ$11&amp;"'!B:R"),15,FALSE),"")</f>
        <v/>
      </c>
      <c r="FK168" s="96">
        <f>IFERROR(VLOOKUP($B168,INDIRECT("'GRD-"&amp;FK$11&amp;"'!B:R"),15,FALSE),"")</f>
        <v/>
      </c>
      <c r="FL168" s="96">
        <f>IFERROR(VLOOKUP($B168,INDIRECT("'GRD-"&amp;FL$11&amp;"'!B:R"),15,FALSE),"")</f>
        <v/>
      </c>
      <c r="FM168" s="96">
        <f>IFERROR(VLOOKUP($B168,INDIRECT("'GRD-"&amp;FM$11&amp;"'!B:R"),15,FALSE),"")</f>
        <v/>
      </c>
      <c r="FN168" s="96">
        <f>IFERROR(VLOOKUP($B168,INDIRECT("'GRD-"&amp;FN$11&amp;"'!B:R"),15,FALSE),"")</f>
        <v/>
      </c>
      <c r="FO168" s="96">
        <f>IFERROR(VLOOKUP($B168,INDIRECT("'GRD-"&amp;FO$11&amp;"'!B:R"),15,FALSE),"")</f>
        <v/>
      </c>
      <c r="FP168" s="96">
        <f>IFERROR(VLOOKUP($B168,INDIRECT("'GRD-"&amp;FP$11&amp;"'!B:R"),15,FALSE),"")</f>
        <v/>
      </c>
      <c r="FQ168" s="96">
        <f>IFERROR(VLOOKUP($B168,INDIRECT("'GRD-"&amp;FQ$11&amp;"'!B:R"),15,FALSE),"")</f>
        <v/>
      </c>
      <c r="FR168" s="96">
        <f>IFERROR(VLOOKUP($B168,INDIRECT("'GRD-"&amp;FR$11&amp;"'!B:R"),15,FALSE),"")</f>
        <v/>
      </c>
      <c r="FS168" s="96">
        <f>IFERROR(VLOOKUP($B168,INDIRECT("'GRD-"&amp;FS$11&amp;"'!B:R"),15,FALSE),"")</f>
        <v/>
      </c>
      <c r="FT168" s="96">
        <f>IFERROR(VLOOKUP($B168,INDIRECT("'GRD-"&amp;FT$11&amp;"'!B:R"),15,FALSE),"")</f>
        <v/>
      </c>
      <c r="FU168" s="96">
        <f>IFERROR(VLOOKUP($B168,INDIRECT("'GRD-"&amp;FU$11&amp;"'!B:R"),15,FALSE),"")</f>
        <v/>
      </c>
      <c r="FV168" s="96">
        <f>IFERROR(VLOOKUP($B168,INDIRECT("'GRD-"&amp;FV$11&amp;"'!B:R"),15,FALSE),"")</f>
        <v/>
      </c>
    </row>
    <row r="169">
      <c r="B169" s="85" t="n"/>
      <c r="C169" s="93" t="n"/>
      <c r="D169" s="73">
        <f>IF(K169="","",MAX($CA169:$FV169))</f>
        <v/>
      </c>
      <c r="E169" s="74">
        <f t="array" ref="E169">IF($K169="","",OFFSET($A$1,ROW($B169)-1,11+$D169*4,))</f>
        <v/>
      </c>
      <c r="F169" s="74">
        <f t="array" ref="F169">IF($K169="","",OFFSET($A$1,ROW($B169)-1,12+$D169*4,))</f>
        <v/>
      </c>
      <c r="G169" s="118">
        <f t="array" ref="G169">IF($K169="","",OFFSET($A$1,ROW($B169)-1,13+$D169*4,))</f>
        <v/>
      </c>
      <c r="H169" s="81" t="n"/>
      <c r="I169" s="82" t="n"/>
      <c r="J169" s="75">
        <f>IF(I169="A4",H169/8,IF(I169="A3",H169/4,IF(I169="A2",H169/2,IF(I169="A1",H169/1,IF(I169="A0",H169*2,"")))))</f>
        <v/>
      </c>
      <c r="K169" s="68">
        <f t="array" ref="K169">IFERROR(OFFSET($BZ$11,ROW($B169)-11,MATCH(K$10,$CA169:$FV169,0),),"")</f>
        <v/>
      </c>
      <c r="L169" s="85">
        <f>IF(K169="","",IF(VLOOKUP($B169,INDIRECT("'GRD-"&amp;M169&amp;"'!$B:$R"),16,FALSE)="","",VLOOKUP($B169,INDIRECT("'GRD-"&amp;M169&amp;"'!$B:$R"),16,FALSE)))</f>
        <v/>
      </c>
      <c r="M169" s="130">
        <f t="array" ref="M169">IF(K169="","",IFERROR(OFFSET($BZ$11,0,MATCH($K169,$CA169:$FV169,0),),""))</f>
        <v/>
      </c>
      <c r="N169" s="119">
        <f t="array" ref="N169">IF(K169="","",INDIRECT("'GRD-"&amp;M169&amp;"'!$L$7"))</f>
        <v/>
      </c>
      <c r="O169" s="76">
        <f t="array" ref="O169">IFERROR(OFFSET($BZ$11,ROW($B169)-11,MATCH(O$10,$CA169:$FV169,0),),"")</f>
        <v/>
      </c>
      <c r="P169" s="76">
        <f>IF(O169="","",IF(VLOOKUP($B169,INDIRECT("'GRD-"&amp;Q169&amp;"'!$B:$R"),16,FALSE)="","",VLOOKUP($B169,INDIRECT("'GRD-"&amp;Q169&amp;"'!$B:$R"),16,FALSE)))</f>
        <v/>
      </c>
      <c r="Q169" s="132">
        <f t="array" ref="Q169">IF(O169="","",IFERROR(OFFSET($BZ$11,0,MATCH($O169,$CA169:$FV169,0),),""))</f>
        <v/>
      </c>
      <c r="R169" s="121">
        <f t="array" ref="R169">IF(O169="","",INDIRECT("'GRD-"&amp;Q169&amp;"'!$L$7"))</f>
        <v/>
      </c>
      <c r="S169" s="83">
        <f t="array" ref="S169">IFERROR(OFFSET($BZ$11,ROW($B169)-11,MATCH(S$10,$CA169:$FV169,0),),"")</f>
        <v/>
      </c>
      <c r="T169" s="83">
        <f>IF(S169="","",IF(VLOOKUP($B169,INDIRECT("'GRD-"&amp;U169&amp;"'!$B:$R"),16,FALSE)="","",VLOOKUP($B169,INDIRECT("'GRD-"&amp;U169&amp;"'!$B:$R"),16,FALSE)))</f>
        <v/>
      </c>
      <c r="U169" s="128">
        <f t="array" ref="U169">IF(S169="","",IFERROR(OFFSET($BZ$11,0,MATCH($S169,$CA169:$FV169,0),),""))</f>
        <v/>
      </c>
      <c r="V169" s="133">
        <f t="array" ref="V169">IF(S169="","",INDIRECT("'GRD-"&amp;U169&amp;"'!$L$7"))</f>
        <v/>
      </c>
      <c r="W169" s="84">
        <f t="array" ref="W169">IFERROR(OFFSET($BZ$11,ROW($B169)-11,MATCH(W$10,$CA169:$FV169,0),),"")</f>
        <v/>
      </c>
      <c r="X169" s="84">
        <f>IF(W169="","",IF(VLOOKUP($B169,INDIRECT("'GRD-"&amp;Y169&amp;"'!$B:$R"),16,FALSE)="","",VLOOKUP($B169,INDIRECT("'GRD-"&amp;Y169&amp;"'!$B:$R"),16,FALSE)))</f>
        <v/>
      </c>
      <c r="Y169" s="129">
        <f t="array" ref="Y169">IF(W169="","",IFERROR(OFFSET($BZ$11,0,MATCH($W169,$CA169:$FV169,0),),""))</f>
        <v/>
      </c>
      <c r="Z169" s="134">
        <f t="array" ref="Z169">IF(W169="","",INDIRECT("'GRD-"&amp;Y169&amp;"'!$L$7"))</f>
        <v/>
      </c>
      <c r="AA169" s="85">
        <f t="array" ref="AA169">IFERROR(OFFSET($BZ$11,ROW($B169)-11,MATCH(AA$10,$CA169:$FV169,0),),"")</f>
        <v/>
      </c>
      <c r="AB169" s="85">
        <f>IF(AA169="","",IF(VLOOKUP($B169,INDIRECT("'GRD-"&amp;AC169&amp;"'!$B:$R"),16,FALSE)="","",VLOOKUP($B169,INDIRECT("'GRD-"&amp;AC169&amp;"'!$B:$R"),16,FALSE)))</f>
        <v/>
      </c>
      <c r="AC169" s="130">
        <f t="array" ref="AC169">IF(AA169="","",IFERROR(OFFSET($BZ$11,0,MATCH($AA169,$CA169:$FV169,0),),""))</f>
        <v/>
      </c>
      <c r="AD169" s="131">
        <f t="array" ref="AD169">IF(AA169="","",INDIRECT("'GRD-"&amp;AC169&amp;"'!$L$7"))</f>
        <v/>
      </c>
      <c r="AE169" s="76">
        <f t="array" ref="AE169">IFERROR(OFFSET($BZ$11,ROW($B169)-11,MATCH(AE$10,$CA169:$FV169,0),),"")</f>
        <v/>
      </c>
      <c r="AF169" s="76">
        <f>IF(AE169="","",IF(VLOOKUP($B169,INDIRECT("'GRD-"&amp;AG169&amp;"'!$B:$R"),16,FALSE)="","",VLOOKUP($B169,INDIRECT("'GRD-"&amp;AG169&amp;"'!$B:$R"),16,FALSE)))</f>
        <v/>
      </c>
      <c r="AG169" s="132">
        <f t="array" ref="AG169">IF(AE169="","",IFERROR(OFFSET($BZ$11,0,MATCH($AE169,$CA169:$FV169,0),),""))</f>
        <v/>
      </c>
      <c r="AH169" s="121">
        <f t="array" ref="AH169">IF(AE169="","",INDIRECT("'GRD-"&amp;AG169&amp;"'!$L$7"))</f>
        <v/>
      </c>
      <c r="AI169" s="83">
        <f t="array" ref="AI169">IFERROR(OFFSET($BZ$11,ROW($B169)-11,MATCH(AI$10,$CA169:$FV169,0),),"")</f>
        <v/>
      </c>
      <c r="AJ169" s="83">
        <f>IF(AI169="","",IF(VLOOKUP($B169,INDIRECT("'GRD-"&amp;AK169&amp;"'!$B:$R"),16,FALSE)="","",VLOOKUP($B169,INDIRECT("'GRD-"&amp;AK169&amp;"'!$B:$R"),16,FALSE)))</f>
        <v/>
      </c>
      <c r="AK169" s="128">
        <f t="array" ref="AK169">IF(AI169="","",IFERROR(OFFSET($BZ$11,0,MATCH($AI169,$CA169:$FV169,0),),""))</f>
        <v/>
      </c>
      <c r="AL169" s="133">
        <f t="array" ref="AL169">IF(AI169="","",INDIRECT("'GRD-"&amp;AK169&amp;"'!$L$7"))</f>
        <v/>
      </c>
      <c r="AM169" s="84">
        <f t="array" ref="AM169">IFERROR(OFFSET($BZ$11,ROW($B169)-11,MATCH(AM$10,$CA169:$FV169,0),),"")</f>
        <v/>
      </c>
      <c r="AN169" s="84">
        <f>IF(AM169="","",IF(VLOOKUP($B169,INDIRECT("'GRD-"&amp;AO169&amp;"'!$B:$R"),16,FALSE)="","",VLOOKUP($B169,INDIRECT("'GRD-"&amp;AO169&amp;"'!$B:$R"),16,FALSE)))</f>
        <v/>
      </c>
      <c r="AO169" s="129">
        <f t="array" ref="AO169">IF(AM169="","",IFERROR(OFFSET($BZ$11,0,MATCH($AM169,$CA169:$FV169,0),),""))</f>
        <v/>
      </c>
      <c r="AP169" s="134">
        <f t="array" ref="AP169">IF(AM169="","",INDIRECT("'GRD-"&amp;AO169&amp;"'!$L$7"))</f>
        <v/>
      </c>
      <c r="AQ169" s="85">
        <f t="array" ref="AQ169">IFERROR(OFFSET($BZ$11,ROW($B169)-11,MATCH(AQ$10,$CA169:$FV169,0),),"")</f>
        <v/>
      </c>
      <c r="AR169" s="85">
        <f>IF(AQ169="","",IF(VLOOKUP($B169,INDIRECT("'GRD-"&amp;AS169&amp;"'!$B:$R"),16,FALSE)="","",VLOOKUP($B169,INDIRECT("'GRD-"&amp;AS169&amp;"'!$B:$R"),16,FALSE)))</f>
        <v/>
      </c>
      <c r="AS169" s="130">
        <f t="array" ref="AS169">IF(AQ169="","",IFERROR(OFFSET($BZ$11,0,MATCH($AQ169,$CA169:$FV169,0),),""))</f>
        <v/>
      </c>
      <c r="AT169" s="131">
        <f t="array" ref="AT169">IF(AQ169="","",INDIRECT("'GRD-"&amp;AS169&amp;"'!$L$7"))</f>
        <v/>
      </c>
      <c r="AU169" s="76">
        <f t="array" ref="AU169">IFERROR(OFFSET($BZ$11,ROW($B169)-11,MATCH(AU$10,$CA169:$FV169,0),),"")</f>
        <v/>
      </c>
      <c r="AV169" s="76">
        <f>IF(AU169="","",IF(VLOOKUP($B169,INDIRECT("'GRD-"&amp;AW169&amp;"'!$B:$R"),16,FALSE)="","",VLOOKUP($B169,INDIRECT("'GRD-"&amp;AW169&amp;"'!$B:$R"),16,FALSE)))</f>
        <v/>
      </c>
      <c r="AW169" s="132">
        <f t="array" ref="AW169">IF(AU169="","",IFERROR(OFFSET($BZ$11,0,MATCH($AU169,$CA169:$FV169,0),),""))</f>
        <v/>
      </c>
      <c r="AX169" s="121">
        <f t="array" ref="AX169">IF(AU169="","",INDIRECT("'GRD-"&amp;AW169&amp;"'!$L$7"))</f>
        <v/>
      </c>
      <c r="AY169" s="83">
        <f t="array" ref="AY169">IFERROR(OFFSET($BZ$11,ROW($B169)-11,MATCH(AY$10,$CA169:$FV169,0),),"")</f>
        <v/>
      </c>
      <c r="AZ169" s="83">
        <f>IF(AY169="","",IF(VLOOKUP($B169,INDIRECT("'GRD-"&amp;BA169&amp;"'!$B:$R"),16,FALSE)="","",VLOOKUP($B169,INDIRECT("'GRD-"&amp;BA169&amp;"'!$B:$R"),16,FALSE)))</f>
        <v/>
      </c>
      <c r="BA169" s="128">
        <f t="array" ref="BA169">IF(AY169="","",IFERROR(OFFSET($BZ$11,0,MATCH($AY169,$CA169:$FV169,0),),""))</f>
        <v/>
      </c>
      <c r="BB169" s="133">
        <f t="array" ref="BB169">IF(AY169="","",INDIRECT("'GRD-"&amp;BA169&amp;"'!$L$7"))</f>
        <v/>
      </c>
      <c r="BC169" s="84">
        <f t="array" ref="BC169">IFERROR(OFFSET($BZ$11,ROW($B169)-11,MATCH(BC$10,$CA169:$FV169,0),),"")</f>
        <v/>
      </c>
      <c r="BD169" s="84">
        <f>IF(BC169="","",IF(VLOOKUP($B169,INDIRECT("'GRD-"&amp;BE169&amp;"'!$B:$R"),16,FALSE)="","",VLOOKUP($B169,INDIRECT("'GRD-"&amp;BE169&amp;"'!$B:$R"),16,FALSE)))</f>
        <v/>
      </c>
      <c r="BE169" s="129">
        <f t="array" ref="BE169">IF(BC169="","",IFERROR(OFFSET($BZ$11,0,MATCH($BC169,$CA169:$FV169,0),),""))</f>
        <v/>
      </c>
      <c r="BF169" s="134">
        <f t="array" ref="BF169">IF(BC169="","",INDIRECT("'GRD-"&amp;BE169&amp;"'!$L$7"))</f>
        <v/>
      </c>
      <c r="CA169" s="96">
        <f>IFERROR(VLOOKUP($B169,INDIRECT("'GRD-"&amp;CA$11&amp;"'!B:R"),15,FALSE),"")</f>
        <v/>
      </c>
      <c r="CB169" s="96">
        <f>IFERROR(VLOOKUP($B169,INDIRECT("'GRD-"&amp;CB$11&amp;"'!B:R"),15,FALSE),"")</f>
        <v/>
      </c>
      <c r="CC169" s="96">
        <f>IFERROR(VLOOKUP($B169,INDIRECT("'GRD-"&amp;CC$11&amp;"'!B:R"),15,FALSE),"")</f>
        <v/>
      </c>
      <c r="CD169" s="96">
        <f>IFERROR(VLOOKUP($B169,INDIRECT("'GRD-"&amp;CD$11&amp;"'!B:R"),15,FALSE),"")</f>
        <v/>
      </c>
      <c r="CE169" s="96">
        <f>IFERROR(VLOOKUP($B169,INDIRECT("'GRD-"&amp;CE$11&amp;"'!B:R"),15,FALSE),"")</f>
        <v/>
      </c>
      <c r="CF169" s="96">
        <f>IFERROR(VLOOKUP($B169,INDIRECT("'GRD-"&amp;CF$11&amp;"'!B:R"),15,FALSE),"")</f>
        <v/>
      </c>
      <c r="CG169" s="96">
        <f>IFERROR(VLOOKUP($B169,INDIRECT("'GRD-"&amp;CG$11&amp;"'!B:R"),15,FALSE),"")</f>
        <v/>
      </c>
      <c r="CH169" s="96">
        <f>IFERROR(VLOOKUP($B169,INDIRECT("'GRD-"&amp;CH$11&amp;"'!B:R"),15,FALSE),"")</f>
        <v/>
      </c>
      <c r="CI169" s="96">
        <f>IFERROR(VLOOKUP($B169,INDIRECT("'GRD-"&amp;CI$11&amp;"'!B:R"),15,FALSE),"")</f>
        <v/>
      </c>
      <c r="CJ169" s="96">
        <f>IFERROR(VLOOKUP($B169,INDIRECT("'GRD-"&amp;CJ$11&amp;"'!B:R"),15,FALSE),"")</f>
        <v/>
      </c>
      <c r="CK169" s="96">
        <f>IFERROR(VLOOKUP($B169,INDIRECT("'GRD-"&amp;CK$11&amp;"'!B:R"),15,FALSE),"")</f>
        <v/>
      </c>
      <c r="CL169" s="96">
        <f>IFERROR(VLOOKUP($B169,INDIRECT("'GRD-"&amp;CL$11&amp;"'!B:R"),15,FALSE),"")</f>
        <v/>
      </c>
      <c r="CM169" s="96">
        <f>IFERROR(VLOOKUP($B169,INDIRECT("'GRD-"&amp;CM$11&amp;"'!B:R"),15,FALSE),"")</f>
        <v/>
      </c>
      <c r="CN169" s="96">
        <f>IFERROR(VLOOKUP($B169,INDIRECT("'GRD-"&amp;CN$11&amp;"'!B:R"),15,FALSE),"")</f>
        <v/>
      </c>
      <c r="CO169" s="96">
        <f>IFERROR(VLOOKUP($B169,INDIRECT("'GRD-"&amp;CO$11&amp;"'!B:R"),15,FALSE),"")</f>
        <v/>
      </c>
      <c r="CP169" s="96">
        <f>IFERROR(VLOOKUP($B169,INDIRECT("'GRD-"&amp;CP$11&amp;"'!B:R"),15,FALSE),"")</f>
        <v/>
      </c>
      <c r="CQ169" s="96">
        <f>IFERROR(VLOOKUP($B169,INDIRECT("'GRD-"&amp;CQ$11&amp;"'!B:R"),15,FALSE),"")</f>
        <v/>
      </c>
      <c r="CR169" s="96">
        <f>IFERROR(VLOOKUP($B169,INDIRECT("'GRD-"&amp;CR$11&amp;"'!B:R"),15,FALSE),"")</f>
        <v/>
      </c>
      <c r="CS169" s="96">
        <f>IFERROR(VLOOKUP($B169,INDIRECT("'GRD-"&amp;CS$11&amp;"'!B:R"),15,FALSE),"")</f>
        <v/>
      </c>
      <c r="CT169" s="96">
        <f>IFERROR(VLOOKUP($B169,INDIRECT("'GRD-"&amp;CT$11&amp;"'!B:R"),15,FALSE),"")</f>
        <v/>
      </c>
      <c r="CU169" s="96">
        <f>IFERROR(VLOOKUP($B169,INDIRECT("'GRD-"&amp;CU$11&amp;"'!B:R"),15,FALSE),"")</f>
        <v/>
      </c>
      <c r="CV169" s="96">
        <f>IFERROR(VLOOKUP($B169,INDIRECT("'GRD-"&amp;CV$11&amp;"'!B:R"),15,FALSE),"")</f>
        <v/>
      </c>
      <c r="CW169" s="96">
        <f>IFERROR(VLOOKUP($B169,INDIRECT("'GRD-"&amp;CW$11&amp;"'!B:R"),15,FALSE),"")</f>
        <v/>
      </c>
      <c r="CX169" s="96">
        <f>IFERROR(VLOOKUP($B169,INDIRECT("'GRD-"&amp;CX$11&amp;"'!B:R"),15,FALSE),"")</f>
        <v/>
      </c>
      <c r="CY169" s="96">
        <f>IFERROR(VLOOKUP($B169,INDIRECT("'GRD-"&amp;CY$11&amp;"'!B:R"),15,FALSE),"")</f>
        <v/>
      </c>
      <c r="CZ169" s="96">
        <f>IFERROR(VLOOKUP($B169,INDIRECT("'GRD-"&amp;CZ$11&amp;"'!B:R"),15,FALSE),"")</f>
        <v/>
      </c>
      <c r="DA169" s="96">
        <f>IFERROR(VLOOKUP($B169,INDIRECT("'GRD-"&amp;DA$11&amp;"'!B:R"),15,FALSE),"")</f>
        <v/>
      </c>
      <c r="DB169" s="96">
        <f>IFERROR(VLOOKUP($B169,INDIRECT("'GRD-"&amp;DB$11&amp;"'!B:R"),15,FALSE),"")</f>
        <v/>
      </c>
      <c r="DC169" s="96">
        <f>IFERROR(VLOOKUP($B169,INDIRECT("'GRD-"&amp;DC$11&amp;"'!B:R"),15,FALSE),"")</f>
        <v/>
      </c>
      <c r="DD169" s="96">
        <f>IFERROR(VLOOKUP($B169,INDIRECT("'GRD-"&amp;DD$11&amp;"'!B:R"),15,FALSE),"")</f>
        <v/>
      </c>
      <c r="DE169" s="96">
        <f>IFERROR(VLOOKUP($B169,INDIRECT("'GRD-"&amp;DE$11&amp;"'!B:R"),15,FALSE),"")</f>
        <v/>
      </c>
      <c r="DF169" s="96">
        <f>IFERROR(VLOOKUP($B169,INDIRECT("'GRD-"&amp;DF$11&amp;"'!B:R"),15,FALSE),"")</f>
        <v/>
      </c>
      <c r="DG169" s="96">
        <f>IFERROR(VLOOKUP($B169,INDIRECT("'GRD-"&amp;DG$11&amp;"'!B:R"),15,FALSE),"")</f>
        <v/>
      </c>
      <c r="DH169" s="96">
        <f>IFERROR(VLOOKUP($B169,INDIRECT("'GRD-"&amp;DH$11&amp;"'!B:R"),15,FALSE),"")</f>
        <v/>
      </c>
      <c r="DI169" s="96">
        <f>IFERROR(VLOOKUP($B169,INDIRECT("'GRD-"&amp;DI$11&amp;"'!B:R"),15,FALSE),"")</f>
        <v/>
      </c>
      <c r="DJ169" s="96">
        <f>IFERROR(VLOOKUP($B169,INDIRECT("'GRD-"&amp;DJ$11&amp;"'!B:R"),15,FALSE),"")</f>
        <v/>
      </c>
      <c r="DK169" s="96">
        <f>IFERROR(VLOOKUP($B169,INDIRECT("'GRD-"&amp;DK$11&amp;"'!B:R"),15,FALSE),"")</f>
        <v/>
      </c>
      <c r="DL169" s="96">
        <f>IFERROR(VLOOKUP($B169,INDIRECT("'GRD-"&amp;DL$11&amp;"'!B:R"),15,FALSE),"")</f>
        <v/>
      </c>
      <c r="DM169" s="96">
        <f>IFERROR(VLOOKUP($B169,INDIRECT("'GRD-"&amp;DM$11&amp;"'!B:R"),15,FALSE),"")</f>
        <v/>
      </c>
      <c r="DN169" s="96">
        <f>IFERROR(VLOOKUP($B169,INDIRECT("'GRD-"&amp;DN$11&amp;"'!B:R"),15,FALSE),"")</f>
        <v/>
      </c>
      <c r="DO169" s="96">
        <f>IFERROR(VLOOKUP($B169,INDIRECT("'GRD-"&amp;DO$11&amp;"'!B:R"),15,FALSE),"")</f>
        <v/>
      </c>
      <c r="DP169" s="96">
        <f>IFERROR(VLOOKUP($B169,INDIRECT("'GRD-"&amp;DP$11&amp;"'!B:R"),15,FALSE),"")</f>
        <v/>
      </c>
      <c r="DQ169" s="96">
        <f>IFERROR(VLOOKUP($B169,INDIRECT("'GRD-"&amp;DQ$11&amp;"'!B:R"),15,FALSE),"")</f>
        <v/>
      </c>
      <c r="DR169" s="96">
        <f>IFERROR(VLOOKUP($B169,INDIRECT("'GRD-"&amp;DR$11&amp;"'!B:R"),15,FALSE),"")</f>
        <v/>
      </c>
      <c r="DS169" s="96">
        <f>IFERROR(VLOOKUP($B169,INDIRECT("'GRD-"&amp;DS$11&amp;"'!B:R"),15,FALSE),"")</f>
        <v/>
      </c>
      <c r="DT169" s="96">
        <f>IFERROR(VLOOKUP($B169,INDIRECT("'GRD-"&amp;DT$11&amp;"'!B:R"),15,FALSE),"")</f>
        <v/>
      </c>
      <c r="DU169" s="96">
        <f>IFERROR(VLOOKUP($B169,INDIRECT("'GRD-"&amp;DU$11&amp;"'!B:R"),15,FALSE),"")</f>
        <v/>
      </c>
      <c r="DV169" s="96">
        <f>IFERROR(VLOOKUP($B169,INDIRECT("'GRD-"&amp;DV$11&amp;"'!B:R"),15,FALSE),"")</f>
        <v/>
      </c>
      <c r="DW169" s="96">
        <f>IFERROR(VLOOKUP($B169,INDIRECT("'GRD-"&amp;DW$11&amp;"'!B:R"),15,FALSE),"")</f>
        <v/>
      </c>
      <c r="DX169" s="96">
        <f>IFERROR(VLOOKUP($B169,INDIRECT("'GRD-"&amp;DX$11&amp;"'!B:R"),15,FALSE),"")</f>
        <v/>
      </c>
      <c r="DY169" s="96">
        <f>IFERROR(VLOOKUP($B169,INDIRECT("'GRD-"&amp;DY$11&amp;"'!B:R"),15,FALSE),"")</f>
        <v/>
      </c>
      <c r="DZ169" s="96">
        <f>IFERROR(VLOOKUP($B169,INDIRECT("'GRD-"&amp;DZ$11&amp;"'!B:R"),15,FALSE),"")</f>
        <v/>
      </c>
      <c r="EA169" s="96">
        <f>IFERROR(VLOOKUP($B169,INDIRECT("'GRD-"&amp;EA$11&amp;"'!B:R"),15,FALSE),"")</f>
        <v/>
      </c>
      <c r="EB169" s="96">
        <f>IFERROR(VLOOKUP($B169,INDIRECT("'GRD-"&amp;EB$11&amp;"'!B:R"),15,FALSE),"")</f>
        <v/>
      </c>
      <c r="EC169" s="96">
        <f>IFERROR(VLOOKUP($B169,INDIRECT("'GRD-"&amp;EC$11&amp;"'!B:R"),15,FALSE),"")</f>
        <v/>
      </c>
      <c r="ED169" s="96">
        <f>IFERROR(VLOOKUP($B169,INDIRECT("'GRD-"&amp;ED$11&amp;"'!B:R"),15,FALSE),"")</f>
        <v/>
      </c>
      <c r="EE169" s="96">
        <f>IFERROR(VLOOKUP($B169,INDIRECT("'GRD-"&amp;EE$11&amp;"'!B:R"),15,FALSE),"")</f>
        <v/>
      </c>
      <c r="EF169" s="96">
        <f>IFERROR(VLOOKUP($B169,INDIRECT("'GRD-"&amp;EF$11&amp;"'!B:R"),15,FALSE),"")</f>
        <v/>
      </c>
      <c r="EG169" s="96">
        <f>IFERROR(VLOOKUP($B169,INDIRECT("'GRD-"&amp;EG$11&amp;"'!B:R"),15,FALSE),"")</f>
        <v/>
      </c>
      <c r="EH169" s="96">
        <f>IFERROR(VLOOKUP($B169,INDIRECT("'GRD-"&amp;EH$11&amp;"'!B:R"),15,FALSE),"")</f>
        <v/>
      </c>
      <c r="EI169" s="96">
        <f>IFERROR(VLOOKUP($B169,INDIRECT("'GRD-"&amp;EI$11&amp;"'!B:R"),15,FALSE),"")</f>
        <v/>
      </c>
      <c r="EJ169" s="96">
        <f>IFERROR(VLOOKUP($B169,INDIRECT("'GRD-"&amp;EJ$11&amp;"'!B:R"),15,FALSE),"")</f>
        <v/>
      </c>
      <c r="EK169" s="96">
        <f>IFERROR(VLOOKUP($B169,INDIRECT("'GRD-"&amp;EK$11&amp;"'!B:R"),15,FALSE),"")</f>
        <v/>
      </c>
      <c r="EL169" s="96">
        <f>IFERROR(VLOOKUP($B169,INDIRECT("'GRD-"&amp;EL$11&amp;"'!B:R"),15,FALSE),"")</f>
        <v/>
      </c>
      <c r="EM169" s="96">
        <f>IFERROR(VLOOKUP($B169,INDIRECT("'GRD-"&amp;EM$11&amp;"'!B:R"),15,FALSE),"")</f>
        <v/>
      </c>
      <c r="EN169" s="96">
        <f>IFERROR(VLOOKUP($B169,INDIRECT("'GRD-"&amp;EN$11&amp;"'!B:R"),15,FALSE),"")</f>
        <v/>
      </c>
      <c r="EO169" s="96">
        <f>IFERROR(VLOOKUP($B169,INDIRECT("'GRD-"&amp;EO$11&amp;"'!B:R"),15,FALSE),"")</f>
        <v/>
      </c>
      <c r="EP169" s="96">
        <f>IFERROR(VLOOKUP($B169,INDIRECT("'GRD-"&amp;EP$11&amp;"'!B:R"),15,FALSE),"")</f>
        <v/>
      </c>
      <c r="EQ169" s="96">
        <f>IFERROR(VLOOKUP($B169,INDIRECT("'GRD-"&amp;EQ$11&amp;"'!B:R"),15,FALSE),"")</f>
        <v/>
      </c>
      <c r="ER169" s="96">
        <f>IFERROR(VLOOKUP($B169,INDIRECT("'GRD-"&amp;ER$11&amp;"'!B:R"),15,FALSE),"")</f>
        <v/>
      </c>
      <c r="ES169" s="96">
        <f>IFERROR(VLOOKUP($B169,INDIRECT("'GRD-"&amp;ES$11&amp;"'!B:R"),15,FALSE),"")</f>
        <v/>
      </c>
      <c r="ET169" s="96">
        <f>IFERROR(VLOOKUP($B169,INDIRECT("'GRD-"&amp;ET$11&amp;"'!B:R"),15,FALSE),"")</f>
        <v/>
      </c>
      <c r="EU169" s="96">
        <f>IFERROR(VLOOKUP($B169,INDIRECT("'GRD-"&amp;EU$11&amp;"'!B:R"),15,FALSE),"")</f>
        <v/>
      </c>
      <c r="EV169" s="96">
        <f>IFERROR(VLOOKUP($B169,INDIRECT("'GRD-"&amp;EV$11&amp;"'!B:R"),15,FALSE),"")</f>
        <v/>
      </c>
      <c r="EW169" s="96">
        <f>IFERROR(VLOOKUP($B169,INDIRECT("'GRD-"&amp;EW$11&amp;"'!B:R"),15,FALSE),"")</f>
        <v/>
      </c>
      <c r="EX169" s="96">
        <f>IFERROR(VLOOKUP($B169,INDIRECT("'GRD-"&amp;EX$11&amp;"'!B:R"),15,FALSE),"")</f>
        <v/>
      </c>
      <c r="EY169" s="96">
        <f>IFERROR(VLOOKUP($B169,INDIRECT("'GRD-"&amp;EY$11&amp;"'!B:R"),15,FALSE),"")</f>
        <v/>
      </c>
      <c r="EZ169" s="96">
        <f>IFERROR(VLOOKUP($B169,INDIRECT("'GRD-"&amp;EZ$11&amp;"'!B:R"),15,FALSE),"")</f>
        <v/>
      </c>
      <c r="FA169" s="96">
        <f>IFERROR(VLOOKUP($B169,INDIRECT("'GRD-"&amp;FA$11&amp;"'!B:R"),15,FALSE),"")</f>
        <v/>
      </c>
      <c r="FB169" s="96">
        <f>IFERROR(VLOOKUP($B169,INDIRECT("'GRD-"&amp;FB$11&amp;"'!B:R"),15,FALSE),"")</f>
        <v/>
      </c>
      <c r="FC169" s="96">
        <f>IFERROR(VLOOKUP($B169,INDIRECT("'GRD-"&amp;FC$11&amp;"'!B:R"),15,FALSE),"")</f>
        <v/>
      </c>
      <c r="FD169" s="96">
        <f>IFERROR(VLOOKUP($B169,INDIRECT("'GRD-"&amp;FD$11&amp;"'!B:R"),15,FALSE),"")</f>
        <v/>
      </c>
      <c r="FE169" s="96">
        <f>IFERROR(VLOOKUP($B169,INDIRECT("'GRD-"&amp;FE$11&amp;"'!B:R"),15,FALSE),"")</f>
        <v/>
      </c>
      <c r="FF169" s="96">
        <f>IFERROR(VLOOKUP($B169,INDIRECT("'GRD-"&amp;FF$11&amp;"'!B:R"),15,FALSE),"")</f>
        <v/>
      </c>
      <c r="FG169" s="96">
        <f>IFERROR(VLOOKUP($B169,INDIRECT("'GRD-"&amp;FG$11&amp;"'!B:R"),15,FALSE),"")</f>
        <v/>
      </c>
      <c r="FH169" s="96">
        <f>IFERROR(VLOOKUP($B169,INDIRECT("'GRD-"&amp;FH$11&amp;"'!B:R"),15,FALSE),"")</f>
        <v/>
      </c>
      <c r="FI169" s="96">
        <f>IFERROR(VLOOKUP($B169,INDIRECT("'GRD-"&amp;FI$11&amp;"'!B:R"),15,FALSE),"")</f>
        <v/>
      </c>
      <c r="FJ169" s="96">
        <f>IFERROR(VLOOKUP($B169,INDIRECT("'GRD-"&amp;FJ$11&amp;"'!B:R"),15,FALSE),"")</f>
        <v/>
      </c>
      <c r="FK169" s="96">
        <f>IFERROR(VLOOKUP($B169,INDIRECT("'GRD-"&amp;FK$11&amp;"'!B:R"),15,FALSE),"")</f>
        <v/>
      </c>
      <c r="FL169" s="96">
        <f>IFERROR(VLOOKUP($B169,INDIRECT("'GRD-"&amp;FL$11&amp;"'!B:R"),15,FALSE),"")</f>
        <v/>
      </c>
      <c r="FM169" s="96">
        <f>IFERROR(VLOOKUP($B169,INDIRECT("'GRD-"&amp;FM$11&amp;"'!B:R"),15,FALSE),"")</f>
        <v/>
      </c>
      <c r="FN169" s="96">
        <f>IFERROR(VLOOKUP($B169,INDIRECT("'GRD-"&amp;FN$11&amp;"'!B:R"),15,FALSE),"")</f>
        <v/>
      </c>
      <c r="FO169" s="96">
        <f>IFERROR(VLOOKUP($B169,INDIRECT("'GRD-"&amp;FO$11&amp;"'!B:R"),15,FALSE),"")</f>
        <v/>
      </c>
      <c r="FP169" s="96">
        <f>IFERROR(VLOOKUP($B169,INDIRECT("'GRD-"&amp;FP$11&amp;"'!B:R"),15,FALSE),"")</f>
        <v/>
      </c>
      <c r="FQ169" s="96">
        <f>IFERROR(VLOOKUP($B169,INDIRECT("'GRD-"&amp;FQ$11&amp;"'!B:R"),15,FALSE),"")</f>
        <v/>
      </c>
      <c r="FR169" s="96">
        <f>IFERROR(VLOOKUP($B169,INDIRECT("'GRD-"&amp;FR$11&amp;"'!B:R"),15,FALSE),"")</f>
        <v/>
      </c>
      <c r="FS169" s="96">
        <f>IFERROR(VLOOKUP($B169,INDIRECT("'GRD-"&amp;FS$11&amp;"'!B:R"),15,FALSE),"")</f>
        <v/>
      </c>
      <c r="FT169" s="96">
        <f>IFERROR(VLOOKUP($B169,INDIRECT("'GRD-"&amp;FT$11&amp;"'!B:R"),15,FALSE),"")</f>
        <v/>
      </c>
      <c r="FU169" s="96">
        <f>IFERROR(VLOOKUP($B169,INDIRECT("'GRD-"&amp;FU$11&amp;"'!B:R"),15,FALSE),"")</f>
        <v/>
      </c>
      <c r="FV169" s="96">
        <f>IFERROR(VLOOKUP($B169,INDIRECT("'GRD-"&amp;FV$11&amp;"'!B:R"),15,FALSE),"")</f>
        <v/>
      </c>
    </row>
    <row r="170">
      <c r="B170" s="85" t="n"/>
      <c r="C170" s="93" t="n"/>
      <c r="D170" s="73">
        <f>IF(K170="","",MAX($CA170:$FV170))</f>
        <v/>
      </c>
      <c r="E170" s="74">
        <f t="array" ref="E170">IF($K170="","",OFFSET($A$1,ROW($B170)-1,11+$D170*4,))</f>
        <v/>
      </c>
      <c r="F170" s="74">
        <f t="array" ref="F170">IF($K170="","",OFFSET($A$1,ROW($B170)-1,12+$D170*4,))</f>
        <v/>
      </c>
      <c r="G170" s="118">
        <f t="array" ref="G170">IF($K170="","",OFFSET($A$1,ROW($B170)-1,13+$D170*4,))</f>
        <v/>
      </c>
      <c r="H170" s="81" t="n"/>
      <c r="I170" s="82" t="n"/>
      <c r="J170" s="75">
        <f>IF(I170="A4",H170/8,IF(I170="A3",H170/4,IF(I170="A2",H170/2,IF(I170="A1",H170/1,IF(I170="A0",H170*2,"")))))</f>
        <v/>
      </c>
      <c r="K170" s="68">
        <f t="array" ref="K170">IFERROR(OFFSET($BZ$11,ROW($B170)-11,MATCH(K$10,$CA170:$FV170,0),),"")</f>
        <v/>
      </c>
      <c r="L170" s="85">
        <f>IF(K170="","",IF(VLOOKUP($B170,INDIRECT("'GRD-"&amp;M170&amp;"'!$B:$R"),16,FALSE)="","",VLOOKUP($B170,INDIRECT("'GRD-"&amp;M170&amp;"'!$B:$R"),16,FALSE)))</f>
        <v/>
      </c>
      <c r="M170" s="130">
        <f t="array" ref="M170">IF(K170="","",IFERROR(OFFSET($BZ$11,0,MATCH($K170,$CA170:$FV170,0),),""))</f>
        <v/>
      </c>
      <c r="N170" s="119">
        <f t="array" ref="N170">IF(K170="","",INDIRECT("'GRD-"&amp;M170&amp;"'!$L$7"))</f>
        <v/>
      </c>
      <c r="O170" s="76">
        <f t="array" ref="O170">IFERROR(OFFSET($BZ$11,ROW($B170)-11,MATCH(O$10,$CA170:$FV170,0),),"")</f>
        <v/>
      </c>
      <c r="P170" s="76">
        <f>IF(O170="","",IF(VLOOKUP($B170,INDIRECT("'GRD-"&amp;Q170&amp;"'!$B:$R"),16,FALSE)="","",VLOOKUP($B170,INDIRECT("'GRD-"&amp;Q170&amp;"'!$B:$R"),16,FALSE)))</f>
        <v/>
      </c>
      <c r="Q170" s="132">
        <f t="array" ref="Q170">IF(O170="","",IFERROR(OFFSET($BZ$11,0,MATCH($O170,$CA170:$FV170,0),),""))</f>
        <v/>
      </c>
      <c r="R170" s="121">
        <f t="array" ref="R170">IF(O170="","",INDIRECT("'GRD-"&amp;Q170&amp;"'!$L$7"))</f>
        <v/>
      </c>
      <c r="S170" s="83">
        <f t="array" ref="S170">IFERROR(OFFSET($BZ$11,ROW($B170)-11,MATCH(S$10,$CA170:$FV170,0),),"")</f>
        <v/>
      </c>
      <c r="T170" s="83">
        <f>IF(S170="","",IF(VLOOKUP($B170,INDIRECT("'GRD-"&amp;U170&amp;"'!$B:$R"),16,FALSE)="","",VLOOKUP($B170,INDIRECT("'GRD-"&amp;U170&amp;"'!$B:$R"),16,FALSE)))</f>
        <v/>
      </c>
      <c r="U170" s="128">
        <f t="array" ref="U170">IF(S170="","",IFERROR(OFFSET($BZ$11,0,MATCH($S170,$CA170:$FV170,0),),""))</f>
        <v/>
      </c>
      <c r="V170" s="133">
        <f t="array" ref="V170">IF(S170="","",INDIRECT("'GRD-"&amp;U170&amp;"'!$L$7"))</f>
        <v/>
      </c>
      <c r="W170" s="84">
        <f t="array" ref="W170">IFERROR(OFFSET($BZ$11,ROW($B170)-11,MATCH(W$10,$CA170:$FV170,0),),"")</f>
        <v/>
      </c>
      <c r="X170" s="84">
        <f>IF(W170="","",IF(VLOOKUP($B170,INDIRECT("'GRD-"&amp;Y170&amp;"'!$B:$R"),16,FALSE)="","",VLOOKUP($B170,INDIRECT("'GRD-"&amp;Y170&amp;"'!$B:$R"),16,FALSE)))</f>
        <v/>
      </c>
      <c r="Y170" s="129">
        <f t="array" ref="Y170">IF(W170="","",IFERROR(OFFSET($BZ$11,0,MATCH($W170,$CA170:$FV170,0),),""))</f>
        <v/>
      </c>
      <c r="Z170" s="134">
        <f t="array" ref="Z170">IF(W170="","",INDIRECT("'GRD-"&amp;Y170&amp;"'!$L$7"))</f>
        <v/>
      </c>
      <c r="AA170" s="85">
        <f t="array" ref="AA170">IFERROR(OFFSET($BZ$11,ROW($B170)-11,MATCH(AA$10,$CA170:$FV170,0),),"")</f>
        <v/>
      </c>
      <c r="AB170" s="85">
        <f>IF(AA170="","",IF(VLOOKUP($B170,INDIRECT("'GRD-"&amp;AC170&amp;"'!$B:$R"),16,FALSE)="","",VLOOKUP($B170,INDIRECT("'GRD-"&amp;AC170&amp;"'!$B:$R"),16,FALSE)))</f>
        <v/>
      </c>
      <c r="AC170" s="130">
        <f t="array" ref="AC170">IF(AA170="","",IFERROR(OFFSET($BZ$11,0,MATCH($AA170,$CA170:$FV170,0),),""))</f>
        <v/>
      </c>
      <c r="AD170" s="131">
        <f t="array" ref="AD170">IF(AA170="","",INDIRECT("'GRD-"&amp;AC170&amp;"'!$L$7"))</f>
        <v/>
      </c>
      <c r="AE170" s="76">
        <f t="array" ref="AE170">IFERROR(OFFSET($BZ$11,ROW($B170)-11,MATCH(AE$10,$CA170:$FV170,0),),"")</f>
        <v/>
      </c>
      <c r="AF170" s="76">
        <f>IF(AE170="","",IF(VLOOKUP($B170,INDIRECT("'GRD-"&amp;AG170&amp;"'!$B:$R"),16,FALSE)="","",VLOOKUP($B170,INDIRECT("'GRD-"&amp;AG170&amp;"'!$B:$R"),16,FALSE)))</f>
        <v/>
      </c>
      <c r="AG170" s="132">
        <f t="array" ref="AG170">IF(AE170="","",IFERROR(OFFSET($BZ$11,0,MATCH($AE170,$CA170:$FV170,0),),""))</f>
        <v/>
      </c>
      <c r="AH170" s="121">
        <f t="array" ref="AH170">IF(AE170="","",INDIRECT("'GRD-"&amp;AG170&amp;"'!$L$7"))</f>
        <v/>
      </c>
      <c r="AI170" s="83">
        <f t="array" ref="AI170">IFERROR(OFFSET($BZ$11,ROW($B170)-11,MATCH(AI$10,$CA170:$FV170,0),),"")</f>
        <v/>
      </c>
      <c r="AJ170" s="83">
        <f>IF(AI170="","",IF(VLOOKUP($B170,INDIRECT("'GRD-"&amp;AK170&amp;"'!$B:$R"),16,FALSE)="","",VLOOKUP($B170,INDIRECT("'GRD-"&amp;AK170&amp;"'!$B:$R"),16,FALSE)))</f>
        <v/>
      </c>
      <c r="AK170" s="128">
        <f t="array" ref="AK170">IF(AI170="","",IFERROR(OFFSET($BZ$11,0,MATCH($AI170,$CA170:$FV170,0),),""))</f>
        <v/>
      </c>
      <c r="AL170" s="133">
        <f t="array" ref="AL170">IF(AI170="","",INDIRECT("'GRD-"&amp;AK170&amp;"'!$L$7"))</f>
        <v/>
      </c>
      <c r="AM170" s="84">
        <f t="array" ref="AM170">IFERROR(OFFSET($BZ$11,ROW($B170)-11,MATCH(AM$10,$CA170:$FV170,0),),"")</f>
        <v/>
      </c>
      <c r="AN170" s="84">
        <f>IF(AM170="","",IF(VLOOKUP($B170,INDIRECT("'GRD-"&amp;AO170&amp;"'!$B:$R"),16,FALSE)="","",VLOOKUP($B170,INDIRECT("'GRD-"&amp;AO170&amp;"'!$B:$R"),16,FALSE)))</f>
        <v/>
      </c>
      <c r="AO170" s="129">
        <f t="array" ref="AO170">IF(AM170="","",IFERROR(OFFSET($BZ$11,0,MATCH($AM170,$CA170:$FV170,0),),""))</f>
        <v/>
      </c>
      <c r="AP170" s="134">
        <f t="array" ref="AP170">IF(AM170="","",INDIRECT("'GRD-"&amp;AO170&amp;"'!$L$7"))</f>
        <v/>
      </c>
      <c r="AQ170" s="85">
        <f t="array" ref="AQ170">IFERROR(OFFSET($BZ$11,ROW($B170)-11,MATCH(AQ$10,$CA170:$FV170,0),),"")</f>
        <v/>
      </c>
      <c r="AR170" s="85">
        <f>IF(AQ170="","",IF(VLOOKUP($B170,INDIRECT("'GRD-"&amp;AS170&amp;"'!$B:$R"),16,FALSE)="","",VLOOKUP($B170,INDIRECT("'GRD-"&amp;AS170&amp;"'!$B:$R"),16,FALSE)))</f>
        <v/>
      </c>
      <c r="AS170" s="130">
        <f t="array" ref="AS170">IF(AQ170="","",IFERROR(OFFSET($BZ$11,0,MATCH($AQ170,$CA170:$FV170,0),),""))</f>
        <v/>
      </c>
      <c r="AT170" s="131">
        <f t="array" ref="AT170">IF(AQ170="","",INDIRECT("'GRD-"&amp;AS170&amp;"'!$L$7"))</f>
        <v/>
      </c>
      <c r="AU170" s="76">
        <f t="array" ref="AU170">IFERROR(OFFSET($BZ$11,ROW($B170)-11,MATCH(AU$10,$CA170:$FV170,0),),"")</f>
        <v/>
      </c>
      <c r="AV170" s="76">
        <f>IF(AU170="","",IF(VLOOKUP($B170,INDIRECT("'GRD-"&amp;AW170&amp;"'!$B:$R"),16,FALSE)="","",VLOOKUP($B170,INDIRECT("'GRD-"&amp;AW170&amp;"'!$B:$R"),16,FALSE)))</f>
        <v/>
      </c>
      <c r="AW170" s="132">
        <f t="array" ref="AW170">IF(AU170="","",IFERROR(OFFSET($BZ$11,0,MATCH($AU170,$CA170:$FV170,0),),""))</f>
        <v/>
      </c>
      <c r="AX170" s="121">
        <f t="array" ref="AX170">IF(AU170="","",INDIRECT("'GRD-"&amp;AW170&amp;"'!$L$7"))</f>
        <v/>
      </c>
      <c r="AY170" s="83">
        <f t="array" ref="AY170">IFERROR(OFFSET($BZ$11,ROW($B170)-11,MATCH(AY$10,$CA170:$FV170,0),),"")</f>
        <v/>
      </c>
      <c r="AZ170" s="83">
        <f>IF(AY170="","",IF(VLOOKUP($B170,INDIRECT("'GRD-"&amp;BA170&amp;"'!$B:$R"),16,FALSE)="","",VLOOKUP($B170,INDIRECT("'GRD-"&amp;BA170&amp;"'!$B:$R"),16,FALSE)))</f>
        <v/>
      </c>
      <c r="BA170" s="128">
        <f t="array" ref="BA170">IF(AY170="","",IFERROR(OFFSET($BZ$11,0,MATCH($AY170,$CA170:$FV170,0),),""))</f>
        <v/>
      </c>
      <c r="BB170" s="133">
        <f t="array" ref="BB170">IF(AY170="","",INDIRECT("'GRD-"&amp;BA170&amp;"'!$L$7"))</f>
        <v/>
      </c>
      <c r="BC170" s="84">
        <f t="array" ref="BC170">IFERROR(OFFSET($BZ$11,ROW($B170)-11,MATCH(BC$10,$CA170:$FV170,0),),"")</f>
        <v/>
      </c>
      <c r="BD170" s="84">
        <f>IF(BC170="","",IF(VLOOKUP($B170,INDIRECT("'GRD-"&amp;BE170&amp;"'!$B:$R"),16,FALSE)="","",VLOOKUP($B170,INDIRECT("'GRD-"&amp;BE170&amp;"'!$B:$R"),16,FALSE)))</f>
        <v/>
      </c>
      <c r="BE170" s="129">
        <f t="array" ref="BE170">IF(BC170="","",IFERROR(OFFSET($BZ$11,0,MATCH($BC170,$CA170:$FV170,0),),""))</f>
        <v/>
      </c>
      <c r="BF170" s="134">
        <f t="array" ref="BF170">IF(BC170="","",INDIRECT("'GRD-"&amp;BE170&amp;"'!$L$7"))</f>
        <v/>
      </c>
      <c r="CA170" s="96">
        <f>IFERROR(VLOOKUP($B170,INDIRECT("'GRD-"&amp;CA$11&amp;"'!B:R"),15,FALSE),"")</f>
        <v/>
      </c>
      <c r="CB170" s="96">
        <f>IFERROR(VLOOKUP($B170,INDIRECT("'GRD-"&amp;CB$11&amp;"'!B:R"),15,FALSE),"")</f>
        <v/>
      </c>
      <c r="CC170" s="96">
        <f>IFERROR(VLOOKUP($B170,INDIRECT("'GRD-"&amp;CC$11&amp;"'!B:R"),15,FALSE),"")</f>
        <v/>
      </c>
      <c r="CD170" s="96">
        <f>IFERROR(VLOOKUP($B170,INDIRECT("'GRD-"&amp;CD$11&amp;"'!B:R"),15,FALSE),"")</f>
        <v/>
      </c>
      <c r="CE170" s="96">
        <f>IFERROR(VLOOKUP($B170,INDIRECT("'GRD-"&amp;CE$11&amp;"'!B:R"),15,FALSE),"")</f>
        <v/>
      </c>
      <c r="CF170" s="96">
        <f>IFERROR(VLOOKUP($B170,INDIRECT("'GRD-"&amp;CF$11&amp;"'!B:R"),15,FALSE),"")</f>
        <v/>
      </c>
      <c r="CG170" s="96">
        <f>IFERROR(VLOOKUP($B170,INDIRECT("'GRD-"&amp;CG$11&amp;"'!B:R"),15,FALSE),"")</f>
        <v/>
      </c>
      <c r="CH170" s="96">
        <f>IFERROR(VLOOKUP($B170,INDIRECT("'GRD-"&amp;CH$11&amp;"'!B:R"),15,FALSE),"")</f>
        <v/>
      </c>
      <c r="CI170" s="96">
        <f>IFERROR(VLOOKUP($B170,INDIRECT("'GRD-"&amp;CI$11&amp;"'!B:R"),15,FALSE),"")</f>
        <v/>
      </c>
      <c r="CJ170" s="96">
        <f>IFERROR(VLOOKUP($B170,INDIRECT("'GRD-"&amp;CJ$11&amp;"'!B:R"),15,FALSE),"")</f>
        <v/>
      </c>
      <c r="CK170" s="96">
        <f>IFERROR(VLOOKUP($B170,INDIRECT("'GRD-"&amp;CK$11&amp;"'!B:R"),15,FALSE),"")</f>
        <v/>
      </c>
      <c r="CL170" s="96">
        <f>IFERROR(VLOOKUP($B170,INDIRECT("'GRD-"&amp;CL$11&amp;"'!B:R"),15,FALSE),"")</f>
        <v/>
      </c>
      <c r="CM170" s="96">
        <f>IFERROR(VLOOKUP($B170,INDIRECT("'GRD-"&amp;CM$11&amp;"'!B:R"),15,FALSE),"")</f>
        <v/>
      </c>
      <c r="CN170" s="96">
        <f>IFERROR(VLOOKUP($B170,INDIRECT("'GRD-"&amp;CN$11&amp;"'!B:R"),15,FALSE),"")</f>
        <v/>
      </c>
      <c r="CO170" s="96">
        <f>IFERROR(VLOOKUP($B170,INDIRECT("'GRD-"&amp;CO$11&amp;"'!B:R"),15,FALSE),"")</f>
        <v/>
      </c>
      <c r="CP170" s="96">
        <f>IFERROR(VLOOKUP($B170,INDIRECT("'GRD-"&amp;CP$11&amp;"'!B:R"),15,FALSE),"")</f>
        <v/>
      </c>
      <c r="CQ170" s="96">
        <f>IFERROR(VLOOKUP($B170,INDIRECT("'GRD-"&amp;CQ$11&amp;"'!B:R"),15,FALSE),"")</f>
        <v/>
      </c>
      <c r="CR170" s="96">
        <f>IFERROR(VLOOKUP($B170,INDIRECT("'GRD-"&amp;CR$11&amp;"'!B:R"),15,FALSE),"")</f>
        <v/>
      </c>
      <c r="CS170" s="96">
        <f>IFERROR(VLOOKUP($B170,INDIRECT("'GRD-"&amp;CS$11&amp;"'!B:R"),15,FALSE),"")</f>
        <v/>
      </c>
      <c r="CT170" s="96">
        <f>IFERROR(VLOOKUP($B170,INDIRECT("'GRD-"&amp;CT$11&amp;"'!B:R"),15,FALSE),"")</f>
        <v/>
      </c>
      <c r="CU170" s="96">
        <f>IFERROR(VLOOKUP($B170,INDIRECT("'GRD-"&amp;CU$11&amp;"'!B:R"),15,FALSE),"")</f>
        <v/>
      </c>
      <c r="CV170" s="96">
        <f>IFERROR(VLOOKUP($B170,INDIRECT("'GRD-"&amp;CV$11&amp;"'!B:R"),15,FALSE),"")</f>
        <v/>
      </c>
      <c r="CW170" s="96">
        <f>IFERROR(VLOOKUP($B170,INDIRECT("'GRD-"&amp;CW$11&amp;"'!B:R"),15,FALSE),"")</f>
        <v/>
      </c>
      <c r="CX170" s="96">
        <f>IFERROR(VLOOKUP($B170,INDIRECT("'GRD-"&amp;CX$11&amp;"'!B:R"),15,FALSE),"")</f>
        <v/>
      </c>
      <c r="CY170" s="96">
        <f>IFERROR(VLOOKUP($B170,INDIRECT("'GRD-"&amp;CY$11&amp;"'!B:R"),15,FALSE),"")</f>
        <v/>
      </c>
      <c r="CZ170" s="96">
        <f>IFERROR(VLOOKUP($B170,INDIRECT("'GRD-"&amp;CZ$11&amp;"'!B:R"),15,FALSE),"")</f>
        <v/>
      </c>
      <c r="DA170" s="96">
        <f>IFERROR(VLOOKUP($B170,INDIRECT("'GRD-"&amp;DA$11&amp;"'!B:R"),15,FALSE),"")</f>
        <v/>
      </c>
      <c r="DB170" s="96">
        <f>IFERROR(VLOOKUP($B170,INDIRECT("'GRD-"&amp;DB$11&amp;"'!B:R"),15,FALSE),"")</f>
        <v/>
      </c>
      <c r="DC170" s="96">
        <f>IFERROR(VLOOKUP($B170,INDIRECT("'GRD-"&amp;DC$11&amp;"'!B:R"),15,FALSE),"")</f>
        <v/>
      </c>
      <c r="DD170" s="96">
        <f>IFERROR(VLOOKUP($B170,INDIRECT("'GRD-"&amp;DD$11&amp;"'!B:R"),15,FALSE),"")</f>
        <v/>
      </c>
      <c r="DE170" s="96">
        <f>IFERROR(VLOOKUP($B170,INDIRECT("'GRD-"&amp;DE$11&amp;"'!B:R"),15,FALSE),"")</f>
        <v/>
      </c>
      <c r="DF170" s="96">
        <f>IFERROR(VLOOKUP($B170,INDIRECT("'GRD-"&amp;DF$11&amp;"'!B:R"),15,FALSE),"")</f>
        <v/>
      </c>
      <c r="DG170" s="96">
        <f>IFERROR(VLOOKUP($B170,INDIRECT("'GRD-"&amp;DG$11&amp;"'!B:R"),15,FALSE),"")</f>
        <v/>
      </c>
      <c r="DH170" s="96">
        <f>IFERROR(VLOOKUP($B170,INDIRECT("'GRD-"&amp;DH$11&amp;"'!B:R"),15,FALSE),"")</f>
        <v/>
      </c>
      <c r="DI170" s="96">
        <f>IFERROR(VLOOKUP($B170,INDIRECT("'GRD-"&amp;DI$11&amp;"'!B:R"),15,FALSE),"")</f>
        <v/>
      </c>
      <c r="DJ170" s="96">
        <f>IFERROR(VLOOKUP($B170,INDIRECT("'GRD-"&amp;DJ$11&amp;"'!B:R"),15,FALSE),"")</f>
        <v/>
      </c>
      <c r="DK170" s="96">
        <f>IFERROR(VLOOKUP($B170,INDIRECT("'GRD-"&amp;DK$11&amp;"'!B:R"),15,FALSE),"")</f>
        <v/>
      </c>
      <c r="DL170" s="96">
        <f>IFERROR(VLOOKUP($B170,INDIRECT("'GRD-"&amp;DL$11&amp;"'!B:R"),15,FALSE),"")</f>
        <v/>
      </c>
      <c r="DM170" s="96">
        <f>IFERROR(VLOOKUP($B170,INDIRECT("'GRD-"&amp;DM$11&amp;"'!B:R"),15,FALSE),"")</f>
        <v/>
      </c>
      <c r="DN170" s="96">
        <f>IFERROR(VLOOKUP($B170,INDIRECT("'GRD-"&amp;DN$11&amp;"'!B:R"),15,FALSE),"")</f>
        <v/>
      </c>
      <c r="DO170" s="96">
        <f>IFERROR(VLOOKUP($B170,INDIRECT("'GRD-"&amp;DO$11&amp;"'!B:R"),15,FALSE),"")</f>
        <v/>
      </c>
      <c r="DP170" s="96">
        <f>IFERROR(VLOOKUP($B170,INDIRECT("'GRD-"&amp;DP$11&amp;"'!B:R"),15,FALSE),"")</f>
        <v/>
      </c>
      <c r="DQ170" s="96">
        <f>IFERROR(VLOOKUP($B170,INDIRECT("'GRD-"&amp;DQ$11&amp;"'!B:R"),15,FALSE),"")</f>
        <v/>
      </c>
      <c r="DR170" s="96">
        <f>IFERROR(VLOOKUP($B170,INDIRECT("'GRD-"&amp;DR$11&amp;"'!B:R"),15,FALSE),"")</f>
        <v/>
      </c>
      <c r="DS170" s="96">
        <f>IFERROR(VLOOKUP($B170,INDIRECT("'GRD-"&amp;DS$11&amp;"'!B:R"),15,FALSE),"")</f>
        <v/>
      </c>
      <c r="DT170" s="96">
        <f>IFERROR(VLOOKUP($B170,INDIRECT("'GRD-"&amp;DT$11&amp;"'!B:R"),15,FALSE),"")</f>
        <v/>
      </c>
      <c r="DU170" s="96">
        <f>IFERROR(VLOOKUP($B170,INDIRECT("'GRD-"&amp;DU$11&amp;"'!B:R"),15,FALSE),"")</f>
        <v/>
      </c>
      <c r="DV170" s="96">
        <f>IFERROR(VLOOKUP($B170,INDIRECT("'GRD-"&amp;DV$11&amp;"'!B:R"),15,FALSE),"")</f>
        <v/>
      </c>
      <c r="DW170" s="96">
        <f>IFERROR(VLOOKUP($B170,INDIRECT("'GRD-"&amp;DW$11&amp;"'!B:R"),15,FALSE),"")</f>
        <v/>
      </c>
      <c r="DX170" s="96">
        <f>IFERROR(VLOOKUP($B170,INDIRECT("'GRD-"&amp;DX$11&amp;"'!B:R"),15,FALSE),"")</f>
        <v/>
      </c>
      <c r="DY170" s="96">
        <f>IFERROR(VLOOKUP($B170,INDIRECT("'GRD-"&amp;DY$11&amp;"'!B:R"),15,FALSE),"")</f>
        <v/>
      </c>
      <c r="DZ170" s="96">
        <f>IFERROR(VLOOKUP($B170,INDIRECT("'GRD-"&amp;DZ$11&amp;"'!B:R"),15,FALSE),"")</f>
        <v/>
      </c>
      <c r="EA170" s="96">
        <f>IFERROR(VLOOKUP($B170,INDIRECT("'GRD-"&amp;EA$11&amp;"'!B:R"),15,FALSE),"")</f>
        <v/>
      </c>
      <c r="EB170" s="96">
        <f>IFERROR(VLOOKUP($B170,INDIRECT("'GRD-"&amp;EB$11&amp;"'!B:R"),15,FALSE),"")</f>
        <v/>
      </c>
      <c r="EC170" s="96">
        <f>IFERROR(VLOOKUP($B170,INDIRECT("'GRD-"&amp;EC$11&amp;"'!B:R"),15,FALSE),"")</f>
        <v/>
      </c>
      <c r="ED170" s="96">
        <f>IFERROR(VLOOKUP($B170,INDIRECT("'GRD-"&amp;ED$11&amp;"'!B:R"),15,FALSE),"")</f>
        <v/>
      </c>
      <c r="EE170" s="96">
        <f>IFERROR(VLOOKUP($B170,INDIRECT("'GRD-"&amp;EE$11&amp;"'!B:R"),15,FALSE),"")</f>
        <v/>
      </c>
      <c r="EF170" s="96">
        <f>IFERROR(VLOOKUP($B170,INDIRECT("'GRD-"&amp;EF$11&amp;"'!B:R"),15,FALSE),"")</f>
        <v/>
      </c>
      <c r="EG170" s="96">
        <f>IFERROR(VLOOKUP($B170,INDIRECT("'GRD-"&amp;EG$11&amp;"'!B:R"),15,FALSE),"")</f>
        <v/>
      </c>
      <c r="EH170" s="96">
        <f>IFERROR(VLOOKUP($B170,INDIRECT("'GRD-"&amp;EH$11&amp;"'!B:R"),15,FALSE),"")</f>
        <v/>
      </c>
      <c r="EI170" s="96">
        <f>IFERROR(VLOOKUP($B170,INDIRECT("'GRD-"&amp;EI$11&amp;"'!B:R"),15,FALSE),"")</f>
        <v/>
      </c>
      <c r="EJ170" s="96">
        <f>IFERROR(VLOOKUP($B170,INDIRECT("'GRD-"&amp;EJ$11&amp;"'!B:R"),15,FALSE),"")</f>
        <v/>
      </c>
      <c r="EK170" s="96">
        <f>IFERROR(VLOOKUP($B170,INDIRECT("'GRD-"&amp;EK$11&amp;"'!B:R"),15,FALSE),"")</f>
        <v/>
      </c>
      <c r="EL170" s="96">
        <f>IFERROR(VLOOKUP($B170,INDIRECT("'GRD-"&amp;EL$11&amp;"'!B:R"),15,FALSE),"")</f>
        <v/>
      </c>
      <c r="EM170" s="96">
        <f>IFERROR(VLOOKUP($B170,INDIRECT("'GRD-"&amp;EM$11&amp;"'!B:R"),15,FALSE),"")</f>
        <v/>
      </c>
      <c r="EN170" s="96">
        <f>IFERROR(VLOOKUP($B170,INDIRECT("'GRD-"&amp;EN$11&amp;"'!B:R"),15,FALSE),"")</f>
        <v/>
      </c>
      <c r="EO170" s="96">
        <f>IFERROR(VLOOKUP($B170,INDIRECT("'GRD-"&amp;EO$11&amp;"'!B:R"),15,FALSE),"")</f>
        <v/>
      </c>
      <c r="EP170" s="96">
        <f>IFERROR(VLOOKUP($B170,INDIRECT("'GRD-"&amp;EP$11&amp;"'!B:R"),15,FALSE),"")</f>
        <v/>
      </c>
      <c r="EQ170" s="96">
        <f>IFERROR(VLOOKUP($B170,INDIRECT("'GRD-"&amp;EQ$11&amp;"'!B:R"),15,FALSE),"")</f>
        <v/>
      </c>
      <c r="ER170" s="96">
        <f>IFERROR(VLOOKUP($B170,INDIRECT("'GRD-"&amp;ER$11&amp;"'!B:R"),15,FALSE),"")</f>
        <v/>
      </c>
      <c r="ES170" s="96">
        <f>IFERROR(VLOOKUP($B170,INDIRECT("'GRD-"&amp;ES$11&amp;"'!B:R"),15,FALSE),"")</f>
        <v/>
      </c>
      <c r="ET170" s="96">
        <f>IFERROR(VLOOKUP($B170,INDIRECT("'GRD-"&amp;ET$11&amp;"'!B:R"),15,FALSE),"")</f>
        <v/>
      </c>
      <c r="EU170" s="96">
        <f>IFERROR(VLOOKUP($B170,INDIRECT("'GRD-"&amp;EU$11&amp;"'!B:R"),15,FALSE),"")</f>
        <v/>
      </c>
      <c r="EV170" s="96">
        <f>IFERROR(VLOOKUP($B170,INDIRECT("'GRD-"&amp;EV$11&amp;"'!B:R"),15,FALSE),"")</f>
        <v/>
      </c>
      <c r="EW170" s="96">
        <f>IFERROR(VLOOKUP($B170,INDIRECT("'GRD-"&amp;EW$11&amp;"'!B:R"),15,FALSE),"")</f>
        <v/>
      </c>
      <c r="EX170" s="96">
        <f>IFERROR(VLOOKUP($B170,INDIRECT("'GRD-"&amp;EX$11&amp;"'!B:R"),15,FALSE),"")</f>
        <v/>
      </c>
      <c r="EY170" s="96">
        <f>IFERROR(VLOOKUP($B170,INDIRECT("'GRD-"&amp;EY$11&amp;"'!B:R"),15,FALSE),"")</f>
        <v/>
      </c>
      <c r="EZ170" s="96">
        <f>IFERROR(VLOOKUP($B170,INDIRECT("'GRD-"&amp;EZ$11&amp;"'!B:R"),15,FALSE),"")</f>
        <v/>
      </c>
      <c r="FA170" s="96">
        <f>IFERROR(VLOOKUP($B170,INDIRECT("'GRD-"&amp;FA$11&amp;"'!B:R"),15,FALSE),"")</f>
        <v/>
      </c>
      <c r="FB170" s="96">
        <f>IFERROR(VLOOKUP($B170,INDIRECT("'GRD-"&amp;FB$11&amp;"'!B:R"),15,FALSE),"")</f>
        <v/>
      </c>
      <c r="FC170" s="96">
        <f>IFERROR(VLOOKUP($B170,INDIRECT("'GRD-"&amp;FC$11&amp;"'!B:R"),15,FALSE),"")</f>
        <v/>
      </c>
      <c r="FD170" s="96">
        <f>IFERROR(VLOOKUP($B170,INDIRECT("'GRD-"&amp;FD$11&amp;"'!B:R"),15,FALSE),"")</f>
        <v/>
      </c>
      <c r="FE170" s="96">
        <f>IFERROR(VLOOKUP($B170,INDIRECT("'GRD-"&amp;FE$11&amp;"'!B:R"),15,FALSE),"")</f>
        <v/>
      </c>
      <c r="FF170" s="96">
        <f>IFERROR(VLOOKUP($B170,INDIRECT("'GRD-"&amp;FF$11&amp;"'!B:R"),15,FALSE),"")</f>
        <v/>
      </c>
      <c r="FG170" s="96">
        <f>IFERROR(VLOOKUP($B170,INDIRECT("'GRD-"&amp;FG$11&amp;"'!B:R"),15,FALSE),"")</f>
        <v/>
      </c>
      <c r="FH170" s="96">
        <f>IFERROR(VLOOKUP($B170,INDIRECT("'GRD-"&amp;FH$11&amp;"'!B:R"),15,FALSE),"")</f>
        <v/>
      </c>
      <c r="FI170" s="96">
        <f>IFERROR(VLOOKUP($B170,INDIRECT("'GRD-"&amp;FI$11&amp;"'!B:R"),15,FALSE),"")</f>
        <v/>
      </c>
      <c r="FJ170" s="96">
        <f>IFERROR(VLOOKUP($B170,INDIRECT("'GRD-"&amp;FJ$11&amp;"'!B:R"),15,FALSE),"")</f>
        <v/>
      </c>
      <c r="FK170" s="96">
        <f>IFERROR(VLOOKUP($B170,INDIRECT("'GRD-"&amp;FK$11&amp;"'!B:R"),15,FALSE),"")</f>
        <v/>
      </c>
      <c r="FL170" s="96">
        <f>IFERROR(VLOOKUP($B170,INDIRECT("'GRD-"&amp;FL$11&amp;"'!B:R"),15,FALSE),"")</f>
        <v/>
      </c>
      <c r="FM170" s="96">
        <f>IFERROR(VLOOKUP($B170,INDIRECT("'GRD-"&amp;FM$11&amp;"'!B:R"),15,FALSE),"")</f>
        <v/>
      </c>
      <c r="FN170" s="96">
        <f>IFERROR(VLOOKUP($B170,INDIRECT("'GRD-"&amp;FN$11&amp;"'!B:R"),15,FALSE),"")</f>
        <v/>
      </c>
      <c r="FO170" s="96">
        <f>IFERROR(VLOOKUP($B170,INDIRECT("'GRD-"&amp;FO$11&amp;"'!B:R"),15,FALSE),"")</f>
        <v/>
      </c>
      <c r="FP170" s="96">
        <f>IFERROR(VLOOKUP($B170,INDIRECT("'GRD-"&amp;FP$11&amp;"'!B:R"),15,FALSE),"")</f>
        <v/>
      </c>
      <c r="FQ170" s="96">
        <f>IFERROR(VLOOKUP($B170,INDIRECT("'GRD-"&amp;FQ$11&amp;"'!B:R"),15,FALSE),"")</f>
        <v/>
      </c>
      <c r="FR170" s="96">
        <f>IFERROR(VLOOKUP($B170,INDIRECT("'GRD-"&amp;FR$11&amp;"'!B:R"),15,FALSE),"")</f>
        <v/>
      </c>
      <c r="FS170" s="96">
        <f>IFERROR(VLOOKUP($B170,INDIRECT("'GRD-"&amp;FS$11&amp;"'!B:R"),15,FALSE),"")</f>
        <v/>
      </c>
      <c r="FT170" s="96">
        <f>IFERROR(VLOOKUP($B170,INDIRECT("'GRD-"&amp;FT$11&amp;"'!B:R"),15,FALSE),"")</f>
        <v/>
      </c>
      <c r="FU170" s="96">
        <f>IFERROR(VLOOKUP($B170,INDIRECT("'GRD-"&amp;FU$11&amp;"'!B:R"),15,FALSE),"")</f>
        <v/>
      </c>
      <c r="FV170" s="96">
        <f>IFERROR(VLOOKUP($B170,INDIRECT("'GRD-"&amp;FV$11&amp;"'!B:R"),15,FALSE),"")</f>
        <v/>
      </c>
    </row>
    <row r="171">
      <c r="B171" s="85" t="n"/>
      <c r="C171" s="93" t="n"/>
      <c r="D171" s="73">
        <f>IF(K171="","",MAX($CA171:$FV171))</f>
        <v/>
      </c>
      <c r="E171" s="74">
        <f t="array" ref="E171">IF($K171="","",OFFSET($A$1,ROW($B171)-1,11+$D171*4,))</f>
        <v/>
      </c>
      <c r="F171" s="74">
        <f t="array" ref="F171">IF($K171="","",OFFSET($A$1,ROW($B171)-1,12+$D171*4,))</f>
        <v/>
      </c>
      <c r="G171" s="118">
        <f t="array" ref="G171">IF($K171="","",OFFSET($A$1,ROW($B171)-1,13+$D171*4,))</f>
        <v/>
      </c>
      <c r="H171" s="81" t="n"/>
      <c r="I171" s="82" t="n"/>
      <c r="J171" s="75">
        <f>IF(I171="A4",H171/8,IF(I171="A3",H171/4,IF(I171="A2",H171/2,IF(I171="A1",H171/1,IF(I171="A0",H171*2,"")))))</f>
        <v/>
      </c>
      <c r="K171" s="68">
        <f t="array" ref="K171">IFERROR(OFFSET($BZ$11,ROW($B171)-11,MATCH(K$10,$CA171:$FV171,0),),"")</f>
        <v/>
      </c>
      <c r="L171" s="85">
        <f>IF(K171="","",IF(VLOOKUP($B171,INDIRECT("'GRD-"&amp;M171&amp;"'!$B:$R"),16,FALSE)="","",VLOOKUP($B171,INDIRECT("'GRD-"&amp;M171&amp;"'!$B:$R"),16,FALSE)))</f>
        <v/>
      </c>
      <c r="M171" s="130">
        <f t="array" ref="M171">IF(K171="","",IFERROR(OFFSET($BZ$11,0,MATCH($K171,$CA171:$FV171,0),),""))</f>
        <v/>
      </c>
      <c r="N171" s="119">
        <f t="array" ref="N171">IF(K171="","",INDIRECT("'GRD-"&amp;M171&amp;"'!$L$7"))</f>
        <v/>
      </c>
      <c r="O171" s="76">
        <f t="array" ref="O171">IFERROR(OFFSET($BZ$11,ROW($B171)-11,MATCH(O$10,$CA171:$FV171,0),),"")</f>
        <v/>
      </c>
      <c r="P171" s="76">
        <f>IF(O171="","",IF(VLOOKUP($B171,INDIRECT("'GRD-"&amp;Q171&amp;"'!$B:$R"),16,FALSE)="","",VLOOKUP($B171,INDIRECT("'GRD-"&amp;Q171&amp;"'!$B:$R"),16,FALSE)))</f>
        <v/>
      </c>
      <c r="Q171" s="132">
        <f t="array" ref="Q171">IF(O171="","",IFERROR(OFFSET($BZ$11,0,MATCH($O171,$CA171:$FV171,0),),""))</f>
        <v/>
      </c>
      <c r="R171" s="121">
        <f t="array" ref="R171">IF(O171="","",INDIRECT("'GRD-"&amp;Q171&amp;"'!$L$7"))</f>
        <v/>
      </c>
      <c r="S171" s="83">
        <f t="array" ref="S171">IFERROR(OFFSET($BZ$11,ROW($B171)-11,MATCH(S$10,$CA171:$FV171,0),),"")</f>
        <v/>
      </c>
      <c r="T171" s="83">
        <f>IF(S171="","",IF(VLOOKUP($B171,INDIRECT("'GRD-"&amp;U171&amp;"'!$B:$R"),16,FALSE)="","",VLOOKUP($B171,INDIRECT("'GRD-"&amp;U171&amp;"'!$B:$R"),16,FALSE)))</f>
        <v/>
      </c>
      <c r="U171" s="128">
        <f t="array" ref="U171">IF(S171="","",IFERROR(OFFSET($BZ$11,0,MATCH($S171,$CA171:$FV171,0),),""))</f>
        <v/>
      </c>
      <c r="V171" s="133">
        <f t="array" ref="V171">IF(S171="","",INDIRECT("'GRD-"&amp;U171&amp;"'!$L$7"))</f>
        <v/>
      </c>
      <c r="W171" s="84">
        <f t="array" ref="W171">IFERROR(OFFSET($BZ$11,ROW($B171)-11,MATCH(W$10,$CA171:$FV171,0),),"")</f>
        <v/>
      </c>
      <c r="X171" s="84">
        <f>IF(W171="","",IF(VLOOKUP($B171,INDIRECT("'GRD-"&amp;Y171&amp;"'!$B:$R"),16,FALSE)="","",VLOOKUP($B171,INDIRECT("'GRD-"&amp;Y171&amp;"'!$B:$R"),16,FALSE)))</f>
        <v/>
      </c>
      <c r="Y171" s="129">
        <f t="array" ref="Y171">IF(W171="","",IFERROR(OFFSET($BZ$11,0,MATCH($W171,$CA171:$FV171,0),),""))</f>
        <v/>
      </c>
      <c r="Z171" s="134">
        <f t="array" ref="Z171">IF(W171="","",INDIRECT("'GRD-"&amp;Y171&amp;"'!$L$7"))</f>
        <v/>
      </c>
      <c r="AA171" s="85">
        <f t="array" ref="AA171">IFERROR(OFFSET($BZ$11,ROW($B171)-11,MATCH(AA$10,$CA171:$FV171,0),),"")</f>
        <v/>
      </c>
      <c r="AB171" s="85">
        <f>IF(AA171="","",IF(VLOOKUP($B171,INDIRECT("'GRD-"&amp;AC171&amp;"'!$B:$R"),16,FALSE)="","",VLOOKUP($B171,INDIRECT("'GRD-"&amp;AC171&amp;"'!$B:$R"),16,FALSE)))</f>
        <v/>
      </c>
      <c r="AC171" s="130">
        <f t="array" ref="AC171">IF(AA171="","",IFERROR(OFFSET($BZ$11,0,MATCH($AA171,$CA171:$FV171,0),),""))</f>
        <v/>
      </c>
      <c r="AD171" s="131">
        <f t="array" ref="AD171">IF(AA171="","",INDIRECT("'GRD-"&amp;AC171&amp;"'!$L$7"))</f>
        <v/>
      </c>
      <c r="AE171" s="76">
        <f t="array" ref="AE171">IFERROR(OFFSET($BZ$11,ROW($B171)-11,MATCH(AE$10,$CA171:$FV171,0),),"")</f>
        <v/>
      </c>
      <c r="AF171" s="76">
        <f>IF(AE171="","",IF(VLOOKUP($B171,INDIRECT("'GRD-"&amp;AG171&amp;"'!$B:$R"),16,FALSE)="","",VLOOKUP($B171,INDIRECT("'GRD-"&amp;AG171&amp;"'!$B:$R"),16,FALSE)))</f>
        <v/>
      </c>
      <c r="AG171" s="132">
        <f t="array" ref="AG171">IF(AE171="","",IFERROR(OFFSET($BZ$11,0,MATCH($AE171,$CA171:$FV171,0),),""))</f>
        <v/>
      </c>
      <c r="AH171" s="121">
        <f t="array" ref="AH171">IF(AE171="","",INDIRECT("'GRD-"&amp;AG171&amp;"'!$L$7"))</f>
        <v/>
      </c>
      <c r="AI171" s="83">
        <f t="array" ref="AI171">IFERROR(OFFSET($BZ$11,ROW($B171)-11,MATCH(AI$10,$CA171:$FV171,0),),"")</f>
        <v/>
      </c>
      <c r="AJ171" s="83">
        <f>IF(AI171="","",IF(VLOOKUP($B171,INDIRECT("'GRD-"&amp;AK171&amp;"'!$B:$R"),16,FALSE)="","",VLOOKUP($B171,INDIRECT("'GRD-"&amp;AK171&amp;"'!$B:$R"),16,FALSE)))</f>
        <v/>
      </c>
      <c r="AK171" s="128">
        <f t="array" ref="AK171">IF(AI171="","",IFERROR(OFFSET($BZ$11,0,MATCH($AI171,$CA171:$FV171,0),),""))</f>
        <v/>
      </c>
      <c r="AL171" s="133">
        <f t="array" ref="AL171">IF(AI171="","",INDIRECT("'GRD-"&amp;AK171&amp;"'!$L$7"))</f>
        <v/>
      </c>
      <c r="AM171" s="84">
        <f t="array" ref="AM171">IFERROR(OFFSET($BZ$11,ROW($B171)-11,MATCH(AM$10,$CA171:$FV171,0),),"")</f>
        <v/>
      </c>
      <c r="AN171" s="84">
        <f>IF(AM171="","",IF(VLOOKUP($B171,INDIRECT("'GRD-"&amp;AO171&amp;"'!$B:$R"),16,FALSE)="","",VLOOKUP($B171,INDIRECT("'GRD-"&amp;AO171&amp;"'!$B:$R"),16,FALSE)))</f>
        <v/>
      </c>
      <c r="AO171" s="129">
        <f t="array" ref="AO171">IF(AM171="","",IFERROR(OFFSET($BZ$11,0,MATCH($AM171,$CA171:$FV171,0),),""))</f>
        <v/>
      </c>
      <c r="AP171" s="134">
        <f t="array" ref="AP171">IF(AM171="","",INDIRECT("'GRD-"&amp;AO171&amp;"'!$L$7"))</f>
        <v/>
      </c>
      <c r="AQ171" s="85">
        <f t="array" ref="AQ171">IFERROR(OFFSET($BZ$11,ROW($B171)-11,MATCH(AQ$10,$CA171:$FV171,0),),"")</f>
        <v/>
      </c>
      <c r="AR171" s="85">
        <f>IF(AQ171="","",IF(VLOOKUP($B171,INDIRECT("'GRD-"&amp;AS171&amp;"'!$B:$R"),16,FALSE)="","",VLOOKUP($B171,INDIRECT("'GRD-"&amp;AS171&amp;"'!$B:$R"),16,FALSE)))</f>
        <v/>
      </c>
      <c r="AS171" s="130">
        <f t="array" ref="AS171">IF(AQ171="","",IFERROR(OFFSET($BZ$11,0,MATCH($AQ171,$CA171:$FV171,0),),""))</f>
        <v/>
      </c>
      <c r="AT171" s="131">
        <f t="array" ref="AT171">IF(AQ171="","",INDIRECT("'GRD-"&amp;AS171&amp;"'!$L$7"))</f>
        <v/>
      </c>
      <c r="AU171" s="76">
        <f t="array" ref="AU171">IFERROR(OFFSET($BZ$11,ROW($B171)-11,MATCH(AU$10,$CA171:$FV171,0),),"")</f>
        <v/>
      </c>
      <c r="AV171" s="76">
        <f>IF(AU171="","",IF(VLOOKUP($B171,INDIRECT("'GRD-"&amp;AW171&amp;"'!$B:$R"),16,FALSE)="","",VLOOKUP($B171,INDIRECT("'GRD-"&amp;AW171&amp;"'!$B:$R"),16,FALSE)))</f>
        <v/>
      </c>
      <c r="AW171" s="132">
        <f t="array" ref="AW171">IF(AU171="","",IFERROR(OFFSET($BZ$11,0,MATCH($AU171,$CA171:$FV171,0),),""))</f>
        <v/>
      </c>
      <c r="AX171" s="121">
        <f t="array" ref="AX171">IF(AU171="","",INDIRECT("'GRD-"&amp;AW171&amp;"'!$L$7"))</f>
        <v/>
      </c>
      <c r="AY171" s="83">
        <f t="array" ref="AY171">IFERROR(OFFSET($BZ$11,ROW($B171)-11,MATCH(AY$10,$CA171:$FV171,0),),"")</f>
        <v/>
      </c>
      <c r="AZ171" s="83">
        <f>IF(AY171="","",IF(VLOOKUP($B171,INDIRECT("'GRD-"&amp;BA171&amp;"'!$B:$R"),16,FALSE)="","",VLOOKUP($B171,INDIRECT("'GRD-"&amp;BA171&amp;"'!$B:$R"),16,FALSE)))</f>
        <v/>
      </c>
      <c r="BA171" s="128">
        <f t="array" ref="BA171">IF(AY171="","",IFERROR(OFFSET($BZ$11,0,MATCH($AY171,$CA171:$FV171,0),),""))</f>
        <v/>
      </c>
      <c r="BB171" s="133">
        <f t="array" ref="BB171">IF(AY171="","",INDIRECT("'GRD-"&amp;BA171&amp;"'!$L$7"))</f>
        <v/>
      </c>
      <c r="BC171" s="84">
        <f t="array" ref="BC171">IFERROR(OFFSET($BZ$11,ROW($B171)-11,MATCH(BC$10,$CA171:$FV171,0),),"")</f>
        <v/>
      </c>
      <c r="BD171" s="84">
        <f>IF(BC171="","",IF(VLOOKUP($B171,INDIRECT("'GRD-"&amp;BE171&amp;"'!$B:$R"),16,FALSE)="","",VLOOKUP($B171,INDIRECT("'GRD-"&amp;BE171&amp;"'!$B:$R"),16,FALSE)))</f>
        <v/>
      </c>
      <c r="BE171" s="129">
        <f t="array" ref="BE171">IF(BC171="","",IFERROR(OFFSET($BZ$11,0,MATCH($BC171,$CA171:$FV171,0),),""))</f>
        <v/>
      </c>
      <c r="BF171" s="134">
        <f t="array" ref="BF171">IF(BC171="","",INDIRECT("'GRD-"&amp;BE171&amp;"'!$L$7"))</f>
        <v/>
      </c>
      <c r="CA171" s="96">
        <f>IFERROR(VLOOKUP($B171,INDIRECT("'GRD-"&amp;CA$11&amp;"'!B:R"),15,FALSE),"")</f>
        <v/>
      </c>
      <c r="CB171" s="96">
        <f>IFERROR(VLOOKUP($B171,INDIRECT("'GRD-"&amp;CB$11&amp;"'!B:R"),15,FALSE),"")</f>
        <v/>
      </c>
      <c r="CC171" s="96">
        <f>IFERROR(VLOOKUP($B171,INDIRECT("'GRD-"&amp;CC$11&amp;"'!B:R"),15,FALSE),"")</f>
        <v/>
      </c>
      <c r="CD171" s="96">
        <f>IFERROR(VLOOKUP($B171,INDIRECT("'GRD-"&amp;CD$11&amp;"'!B:R"),15,FALSE),"")</f>
        <v/>
      </c>
      <c r="CE171" s="96">
        <f>IFERROR(VLOOKUP($B171,INDIRECT("'GRD-"&amp;CE$11&amp;"'!B:R"),15,FALSE),"")</f>
        <v/>
      </c>
      <c r="CF171" s="96">
        <f>IFERROR(VLOOKUP($B171,INDIRECT("'GRD-"&amp;CF$11&amp;"'!B:R"),15,FALSE),"")</f>
        <v/>
      </c>
      <c r="CG171" s="96">
        <f>IFERROR(VLOOKUP($B171,INDIRECT("'GRD-"&amp;CG$11&amp;"'!B:R"),15,FALSE),"")</f>
        <v/>
      </c>
      <c r="CH171" s="96">
        <f>IFERROR(VLOOKUP($B171,INDIRECT("'GRD-"&amp;CH$11&amp;"'!B:R"),15,FALSE),"")</f>
        <v/>
      </c>
      <c r="CI171" s="96">
        <f>IFERROR(VLOOKUP($B171,INDIRECT("'GRD-"&amp;CI$11&amp;"'!B:R"),15,FALSE),"")</f>
        <v/>
      </c>
      <c r="CJ171" s="96">
        <f>IFERROR(VLOOKUP($B171,INDIRECT("'GRD-"&amp;CJ$11&amp;"'!B:R"),15,FALSE),"")</f>
        <v/>
      </c>
      <c r="CK171" s="96">
        <f>IFERROR(VLOOKUP($B171,INDIRECT("'GRD-"&amp;CK$11&amp;"'!B:R"),15,FALSE),"")</f>
        <v/>
      </c>
      <c r="CL171" s="96">
        <f>IFERROR(VLOOKUP($B171,INDIRECT("'GRD-"&amp;CL$11&amp;"'!B:R"),15,FALSE),"")</f>
        <v/>
      </c>
      <c r="CM171" s="96">
        <f>IFERROR(VLOOKUP($B171,INDIRECT("'GRD-"&amp;CM$11&amp;"'!B:R"),15,FALSE),"")</f>
        <v/>
      </c>
      <c r="CN171" s="96">
        <f>IFERROR(VLOOKUP($B171,INDIRECT("'GRD-"&amp;CN$11&amp;"'!B:R"),15,FALSE),"")</f>
        <v/>
      </c>
      <c r="CO171" s="96">
        <f>IFERROR(VLOOKUP($B171,INDIRECT("'GRD-"&amp;CO$11&amp;"'!B:R"),15,FALSE),"")</f>
        <v/>
      </c>
      <c r="CP171" s="96">
        <f>IFERROR(VLOOKUP($B171,INDIRECT("'GRD-"&amp;CP$11&amp;"'!B:R"),15,FALSE),"")</f>
        <v/>
      </c>
      <c r="CQ171" s="96">
        <f>IFERROR(VLOOKUP($B171,INDIRECT("'GRD-"&amp;CQ$11&amp;"'!B:R"),15,FALSE),"")</f>
        <v/>
      </c>
      <c r="CR171" s="96">
        <f>IFERROR(VLOOKUP($B171,INDIRECT("'GRD-"&amp;CR$11&amp;"'!B:R"),15,FALSE),"")</f>
        <v/>
      </c>
      <c r="CS171" s="96">
        <f>IFERROR(VLOOKUP($B171,INDIRECT("'GRD-"&amp;CS$11&amp;"'!B:R"),15,FALSE),"")</f>
        <v/>
      </c>
      <c r="CT171" s="96">
        <f>IFERROR(VLOOKUP($B171,INDIRECT("'GRD-"&amp;CT$11&amp;"'!B:R"),15,FALSE),"")</f>
        <v/>
      </c>
      <c r="CU171" s="96">
        <f>IFERROR(VLOOKUP($B171,INDIRECT("'GRD-"&amp;CU$11&amp;"'!B:R"),15,FALSE),"")</f>
        <v/>
      </c>
      <c r="CV171" s="96">
        <f>IFERROR(VLOOKUP($B171,INDIRECT("'GRD-"&amp;CV$11&amp;"'!B:R"),15,FALSE),"")</f>
        <v/>
      </c>
      <c r="CW171" s="96">
        <f>IFERROR(VLOOKUP($B171,INDIRECT("'GRD-"&amp;CW$11&amp;"'!B:R"),15,FALSE),"")</f>
        <v/>
      </c>
      <c r="CX171" s="96">
        <f>IFERROR(VLOOKUP($B171,INDIRECT("'GRD-"&amp;CX$11&amp;"'!B:R"),15,FALSE),"")</f>
        <v/>
      </c>
      <c r="CY171" s="96">
        <f>IFERROR(VLOOKUP($B171,INDIRECT("'GRD-"&amp;CY$11&amp;"'!B:R"),15,FALSE),"")</f>
        <v/>
      </c>
      <c r="CZ171" s="96">
        <f>IFERROR(VLOOKUP($B171,INDIRECT("'GRD-"&amp;CZ$11&amp;"'!B:R"),15,FALSE),"")</f>
        <v/>
      </c>
      <c r="DA171" s="96">
        <f>IFERROR(VLOOKUP($B171,INDIRECT("'GRD-"&amp;DA$11&amp;"'!B:R"),15,FALSE),"")</f>
        <v/>
      </c>
      <c r="DB171" s="96">
        <f>IFERROR(VLOOKUP($B171,INDIRECT("'GRD-"&amp;DB$11&amp;"'!B:R"),15,FALSE),"")</f>
        <v/>
      </c>
      <c r="DC171" s="96">
        <f>IFERROR(VLOOKUP($B171,INDIRECT("'GRD-"&amp;DC$11&amp;"'!B:R"),15,FALSE),"")</f>
        <v/>
      </c>
      <c r="DD171" s="96">
        <f>IFERROR(VLOOKUP($B171,INDIRECT("'GRD-"&amp;DD$11&amp;"'!B:R"),15,FALSE),"")</f>
        <v/>
      </c>
      <c r="DE171" s="96">
        <f>IFERROR(VLOOKUP($B171,INDIRECT("'GRD-"&amp;DE$11&amp;"'!B:R"),15,FALSE),"")</f>
        <v/>
      </c>
      <c r="DF171" s="96">
        <f>IFERROR(VLOOKUP($B171,INDIRECT("'GRD-"&amp;DF$11&amp;"'!B:R"),15,FALSE),"")</f>
        <v/>
      </c>
      <c r="DG171" s="96">
        <f>IFERROR(VLOOKUP($B171,INDIRECT("'GRD-"&amp;DG$11&amp;"'!B:R"),15,FALSE),"")</f>
        <v/>
      </c>
      <c r="DH171" s="96">
        <f>IFERROR(VLOOKUP($B171,INDIRECT("'GRD-"&amp;DH$11&amp;"'!B:R"),15,FALSE),"")</f>
        <v/>
      </c>
      <c r="DI171" s="96">
        <f>IFERROR(VLOOKUP($B171,INDIRECT("'GRD-"&amp;DI$11&amp;"'!B:R"),15,FALSE),"")</f>
        <v/>
      </c>
      <c r="DJ171" s="96">
        <f>IFERROR(VLOOKUP($B171,INDIRECT("'GRD-"&amp;DJ$11&amp;"'!B:R"),15,FALSE),"")</f>
        <v/>
      </c>
      <c r="DK171" s="96">
        <f>IFERROR(VLOOKUP($B171,INDIRECT("'GRD-"&amp;DK$11&amp;"'!B:R"),15,FALSE),"")</f>
        <v/>
      </c>
      <c r="DL171" s="96">
        <f>IFERROR(VLOOKUP($B171,INDIRECT("'GRD-"&amp;DL$11&amp;"'!B:R"),15,FALSE),"")</f>
        <v/>
      </c>
      <c r="DM171" s="96">
        <f>IFERROR(VLOOKUP($B171,INDIRECT("'GRD-"&amp;DM$11&amp;"'!B:R"),15,FALSE),"")</f>
        <v/>
      </c>
      <c r="DN171" s="96">
        <f>IFERROR(VLOOKUP($B171,INDIRECT("'GRD-"&amp;DN$11&amp;"'!B:R"),15,FALSE),"")</f>
        <v/>
      </c>
      <c r="DO171" s="96">
        <f>IFERROR(VLOOKUP($B171,INDIRECT("'GRD-"&amp;DO$11&amp;"'!B:R"),15,FALSE),"")</f>
        <v/>
      </c>
      <c r="DP171" s="96">
        <f>IFERROR(VLOOKUP($B171,INDIRECT("'GRD-"&amp;DP$11&amp;"'!B:R"),15,FALSE),"")</f>
        <v/>
      </c>
      <c r="DQ171" s="96">
        <f>IFERROR(VLOOKUP($B171,INDIRECT("'GRD-"&amp;DQ$11&amp;"'!B:R"),15,FALSE),"")</f>
        <v/>
      </c>
      <c r="DR171" s="96">
        <f>IFERROR(VLOOKUP($B171,INDIRECT("'GRD-"&amp;DR$11&amp;"'!B:R"),15,FALSE),"")</f>
        <v/>
      </c>
      <c r="DS171" s="96">
        <f>IFERROR(VLOOKUP($B171,INDIRECT("'GRD-"&amp;DS$11&amp;"'!B:R"),15,FALSE),"")</f>
        <v/>
      </c>
      <c r="DT171" s="96">
        <f>IFERROR(VLOOKUP($B171,INDIRECT("'GRD-"&amp;DT$11&amp;"'!B:R"),15,FALSE),"")</f>
        <v/>
      </c>
      <c r="DU171" s="96">
        <f>IFERROR(VLOOKUP($B171,INDIRECT("'GRD-"&amp;DU$11&amp;"'!B:R"),15,FALSE),"")</f>
        <v/>
      </c>
      <c r="DV171" s="96">
        <f>IFERROR(VLOOKUP($B171,INDIRECT("'GRD-"&amp;DV$11&amp;"'!B:R"),15,FALSE),"")</f>
        <v/>
      </c>
      <c r="DW171" s="96">
        <f>IFERROR(VLOOKUP($B171,INDIRECT("'GRD-"&amp;DW$11&amp;"'!B:R"),15,FALSE),"")</f>
        <v/>
      </c>
      <c r="DX171" s="96">
        <f>IFERROR(VLOOKUP($B171,INDIRECT("'GRD-"&amp;DX$11&amp;"'!B:R"),15,FALSE),"")</f>
        <v/>
      </c>
      <c r="DY171" s="96">
        <f>IFERROR(VLOOKUP($B171,INDIRECT("'GRD-"&amp;DY$11&amp;"'!B:R"),15,FALSE),"")</f>
        <v/>
      </c>
      <c r="DZ171" s="96">
        <f>IFERROR(VLOOKUP($B171,INDIRECT("'GRD-"&amp;DZ$11&amp;"'!B:R"),15,FALSE),"")</f>
        <v/>
      </c>
      <c r="EA171" s="96">
        <f>IFERROR(VLOOKUP($B171,INDIRECT("'GRD-"&amp;EA$11&amp;"'!B:R"),15,FALSE),"")</f>
        <v/>
      </c>
      <c r="EB171" s="96">
        <f>IFERROR(VLOOKUP($B171,INDIRECT("'GRD-"&amp;EB$11&amp;"'!B:R"),15,FALSE),"")</f>
        <v/>
      </c>
      <c r="EC171" s="96">
        <f>IFERROR(VLOOKUP($B171,INDIRECT("'GRD-"&amp;EC$11&amp;"'!B:R"),15,FALSE),"")</f>
        <v/>
      </c>
      <c r="ED171" s="96">
        <f>IFERROR(VLOOKUP($B171,INDIRECT("'GRD-"&amp;ED$11&amp;"'!B:R"),15,FALSE),"")</f>
        <v/>
      </c>
      <c r="EE171" s="96">
        <f>IFERROR(VLOOKUP($B171,INDIRECT("'GRD-"&amp;EE$11&amp;"'!B:R"),15,FALSE),"")</f>
        <v/>
      </c>
      <c r="EF171" s="96">
        <f>IFERROR(VLOOKUP($B171,INDIRECT("'GRD-"&amp;EF$11&amp;"'!B:R"),15,FALSE),"")</f>
        <v/>
      </c>
      <c r="EG171" s="96">
        <f>IFERROR(VLOOKUP($B171,INDIRECT("'GRD-"&amp;EG$11&amp;"'!B:R"),15,FALSE),"")</f>
        <v/>
      </c>
      <c r="EH171" s="96">
        <f>IFERROR(VLOOKUP($B171,INDIRECT("'GRD-"&amp;EH$11&amp;"'!B:R"),15,FALSE),"")</f>
        <v/>
      </c>
      <c r="EI171" s="96">
        <f>IFERROR(VLOOKUP($B171,INDIRECT("'GRD-"&amp;EI$11&amp;"'!B:R"),15,FALSE),"")</f>
        <v/>
      </c>
      <c r="EJ171" s="96">
        <f>IFERROR(VLOOKUP($B171,INDIRECT("'GRD-"&amp;EJ$11&amp;"'!B:R"),15,FALSE),"")</f>
        <v/>
      </c>
      <c r="EK171" s="96">
        <f>IFERROR(VLOOKUP($B171,INDIRECT("'GRD-"&amp;EK$11&amp;"'!B:R"),15,FALSE),"")</f>
        <v/>
      </c>
      <c r="EL171" s="96">
        <f>IFERROR(VLOOKUP($B171,INDIRECT("'GRD-"&amp;EL$11&amp;"'!B:R"),15,FALSE),"")</f>
        <v/>
      </c>
      <c r="EM171" s="96">
        <f>IFERROR(VLOOKUP($B171,INDIRECT("'GRD-"&amp;EM$11&amp;"'!B:R"),15,FALSE),"")</f>
        <v/>
      </c>
      <c r="EN171" s="96">
        <f>IFERROR(VLOOKUP($B171,INDIRECT("'GRD-"&amp;EN$11&amp;"'!B:R"),15,FALSE),"")</f>
        <v/>
      </c>
      <c r="EO171" s="96">
        <f>IFERROR(VLOOKUP($B171,INDIRECT("'GRD-"&amp;EO$11&amp;"'!B:R"),15,FALSE),"")</f>
        <v/>
      </c>
      <c r="EP171" s="96">
        <f>IFERROR(VLOOKUP($B171,INDIRECT("'GRD-"&amp;EP$11&amp;"'!B:R"),15,FALSE),"")</f>
        <v/>
      </c>
      <c r="EQ171" s="96">
        <f>IFERROR(VLOOKUP($B171,INDIRECT("'GRD-"&amp;EQ$11&amp;"'!B:R"),15,FALSE),"")</f>
        <v/>
      </c>
      <c r="ER171" s="96">
        <f>IFERROR(VLOOKUP($B171,INDIRECT("'GRD-"&amp;ER$11&amp;"'!B:R"),15,FALSE),"")</f>
        <v/>
      </c>
      <c r="ES171" s="96">
        <f>IFERROR(VLOOKUP($B171,INDIRECT("'GRD-"&amp;ES$11&amp;"'!B:R"),15,FALSE),"")</f>
        <v/>
      </c>
      <c r="ET171" s="96">
        <f>IFERROR(VLOOKUP($B171,INDIRECT("'GRD-"&amp;ET$11&amp;"'!B:R"),15,FALSE),"")</f>
        <v/>
      </c>
      <c r="EU171" s="96">
        <f>IFERROR(VLOOKUP($B171,INDIRECT("'GRD-"&amp;EU$11&amp;"'!B:R"),15,FALSE),"")</f>
        <v/>
      </c>
      <c r="EV171" s="96">
        <f>IFERROR(VLOOKUP($B171,INDIRECT("'GRD-"&amp;EV$11&amp;"'!B:R"),15,FALSE),"")</f>
        <v/>
      </c>
      <c r="EW171" s="96">
        <f>IFERROR(VLOOKUP($B171,INDIRECT("'GRD-"&amp;EW$11&amp;"'!B:R"),15,FALSE),"")</f>
        <v/>
      </c>
      <c r="EX171" s="96">
        <f>IFERROR(VLOOKUP($B171,INDIRECT("'GRD-"&amp;EX$11&amp;"'!B:R"),15,FALSE),"")</f>
        <v/>
      </c>
      <c r="EY171" s="96">
        <f>IFERROR(VLOOKUP($B171,INDIRECT("'GRD-"&amp;EY$11&amp;"'!B:R"),15,FALSE),"")</f>
        <v/>
      </c>
      <c r="EZ171" s="96">
        <f>IFERROR(VLOOKUP($B171,INDIRECT("'GRD-"&amp;EZ$11&amp;"'!B:R"),15,FALSE),"")</f>
        <v/>
      </c>
      <c r="FA171" s="96">
        <f>IFERROR(VLOOKUP($B171,INDIRECT("'GRD-"&amp;FA$11&amp;"'!B:R"),15,FALSE),"")</f>
        <v/>
      </c>
      <c r="FB171" s="96">
        <f>IFERROR(VLOOKUP($B171,INDIRECT("'GRD-"&amp;FB$11&amp;"'!B:R"),15,FALSE),"")</f>
        <v/>
      </c>
      <c r="FC171" s="96">
        <f>IFERROR(VLOOKUP($B171,INDIRECT("'GRD-"&amp;FC$11&amp;"'!B:R"),15,FALSE),"")</f>
        <v/>
      </c>
      <c r="FD171" s="96">
        <f>IFERROR(VLOOKUP($B171,INDIRECT("'GRD-"&amp;FD$11&amp;"'!B:R"),15,FALSE),"")</f>
        <v/>
      </c>
      <c r="FE171" s="96">
        <f>IFERROR(VLOOKUP($B171,INDIRECT("'GRD-"&amp;FE$11&amp;"'!B:R"),15,FALSE),"")</f>
        <v/>
      </c>
      <c r="FF171" s="96">
        <f>IFERROR(VLOOKUP($B171,INDIRECT("'GRD-"&amp;FF$11&amp;"'!B:R"),15,FALSE),"")</f>
        <v/>
      </c>
      <c r="FG171" s="96">
        <f>IFERROR(VLOOKUP($B171,INDIRECT("'GRD-"&amp;FG$11&amp;"'!B:R"),15,FALSE),"")</f>
        <v/>
      </c>
      <c r="FH171" s="96">
        <f>IFERROR(VLOOKUP($B171,INDIRECT("'GRD-"&amp;FH$11&amp;"'!B:R"),15,FALSE),"")</f>
        <v/>
      </c>
      <c r="FI171" s="96">
        <f>IFERROR(VLOOKUP($B171,INDIRECT("'GRD-"&amp;FI$11&amp;"'!B:R"),15,FALSE),"")</f>
        <v/>
      </c>
      <c r="FJ171" s="96">
        <f>IFERROR(VLOOKUP($B171,INDIRECT("'GRD-"&amp;FJ$11&amp;"'!B:R"),15,FALSE),"")</f>
        <v/>
      </c>
      <c r="FK171" s="96">
        <f>IFERROR(VLOOKUP($B171,INDIRECT("'GRD-"&amp;FK$11&amp;"'!B:R"),15,FALSE),"")</f>
        <v/>
      </c>
      <c r="FL171" s="96">
        <f>IFERROR(VLOOKUP($B171,INDIRECT("'GRD-"&amp;FL$11&amp;"'!B:R"),15,FALSE),"")</f>
        <v/>
      </c>
      <c r="FM171" s="96">
        <f>IFERROR(VLOOKUP($B171,INDIRECT("'GRD-"&amp;FM$11&amp;"'!B:R"),15,FALSE),"")</f>
        <v/>
      </c>
      <c r="FN171" s="96">
        <f>IFERROR(VLOOKUP($B171,INDIRECT("'GRD-"&amp;FN$11&amp;"'!B:R"),15,FALSE),"")</f>
        <v/>
      </c>
      <c r="FO171" s="96">
        <f>IFERROR(VLOOKUP($B171,INDIRECT("'GRD-"&amp;FO$11&amp;"'!B:R"),15,FALSE),"")</f>
        <v/>
      </c>
      <c r="FP171" s="96">
        <f>IFERROR(VLOOKUP($B171,INDIRECT("'GRD-"&amp;FP$11&amp;"'!B:R"),15,FALSE),"")</f>
        <v/>
      </c>
      <c r="FQ171" s="96">
        <f>IFERROR(VLOOKUP($B171,INDIRECT("'GRD-"&amp;FQ$11&amp;"'!B:R"),15,FALSE),"")</f>
        <v/>
      </c>
      <c r="FR171" s="96">
        <f>IFERROR(VLOOKUP($B171,INDIRECT("'GRD-"&amp;FR$11&amp;"'!B:R"),15,FALSE),"")</f>
        <v/>
      </c>
      <c r="FS171" s="96">
        <f>IFERROR(VLOOKUP($B171,INDIRECT("'GRD-"&amp;FS$11&amp;"'!B:R"),15,FALSE),"")</f>
        <v/>
      </c>
      <c r="FT171" s="96">
        <f>IFERROR(VLOOKUP($B171,INDIRECT("'GRD-"&amp;FT$11&amp;"'!B:R"),15,FALSE),"")</f>
        <v/>
      </c>
      <c r="FU171" s="96">
        <f>IFERROR(VLOOKUP($B171,INDIRECT("'GRD-"&amp;FU$11&amp;"'!B:R"),15,FALSE),"")</f>
        <v/>
      </c>
      <c r="FV171" s="96">
        <f>IFERROR(VLOOKUP($B171,INDIRECT("'GRD-"&amp;FV$11&amp;"'!B:R"),15,FALSE),"")</f>
        <v/>
      </c>
    </row>
    <row r="172">
      <c r="B172" s="85" t="n"/>
      <c r="C172" s="93" t="n"/>
      <c r="D172" s="73">
        <f>IF(K172="","",MAX($CA172:$FV172))</f>
        <v/>
      </c>
      <c r="E172" s="74">
        <f t="array" ref="E172">IF($K172="","",OFFSET($A$1,ROW($B172)-1,11+$D172*4,))</f>
        <v/>
      </c>
      <c r="F172" s="74">
        <f t="array" ref="F172">IF($K172="","",OFFSET($A$1,ROW($B172)-1,12+$D172*4,))</f>
        <v/>
      </c>
      <c r="G172" s="118">
        <f t="array" ref="G172">IF($K172="","",OFFSET($A$1,ROW($B172)-1,13+$D172*4,))</f>
        <v/>
      </c>
      <c r="H172" s="81" t="n"/>
      <c r="I172" s="82" t="n"/>
      <c r="J172" s="75">
        <f>IF(I172="A4",H172/8,IF(I172="A3",H172/4,IF(I172="A2",H172/2,IF(I172="A1",H172/1,IF(I172="A0",H172*2,"")))))</f>
        <v/>
      </c>
      <c r="K172" s="68">
        <f t="array" ref="K172">IFERROR(OFFSET($BZ$11,ROW($B172)-11,MATCH(K$10,$CA172:$FV172,0),),"")</f>
        <v/>
      </c>
      <c r="L172" s="85">
        <f>IF(K172="","",IF(VLOOKUP($B172,INDIRECT("'GRD-"&amp;M172&amp;"'!$B:$R"),16,FALSE)="","",VLOOKUP($B172,INDIRECT("'GRD-"&amp;M172&amp;"'!$B:$R"),16,FALSE)))</f>
        <v/>
      </c>
      <c r="M172" s="130">
        <f t="array" ref="M172">IF(K172="","",IFERROR(OFFSET($BZ$11,0,MATCH($K172,$CA172:$FV172,0),),""))</f>
        <v/>
      </c>
      <c r="N172" s="119">
        <f t="array" ref="N172">IF(K172="","",INDIRECT("'GRD-"&amp;M172&amp;"'!$L$7"))</f>
        <v/>
      </c>
      <c r="O172" s="76">
        <f t="array" ref="O172">IFERROR(OFFSET($BZ$11,ROW($B172)-11,MATCH(O$10,$CA172:$FV172,0),),"")</f>
        <v/>
      </c>
      <c r="P172" s="76">
        <f>IF(O172="","",IF(VLOOKUP($B172,INDIRECT("'GRD-"&amp;Q172&amp;"'!$B:$R"),16,FALSE)="","",VLOOKUP($B172,INDIRECT("'GRD-"&amp;Q172&amp;"'!$B:$R"),16,FALSE)))</f>
        <v/>
      </c>
      <c r="Q172" s="132">
        <f t="array" ref="Q172">IF(O172="","",IFERROR(OFFSET($BZ$11,0,MATCH($O172,$CA172:$FV172,0),),""))</f>
        <v/>
      </c>
      <c r="R172" s="121">
        <f t="array" ref="R172">IF(O172="","",INDIRECT("'GRD-"&amp;Q172&amp;"'!$L$7"))</f>
        <v/>
      </c>
      <c r="S172" s="83">
        <f t="array" ref="S172">IFERROR(OFFSET($BZ$11,ROW($B172)-11,MATCH(S$10,$CA172:$FV172,0),),"")</f>
        <v/>
      </c>
      <c r="T172" s="83">
        <f>IF(S172="","",IF(VLOOKUP($B172,INDIRECT("'GRD-"&amp;U172&amp;"'!$B:$R"),16,FALSE)="","",VLOOKUP($B172,INDIRECT("'GRD-"&amp;U172&amp;"'!$B:$R"),16,FALSE)))</f>
        <v/>
      </c>
      <c r="U172" s="128">
        <f t="array" ref="U172">IF(S172="","",IFERROR(OFFSET($BZ$11,0,MATCH($S172,$CA172:$FV172,0),),""))</f>
        <v/>
      </c>
      <c r="V172" s="133">
        <f t="array" ref="V172">IF(S172="","",INDIRECT("'GRD-"&amp;U172&amp;"'!$L$7"))</f>
        <v/>
      </c>
      <c r="W172" s="84">
        <f t="array" ref="W172">IFERROR(OFFSET($BZ$11,ROW($B172)-11,MATCH(W$10,$CA172:$FV172,0),),"")</f>
        <v/>
      </c>
      <c r="X172" s="84">
        <f>IF(W172="","",IF(VLOOKUP($B172,INDIRECT("'GRD-"&amp;Y172&amp;"'!$B:$R"),16,FALSE)="","",VLOOKUP($B172,INDIRECT("'GRD-"&amp;Y172&amp;"'!$B:$R"),16,FALSE)))</f>
        <v/>
      </c>
      <c r="Y172" s="129">
        <f t="array" ref="Y172">IF(W172="","",IFERROR(OFFSET($BZ$11,0,MATCH($W172,$CA172:$FV172,0),),""))</f>
        <v/>
      </c>
      <c r="Z172" s="134">
        <f t="array" ref="Z172">IF(W172="","",INDIRECT("'GRD-"&amp;Y172&amp;"'!$L$7"))</f>
        <v/>
      </c>
      <c r="AA172" s="85">
        <f t="array" ref="AA172">IFERROR(OFFSET($BZ$11,ROW($B172)-11,MATCH(AA$10,$CA172:$FV172,0),),"")</f>
        <v/>
      </c>
      <c r="AB172" s="85">
        <f>IF(AA172="","",IF(VLOOKUP($B172,INDIRECT("'GRD-"&amp;AC172&amp;"'!$B:$R"),16,FALSE)="","",VLOOKUP($B172,INDIRECT("'GRD-"&amp;AC172&amp;"'!$B:$R"),16,FALSE)))</f>
        <v/>
      </c>
      <c r="AC172" s="130">
        <f t="array" ref="AC172">IF(AA172="","",IFERROR(OFFSET($BZ$11,0,MATCH($AA172,$CA172:$FV172,0),),""))</f>
        <v/>
      </c>
      <c r="AD172" s="131">
        <f t="array" ref="AD172">IF(AA172="","",INDIRECT("'GRD-"&amp;AC172&amp;"'!$L$7"))</f>
        <v/>
      </c>
      <c r="AE172" s="76">
        <f t="array" ref="AE172">IFERROR(OFFSET($BZ$11,ROW($B172)-11,MATCH(AE$10,$CA172:$FV172,0),),"")</f>
        <v/>
      </c>
      <c r="AF172" s="76">
        <f>IF(AE172="","",IF(VLOOKUP($B172,INDIRECT("'GRD-"&amp;AG172&amp;"'!$B:$R"),16,FALSE)="","",VLOOKUP($B172,INDIRECT("'GRD-"&amp;AG172&amp;"'!$B:$R"),16,FALSE)))</f>
        <v/>
      </c>
      <c r="AG172" s="132">
        <f t="array" ref="AG172">IF(AE172="","",IFERROR(OFFSET($BZ$11,0,MATCH($AE172,$CA172:$FV172,0),),""))</f>
        <v/>
      </c>
      <c r="AH172" s="121">
        <f t="array" ref="AH172">IF(AE172="","",INDIRECT("'GRD-"&amp;AG172&amp;"'!$L$7"))</f>
        <v/>
      </c>
      <c r="AI172" s="83">
        <f t="array" ref="AI172">IFERROR(OFFSET($BZ$11,ROW($B172)-11,MATCH(AI$10,$CA172:$FV172,0),),"")</f>
        <v/>
      </c>
      <c r="AJ172" s="83">
        <f>IF(AI172="","",IF(VLOOKUP($B172,INDIRECT("'GRD-"&amp;AK172&amp;"'!$B:$R"),16,FALSE)="","",VLOOKUP($B172,INDIRECT("'GRD-"&amp;AK172&amp;"'!$B:$R"),16,FALSE)))</f>
        <v/>
      </c>
      <c r="AK172" s="128">
        <f t="array" ref="AK172">IF(AI172="","",IFERROR(OFFSET($BZ$11,0,MATCH($AI172,$CA172:$FV172,0),),""))</f>
        <v/>
      </c>
      <c r="AL172" s="133">
        <f t="array" ref="AL172">IF(AI172="","",INDIRECT("'GRD-"&amp;AK172&amp;"'!$L$7"))</f>
        <v/>
      </c>
      <c r="AM172" s="84">
        <f t="array" ref="AM172">IFERROR(OFFSET($BZ$11,ROW($B172)-11,MATCH(AM$10,$CA172:$FV172,0),),"")</f>
        <v/>
      </c>
      <c r="AN172" s="84">
        <f>IF(AM172="","",IF(VLOOKUP($B172,INDIRECT("'GRD-"&amp;AO172&amp;"'!$B:$R"),16,FALSE)="","",VLOOKUP($B172,INDIRECT("'GRD-"&amp;AO172&amp;"'!$B:$R"),16,FALSE)))</f>
        <v/>
      </c>
      <c r="AO172" s="129">
        <f t="array" ref="AO172">IF(AM172="","",IFERROR(OFFSET($BZ$11,0,MATCH($AM172,$CA172:$FV172,0),),""))</f>
        <v/>
      </c>
      <c r="AP172" s="134">
        <f t="array" ref="AP172">IF(AM172="","",INDIRECT("'GRD-"&amp;AO172&amp;"'!$L$7"))</f>
        <v/>
      </c>
      <c r="AQ172" s="85">
        <f t="array" ref="AQ172">IFERROR(OFFSET($BZ$11,ROW($B172)-11,MATCH(AQ$10,$CA172:$FV172,0),),"")</f>
        <v/>
      </c>
      <c r="AR172" s="85">
        <f>IF(AQ172="","",IF(VLOOKUP($B172,INDIRECT("'GRD-"&amp;AS172&amp;"'!$B:$R"),16,FALSE)="","",VLOOKUP($B172,INDIRECT("'GRD-"&amp;AS172&amp;"'!$B:$R"),16,FALSE)))</f>
        <v/>
      </c>
      <c r="AS172" s="130">
        <f t="array" ref="AS172">IF(AQ172="","",IFERROR(OFFSET($BZ$11,0,MATCH($AQ172,$CA172:$FV172,0),),""))</f>
        <v/>
      </c>
      <c r="AT172" s="131">
        <f t="array" ref="AT172">IF(AQ172="","",INDIRECT("'GRD-"&amp;AS172&amp;"'!$L$7"))</f>
        <v/>
      </c>
      <c r="AU172" s="76">
        <f t="array" ref="AU172">IFERROR(OFFSET($BZ$11,ROW($B172)-11,MATCH(AU$10,$CA172:$FV172,0),),"")</f>
        <v/>
      </c>
      <c r="AV172" s="76">
        <f>IF(AU172="","",IF(VLOOKUP($B172,INDIRECT("'GRD-"&amp;AW172&amp;"'!$B:$R"),16,FALSE)="","",VLOOKUP($B172,INDIRECT("'GRD-"&amp;AW172&amp;"'!$B:$R"),16,FALSE)))</f>
        <v/>
      </c>
      <c r="AW172" s="132">
        <f t="array" ref="AW172">IF(AU172="","",IFERROR(OFFSET($BZ$11,0,MATCH($AU172,$CA172:$FV172,0),),""))</f>
        <v/>
      </c>
      <c r="AX172" s="121">
        <f t="array" ref="AX172">IF(AU172="","",INDIRECT("'GRD-"&amp;AW172&amp;"'!$L$7"))</f>
        <v/>
      </c>
      <c r="AY172" s="83">
        <f t="array" ref="AY172">IFERROR(OFFSET($BZ$11,ROW($B172)-11,MATCH(AY$10,$CA172:$FV172,0),),"")</f>
        <v/>
      </c>
      <c r="AZ172" s="83">
        <f>IF(AY172="","",IF(VLOOKUP($B172,INDIRECT("'GRD-"&amp;BA172&amp;"'!$B:$R"),16,FALSE)="","",VLOOKUP($B172,INDIRECT("'GRD-"&amp;BA172&amp;"'!$B:$R"),16,FALSE)))</f>
        <v/>
      </c>
      <c r="BA172" s="128">
        <f t="array" ref="BA172">IF(AY172="","",IFERROR(OFFSET($BZ$11,0,MATCH($AY172,$CA172:$FV172,0),),""))</f>
        <v/>
      </c>
      <c r="BB172" s="133">
        <f t="array" ref="BB172">IF(AY172="","",INDIRECT("'GRD-"&amp;BA172&amp;"'!$L$7"))</f>
        <v/>
      </c>
      <c r="BC172" s="84">
        <f t="array" ref="BC172">IFERROR(OFFSET($BZ$11,ROW($B172)-11,MATCH(BC$10,$CA172:$FV172,0),),"")</f>
        <v/>
      </c>
      <c r="BD172" s="84">
        <f>IF(BC172="","",IF(VLOOKUP($B172,INDIRECT("'GRD-"&amp;BE172&amp;"'!$B:$R"),16,FALSE)="","",VLOOKUP($B172,INDIRECT("'GRD-"&amp;BE172&amp;"'!$B:$R"),16,FALSE)))</f>
        <v/>
      </c>
      <c r="BE172" s="129">
        <f t="array" ref="BE172">IF(BC172="","",IFERROR(OFFSET($BZ$11,0,MATCH($BC172,$CA172:$FV172,0),),""))</f>
        <v/>
      </c>
      <c r="BF172" s="134">
        <f t="array" ref="BF172">IF(BC172="","",INDIRECT("'GRD-"&amp;BE172&amp;"'!$L$7"))</f>
        <v/>
      </c>
      <c r="CA172" s="96">
        <f>IFERROR(VLOOKUP($B172,INDIRECT("'GRD-"&amp;CA$11&amp;"'!B:R"),15,FALSE),"")</f>
        <v/>
      </c>
      <c r="CB172" s="96">
        <f>IFERROR(VLOOKUP($B172,INDIRECT("'GRD-"&amp;CB$11&amp;"'!B:R"),15,FALSE),"")</f>
        <v/>
      </c>
      <c r="CC172" s="96">
        <f>IFERROR(VLOOKUP($B172,INDIRECT("'GRD-"&amp;CC$11&amp;"'!B:R"),15,FALSE),"")</f>
        <v/>
      </c>
      <c r="CD172" s="96">
        <f>IFERROR(VLOOKUP($B172,INDIRECT("'GRD-"&amp;CD$11&amp;"'!B:R"),15,FALSE),"")</f>
        <v/>
      </c>
      <c r="CE172" s="96">
        <f>IFERROR(VLOOKUP($B172,INDIRECT("'GRD-"&amp;CE$11&amp;"'!B:R"),15,FALSE),"")</f>
        <v/>
      </c>
      <c r="CF172" s="96">
        <f>IFERROR(VLOOKUP($B172,INDIRECT("'GRD-"&amp;CF$11&amp;"'!B:R"),15,FALSE),"")</f>
        <v/>
      </c>
      <c r="CG172" s="96">
        <f>IFERROR(VLOOKUP($B172,INDIRECT("'GRD-"&amp;CG$11&amp;"'!B:R"),15,FALSE),"")</f>
        <v/>
      </c>
      <c r="CH172" s="96">
        <f>IFERROR(VLOOKUP($B172,INDIRECT("'GRD-"&amp;CH$11&amp;"'!B:R"),15,FALSE),"")</f>
        <v/>
      </c>
      <c r="CI172" s="96">
        <f>IFERROR(VLOOKUP($B172,INDIRECT("'GRD-"&amp;CI$11&amp;"'!B:R"),15,FALSE),"")</f>
        <v/>
      </c>
      <c r="CJ172" s="96">
        <f>IFERROR(VLOOKUP($B172,INDIRECT("'GRD-"&amp;CJ$11&amp;"'!B:R"),15,FALSE),"")</f>
        <v/>
      </c>
      <c r="CK172" s="96">
        <f>IFERROR(VLOOKUP($B172,INDIRECT("'GRD-"&amp;CK$11&amp;"'!B:R"),15,FALSE),"")</f>
        <v/>
      </c>
      <c r="CL172" s="96">
        <f>IFERROR(VLOOKUP($B172,INDIRECT("'GRD-"&amp;CL$11&amp;"'!B:R"),15,FALSE),"")</f>
        <v/>
      </c>
      <c r="CM172" s="96">
        <f>IFERROR(VLOOKUP($B172,INDIRECT("'GRD-"&amp;CM$11&amp;"'!B:R"),15,FALSE),"")</f>
        <v/>
      </c>
      <c r="CN172" s="96">
        <f>IFERROR(VLOOKUP($B172,INDIRECT("'GRD-"&amp;CN$11&amp;"'!B:R"),15,FALSE),"")</f>
        <v/>
      </c>
      <c r="CO172" s="96">
        <f>IFERROR(VLOOKUP($B172,INDIRECT("'GRD-"&amp;CO$11&amp;"'!B:R"),15,FALSE),"")</f>
        <v/>
      </c>
      <c r="CP172" s="96">
        <f>IFERROR(VLOOKUP($B172,INDIRECT("'GRD-"&amp;CP$11&amp;"'!B:R"),15,FALSE),"")</f>
        <v/>
      </c>
      <c r="CQ172" s="96">
        <f>IFERROR(VLOOKUP($B172,INDIRECT("'GRD-"&amp;CQ$11&amp;"'!B:R"),15,FALSE),"")</f>
        <v/>
      </c>
      <c r="CR172" s="96">
        <f>IFERROR(VLOOKUP($B172,INDIRECT("'GRD-"&amp;CR$11&amp;"'!B:R"),15,FALSE),"")</f>
        <v/>
      </c>
      <c r="CS172" s="96">
        <f>IFERROR(VLOOKUP($B172,INDIRECT("'GRD-"&amp;CS$11&amp;"'!B:R"),15,FALSE),"")</f>
        <v/>
      </c>
      <c r="CT172" s="96">
        <f>IFERROR(VLOOKUP($B172,INDIRECT("'GRD-"&amp;CT$11&amp;"'!B:R"),15,FALSE),"")</f>
        <v/>
      </c>
      <c r="CU172" s="96">
        <f>IFERROR(VLOOKUP($B172,INDIRECT("'GRD-"&amp;CU$11&amp;"'!B:R"),15,FALSE),"")</f>
        <v/>
      </c>
      <c r="CV172" s="96">
        <f>IFERROR(VLOOKUP($B172,INDIRECT("'GRD-"&amp;CV$11&amp;"'!B:R"),15,FALSE),"")</f>
        <v/>
      </c>
      <c r="CW172" s="96">
        <f>IFERROR(VLOOKUP($B172,INDIRECT("'GRD-"&amp;CW$11&amp;"'!B:R"),15,FALSE),"")</f>
        <v/>
      </c>
      <c r="CX172" s="96">
        <f>IFERROR(VLOOKUP($B172,INDIRECT("'GRD-"&amp;CX$11&amp;"'!B:R"),15,FALSE),"")</f>
        <v/>
      </c>
      <c r="CY172" s="96">
        <f>IFERROR(VLOOKUP($B172,INDIRECT("'GRD-"&amp;CY$11&amp;"'!B:R"),15,FALSE),"")</f>
        <v/>
      </c>
      <c r="CZ172" s="96">
        <f>IFERROR(VLOOKUP($B172,INDIRECT("'GRD-"&amp;CZ$11&amp;"'!B:R"),15,FALSE),"")</f>
        <v/>
      </c>
      <c r="DA172" s="96">
        <f>IFERROR(VLOOKUP($B172,INDIRECT("'GRD-"&amp;DA$11&amp;"'!B:R"),15,FALSE),"")</f>
        <v/>
      </c>
      <c r="DB172" s="96">
        <f>IFERROR(VLOOKUP($B172,INDIRECT("'GRD-"&amp;DB$11&amp;"'!B:R"),15,FALSE),"")</f>
        <v/>
      </c>
      <c r="DC172" s="96">
        <f>IFERROR(VLOOKUP($B172,INDIRECT("'GRD-"&amp;DC$11&amp;"'!B:R"),15,FALSE),"")</f>
        <v/>
      </c>
      <c r="DD172" s="96">
        <f>IFERROR(VLOOKUP($B172,INDIRECT("'GRD-"&amp;DD$11&amp;"'!B:R"),15,FALSE),"")</f>
        <v/>
      </c>
      <c r="DE172" s="96">
        <f>IFERROR(VLOOKUP($B172,INDIRECT("'GRD-"&amp;DE$11&amp;"'!B:R"),15,FALSE),"")</f>
        <v/>
      </c>
      <c r="DF172" s="96">
        <f>IFERROR(VLOOKUP($B172,INDIRECT("'GRD-"&amp;DF$11&amp;"'!B:R"),15,FALSE),"")</f>
        <v/>
      </c>
      <c r="DG172" s="96">
        <f>IFERROR(VLOOKUP($B172,INDIRECT("'GRD-"&amp;DG$11&amp;"'!B:R"),15,FALSE),"")</f>
        <v/>
      </c>
      <c r="DH172" s="96">
        <f>IFERROR(VLOOKUP($B172,INDIRECT("'GRD-"&amp;DH$11&amp;"'!B:R"),15,FALSE),"")</f>
        <v/>
      </c>
      <c r="DI172" s="96">
        <f>IFERROR(VLOOKUP($B172,INDIRECT("'GRD-"&amp;DI$11&amp;"'!B:R"),15,FALSE),"")</f>
        <v/>
      </c>
      <c r="DJ172" s="96">
        <f>IFERROR(VLOOKUP($B172,INDIRECT("'GRD-"&amp;DJ$11&amp;"'!B:R"),15,FALSE),"")</f>
        <v/>
      </c>
      <c r="DK172" s="96">
        <f>IFERROR(VLOOKUP($B172,INDIRECT("'GRD-"&amp;DK$11&amp;"'!B:R"),15,FALSE),"")</f>
        <v/>
      </c>
      <c r="DL172" s="96">
        <f>IFERROR(VLOOKUP($B172,INDIRECT("'GRD-"&amp;DL$11&amp;"'!B:R"),15,FALSE),"")</f>
        <v/>
      </c>
      <c r="DM172" s="96">
        <f>IFERROR(VLOOKUP($B172,INDIRECT("'GRD-"&amp;DM$11&amp;"'!B:R"),15,FALSE),"")</f>
        <v/>
      </c>
      <c r="DN172" s="96">
        <f>IFERROR(VLOOKUP($B172,INDIRECT("'GRD-"&amp;DN$11&amp;"'!B:R"),15,FALSE),"")</f>
        <v/>
      </c>
      <c r="DO172" s="96">
        <f>IFERROR(VLOOKUP($B172,INDIRECT("'GRD-"&amp;DO$11&amp;"'!B:R"),15,FALSE),"")</f>
        <v/>
      </c>
      <c r="DP172" s="96">
        <f>IFERROR(VLOOKUP($B172,INDIRECT("'GRD-"&amp;DP$11&amp;"'!B:R"),15,FALSE),"")</f>
        <v/>
      </c>
      <c r="DQ172" s="96">
        <f>IFERROR(VLOOKUP($B172,INDIRECT("'GRD-"&amp;DQ$11&amp;"'!B:R"),15,FALSE),"")</f>
        <v/>
      </c>
      <c r="DR172" s="96">
        <f>IFERROR(VLOOKUP($B172,INDIRECT("'GRD-"&amp;DR$11&amp;"'!B:R"),15,FALSE),"")</f>
        <v/>
      </c>
      <c r="DS172" s="96">
        <f>IFERROR(VLOOKUP($B172,INDIRECT("'GRD-"&amp;DS$11&amp;"'!B:R"),15,FALSE),"")</f>
        <v/>
      </c>
      <c r="DT172" s="96">
        <f>IFERROR(VLOOKUP($B172,INDIRECT("'GRD-"&amp;DT$11&amp;"'!B:R"),15,FALSE),"")</f>
        <v/>
      </c>
      <c r="DU172" s="96">
        <f>IFERROR(VLOOKUP($B172,INDIRECT("'GRD-"&amp;DU$11&amp;"'!B:R"),15,FALSE),"")</f>
        <v/>
      </c>
      <c r="DV172" s="96">
        <f>IFERROR(VLOOKUP($B172,INDIRECT("'GRD-"&amp;DV$11&amp;"'!B:R"),15,FALSE),"")</f>
        <v/>
      </c>
      <c r="DW172" s="96">
        <f>IFERROR(VLOOKUP($B172,INDIRECT("'GRD-"&amp;DW$11&amp;"'!B:R"),15,FALSE),"")</f>
        <v/>
      </c>
      <c r="DX172" s="96">
        <f>IFERROR(VLOOKUP($B172,INDIRECT("'GRD-"&amp;DX$11&amp;"'!B:R"),15,FALSE),"")</f>
        <v/>
      </c>
      <c r="DY172" s="96">
        <f>IFERROR(VLOOKUP($B172,INDIRECT("'GRD-"&amp;DY$11&amp;"'!B:R"),15,FALSE),"")</f>
        <v/>
      </c>
      <c r="DZ172" s="96">
        <f>IFERROR(VLOOKUP($B172,INDIRECT("'GRD-"&amp;DZ$11&amp;"'!B:R"),15,FALSE),"")</f>
        <v/>
      </c>
      <c r="EA172" s="96">
        <f>IFERROR(VLOOKUP($B172,INDIRECT("'GRD-"&amp;EA$11&amp;"'!B:R"),15,FALSE),"")</f>
        <v/>
      </c>
      <c r="EB172" s="96">
        <f>IFERROR(VLOOKUP($B172,INDIRECT("'GRD-"&amp;EB$11&amp;"'!B:R"),15,FALSE),"")</f>
        <v/>
      </c>
      <c r="EC172" s="96">
        <f>IFERROR(VLOOKUP($B172,INDIRECT("'GRD-"&amp;EC$11&amp;"'!B:R"),15,FALSE),"")</f>
        <v/>
      </c>
      <c r="ED172" s="96">
        <f>IFERROR(VLOOKUP($B172,INDIRECT("'GRD-"&amp;ED$11&amp;"'!B:R"),15,FALSE),"")</f>
        <v/>
      </c>
      <c r="EE172" s="96">
        <f>IFERROR(VLOOKUP($B172,INDIRECT("'GRD-"&amp;EE$11&amp;"'!B:R"),15,FALSE),"")</f>
        <v/>
      </c>
      <c r="EF172" s="96">
        <f>IFERROR(VLOOKUP($B172,INDIRECT("'GRD-"&amp;EF$11&amp;"'!B:R"),15,FALSE),"")</f>
        <v/>
      </c>
      <c r="EG172" s="96">
        <f>IFERROR(VLOOKUP($B172,INDIRECT("'GRD-"&amp;EG$11&amp;"'!B:R"),15,FALSE),"")</f>
        <v/>
      </c>
      <c r="EH172" s="96">
        <f>IFERROR(VLOOKUP($B172,INDIRECT("'GRD-"&amp;EH$11&amp;"'!B:R"),15,FALSE),"")</f>
        <v/>
      </c>
      <c r="EI172" s="96">
        <f>IFERROR(VLOOKUP($B172,INDIRECT("'GRD-"&amp;EI$11&amp;"'!B:R"),15,FALSE),"")</f>
        <v/>
      </c>
      <c r="EJ172" s="96">
        <f>IFERROR(VLOOKUP($B172,INDIRECT("'GRD-"&amp;EJ$11&amp;"'!B:R"),15,FALSE),"")</f>
        <v/>
      </c>
      <c r="EK172" s="96">
        <f>IFERROR(VLOOKUP($B172,INDIRECT("'GRD-"&amp;EK$11&amp;"'!B:R"),15,FALSE),"")</f>
        <v/>
      </c>
      <c r="EL172" s="96">
        <f>IFERROR(VLOOKUP($B172,INDIRECT("'GRD-"&amp;EL$11&amp;"'!B:R"),15,FALSE),"")</f>
        <v/>
      </c>
      <c r="EM172" s="96">
        <f>IFERROR(VLOOKUP($B172,INDIRECT("'GRD-"&amp;EM$11&amp;"'!B:R"),15,FALSE),"")</f>
        <v/>
      </c>
      <c r="EN172" s="96">
        <f>IFERROR(VLOOKUP($B172,INDIRECT("'GRD-"&amp;EN$11&amp;"'!B:R"),15,FALSE),"")</f>
        <v/>
      </c>
      <c r="EO172" s="96">
        <f>IFERROR(VLOOKUP($B172,INDIRECT("'GRD-"&amp;EO$11&amp;"'!B:R"),15,FALSE),"")</f>
        <v/>
      </c>
      <c r="EP172" s="96">
        <f>IFERROR(VLOOKUP($B172,INDIRECT("'GRD-"&amp;EP$11&amp;"'!B:R"),15,FALSE),"")</f>
        <v/>
      </c>
      <c r="EQ172" s="96">
        <f>IFERROR(VLOOKUP($B172,INDIRECT("'GRD-"&amp;EQ$11&amp;"'!B:R"),15,FALSE),"")</f>
        <v/>
      </c>
      <c r="ER172" s="96">
        <f>IFERROR(VLOOKUP($B172,INDIRECT("'GRD-"&amp;ER$11&amp;"'!B:R"),15,FALSE),"")</f>
        <v/>
      </c>
      <c r="ES172" s="96">
        <f>IFERROR(VLOOKUP($B172,INDIRECT("'GRD-"&amp;ES$11&amp;"'!B:R"),15,FALSE),"")</f>
        <v/>
      </c>
      <c r="ET172" s="96">
        <f>IFERROR(VLOOKUP($B172,INDIRECT("'GRD-"&amp;ET$11&amp;"'!B:R"),15,FALSE),"")</f>
        <v/>
      </c>
      <c r="EU172" s="96">
        <f>IFERROR(VLOOKUP($B172,INDIRECT("'GRD-"&amp;EU$11&amp;"'!B:R"),15,FALSE),"")</f>
        <v/>
      </c>
      <c r="EV172" s="96">
        <f>IFERROR(VLOOKUP($B172,INDIRECT("'GRD-"&amp;EV$11&amp;"'!B:R"),15,FALSE),"")</f>
        <v/>
      </c>
      <c r="EW172" s="96">
        <f>IFERROR(VLOOKUP($B172,INDIRECT("'GRD-"&amp;EW$11&amp;"'!B:R"),15,FALSE),"")</f>
        <v/>
      </c>
      <c r="EX172" s="96">
        <f>IFERROR(VLOOKUP($B172,INDIRECT("'GRD-"&amp;EX$11&amp;"'!B:R"),15,FALSE),"")</f>
        <v/>
      </c>
      <c r="EY172" s="96">
        <f>IFERROR(VLOOKUP($B172,INDIRECT("'GRD-"&amp;EY$11&amp;"'!B:R"),15,FALSE),"")</f>
        <v/>
      </c>
      <c r="EZ172" s="96">
        <f>IFERROR(VLOOKUP($B172,INDIRECT("'GRD-"&amp;EZ$11&amp;"'!B:R"),15,FALSE),"")</f>
        <v/>
      </c>
      <c r="FA172" s="96">
        <f>IFERROR(VLOOKUP($B172,INDIRECT("'GRD-"&amp;FA$11&amp;"'!B:R"),15,FALSE),"")</f>
        <v/>
      </c>
      <c r="FB172" s="96">
        <f>IFERROR(VLOOKUP($B172,INDIRECT("'GRD-"&amp;FB$11&amp;"'!B:R"),15,FALSE),"")</f>
        <v/>
      </c>
      <c r="FC172" s="96">
        <f>IFERROR(VLOOKUP($B172,INDIRECT("'GRD-"&amp;FC$11&amp;"'!B:R"),15,FALSE),"")</f>
        <v/>
      </c>
      <c r="FD172" s="96">
        <f>IFERROR(VLOOKUP($B172,INDIRECT("'GRD-"&amp;FD$11&amp;"'!B:R"),15,FALSE),"")</f>
        <v/>
      </c>
      <c r="FE172" s="96">
        <f>IFERROR(VLOOKUP($B172,INDIRECT("'GRD-"&amp;FE$11&amp;"'!B:R"),15,FALSE),"")</f>
        <v/>
      </c>
      <c r="FF172" s="96">
        <f>IFERROR(VLOOKUP($B172,INDIRECT("'GRD-"&amp;FF$11&amp;"'!B:R"),15,FALSE),"")</f>
        <v/>
      </c>
      <c r="FG172" s="96">
        <f>IFERROR(VLOOKUP($B172,INDIRECT("'GRD-"&amp;FG$11&amp;"'!B:R"),15,FALSE),"")</f>
        <v/>
      </c>
      <c r="FH172" s="96">
        <f>IFERROR(VLOOKUP($B172,INDIRECT("'GRD-"&amp;FH$11&amp;"'!B:R"),15,FALSE),"")</f>
        <v/>
      </c>
      <c r="FI172" s="96">
        <f>IFERROR(VLOOKUP($B172,INDIRECT("'GRD-"&amp;FI$11&amp;"'!B:R"),15,FALSE),"")</f>
        <v/>
      </c>
      <c r="FJ172" s="96">
        <f>IFERROR(VLOOKUP($B172,INDIRECT("'GRD-"&amp;FJ$11&amp;"'!B:R"),15,FALSE),"")</f>
        <v/>
      </c>
      <c r="FK172" s="96">
        <f>IFERROR(VLOOKUP($B172,INDIRECT("'GRD-"&amp;FK$11&amp;"'!B:R"),15,FALSE),"")</f>
        <v/>
      </c>
      <c r="FL172" s="96">
        <f>IFERROR(VLOOKUP($B172,INDIRECT("'GRD-"&amp;FL$11&amp;"'!B:R"),15,FALSE),"")</f>
        <v/>
      </c>
      <c r="FM172" s="96">
        <f>IFERROR(VLOOKUP($B172,INDIRECT("'GRD-"&amp;FM$11&amp;"'!B:R"),15,FALSE),"")</f>
        <v/>
      </c>
      <c r="FN172" s="96">
        <f>IFERROR(VLOOKUP($B172,INDIRECT("'GRD-"&amp;FN$11&amp;"'!B:R"),15,FALSE),"")</f>
        <v/>
      </c>
      <c r="FO172" s="96">
        <f>IFERROR(VLOOKUP($B172,INDIRECT("'GRD-"&amp;FO$11&amp;"'!B:R"),15,FALSE),"")</f>
        <v/>
      </c>
      <c r="FP172" s="96">
        <f>IFERROR(VLOOKUP($B172,INDIRECT("'GRD-"&amp;FP$11&amp;"'!B:R"),15,FALSE),"")</f>
        <v/>
      </c>
      <c r="FQ172" s="96">
        <f>IFERROR(VLOOKUP($B172,INDIRECT("'GRD-"&amp;FQ$11&amp;"'!B:R"),15,FALSE),"")</f>
        <v/>
      </c>
      <c r="FR172" s="96">
        <f>IFERROR(VLOOKUP($B172,INDIRECT("'GRD-"&amp;FR$11&amp;"'!B:R"),15,FALSE),"")</f>
        <v/>
      </c>
      <c r="FS172" s="96">
        <f>IFERROR(VLOOKUP($B172,INDIRECT("'GRD-"&amp;FS$11&amp;"'!B:R"),15,FALSE),"")</f>
        <v/>
      </c>
      <c r="FT172" s="96">
        <f>IFERROR(VLOOKUP($B172,INDIRECT("'GRD-"&amp;FT$11&amp;"'!B:R"),15,FALSE),"")</f>
        <v/>
      </c>
      <c r="FU172" s="96">
        <f>IFERROR(VLOOKUP($B172,INDIRECT("'GRD-"&amp;FU$11&amp;"'!B:R"),15,FALSE),"")</f>
        <v/>
      </c>
      <c r="FV172" s="96">
        <f>IFERROR(VLOOKUP($B172,INDIRECT("'GRD-"&amp;FV$11&amp;"'!B:R"),15,FALSE),"")</f>
        <v/>
      </c>
    </row>
    <row r="173">
      <c r="B173" s="85" t="n"/>
      <c r="C173" s="93" t="n"/>
      <c r="D173" s="73">
        <f>IF(K173="","",MAX($CA173:$FV173))</f>
        <v/>
      </c>
      <c r="E173" s="74">
        <f t="array" ref="E173">IF($K173="","",OFFSET($A$1,ROW($B173)-1,11+$D173*4,))</f>
        <v/>
      </c>
      <c r="F173" s="74">
        <f t="array" ref="F173">IF($K173="","",OFFSET($A$1,ROW($B173)-1,12+$D173*4,))</f>
        <v/>
      </c>
      <c r="G173" s="118">
        <f t="array" ref="G173">IF($K173="","",OFFSET($A$1,ROW($B173)-1,13+$D173*4,))</f>
        <v/>
      </c>
      <c r="H173" s="81" t="n"/>
      <c r="I173" s="82" t="n"/>
      <c r="J173" s="75">
        <f>IF(I173="A4",H173/8,IF(I173="A3",H173/4,IF(I173="A2",H173/2,IF(I173="A1",H173/1,IF(I173="A0",H173*2,"")))))</f>
        <v/>
      </c>
      <c r="K173" s="68">
        <f t="array" ref="K173">IFERROR(OFFSET($BZ$11,ROW($B173)-11,MATCH(K$10,$CA173:$FV173,0),),"")</f>
        <v/>
      </c>
      <c r="L173" s="85">
        <f>IF(K173="","",IF(VLOOKUP($B173,INDIRECT("'GRD-"&amp;M173&amp;"'!$B:$R"),16,FALSE)="","",VLOOKUP($B173,INDIRECT("'GRD-"&amp;M173&amp;"'!$B:$R"),16,FALSE)))</f>
        <v/>
      </c>
      <c r="M173" s="130">
        <f t="array" ref="M173">IF(K173="","",IFERROR(OFFSET($BZ$11,0,MATCH($K173,$CA173:$FV173,0),),""))</f>
        <v/>
      </c>
      <c r="N173" s="119">
        <f t="array" ref="N173">IF(K173="","",INDIRECT("'GRD-"&amp;M173&amp;"'!$L$7"))</f>
        <v/>
      </c>
      <c r="O173" s="76">
        <f t="array" ref="O173">IFERROR(OFFSET($BZ$11,ROW($B173)-11,MATCH(O$10,$CA173:$FV173,0),),"")</f>
        <v/>
      </c>
      <c r="P173" s="76">
        <f>IF(O173="","",IF(VLOOKUP($B173,INDIRECT("'GRD-"&amp;Q173&amp;"'!$B:$R"),16,FALSE)="","",VLOOKUP($B173,INDIRECT("'GRD-"&amp;Q173&amp;"'!$B:$R"),16,FALSE)))</f>
        <v/>
      </c>
      <c r="Q173" s="132">
        <f t="array" ref="Q173">IF(O173="","",IFERROR(OFFSET($BZ$11,0,MATCH($O173,$CA173:$FV173,0),),""))</f>
        <v/>
      </c>
      <c r="R173" s="121">
        <f t="array" ref="R173">IF(O173="","",INDIRECT("'GRD-"&amp;Q173&amp;"'!$L$7"))</f>
        <v/>
      </c>
      <c r="S173" s="83">
        <f t="array" ref="S173">IFERROR(OFFSET($BZ$11,ROW($B173)-11,MATCH(S$10,$CA173:$FV173,0),),"")</f>
        <v/>
      </c>
      <c r="T173" s="83">
        <f>IF(S173="","",IF(VLOOKUP($B173,INDIRECT("'GRD-"&amp;U173&amp;"'!$B:$R"),16,FALSE)="","",VLOOKUP($B173,INDIRECT("'GRD-"&amp;U173&amp;"'!$B:$R"),16,FALSE)))</f>
        <v/>
      </c>
      <c r="U173" s="128">
        <f t="array" ref="U173">IF(S173="","",IFERROR(OFFSET($BZ$11,0,MATCH($S173,$CA173:$FV173,0),),""))</f>
        <v/>
      </c>
      <c r="V173" s="133">
        <f t="array" ref="V173">IF(S173="","",INDIRECT("'GRD-"&amp;U173&amp;"'!$L$7"))</f>
        <v/>
      </c>
      <c r="W173" s="84">
        <f t="array" ref="W173">IFERROR(OFFSET($BZ$11,ROW($B173)-11,MATCH(W$10,$CA173:$FV173,0),),"")</f>
        <v/>
      </c>
      <c r="X173" s="84">
        <f>IF(W173="","",IF(VLOOKUP($B173,INDIRECT("'GRD-"&amp;Y173&amp;"'!$B:$R"),16,FALSE)="","",VLOOKUP($B173,INDIRECT("'GRD-"&amp;Y173&amp;"'!$B:$R"),16,FALSE)))</f>
        <v/>
      </c>
      <c r="Y173" s="129">
        <f t="array" ref="Y173">IF(W173="","",IFERROR(OFFSET($BZ$11,0,MATCH($W173,$CA173:$FV173,0),),""))</f>
        <v/>
      </c>
      <c r="Z173" s="134">
        <f t="array" ref="Z173">IF(W173="","",INDIRECT("'GRD-"&amp;Y173&amp;"'!$L$7"))</f>
        <v/>
      </c>
      <c r="AA173" s="85">
        <f t="array" ref="AA173">IFERROR(OFFSET($BZ$11,ROW($B173)-11,MATCH(AA$10,$CA173:$FV173,0),),"")</f>
        <v/>
      </c>
      <c r="AB173" s="85">
        <f>IF(AA173="","",IF(VLOOKUP($B173,INDIRECT("'GRD-"&amp;AC173&amp;"'!$B:$R"),16,FALSE)="","",VLOOKUP($B173,INDIRECT("'GRD-"&amp;AC173&amp;"'!$B:$R"),16,FALSE)))</f>
        <v/>
      </c>
      <c r="AC173" s="130">
        <f t="array" ref="AC173">IF(AA173="","",IFERROR(OFFSET($BZ$11,0,MATCH($AA173,$CA173:$FV173,0),),""))</f>
        <v/>
      </c>
      <c r="AD173" s="131">
        <f t="array" ref="AD173">IF(AA173="","",INDIRECT("'GRD-"&amp;AC173&amp;"'!$L$7"))</f>
        <v/>
      </c>
      <c r="AE173" s="76">
        <f t="array" ref="AE173">IFERROR(OFFSET($BZ$11,ROW($B173)-11,MATCH(AE$10,$CA173:$FV173,0),),"")</f>
        <v/>
      </c>
      <c r="AF173" s="76">
        <f>IF(AE173="","",IF(VLOOKUP($B173,INDIRECT("'GRD-"&amp;AG173&amp;"'!$B:$R"),16,FALSE)="","",VLOOKUP($B173,INDIRECT("'GRD-"&amp;AG173&amp;"'!$B:$R"),16,FALSE)))</f>
        <v/>
      </c>
      <c r="AG173" s="132">
        <f t="array" ref="AG173">IF(AE173="","",IFERROR(OFFSET($BZ$11,0,MATCH($AE173,$CA173:$FV173,0),),""))</f>
        <v/>
      </c>
      <c r="AH173" s="121">
        <f t="array" ref="AH173">IF(AE173="","",INDIRECT("'GRD-"&amp;AG173&amp;"'!$L$7"))</f>
        <v/>
      </c>
      <c r="AI173" s="83">
        <f t="array" ref="AI173">IFERROR(OFFSET($BZ$11,ROW($B173)-11,MATCH(AI$10,$CA173:$FV173,0),),"")</f>
        <v/>
      </c>
      <c r="AJ173" s="83">
        <f>IF(AI173="","",IF(VLOOKUP($B173,INDIRECT("'GRD-"&amp;AK173&amp;"'!$B:$R"),16,FALSE)="","",VLOOKUP($B173,INDIRECT("'GRD-"&amp;AK173&amp;"'!$B:$R"),16,FALSE)))</f>
        <v/>
      </c>
      <c r="AK173" s="128">
        <f t="array" ref="AK173">IF(AI173="","",IFERROR(OFFSET($BZ$11,0,MATCH($AI173,$CA173:$FV173,0),),""))</f>
        <v/>
      </c>
      <c r="AL173" s="133">
        <f t="array" ref="AL173">IF(AI173="","",INDIRECT("'GRD-"&amp;AK173&amp;"'!$L$7"))</f>
        <v/>
      </c>
      <c r="AM173" s="84">
        <f t="array" ref="AM173">IFERROR(OFFSET($BZ$11,ROW($B173)-11,MATCH(AM$10,$CA173:$FV173,0),),"")</f>
        <v/>
      </c>
      <c r="AN173" s="84">
        <f>IF(AM173="","",IF(VLOOKUP($B173,INDIRECT("'GRD-"&amp;AO173&amp;"'!$B:$R"),16,FALSE)="","",VLOOKUP($B173,INDIRECT("'GRD-"&amp;AO173&amp;"'!$B:$R"),16,FALSE)))</f>
        <v/>
      </c>
      <c r="AO173" s="129">
        <f t="array" ref="AO173">IF(AM173="","",IFERROR(OFFSET($BZ$11,0,MATCH($AM173,$CA173:$FV173,0),),""))</f>
        <v/>
      </c>
      <c r="AP173" s="134">
        <f t="array" ref="AP173">IF(AM173="","",INDIRECT("'GRD-"&amp;AO173&amp;"'!$L$7"))</f>
        <v/>
      </c>
      <c r="AQ173" s="85">
        <f t="array" ref="AQ173">IFERROR(OFFSET($BZ$11,ROW($B173)-11,MATCH(AQ$10,$CA173:$FV173,0),),"")</f>
        <v/>
      </c>
      <c r="AR173" s="85">
        <f>IF(AQ173="","",IF(VLOOKUP($B173,INDIRECT("'GRD-"&amp;AS173&amp;"'!$B:$R"),16,FALSE)="","",VLOOKUP($B173,INDIRECT("'GRD-"&amp;AS173&amp;"'!$B:$R"),16,FALSE)))</f>
        <v/>
      </c>
      <c r="AS173" s="130">
        <f t="array" ref="AS173">IF(AQ173="","",IFERROR(OFFSET($BZ$11,0,MATCH($AQ173,$CA173:$FV173,0),),""))</f>
        <v/>
      </c>
      <c r="AT173" s="131">
        <f t="array" ref="AT173">IF(AQ173="","",INDIRECT("'GRD-"&amp;AS173&amp;"'!$L$7"))</f>
        <v/>
      </c>
      <c r="AU173" s="76">
        <f t="array" ref="AU173">IFERROR(OFFSET($BZ$11,ROW($B173)-11,MATCH(AU$10,$CA173:$FV173,0),),"")</f>
        <v/>
      </c>
      <c r="AV173" s="76">
        <f>IF(AU173="","",IF(VLOOKUP($B173,INDIRECT("'GRD-"&amp;AW173&amp;"'!$B:$R"),16,FALSE)="","",VLOOKUP($B173,INDIRECT("'GRD-"&amp;AW173&amp;"'!$B:$R"),16,FALSE)))</f>
        <v/>
      </c>
      <c r="AW173" s="132">
        <f t="array" ref="AW173">IF(AU173="","",IFERROR(OFFSET($BZ$11,0,MATCH($AU173,$CA173:$FV173,0),),""))</f>
        <v/>
      </c>
      <c r="AX173" s="121">
        <f t="array" ref="AX173">IF(AU173="","",INDIRECT("'GRD-"&amp;AW173&amp;"'!$L$7"))</f>
        <v/>
      </c>
      <c r="AY173" s="83">
        <f t="array" ref="AY173">IFERROR(OFFSET($BZ$11,ROW($B173)-11,MATCH(AY$10,$CA173:$FV173,0),),"")</f>
        <v/>
      </c>
      <c r="AZ173" s="83">
        <f>IF(AY173="","",IF(VLOOKUP($B173,INDIRECT("'GRD-"&amp;BA173&amp;"'!$B:$R"),16,FALSE)="","",VLOOKUP($B173,INDIRECT("'GRD-"&amp;BA173&amp;"'!$B:$R"),16,FALSE)))</f>
        <v/>
      </c>
      <c r="BA173" s="128">
        <f t="array" ref="BA173">IF(AY173="","",IFERROR(OFFSET($BZ$11,0,MATCH($AY173,$CA173:$FV173,0),),""))</f>
        <v/>
      </c>
      <c r="BB173" s="133">
        <f t="array" ref="BB173">IF(AY173="","",INDIRECT("'GRD-"&amp;BA173&amp;"'!$L$7"))</f>
        <v/>
      </c>
      <c r="BC173" s="84">
        <f t="array" ref="BC173">IFERROR(OFFSET($BZ$11,ROW($B173)-11,MATCH(BC$10,$CA173:$FV173,0),),"")</f>
        <v/>
      </c>
      <c r="BD173" s="84">
        <f>IF(BC173="","",IF(VLOOKUP($B173,INDIRECT("'GRD-"&amp;BE173&amp;"'!$B:$R"),16,FALSE)="","",VLOOKUP($B173,INDIRECT("'GRD-"&amp;BE173&amp;"'!$B:$R"),16,FALSE)))</f>
        <v/>
      </c>
      <c r="BE173" s="129">
        <f t="array" ref="BE173">IF(BC173="","",IFERROR(OFFSET($BZ$11,0,MATCH($BC173,$CA173:$FV173,0),),""))</f>
        <v/>
      </c>
      <c r="BF173" s="134">
        <f t="array" ref="BF173">IF(BC173="","",INDIRECT("'GRD-"&amp;BE173&amp;"'!$L$7"))</f>
        <v/>
      </c>
      <c r="CA173" s="96">
        <f>IFERROR(VLOOKUP($B173,INDIRECT("'GRD-"&amp;CA$11&amp;"'!B:R"),15,FALSE),"")</f>
        <v/>
      </c>
      <c r="CB173" s="96">
        <f>IFERROR(VLOOKUP($B173,INDIRECT("'GRD-"&amp;CB$11&amp;"'!B:R"),15,FALSE),"")</f>
        <v/>
      </c>
      <c r="CC173" s="96">
        <f>IFERROR(VLOOKUP($B173,INDIRECT("'GRD-"&amp;CC$11&amp;"'!B:R"),15,FALSE),"")</f>
        <v/>
      </c>
      <c r="CD173" s="96">
        <f>IFERROR(VLOOKUP($B173,INDIRECT("'GRD-"&amp;CD$11&amp;"'!B:R"),15,FALSE),"")</f>
        <v/>
      </c>
      <c r="CE173" s="96">
        <f>IFERROR(VLOOKUP($B173,INDIRECT("'GRD-"&amp;CE$11&amp;"'!B:R"),15,FALSE),"")</f>
        <v/>
      </c>
      <c r="CF173" s="96">
        <f>IFERROR(VLOOKUP($B173,INDIRECT("'GRD-"&amp;CF$11&amp;"'!B:R"),15,FALSE),"")</f>
        <v/>
      </c>
      <c r="CG173" s="96">
        <f>IFERROR(VLOOKUP($B173,INDIRECT("'GRD-"&amp;CG$11&amp;"'!B:R"),15,FALSE),"")</f>
        <v/>
      </c>
      <c r="CH173" s="96">
        <f>IFERROR(VLOOKUP($B173,INDIRECT("'GRD-"&amp;CH$11&amp;"'!B:R"),15,FALSE),"")</f>
        <v/>
      </c>
      <c r="CI173" s="96">
        <f>IFERROR(VLOOKUP($B173,INDIRECT("'GRD-"&amp;CI$11&amp;"'!B:R"),15,FALSE),"")</f>
        <v/>
      </c>
      <c r="CJ173" s="96">
        <f>IFERROR(VLOOKUP($B173,INDIRECT("'GRD-"&amp;CJ$11&amp;"'!B:R"),15,FALSE),"")</f>
        <v/>
      </c>
      <c r="CK173" s="96">
        <f>IFERROR(VLOOKUP($B173,INDIRECT("'GRD-"&amp;CK$11&amp;"'!B:R"),15,FALSE),"")</f>
        <v/>
      </c>
      <c r="CL173" s="96">
        <f>IFERROR(VLOOKUP($B173,INDIRECT("'GRD-"&amp;CL$11&amp;"'!B:R"),15,FALSE),"")</f>
        <v/>
      </c>
      <c r="CM173" s="96">
        <f>IFERROR(VLOOKUP($B173,INDIRECT("'GRD-"&amp;CM$11&amp;"'!B:R"),15,FALSE),"")</f>
        <v/>
      </c>
      <c r="CN173" s="96">
        <f>IFERROR(VLOOKUP($B173,INDIRECT("'GRD-"&amp;CN$11&amp;"'!B:R"),15,FALSE),"")</f>
        <v/>
      </c>
      <c r="CO173" s="96">
        <f>IFERROR(VLOOKUP($B173,INDIRECT("'GRD-"&amp;CO$11&amp;"'!B:R"),15,FALSE),"")</f>
        <v/>
      </c>
      <c r="CP173" s="96">
        <f>IFERROR(VLOOKUP($B173,INDIRECT("'GRD-"&amp;CP$11&amp;"'!B:R"),15,FALSE),"")</f>
        <v/>
      </c>
      <c r="CQ173" s="96">
        <f>IFERROR(VLOOKUP($B173,INDIRECT("'GRD-"&amp;CQ$11&amp;"'!B:R"),15,FALSE),"")</f>
        <v/>
      </c>
      <c r="CR173" s="96">
        <f>IFERROR(VLOOKUP($B173,INDIRECT("'GRD-"&amp;CR$11&amp;"'!B:R"),15,FALSE),"")</f>
        <v/>
      </c>
      <c r="CS173" s="96">
        <f>IFERROR(VLOOKUP($B173,INDIRECT("'GRD-"&amp;CS$11&amp;"'!B:R"),15,FALSE),"")</f>
        <v/>
      </c>
      <c r="CT173" s="96">
        <f>IFERROR(VLOOKUP($B173,INDIRECT("'GRD-"&amp;CT$11&amp;"'!B:R"),15,FALSE),"")</f>
        <v/>
      </c>
      <c r="CU173" s="96">
        <f>IFERROR(VLOOKUP($B173,INDIRECT("'GRD-"&amp;CU$11&amp;"'!B:R"),15,FALSE),"")</f>
        <v/>
      </c>
      <c r="CV173" s="96">
        <f>IFERROR(VLOOKUP($B173,INDIRECT("'GRD-"&amp;CV$11&amp;"'!B:R"),15,FALSE),"")</f>
        <v/>
      </c>
      <c r="CW173" s="96">
        <f>IFERROR(VLOOKUP($B173,INDIRECT("'GRD-"&amp;CW$11&amp;"'!B:R"),15,FALSE),"")</f>
        <v/>
      </c>
      <c r="CX173" s="96">
        <f>IFERROR(VLOOKUP($B173,INDIRECT("'GRD-"&amp;CX$11&amp;"'!B:R"),15,FALSE),"")</f>
        <v/>
      </c>
      <c r="CY173" s="96">
        <f>IFERROR(VLOOKUP($B173,INDIRECT("'GRD-"&amp;CY$11&amp;"'!B:R"),15,FALSE),"")</f>
        <v/>
      </c>
      <c r="CZ173" s="96">
        <f>IFERROR(VLOOKUP($B173,INDIRECT("'GRD-"&amp;CZ$11&amp;"'!B:R"),15,FALSE),"")</f>
        <v/>
      </c>
      <c r="DA173" s="96">
        <f>IFERROR(VLOOKUP($B173,INDIRECT("'GRD-"&amp;DA$11&amp;"'!B:R"),15,FALSE),"")</f>
        <v/>
      </c>
      <c r="DB173" s="96">
        <f>IFERROR(VLOOKUP($B173,INDIRECT("'GRD-"&amp;DB$11&amp;"'!B:R"),15,FALSE),"")</f>
        <v/>
      </c>
      <c r="DC173" s="96">
        <f>IFERROR(VLOOKUP($B173,INDIRECT("'GRD-"&amp;DC$11&amp;"'!B:R"),15,FALSE),"")</f>
        <v/>
      </c>
      <c r="DD173" s="96">
        <f>IFERROR(VLOOKUP($B173,INDIRECT("'GRD-"&amp;DD$11&amp;"'!B:R"),15,FALSE),"")</f>
        <v/>
      </c>
      <c r="DE173" s="96">
        <f>IFERROR(VLOOKUP($B173,INDIRECT("'GRD-"&amp;DE$11&amp;"'!B:R"),15,FALSE),"")</f>
        <v/>
      </c>
      <c r="DF173" s="96">
        <f>IFERROR(VLOOKUP($B173,INDIRECT("'GRD-"&amp;DF$11&amp;"'!B:R"),15,FALSE),"")</f>
        <v/>
      </c>
      <c r="DG173" s="96">
        <f>IFERROR(VLOOKUP($B173,INDIRECT("'GRD-"&amp;DG$11&amp;"'!B:R"),15,FALSE),"")</f>
        <v/>
      </c>
      <c r="DH173" s="96">
        <f>IFERROR(VLOOKUP($B173,INDIRECT("'GRD-"&amp;DH$11&amp;"'!B:R"),15,FALSE),"")</f>
        <v/>
      </c>
      <c r="DI173" s="96">
        <f>IFERROR(VLOOKUP($B173,INDIRECT("'GRD-"&amp;DI$11&amp;"'!B:R"),15,FALSE),"")</f>
        <v/>
      </c>
      <c r="DJ173" s="96">
        <f>IFERROR(VLOOKUP($B173,INDIRECT("'GRD-"&amp;DJ$11&amp;"'!B:R"),15,FALSE),"")</f>
        <v/>
      </c>
      <c r="DK173" s="96">
        <f>IFERROR(VLOOKUP($B173,INDIRECT("'GRD-"&amp;DK$11&amp;"'!B:R"),15,FALSE),"")</f>
        <v/>
      </c>
      <c r="DL173" s="96">
        <f>IFERROR(VLOOKUP($B173,INDIRECT("'GRD-"&amp;DL$11&amp;"'!B:R"),15,FALSE),"")</f>
        <v/>
      </c>
      <c r="DM173" s="96">
        <f>IFERROR(VLOOKUP($B173,INDIRECT("'GRD-"&amp;DM$11&amp;"'!B:R"),15,FALSE),"")</f>
        <v/>
      </c>
      <c r="DN173" s="96">
        <f>IFERROR(VLOOKUP($B173,INDIRECT("'GRD-"&amp;DN$11&amp;"'!B:R"),15,FALSE),"")</f>
        <v/>
      </c>
      <c r="DO173" s="96">
        <f>IFERROR(VLOOKUP($B173,INDIRECT("'GRD-"&amp;DO$11&amp;"'!B:R"),15,FALSE),"")</f>
        <v/>
      </c>
      <c r="DP173" s="96">
        <f>IFERROR(VLOOKUP($B173,INDIRECT("'GRD-"&amp;DP$11&amp;"'!B:R"),15,FALSE),"")</f>
        <v/>
      </c>
      <c r="DQ173" s="96">
        <f>IFERROR(VLOOKUP($B173,INDIRECT("'GRD-"&amp;DQ$11&amp;"'!B:R"),15,FALSE),"")</f>
        <v/>
      </c>
      <c r="DR173" s="96">
        <f>IFERROR(VLOOKUP($B173,INDIRECT("'GRD-"&amp;DR$11&amp;"'!B:R"),15,FALSE),"")</f>
        <v/>
      </c>
      <c r="DS173" s="96">
        <f>IFERROR(VLOOKUP($B173,INDIRECT("'GRD-"&amp;DS$11&amp;"'!B:R"),15,FALSE),"")</f>
        <v/>
      </c>
      <c r="DT173" s="96">
        <f>IFERROR(VLOOKUP($B173,INDIRECT("'GRD-"&amp;DT$11&amp;"'!B:R"),15,FALSE),"")</f>
        <v/>
      </c>
      <c r="DU173" s="96">
        <f>IFERROR(VLOOKUP($B173,INDIRECT("'GRD-"&amp;DU$11&amp;"'!B:R"),15,FALSE),"")</f>
        <v/>
      </c>
      <c r="DV173" s="96">
        <f>IFERROR(VLOOKUP($B173,INDIRECT("'GRD-"&amp;DV$11&amp;"'!B:R"),15,FALSE),"")</f>
        <v/>
      </c>
      <c r="DW173" s="96">
        <f>IFERROR(VLOOKUP($B173,INDIRECT("'GRD-"&amp;DW$11&amp;"'!B:R"),15,FALSE),"")</f>
        <v/>
      </c>
      <c r="DX173" s="96">
        <f>IFERROR(VLOOKUP($B173,INDIRECT("'GRD-"&amp;DX$11&amp;"'!B:R"),15,FALSE),"")</f>
        <v/>
      </c>
      <c r="DY173" s="96">
        <f>IFERROR(VLOOKUP($B173,INDIRECT("'GRD-"&amp;DY$11&amp;"'!B:R"),15,FALSE),"")</f>
        <v/>
      </c>
      <c r="DZ173" s="96">
        <f>IFERROR(VLOOKUP($B173,INDIRECT("'GRD-"&amp;DZ$11&amp;"'!B:R"),15,FALSE),"")</f>
        <v/>
      </c>
      <c r="EA173" s="96">
        <f>IFERROR(VLOOKUP($B173,INDIRECT("'GRD-"&amp;EA$11&amp;"'!B:R"),15,FALSE),"")</f>
        <v/>
      </c>
      <c r="EB173" s="96">
        <f>IFERROR(VLOOKUP($B173,INDIRECT("'GRD-"&amp;EB$11&amp;"'!B:R"),15,FALSE),"")</f>
        <v/>
      </c>
      <c r="EC173" s="96">
        <f>IFERROR(VLOOKUP($B173,INDIRECT("'GRD-"&amp;EC$11&amp;"'!B:R"),15,FALSE),"")</f>
        <v/>
      </c>
      <c r="ED173" s="96">
        <f>IFERROR(VLOOKUP($B173,INDIRECT("'GRD-"&amp;ED$11&amp;"'!B:R"),15,FALSE),"")</f>
        <v/>
      </c>
      <c r="EE173" s="96">
        <f>IFERROR(VLOOKUP($B173,INDIRECT("'GRD-"&amp;EE$11&amp;"'!B:R"),15,FALSE),"")</f>
        <v/>
      </c>
      <c r="EF173" s="96">
        <f>IFERROR(VLOOKUP($B173,INDIRECT("'GRD-"&amp;EF$11&amp;"'!B:R"),15,FALSE),"")</f>
        <v/>
      </c>
      <c r="EG173" s="96">
        <f>IFERROR(VLOOKUP($B173,INDIRECT("'GRD-"&amp;EG$11&amp;"'!B:R"),15,FALSE),"")</f>
        <v/>
      </c>
      <c r="EH173" s="96">
        <f>IFERROR(VLOOKUP($B173,INDIRECT("'GRD-"&amp;EH$11&amp;"'!B:R"),15,FALSE),"")</f>
        <v/>
      </c>
      <c r="EI173" s="96">
        <f>IFERROR(VLOOKUP($B173,INDIRECT("'GRD-"&amp;EI$11&amp;"'!B:R"),15,FALSE),"")</f>
        <v/>
      </c>
      <c r="EJ173" s="96">
        <f>IFERROR(VLOOKUP($B173,INDIRECT("'GRD-"&amp;EJ$11&amp;"'!B:R"),15,FALSE),"")</f>
        <v/>
      </c>
      <c r="EK173" s="96">
        <f>IFERROR(VLOOKUP($B173,INDIRECT("'GRD-"&amp;EK$11&amp;"'!B:R"),15,FALSE),"")</f>
        <v/>
      </c>
      <c r="EL173" s="96">
        <f>IFERROR(VLOOKUP($B173,INDIRECT("'GRD-"&amp;EL$11&amp;"'!B:R"),15,FALSE),"")</f>
        <v/>
      </c>
      <c r="EM173" s="96">
        <f>IFERROR(VLOOKUP($B173,INDIRECT("'GRD-"&amp;EM$11&amp;"'!B:R"),15,FALSE),"")</f>
        <v/>
      </c>
      <c r="EN173" s="96">
        <f>IFERROR(VLOOKUP($B173,INDIRECT("'GRD-"&amp;EN$11&amp;"'!B:R"),15,FALSE),"")</f>
        <v/>
      </c>
      <c r="EO173" s="96">
        <f>IFERROR(VLOOKUP($B173,INDIRECT("'GRD-"&amp;EO$11&amp;"'!B:R"),15,FALSE),"")</f>
        <v/>
      </c>
      <c r="EP173" s="96">
        <f>IFERROR(VLOOKUP($B173,INDIRECT("'GRD-"&amp;EP$11&amp;"'!B:R"),15,FALSE),"")</f>
        <v/>
      </c>
      <c r="EQ173" s="96">
        <f>IFERROR(VLOOKUP($B173,INDIRECT("'GRD-"&amp;EQ$11&amp;"'!B:R"),15,FALSE),"")</f>
        <v/>
      </c>
      <c r="ER173" s="96">
        <f>IFERROR(VLOOKUP($B173,INDIRECT("'GRD-"&amp;ER$11&amp;"'!B:R"),15,FALSE),"")</f>
        <v/>
      </c>
      <c r="ES173" s="96">
        <f>IFERROR(VLOOKUP($B173,INDIRECT("'GRD-"&amp;ES$11&amp;"'!B:R"),15,FALSE),"")</f>
        <v/>
      </c>
      <c r="ET173" s="96">
        <f>IFERROR(VLOOKUP($B173,INDIRECT("'GRD-"&amp;ET$11&amp;"'!B:R"),15,FALSE),"")</f>
        <v/>
      </c>
      <c r="EU173" s="96">
        <f>IFERROR(VLOOKUP($B173,INDIRECT("'GRD-"&amp;EU$11&amp;"'!B:R"),15,FALSE),"")</f>
        <v/>
      </c>
      <c r="EV173" s="96">
        <f>IFERROR(VLOOKUP($B173,INDIRECT("'GRD-"&amp;EV$11&amp;"'!B:R"),15,FALSE),"")</f>
        <v/>
      </c>
      <c r="EW173" s="96">
        <f>IFERROR(VLOOKUP($B173,INDIRECT("'GRD-"&amp;EW$11&amp;"'!B:R"),15,FALSE),"")</f>
        <v/>
      </c>
      <c r="EX173" s="96">
        <f>IFERROR(VLOOKUP($B173,INDIRECT("'GRD-"&amp;EX$11&amp;"'!B:R"),15,FALSE),"")</f>
        <v/>
      </c>
      <c r="EY173" s="96">
        <f>IFERROR(VLOOKUP($B173,INDIRECT("'GRD-"&amp;EY$11&amp;"'!B:R"),15,FALSE),"")</f>
        <v/>
      </c>
      <c r="EZ173" s="96">
        <f>IFERROR(VLOOKUP($B173,INDIRECT("'GRD-"&amp;EZ$11&amp;"'!B:R"),15,FALSE),"")</f>
        <v/>
      </c>
      <c r="FA173" s="96">
        <f>IFERROR(VLOOKUP($B173,INDIRECT("'GRD-"&amp;FA$11&amp;"'!B:R"),15,FALSE),"")</f>
        <v/>
      </c>
      <c r="FB173" s="96">
        <f>IFERROR(VLOOKUP($B173,INDIRECT("'GRD-"&amp;FB$11&amp;"'!B:R"),15,FALSE),"")</f>
        <v/>
      </c>
      <c r="FC173" s="96">
        <f>IFERROR(VLOOKUP($B173,INDIRECT("'GRD-"&amp;FC$11&amp;"'!B:R"),15,FALSE),"")</f>
        <v/>
      </c>
      <c r="FD173" s="96">
        <f>IFERROR(VLOOKUP($B173,INDIRECT("'GRD-"&amp;FD$11&amp;"'!B:R"),15,FALSE),"")</f>
        <v/>
      </c>
      <c r="FE173" s="96">
        <f>IFERROR(VLOOKUP($B173,INDIRECT("'GRD-"&amp;FE$11&amp;"'!B:R"),15,FALSE),"")</f>
        <v/>
      </c>
      <c r="FF173" s="96">
        <f>IFERROR(VLOOKUP($B173,INDIRECT("'GRD-"&amp;FF$11&amp;"'!B:R"),15,FALSE),"")</f>
        <v/>
      </c>
      <c r="FG173" s="96">
        <f>IFERROR(VLOOKUP($B173,INDIRECT("'GRD-"&amp;FG$11&amp;"'!B:R"),15,FALSE),"")</f>
        <v/>
      </c>
      <c r="FH173" s="96">
        <f>IFERROR(VLOOKUP($B173,INDIRECT("'GRD-"&amp;FH$11&amp;"'!B:R"),15,FALSE),"")</f>
        <v/>
      </c>
      <c r="FI173" s="96">
        <f>IFERROR(VLOOKUP($B173,INDIRECT("'GRD-"&amp;FI$11&amp;"'!B:R"),15,FALSE),"")</f>
        <v/>
      </c>
      <c r="FJ173" s="96">
        <f>IFERROR(VLOOKUP($B173,INDIRECT("'GRD-"&amp;FJ$11&amp;"'!B:R"),15,FALSE),"")</f>
        <v/>
      </c>
      <c r="FK173" s="96">
        <f>IFERROR(VLOOKUP($B173,INDIRECT("'GRD-"&amp;FK$11&amp;"'!B:R"),15,FALSE),"")</f>
        <v/>
      </c>
      <c r="FL173" s="96">
        <f>IFERROR(VLOOKUP($B173,INDIRECT("'GRD-"&amp;FL$11&amp;"'!B:R"),15,FALSE),"")</f>
        <v/>
      </c>
      <c r="FM173" s="96">
        <f>IFERROR(VLOOKUP($B173,INDIRECT("'GRD-"&amp;FM$11&amp;"'!B:R"),15,FALSE),"")</f>
        <v/>
      </c>
      <c r="FN173" s="96">
        <f>IFERROR(VLOOKUP($B173,INDIRECT("'GRD-"&amp;FN$11&amp;"'!B:R"),15,FALSE),"")</f>
        <v/>
      </c>
      <c r="FO173" s="96">
        <f>IFERROR(VLOOKUP($B173,INDIRECT("'GRD-"&amp;FO$11&amp;"'!B:R"),15,FALSE),"")</f>
        <v/>
      </c>
      <c r="FP173" s="96">
        <f>IFERROR(VLOOKUP($B173,INDIRECT("'GRD-"&amp;FP$11&amp;"'!B:R"),15,FALSE),"")</f>
        <v/>
      </c>
      <c r="FQ173" s="96">
        <f>IFERROR(VLOOKUP($B173,INDIRECT("'GRD-"&amp;FQ$11&amp;"'!B:R"),15,FALSE),"")</f>
        <v/>
      </c>
      <c r="FR173" s="96">
        <f>IFERROR(VLOOKUP($B173,INDIRECT("'GRD-"&amp;FR$11&amp;"'!B:R"),15,FALSE),"")</f>
        <v/>
      </c>
      <c r="FS173" s="96">
        <f>IFERROR(VLOOKUP($B173,INDIRECT("'GRD-"&amp;FS$11&amp;"'!B:R"),15,FALSE),"")</f>
        <v/>
      </c>
      <c r="FT173" s="96">
        <f>IFERROR(VLOOKUP($B173,INDIRECT("'GRD-"&amp;FT$11&amp;"'!B:R"),15,FALSE),"")</f>
        <v/>
      </c>
      <c r="FU173" s="96">
        <f>IFERROR(VLOOKUP($B173,INDIRECT("'GRD-"&amp;FU$11&amp;"'!B:R"),15,FALSE),"")</f>
        <v/>
      </c>
      <c r="FV173" s="96">
        <f>IFERROR(VLOOKUP($B173,INDIRECT("'GRD-"&amp;FV$11&amp;"'!B:R"),15,FALSE),"")</f>
        <v/>
      </c>
    </row>
    <row r="174">
      <c r="B174" s="85" t="n"/>
      <c r="C174" s="93" t="n"/>
      <c r="D174" s="73">
        <f>IF(K174="","",MAX($CA174:$FV174))</f>
        <v/>
      </c>
      <c r="E174" s="74">
        <f t="array" ref="E174">IF($K174="","",OFFSET($A$1,ROW($B174)-1,11+$D174*4,))</f>
        <v/>
      </c>
      <c r="F174" s="74">
        <f t="array" ref="F174">IF($K174="","",OFFSET($A$1,ROW($B174)-1,12+$D174*4,))</f>
        <v/>
      </c>
      <c r="G174" s="118">
        <f t="array" ref="G174">IF($K174="","",OFFSET($A$1,ROW($B174)-1,13+$D174*4,))</f>
        <v/>
      </c>
      <c r="H174" s="81" t="n"/>
      <c r="I174" s="82" t="n"/>
      <c r="J174" s="75">
        <f>IF(I174="A4",H174/8,IF(I174="A3",H174/4,IF(I174="A2",H174/2,IF(I174="A1",H174/1,IF(I174="A0",H174*2,"")))))</f>
        <v/>
      </c>
      <c r="K174" s="68">
        <f t="array" ref="K174">IFERROR(OFFSET($BZ$11,ROW($B174)-11,MATCH(K$10,$CA174:$FV174,0),),"")</f>
        <v/>
      </c>
      <c r="L174" s="85">
        <f>IF(K174="","",IF(VLOOKUP($B174,INDIRECT("'GRD-"&amp;M174&amp;"'!$B:$R"),16,FALSE)="","",VLOOKUP($B174,INDIRECT("'GRD-"&amp;M174&amp;"'!$B:$R"),16,FALSE)))</f>
        <v/>
      </c>
      <c r="M174" s="130">
        <f t="array" ref="M174">IF(K174="","",IFERROR(OFFSET($BZ$11,0,MATCH($K174,$CA174:$FV174,0),),""))</f>
        <v/>
      </c>
      <c r="N174" s="119">
        <f t="array" ref="N174">IF(K174="","",INDIRECT("'GRD-"&amp;M174&amp;"'!$L$7"))</f>
        <v/>
      </c>
      <c r="O174" s="76">
        <f t="array" ref="O174">IFERROR(OFFSET($BZ$11,ROW($B174)-11,MATCH(O$10,$CA174:$FV174,0),),"")</f>
        <v/>
      </c>
      <c r="P174" s="76">
        <f>IF(O174="","",IF(VLOOKUP($B174,INDIRECT("'GRD-"&amp;Q174&amp;"'!$B:$R"),16,FALSE)="","",VLOOKUP($B174,INDIRECT("'GRD-"&amp;Q174&amp;"'!$B:$R"),16,FALSE)))</f>
        <v/>
      </c>
      <c r="Q174" s="132">
        <f t="array" ref="Q174">IF(O174="","",IFERROR(OFFSET($BZ$11,0,MATCH($O174,$CA174:$FV174,0),),""))</f>
        <v/>
      </c>
      <c r="R174" s="121">
        <f t="array" ref="R174">IF(O174="","",INDIRECT("'GRD-"&amp;Q174&amp;"'!$L$7"))</f>
        <v/>
      </c>
      <c r="S174" s="83">
        <f t="array" ref="S174">IFERROR(OFFSET($BZ$11,ROW($B174)-11,MATCH(S$10,$CA174:$FV174,0),),"")</f>
        <v/>
      </c>
      <c r="T174" s="83">
        <f>IF(S174="","",IF(VLOOKUP($B174,INDIRECT("'GRD-"&amp;U174&amp;"'!$B:$R"),16,FALSE)="","",VLOOKUP($B174,INDIRECT("'GRD-"&amp;U174&amp;"'!$B:$R"),16,FALSE)))</f>
        <v/>
      </c>
      <c r="U174" s="128">
        <f t="array" ref="U174">IF(S174="","",IFERROR(OFFSET($BZ$11,0,MATCH($S174,$CA174:$FV174,0),),""))</f>
        <v/>
      </c>
      <c r="V174" s="133">
        <f t="array" ref="V174">IF(S174="","",INDIRECT("'GRD-"&amp;U174&amp;"'!$L$7"))</f>
        <v/>
      </c>
      <c r="W174" s="84">
        <f t="array" ref="W174">IFERROR(OFFSET($BZ$11,ROW($B174)-11,MATCH(W$10,$CA174:$FV174,0),),"")</f>
        <v/>
      </c>
      <c r="X174" s="84">
        <f>IF(W174="","",IF(VLOOKUP($B174,INDIRECT("'GRD-"&amp;Y174&amp;"'!$B:$R"),16,FALSE)="","",VLOOKUP($B174,INDIRECT("'GRD-"&amp;Y174&amp;"'!$B:$R"),16,FALSE)))</f>
        <v/>
      </c>
      <c r="Y174" s="129">
        <f t="array" ref="Y174">IF(W174="","",IFERROR(OFFSET($BZ$11,0,MATCH($W174,$CA174:$FV174,0),),""))</f>
        <v/>
      </c>
      <c r="Z174" s="134">
        <f t="array" ref="Z174">IF(W174="","",INDIRECT("'GRD-"&amp;Y174&amp;"'!$L$7"))</f>
        <v/>
      </c>
      <c r="AA174" s="85">
        <f t="array" ref="AA174">IFERROR(OFFSET($BZ$11,ROW($B174)-11,MATCH(AA$10,$CA174:$FV174,0),),"")</f>
        <v/>
      </c>
      <c r="AB174" s="85">
        <f>IF(AA174="","",IF(VLOOKUP($B174,INDIRECT("'GRD-"&amp;AC174&amp;"'!$B:$R"),16,FALSE)="","",VLOOKUP($B174,INDIRECT("'GRD-"&amp;AC174&amp;"'!$B:$R"),16,FALSE)))</f>
        <v/>
      </c>
      <c r="AC174" s="130">
        <f t="array" ref="AC174">IF(AA174="","",IFERROR(OFFSET($BZ$11,0,MATCH($AA174,$CA174:$FV174,0),),""))</f>
        <v/>
      </c>
      <c r="AD174" s="131">
        <f t="array" ref="AD174">IF(AA174="","",INDIRECT("'GRD-"&amp;AC174&amp;"'!$L$7"))</f>
        <v/>
      </c>
      <c r="AE174" s="76">
        <f t="array" ref="AE174">IFERROR(OFFSET($BZ$11,ROW($B174)-11,MATCH(AE$10,$CA174:$FV174,0),),"")</f>
        <v/>
      </c>
      <c r="AF174" s="76">
        <f>IF(AE174="","",IF(VLOOKUP($B174,INDIRECT("'GRD-"&amp;AG174&amp;"'!$B:$R"),16,FALSE)="","",VLOOKUP($B174,INDIRECT("'GRD-"&amp;AG174&amp;"'!$B:$R"),16,FALSE)))</f>
        <v/>
      </c>
      <c r="AG174" s="132">
        <f t="array" ref="AG174">IF(AE174="","",IFERROR(OFFSET($BZ$11,0,MATCH($AE174,$CA174:$FV174,0),),""))</f>
        <v/>
      </c>
      <c r="AH174" s="121">
        <f t="array" ref="AH174">IF(AE174="","",INDIRECT("'GRD-"&amp;AG174&amp;"'!$L$7"))</f>
        <v/>
      </c>
      <c r="AI174" s="83">
        <f t="array" ref="AI174">IFERROR(OFFSET($BZ$11,ROW($B174)-11,MATCH(AI$10,$CA174:$FV174,0),),"")</f>
        <v/>
      </c>
      <c r="AJ174" s="83">
        <f>IF(AI174="","",IF(VLOOKUP($B174,INDIRECT("'GRD-"&amp;AK174&amp;"'!$B:$R"),16,FALSE)="","",VLOOKUP($B174,INDIRECT("'GRD-"&amp;AK174&amp;"'!$B:$R"),16,FALSE)))</f>
        <v/>
      </c>
      <c r="AK174" s="128">
        <f t="array" ref="AK174">IF(AI174="","",IFERROR(OFFSET($BZ$11,0,MATCH($AI174,$CA174:$FV174,0),),""))</f>
        <v/>
      </c>
      <c r="AL174" s="133">
        <f t="array" ref="AL174">IF(AI174="","",INDIRECT("'GRD-"&amp;AK174&amp;"'!$L$7"))</f>
        <v/>
      </c>
      <c r="AM174" s="84">
        <f t="array" ref="AM174">IFERROR(OFFSET($BZ$11,ROW($B174)-11,MATCH(AM$10,$CA174:$FV174,0),),"")</f>
        <v/>
      </c>
      <c r="AN174" s="84">
        <f>IF(AM174="","",IF(VLOOKUP($B174,INDIRECT("'GRD-"&amp;AO174&amp;"'!$B:$R"),16,FALSE)="","",VLOOKUP($B174,INDIRECT("'GRD-"&amp;AO174&amp;"'!$B:$R"),16,FALSE)))</f>
        <v/>
      </c>
      <c r="AO174" s="129">
        <f t="array" ref="AO174">IF(AM174="","",IFERROR(OFFSET($BZ$11,0,MATCH($AM174,$CA174:$FV174,0),),""))</f>
        <v/>
      </c>
      <c r="AP174" s="134">
        <f t="array" ref="AP174">IF(AM174="","",INDIRECT("'GRD-"&amp;AO174&amp;"'!$L$7"))</f>
        <v/>
      </c>
      <c r="AQ174" s="85">
        <f t="array" ref="AQ174">IFERROR(OFFSET($BZ$11,ROW($B174)-11,MATCH(AQ$10,$CA174:$FV174,0),),"")</f>
        <v/>
      </c>
      <c r="AR174" s="85">
        <f>IF(AQ174="","",IF(VLOOKUP($B174,INDIRECT("'GRD-"&amp;AS174&amp;"'!$B:$R"),16,FALSE)="","",VLOOKUP($B174,INDIRECT("'GRD-"&amp;AS174&amp;"'!$B:$R"),16,FALSE)))</f>
        <v/>
      </c>
      <c r="AS174" s="130">
        <f t="array" ref="AS174">IF(AQ174="","",IFERROR(OFFSET($BZ$11,0,MATCH($AQ174,$CA174:$FV174,0),),""))</f>
        <v/>
      </c>
      <c r="AT174" s="131">
        <f t="array" ref="AT174">IF(AQ174="","",INDIRECT("'GRD-"&amp;AS174&amp;"'!$L$7"))</f>
        <v/>
      </c>
      <c r="AU174" s="76">
        <f t="array" ref="AU174">IFERROR(OFFSET($BZ$11,ROW($B174)-11,MATCH(AU$10,$CA174:$FV174,0),),"")</f>
        <v/>
      </c>
      <c r="AV174" s="76">
        <f>IF(AU174="","",IF(VLOOKUP($B174,INDIRECT("'GRD-"&amp;AW174&amp;"'!$B:$R"),16,FALSE)="","",VLOOKUP($B174,INDIRECT("'GRD-"&amp;AW174&amp;"'!$B:$R"),16,FALSE)))</f>
        <v/>
      </c>
      <c r="AW174" s="132">
        <f t="array" ref="AW174">IF(AU174="","",IFERROR(OFFSET($BZ$11,0,MATCH($AU174,$CA174:$FV174,0),),""))</f>
        <v/>
      </c>
      <c r="AX174" s="121">
        <f t="array" ref="AX174">IF(AU174="","",INDIRECT("'GRD-"&amp;AW174&amp;"'!$L$7"))</f>
        <v/>
      </c>
      <c r="AY174" s="83">
        <f t="array" ref="AY174">IFERROR(OFFSET($BZ$11,ROW($B174)-11,MATCH(AY$10,$CA174:$FV174,0),),"")</f>
        <v/>
      </c>
      <c r="AZ174" s="83">
        <f>IF(AY174="","",IF(VLOOKUP($B174,INDIRECT("'GRD-"&amp;BA174&amp;"'!$B:$R"),16,FALSE)="","",VLOOKUP($B174,INDIRECT("'GRD-"&amp;BA174&amp;"'!$B:$R"),16,FALSE)))</f>
        <v/>
      </c>
      <c r="BA174" s="128">
        <f t="array" ref="BA174">IF(AY174="","",IFERROR(OFFSET($BZ$11,0,MATCH($AY174,$CA174:$FV174,0),),""))</f>
        <v/>
      </c>
      <c r="BB174" s="133">
        <f t="array" ref="BB174">IF(AY174="","",INDIRECT("'GRD-"&amp;BA174&amp;"'!$L$7"))</f>
        <v/>
      </c>
      <c r="BC174" s="84">
        <f t="array" ref="BC174">IFERROR(OFFSET($BZ$11,ROW($B174)-11,MATCH(BC$10,$CA174:$FV174,0),),"")</f>
        <v/>
      </c>
      <c r="BD174" s="84">
        <f>IF(BC174="","",IF(VLOOKUP($B174,INDIRECT("'GRD-"&amp;BE174&amp;"'!$B:$R"),16,FALSE)="","",VLOOKUP($B174,INDIRECT("'GRD-"&amp;BE174&amp;"'!$B:$R"),16,FALSE)))</f>
        <v/>
      </c>
      <c r="BE174" s="129">
        <f t="array" ref="BE174">IF(BC174="","",IFERROR(OFFSET($BZ$11,0,MATCH($BC174,$CA174:$FV174,0),),""))</f>
        <v/>
      </c>
      <c r="BF174" s="134">
        <f t="array" ref="BF174">IF(BC174="","",INDIRECT("'GRD-"&amp;BE174&amp;"'!$L$7"))</f>
        <v/>
      </c>
      <c r="CA174" s="96">
        <f>IFERROR(VLOOKUP($B174,INDIRECT("'GRD-"&amp;CA$11&amp;"'!B:R"),15,FALSE),"")</f>
        <v/>
      </c>
      <c r="CB174" s="96">
        <f>IFERROR(VLOOKUP($B174,INDIRECT("'GRD-"&amp;CB$11&amp;"'!B:R"),15,FALSE),"")</f>
        <v/>
      </c>
      <c r="CC174" s="96">
        <f>IFERROR(VLOOKUP($B174,INDIRECT("'GRD-"&amp;CC$11&amp;"'!B:R"),15,FALSE),"")</f>
        <v/>
      </c>
      <c r="CD174" s="96">
        <f>IFERROR(VLOOKUP($B174,INDIRECT("'GRD-"&amp;CD$11&amp;"'!B:R"),15,FALSE),"")</f>
        <v/>
      </c>
      <c r="CE174" s="96">
        <f>IFERROR(VLOOKUP($B174,INDIRECT("'GRD-"&amp;CE$11&amp;"'!B:R"),15,FALSE),"")</f>
        <v/>
      </c>
      <c r="CF174" s="96">
        <f>IFERROR(VLOOKUP($B174,INDIRECT("'GRD-"&amp;CF$11&amp;"'!B:R"),15,FALSE),"")</f>
        <v/>
      </c>
      <c r="CG174" s="96">
        <f>IFERROR(VLOOKUP($B174,INDIRECT("'GRD-"&amp;CG$11&amp;"'!B:R"),15,FALSE),"")</f>
        <v/>
      </c>
      <c r="CH174" s="96">
        <f>IFERROR(VLOOKUP($B174,INDIRECT("'GRD-"&amp;CH$11&amp;"'!B:R"),15,FALSE),"")</f>
        <v/>
      </c>
      <c r="CI174" s="96">
        <f>IFERROR(VLOOKUP($B174,INDIRECT("'GRD-"&amp;CI$11&amp;"'!B:R"),15,FALSE),"")</f>
        <v/>
      </c>
      <c r="CJ174" s="96">
        <f>IFERROR(VLOOKUP($B174,INDIRECT("'GRD-"&amp;CJ$11&amp;"'!B:R"),15,FALSE),"")</f>
        <v/>
      </c>
      <c r="CK174" s="96">
        <f>IFERROR(VLOOKUP($B174,INDIRECT("'GRD-"&amp;CK$11&amp;"'!B:R"),15,FALSE),"")</f>
        <v/>
      </c>
      <c r="CL174" s="96">
        <f>IFERROR(VLOOKUP($B174,INDIRECT("'GRD-"&amp;CL$11&amp;"'!B:R"),15,FALSE),"")</f>
        <v/>
      </c>
      <c r="CM174" s="96">
        <f>IFERROR(VLOOKUP($B174,INDIRECT("'GRD-"&amp;CM$11&amp;"'!B:R"),15,FALSE),"")</f>
        <v/>
      </c>
      <c r="CN174" s="96">
        <f>IFERROR(VLOOKUP($B174,INDIRECT("'GRD-"&amp;CN$11&amp;"'!B:R"),15,FALSE),"")</f>
        <v/>
      </c>
      <c r="CO174" s="96">
        <f>IFERROR(VLOOKUP($B174,INDIRECT("'GRD-"&amp;CO$11&amp;"'!B:R"),15,FALSE),"")</f>
        <v/>
      </c>
      <c r="CP174" s="96">
        <f>IFERROR(VLOOKUP($B174,INDIRECT("'GRD-"&amp;CP$11&amp;"'!B:R"),15,FALSE),"")</f>
        <v/>
      </c>
      <c r="CQ174" s="96">
        <f>IFERROR(VLOOKUP($B174,INDIRECT("'GRD-"&amp;CQ$11&amp;"'!B:R"),15,FALSE),"")</f>
        <v/>
      </c>
      <c r="CR174" s="96">
        <f>IFERROR(VLOOKUP($B174,INDIRECT("'GRD-"&amp;CR$11&amp;"'!B:R"),15,FALSE),"")</f>
        <v/>
      </c>
      <c r="CS174" s="96">
        <f>IFERROR(VLOOKUP($B174,INDIRECT("'GRD-"&amp;CS$11&amp;"'!B:R"),15,FALSE),"")</f>
        <v/>
      </c>
      <c r="CT174" s="96">
        <f>IFERROR(VLOOKUP($B174,INDIRECT("'GRD-"&amp;CT$11&amp;"'!B:R"),15,FALSE),"")</f>
        <v/>
      </c>
      <c r="CU174" s="96">
        <f>IFERROR(VLOOKUP($B174,INDIRECT("'GRD-"&amp;CU$11&amp;"'!B:R"),15,FALSE),"")</f>
        <v/>
      </c>
      <c r="CV174" s="96">
        <f>IFERROR(VLOOKUP($B174,INDIRECT("'GRD-"&amp;CV$11&amp;"'!B:R"),15,FALSE),"")</f>
        <v/>
      </c>
      <c r="CW174" s="96">
        <f>IFERROR(VLOOKUP($B174,INDIRECT("'GRD-"&amp;CW$11&amp;"'!B:R"),15,FALSE),"")</f>
        <v/>
      </c>
      <c r="CX174" s="96">
        <f>IFERROR(VLOOKUP($B174,INDIRECT("'GRD-"&amp;CX$11&amp;"'!B:R"),15,FALSE),"")</f>
        <v/>
      </c>
      <c r="CY174" s="96">
        <f>IFERROR(VLOOKUP($B174,INDIRECT("'GRD-"&amp;CY$11&amp;"'!B:R"),15,FALSE),"")</f>
        <v/>
      </c>
      <c r="CZ174" s="96">
        <f>IFERROR(VLOOKUP($B174,INDIRECT("'GRD-"&amp;CZ$11&amp;"'!B:R"),15,FALSE),"")</f>
        <v/>
      </c>
      <c r="DA174" s="96">
        <f>IFERROR(VLOOKUP($B174,INDIRECT("'GRD-"&amp;DA$11&amp;"'!B:R"),15,FALSE),"")</f>
        <v/>
      </c>
      <c r="DB174" s="96">
        <f>IFERROR(VLOOKUP($B174,INDIRECT("'GRD-"&amp;DB$11&amp;"'!B:R"),15,FALSE),"")</f>
        <v/>
      </c>
      <c r="DC174" s="96">
        <f>IFERROR(VLOOKUP($B174,INDIRECT("'GRD-"&amp;DC$11&amp;"'!B:R"),15,FALSE),"")</f>
        <v/>
      </c>
      <c r="DD174" s="96">
        <f>IFERROR(VLOOKUP($B174,INDIRECT("'GRD-"&amp;DD$11&amp;"'!B:R"),15,FALSE),"")</f>
        <v/>
      </c>
      <c r="DE174" s="96">
        <f>IFERROR(VLOOKUP($B174,INDIRECT("'GRD-"&amp;DE$11&amp;"'!B:R"),15,FALSE),"")</f>
        <v/>
      </c>
      <c r="DF174" s="96">
        <f>IFERROR(VLOOKUP($B174,INDIRECT("'GRD-"&amp;DF$11&amp;"'!B:R"),15,FALSE),"")</f>
        <v/>
      </c>
      <c r="DG174" s="96">
        <f>IFERROR(VLOOKUP($B174,INDIRECT("'GRD-"&amp;DG$11&amp;"'!B:R"),15,FALSE),"")</f>
        <v/>
      </c>
      <c r="DH174" s="96">
        <f>IFERROR(VLOOKUP($B174,INDIRECT("'GRD-"&amp;DH$11&amp;"'!B:R"),15,FALSE),"")</f>
        <v/>
      </c>
      <c r="DI174" s="96">
        <f>IFERROR(VLOOKUP($B174,INDIRECT("'GRD-"&amp;DI$11&amp;"'!B:R"),15,FALSE),"")</f>
        <v/>
      </c>
      <c r="DJ174" s="96">
        <f>IFERROR(VLOOKUP($B174,INDIRECT("'GRD-"&amp;DJ$11&amp;"'!B:R"),15,FALSE),"")</f>
        <v/>
      </c>
      <c r="DK174" s="96">
        <f>IFERROR(VLOOKUP($B174,INDIRECT("'GRD-"&amp;DK$11&amp;"'!B:R"),15,FALSE),"")</f>
        <v/>
      </c>
      <c r="DL174" s="96">
        <f>IFERROR(VLOOKUP($B174,INDIRECT("'GRD-"&amp;DL$11&amp;"'!B:R"),15,FALSE),"")</f>
        <v/>
      </c>
      <c r="DM174" s="96">
        <f>IFERROR(VLOOKUP($B174,INDIRECT("'GRD-"&amp;DM$11&amp;"'!B:R"),15,FALSE),"")</f>
        <v/>
      </c>
      <c r="DN174" s="96">
        <f>IFERROR(VLOOKUP($B174,INDIRECT("'GRD-"&amp;DN$11&amp;"'!B:R"),15,FALSE),"")</f>
        <v/>
      </c>
      <c r="DO174" s="96">
        <f>IFERROR(VLOOKUP($B174,INDIRECT("'GRD-"&amp;DO$11&amp;"'!B:R"),15,FALSE),"")</f>
        <v/>
      </c>
      <c r="DP174" s="96">
        <f>IFERROR(VLOOKUP($B174,INDIRECT("'GRD-"&amp;DP$11&amp;"'!B:R"),15,FALSE),"")</f>
        <v/>
      </c>
      <c r="DQ174" s="96">
        <f>IFERROR(VLOOKUP($B174,INDIRECT("'GRD-"&amp;DQ$11&amp;"'!B:R"),15,FALSE),"")</f>
        <v/>
      </c>
      <c r="DR174" s="96">
        <f>IFERROR(VLOOKUP($B174,INDIRECT("'GRD-"&amp;DR$11&amp;"'!B:R"),15,FALSE),"")</f>
        <v/>
      </c>
      <c r="DS174" s="96">
        <f>IFERROR(VLOOKUP($B174,INDIRECT("'GRD-"&amp;DS$11&amp;"'!B:R"),15,FALSE),"")</f>
        <v/>
      </c>
      <c r="DT174" s="96">
        <f>IFERROR(VLOOKUP($B174,INDIRECT("'GRD-"&amp;DT$11&amp;"'!B:R"),15,FALSE),"")</f>
        <v/>
      </c>
      <c r="DU174" s="96">
        <f>IFERROR(VLOOKUP($B174,INDIRECT("'GRD-"&amp;DU$11&amp;"'!B:R"),15,FALSE),"")</f>
        <v/>
      </c>
      <c r="DV174" s="96">
        <f>IFERROR(VLOOKUP($B174,INDIRECT("'GRD-"&amp;DV$11&amp;"'!B:R"),15,FALSE),"")</f>
        <v/>
      </c>
      <c r="DW174" s="96">
        <f>IFERROR(VLOOKUP($B174,INDIRECT("'GRD-"&amp;DW$11&amp;"'!B:R"),15,FALSE),"")</f>
        <v/>
      </c>
      <c r="DX174" s="96">
        <f>IFERROR(VLOOKUP($B174,INDIRECT("'GRD-"&amp;DX$11&amp;"'!B:R"),15,FALSE),"")</f>
        <v/>
      </c>
      <c r="DY174" s="96">
        <f>IFERROR(VLOOKUP($B174,INDIRECT("'GRD-"&amp;DY$11&amp;"'!B:R"),15,FALSE),"")</f>
        <v/>
      </c>
      <c r="DZ174" s="96">
        <f>IFERROR(VLOOKUP($B174,INDIRECT("'GRD-"&amp;DZ$11&amp;"'!B:R"),15,FALSE),"")</f>
        <v/>
      </c>
      <c r="EA174" s="96">
        <f>IFERROR(VLOOKUP($B174,INDIRECT("'GRD-"&amp;EA$11&amp;"'!B:R"),15,FALSE),"")</f>
        <v/>
      </c>
      <c r="EB174" s="96">
        <f>IFERROR(VLOOKUP($B174,INDIRECT("'GRD-"&amp;EB$11&amp;"'!B:R"),15,FALSE),"")</f>
        <v/>
      </c>
      <c r="EC174" s="96">
        <f>IFERROR(VLOOKUP($B174,INDIRECT("'GRD-"&amp;EC$11&amp;"'!B:R"),15,FALSE),"")</f>
        <v/>
      </c>
      <c r="ED174" s="96">
        <f>IFERROR(VLOOKUP($B174,INDIRECT("'GRD-"&amp;ED$11&amp;"'!B:R"),15,FALSE),"")</f>
        <v/>
      </c>
      <c r="EE174" s="96">
        <f>IFERROR(VLOOKUP($B174,INDIRECT("'GRD-"&amp;EE$11&amp;"'!B:R"),15,FALSE),"")</f>
        <v/>
      </c>
      <c r="EF174" s="96">
        <f>IFERROR(VLOOKUP($B174,INDIRECT("'GRD-"&amp;EF$11&amp;"'!B:R"),15,FALSE),"")</f>
        <v/>
      </c>
      <c r="EG174" s="96">
        <f>IFERROR(VLOOKUP($B174,INDIRECT("'GRD-"&amp;EG$11&amp;"'!B:R"),15,FALSE),"")</f>
        <v/>
      </c>
      <c r="EH174" s="96">
        <f>IFERROR(VLOOKUP($B174,INDIRECT("'GRD-"&amp;EH$11&amp;"'!B:R"),15,FALSE),"")</f>
        <v/>
      </c>
      <c r="EI174" s="96">
        <f>IFERROR(VLOOKUP($B174,INDIRECT("'GRD-"&amp;EI$11&amp;"'!B:R"),15,FALSE),"")</f>
        <v/>
      </c>
      <c r="EJ174" s="96">
        <f>IFERROR(VLOOKUP($B174,INDIRECT("'GRD-"&amp;EJ$11&amp;"'!B:R"),15,FALSE),"")</f>
        <v/>
      </c>
      <c r="EK174" s="96">
        <f>IFERROR(VLOOKUP($B174,INDIRECT("'GRD-"&amp;EK$11&amp;"'!B:R"),15,FALSE),"")</f>
        <v/>
      </c>
      <c r="EL174" s="96">
        <f>IFERROR(VLOOKUP($B174,INDIRECT("'GRD-"&amp;EL$11&amp;"'!B:R"),15,FALSE),"")</f>
        <v/>
      </c>
      <c r="EM174" s="96">
        <f>IFERROR(VLOOKUP($B174,INDIRECT("'GRD-"&amp;EM$11&amp;"'!B:R"),15,FALSE),"")</f>
        <v/>
      </c>
      <c r="EN174" s="96">
        <f>IFERROR(VLOOKUP($B174,INDIRECT("'GRD-"&amp;EN$11&amp;"'!B:R"),15,FALSE),"")</f>
        <v/>
      </c>
      <c r="EO174" s="96">
        <f>IFERROR(VLOOKUP($B174,INDIRECT("'GRD-"&amp;EO$11&amp;"'!B:R"),15,FALSE),"")</f>
        <v/>
      </c>
      <c r="EP174" s="96">
        <f>IFERROR(VLOOKUP($B174,INDIRECT("'GRD-"&amp;EP$11&amp;"'!B:R"),15,FALSE),"")</f>
        <v/>
      </c>
      <c r="EQ174" s="96">
        <f>IFERROR(VLOOKUP($B174,INDIRECT("'GRD-"&amp;EQ$11&amp;"'!B:R"),15,FALSE),"")</f>
        <v/>
      </c>
      <c r="ER174" s="96">
        <f>IFERROR(VLOOKUP($B174,INDIRECT("'GRD-"&amp;ER$11&amp;"'!B:R"),15,FALSE),"")</f>
        <v/>
      </c>
      <c r="ES174" s="96">
        <f>IFERROR(VLOOKUP($B174,INDIRECT("'GRD-"&amp;ES$11&amp;"'!B:R"),15,FALSE),"")</f>
        <v/>
      </c>
      <c r="ET174" s="96">
        <f>IFERROR(VLOOKUP($B174,INDIRECT("'GRD-"&amp;ET$11&amp;"'!B:R"),15,FALSE),"")</f>
        <v/>
      </c>
      <c r="EU174" s="96">
        <f>IFERROR(VLOOKUP($B174,INDIRECT("'GRD-"&amp;EU$11&amp;"'!B:R"),15,FALSE),"")</f>
        <v/>
      </c>
      <c r="EV174" s="96">
        <f>IFERROR(VLOOKUP($B174,INDIRECT("'GRD-"&amp;EV$11&amp;"'!B:R"),15,FALSE),"")</f>
        <v/>
      </c>
      <c r="EW174" s="96">
        <f>IFERROR(VLOOKUP($B174,INDIRECT("'GRD-"&amp;EW$11&amp;"'!B:R"),15,FALSE),"")</f>
        <v/>
      </c>
      <c r="EX174" s="96">
        <f>IFERROR(VLOOKUP($B174,INDIRECT("'GRD-"&amp;EX$11&amp;"'!B:R"),15,FALSE),"")</f>
        <v/>
      </c>
      <c r="EY174" s="96">
        <f>IFERROR(VLOOKUP($B174,INDIRECT("'GRD-"&amp;EY$11&amp;"'!B:R"),15,FALSE),"")</f>
        <v/>
      </c>
      <c r="EZ174" s="96">
        <f>IFERROR(VLOOKUP($B174,INDIRECT("'GRD-"&amp;EZ$11&amp;"'!B:R"),15,FALSE),"")</f>
        <v/>
      </c>
      <c r="FA174" s="96">
        <f>IFERROR(VLOOKUP($B174,INDIRECT("'GRD-"&amp;FA$11&amp;"'!B:R"),15,FALSE),"")</f>
        <v/>
      </c>
      <c r="FB174" s="96">
        <f>IFERROR(VLOOKUP($B174,INDIRECT("'GRD-"&amp;FB$11&amp;"'!B:R"),15,FALSE),"")</f>
        <v/>
      </c>
      <c r="FC174" s="96">
        <f>IFERROR(VLOOKUP($B174,INDIRECT("'GRD-"&amp;FC$11&amp;"'!B:R"),15,FALSE),"")</f>
        <v/>
      </c>
      <c r="FD174" s="96">
        <f>IFERROR(VLOOKUP($B174,INDIRECT("'GRD-"&amp;FD$11&amp;"'!B:R"),15,FALSE),"")</f>
        <v/>
      </c>
      <c r="FE174" s="96">
        <f>IFERROR(VLOOKUP($B174,INDIRECT("'GRD-"&amp;FE$11&amp;"'!B:R"),15,FALSE),"")</f>
        <v/>
      </c>
      <c r="FF174" s="96">
        <f>IFERROR(VLOOKUP($B174,INDIRECT("'GRD-"&amp;FF$11&amp;"'!B:R"),15,FALSE),"")</f>
        <v/>
      </c>
      <c r="FG174" s="96">
        <f>IFERROR(VLOOKUP($B174,INDIRECT("'GRD-"&amp;FG$11&amp;"'!B:R"),15,FALSE),"")</f>
        <v/>
      </c>
      <c r="FH174" s="96">
        <f>IFERROR(VLOOKUP($B174,INDIRECT("'GRD-"&amp;FH$11&amp;"'!B:R"),15,FALSE),"")</f>
        <v/>
      </c>
      <c r="FI174" s="96">
        <f>IFERROR(VLOOKUP($B174,INDIRECT("'GRD-"&amp;FI$11&amp;"'!B:R"),15,FALSE),"")</f>
        <v/>
      </c>
      <c r="FJ174" s="96">
        <f>IFERROR(VLOOKUP($B174,INDIRECT("'GRD-"&amp;FJ$11&amp;"'!B:R"),15,FALSE),"")</f>
        <v/>
      </c>
      <c r="FK174" s="96">
        <f>IFERROR(VLOOKUP($B174,INDIRECT("'GRD-"&amp;FK$11&amp;"'!B:R"),15,FALSE),"")</f>
        <v/>
      </c>
      <c r="FL174" s="96">
        <f>IFERROR(VLOOKUP($B174,INDIRECT("'GRD-"&amp;FL$11&amp;"'!B:R"),15,FALSE),"")</f>
        <v/>
      </c>
      <c r="FM174" s="96">
        <f>IFERROR(VLOOKUP($B174,INDIRECT("'GRD-"&amp;FM$11&amp;"'!B:R"),15,FALSE),"")</f>
        <v/>
      </c>
      <c r="FN174" s="96">
        <f>IFERROR(VLOOKUP($B174,INDIRECT("'GRD-"&amp;FN$11&amp;"'!B:R"),15,FALSE),"")</f>
        <v/>
      </c>
      <c r="FO174" s="96">
        <f>IFERROR(VLOOKUP($B174,INDIRECT("'GRD-"&amp;FO$11&amp;"'!B:R"),15,FALSE),"")</f>
        <v/>
      </c>
      <c r="FP174" s="96">
        <f>IFERROR(VLOOKUP($B174,INDIRECT("'GRD-"&amp;FP$11&amp;"'!B:R"),15,FALSE),"")</f>
        <v/>
      </c>
      <c r="FQ174" s="96">
        <f>IFERROR(VLOOKUP($B174,INDIRECT("'GRD-"&amp;FQ$11&amp;"'!B:R"),15,FALSE),"")</f>
        <v/>
      </c>
      <c r="FR174" s="96">
        <f>IFERROR(VLOOKUP($B174,INDIRECT("'GRD-"&amp;FR$11&amp;"'!B:R"),15,FALSE),"")</f>
        <v/>
      </c>
      <c r="FS174" s="96">
        <f>IFERROR(VLOOKUP($B174,INDIRECT("'GRD-"&amp;FS$11&amp;"'!B:R"),15,FALSE),"")</f>
        <v/>
      </c>
      <c r="FT174" s="96">
        <f>IFERROR(VLOOKUP($B174,INDIRECT("'GRD-"&amp;FT$11&amp;"'!B:R"),15,FALSE),"")</f>
        <v/>
      </c>
      <c r="FU174" s="96">
        <f>IFERROR(VLOOKUP($B174,INDIRECT("'GRD-"&amp;FU$11&amp;"'!B:R"),15,FALSE),"")</f>
        <v/>
      </c>
      <c r="FV174" s="96">
        <f>IFERROR(VLOOKUP($B174,INDIRECT("'GRD-"&amp;FV$11&amp;"'!B:R"),15,FALSE),"")</f>
        <v/>
      </c>
    </row>
    <row r="175">
      <c r="B175" s="85" t="n"/>
      <c r="C175" s="93" t="n"/>
      <c r="D175" s="73">
        <f>IF(K175="","",MAX($CA175:$FV175))</f>
        <v/>
      </c>
      <c r="E175" s="74">
        <f t="array" ref="E175">IF($K175="","",OFFSET($A$1,ROW($B175)-1,11+$D175*4,))</f>
        <v/>
      </c>
      <c r="F175" s="74">
        <f t="array" ref="F175">IF($K175="","",OFFSET($A$1,ROW($B175)-1,12+$D175*4,))</f>
        <v/>
      </c>
      <c r="G175" s="118">
        <f t="array" ref="G175">IF($K175="","",OFFSET($A$1,ROW($B175)-1,13+$D175*4,))</f>
        <v/>
      </c>
      <c r="H175" s="81" t="n"/>
      <c r="I175" s="82" t="n"/>
      <c r="J175" s="75">
        <f>IF(I175="A4",H175/8,IF(I175="A3",H175/4,IF(I175="A2",H175/2,IF(I175="A1",H175/1,IF(I175="A0",H175*2,"")))))</f>
        <v/>
      </c>
      <c r="K175" s="68">
        <f t="array" ref="K175">IFERROR(OFFSET($BZ$11,ROW($B175)-11,MATCH(K$10,$CA175:$FV175,0),),"")</f>
        <v/>
      </c>
      <c r="L175" s="85">
        <f>IF(K175="","",IF(VLOOKUP($B175,INDIRECT("'GRD-"&amp;M175&amp;"'!$B:$R"),16,FALSE)="","",VLOOKUP($B175,INDIRECT("'GRD-"&amp;M175&amp;"'!$B:$R"),16,FALSE)))</f>
        <v/>
      </c>
      <c r="M175" s="130">
        <f t="array" ref="M175">IF(K175="","",IFERROR(OFFSET($BZ$11,0,MATCH($K175,$CA175:$FV175,0),),""))</f>
        <v/>
      </c>
      <c r="N175" s="119">
        <f t="array" ref="N175">IF(K175="","",INDIRECT("'GRD-"&amp;M175&amp;"'!$L$7"))</f>
        <v/>
      </c>
      <c r="O175" s="76">
        <f t="array" ref="O175">IFERROR(OFFSET($BZ$11,ROW($B175)-11,MATCH(O$10,$CA175:$FV175,0),),"")</f>
        <v/>
      </c>
      <c r="P175" s="76">
        <f>IF(O175="","",IF(VLOOKUP($B175,INDIRECT("'GRD-"&amp;Q175&amp;"'!$B:$R"),16,FALSE)="","",VLOOKUP($B175,INDIRECT("'GRD-"&amp;Q175&amp;"'!$B:$R"),16,FALSE)))</f>
        <v/>
      </c>
      <c r="Q175" s="132">
        <f t="array" ref="Q175">IF(O175="","",IFERROR(OFFSET($BZ$11,0,MATCH($O175,$CA175:$FV175,0),),""))</f>
        <v/>
      </c>
      <c r="R175" s="121">
        <f t="array" ref="R175">IF(O175="","",INDIRECT("'GRD-"&amp;Q175&amp;"'!$L$7"))</f>
        <v/>
      </c>
      <c r="S175" s="83">
        <f t="array" ref="S175">IFERROR(OFFSET($BZ$11,ROW($B175)-11,MATCH(S$10,$CA175:$FV175,0),),"")</f>
        <v/>
      </c>
      <c r="T175" s="83">
        <f>IF(S175="","",IF(VLOOKUP($B175,INDIRECT("'GRD-"&amp;U175&amp;"'!$B:$R"),16,FALSE)="","",VLOOKUP($B175,INDIRECT("'GRD-"&amp;U175&amp;"'!$B:$R"),16,FALSE)))</f>
        <v/>
      </c>
      <c r="U175" s="128">
        <f t="array" ref="U175">IF(S175="","",IFERROR(OFFSET($BZ$11,0,MATCH($S175,$CA175:$FV175,0),),""))</f>
        <v/>
      </c>
      <c r="V175" s="133">
        <f t="array" ref="V175">IF(S175="","",INDIRECT("'GRD-"&amp;U175&amp;"'!$L$7"))</f>
        <v/>
      </c>
      <c r="W175" s="84">
        <f t="array" ref="W175">IFERROR(OFFSET($BZ$11,ROW($B175)-11,MATCH(W$10,$CA175:$FV175,0),),"")</f>
        <v/>
      </c>
      <c r="X175" s="84">
        <f>IF(W175="","",IF(VLOOKUP($B175,INDIRECT("'GRD-"&amp;Y175&amp;"'!$B:$R"),16,FALSE)="","",VLOOKUP($B175,INDIRECT("'GRD-"&amp;Y175&amp;"'!$B:$R"),16,FALSE)))</f>
        <v/>
      </c>
      <c r="Y175" s="129">
        <f t="array" ref="Y175">IF(W175="","",IFERROR(OFFSET($BZ$11,0,MATCH($W175,$CA175:$FV175,0),),""))</f>
        <v/>
      </c>
      <c r="Z175" s="134">
        <f t="array" ref="Z175">IF(W175="","",INDIRECT("'GRD-"&amp;Y175&amp;"'!$L$7"))</f>
        <v/>
      </c>
      <c r="AA175" s="85">
        <f t="array" ref="AA175">IFERROR(OFFSET($BZ$11,ROW($B175)-11,MATCH(AA$10,$CA175:$FV175,0),),"")</f>
        <v/>
      </c>
      <c r="AB175" s="85">
        <f>IF(AA175="","",IF(VLOOKUP($B175,INDIRECT("'GRD-"&amp;AC175&amp;"'!$B:$R"),16,FALSE)="","",VLOOKUP($B175,INDIRECT("'GRD-"&amp;AC175&amp;"'!$B:$R"),16,FALSE)))</f>
        <v/>
      </c>
      <c r="AC175" s="130">
        <f t="array" ref="AC175">IF(AA175="","",IFERROR(OFFSET($BZ$11,0,MATCH($AA175,$CA175:$FV175,0),),""))</f>
        <v/>
      </c>
      <c r="AD175" s="131">
        <f t="array" ref="AD175">IF(AA175="","",INDIRECT("'GRD-"&amp;AC175&amp;"'!$L$7"))</f>
        <v/>
      </c>
      <c r="AE175" s="76">
        <f t="array" ref="AE175">IFERROR(OFFSET($BZ$11,ROW($B175)-11,MATCH(AE$10,$CA175:$FV175,0),),"")</f>
        <v/>
      </c>
      <c r="AF175" s="76">
        <f>IF(AE175="","",IF(VLOOKUP($B175,INDIRECT("'GRD-"&amp;AG175&amp;"'!$B:$R"),16,FALSE)="","",VLOOKUP($B175,INDIRECT("'GRD-"&amp;AG175&amp;"'!$B:$R"),16,FALSE)))</f>
        <v/>
      </c>
      <c r="AG175" s="132">
        <f t="array" ref="AG175">IF(AE175="","",IFERROR(OFFSET($BZ$11,0,MATCH($AE175,$CA175:$FV175,0),),""))</f>
        <v/>
      </c>
      <c r="AH175" s="121">
        <f t="array" ref="AH175">IF(AE175="","",INDIRECT("'GRD-"&amp;AG175&amp;"'!$L$7"))</f>
        <v/>
      </c>
      <c r="AI175" s="83">
        <f t="array" ref="AI175">IFERROR(OFFSET($BZ$11,ROW($B175)-11,MATCH(AI$10,$CA175:$FV175,0),),"")</f>
        <v/>
      </c>
      <c r="AJ175" s="83">
        <f>IF(AI175="","",IF(VLOOKUP($B175,INDIRECT("'GRD-"&amp;AK175&amp;"'!$B:$R"),16,FALSE)="","",VLOOKUP($B175,INDIRECT("'GRD-"&amp;AK175&amp;"'!$B:$R"),16,FALSE)))</f>
        <v/>
      </c>
      <c r="AK175" s="128">
        <f t="array" ref="AK175">IF(AI175="","",IFERROR(OFFSET($BZ$11,0,MATCH($AI175,$CA175:$FV175,0),),""))</f>
        <v/>
      </c>
      <c r="AL175" s="133">
        <f t="array" ref="AL175">IF(AI175="","",INDIRECT("'GRD-"&amp;AK175&amp;"'!$L$7"))</f>
        <v/>
      </c>
      <c r="AM175" s="84">
        <f t="array" ref="AM175">IFERROR(OFFSET($BZ$11,ROW($B175)-11,MATCH(AM$10,$CA175:$FV175,0),),"")</f>
        <v/>
      </c>
      <c r="AN175" s="84">
        <f>IF(AM175="","",IF(VLOOKUP($B175,INDIRECT("'GRD-"&amp;AO175&amp;"'!$B:$R"),16,FALSE)="","",VLOOKUP($B175,INDIRECT("'GRD-"&amp;AO175&amp;"'!$B:$R"),16,FALSE)))</f>
        <v/>
      </c>
      <c r="AO175" s="129">
        <f t="array" ref="AO175">IF(AM175="","",IFERROR(OFFSET($BZ$11,0,MATCH($AM175,$CA175:$FV175,0),),""))</f>
        <v/>
      </c>
      <c r="AP175" s="134">
        <f t="array" ref="AP175">IF(AM175="","",INDIRECT("'GRD-"&amp;AO175&amp;"'!$L$7"))</f>
        <v/>
      </c>
      <c r="AQ175" s="85">
        <f t="array" ref="AQ175">IFERROR(OFFSET($BZ$11,ROW($B175)-11,MATCH(AQ$10,$CA175:$FV175,0),),"")</f>
        <v/>
      </c>
      <c r="AR175" s="85">
        <f>IF(AQ175="","",IF(VLOOKUP($B175,INDIRECT("'GRD-"&amp;AS175&amp;"'!$B:$R"),16,FALSE)="","",VLOOKUP($B175,INDIRECT("'GRD-"&amp;AS175&amp;"'!$B:$R"),16,FALSE)))</f>
        <v/>
      </c>
      <c r="AS175" s="130">
        <f t="array" ref="AS175">IF(AQ175="","",IFERROR(OFFSET($BZ$11,0,MATCH($AQ175,$CA175:$FV175,0),),""))</f>
        <v/>
      </c>
      <c r="AT175" s="131">
        <f t="array" ref="AT175">IF(AQ175="","",INDIRECT("'GRD-"&amp;AS175&amp;"'!$L$7"))</f>
        <v/>
      </c>
      <c r="AU175" s="76">
        <f t="array" ref="AU175">IFERROR(OFFSET($BZ$11,ROW($B175)-11,MATCH(AU$10,$CA175:$FV175,0),),"")</f>
        <v/>
      </c>
      <c r="AV175" s="76">
        <f>IF(AU175="","",IF(VLOOKUP($B175,INDIRECT("'GRD-"&amp;AW175&amp;"'!$B:$R"),16,FALSE)="","",VLOOKUP($B175,INDIRECT("'GRD-"&amp;AW175&amp;"'!$B:$R"),16,FALSE)))</f>
        <v/>
      </c>
      <c r="AW175" s="132">
        <f t="array" ref="AW175">IF(AU175="","",IFERROR(OFFSET($BZ$11,0,MATCH($AU175,$CA175:$FV175,0),),""))</f>
        <v/>
      </c>
      <c r="AX175" s="121">
        <f t="array" ref="AX175">IF(AU175="","",INDIRECT("'GRD-"&amp;AW175&amp;"'!$L$7"))</f>
        <v/>
      </c>
      <c r="AY175" s="83">
        <f t="array" ref="AY175">IFERROR(OFFSET($BZ$11,ROW($B175)-11,MATCH(AY$10,$CA175:$FV175,0),),"")</f>
        <v/>
      </c>
      <c r="AZ175" s="83">
        <f>IF(AY175="","",IF(VLOOKUP($B175,INDIRECT("'GRD-"&amp;BA175&amp;"'!$B:$R"),16,FALSE)="","",VLOOKUP($B175,INDIRECT("'GRD-"&amp;BA175&amp;"'!$B:$R"),16,FALSE)))</f>
        <v/>
      </c>
      <c r="BA175" s="128">
        <f t="array" ref="BA175">IF(AY175="","",IFERROR(OFFSET($BZ$11,0,MATCH($AY175,$CA175:$FV175,0),),""))</f>
        <v/>
      </c>
      <c r="BB175" s="133">
        <f t="array" ref="BB175">IF(AY175="","",INDIRECT("'GRD-"&amp;BA175&amp;"'!$L$7"))</f>
        <v/>
      </c>
      <c r="BC175" s="84">
        <f t="array" ref="BC175">IFERROR(OFFSET($BZ$11,ROW($B175)-11,MATCH(BC$10,$CA175:$FV175,0),),"")</f>
        <v/>
      </c>
      <c r="BD175" s="84">
        <f>IF(BC175="","",IF(VLOOKUP($B175,INDIRECT("'GRD-"&amp;BE175&amp;"'!$B:$R"),16,FALSE)="","",VLOOKUP($B175,INDIRECT("'GRD-"&amp;BE175&amp;"'!$B:$R"),16,FALSE)))</f>
        <v/>
      </c>
      <c r="BE175" s="129">
        <f t="array" ref="BE175">IF(BC175="","",IFERROR(OFFSET($BZ$11,0,MATCH($BC175,$CA175:$FV175,0),),""))</f>
        <v/>
      </c>
      <c r="BF175" s="134">
        <f t="array" ref="BF175">IF(BC175="","",INDIRECT("'GRD-"&amp;BE175&amp;"'!$L$7"))</f>
        <v/>
      </c>
      <c r="CA175" s="96">
        <f>IFERROR(VLOOKUP($B175,INDIRECT("'GRD-"&amp;CA$11&amp;"'!B:R"),15,FALSE),"")</f>
        <v/>
      </c>
      <c r="CB175" s="96">
        <f>IFERROR(VLOOKUP($B175,INDIRECT("'GRD-"&amp;CB$11&amp;"'!B:R"),15,FALSE),"")</f>
        <v/>
      </c>
      <c r="CC175" s="96">
        <f>IFERROR(VLOOKUP($B175,INDIRECT("'GRD-"&amp;CC$11&amp;"'!B:R"),15,FALSE),"")</f>
        <v/>
      </c>
      <c r="CD175" s="96">
        <f>IFERROR(VLOOKUP($B175,INDIRECT("'GRD-"&amp;CD$11&amp;"'!B:R"),15,FALSE),"")</f>
        <v/>
      </c>
      <c r="CE175" s="96">
        <f>IFERROR(VLOOKUP($B175,INDIRECT("'GRD-"&amp;CE$11&amp;"'!B:R"),15,FALSE),"")</f>
        <v/>
      </c>
      <c r="CF175" s="96">
        <f>IFERROR(VLOOKUP($B175,INDIRECT("'GRD-"&amp;CF$11&amp;"'!B:R"),15,FALSE),"")</f>
        <v/>
      </c>
      <c r="CG175" s="96">
        <f>IFERROR(VLOOKUP($B175,INDIRECT("'GRD-"&amp;CG$11&amp;"'!B:R"),15,FALSE),"")</f>
        <v/>
      </c>
      <c r="CH175" s="96">
        <f>IFERROR(VLOOKUP($B175,INDIRECT("'GRD-"&amp;CH$11&amp;"'!B:R"),15,FALSE),"")</f>
        <v/>
      </c>
      <c r="CI175" s="96">
        <f>IFERROR(VLOOKUP($B175,INDIRECT("'GRD-"&amp;CI$11&amp;"'!B:R"),15,FALSE),"")</f>
        <v/>
      </c>
      <c r="CJ175" s="96">
        <f>IFERROR(VLOOKUP($B175,INDIRECT("'GRD-"&amp;CJ$11&amp;"'!B:R"),15,FALSE),"")</f>
        <v/>
      </c>
      <c r="CK175" s="96">
        <f>IFERROR(VLOOKUP($B175,INDIRECT("'GRD-"&amp;CK$11&amp;"'!B:R"),15,FALSE),"")</f>
        <v/>
      </c>
      <c r="CL175" s="96">
        <f>IFERROR(VLOOKUP($B175,INDIRECT("'GRD-"&amp;CL$11&amp;"'!B:R"),15,FALSE),"")</f>
        <v/>
      </c>
      <c r="CM175" s="96">
        <f>IFERROR(VLOOKUP($B175,INDIRECT("'GRD-"&amp;CM$11&amp;"'!B:R"),15,FALSE),"")</f>
        <v/>
      </c>
      <c r="CN175" s="96">
        <f>IFERROR(VLOOKUP($B175,INDIRECT("'GRD-"&amp;CN$11&amp;"'!B:R"),15,FALSE),"")</f>
        <v/>
      </c>
      <c r="CO175" s="96">
        <f>IFERROR(VLOOKUP($B175,INDIRECT("'GRD-"&amp;CO$11&amp;"'!B:R"),15,FALSE),"")</f>
        <v/>
      </c>
      <c r="CP175" s="96">
        <f>IFERROR(VLOOKUP($B175,INDIRECT("'GRD-"&amp;CP$11&amp;"'!B:R"),15,FALSE),"")</f>
        <v/>
      </c>
      <c r="CQ175" s="96">
        <f>IFERROR(VLOOKUP($B175,INDIRECT("'GRD-"&amp;CQ$11&amp;"'!B:R"),15,FALSE),"")</f>
        <v/>
      </c>
      <c r="CR175" s="96">
        <f>IFERROR(VLOOKUP($B175,INDIRECT("'GRD-"&amp;CR$11&amp;"'!B:R"),15,FALSE),"")</f>
        <v/>
      </c>
      <c r="CS175" s="96">
        <f>IFERROR(VLOOKUP($B175,INDIRECT("'GRD-"&amp;CS$11&amp;"'!B:R"),15,FALSE),"")</f>
        <v/>
      </c>
      <c r="CT175" s="96">
        <f>IFERROR(VLOOKUP($B175,INDIRECT("'GRD-"&amp;CT$11&amp;"'!B:R"),15,FALSE),"")</f>
        <v/>
      </c>
      <c r="CU175" s="96">
        <f>IFERROR(VLOOKUP($B175,INDIRECT("'GRD-"&amp;CU$11&amp;"'!B:R"),15,FALSE),"")</f>
        <v/>
      </c>
      <c r="CV175" s="96">
        <f>IFERROR(VLOOKUP($B175,INDIRECT("'GRD-"&amp;CV$11&amp;"'!B:R"),15,FALSE),"")</f>
        <v/>
      </c>
      <c r="CW175" s="96">
        <f>IFERROR(VLOOKUP($B175,INDIRECT("'GRD-"&amp;CW$11&amp;"'!B:R"),15,FALSE),"")</f>
        <v/>
      </c>
      <c r="CX175" s="96">
        <f>IFERROR(VLOOKUP($B175,INDIRECT("'GRD-"&amp;CX$11&amp;"'!B:R"),15,FALSE),"")</f>
        <v/>
      </c>
      <c r="CY175" s="96">
        <f>IFERROR(VLOOKUP($B175,INDIRECT("'GRD-"&amp;CY$11&amp;"'!B:R"),15,FALSE),"")</f>
        <v/>
      </c>
      <c r="CZ175" s="96">
        <f>IFERROR(VLOOKUP($B175,INDIRECT("'GRD-"&amp;CZ$11&amp;"'!B:R"),15,FALSE),"")</f>
        <v/>
      </c>
      <c r="DA175" s="96">
        <f>IFERROR(VLOOKUP($B175,INDIRECT("'GRD-"&amp;DA$11&amp;"'!B:R"),15,FALSE),"")</f>
        <v/>
      </c>
      <c r="DB175" s="96">
        <f>IFERROR(VLOOKUP($B175,INDIRECT("'GRD-"&amp;DB$11&amp;"'!B:R"),15,FALSE),"")</f>
        <v/>
      </c>
      <c r="DC175" s="96">
        <f>IFERROR(VLOOKUP($B175,INDIRECT("'GRD-"&amp;DC$11&amp;"'!B:R"),15,FALSE),"")</f>
        <v/>
      </c>
      <c r="DD175" s="96">
        <f>IFERROR(VLOOKUP($B175,INDIRECT("'GRD-"&amp;DD$11&amp;"'!B:R"),15,FALSE),"")</f>
        <v/>
      </c>
      <c r="DE175" s="96">
        <f>IFERROR(VLOOKUP($B175,INDIRECT("'GRD-"&amp;DE$11&amp;"'!B:R"),15,FALSE),"")</f>
        <v/>
      </c>
      <c r="DF175" s="96">
        <f>IFERROR(VLOOKUP($B175,INDIRECT("'GRD-"&amp;DF$11&amp;"'!B:R"),15,FALSE),"")</f>
        <v/>
      </c>
      <c r="DG175" s="96">
        <f>IFERROR(VLOOKUP($B175,INDIRECT("'GRD-"&amp;DG$11&amp;"'!B:R"),15,FALSE),"")</f>
        <v/>
      </c>
      <c r="DH175" s="96">
        <f>IFERROR(VLOOKUP($B175,INDIRECT("'GRD-"&amp;DH$11&amp;"'!B:R"),15,FALSE),"")</f>
        <v/>
      </c>
      <c r="DI175" s="96">
        <f>IFERROR(VLOOKUP($B175,INDIRECT("'GRD-"&amp;DI$11&amp;"'!B:R"),15,FALSE),"")</f>
        <v/>
      </c>
      <c r="DJ175" s="96">
        <f>IFERROR(VLOOKUP($B175,INDIRECT("'GRD-"&amp;DJ$11&amp;"'!B:R"),15,FALSE),"")</f>
        <v/>
      </c>
      <c r="DK175" s="96">
        <f>IFERROR(VLOOKUP($B175,INDIRECT("'GRD-"&amp;DK$11&amp;"'!B:R"),15,FALSE),"")</f>
        <v/>
      </c>
      <c r="DL175" s="96">
        <f>IFERROR(VLOOKUP($B175,INDIRECT("'GRD-"&amp;DL$11&amp;"'!B:R"),15,FALSE),"")</f>
        <v/>
      </c>
      <c r="DM175" s="96">
        <f>IFERROR(VLOOKUP($B175,INDIRECT("'GRD-"&amp;DM$11&amp;"'!B:R"),15,FALSE),"")</f>
        <v/>
      </c>
      <c r="DN175" s="96">
        <f>IFERROR(VLOOKUP($B175,INDIRECT("'GRD-"&amp;DN$11&amp;"'!B:R"),15,FALSE),"")</f>
        <v/>
      </c>
      <c r="DO175" s="96">
        <f>IFERROR(VLOOKUP($B175,INDIRECT("'GRD-"&amp;DO$11&amp;"'!B:R"),15,FALSE),"")</f>
        <v/>
      </c>
      <c r="DP175" s="96">
        <f>IFERROR(VLOOKUP($B175,INDIRECT("'GRD-"&amp;DP$11&amp;"'!B:R"),15,FALSE),"")</f>
        <v/>
      </c>
      <c r="DQ175" s="96">
        <f>IFERROR(VLOOKUP($B175,INDIRECT("'GRD-"&amp;DQ$11&amp;"'!B:R"),15,FALSE),"")</f>
        <v/>
      </c>
      <c r="DR175" s="96">
        <f>IFERROR(VLOOKUP($B175,INDIRECT("'GRD-"&amp;DR$11&amp;"'!B:R"),15,FALSE),"")</f>
        <v/>
      </c>
      <c r="DS175" s="96">
        <f>IFERROR(VLOOKUP($B175,INDIRECT("'GRD-"&amp;DS$11&amp;"'!B:R"),15,FALSE),"")</f>
        <v/>
      </c>
      <c r="DT175" s="96">
        <f>IFERROR(VLOOKUP($B175,INDIRECT("'GRD-"&amp;DT$11&amp;"'!B:R"),15,FALSE),"")</f>
        <v/>
      </c>
      <c r="DU175" s="96">
        <f>IFERROR(VLOOKUP($B175,INDIRECT("'GRD-"&amp;DU$11&amp;"'!B:R"),15,FALSE),"")</f>
        <v/>
      </c>
      <c r="DV175" s="96">
        <f>IFERROR(VLOOKUP($B175,INDIRECT("'GRD-"&amp;DV$11&amp;"'!B:R"),15,FALSE),"")</f>
        <v/>
      </c>
      <c r="DW175" s="96">
        <f>IFERROR(VLOOKUP($B175,INDIRECT("'GRD-"&amp;DW$11&amp;"'!B:R"),15,FALSE),"")</f>
        <v/>
      </c>
      <c r="DX175" s="96">
        <f>IFERROR(VLOOKUP($B175,INDIRECT("'GRD-"&amp;DX$11&amp;"'!B:R"),15,FALSE),"")</f>
        <v/>
      </c>
      <c r="DY175" s="96">
        <f>IFERROR(VLOOKUP($B175,INDIRECT("'GRD-"&amp;DY$11&amp;"'!B:R"),15,FALSE),"")</f>
        <v/>
      </c>
      <c r="DZ175" s="96">
        <f>IFERROR(VLOOKUP($B175,INDIRECT("'GRD-"&amp;DZ$11&amp;"'!B:R"),15,FALSE),"")</f>
        <v/>
      </c>
      <c r="EA175" s="96">
        <f>IFERROR(VLOOKUP($B175,INDIRECT("'GRD-"&amp;EA$11&amp;"'!B:R"),15,FALSE),"")</f>
        <v/>
      </c>
      <c r="EB175" s="96">
        <f>IFERROR(VLOOKUP($B175,INDIRECT("'GRD-"&amp;EB$11&amp;"'!B:R"),15,FALSE),"")</f>
        <v/>
      </c>
      <c r="EC175" s="96">
        <f>IFERROR(VLOOKUP($B175,INDIRECT("'GRD-"&amp;EC$11&amp;"'!B:R"),15,FALSE),"")</f>
        <v/>
      </c>
      <c r="ED175" s="96">
        <f>IFERROR(VLOOKUP($B175,INDIRECT("'GRD-"&amp;ED$11&amp;"'!B:R"),15,FALSE),"")</f>
        <v/>
      </c>
      <c r="EE175" s="96">
        <f>IFERROR(VLOOKUP($B175,INDIRECT("'GRD-"&amp;EE$11&amp;"'!B:R"),15,FALSE),"")</f>
        <v/>
      </c>
      <c r="EF175" s="96">
        <f>IFERROR(VLOOKUP($B175,INDIRECT("'GRD-"&amp;EF$11&amp;"'!B:R"),15,FALSE),"")</f>
        <v/>
      </c>
      <c r="EG175" s="96">
        <f>IFERROR(VLOOKUP($B175,INDIRECT("'GRD-"&amp;EG$11&amp;"'!B:R"),15,FALSE),"")</f>
        <v/>
      </c>
      <c r="EH175" s="96">
        <f>IFERROR(VLOOKUP($B175,INDIRECT("'GRD-"&amp;EH$11&amp;"'!B:R"),15,FALSE),"")</f>
        <v/>
      </c>
      <c r="EI175" s="96">
        <f>IFERROR(VLOOKUP($B175,INDIRECT("'GRD-"&amp;EI$11&amp;"'!B:R"),15,FALSE),"")</f>
        <v/>
      </c>
      <c r="EJ175" s="96">
        <f>IFERROR(VLOOKUP($B175,INDIRECT("'GRD-"&amp;EJ$11&amp;"'!B:R"),15,FALSE),"")</f>
        <v/>
      </c>
      <c r="EK175" s="96">
        <f>IFERROR(VLOOKUP($B175,INDIRECT("'GRD-"&amp;EK$11&amp;"'!B:R"),15,FALSE),"")</f>
        <v/>
      </c>
      <c r="EL175" s="96">
        <f>IFERROR(VLOOKUP($B175,INDIRECT("'GRD-"&amp;EL$11&amp;"'!B:R"),15,FALSE),"")</f>
        <v/>
      </c>
      <c r="EM175" s="96">
        <f>IFERROR(VLOOKUP($B175,INDIRECT("'GRD-"&amp;EM$11&amp;"'!B:R"),15,FALSE),"")</f>
        <v/>
      </c>
      <c r="EN175" s="96">
        <f>IFERROR(VLOOKUP($B175,INDIRECT("'GRD-"&amp;EN$11&amp;"'!B:R"),15,FALSE),"")</f>
        <v/>
      </c>
      <c r="EO175" s="96">
        <f>IFERROR(VLOOKUP($B175,INDIRECT("'GRD-"&amp;EO$11&amp;"'!B:R"),15,FALSE),"")</f>
        <v/>
      </c>
      <c r="EP175" s="96">
        <f>IFERROR(VLOOKUP($B175,INDIRECT("'GRD-"&amp;EP$11&amp;"'!B:R"),15,FALSE),"")</f>
        <v/>
      </c>
      <c r="EQ175" s="96">
        <f>IFERROR(VLOOKUP($B175,INDIRECT("'GRD-"&amp;EQ$11&amp;"'!B:R"),15,FALSE),"")</f>
        <v/>
      </c>
      <c r="ER175" s="96">
        <f>IFERROR(VLOOKUP($B175,INDIRECT("'GRD-"&amp;ER$11&amp;"'!B:R"),15,FALSE),"")</f>
        <v/>
      </c>
      <c r="ES175" s="96">
        <f>IFERROR(VLOOKUP($B175,INDIRECT("'GRD-"&amp;ES$11&amp;"'!B:R"),15,FALSE),"")</f>
        <v/>
      </c>
      <c r="ET175" s="96">
        <f>IFERROR(VLOOKUP($B175,INDIRECT("'GRD-"&amp;ET$11&amp;"'!B:R"),15,FALSE),"")</f>
        <v/>
      </c>
      <c r="EU175" s="96">
        <f>IFERROR(VLOOKUP($B175,INDIRECT("'GRD-"&amp;EU$11&amp;"'!B:R"),15,FALSE),"")</f>
        <v/>
      </c>
      <c r="EV175" s="96">
        <f>IFERROR(VLOOKUP($B175,INDIRECT("'GRD-"&amp;EV$11&amp;"'!B:R"),15,FALSE),"")</f>
        <v/>
      </c>
      <c r="EW175" s="96">
        <f>IFERROR(VLOOKUP($B175,INDIRECT("'GRD-"&amp;EW$11&amp;"'!B:R"),15,FALSE),"")</f>
        <v/>
      </c>
      <c r="EX175" s="96">
        <f>IFERROR(VLOOKUP($B175,INDIRECT("'GRD-"&amp;EX$11&amp;"'!B:R"),15,FALSE),"")</f>
        <v/>
      </c>
      <c r="EY175" s="96">
        <f>IFERROR(VLOOKUP($B175,INDIRECT("'GRD-"&amp;EY$11&amp;"'!B:R"),15,FALSE),"")</f>
        <v/>
      </c>
      <c r="EZ175" s="96">
        <f>IFERROR(VLOOKUP($B175,INDIRECT("'GRD-"&amp;EZ$11&amp;"'!B:R"),15,FALSE),"")</f>
        <v/>
      </c>
      <c r="FA175" s="96">
        <f>IFERROR(VLOOKUP($B175,INDIRECT("'GRD-"&amp;FA$11&amp;"'!B:R"),15,FALSE),"")</f>
        <v/>
      </c>
      <c r="FB175" s="96">
        <f>IFERROR(VLOOKUP($B175,INDIRECT("'GRD-"&amp;FB$11&amp;"'!B:R"),15,FALSE),"")</f>
        <v/>
      </c>
      <c r="FC175" s="96">
        <f>IFERROR(VLOOKUP($B175,INDIRECT("'GRD-"&amp;FC$11&amp;"'!B:R"),15,FALSE),"")</f>
        <v/>
      </c>
      <c r="FD175" s="96">
        <f>IFERROR(VLOOKUP($B175,INDIRECT("'GRD-"&amp;FD$11&amp;"'!B:R"),15,FALSE),"")</f>
        <v/>
      </c>
      <c r="FE175" s="96">
        <f>IFERROR(VLOOKUP($B175,INDIRECT("'GRD-"&amp;FE$11&amp;"'!B:R"),15,FALSE),"")</f>
        <v/>
      </c>
      <c r="FF175" s="96">
        <f>IFERROR(VLOOKUP($B175,INDIRECT("'GRD-"&amp;FF$11&amp;"'!B:R"),15,FALSE),"")</f>
        <v/>
      </c>
      <c r="FG175" s="96">
        <f>IFERROR(VLOOKUP($B175,INDIRECT("'GRD-"&amp;FG$11&amp;"'!B:R"),15,FALSE),"")</f>
        <v/>
      </c>
      <c r="FH175" s="96">
        <f>IFERROR(VLOOKUP($B175,INDIRECT("'GRD-"&amp;FH$11&amp;"'!B:R"),15,FALSE),"")</f>
        <v/>
      </c>
      <c r="FI175" s="96">
        <f>IFERROR(VLOOKUP($B175,INDIRECT("'GRD-"&amp;FI$11&amp;"'!B:R"),15,FALSE),"")</f>
        <v/>
      </c>
      <c r="FJ175" s="96">
        <f>IFERROR(VLOOKUP($B175,INDIRECT("'GRD-"&amp;FJ$11&amp;"'!B:R"),15,FALSE),"")</f>
        <v/>
      </c>
      <c r="FK175" s="96">
        <f>IFERROR(VLOOKUP($B175,INDIRECT("'GRD-"&amp;FK$11&amp;"'!B:R"),15,FALSE),"")</f>
        <v/>
      </c>
      <c r="FL175" s="96">
        <f>IFERROR(VLOOKUP($B175,INDIRECT("'GRD-"&amp;FL$11&amp;"'!B:R"),15,FALSE),"")</f>
        <v/>
      </c>
      <c r="FM175" s="96">
        <f>IFERROR(VLOOKUP($B175,INDIRECT("'GRD-"&amp;FM$11&amp;"'!B:R"),15,FALSE),"")</f>
        <v/>
      </c>
      <c r="FN175" s="96">
        <f>IFERROR(VLOOKUP($B175,INDIRECT("'GRD-"&amp;FN$11&amp;"'!B:R"),15,FALSE),"")</f>
        <v/>
      </c>
      <c r="FO175" s="96">
        <f>IFERROR(VLOOKUP($B175,INDIRECT("'GRD-"&amp;FO$11&amp;"'!B:R"),15,FALSE),"")</f>
        <v/>
      </c>
      <c r="FP175" s="96">
        <f>IFERROR(VLOOKUP($B175,INDIRECT("'GRD-"&amp;FP$11&amp;"'!B:R"),15,FALSE),"")</f>
        <v/>
      </c>
      <c r="FQ175" s="96">
        <f>IFERROR(VLOOKUP($B175,INDIRECT("'GRD-"&amp;FQ$11&amp;"'!B:R"),15,FALSE),"")</f>
        <v/>
      </c>
      <c r="FR175" s="96">
        <f>IFERROR(VLOOKUP($B175,INDIRECT("'GRD-"&amp;FR$11&amp;"'!B:R"),15,FALSE),"")</f>
        <v/>
      </c>
      <c r="FS175" s="96">
        <f>IFERROR(VLOOKUP($B175,INDIRECT("'GRD-"&amp;FS$11&amp;"'!B:R"),15,FALSE),"")</f>
        <v/>
      </c>
      <c r="FT175" s="96">
        <f>IFERROR(VLOOKUP($B175,INDIRECT("'GRD-"&amp;FT$11&amp;"'!B:R"),15,FALSE),"")</f>
        <v/>
      </c>
      <c r="FU175" s="96">
        <f>IFERROR(VLOOKUP($B175,INDIRECT("'GRD-"&amp;FU$11&amp;"'!B:R"),15,FALSE),"")</f>
        <v/>
      </c>
      <c r="FV175" s="96">
        <f>IFERROR(VLOOKUP($B175,INDIRECT("'GRD-"&amp;FV$11&amp;"'!B:R"),15,FALSE),"")</f>
        <v/>
      </c>
    </row>
    <row r="176">
      <c r="B176" s="85" t="n"/>
      <c r="C176" s="93" t="n"/>
      <c r="D176" s="73">
        <f>IF(K176="","",MAX($CA176:$FV176))</f>
        <v/>
      </c>
      <c r="E176" s="74">
        <f t="array" ref="E176">IF($K176="","",OFFSET($A$1,ROW($B176)-1,11+$D176*4,))</f>
        <v/>
      </c>
      <c r="F176" s="74">
        <f t="array" ref="F176">IF($K176="","",OFFSET($A$1,ROW($B176)-1,12+$D176*4,))</f>
        <v/>
      </c>
      <c r="G176" s="118">
        <f t="array" ref="G176">IF($K176="","",OFFSET($A$1,ROW($B176)-1,13+$D176*4,))</f>
        <v/>
      </c>
      <c r="H176" s="81" t="n"/>
      <c r="I176" s="82" t="n"/>
      <c r="J176" s="75">
        <f>IF(I176="A4",H176/8,IF(I176="A3",H176/4,IF(I176="A2",H176/2,IF(I176="A1",H176/1,IF(I176="A0",H176*2,"")))))</f>
        <v/>
      </c>
      <c r="K176" s="68">
        <f t="array" ref="K176">IFERROR(OFFSET($BZ$11,ROW($B176)-11,MATCH(K$10,$CA176:$FV176,0),),"")</f>
        <v/>
      </c>
      <c r="L176" s="85">
        <f>IF(K176="","",IF(VLOOKUP($B176,INDIRECT("'GRD-"&amp;M176&amp;"'!$B:$R"),16,FALSE)="","",VLOOKUP($B176,INDIRECT("'GRD-"&amp;M176&amp;"'!$B:$R"),16,FALSE)))</f>
        <v/>
      </c>
      <c r="M176" s="130">
        <f t="array" ref="M176">IF(K176="","",IFERROR(OFFSET($BZ$11,0,MATCH($K176,$CA176:$FV176,0),),""))</f>
        <v/>
      </c>
      <c r="N176" s="119">
        <f t="array" ref="N176">IF(K176="","",INDIRECT("'GRD-"&amp;M176&amp;"'!$L$7"))</f>
        <v/>
      </c>
      <c r="O176" s="76">
        <f t="array" ref="O176">IFERROR(OFFSET($BZ$11,ROW($B176)-11,MATCH(O$10,$CA176:$FV176,0),),"")</f>
        <v/>
      </c>
      <c r="P176" s="76">
        <f>IF(O176="","",IF(VLOOKUP($B176,INDIRECT("'GRD-"&amp;Q176&amp;"'!$B:$R"),16,FALSE)="","",VLOOKUP($B176,INDIRECT("'GRD-"&amp;Q176&amp;"'!$B:$R"),16,FALSE)))</f>
        <v/>
      </c>
      <c r="Q176" s="132">
        <f t="array" ref="Q176">IF(O176="","",IFERROR(OFFSET($BZ$11,0,MATCH($O176,$CA176:$FV176,0),),""))</f>
        <v/>
      </c>
      <c r="R176" s="121">
        <f t="array" ref="R176">IF(O176="","",INDIRECT("'GRD-"&amp;Q176&amp;"'!$L$7"))</f>
        <v/>
      </c>
      <c r="S176" s="83">
        <f t="array" ref="S176">IFERROR(OFFSET($BZ$11,ROW($B176)-11,MATCH(S$10,$CA176:$FV176,0),),"")</f>
        <v/>
      </c>
      <c r="T176" s="83">
        <f>IF(S176="","",IF(VLOOKUP($B176,INDIRECT("'GRD-"&amp;U176&amp;"'!$B:$R"),16,FALSE)="","",VLOOKUP($B176,INDIRECT("'GRD-"&amp;U176&amp;"'!$B:$R"),16,FALSE)))</f>
        <v/>
      </c>
      <c r="U176" s="128">
        <f t="array" ref="U176">IF(S176="","",IFERROR(OFFSET($BZ$11,0,MATCH($S176,$CA176:$FV176,0),),""))</f>
        <v/>
      </c>
      <c r="V176" s="133">
        <f t="array" ref="V176">IF(S176="","",INDIRECT("'GRD-"&amp;U176&amp;"'!$L$7"))</f>
        <v/>
      </c>
      <c r="W176" s="84">
        <f t="array" ref="W176">IFERROR(OFFSET($BZ$11,ROW($B176)-11,MATCH(W$10,$CA176:$FV176,0),),"")</f>
        <v/>
      </c>
      <c r="X176" s="84">
        <f>IF(W176="","",IF(VLOOKUP($B176,INDIRECT("'GRD-"&amp;Y176&amp;"'!$B:$R"),16,FALSE)="","",VLOOKUP($B176,INDIRECT("'GRD-"&amp;Y176&amp;"'!$B:$R"),16,FALSE)))</f>
        <v/>
      </c>
      <c r="Y176" s="129">
        <f t="array" ref="Y176">IF(W176="","",IFERROR(OFFSET($BZ$11,0,MATCH($W176,$CA176:$FV176,0),),""))</f>
        <v/>
      </c>
      <c r="Z176" s="134">
        <f t="array" ref="Z176">IF(W176="","",INDIRECT("'GRD-"&amp;Y176&amp;"'!$L$7"))</f>
        <v/>
      </c>
      <c r="AA176" s="85">
        <f t="array" ref="AA176">IFERROR(OFFSET($BZ$11,ROW($B176)-11,MATCH(AA$10,$CA176:$FV176,0),),"")</f>
        <v/>
      </c>
      <c r="AB176" s="85">
        <f>IF(AA176="","",IF(VLOOKUP($B176,INDIRECT("'GRD-"&amp;AC176&amp;"'!$B:$R"),16,FALSE)="","",VLOOKUP($B176,INDIRECT("'GRD-"&amp;AC176&amp;"'!$B:$R"),16,FALSE)))</f>
        <v/>
      </c>
      <c r="AC176" s="130">
        <f t="array" ref="AC176">IF(AA176="","",IFERROR(OFFSET($BZ$11,0,MATCH($AA176,$CA176:$FV176,0),),""))</f>
        <v/>
      </c>
      <c r="AD176" s="131">
        <f t="array" ref="AD176">IF(AA176="","",INDIRECT("'GRD-"&amp;AC176&amp;"'!$L$7"))</f>
        <v/>
      </c>
      <c r="AE176" s="76">
        <f t="array" ref="AE176">IFERROR(OFFSET($BZ$11,ROW($B176)-11,MATCH(AE$10,$CA176:$FV176,0),),"")</f>
        <v/>
      </c>
      <c r="AF176" s="76">
        <f>IF(AE176="","",IF(VLOOKUP($B176,INDIRECT("'GRD-"&amp;AG176&amp;"'!$B:$R"),16,FALSE)="","",VLOOKUP($B176,INDIRECT("'GRD-"&amp;AG176&amp;"'!$B:$R"),16,FALSE)))</f>
        <v/>
      </c>
      <c r="AG176" s="132">
        <f t="array" ref="AG176">IF(AE176="","",IFERROR(OFFSET($BZ$11,0,MATCH($AE176,$CA176:$FV176,0),),""))</f>
        <v/>
      </c>
      <c r="AH176" s="121">
        <f t="array" ref="AH176">IF(AE176="","",INDIRECT("'GRD-"&amp;AG176&amp;"'!$L$7"))</f>
        <v/>
      </c>
      <c r="AI176" s="83">
        <f t="array" ref="AI176">IFERROR(OFFSET($BZ$11,ROW($B176)-11,MATCH(AI$10,$CA176:$FV176,0),),"")</f>
        <v/>
      </c>
      <c r="AJ176" s="83">
        <f>IF(AI176="","",IF(VLOOKUP($B176,INDIRECT("'GRD-"&amp;AK176&amp;"'!$B:$R"),16,FALSE)="","",VLOOKUP($B176,INDIRECT("'GRD-"&amp;AK176&amp;"'!$B:$R"),16,FALSE)))</f>
        <v/>
      </c>
      <c r="AK176" s="128">
        <f t="array" ref="AK176">IF(AI176="","",IFERROR(OFFSET($BZ$11,0,MATCH($AI176,$CA176:$FV176,0),),""))</f>
        <v/>
      </c>
      <c r="AL176" s="133">
        <f t="array" ref="AL176">IF(AI176="","",INDIRECT("'GRD-"&amp;AK176&amp;"'!$L$7"))</f>
        <v/>
      </c>
      <c r="AM176" s="84">
        <f t="array" ref="AM176">IFERROR(OFFSET($BZ$11,ROW($B176)-11,MATCH(AM$10,$CA176:$FV176,0),),"")</f>
        <v/>
      </c>
      <c r="AN176" s="84">
        <f>IF(AM176="","",IF(VLOOKUP($B176,INDIRECT("'GRD-"&amp;AO176&amp;"'!$B:$R"),16,FALSE)="","",VLOOKUP($B176,INDIRECT("'GRD-"&amp;AO176&amp;"'!$B:$R"),16,FALSE)))</f>
        <v/>
      </c>
      <c r="AO176" s="129">
        <f t="array" ref="AO176">IF(AM176="","",IFERROR(OFFSET($BZ$11,0,MATCH($AM176,$CA176:$FV176,0),),""))</f>
        <v/>
      </c>
      <c r="AP176" s="134">
        <f t="array" ref="AP176">IF(AM176="","",INDIRECT("'GRD-"&amp;AO176&amp;"'!$L$7"))</f>
        <v/>
      </c>
      <c r="AQ176" s="85">
        <f t="array" ref="AQ176">IFERROR(OFFSET($BZ$11,ROW($B176)-11,MATCH(AQ$10,$CA176:$FV176,0),),"")</f>
        <v/>
      </c>
      <c r="AR176" s="85">
        <f>IF(AQ176="","",IF(VLOOKUP($B176,INDIRECT("'GRD-"&amp;AS176&amp;"'!$B:$R"),16,FALSE)="","",VLOOKUP($B176,INDIRECT("'GRD-"&amp;AS176&amp;"'!$B:$R"),16,FALSE)))</f>
        <v/>
      </c>
      <c r="AS176" s="130">
        <f t="array" ref="AS176">IF(AQ176="","",IFERROR(OFFSET($BZ$11,0,MATCH($AQ176,$CA176:$FV176,0),),""))</f>
        <v/>
      </c>
      <c r="AT176" s="131">
        <f t="array" ref="AT176">IF(AQ176="","",INDIRECT("'GRD-"&amp;AS176&amp;"'!$L$7"))</f>
        <v/>
      </c>
      <c r="AU176" s="76">
        <f t="array" ref="AU176">IFERROR(OFFSET($BZ$11,ROW($B176)-11,MATCH(AU$10,$CA176:$FV176,0),),"")</f>
        <v/>
      </c>
      <c r="AV176" s="76">
        <f>IF(AU176="","",IF(VLOOKUP($B176,INDIRECT("'GRD-"&amp;AW176&amp;"'!$B:$R"),16,FALSE)="","",VLOOKUP($B176,INDIRECT("'GRD-"&amp;AW176&amp;"'!$B:$R"),16,FALSE)))</f>
        <v/>
      </c>
      <c r="AW176" s="132">
        <f t="array" ref="AW176">IF(AU176="","",IFERROR(OFFSET($BZ$11,0,MATCH($AU176,$CA176:$FV176,0),),""))</f>
        <v/>
      </c>
      <c r="AX176" s="121">
        <f t="array" ref="AX176">IF(AU176="","",INDIRECT("'GRD-"&amp;AW176&amp;"'!$L$7"))</f>
        <v/>
      </c>
      <c r="AY176" s="83">
        <f t="array" ref="AY176">IFERROR(OFFSET($BZ$11,ROW($B176)-11,MATCH(AY$10,$CA176:$FV176,0),),"")</f>
        <v/>
      </c>
      <c r="AZ176" s="83">
        <f>IF(AY176="","",IF(VLOOKUP($B176,INDIRECT("'GRD-"&amp;BA176&amp;"'!$B:$R"),16,FALSE)="","",VLOOKUP($B176,INDIRECT("'GRD-"&amp;BA176&amp;"'!$B:$R"),16,FALSE)))</f>
        <v/>
      </c>
      <c r="BA176" s="128">
        <f t="array" ref="BA176">IF(AY176="","",IFERROR(OFFSET($BZ$11,0,MATCH($AY176,$CA176:$FV176,0),),""))</f>
        <v/>
      </c>
      <c r="BB176" s="133">
        <f t="array" ref="BB176">IF(AY176="","",INDIRECT("'GRD-"&amp;BA176&amp;"'!$L$7"))</f>
        <v/>
      </c>
      <c r="BC176" s="84">
        <f t="array" ref="BC176">IFERROR(OFFSET($BZ$11,ROW($B176)-11,MATCH(BC$10,$CA176:$FV176,0),),"")</f>
        <v/>
      </c>
      <c r="BD176" s="84">
        <f>IF(BC176="","",IF(VLOOKUP($B176,INDIRECT("'GRD-"&amp;BE176&amp;"'!$B:$R"),16,FALSE)="","",VLOOKUP($B176,INDIRECT("'GRD-"&amp;BE176&amp;"'!$B:$R"),16,FALSE)))</f>
        <v/>
      </c>
      <c r="BE176" s="129">
        <f t="array" ref="BE176">IF(BC176="","",IFERROR(OFFSET($BZ$11,0,MATCH($BC176,$CA176:$FV176,0),),""))</f>
        <v/>
      </c>
      <c r="BF176" s="134">
        <f t="array" ref="BF176">IF(BC176="","",INDIRECT("'GRD-"&amp;BE176&amp;"'!$L$7"))</f>
        <v/>
      </c>
      <c r="CA176" s="96">
        <f>IFERROR(VLOOKUP($B176,INDIRECT("'GRD-"&amp;CA$11&amp;"'!B:R"),15,FALSE),"")</f>
        <v/>
      </c>
      <c r="CB176" s="96">
        <f>IFERROR(VLOOKUP($B176,INDIRECT("'GRD-"&amp;CB$11&amp;"'!B:R"),15,FALSE),"")</f>
        <v/>
      </c>
      <c r="CC176" s="96">
        <f>IFERROR(VLOOKUP($B176,INDIRECT("'GRD-"&amp;CC$11&amp;"'!B:R"),15,FALSE),"")</f>
        <v/>
      </c>
      <c r="CD176" s="96">
        <f>IFERROR(VLOOKUP($B176,INDIRECT("'GRD-"&amp;CD$11&amp;"'!B:R"),15,FALSE),"")</f>
        <v/>
      </c>
      <c r="CE176" s="96">
        <f>IFERROR(VLOOKUP($B176,INDIRECT("'GRD-"&amp;CE$11&amp;"'!B:R"),15,FALSE),"")</f>
        <v/>
      </c>
      <c r="CF176" s="96">
        <f>IFERROR(VLOOKUP($B176,INDIRECT("'GRD-"&amp;CF$11&amp;"'!B:R"),15,FALSE),"")</f>
        <v/>
      </c>
      <c r="CG176" s="96">
        <f>IFERROR(VLOOKUP($B176,INDIRECT("'GRD-"&amp;CG$11&amp;"'!B:R"),15,FALSE),"")</f>
        <v/>
      </c>
      <c r="CH176" s="96">
        <f>IFERROR(VLOOKUP($B176,INDIRECT("'GRD-"&amp;CH$11&amp;"'!B:R"),15,FALSE),"")</f>
        <v/>
      </c>
      <c r="CI176" s="96">
        <f>IFERROR(VLOOKUP($B176,INDIRECT("'GRD-"&amp;CI$11&amp;"'!B:R"),15,FALSE),"")</f>
        <v/>
      </c>
      <c r="CJ176" s="96">
        <f>IFERROR(VLOOKUP($B176,INDIRECT("'GRD-"&amp;CJ$11&amp;"'!B:R"),15,FALSE),"")</f>
        <v/>
      </c>
      <c r="CK176" s="96">
        <f>IFERROR(VLOOKUP($B176,INDIRECT("'GRD-"&amp;CK$11&amp;"'!B:R"),15,FALSE),"")</f>
        <v/>
      </c>
      <c r="CL176" s="96">
        <f>IFERROR(VLOOKUP($B176,INDIRECT("'GRD-"&amp;CL$11&amp;"'!B:R"),15,FALSE),"")</f>
        <v/>
      </c>
      <c r="CM176" s="96">
        <f>IFERROR(VLOOKUP($B176,INDIRECT("'GRD-"&amp;CM$11&amp;"'!B:R"),15,FALSE),"")</f>
        <v/>
      </c>
      <c r="CN176" s="96">
        <f>IFERROR(VLOOKUP($B176,INDIRECT("'GRD-"&amp;CN$11&amp;"'!B:R"),15,FALSE),"")</f>
        <v/>
      </c>
      <c r="CO176" s="96">
        <f>IFERROR(VLOOKUP($B176,INDIRECT("'GRD-"&amp;CO$11&amp;"'!B:R"),15,FALSE),"")</f>
        <v/>
      </c>
      <c r="CP176" s="96">
        <f>IFERROR(VLOOKUP($B176,INDIRECT("'GRD-"&amp;CP$11&amp;"'!B:R"),15,FALSE),"")</f>
        <v/>
      </c>
      <c r="CQ176" s="96">
        <f>IFERROR(VLOOKUP($B176,INDIRECT("'GRD-"&amp;CQ$11&amp;"'!B:R"),15,FALSE),"")</f>
        <v/>
      </c>
      <c r="CR176" s="96">
        <f>IFERROR(VLOOKUP($B176,INDIRECT("'GRD-"&amp;CR$11&amp;"'!B:R"),15,FALSE),"")</f>
        <v/>
      </c>
      <c r="CS176" s="96">
        <f>IFERROR(VLOOKUP($B176,INDIRECT("'GRD-"&amp;CS$11&amp;"'!B:R"),15,FALSE),"")</f>
        <v/>
      </c>
      <c r="CT176" s="96">
        <f>IFERROR(VLOOKUP($B176,INDIRECT("'GRD-"&amp;CT$11&amp;"'!B:R"),15,FALSE),"")</f>
        <v/>
      </c>
      <c r="CU176" s="96">
        <f>IFERROR(VLOOKUP($B176,INDIRECT("'GRD-"&amp;CU$11&amp;"'!B:R"),15,FALSE),"")</f>
        <v/>
      </c>
      <c r="CV176" s="96">
        <f>IFERROR(VLOOKUP($B176,INDIRECT("'GRD-"&amp;CV$11&amp;"'!B:R"),15,FALSE),"")</f>
        <v/>
      </c>
      <c r="CW176" s="96">
        <f>IFERROR(VLOOKUP($B176,INDIRECT("'GRD-"&amp;CW$11&amp;"'!B:R"),15,FALSE),"")</f>
        <v/>
      </c>
      <c r="CX176" s="96">
        <f>IFERROR(VLOOKUP($B176,INDIRECT("'GRD-"&amp;CX$11&amp;"'!B:R"),15,FALSE),"")</f>
        <v/>
      </c>
      <c r="CY176" s="96">
        <f>IFERROR(VLOOKUP($B176,INDIRECT("'GRD-"&amp;CY$11&amp;"'!B:R"),15,FALSE),"")</f>
        <v/>
      </c>
      <c r="CZ176" s="96">
        <f>IFERROR(VLOOKUP($B176,INDIRECT("'GRD-"&amp;CZ$11&amp;"'!B:R"),15,FALSE),"")</f>
        <v/>
      </c>
      <c r="DA176" s="96">
        <f>IFERROR(VLOOKUP($B176,INDIRECT("'GRD-"&amp;DA$11&amp;"'!B:R"),15,FALSE),"")</f>
        <v/>
      </c>
      <c r="DB176" s="96">
        <f>IFERROR(VLOOKUP($B176,INDIRECT("'GRD-"&amp;DB$11&amp;"'!B:R"),15,FALSE),"")</f>
        <v/>
      </c>
      <c r="DC176" s="96">
        <f>IFERROR(VLOOKUP($B176,INDIRECT("'GRD-"&amp;DC$11&amp;"'!B:R"),15,FALSE),"")</f>
        <v/>
      </c>
      <c r="DD176" s="96">
        <f>IFERROR(VLOOKUP($B176,INDIRECT("'GRD-"&amp;DD$11&amp;"'!B:R"),15,FALSE),"")</f>
        <v/>
      </c>
      <c r="DE176" s="96">
        <f>IFERROR(VLOOKUP($B176,INDIRECT("'GRD-"&amp;DE$11&amp;"'!B:R"),15,FALSE),"")</f>
        <v/>
      </c>
      <c r="DF176" s="96">
        <f>IFERROR(VLOOKUP($B176,INDIRECT("'GRD-"&amp;DF$11&amp;"'!B:R"),15,FALSE),"")</f>
        <v/>
      </c>
      <c r="DG176" s="96">
        <f>IFERROR(VLOOKUP($B176,INDIRECT("'GRD-"&amp;DG$11&amp;"'!B:R"),15,FALSE),"")</f>
        <v/>
      </c>
      <c r="DH176" s="96">
        <f>IFERROR(VLOOKUP($B176,INDIRECT("'GRD-"&amp;DH$11&amp;"'!B:R"),15,FALSE),"")</f>
        <v/>
      </c>
      <c r="DI176" s="96">
        <f>IFERROR(VLOOKUP($B176,INDIRECT("'GRD-"&amp;DI$11&amp;"'!B:R"),15,FALSE),"")</f>
        <v/>
      </c>
      <c r="DJ176" s="96">
        <f>IFERROR(VLOOKUP($B176,INDIRECT("'GRD-"&amp;DJ$11&amp;"'!B:R"),15,FALSE),"")</f>
        <v/>
      </c>
      <c r="DK176" s="96">
        <f>IFERROR(VLOOKUP($B176,INDIRECT("'GRD-"&amp;DK$11&amp;"'!B:R"),15,FALSE),"")</f>
        <v/>
      </c>
      <c r="DL176" s="96">
        <f>IFERROR(VLOOKUP($B176,INDIRECT("'GRD-"&amp;DL$11&amp;"'!B:R"),15,FALSE),"")</f>
        <v/>
      </c>
      <c r="DM176" s="96">
        <f>IFERROR(VLOOKUP($B176,INDIRECT("'GRD-"&amp;DM$11&amp;"'!B:R"),15,FALSE),"")</f>
        <v/>
      </c>
      <c r="DN176" s="96">
        <f>IFERROR(VLOOKUP($B176,INDIRECT("'GRD-"&amp;DN$11&amp;"'!B:R"),15,FALSE),"")</f>
        <v/>
      </c>
      <c r="DO176" s="96">
        <f>IFERROR(VLOOKUP($B176,INDIRECT("'GRD-"&amp;DO$11&amp;"'!B:R"),15,FALSE),"")</f>
        <v/>
      </c>
      <c r="DP176" s="96">
        <f>IFERROR(VLOOKUP($B176,INDIRECT("'GRD-"&amp;DP$11&amp;"'!B:R"),15,FALSE),"")</f>
        <v/>
      </c>
      <c r="DQ176" s="96">
        <f>IFERROR(VLOOKUP($B176,INDIRECT("'GRD-"&amp;DQ$11&amp;"'!B:R"),15,FALSE),"")</f>
        <v/>
      </c>
      <c r="DR176" s="96">
        <f>IFERROR(VLOOKUP($B176,INDIRECT("'GRD-"&amp;DR$11&amp;"'!B:R"),15,FALSE),"")</f>
        <v/>
      </c>
      <c r="DS176" s="96">
        <f>IFERROR(VLOOKUP($B176,INDIRECT("'GRD-"&amp;DS$11&amp;"'!B:R"),15,FALSE),"")</f>
        <v/>
      </c>
      <c r="DT176" s="96">
        <f>IFERROR(VLOOKUP($B176,INDIRECT("'GRD-"&amp;DT$11&amp;"'!B:R"),15,FALSE),"")</f>
        <v/>
      </c>
      <c r="DU176" s="96">
        <f>IFERROR(VLOOKUP($B176,INDIRECT("'GRD-"&amp;DU$11&amp;"'!B:R"),15,FALSE),"")</f>
        <v/>
      </c>
      <c r="DV176" s="96">
        <f>IFERROR(VLOOKUP($B176,INDIRECT("'GRD-"&amp;DV$11&amp;"'!B:R"),15,FALSE),"")</f>
        <v/>
      </c>
      <c r="DW176" s="96">
        <f>IFERROR(VLOOKUP($B176,INDIRECT("'GRD-"&amp;DW$11&amp;"'!B:R"),15,FALSE),"")</f>
        <v/>
      </c>
      <c r="DX176" s="96">
        <f>IFERROR(VLOOKUP($B176,INDIRECT("'GRD-"&amp;DX$11&amp;"'!B:R"),15,FALSE),"")</f>
        <v/>
      </c>
      <c r="DY176" s="96">
        <f>IFERROR(VLOOKUP($B176,INDIRECT("'GRD-"&amp;DY$11&amp;"'!B:R"),15,FALSE),"")</f>
        <v/>
      </c>
      <c r="DZ176" s="96">
        <f>IFERROR(VLOOKUP($B176,INDIRECT("'GRD-"&amp;DZ$11&amp;"'!B:R"),15,FALSE),"")</f>
        <v/>
      </c>
      <c r="EA176" s="96">
        <f>IFERROR(VLOOKUP($B176,INDIRECT("'GRD-"&amp;EA$11&amp;"'!B:R"),15,FALSE),"")</f>
        <v/>
      </c>
      <c r="EB176" s="96">
        <f>IFERROR(VLOOKUP($B176,INDIRECT("'GRD-"&amp;EB$11&amp;"'!B:R"),15,FALSE),"")</f>
        <v/>
      </c>
      <c r="EC176" s="96">
        <f>IFERROR(VLOOKUP($B176,INDIRECT("'GRD-"&amp;EC$11&amp;"'!B:R"),15,FALSE),"")</f>
        <v/>
      </c>
      <c r="ED176" s="96">
        <f>IFERROR(VLOOKUP($B176,INDIRECT("'GRD-"&amp;ED$11&amp;"'!B:R"),15,FALSE),"")</f>
        <v/>
      </c>
      <c r="EE176" s="96">
        <f>IFERROR(VLOOKUP($B176,INDIRECT("'GRD-"&amp;EE$11&amp;"'!B:R"),15,FALSE),"")</f>
        <v/>
      </c>
      <c r="EF176" s="96">
        <f>IFERROR(VLOOKUP($B176,INDIRECT("'GRD-"&amp;EF$11&amp;"'!B:R"),15,FALSE),"")</f>
        <v/>
      </c>
      <c r="EG176" s="96">
        <f>IFERROR(VLOOKUP($B176,INDIRECT("'GRD-"&amp;EG$11&amp;"'!B:R"),15,FALSE),"")</f>
        <v/>
      </c>
      <c r="EH176" s="96">
        <f>IFERROR(VLOOKUP($B176,INDIRECT("'GRD-"&amp;EH$11&amp;"'!B:R"),15,FALSE),"")</f>
        <v/>
      </c>
      <c r="EI176" s="96">
        <f>IFERROR(VLOOKUP($B176,INDIRECT("'GRD-"&amp;EI$11&amp;"'!B:R"),15,FALSE),"")</f>
        <v/>
      </c>
      <c r="EJ176" s="96">
        <f>IFERROR(VLOOKUP($B176,INDIRECT("'GRD-"&amp;EJ$11&amp;"'!B:R"),15,FALSE),"")</f>
        <v/>
      </c>
      <c r="EK176" s="96">
        <f>IFERROR(VLOOKUP($B176,INDIRECT("'GRD-"&amp;EK$11&amp;"'!B:R"),15,FALSE),"")</f>
        <v/>
      </c>
      <c r="EL176" s="96">
        <f>IFERROR(VLOOKUP($B176,INDIRECT("'GRD-"&amp;EL$11&amp;"'!B:R"),15,FALSE),"")</f>
        <v/>
      </c>
      <c r="EM176" s="96">
        <f>IFERROR(VLOOKUP($B176,INDIRECT("'GRD-"&amp;EM$11&amp;"'!B:R"),15,FALSE),"")</f>
        <v/>
      </c>
      <c r="EN176" s="96">
        <f>IFERROR(VLOOKUP($B176,INDIRECT("'GRD-"&amp;EN$11&amp;"'!B:R"),15,FALSE),"")</f>
        <v/>
      </c>
      <c r="EO176" s="96">
        <f>IFERROR(VLOOKUP($B176,INDIRECT("'GRD-"&amp;EO$11&amp;"'!B:R"),15,FALSE),"")</f>
        <v/>
      </c>
      <c r="EP176" s="96">
        <f>IFERROR(VLOOKUP($B176,INDIRECT("'GRD-"&amp;EP$11&amp;"'!B:R"),15,FALSE),"")</f>
        <v/>
      </c>
      <c r="EQ176" s="96">
        <f>IFERROR(VLOOKUP($B176,INDIRECT("'GRD-"&amp;EQ$11&amp;"'!B:R"),15,FALSE),"")</f>
        <v/>
      </c>
      <c r="ER176" s="96">
        <f>IFERROR(VLOOKUP($B176,INDIRECT("'GRD-"&amp;ER$11&amp;"'!B:R"),15,FALSE),"")</f>
        <v/>
      </c>
      <c r="ES176" s="96">
        <f>IFERROR(VLOOKUP($B176,INDIRECT("'GRD-"&amp;ES$11&amp;"'!B:R"),15,FALSE),"")</f>
        <v/>
      </c>
      <c r="ET176" s="96">
        <f>IFERROR(VLOOKUP($B176,INDIRECT("'GRD-"&amp;ET$11&amp;"'!B:R"),15,FALSE),"")</f>
        <v/>
      </c>
      <c r="EU176" s="96">
        <f>IFERROR(VLOOKUP($B176,INDIRECT("'GRD-"&amp;EU$11&amp;"'!B:R"),15,FALSE),"")</f>
        <v/>
      </c>
      <c r="EV176" s="96">
        <f>IFERROR(VLOOKUP($B176,INDIRECT("'GRD-"&amp;EV$11&amp;"'!B:R"),15,FALSE),"")</f>
        <v/>
      </c>
      <c r="EW176" s="96">
        <f>IFERROR(VLOOKUP($B176,INDIRECT("'GRD-"&amp;EW$11&amp;"'!B:R"),15,FALSE),"")</f>
        <v/>
      </c>
      <c r="EX176" s="96">
        <f>IFERROR(VLOOKUP($B176,INDIRECT("'GRD-"&amp;EX$11&amp;"'!B:R"),15,FALSE),"")</f>
        <v/>
      </c>
      <c r="EY176" s="96">
        <f>IFERROR(VLOOKUP($B176,INDIRECT("'GRD-"&amp;EY$11&amp;"'!B:R"),15,FALSE),"")</f>
        <v/>
      </c>
      <c r="EZ176" s="96">
        <f>IFERROR(VLOOKUP($B176,INDIRECT("'GRD-"&amp;EZ$11&amp;"'!B:R"),15,FALSE),"")</f>
        <v/>
      </c>
      <c r="FA176" s="96">
        <f>IFERROR(VLOOKUP($B176,INDIRECT("'GRD-"&amp;FA$11&amp;"'!B:R"),15,FALSE),"")</f>
        <v/>
      </c>
      <c r="FB176" s="96">
        <f>IFERROR(VLOOKUP($B176,INDIRECT("'GRD-"&amp;FB$11&amp;"'!B:R"),15,FALSE),"")</f>
        <v/>
      </c>
      <c r="FC176" s="96">
        <f>IFERROR(VLOOKUP($B176,INDIRECT("'GRD-"&amp;FC$11&amp;"'!B:R"),15,FALSE),"")</f>
        <v/>
      </c>
      <c r="FD176" s="96">
        <f>IFERROR(VLOOKUP($B176,INDIRECT("'GRD-"&amp;FD$11&amp;"'!B:R"),15,FALSE),"")</f>
        <v/>
      </c>
      <c r="FE176" s="96">
        <f>IFERROR(VLOOKUP($B176,INDIRECT("'GRD-"&amp;FE$11&amp;"'!B:R"),15,FALSE),"")</f>
        <v/>
      </c>
      <c r="FF176" s="96">
        <f>IFERROR(VLOOKUP($B176,INDIRECT("'GRD-"&amp;FF$11&amp;"'!B:R"),15,FALSE),"")</f>
        <v/>
      </c>
      <c r="FG176" s="96">
        <f>IFERROR(VLOOKUP($B176,INDIRECT("'GRD-"&amp;FG$11&amp;"'!B:R"),15,FALSE),"")</f>
        <v/>
      </c>
      <c r="FH176" s="96">
        <f>IFERROR(VLOOKUP($B176,INDIRECT("'GRD-"&amp;FH$11&amp;"'!B:R"),15,FALSE),"")</f>
        <v/>
      </c>
      <c r="FI176" s="96">
        <f>IFERROR(VLOOKUP($B176,INDIRECT("'GRD-"&amp;FI$11&amp;"'!B:R"),15,FALSE),"")</f>
        <v/>
      </c>
      <c r="FJ176" s="96">
        <f>IFERROR(VLOOKUP($B176,INDIRECT("'GRD-"&amp;FJ$11&amp;"'!B:R"),15,FALSE),"")</f>
        <v/>
      </c>
      <c r="FK176" s="96">
        <f>IFERROR(VLOOKUP($B176,INDIRECT("'GRD-"&amp;FK$11&amp;"'!B:R"),15,FALSE),"")</f>
        <v/>
      </c>
      <c r="FL176" s="96">
        <f>IFERROR(VLOOKUP($B176,INDIRECT("'GRD-"&amp;FL$11&amp;"'!B:R"),15,FALSE),"")</f>
        <v/>
      </c>
      <c r="FM176" s="96">
        <f>IFERROR(VLOOKUP($B176,INDIRECT("'GRD-"&amp;FM$11&amp;"'!B:R"),15,FALSE),"")</f>
        <v/>
      </c>
      <c r="FN176" s="96">
        <f>IFERROR(VLOOKUP($B176,INDIRECT("'GRD-"&amp;FN$11&amp;"'!B:R"),15,FALSE),"")</f>
        <v/>
      </c>
      <c r="FO176" s="96">
        <f>IFERROR(VLOOKUP($B176,INDIRECT("'GRD-"&amp;FO$11&amp;"'!B:R"),15,FALSE),"")</f>
        <v/>
      </c>
      <c r="FP176" s="96">
        <f>IFERROR(VLOOKUP($B176,INDIRECT("'GRD-"&amp;FP$11&amp;"'!B:R"),15,FALSE),"")</f>
        <v/>
      </c>
      <c r="FQ176" s="96">
        <f>IFERROR(VLOOKUP($B176,INDIRECT("'GRD-"&amp;FQ$11&amp;"'!B:R"),15,FALSE),"")</f>
        <v/>
      </c>
      <c r="FR176" s="96">
        <f>IFERROR(VLOOKUP($B176,INDIRECT("'GRD-"&amp;FR$11&amp;"'!B:R"),15,FALSE),"")</f>
        <v/>
      </c>
      <c r="FS176" s="96">
        <f>IFERROR(VLOOKUP($B176,INDIRECT("'GRD-"&amp;FS$11&amp;"'!B:R"),15,FALSE),"")</f>
        <v/>
      </c>
      <c r="FT176" s="96">
        <f>IFERROR(VLOOKUP($B176,INDIRECT("'GRD-"&amp;FT$11&amp;"'!B:R"),15,FALSE),"")</f>
        <v/>
      </c>
      <c r="FU176" s="96">
        <f>IFERROR(VLOOKUP($B176,INDIRECT("'GRD-"&amp;FU$11&amp;"'!B:R"),15,FALSE),"")</f>
        <v/>
      </c>
      <c r="FV176" s="96">
        <f>IFERROR(VLOOKUP($B176,INDIRECT("'GRD-"&amp;FV$11&amp;"'!B:R"),15,FALSE),"")</f>
        <v/>
      </c>
    </row>
    <row r="177">
      <c r="B177" s="85" t="n"/>
      <c r="C177" s="93" t="n"/>
      <c r="D177" s="73">
        <f>IF(K177="","",MAX($CA177:$FV177))</f>
        <v/>
      </c>
      <c r="E177" s="74">
        <f t="array" ref="E177">IF($K177="","",OFFSET($A$1,ROW($B177)-1,11+$D177*4,))</f>
        <v/>
      </c>
      <c r="F177" s="74">
        <f t="array" ref="F177">IF($K177="","",OFFSET($A$1,ROW($B177)-1,12+$D177*4,))</f>
        <v/>
      </c>
      <c r="G177" s="118">
        <f t="array" ref="G177">IF($K177="","",OFFSET($A$1,ROW($B177)-1,13+$D177*4,))</f>
        <v/>
      </c>
      <c r="H177" s="81" t="n"/>
      <c r="I177" s="82" t="n"/>
      <c r="J177" s="75">
        <f>IF(I177="A4",H177/8,IF(I177="A3",H177/4,IF(I177="A2",H177/2,IF(I177="A1",H177/1,IF(I177="A0",H177*2,"")))))</f>
        <v/>
      </c>
      <c r="K177" s="68">
        <f t="array" ref="K177">IFERROR(OFFSET($BZ$11,ROW($B177)-11,MATCH(K$10,$CA177:$FV177,0),),"")</f>
        <v/>
      </c>
      <c r="L177" s="85">
        <f>IF(K177="","",IF(VLOOKUP($B177,INDIRECT("'GRD-"&amp;M177&amp;"'!$B:$R"),16,FALSE)="","",VLOOKUP($B177,INDIRECT("'GRD-"&amp;M177&amp;"'!$B:$R"),16,FALSE)))</f>
        <v/>
      </c>
      <c r="M177" s="130">
        <f t="array" ref="M177">IF(K177="","",IFERROR(OFFSET($BZ$11,0,MATCH($K177,$CA177:$FV177,0),),""))</f>
        <v/>
      </c>
      <c r="N177" s="119">
        <f t="array" ref="N177">IF(K177="","",INDIRECT("'GRD-"&amp;M177&amp;"'!$L$7"))</f>
        <v/>
      </c>
      <c r="O177" s="76">
        <f t="array" ref="O177">IFERROR(OFFSET($BZ$11,ROW($B177)-11,MATCH(O$10,$CA177:$FV177,0),),"")</f>
        <v/>
      </c>
      <c r="P177" s="76">
        <f>IF(O177="","",IF(VLOOKUP($B177,INDIRECT("'GRD-"&amp;Q177&amp;"'!$B:$R"),16,FALSE)="","",VLOOKUP($B177,INDIRECT("'GRD-"&amp;Q177&amp;"'!$B:$R"),16,FALSE)))</f>
        <v/>
      </c>
      <c r="Q177" s="132">
        <f t="array" ref="Q177">IF(O177="","",IFERROR(OFFSET($BZ$11,0,MATCH($O177,$CA177:$FV177,0),),""))</f>
        <v/>
      </c>
      <c r="R177" s="121">
        <f t="array" ref="R177">IF(O177="","",INDIRECT("'GRD-"&amp;Q177&amp;"'!$L$7"))</f>
        <v/>
      </c>
      <c r="S177" s="83">
        <f t="array" ref="S177">IFERROR(OFFSET($BZ$11,ROW($B177)-11,MATCH(S$10,$CA177:$FV177,0),),"")</f>
        <v/>
      </c>
      <c r="T177" s="83">
        <f>IF(S177="","",IF(VLOOKUP($B177,INDIRECT("'GRD-"&amp;U177&amp;"'!$B:$R"),16,FALSE)="","",VLOOKUP($B177,INDIRECT("'GRD-"&amp;U177&amp;"'!$B:$R"),16,FALSE)))</f>
        <v/>
      </c>
      <c r="U177" s="128">
        <f t="array" ref="U177">IF(S177="","",IFERROR(OFFSET($BZ$11,0,MATCH($S177,$CA177:$FV177,0),),""))</f>
        <v/>
      </c>
      <c r="V177" s="133">
        <f t="array" ref="V177">IF(S177="","",INDIRECT("'GRD-"&amp;U177&amp;"'!$L$7"))</f>
        <v/>
      </c>
      <c r="W177" s="84">
        <f t="array" ref="W177">IFERROR(OFFSET($BZ$11,ROW($B177)-11,MATCH(W$10,$CA177:$FV177,0),),"")</f>
        <v/>
      </c>
      <c r="X177" s="84">
        <f>IF(W177="","",IF(VLOOKUP($B177,INDIRECT("'GRD-"&amp;Y177&amp;"'!$B:$R"),16,FALSE)="","",VLOOKUP($B177,INDIRECT("'GRD-"&amp;Y177&amp;"'!$B:$R"),16,FALSE)))</f>
        <v/>
      </c>
      <c r="Y177" s="129">
        <f t="array" ref="Y177">IF(W177="","",IFERROR(OFFSET($BZ$11,0,MATCH($W177,$CA177:$FV177,0),),""))</f>
        <v/>
      </c>
      <c r="Z177" s="134">
        <f t="array" ref="Z177">IF(W177="","",INDIRECT("'GRD-"&amp;Y177&amp;"'!$L$7"))</f>
        <v/>
      </c>
      <c r="AA177" s="85">
        <f t="array" ref="AA177">IFERROR(OFFSET($BZ$11,ROW($B177)-11,MATCH(AA$10,$CA177:$FV177,0),),"")</f>
        <v/>
      </c>
      <c r="AB177" s="85">
        <f>IF(AA177="","",IF(VLOOKUP($B177,INDIRECT("'GRD-"&amp;AC177&amp;"'!$B:$R"),16,FALSE)="","",VLOOKUP($B177,INDIRECT("'GRD-"&amp;AC177&amp;"'!$B:$R"),16,FALSE)))</f>
        <v/>
      </c>
      <c r="AC177" s="130">
        <f t="array" ref="AC177">IF(AA177="","",IFERROR(OFFSET($BZ$11,0,MATCH($AA177,$CA177:$FV177,0),),""))</f>
        <v/>
      </c>
      <c r="AD177" s="131">
        <f t="array" ref="AD177">IF(AA177="","",INDIRECT("'GRD-"&amp;AC177&amp;"'!$L$7"))</f>
        <v/>
      </c>
      <c r="AE177" s="76">
        <f t="array" ref="AE177">IFERROR(OFFSET($BZ$11,ROW($B177)-11,MATCH(AE$10,$CA177:$FV177,0),),"")</f>
        <v/>
      </c>
      <c r="AF177" s="76">
        <f>IF(AE177="","",IF(VLOOKUP($B177,INDIRECT("'GRD-"&amp;AG177&amp;"'!$B:$R"),16,FALSE)="","",VLOOKUP($B177,INDIRECT("'GRD-"&amp;AG177&amp;"'!$B:$R"),16,FALSE)))</f>
        <v/>
      </c>
      <c r="AG177" s="132">
        <f t="array" ref="AG177">IF(AE177="","",IFERROR(OFFSET($BZ$11,0,MATCH($AE177,$CA177:$FV177,0),),""))</f>
        <v/>
      </c>
      <c r="AH177" s="121">
        <f t="array" ref="AH177">IF(AE177="","",INDIRECT("'GRD-"&amp;AG177&amp;"'!$L$7"))</f>
        <v/>
      </c>
      <c r="AI177" s="83">
        <f t="array" ref="AI177">IFERROR(OFFSET($BZ$11,ROW($B177)-11,MATCH(AI$10,$CA177:$FV177,0),),"")</f>
        <v/>
      </c>
      <c r="AJ177" s="83">
        <f>IF(AI177="","",IF(VLOOKUP($B177,INDIRECT("'GRD-"&amp;AK177&amp;"'!$B:$R"),16,FALSE)="","",VLOOKUP($B177,INDIRECT("'GRD-"&amp;AK177&amp;"'!$B:$R"),16,FALSE)))</f>
        <v/>
      </c>
      <c r="AK177" s="128">
        <f t="array" ref="AK177">IF(AI177="","",IFERROR(OFFSET($BZ$11,0,MATCH($AI177,$CA177:$FV177,0),),""))</f>
        <v/>
      </c>
      <c r="AL177" s="133">
        <f t="array" ref="AL177">IF(AI177="","",INDIRECT("'GRD-"&amp;AK177&amp;"'!$L$7"))</f>
        <v/>
      </c>
      <c r="AM177" s="84">
        <f t="array" ref="AM177">IFERROR(OFFSET($BZ$11,ROW($B177)-11,MATCH(AM$10,$CA177:$FV177,0),),"")</f>
        <v/>
      </c>
      <c r="AN177" s="84">
        <f>IF(AM177="","",IF(VLOOKUP($B177,INDIRECT("'GRD-"&amp;AO177&amp;"'!$B:$R"),16,FALSE)="","",VLOOKUP($B177,INDIRECT("'GRD-"&amp;AO177&amp;"'!$B:$R"),16,FALSE)))</f>
        <v/>
      </c>
      <c r="AO177" s="129">
        <f t="array" ref="AO177">IF(AM177="","",IFERROR(OFFSET($BZ$11,0,MATCH($AM177,$CA177:$FV177,0),),""))</f>
        <v/>
      </c>
      <c r="AP177" s="134">
        <f t="array" ref="AP177">IF(AM177="","",INDIRECT("'GRD-"&amp;AO177&amp;"'!$L$7"))</f>
        <v/>
      </c>
      <c r="AQ177" s="85">
        <f t="array" ref="AQ177">IFERROR(OFFSET($BZ$11,ROW($B177)-11,MATCH(AQ$10,$CA177:$FV177,0),),"")</f>
        <v/>
      </c>
      <c r="AR177" s="85">
        <f>IF(AQ177="","",IF(VLOOKUP($B177,INDIRECT("'GRD-"&amp;AS177&amp;"'!$B:$R"),16,FALSE)="","",VLOOKUP($B177,INDIRECT("'GRD-"&amp;AS177&amp;"'!$B:$R"),16,FALSE)))</f>
        <v/>
      </c>
      <c r="AS177" s="130">
        <f t="array" ref="AS177">IF(AQ177="","",IFERROR(OFFSET($BZ$11,0,MATCH($AQ177,$CA177:$FV177,0),),""))</f>
        <v/>
      </c>
      <c r="AT177" s="131">
        <f t="array" ref="AT177">IF(AQ177="","",INDIRECT("'GRD-"&amp;AS177&amp;"'!$L$7"))</f>
        <v/>
      </c>
      <c r="AU177" s="76">
        <f t="array" ref="AU177">IFERROR(OFFSET($BZ$11,ROW($B177)-11,MATCH(AU$10,$CA177:$FV177,0),),"")</f>
        <v/>
      </c>
      <c r="AV177" s="76">
        <f>IF(AU177="","",IF(VLOOKUP($B177,INDIRECT("'GRD-"&amp;AW177&amp;"'!$B:$R"),16,FALSE)="","",VLOOKUP($B177,INDIRECT("'GRD-"&amp;AW177&amp;"'!$B:$R"),16,FALSE)))</f>
        <v/>
      </c>
      <c r="AW177" s="132">
        <f t="array" ref="AW177">IF(AU177="","",IFERROR(OFFSET($BZ$11,0,MATCH($AU177,$CA177:$FV177,0),),""))</f>
        <v/>
      </c>
      <c r="AX177" s="121">
        <f t="array" ref="AX177">IF(AU177="","",INDIRECT("'GRD-"&amp;AW177&amp;"'!$L$7"))</f>
        <v/>
      </c>
      <c r="AY177" s="83">
        <f t="array" ref="AY177">IFERROR(OFFSET($BZ$11,ROW($B177)-11,MATCH(AY$10,$CA177:$FV177,0),),"")</f>
        <v/>
      </c>
      <c r="AZ177" s="83">
        <f>IF(AY177="","",IF(VLOOKUP($B177,INDIRECT("'GRD-"&amp;BA177&amp;"'!$B:$R"),16,FALSE)="","",VLOOKUP($B177,INDIRECT("'GRD-"&amp;BA177&amp;"'!$B:$R"),16,FALSE)))</f>
        <v/>
      </c>
      <c r="BA177" s="128">
        <f t="array" ref="BA177">IF(AY177="","",IFERROR(OFFSET($BZ$11,0,MATCH($AY177,$CA177:$FV177,0),),""))</f>
        <v/>
      </c>
      <c r="BB177" s="133">
        <f t="array" ref="BB177">IF(AY177="","",INDIRECT("'GRD-"&amp;BA177&amp;"'!$L$7"))</f>
        <v/>
      </c>
      <c r="BC177" s="84">
        <f t="array" ref="BC177">IFERROR(OFFSET($BZ$11,ROW($B177)-11,MATCH(BC$10,$CA177:$FV177,0),),"")</f>
        <v/>
      </c>
      <c r="BD177" s="84">
        <f>IF(BC177="","",IF(VLOOKUP($B177,INDIRECT("'GRD-"&amp;BE177&amp;"'!$B:$R"),16,FALSE)="","",VLOOKUP($B177,INDIRECT("'GRD-"&amp;BE177&amp;"'!$B:$R"),16,FALSE)))</f>
        <v/>
      </c>
      <c r="BE177" s="129">
        <f t="array" ref="BE177">IF(BC177="","",IFERROR(OFFSET($BZ$11,0,MATCH($BC177,$CA177:$FV177,0),),""))</f>
        <v/>
      </c>
      <c r="BF177" s="134">
        <f t="array" ref="BF177">IF(BC177="","",INDIRECT("'GRD-"&amp;BE177&amp;"'!$L$7"))</f>
        <v/>
      </c>
      <c r="CA177" s="96">
        <f>IFERROR(VLOOKUP($B177,INDIRECT("'GRD-"&amp;CA$11&amp;"'!B:R"),15,FALSE),"")</f>
        <v/>
      </c>
      <c r="CB177" s="96">
        <f>IFERROR(VLOOKUP($B177,INDIRECT("'GRD-"&amp;CB$11&amp;"'!B:R"),15,FALSE),"")</f>
        <v/>
      </c>
      <c r="CC177" s="96">
        <f>IFERROR(VLOOKUP($B177,INDIRECT("'GRD-"&amp;CC$11&amp;"'!B:R"),15,FALSE),"")</f>
        <v/>
      </c>
      <c r="CD177" s="96">
        <f>IFERROR(VLOOKUP($B177,INDIRECT("'GRD-"&amp;CD$11&amp;"'!B:R"),15,FALSE),"")</f>
        <v/>
      </c>
      <c r="CE177" s="96">
        <f>IFERROR(VLOOKUP($B177,INDIRECT("'GRD-"&amp;CE$11&amp;"'!B:R"),15,FALSE),"")</f>
        <v/>
      </c>
      <c r="CF177" s="96">
        <f>IFERROR(VLOOKUP($B177,INDIRECT("'GRD-"&amp;CF$11&amp;"'!B:R"),15,FALSE),"")</f>
        <v/>
      </c>
      <c r="CG177" s="96">
        <f>IFERROR(VLOOKUP($B177,INDIRECT("'GRD-"&amp;CG$11&amp;"'!B:R"),15,FALSE),"")</f>
        <v/>
      </c>
      <c r="CH177" s="96">
        <f>IFERROR(VLOOKUP($B177,INDIRECT("'GRD-"&amp;CH$11&amp;"'!B:R"),15,FALSE),"")</f>
        <v/>
      </c>
      <c r="CI177" s="96">
        <f>IFERROR(VLOOKUP($B177,INDIRECT("'GRD-"&amp;CI$11&amp;"'!B:R"),15,FALSE),"")</f>
        <v/>
      </c>
      <c r="CJ177" s="96">
        <f>IFERROR(VLOOKUP($B177,INDIRECT("'GRD-"&amp;CJ$11&amp;"'!B:R"),15,FALSE),"")</f>
        <v/>
      </c>
      <c r="CK177" s="96">
        <f>IFERROR(VLOOKUP($B177,INDIRECT("'GRD-"&amp;CK$11&amp;"'!B:R"),15,FALSE),"")</f>
        <v/>
      </c>
      <c r="CL177" s="96">
        <f>IFERROR(VLOOKUP($B177,INDIRECT("'GRD-"&amp;CL$11&amp;"'!B:R"),15,FALSE),"")</f>
        <v/>
      </c>
      <c r="CM177" s="96">
        <f>IFERROR(VLOOKUP($B177,INDIRECT("'GRD-"&amp;CM$11&amp;"'!B:R"),15,FALSE),"")</f>
        <v/>
      </c>
      <c r="CN177" s="96">
        <f>IFERROR(VLOOKUP($B177,INDIRECT("'GRD-"&amp;CN$11&amp;"'!B:R"),15,FALSE),"")</f>
        <v/>
      </c>
      <c r="CO177" s="96">
        <f>IFERROR(VLOOKUP($B177,INDIRECT("'GRD-"&amp;CO$11&amp;"'!B:R"),15,FALSE),"")</f>
        <v/>
      </c>
      <c r="CP177" s="96">
        <f>IFERROR(VLOOKUP($B177,INDIRECT("'GRD-"&amp;CP$11&amp;"'!B:R"),15,FALSE),"")</f>
        <v/>
      </c>
      <c r="CQ177" s="96">
        <f>IFERROR(VLOOKUP($B177,INDIRECT("'GRD-"&amp;CQ$11&amp;"'!B:R"),15,FALSE),"")</f>
        <v/>
      </c>
      <c r="CR177" s="96">
        <f>IFERROR(VLOOKUP($B177,INDIRECT("'GRD-"&amp;CR$11&amp;"'!B:R"),15,FALSE),"")</f>
        <v/>
      </c>
      <c r="CS177" s="96">
        <f>IFERROR(VLOOKUP($B177,INDIRECT("'GRD-"&amp;CS$11&amp;"'!B:R"),15,FALSE),"")</f>
        <v/>
      </c>
      <c r="CT177" s="96">
        <f>IFERROR(VLOOKUP($B177,INDIRECT("'GRD-"&amp;CT$11&amp;"'!B:R"),15,FALSE),"")</f>
        <v/>
      </c>
      <c r="CU177" s="96">
        <f>IFERROR(VLOOKUP($B177,INDIRECT("'GRD-"&amp;CU$11&amp;"'!B:R"),15,FALSE),"")</f>
        <v/>
      </c>
      <c r="CV177" s="96">
        <f>IFERROR(VLOOKUP($B177,INDIRECT("'GRD-"&amp;CV$11&amp;"'!B:R"),15,FALSE),"")</f>
        <v/>
      </c>
      <c r="CW177" s="96">
        <f>IFERROR(VLOOKUP($B177,INDIRECT("'GRD-"&amp;CW$11&amp;"'!B:R"),15,FALSE),"")</f>
        <v/>
      </c>
      <c r="CX177" s="96">
        <f>IFERROR(VLOOKUP($B177,INDIRECT("'GRD-"&amp;CX$11&amp;"'!B:R"),15,FALSE),"")</f>
        <v/>
      </c>
      <c r="CY177" s="96">
        <f>IFERROR(VLOOKUP($B177,INDIRECT("'GRD-"&amp;CY$11&amp;"'!B:R"),15,FALSE),"")</f>
        <v/>
      </c>
      <c r="CZ177" s="96">
        <f>IFERROR(VLOOKUP($B177,INDIRECT("'GRD-"&amp;CZ$11&amp;"'!B:R"),15,FALSE),"")</f>
        <v/>
      </c>
      <c r="DA177" s="96">
        <f>IFERROR(VLOOKUP($B177,INDIRECT("'GRD-"&amp;DA$11&amp;"'!B:R"),15,FALSE),"")</f>
        <v/>
      </c>
      <c r="DB177" s="96">
        <f>IFERROR(VLOOKUP($B177,INDIRECT("'GRD-"&amp;DB$11&amp;"'!B:R"),15,FALSE),"")</f>
        <v/>
      </c>
      <c r="DC177" s="96">
        <f>IFERROR(VLOOKUP($B177,INDIRECT("'GRD-"&amp;DC$11&amp;"'!B:R"),15,FALSE),"")</f>
        <v/>
      </c>
      <c r="DD177" s="96">
        <f>IFERROR(VLOOKUP($B177,INDIRECT("'GRD-"&amp;DD$11&amp;"'!B:R"),15,FALSE),"")</f>
        <v/>
      </c>
      <c r="DE177" s="96">
        <f>IFERROR(VLOOKUP($B177,INDIRECT("'GRD-"&amp;DE$11&amp;"'!B:R"),15,FALSE),"")</f>
        <v/>
      </c>
      <c r="DF177" s="96">
        <f>IFERROR(VLOOKUP($B177,INDIRECT("'GRD-"&amp;DF$11&amp;"'!B:R"),15,FALSE),"")</f>
        <v/>
      </c>
      <c r="DG177" s="96">
        <f>IFERROR(VLOOKUP($B177,INDIRECT("'GRD-"&amp;DG$11&amp;"'!B:R"),15,FALSE),"")</f>
        <v/>
      </c>
      <c r="DH177" s="96">
        <f>IFERROR(VLOOKUP($B177,INDIRECT("'GRD-"&amp;DH$11&amp;"'!B:R"),15,FALSE),"")</f>
        <v/>
      </c>
      <c r="DI177" s="96">
        <f>IFERROR(VLOOKUP($B177,INDIRECT("'GRD-"&amp;DI$11&amp;"'!B:R"),15,FALSE),"")</f>
        <v/>
      </c>
      <c r="DJ177" s="96">
        <f>IFERROR(VLOOKUP($B177,INDIRECT("'GRD-"&amp;DJ$11&amp;"'!B:R"),15,FALSE),"")</f>
        <v/>
      </c>
      <c r="DK177" s="96">
        <f>IFERROR(VLOOKUP($B177,INDIRECT("'GRD-"&amp;DK$11&amp;"'!B:R"),15,FALSE),"")</f>
        <v/>
      </c>
      <c r="DL177" s="96">
        <f>IFERROR(VLOOKUP($B177,INDIRECT("'GRD-"&amp;DL$11&amp;"'!B:R"),15,FALSE),"")</f>
        <v/>
      </c>
      <c r="DM177" s="96">
        <f>IFERROR(VLOOKUP($B177,INDIRECT("'GRD-"&amp;DM$11&amp;"'!B:R"),15,FALSE),"")</f>
        <v/>
      </c>
      <c r="DN177" s="96">
        <f>IFERROR(VLOOKUP($B177,INDIRECT("'GRD-"&amp;DN$11&amp;"'!B:R"),15,FALSE),"")</f>
        <v/>
      </c>
      <c r="DO177" s="96">
        <f>IFERROR(VLOOKUP($B177,INDIRECT("'GRD-"&amp;DO$11&amp;"'!B:R"),15,FALSE),"")</f>
        <v/>
      </c>
      <c r="DP177" s="96">
        <f>IFERROR(VLOOKUP($B177,INDIRECT("'GRD-"&amp;DP$11&amp;"'!B:R"),15,FALSE),"")</f>
        <v/>
      </c>
      <c r="DQ177" s="96">
        <f>IFERROR(VLOOKUP($B177,INDIRECT("'GRD-"&amp;DQ$11&amp;"'!B:R"),15,FALSE),"")</f>
        <v/>
      </c>
      <c r="DR177" s="96">
        <f>IFERROR(VLOOKUP($B177,INDIRECT("'GRD-"&amp;DR$11&amp;"'!B:R"),15,FALSE),"")</f>
        <v/>
      </c>
      <c r="DS177" s="96">
        <f>IFERROR(VLOOKUP($B177,INDIRECT("'GRD-"&amp;DS$11&amp;"'!B:R"),15,FALSE),"")</f>
        <v/>
      </c>
      <c r="DT177" s="96">
        <f>IFERROR(VLOOKUP($B177,INDIRECT("'GRD-"&amp;DT$11&amp;"'!B:R"),15,FALSE),"")</f>
        <v/>
      </c>
      <c r="DU177" s="96">
        <f>IFERROR(VLOOKUP($B177,INDIRECT("'GRD-"&amp;DU$11&amp;"'!B:R"),15,FALSE),"")</f>
        <v/>
      </c>
      <c r="DV177" s="96">
        <f>IFERROR(VLOOKUP($B177,INDIRECT("'GRD-"&amp;DV$11&amp;"'!B:R"),15,FALSE),"")</f>
        <v/>
      </c>
      <c r="DW177" s="96">
        <f>IFERROR(VLOOKUP($B177,INDIRECT("'GRD-"&amp;DW$11&amp;"'!B:R"),15,FALSE),"")</f>
        <v/>
      </c>
      <c r="DX177" s="96">
        <f>IFERROR(VLOOKUP($B177,INDIRECT("'GRD-"&amp;DX$11&amp;"'!B:R"),15,FALSE),"")</f>
        <v/>
      </c>
      <c r="DY177" s="96">
        <f>IFERROR(VLOOKUP($B177,INDIRECT("'GRD-"&amp;DY$11&amp;"'!B:R"),15,FALSE),"")</f>
        <v/>
      </c>
      <c r="DZ177" s="96">
        <f>IFERROR(VLOOKUP($B177,INDIRECT("'GRD-"&amp;DZ$11&amp;"'!B:R"),15,FALSE),"")</f>
        <v/>
      </c>
      <c r="EA177" s="96">
        <f>IFERROR(VLOOKUP($B177,INDIRECT("'GRD-"&amp;EA$11&amp;"'!B:R"),15,FALSE),"")</f>
        <v/>
      </c>
      <c r="EB177" s="96">
        <f>IFERROR(VLOOKUP($B177,INDIRECT("'GRD-"&amp;EB$11&amp;"'!B:R"),15,FALSE),"")</f>
        <v/>
      </c>
      <c r="EC177" s="96">
        <f>IFERROR(VLOOKUP($B177,INDIRECT("'GRD-"&amp;EC$11&amp;"'!B:R"),15,FALSE),"")</f>
        <v/>
      </c>
      <c r="ED177" s="96">
        <f>IFERROR(VLOOKUP($B177,INDIRECT("'GRD-"&amp;ED$11&amp;"'!B:R"),15,FALSE),"")</f>
        <v/>
      </c>
      <c r="EE177" s="96">
        <f>IFERROR(VLOOKUP($B177,INDIRECT("'GRD-"&amp;EE$11&amp;"'!B:R"),15,FALSE),"")</f>
        <v/>
      </c>
      <c r="EF177" s="96">
        <f>IFERROR(VLOOKUP($B177,INDIRECT("'GRD-"&amp;EF$11&amp;"'!B:R"),15,FALSE),"")</f>
        <v/>
      </c>
      <c r="EG177" s="96">
        <f>IFERROR(VLOOKUP($B177,INDIRECT("'GRD-"&amp;EG$11&amp;"'!B:R"),15,FALSE),"")</f>
        <v/>
      </c>
      <c r="EH177" s="96">
        <f>IFERROR(VLOOKUP($B177,INDIRECT("'GRD-"&amp;EH$11&amp;"'!B:R"),15,FALSE),"")</f>
        <v/>
      </c>
      <c r="EI177" s="96">
        <f>IFERROR(VLOOKUP($B177,INDIRECT("'GRD-"&amp;EI$11&amp;"'!B:R"),15,FALSE),"")</f>
        <v/>
      </c>
      <c r="EJ177" s="96">
        <f>IFERROR(VLOOKUP($B177,INDIRECT("'GRD-"&amp;EJ$11&amp;"'!B:R"),15,FALSE),"")</f>
        <v/>
      </c>
      <c r="EK177" s="96">
        <f>IFERROR(VLOOKUP($B177,INDIRECT("'GRD-"&amp;EK$11&amp;"'!B:R"),15,FALSE),"")</f>
        <v/>
      </c>
      <c r="EL177" s="96">
        <f>IFERROR(VLOOKUP($B177,INDIRECT("'GRD-"&amp;EL$11&amp;"'!B:R"),15,FALSE),"")</f>
        <v/>
      </c>
      <c r="EM177" s="96">
        <f>IFERROR(VLOOKUP($B177,INDIRECT("'GRD-"&amp;EM$11&amp;"'!B:R"),15,FALSE),"")</f>
        <v/>
      </c>
      <c r="EN177" s="96">
        <f>IFERROR(VLOOKUP($B177,INDIRECT("'GRD-"&amp;EN$11&amp;"'!B:R"),15,FALSE),"")</f>
        <v/>
      </c>
      <c r="EO177" s="96">
        <f>IFERROR(VLOOKUP($B177,INDIRECT("'GRD-"&amp;EO$11&amp;"'!B:R"),15,FALSE),"")</f>
        <v/>
      </c>
      <c r="EP177" s="96">
        <f>IFERROR(VLOOKUP($B177,INDIRECT("'GRD-"&amp;EP$11&amp;"'!B:R"),15,FALSE),"")</f>
        <v/>
      </c>
      <c r="EQ177" s="96">
        <f>IFERROR(VLOOKUP($B177,INDIRECT("'GRD-"&amp;EQ$11&amp;"'!B:R"),15,FALSE),"")</f>
        <v/>
      </c>
      <c r="ER177" s="96">
        <f>IFERROR(VLOOKUP($B177,INDIRECT("'GRD-"&amp;ER$11&amp;"'!B:R"),15,FALSE),"")</f>
        <v/>
      </c>
      <c r="ES177" s="96">
        <f>IFERROR(VLOOKUP($B177,INDIRECT("'GRD-"&amp;ES$11&amp;"'!B:R"),15,FALSE),"")</f>
        <v/>
      </c>
      <c r="ET177" s="96">
        <f>IFERROR(VLOOKUP($B177,INDIRECT("'GRD-"&amp;ET$11&amp;"'!B:R"),15,FALSE),"")</f>
        <v/>
      </c>
      <c r="EU177" s="96">
        <f>IFERROR(VLOOKUP($B177,INDIRECT("'GRD-"&amp;EU$11&amp;"'!B:R"),15,FALSE),"")</f>
        <v/>
      </c>
      <c r="EV177" s="96">
        <f>IFERROR(VLOOKUP($B177,INDIRECT("'GRD-"&amp;EV$11&amp;"'!B:R"),15,FALSE),"")</f>
        <v/>
      </c>
      <c r="EW177" s="96">
        <f>IFERROR(VLOOKUP($B177,INDIRECT("'GRD-"&amp;EW$11&amp;"'!B:R"),15,FALSE),"")</f>
        <v/>
      </c>
      <c r="EX177" s="96">
        <f>IFERROR(VLOOKUP($B177,INDIRECT("'GRD-"&amp;EX$11&amp;"'!B:R"),15,FALSE),"")</f>
        <v/>
      </c>
      <c r="EY177" s="96">
        <f>IFERROR(VLOOKUP($B177,INDIRECT("'GRD-"&amp;EY$11&amp;"'!B:R"),15,FALSE),"")</f>
        <v/>
      </c>
      <c r="EZ177" s="96">
        <f>IFERROR(VLOOKUP($B177,INDIRECT("'GRD-"&amp;EZ$11&amp;"'!B:R"),15,FALSE),"")</f>
        <v/>
      </c>
      <c r="FA177" s="96">
        <f>IFERROR(VLOOKUP($B177,INDIRECT("'GRD-"&amp;FA$11&amp;"'!B:R"),15,FALSE),"")</f>
        <v/>
      </c>
      <c r="FB177" s="96">
        <f>IFERROR(VLOOKUP($B177,INDIRECT("'GRD-"&amp;FB$11&amp;"'!B:R"),15,FALSE),"")</f>
        <v/>
      </c>
      <c r="FC177" s="96">
        <f>IFERROR(VLOOKUP($B177,INDIRECT("'GRD-"&amp;FC$11&amp;"'!B:R"),15,FALSE),"")</f>
        <v/>
      </c>
      <c r="FD177" s="96">
        <f>IFERROR(VLOOKUP($B177,INDIRECT("'GRD-"&amp;FD$11&amp;"'!B:R"),15,FALSE),"")</f>
        <v/>
      </c>
      <c r="FE177" s="96">
        <f>IFERROR(VLOOKUP($B177,INDIRECT("'GRD-"&amp;FE$11&amp;"'!B:R"),15,FALSE),"")</f>
        <v/>
      </c>
      <c r="FF177" s="96">
        <f>IFERROR(VLOOKUP($B177,INDIRECT("'GRD-"&amp;FF$11&amp;"'!B:R"),15,FALSE),"")</f>
        <v/>
      </c>
      <c r="FG177" s="96">
        <f>IFERROR(VLOOKUP($B177,INDIRECT("'GRD-"&amp;FG$11&amp;"'!B:R"),15,FALSE),"")</f>
        <v/>
      </c>
      <c r="FH177" s="96">
        <f>IFERROR(VLOOKUP($B177,INDIRECT("'GRD-"&amp;FH$11&amp;"'!B:R"),15,FALSE),"")</f>
        <v/>
      </c>
      <c r="FI177" s="96">
        <f>IFERROR(VLOOKUP($B177,INDIRECT("'GRD-"&amp;FI$11&amp;"'!B:R"),15,FALSE),"")</f>
        <v/>
      </c>
      <c r="FJ177" s="96">
        <f>IFERROR(VLOOKUP($B177,INDIRECT("'GRD-"&amp;FJ$11&amp;"'!B:R"),15,FALSE),"")</f>
        <v/>
      </c>
      <c r="FK177" s="96">
        <f>IFERROR(VLOOKUP($B177,INDIRECT("'GRD-"&amp;FK$11&amp;"'!B:R"),15,FALSE),"")</f>
        <v/>
      </c>
      <c r="FL177" s="96">
        <f>IFERROR(VLOOKUP($B177,INDIRECT("'GRD-"&amp;FL$11&amp;"'!B:R"),15,FALSE),"")</f>
        <v/>
      </c>
      <c r="FM177" s="96">
        <f>IFERROR(VLOOKUP($B177,INDIRECT("'GRD-"&amp;FM$11&amp;"'!B:R"),15,FALSE),"")</f>
        <v/>
      </c>
      <c r="FN177" s="96">
        <f>IFERROR(VLOOKUP($B177,INDIRECT("'GRD-"&amp;FN$11&amp;"'!B:R"),15,FALSE),"")</f>
        <v/>
      </c>
      <c r="FO177" s="96">
        <f>IFERROR(VLOOKUP($B177,INDIRECT("'GRD-"&amp;FO$11&amp;"'!B:R"),15,FALSE),"")</f>
        <v/>
      </c>
      <c r="FP177" s="96">
        <f>IFERROR(VLOOKUP($B177,INDIRECT("'GRD-"&amp;FP$11&amp;"'!B:R"),15,FALSE),"")</f>
        <v/>
      </c>
      <c r="FQ177" s="96">
        <f>IFERROR(VLOOKUP($B177,INDIRECT("'GRD-"&amp;FQ$11&amp;"'!B:R"),15,FALSE),"")</f>
        <v/>
      </c>
      <c r="FR177" s="96">
        <f>IFERROR(VLOOKUP($B177,INDIRECT("'GRD-"&amp;FR$11&amp;"'!B:R"),15,FALSE),"")</f>
        <v/>
      </c>
      <c r="FS177" s="96">
        <f>IFERROR(VLOOKUP($B177,INDIRECT("'GRD-"&amp;FS$11&amp;"'!B:R"),15,FALSE),"")</f>
        <v/>
      </c>
      <c r="FT177" s="96">
        <f>IFERROR(VLOOKUP($B177,INDIRECT("'GRD-"&amp;FT$11&amp;"'!B:R"),15,FALSE),"")</f>
        <v/>
      </c>
      <c r="FU177" s="96">
        <f>IFERROR(VLOOKUP($B177,INDIRECT("'GRD-"&amp;FU$11&amp;"'!B:R"),15,FALSE),"")</f>
        <v/>
      </c>
      <c r="FV177" s="96">
        <f>IFERROR(VLOOKUP($B177,INDIRECT("'GRD-"&amp;FV$11&amp;"'!B:R"),15,FALSE),"")</f>
        <v/>
      </c>
    </row>
    <row r="178">
      <c r="B178" s="85" t="n"/>
      <c r="C178" s="93" t="n"/>
      <c r="D178" s="73">
        <f>IF(K178="","",MAX($CA178:$FV178))</f>
        <v/>
      </c>
      <c r="E178" s="74">
        <f t="array" ref="E178">IF($K178="","",OFFSET($A$1,ROW($B178)-1,11+$D178*4,))</f>
        <v/>
      </c>
      <c r="F178" s="74">
        <f t="array" ref="F178">IF($K178="","",OFFSET($A$1,ROW($B178)-1,12+$D178*4,))</f>
        <v/>
      </c>
      <c r="G178" s="118">
        <f t="array" ref="G178">IF($K178="","",OFFSET($A$1,ROW($B178)-1,13+$D178*4,))</f>
        <v/>
      </c>
      <c r="H178" s="81" t="n"/>
      <c r="I178" s="82" t="n"/>
      <c r="J178" s="75">
        <f>IF(I178="A4",H178/8,IF(I178="A3",H178/4,IF(I178="A2",H178/2,IF(I178="A1",H178/1,IF(I178="A0",H178*2,"")))))</f>
        <v/>
      </c>
      <c r="K178" s="68">
        <f t="array" ref="K178">IFERROR(OFFSET($BZ$11,ROW($B178)-11,MATCH(K$10,$CA178:$FV178,0),),"")</f>
        <v/>
      </c>
      <c r="L178" s="85">
        <f>IF(K178="","",IF(VLOOKUP($B178,INDIRECT("'GRD-"&amp;M178&amp;"'!$B:$R"),16,FALSE)="","",VLOOKUP($B178,INDIRECT("'GRD-"&amp;M178&amp;"'!$B:$R"),16,FALSE)))</f>
        <v/>
      </c>
      <c r="M178" s="130">
        <f t="array" ref="M178">IF(K178="","",IFERROR(OFFSET($BZ$11,0,MATCH($K178,$CA178:$FV178,0),),""))</f>
        <v/>
      </c>
      <c r="N178" s="119">
        <f t="array" ref="N178">IF(K178="","",INDIRECT("'GRD-"&amp;M178&amp;"'!$L$7"))</f>
        <v/>
      </c>
      <c r="O178" s="76">
        <f t="array" ref="O178">IFERROR(OFFSET($BZ$11,ROW($B178)-11,MATCH(O$10,$CA178:$FV178,0),),"")</f>
        <v/>
      </c>
      <c r="P178" s="76">
        <f>IF(O178="","",IF(VLOOKUP($B178,INDIRECT("'GRD-"&amp;Q178&amp;"'!$B:$R"),16,FALSE)="","",VLOOKUP($B178,INDIRECT("'GRD-"&amp;Q178&amp;"'!$B:$R"),16,FALSE)))</f>
        <v/>
      </c>
      <c r="Q178" s="132">
        <f t="array" ref="Q178">IF(O178="","",IFERROR(OFFSET($BZ$11,0,MATCH($O178,$CA178:$FV178,0),),""))</f>
        <v/>
      </c>
      <c r="R178" s="121">
        <f t="array" ref="R178">IF(O178="","",INDIRECT("'GRD-"&amp;Q178&amp;"'!$L$7"))</f>
        <v/>
      </c>
      <c r="S178" s="83">
        <f t="array" ref="S178">IFERROR(OFFSET($BZ$11,ROW($B178)-11,MATCH(S$10,$CA178:$FV178,0),),"")</f>
        <v/>
      </c>
      <c r="T178" s="83">
        <f>IF(S178="","",IF(VLOOKUP($B178,INDIRECT("'GRD-"&amp;U178&amp;"'!$B:$R"),16,FALSE)="","",VLOOKUP($B178,INDIRECT("'GRD-"&amp;U178&amp;"'!$B:$R"),16,FALSE)))</f>
        <v/>
      </c>
      <c r="U178" s="128">
        <f t="array" ref="U178">IF(S178="","",IFERROR(OFFSET($BZ$11,0,MATCH($S178,$CA178:$FV178,0),),""))</f>
        <v/>
      </c>
      <c r="V178" s="133">
        <f t="array" ref="V178">IF(S178="","",INDIRECT("'GRD-"&amp;U178&amp;"'!$L$7"))</f>
        <v/>
      </c>
      <c r="W178" s="84">
        <f t="array" ref="W178">IFERROR(OFFSET($BZ$11,ROW($B178)-11,MATCH(W$10,$CA178:$FV178,0),),"")</f>
        <v/>
      </c>
      <c r="X178" s="84">
        <f>IF(W178="","",IF(VLOOKUP($B178,INDIRECT("'GRD-"&amp;Y178&amp;"'!$B:$R"),16,FALSE)="","",VLOOKUP($B178,INDIRECT("'GRD-"&amp;Y178&amp;"'!$B:$R"),16,FALSE)))</f>
        <v/>
      </c>
      <c r="Y178" s="129">
        <f t="array" ref="Y178">IF(W178="","",IFERROR(OFFSET($BZ$11,0,MATCH($W178,$CA178:$FV178,0),),""))</f>
        <v/>
      </c>
      <c r="Z178" s="134">
        <f t="array" ref="Z178">IF(W178="","",INDIRECT("'GRD-"&amp;Y178&amp;"'!$L$7"))</f>
        <v/>
      </c>
      <c r="AA178" s="85">
        <f t="array" ref="AA178">IFERROR(OFFSET($BZ$11,ROW($B178)-11,MATCH(AA$10,$CA178:$FV178,0),),"")</f>
        <v/>
      </c>
      <c r="AB178" s="85">
        <f>IF(AA178="","",IF(VLOOKUP($B178,INDIRECT("'GRD-"&amp;AC178&amp;"'!$B:$R"),16,FALSE)="","",VLOOKUP($B178,INDIRECT("'GRD-"&amp;AC178&amp;"'!$B:$R"),16,FALSE)))</f>
        <v/>
      </c>
      <c r="AC178" s="130">
        <f t="array" ref="AC178">IF(AA178="","",IFERROR(OFFSET($BZ$11,0,MATCH($AA178,$CA178:$FV178,0),),""))</f>
        <v/>
      </c>
      <c r="AD178" s="131">
        <f t="array" ref="AD178">IF(AA178="","",INDIRECT("'GRD-"&amp;AC178&amp;"'!$L$7"))</f>
        <v/>
      </c>
      <c r="AE178" s="76">
        <f t="array" ref="AE178">IFERROR(OFFSET($BZ$11,ROW($B178)-11,MATCH(AE$10,$CA178:$FV178,0),),"")</f>
        <v/>
      </c>
      <c r="AF178" s="76">
        <f>IF(AE178="","",IF(VLOOKUP($B178,INDIRECT("'GRD-"&amp;AG178&amp;"'!$B:$R"),16,FALSE)="","",VLOOKUP($B178,INDIRECT("'GRD-"&amp;AG178&amp;"'!$B:$R"),16,FALSE)))</f>
        <v/>
      </c>
      <c r="AG178" s="132">
        <f t="array" ref="AG178">IF(AE178="","",IFERROR(OFFSET($BZ$11,0,MATCH($AE178,$CA178:$FV178,0),),""))</f>
        <v/>
      </c>
      <c r="AH178" s="121">
        <f t="array" ref="AH178">IF(AE178="","",INDIRECT("'GRD-"&amp;AG178&amp;"'!$L$7"))</f>
        <v/>
      </c>
      <c r="AI178" s="83">
        <f t="array" ref="AI178">IFERROR(OFFSET($BZ$11,ROW($B178)-11,MATCH(AI$10,$CA178:$FV178,0),),"")</f>
        <v/>
      </c>
      <c r="AJ178" s="83">
        <f>IF(AI178="","",IF(VLOOKUP($B178,INDIRECT("'GRD-"&amp;AK178&amp;"'!$B:$R"),16,FALSE)="","",VLOOKUP($B178,INDIRECT("'GRD-"&amp;AK178&amp;"'!$B:$R"),16,FALSE)))</f>
        <v/>
      </c>
      <c r="AK178" s="128">
        <f t="array" ref="AK178">IF(AI178="","",IFERROR(OFFSET($BZ$11,0,MATCH($AI178,$CA178:$FV178,0),),""))</f>
        <v/>
      </c>
      <c r="AL178" s="133">
        <f t="array" ref="AL178">IF(AI178="","",INDIRECT("'GRD-"&amp;AK178&amp;"'!$L$7"))</f>
        <v/>
      </c>
      <c r="AM178" s="84">
        <f t="array" ref="AM178">IFERROR(OFFSET($BZ$11,ROW($B178)-11,MATCH(AM$10,$CA178:$FV178,0),),"")</f>
        <v/>
      </c>
      <c r="AN178" s="84">
        <f>IF(AM178="","",IF(VLOOKUP($B178,INDIRECT("'GRD-"&amp;AO178&amp;"'!$B:$R"),16,FALSE)="","",VLOOKUP($B178,INDIRECT("'GRD-"&amp;AO178&amp;"'!$B:$R"),16,FALSE)))</f>
        <v/>
      </c>
      <c r="AO178" s="129">
        <f t="array" ref="AO178">IF(AM178="","",IFERROR(OFFSET($BZ$11,0,MATCH($AM178,$CA178:$FV178,0),),""))</f>
        <v/>
      </c>
      <c r="AP178" s="134">
        <f t="array" ref="AP178">IF(AM178="","",INDIRECT("'GRD-"&amp;AO178&amp;"'!$L$7"))</f>
        <v/>
      </c>
      <c r="AQ178" s="85">
        <f t="array" ref="AQ178">IFERROR(OFFSET($BZ$11,ROW($B178)-11,MATCH(AQ$10,$CA178:$FV178,0),),"")</f>
        <v/>
      </c>
      <c r="AR178" s="85">
        <f>IF(AQ178="","",IF(VLOOKUP($B178,INDIRECT("'GRD-"&amp;AS178&amp;"'!$B:$R"),16,FALSE)="","",VLOOKUP($B178,INDIRECT("'GRD-"&amp;AS178&amp;"'!$B:$R"),16,FALSE)))</f>
        <v/>
      </c>
      <c r="AS178" s="130">
        <f t="array" ref="AS178">IF(AQ178="","",IFERROR(OFFSET($BZ$11,0,MATCH($AQ178,$CA178:$FV178,0),),""))</f>
        <v/>
      </c>
      <c r="AT178" s="131">
        <f t="array" ref="AT178">IF(AQ178="","",INDIRECT("'GRD-"&amp;AS178&amp;"'!$L$7"))</f>
        <v/>
      </c>
      <c r="AU178" s="76">
        <f t="array" ref="AU178">IFERROR(OFFSET($BZ$11,ROW($B178)-11,MATCH(AU$10,$CA178:$FV178,0),),"")</f>
        <v/>
      </c>
      <c r="AV178" s="76">
        <f>IF(AU178="","",IF(VLOOKUP($B178,INDIRECT("'GRD-"&amp;AW178&amp;"'!$B:$R"),16,FALSE)="","",VLOOKUP($B178,INDIRECT("'GRD-"&amp;AW178&amp;"'!$B:$R"),16,FALSE)))</f>
        <v/>
      </c>
      <c r="AW178" s="132">
        <f t="array" ref="AW178">IF(AU178="","",IFERROR(OFFSET($BZ$11,0,MATCH($AU178,$CA178:$FV178,0),),""))</f>
        <v/>
      </c>
      <c r="AX178" s="121">
        <f t="array" ref="AX178">IF(AU178="","",INDIRECT("'GRD-"&amp;AW178&amp;"'!$L$7"))</f>
        <v/>
      </c>
      <c r="AY178" s="83">
        <f t="array" ref="AY178">IFERROR(OFFSET($BZ$11,ROW($B178)-11,MATCH(AY$10,$CA178:$FV178,0),),"")</f>
        <v/>
      </c>
      <c r="AZ178" s="83">
        <f>IF(AY178="","",IF(VLOOKUP($B178,INDIRECT("'GRD-"&amp;BA178&amp;"'!$B:$R"),16,FALSE)="","",VLOOKUP($B178,INDIRECT("'GRD-"&amp;BA178&amp;"'!$B:$R"),16,FALSE)))</f>
        <v/>
      </c>
      <c r="BA178" s="128">
        <f t="array" ref="BA178">IF(AY178="","",IFERROR(OFFSET($BZ$11,0,MATCH($AY178,$CA178:$FV178,0),),""))</f>
        <v/>
      </c>
      <c r="BB178" s="133">
        <f t="array" ref="BB178">IF(AY178="","",INDIRECT("'GRD-"&amp;BA178&amp;"'!$L$7"))</f>
        <v/>
      </c>
      <c r="BC178" s="84">
        <f t="array" ref="BC178">IFERROR(OFFSET($BZ$11,ROW($B178)-11,MATCH(BC$10,$CA178:$FV178,0),),"")</f>
        <v/>
      </c>
      <c r="BD178" s="84">
        <f>IF(BC178="","",IF(VLOOKUP($B178,INDIRECT("'GRD-"&amp;BE178&amp;"'!$B:$R"),16,FALSE)="","",VLOOKUP($B178,INDIRECT("'GRD-"&amp;BE178&amp;"'!$B:$R"),16,FALSE)))</f>
        <v/>
      </c>
      <c r="BE178" s="129">
        <f t="array" ref="BE178">IF(BC178="","",IFERROR(OFFSET($BZ$11,0,MATCH($BC178,$CA178:$FV178,0),),""))</f>
        <v/>
      </c>
      <c r="BF178" s="134">
        <f t="array" ref="BF178">IF(BC178="","",INDIRECT("'GRD-"&amp;BE178&amp;"'!$L$7"))</f>
        <v/>
      </c>
      <c r="CA178" s="96">
        <f>IFERROR(VLOOKUP($B178,INDIRECT("'GRD-"&amp;CA$11&amp;"'!B:R"),15,FALSE),"")</f>
        <v/>
      </c>
      <c r="CB178" s="96">
        <f>IFERROR(VLOOKUP($B178,INDIRECT("'GRD-"&amp;CB$11&amp;"'!B:R"),15,FALSE),"")</f>
        <v/>
      </c>
      <c r="CC178" s="96">
        <f>IFERROR(VLOOKUP($B178,INDIRECT("'GRD-"&amp;CC$11&amp;"'!B:R"),15,FALSE),"")</f>
        <v/>
      </c>
      <c r="CD178" s="96">
        <f>IFERROR(VLOOKUP($B178,INDIRECT("'GRD-"&amp;CD$11&amp;"'!B:R"),15,FALSE),"")</f>
        <v/>
      </c>
      <c r="CE178" s="96">
        <f>IFERROR(VLOOKUP($B178,INDIRECT("'GRD-"&amp;CE$11&amp;"'!B:R"),15,FALSE),"")</f>
        <v/>
      </c>
      <c r="CF178" s="96">
        <f>IFERROR(VLOOKUP($B178,INDIRECT("'GRD-"&amp;CF$11&amp;"'!B:R"),15,FALSE),"")</f>
        <v/>
      </c>
      <c r="CG178" s="96">
        <f>IFERROR(VLOOKUP($B178,INDIRECT("'GRD-"&amp;CG$11&amp;"'!B:R"),15,FALSE),"")</f>
        <v/>
      </c>
      <c r="CH178" s="96">
        <f>IFERROR(VLOOKUP($B178,INDIRECT("'GRD-"&amp;CH$11&amp;"'!B:R"),15,FALSE),"")</f>
        <v/>
      </c>
      <c r="CI178" s="96">
        <f>IFERROR(VLOOKUP($B178,INDIRECT("'GRD-"&amp;CI$11&amp;"'!B:R"),15,FALSE),"")</f>
        <v/>
      </c>
      <c r="CJ178" s="96">
        <f>IFERROR(VLOOKUP($B178,INDIRECT("'GRD-"&amp;CJ$11&amp;"'!B:R"),15,FALSE),"")</f>
        <v/>
      </c>
      <c r="CK178" s="96">
        <f>IFERROR(VLOOKUP($B178,INDIRECT("'GRD-"&amp;CK$11&amp;"'!B:R"),15,FALSE),"")</f>
        <v/>
      </c>
      <c r="CL178" s="96">
        <f>IFERROR(VLOOKUP($B178,INDIRECT("'GRD-"&amp;CL$11&amp;"'!B:R"),15,FALSE),"")</f>
        <v/>
      </c>
      <c r="CM178" s="96">
        <f>IFERROR(VLOOKUP($B178,INDIRECT("'GRD-"&amp;CM$11&amp;"'!B:R"),15,FALSE),"")</f>
        <v/>
      </c>
      <c r="CN178" s="96">
        <f>IFERROR(VLOOKUP($B178,INDIRECT("'GRD-"&amp;CN$11&amp;"'!B:R"),15,FALSE),"")</f>
        <v/>
      </c>
      <c r="CO178" s="96">
        <f>IFERROR(VLOOKUP($B178,INDIRECT("'GRD-"&amp;CO$11&amp;"'!B:R"),15,FALSE),"")</f>
        <v/>
      </c>
      <c r="CP178" s="96">
        <f>IFERROR(VLOOKUP($B178,INDIRECT("'GRD-"&amp;CP$11&amp;"'!B:R"),15,FALSE),"")</f>
        <v/>
      </c>
      <c r="CQ178" s="96">
        <f>IFERROR(VLOOKUP($B178,INDIRECT("'GRD-"&amp;CQ$11&amp;"'!B:R"),15,FALSE),"")</f>
        <v/>
      </c>
      <c r="CR178" s="96">
        <f>IFERROR(VLOOKUP($B178,INDIRECT("'GRD-"&amp;CR$11&amp;"'!B:R"),15,FALSE),"")</f>
        <v/>
      </c>
      <c r="CS178" s="96">
        <f>IFERROR(VLOOKUP($B178,INDIRECT("'GRD-"&amp;CS$11&amp;"'!B:R"),15,FALSE),"")</f>
        <v/>
      </c>
      <c r="CT178" s="96">
        <f>IFERROR(VLOOKUP($B178,INDIRECT("'GRD-"&amp;CT$11&amp;"'!B:R"),15,FALSE),"")</f>
        <v/>
      </c>
      <c r="CU178" s="96">
        <f>IFERROR(VLOOKUP($B178,INDIRECT("'GRD-"&amp;CU$11&amp;"'!B:R"),15,FALSE),"")</f>
        <v/>
      </c>
      <c r="CV178" s="96">
        <f>IFERROR(VLOOKUP($B178,INDIRECT("'GRD-"&amp;CV$11&amp;"'!B:R"),15,FALSE),"")</f>
        <v/>
      </c>
      <c r="CW178" s="96">
        <f>IFERROR(VLOOKUP($B178,INDIRECT("'GRD-"&amp;CW$11&amp;"'!B:R"),15,FALSE),"")</f>
        <v/>
      </c>
      <c r="CX178" s="96">
        <f>IFERROR(VLOOKUP($B178,INDIRECT("'GRD-"&amp;CX$11&amp;"'!B:R"),15,FALSE),"")</f>
        <v/>
      </c>
      <c r="CY178" s="96">
        <f>IFERROR(VLOOKUP($B178,INDIRECT("'GRD-"&amp;CY$11&amp;"'!B:R"),15,FALSE),"")</f>
        <v/>
      </c>
      <c r="CZ178" s="96">
        <f>IFERROR(VLOOKUP($B178,INDIRECT("'GRD-"&amp;CZ$11&amp;"'!B:R"),15,FALSE),"")</f>
        <v/>
      </c>
      <c r="DA178" s="96">
        <f>IFERROR(VLOOKUP($B178,INDIRECT("'GRD-"&amp;DA$11&amp;"'!B:R"),15,FALSE),"")</f>
        <v/>
      </c>
      <c r="DB178" s="96">
        <f>IFERROR(VLOOKUP($B178,INDIRECT("'GRD-"&amp;DB$11&amp;"'!B:R"),15,FALSE),"")</f>
        <v/>
      </c>
      <c r="DC178" s="96">
        <f>IFERROR(VLOOKUP($B178,INDIRECT("'GRD-"&amp;DC$11&amp;"'!B:R"),15,FALSE),"")</f>
        <v/>
      </c>
      <c r="DD178" s="96">
        <f>IFERROR(VLOOKUP($B178,INDIRECT("'GRD-"&amp;DD$11&amp;"'!B:R"),15,FALSE),"")</f>
        <v/>
      </c>
      <c r="DE178" s="96">
        <f>IFERROR(VLOOKUP($B178,INDIRECT("'GRD-"&amp;DE$11&amp;"'!B:R"),15,FALSE),"")</f>
        <v/>
      </c>
      <c r="DF178" s="96">
        <f>IFERROR(VLOOKUP($B178,INDIRECT("'GRD-"&amp;DF$11&amp;"'!B:R"),15,FALSE),"")</f>
        <v/>
      </c>
      <c r="DG178" s="96">
        <f>IFERROR(VLOOKUP($B178,INDIRECT("'GRD-"&amp;DG$11&amp;"'!B:R"),15,FALSE),"")</f>
        <v/>
      </c>
      <c r="DH178" s="96">
        <f>IFERROR(VLOOKUP($B178,INDIRECT("'GRD-"&amp;DH$11&amp;"'!B:R"),15,FALSE),"")</f>
        <v/>
      </c>
      <c r="DI178" s="96">
        <f>IFERROR(VLOOKUP($B178,INDIRECT("'GRD-"&amp;DI$11&amp;"'!B:R"),15,FALSE),"")</f>
        <v/>
      </c>
      <c r="DJ178" s="96">
        <f>IFERROR(VLOOKUP($B178,INDIRECT("'GRD-"&amp;DJ$11&amp;"'!B:R"),15,FALSE),"")</f>
        <v/>
      </c>
      <c r="DK178" s="96">
        <f>IFERROR(VLOOKUP($B178,INDIRECT("'GRD-"&amp;DK$11&amp;"'!B:R"),15,FALSE),"")</f>
        <v/>
      </c>
      <c r="DL178" s="96">
        <f>IFERROR(VLOOKUP($B178,INDIRECT("'GRD-"&amp;DL$11&amp;"'!B:R"),15,FALSE),"")</f>
        <v/>
      </c>
      <c r="DM178" s="96">
        <f>IFERROR(VLOOKUP($B178,INDIRECT("'GRD-"&amp;DM$11&amp;"'!B:R"),15,FALSE),"")</f>
        <v/>
      </c>
      <c r="DN178" s="96">
        <f>IFERROR(VLOOKUP($B178,INDIRECT("'GRD-"&amp;DN$11&amp;"'!B:R"),15,FALSE),"")</f>
        <v/>
      </c>
      <c r="DO178" s="96">
        <f>IFERROR(VLOOKUP($B178,INDIRECT("'GRD-"&amp;DO$11&amp;"'!B:R"),15,FALSE),"")</f>
        <v/>
      </c>
      <c r="DP178" s="96">
        <f>IFERROR(VLOOKUP($B178,INDIRECT("'GRD-"&amp;DP$11&amp;"'!B:R"),15,FALSE),"")</f>
        <v/>
      </c>
      <c r="DQ178" s="96">
        <f>IFERROR(VLOOKUP($B178,INDIRECT("'GRD-"&amp;DQ$11&amp;"'!B:R"),15,FALSE),"")</f>
        <v/>
      </c>
      <c r="DR178" s="96">
        <f>IFERROR(VLOOKUP($B178,INDIRECT("'GRD-"&amp;DR$11&amp;"'!B:R"),15,FALSE),"")</f>
        <v/>
      </c>
      <c r="DS178" s="96">
        <f>IFERROR(VLOOKUP($B178,INDIRECT("'GRD-"&amp;DS$11&amp;"'!B:R"),15,FALSE),"")</f>
        <v/>
      </c>
      <c r="DT178" s="96">
        <f>IFERROR(VLOOKUP($B178,INDIRECT("'GRD-"&amp;DT$11&amp;"'!B:R"),15,FALSE),"")</f>
        <v/>
      </c>
      <c r="DU178" s="96">
        <f>IFERROR(VLOOKUP($B178,INDIRECT("'GRD-"&amp;DU$11&amp;"'!B:R"),15,FALSE),"")</f>
        <v/>
      </c>
      <c r="DV178" s="96">
        <f>IFERROR(VLOOKUP($B178,INDIRECT("'GRD-"&amp;DV$11&amp;"'!B:R"),15,FALSE),"")</f>
        <v/>
      </c>
      <c r="DW178" s="96">
        <f>IFERROR(VLOOKUP($B178,INDIRECT("'GRD-"&amp;DW$11&amp;"'!B:R"),15,FALSE),"")</f>
        <v/>
      </c>
      <c r="DX178" s="96">
        <f>IFERROR(VLOOKUP($B178,INDIRECT("'GRD-"&amp;DX$11&amp;"'!B:R"),15,FALSE),"")</f>
        <v/>
      </c>
      <c r="DY178" s="96">
        <f>IFERROR(VLOOKUP($B178,INDIRECT("'GRD-"&amp;DY$11&amp;"'!B:R"),15,FALSE),"")</f>
        <v/>
      </c>
      <c r="DZ178" s="96">
        <f>IFERROR(VLOOKUP($B178,INDIRECT("'GRD-"&amp;DZ$11&amp;"'!B:R"),15,FALSE),"")</f>
        <v/>
      </c>
      <c r="EA178" s="96">
        <f>IFERROR(VLOOKUP($B178,INDIRECT("'GRD-"&amp;EA$11&amp;"'!B:R"),15,FALSE),"")</f>
        <v/>
      </c>
      <c r="EB178" s="96">
        <f>IFERROR(VLOOKUP($B178,INDIRECT("'GRD-"&amp;EB$11&amp;"'!B:R"),15,FALSE),"")</f>
        <v/>
      </c>
      <c r="EC178" s="96">
        <f>IFERROR(VLOOKUP($B178,INDIRECT("'GRD-"&amp;EC$11&amp;"'!B:R"),15,FALSE),"")</f>
        <v/>
      </c>
      <c r="ED178" s="96">
        <f>IFERROR(VLOOKUP($B178,INDIRECT("'GRD-"&amp;ED$11&amp;"'!B:R"),15,FALSE),"")</f>
        <v/>
      </c>
      <c r="EE178" s="96">
        <f>IFERROR(VLOOKUP($B178,INDIRECT("'GRD-"&amp;EE$11&amp;"'!B:R"),15,FALSE),"")</f>
        <v/>
      </c>
      <c r="EF178" s="96">
        <f>IFERROR(VLOOKUP($B178,INDIRECT("'GRD-"&amp;EF$11&amp;"'!B:R"),15,FALSE),"")</f>
        <v/>
      </c>
      <c r="EG178" s="96">
        <f>IFERROR(VLOOKUP($B178,INDIRECT("'GRD-"&amp;EG$11&amp;"'!B:R"),15,FALSE),"")</f>
        <v/>
      </c>
      <c r="EH178" s="96">
        <f>IFERROR(VLOOKUP($B178,INDIRECT("'GRD-"&amp;EH$11&amp;"'!B:R"),15,FALSE),"")</f>
        <v/>
      </c>
      <c r="EI178" s="96">
        <f>IFERROR(VLOOKUP($B178,INDIRECT("'GRD-"&amp;EI$11&amp;"'!B:R"),15,FALSE),"")</f>
        <v/>
      </c>
      <c r="EJ178" s="96">
        <f>IFERROR(VLOOKUP($B178,INDIRECT("'GRD-"&amp;EJ$11&amp;"'!B:R"),15,FALSE),"")</f>
        <v/>
      </c>
      <c r="EK178" s="96">
        <f>IFERROR(VLOOKUP($B178,INDIRECT("'GRD-"&amp;EK$11&amp;"'!B:R"),15,FALSE),"")</f>
        <v/>
      </c>
      <c r="EL178" s="96">
        <f>IFERROR(VLOOKUP($B178,INDIRECT("'GRD-"&amp;EL$11&amp;"'!B:R"),15,FALSE),"")</f>
        <v/>
      </c>
      <c r="EM178" s="96">
        <f>IFERROR(VLOOKUP($B178,INDIRECT("'GRD-"&amp;EM$11&amp;"'!B:R"),15,FALSE),"")</f>
        <v/>
      </c>
      <c r="EN178" s="96">
        <f>IFERROR(VLOOKUP($B178,INDIRECT("'GRD-"&amp;EN$11&amp;"'!B:R"),15,FALSE),"")</f>
        <v/>
      </c>
      <c r="EO178" s="96">
        <f>IFERROR(VLOOKUP($B178,INDIRECT("'GRD-"&amp;EO$11&amp;"'!B:R"),15,FALSE),"")</f>
        <v/>
      </c>
      <c r="EP178" s="96">
        <f>IFERROR(VLOOKUP($B178,INDIRECT("'GRD-"&amp;EP$11&amp;"'!B:R"),15,FALSE),"")</f>
        <v/>
      </c>
      <c r="EQ178" s="96">
        <f>IFERROR(VLOOKUP($B178,INDIRECT("'GRD-"&amp;EQ$11&amp;"'!B:R"),15,FALSE),"")</f>
        <v/>
      </c>
      <c r="ER178" s="96">
        <f>IFERROR(VLOOKUP($B178,INDIRECT("'GRD-"&amp;ER$11&amp;"'!B:R"),15,FALSE),"")</f>
        <v/>
      </c>
      <c r="ES178" s="96">
        <f>IFERROR(VLOOKUP($B178,INDIRECT("'GRD-"&amp;ES$11&amp;"'!B:R"),15,FALSE),"")</f>
        <v/>
      </c>
      <c r="ET178" s="96">
        <f>IFERROR(VLOOKUP($B178,INDIRECT("'GRD-"&amp;ET$11&amp;"'!B:R"),15,FALSE),"")</f>
        <v/>
      </c>
      <c r="EU178" s="96">
        <f>IFERROR(VLOOKUP($B178,INDIRECT("'GRD-"&amp;EU$11&amp;"'!B:R"),15,FALSE),"")</f>
        <v/>
      </c>
      <c r="EV178" s="96">
        <f>IFERROR(VLOOKUP($B178,INDIRECT("'GRD-"&amp;EV$11&amp;"'!B:R"),15,FALSE),"")</f>
        <v/>
      </c>
      <c r="EW178" s="96">
        <f>IFERROR(VLOOKUP($B178,INDIRECT("'GRD-"&amp;EW$11&amp;"'!B:R"),15,FALSE),"")</f>
        <v/>
      </c>
      <c r="EX178" s="96">
        <f>IFERROR(VLOOKUP($B178,INDIRECT("'GRD-"&amp;EX$11&amp;"'!B:R"),15,FALSE),"")</f>
        <v/>
      </c>
      <c r="EY178" s="96">
        <f>IFERROR(VLOOKUP($B178,INDIRECT("'GRD-"&amp;EY$11&amp;"'!B:R"),15,FALSE),"")</f>
        <v/>
      </c>
      <c r="EZ178" s="96">
        <f>IFERROR(VLOOKUP($B178,INDIRECT("'GRD-"&amp;EZ$11&amp;"'!B:R"),15,FALSE),"")</f>
        <v/>
      </c>
      <c r="FA178" s="96">
        <f>IFERROR(VLOOKUP($B178,INDIRECT("'GRD-"&amp;FA$11&amp;"'!B:R"),15,FALSE),"")</f>
        <v/>
      </c>
      <c r="FB178" s="96">
        <f>IFERROR(VLOOKUP($B178,INDIRECT("'GRD-"&amp;FB$11&amp;"'!B:R"),15,FALSE),"")</f>
        <v/>
      </c>
      <c r="FC178" s="96">
        <f>IFERROR(VLOOKUP($B178,INDIRECT("'GRD-"&amp;FC$11&amp;"'!B:R"),15,FALSE),"")</f>
        <v/>
      </c>
      <c r="FD178" s="96">
        <f>IFERROR(VLOOKUP($B178,INDIRECT("'GRD-"&amp;FD$11&amp;"'!B:R"),15,FALSE),"")</f>
        <v/>
      </c>
      <c r="FE178" s="96">
        <f>IFERROR(VLOOKUP($B178,INDIRECT("'GRD-"&amp;FE$11&amp;"'!B:R"),15,FALSE),"")</f>
        <v/>
      </c>
      <c r="FF178" s="96">
        <f>IFERROR(VLOOKUP($B178,INDIRECT("'GRD-"&amp;FF$11&amp;"'!B:R"),15,FALSE),"")</f>
        <v/>
      </c>
      <c r="FG178" s="96">
        <f>IFERROR(VLOOKUP($B178,INDIRECT("'GRD-"&amp;FG$11&amp;"'!B:R"),15,FALSE),"")</f>
        <v/>
      </c>
      <c r="FH178" s="96">
        <f>IFERROR(VLOOKUP($B178,INDIRECT("'GRD-"&amp;FH$11&amp;"'!B:R"),15,FALSE),"")</f>
        <v/>
      </c>
      <c r="FI178" s="96">
        <f>IFERROR(VLOOKUP($B178,INDIRECT("'GRD-"&amp;FI$11&amp;"'!B:R"),15,FALSE),"")</f>
        <v/>
      </c>
      <c r="FJ178" s="96">
        <f>IFERROR(VLOOKUP($B178,INDIRECT("'GRD-"&amp;FJ$11&amp;"'!B:R"),15,FALSE),"")</f>
        <v/>
      </c>
      <c r="FK178" s="96">
        <f>IFERROR(VLOOKUP($B178,INDIRECT("'GRD-"&amp;FK$11&amp;"'!B:R"),15,FALSE),"")</f>
        <v/>
      </c>
      <c r="FL178" s="96">
        <f>IFERROR(VLOOKUP($B178,INDIRECT("'GRD-"&amp;FL$11&amp;"'!B:R"),15,FALSE),"")</f>
        <v/>
      </c>
      <c r="FM178" s="96">
        <f>IFERROR(VLOOKUP($B178,INDIRECT("'GRD-"&amp;FM$11&amp;"'!B:R"),15,FALSE),"")</f>
        <v/>
      </c>
      <c r="FN178" s="96">
        <f>IFERROR(VLOOKUP($B178,INDIRECT("'GRD-"&amp;FN$11&amp;"'!B:R"),15,FALSE),"")</f>
        <v/>
      </c>
      <c r="FO178" s="96">
        <f>IFERROR(VLOOKUP($B178,INDIRECT("'GRD-"&amp;FO$11&amp;"'!B:R"),15,FALSE),"")</f>
        <v/>
      </c>
      <c r="FP178" s="96">
        <f>IFERROR(VLOOKUP($B178,INDIRECT("'GRD-"&amp;FP$11&amp;"'!B:R"),15,FALSE),"")</f>
        <v/>
      </c>
      <c r="FQ178" s="96">
        <f>IFERROR(VLOOKUP($B178,INDIRECT("'GRD-"&amp;FQ$11&amp;"'!B:R"),15,FALSE),"")</f>
        <v/>
      </c>
      <c r="FR178" s="96">
        <f>IFERROR(VLOOKUP($B178,INDIRECT("'GRD-"&amp;FR$11&amp;"'!B:R"),15,FALSE),"")</f>
        <v/>
      </c>
      <c r="FS178" s="96">
        <f>IFERROR(VLOOKUP($B178,INDIRECT("'GRD-"&amp;FS$11&amp;"'!B:R"),15,FALSE),"")</f>
        <v/>
      </c>
      <c r="FT178" s="96">
        <f>IFERROR(VLOOKUP($B178,INDIRECT("'GRD-"&amp;FT$11&amp;"'!B:R"),15,FALSE),"")</f>
        <v/>
      </c>
      <c r="FU178" s="96">
        <f>IFERROR(VLOOKUP($B178,INDIRECT("'GRD-"&amp;FU$11&amp;"'!B:R"),15,FALSE),"")</f>
        <v/>
      </c>
      <c r="FV178" s="96">
        <f>IFERROR(VLOOKUP($B178,INDIRECT("'GRD-"&amp;FV$11&amp;"'!B:R"),15,FALSE),"")</f>
        <v/>
      </c>
    </row>
    <row r="179">
      <c r="B179" s="85" t="n"/>
      <c r="C179" s="93" t="n"/>
      <c r="D179" s="73">
        <f>IF(K179="","",MAX($CA179:$FV179))</f>
        <v/>
      </c>
      <c r="E179" s="74">
        <f t="array" ref="E179">IF($K179="","",OFFSET($A$1,ROW($B179)-1,11+$D179*4,))</f>
        <v/>
      </c>
      <c r="F179" s="74">
        <f t="array" ref="F179">IF($K179="","",OFFSET($A$1,ROW($B179)-1,12+$D179*4,))</f>
        <v/>
      </c>
      <c r="G179" s="118">
        <f t="array" ref="G179">IF($K179="","",OFFSET($A$1,ROW($B179)-1,13+$D179*4,))</f>
        <v/>
      </c>
      <c r="H179" s="81" t="n"/>
      <c r="I179" s="82" t="n"/>
      <c r="J179" s="75">
        <f>IF(I179="A4",H179/8,IF(I179="A3",H179/4,IF(I179="A2",H179/2,IF(I179="A1",H179/1,IF(I179="A0",H179*2,"")))))</f>
        <v/>
      </c>
      <c r="K179" s="68">
        <f t="array" ref="K179">IFERROR(OFFSET($BZ$11,ROW($B179)-11,MATCH(K$10,$CA179:$FV179,0),),"")</f>
        <v/>
      </c>
      <c r="L179" s="85">
        <f>IF(K179="","",IF(VLOOKUP($B179,INDIRECT("'GRD-"&amp;M179&amp;"'!$B:$R"),16,FALSE)="","",VLOOKUP($B179,INDIRECT("'GRD-"&amp;M179&amp;"'!$B:$R"),16,FALSE)))</f>
        <v/>
      </c>
      <c r="M179" s="130">
        <f t="array" ref="M179">IF(K179="","",IFERROR(OFFSET($BZ$11,0,MATCH($K179,$CA179:$FV179,0),),""))</f>
        <v/>
      </c>
      <c r="N179" s="119">
        <f t="array" ref="N179">IF(K179="","",INDIRECT("'GRD-"&amp;M179&amp;"'!$L$7"))</f>
        <v/>
      </c>
      <c r="O179" s="76">
        <f t="array" ref="O179">IFERROR(OFFSET($BZ$11,ROW($B179)-11,MATCH(O$10,$CA179:$FV179,0),),"")</f>
        <v/>
      </c>
      <c r="P179" s="76">
        <f>IF(O179="","",IF(VLOOKUP($B179,INDIRECT("'GRD-"&amp;Q179&amp;"'!$B:$R"),16,FALSE)="","",VLOOKUP($B179,INDIRECT("'GRD-"&amp;Q179&amp;"'!$B:$R"),16,FALSE)))</f>
        <v/>
      </c>
      <c r="Q179" s="132">
        <f t="array" ref="Q179">IF(O179="","",IFERROR(OFFSET($BZ$11,0,MATCH($O179,$CA179:$FV179,0),),""))</f>
        <v/>
      </c>
      <c r="R179" s="121">
        <f t="array" ref="R179">IF(O179="","",INDIRECT("'GRD-"&amp;Q179&amp;"'!$L$7"))</f>
        <v/>
      </c>
      <c r="S179" s="83">
        <f t="array" ref="S179">IFERROR(OFFSET($BZ$11,ROW($B179)-11,MATCH(S$10,$CA179:$FV179,0),),"")</f>
        <v/>
      </c>
      <c r="T179" s="83">
        <f>IF(S179="","",IF(VLOOKUP($B179,INDIRECT("'GRD-"&amp;U179&amp;"'!$B:$R"),16,FALSE)="","",VLOOKUP($B179,INDIRECT("'GRD-"&amp;U179&amp;"'!$B:$R"),16,FALSE)))</f>
        <v/>
      </c>
      <c r="U179" s="128">
        <f t="array" ref="U179">IF(S179="","",IFERROR(OFFSET($BZ$11,0,MATCH($S179,$CA179:$FV179,0),),""))</f>
        <v/>
      </c>
      <c r="V179" s="133">
        <f t="array" ref="V179">IF(S179="","",INDIRECT("'GRD-"&amp;U179&amp;"'!$L$7"))</f>
        <v/>
      </c>
      <c r="W179" s="84">
        <f t="array" ref="W179">IFERROR(OFFSET($BZ$11,ROW($B179)-11,MATCH(W$10,$CA179:$FV179,0),),"")</f>
        <v/>
      </c>
      <c r="X179" s="84">
        <f>IF(W179="","",IF(VLOOKUP($B179,INDIRECT("'GRD-"&amp;Y179&amp;"'!$B:$R"),16,FALSE)="","",VLOOKUP($B179,INDIRECT("'GRD-"&amp;Y179&amp;"'!$B:$R"),16,FALSE)))</f>
        <v/>
      </c>
      <c r="Y179" s="129">
        <f t="array" ref="Y179">IF(W179="","",IFERROR(OFFSET($BZ$11,0,MATCH($W179,$CA179:$FV179,0),),""))</f>
        <v/>
      </c>
      <c r="Z179" s="134">
        <f t="array" ref="Z179">IF(W179="","",INDIRECT("'GRD-"&amp;Y179&amp;"'!$L$7"))</f>
        <v/>
      </c>
      <c r="AA179" s="85">
        <f t="array" ref="AA179">IFERROR(OFFSET($BZ$11,ROW($B179)-11,MATCH(AA$10,$CA179:$FV179,0),),"")</f>
        <v/>
      </c>
      <c r="AB179" s="85">
        <f>IF(AA179="","",IF(VLOOKUP($B179,INDIRECT("'GRD-"&amp;AC179&amp;"'!$B:$R"),16,FALSE)="","",VLOOKUP($B179,INDIRECT("'GRD-"&amp;AC179&amp;"'!$B:$R"),16,FALSE)))</f>
        <v/>
      </c>
      <c r="AC179" s="130">
        <f t="array" ref="AC179">IF(AA179="","",IFERROR(OFFSET($BZ$11,0,MATCH($AA179,$CA179:$FV179,0),),""))</f>
        <v/>
      </c>
      <c r="AD179" s="131">
        <f t="array" ref="AD179">IF(AA179="","",INDIRECT("'GRD-"&amp;AC179&amp;"'!$L$7"))</f>
        <v/>
      </c>
      <c r="AE179" s="76">
        <f t="array" ref="AE179">IFERROR(OFFSET($BZ$11,ROW($B179)-11,MATCH(AE$10,$CA179:$FV179,0),),"")</f>
        <v/>
      </c>
      <c r="AF179" s="76">
        <f>IF(AE179="","",IF(VLOOKUP($B179,INDIRECT("'GRD-"&amp;AG179&amp;"'!$B:$R"),16,FALSE)="","",VLOOKUP($B179,INDIRECT("'GRD-"&amp;AG179&amp;"'!$B:$R"),16,FALSE)))</f>
        <v/>
      </c>
      <c r="AG179" s="132">
        <f t="array" ref="AG179">IF(AE179="","",IFERROR(OFFSET($BZ$11,0,MATCH($AE179,$CA179:$FV179,0),),""))</f>
        <v/>
      </c>
      <c r="AH179" s="121">
        <f t="array" ref="AH179">IF(AE179="","",INDIRECT("'GRD-"&amp;AG179&amp;"'!$L$7"))</f>
        <v/>
      </c>
      <c r="AI179" s="83">
        <f t="array" ref="AI179">IFERROR(OFFSET($BZ$11,ROW($B179)-11,MATCH(AI$10,$CA179:$FV179,0),),"")</f>
        <v/>
      </c>
      <c r="AJ179" s="83">
        <f>IF(AI179="","",IF(VLOOKUP($B179,INDIRECT("'GRD-"&amp;AK179&amp;"'!$B:$R"),16,FALSE)="","",VLOOKUP($B179,INDIRECT("'GRD-"&amp;AK179&amp;"'!$B:$R"),16,FALSE)))</f>
        <v/>
      </c>
      <c r="AK179" s="128">
        <f t="array" ref="AK179">IF(AI179="","",IFERROR(OFFSET($BZ$11,0,MATCH($AI179,$CA179:$FV179,0),),""))</f>
        <v/>
      </c>
      <c r="AL179" s="133">
        <f t="array" ref="AL179">IF(AI179="","",INDIRECT("'GRD-"&amp;AK179&amp;"'!$L$7"))</f>
        <v/>
      </c>
      <c r="AM179" s="84">
        <f t="array" ref="AM179">IFERROR(OFFSET($BZ$11,ROW($B179)-11,MATCH(AM$10,$CA179:$FV179,0),),"")</f>
        <v/>
      </c>
      <c r="AN179" s="84">
        <f>IF(AM179="","",IF(VLOOKUP($B179,INDIRECT("'GRD-"&amp;AO179&amp;"'!$B:$R"),16,FALSE)="","",VLOOKUP($B179,INDIRECT("'GRD-"&amp;AO179&amp;"'!$B:$R"),16,FALSE)))</f>
        <v/>
      </c>
      <c r="AO179" s="129">
        <f t="array" ref="AO179">IF(AM179="","",IFERROR(OFFSET($BZ$11,0,MATCH($AM179,$CA179:$FV179,0),),""))</f>
        <v/>
      </c>
      <c r="AP179" s="134">
        <f t="array" ref="AP179">IF(AM179="","",INDIRECT("'GRD-"&amp;AO179&amp;"'!$L$7"))</f>
        <v/>
      </c>
      <c r="AQ179" s="85">
        <f t="array" ref="AQ179">IFERROR(OFFSET($BZ$11,ROW($B179)-11,MATCH(AQ$10,$CA179:$FV179,0),),"")</f>
        <v/>
      </c>
      <c r="AR179" s="85">
        <f>IF(AQ179="","",IF(VLOOKUP($B179,INDIRECT("'GRD-"&amp;AS179&amp;"'!$B:$R"),16,FALSE)="","",VLOOKUP($B179,INDIRECT("'GRD-"&amp;AS179&amp;"'!$B:$R"),16,FALSE)))</f>
        <v/>
      </c>
      <c r="AS179" s="130">
        <f t="array" ref="AS179">IF(AQ179="","",IFERROR(OFFSET($BZ$11,0,MATCH($AQ179,$CA179:$FV179,0),),""))</f>
        <v/>
      </c>
      <c r="AT179" s="131">
        <f t="array" ref="AT179">IF(AQ179="","",INDIRECT("'GRD-"&amp;AS179&amp;"'!$L$7"))</f>
        <v/>
      </c>
      <c r="AU179" s="76">
        <f t="array" ref="AU179">IFERROR(OFFSET($BZ$11,ROW($B179)-11,MATCH(AU$10,$CA179:$FV179,0),),"")</f>
        <v/>
      </c>
      <c r="AV179" s="76">
        <f>IF(AU179="","",IF(VLOOKUP($B179,INDIRECT("'GRD-"&amp;AW179&amp;"'!$B:$R"),16,FALSE)="","",VLOOKUP($B179,INDIRECT("'GRD-"&amp;AW179&amp;"'!$B:$R"),16,FALSE)))</f>
        <v/>
      </c>
      <c r="AW179" s="132">
        <f t="array" ref="AW179">IF(AU179="","",IFERROR(OFFSET($BZ$11,0,MATCH($AU179,$CA179:$FV179,0),),""))</f>
        <v/>
      </c>
      <c r="AX179" s="121">
        <f t="array" ref="AX179">IF(AU179="","",INDIRECT("'GRD-"&amp;AW179&amp;"'!$L$7"))</f>
        <v/>
      </c>
      <c r="AY179" s="83">
        <f t="array" ref="AY179">IFERROR(OFFSET($BZ$11,ROW($B179)-11,MATCH(AY$10,$CA179:$FV179,0),),"")</f>
        <v/>
      </c>
      <c r="AZ179" s="83">
        <f>IF(AY179="","",IF(VLOOKUP($B179,INDIRECT("'GRD-"&amp;BA179&amp;"'!$B:$R"),16,FALSE)="","",VLOOKUP($B179,INDIRECT("'GRD-"&amp;BA179&amp;"'!$B:$R"),16,FALSE)))</f>
        <v/>
      </c>
      <c r="BA179" s="128">
        <f t="array" ref="BA179">IF(AY179="","",IFERROR(OFFSET($BZ$11,0,MATCH($AY179,$CA179:$FV179,0),),""))</f>
        <v/>
      </c>
      <c r="BB179" s="133">
        <f t="array" ref="BB179">IF(AY179="","",INDIRECT("'GRD-"&amp;BA179&amp;"'!$L$7"))</f>
        <v/>
      </c>
      <c r="BC179" s="84">
        <f t="array" ref="BC179">IFERROR(OFFSET($BZ$11,ROW($B179)-11,MATCH(BC$10,$CA179:$FV179,0),),"")</f>
        <v/>
      </c>
      <c r="BD179" s="84">
        <f>IF(BC179="","",IF(VLOOKUP($B179,INDIRECT("'GRD-"&amp;BE179&amp;"'!$B:$R"),16,FALSE)="","",VLOOKUP($B179,INDIRECT("'GRD-"&amp;BE179&amp;"'!$B:$R"),16,FALSE)))</f>
        <v/>
      </c>
      <c r="BE179" s="129">
        <f t="array" ref="BE179">IF(BC179="","",IFERROR(OFFSET($BZ$11,0,MATCH($BC179,$CA179:$FV179,0),),""))</f>
        <v/>
      </c>
      <c r="BF179" s="134">
        <f t="array" ref="BF179">IF(BC179="","",INDIRECT("'GRD-"&amp;BE179&amp;"'!$L$7"))</f>
        <v/>
      </c>
      <c r="CA179" s="96">
        <f>IFERROR(VLOOKUP($B179,INDIRECT("'GRD-"&amp;CA$11&amp;"'!B:R"),15,FALSE),"")</f>
        <v/>
      </c>
      <c r="CB179" s="96">
        <f>IFERROR(VLOOKUP($B179,INDIRECT("'GRD-"&amp;CB$11&amp;"'!B:R"),15,FALSE),"")</f>
        <v/>
      </c>
      <c r="CC179" s="96">
        <f>IFERROR(VLOOKUP($B179,INDIRECT("'GRD-"&amp;CC$11&amp;"'!B:R"),15,FALSE),"")</f>
        <v/>
      </c>
      <c r="CD179" s="96">
        <f>IFERROR(VLOOKUP($B179,INDIRECT("'GRD-"&amp;CD$11&amp;"'!B:R"),15,FALSE),"")</f>
        <v/>
      </c>
      <c r="CE179" s="96">
        <f>IFERROR(VLOOKUP($B179,INDIRECT("'GRD-"&amp;CE$11&amp;"'!B:R"),15,FALSE),"")</f>
        <v/>
      </c>
      <c r="CF179" s="96">
        <f>IFERROR(VLOOKUP($B179,INDIRECT("'GRD-"&amp;CF$11&amp;"'!B:R"),15,FALSE),"")</f>
        <v/>
      </c>
      <c r="CG179" s="96">
        <f>IFERROR(VLOOKUP($B179,INDIRECT("'GRD-"&amp;CG$11&amp;"'!B:R"),15,FALSE),"")</f>
        <v/>
      </c>
      <c r="CH179" s="96">
        <f>IFERROR(VLOOKUP($B179,INDIRECT("'GRD-"&amp;CH$11&amp;"'!B:R"),15,FALSE),"")</f>
        <v/>
      </c>
      <c r="CI179" s="96">
        <f>IFERROR(VLOOKUP($B179,INDIRECT("'GRD-"&amp;CI$11&amp;"'!B:R"),15,FALSE),"")</f>
        <v/>
      </c>
      <c r="CJ179" s="96">
        <f>IFERROR(VLOOKUP($B179,INDIRECT("'GRD-"&amp;CJ$11&amp;"'!B:R"),15,FALSE),"")</f>
        <v/>
      </c>
      <c r="CK179" s="96">
        <f>IFERROR(VLOOKUP($B179,INDIRECT("'GRD-"&amp;CK$11&amp;"'!B:R"),15,FALSE),"")</f>
        <v/>
      </c>
      <c r="CL179" s="96">
        <f>IFERROR(VLOOKUP($B179,INDIRECT("'GRD-"&amp;CL$11&amp;"'!B:R"),15,FALSE),"")</f>
        <v/>
      </c>
      <c r="CM179" s="96">
        <f>IFERROR(VLOOKUP($B179,INDIRECT("'GRD-"&amp;CM$11&amp;"'!B:R"),15,FALSE),"")</f>
        <v/>
      </c>
      <c r="CN179" s="96">
        <f>IFERROR(VLOOKUP($B179,INDIRECT("'GRD-"&amp;CN$11&amp;"'!B:R"),15,FALSE),"")</f>
        <v/>
      </c>
      <c r="CO179" s="96">
        <f>IFERROR(VLOOKUP($B179,INDIRECT("'GRD-"&amp;CO$11&amp;"'!B:R"),15,FALSE),"")</f>
        <v/>
      </c>
      <c r="CP179" s="96">
        <f>IFERROR(VLOOKUP($B179,INDIRECT("'GRD-"&amp;CP$11&amp;"'!B:R"),15,FALSE),"")</f>
        <v/>
      </c>
      <c r="CQ179" s="96">
        <f>IFERROR(VLOOKUP($B179,INDIRECT("'GRD-"&amp;CQ$11&amp;"'!B:R"),15,FALSE),"")</f>
        <v/>
      </c>
      <c r="CR179" s="96">
        <f>IFERROR(VLOOKUP($B179,INDIRECT("'GRD-"&amp;CR$11&amp;"'!B:R"),15,FALSE),"")</f>
        <v/>
      </c>
      <c r="CS179" s="96">
        <f>IFERROR(VLOOKUP($B179,INDIRECT("'GRD-"&amp;CS$11&amp;"'!B:R"),15,FALSE),"")</f>
        <v/>
      </c>
      <c r="CT179" s="96">
        <f>IFERROR(VLOOKUP($B179,INDIRECT("'GRD-"&amp;CT$11&amp;"'!B:R"),15,FALSE),"")</f>
        <v/>
      </c>
      <c r="CU179" s="96">
        <f>IFERROR(VLOOKUP($B179,INDIRECT("'GRD-"&amp;CU$11&amp;"'!B:R"),15,FALSE),"")</f>
        <v/>
      </c>
      <c r="CV179" s="96">
        <f>IFERROR(VLOOKUP($B179,INDIRECT("'GRD-"&amp;CV$11&amp;"'!B:R"),15,FALSE),"")</f>
        <v/>
      </c>
      <c r="CW179" s="96">
        <f>IFERROR(VLOOKUP($B179,INDIRECT("'GRD-"&amp;CW$11&amp;"'!B:R"),15,FALSE),"")</f>
        <v/>
      </c>
      <c r="CX179" s="96">
        <f>IFERROR(VLOOKUP($B179,INDIRECT("'GRD-"&amp;CX$11&amp;"'!B:R"),15,FALSE),"")</f>
        <v/>
      </c>
      <c r="CY179" s="96">
        <f>IFERROR(VLOOKUP($B179,INDIRECT("'GRD-"&amp;CY$11&amp;"'!B:R"),15,FALSE),"")</f>
        <v/>
      </c>
      <c r="CZ179" s="96">
        <f>IFERROR(VLOOKUP($B179,INDIRECT("'GRD-"&amp;CZ$11&amp;"'!B:R"),15,FALSE),"")</f>
        <v/>
      </c>
      <c r="DA179" s="96">
        <f>IFERROR(VLOOKUP($B179,INDIRECT("'GRD-"&amp;DA$11&amp;"'!B:R"),15,FALSE),"")</f>
        <v/>
      </c>
      <c r="DB179" s="96">
        <f>IFERROR(VLOOKUP($B179,INDIRECT("'GRD-"&amp;DB$11&amp;"'!B:R"),15,FALSE),"")</f>
        <v/>
      </c>
      <c r="DC179" s="96">
        <f>IFERROR(VLOOKUP($B179,INDIRECT("'GRD-"&amp;DC$11&amp;"'!B:R"),15,FALSE),"")</f>
        <v/>
      </c>
      <c r="DD179" s="96">
        <f>IFERROR(VLOOKUP($B179,INDIRECT("'GRD-"&amp;DD$11&amp;"'!B:R"),15,FALSE),"")</f>
        <v/>
      </c>
      <c r="DE179" s="96">
        <f>IFERROR(VLOOKUP($B179,INDIRECT("'GRD-"&amp;DE$11&amp;"'!B:R"),15,FALSE),"")</f>
        <v/>
      </c>
      <c r="DF179" s="96">
        <f>IFERROR(VLOOKUP($B179,INDIRECT("'GRD-"&amp;DF$11&amp;"'!B:R"),15,FALSE),"")</f>
        <v/>
      </c>
      <c r="DG179" s="96">
        <f>IFERROR(VLOOKUP($B179,INDIRECT("'GRD-"&amp;DG$11&amp;"'!B:R"),15,FALSE),"")</f>
        <v/>
      </c>
      <c r="DH179" s="96">
        <f>IFERROR(VLOOKUP($B179,INDIRECT("'GRD-"&amp;DH$11&amp;"'!B:R"),15,FALSE),"")</f>
        <v/>
      </c>
      <c r="DI179" s="96">
        <f>IFERROR(VLOOKUP($B179,INDIRECT("'GRD-"&amp;DI$11&amp;"'!B:R"),15,FALSE),"")</f>
        <v/>
      </c>
      <c r="DJ179" s="96">
        <f>IFERROR(VLOOKUP($B179,INDIRECT("'GRD-"&amp;DJ$11&amp;"'!B:R"),15,FALSE),"")</f>
        <v/>
      </c>
      <c r="DK179" s="96">
        <f>IFERROR(VLOOKUP($B179,INDIRECT("'GRD-"&amp;DK$11&amp;"'!B:R"),15,FALSE),"")</f>
        <v/>
      </c>
      <c r="DL179" s="96">
        <f>IFERROR(VLOOKUP($B179,INDIRECT("'GRD-"&amp;DL$11&amp;"'!B:R"),15,FALSE),"")</f>
        <v/>
      </c>
      <c r="DM179" s="96">
        <f>IFERROR(VLOOKUP($B179,INDIRECT("'GRD-"&amp;DM$11&amp;"'!B:R"),15,FALSE),"")</f>
        <v/>
      </c>
      <c r="DN179" s="96">
        <f>IFERROR(VLOOKUP($B179,INDIRECT("'GRD-"&amp;DN$11&amp;"'!B:R"),15,FALSE),"")</f>
        <v/>
      </c>
      <c r="DO179" s="96">
        <f>IFERROR(VLOOKUP($B179,INDIRECT("'GRD-"&amp;DO$11&amp;"'!B:R"),15,FALSE),"")</f>
        <v/>
      </c>
      <c r="DP179" s="96">
        <f>IFERROR(VLOOKUP($B179,INDIRECT("'GRD-"&amp;DP$11&amp;"'!B:R"),15,FALSE),"")</f>
        <v/>
      </c>
      <c r="DQ179" s="96">
        <f>IFERROR(VLOOKUP($B179,INDIRECT("'GRD-"&amp;DQ$11&amp;"'!B:R"),15,FALSE),"")</f>
        <v/>
      </c>
      <c r="DR179" s="96">
        <f>IFERROR(VLOOKUP($B179,INDIRECT("'GRD-"&amp;DR$11&amp;"'!B:R"),15,FALSE),"")</f>
        <v/>
      </c>
      <c r="DS179" s="96">
        <f>IFERROR(VLOOKUP($B179,INDIRECT("'GRD-"&amp;DS$11&amp;"'!B:R"),15,FALSE),"")</f>
        <v/>
      </c>
      <c r="DT179" s="96">
        <f>IFERROR(VLOOKUP($B179,INDIRECT("'GRD-"&amp;DT$11&amp;"'!B:R"),15,FALSE),"")</f>
        <v/>
      </c>
      <c r="DU179" s="96">
        <f>IFERROR(VLOOKUP($B179,INDIRECT("'GRD-"&amp;DU$11&amp;"'!B:R"),15,FALSE),"")</f>
        <v/>
      </c>
      <c r="DV179" s="96">
        <f>IFERROR(VLOOKUP($B179,INDIRECT("'GRD-"&amp;DV$11&amp;"'!B:R"),15,FALSE),"")</f>
        <v/>
      </c>
      <c r="DW179" s="96">
        <f>IFERROR(VLOOKUP($B179,INDIRECT("'GRD-"&amp;DW$11&amp;"'!B:R"),15,FALSE),"")</f>
        <v/>
      </c>
      <c r="DX179" s="96">
        <f>IFERROR(VLOOKUP($B179,INDIRECT("'GRD-"&amp;DX$11&amp;"'!B:R"),15,FALSE),"")</f>
        <v/>
      </c>
      <c r="DY179" s="96">
        <f>IFERROR(VLOOKUP($B179,INDIRECT("'GRD-"&amp;DY$11&amp;"'!B:R"),15,FALSE),"")</f>
        <v/>
      </c>
      <c r="DZ179" s="96">
        <f>IFERROR(VLOOKUP($B179,INDIRECT("'GRD-"&amp;DZ$11&amp;"'!B:R"),15,FALSE),"")</f>
        <v/>
      </c>
      <c r="EA179" s="96">
        <f>IFERROR(VLOOKUP($B179,INDIRECT("'GRD-"&amp;EA$11&amp;"'!B:R"),15,FALSE),"")</f>
        <v/>
      </c>
      <c r="EB179" s="96">
        <f>IFERROR(VLOOKUP($B179,INDIRECT("'GRD-"&amp;EB$11&amp;"'!B:R"),15,FALSE),"")</f>
        <v/>
      </c>
      <c r="EC179" s="96">
        <f>IFERROR(VLOOKUP($B179,INDIRECT("'GRD-"&amp;EC$11&amp;"'!B:R"),15,FALSE),"")</f>
        <v/>
      </c>
      <c r="ED179" s="96">
        <f>IFERROR(VLOOKUP($B179,INDIRECT("'GRD-"&amp;ED$11&amp;"'!B:R"),15,FALSE),"")</f>
        <v/>
      </c>
      <c r="EE179" s="96">
        <f>IFERROR(VLOOKUP($B179,INDIRECT("'GRD-"&amp;EE$11&amp;"'!B:R"),15,FALSE),"")</f>
        <v/>
      </c>
      <c r="EF179" s="96">
        <f>IFERROR(VLOOKUP($B179,INDIRECT("'GRD-"&amp;EF$11&amp;"'!B:R"),15,FALSE),"")</f>
        <v/>
      </c>
      <c r="EG179" s="96">
        <f>IFERROR(VLOOKUP($B179,INDIRECT("'GRD-"&amp;EG$11&amp;"'!B:R"),15,FALSE),"")</f>
        <v/>
      </c>
      <c r="EH179" s="96">
        <f>IFERROR(VLOOKUP($B179,INDIRECT("'GRD-"&amp;EH$11&amp;"'!B:R"),15,FALSE),"")</f>
        <v/>
      </c>
      <c r="EI179" s="96">
        <f>IFERROR(VLOOKUP($B179,INDIRECT("'GRD-"&amp;EI$11&amp;"'!B:R"),15,FALSE),"")</f>
        <v/>
      </c>
      <c r="EJ179" s="96">
        <f>IFERROR(VLOOKUP($B179,INDIRECT("'GRD-"&amp;EJ$11&amp;"'!B:R"),15,FALSE),"")</f>
        <v/>
      </c>
      <c r="EK179" s="96">
        <f>IFERROR(VLOOKUP($B179,INDIRECT("'GRD-"&amp;EK$11&amp;"'!B:R"),15,FALSE),"")</f>
        <v/>
      </c>
      <c r="EL179" s="96">
        <f>IFERROR(VLOOKUP($B179,INDIRECT("'GRD-"&amp;EL$11&amp;"'!B:R"),15,FALSE),"")</f>
        <v/>
      </c>
      <c r="EM179" s="96">
        <f>IFERROR(VLOOKUP($B179,INDIRECT("'GRD-"&amp;EM$11&amp;"'!B:R"),15,FALSE),"")</f>
        <v/>
      </c>
      <c r="EN179" s="96">
        <f>IFERROR(VLOOKUP($B179,INDIRECT("'GRD-"&amp;EN$11&amp;"'!B:R"),15,FALSE),"")</f>
        <v/>
      </c>
      <c r="EO179" s="96">
        <f>IFERROR(VLOOKUP($B179,INDIRECT("'GRD-"&amp;EO$11&amp;"'!B:R"),15,FALSE),"")</f>
        <v/>
      </c>
      <c r="EP179" s="96">
        <f>IFERROR(VLOOKUP($B179,INDIRECT("'GRD-"&amp;EP$11&amp;"'!B:R"),15,FALSE),"")</f>
        <v/>
      </c>
      <c r="EQ179" s="96">
        <f>IFERROR(VLOOKUP($B179,INDIRECT("'GRD-"&amp;EQ$11&amp;"'!B:R"),15,FALSE),"")</f>
        <v/>
      </c>
      <c r="ER179" s="96">
        <f>IFERROR(VLOOKUP($B179,INDIRECT("'GRD-"&amp;ER$11&amp;"'!B:R"),15,FALSE),"")</f>
        <v/>
      </c>
      <c r="ES179" s="96">
        <f>IFERROR(VLOOKUP($B179,INDIRECT("'GRD-"&amp;ES$11&amp;"'!B:R"),15,FALSE),"")</f>
        <v/>
      </c>
      <c r="ET179" s="96">
        <f>IFERROR(VLOOKUP($B179,INDIRECT("'GRD-"&amp;ET$11&amp;"'!B:R"),15,FALSE),"")</f>
        <v/>
      </c>
      <c r="EU179" s="96">
        <f>IFERROR(VLOOKUP($B179,INDIRECT("'GRD-"&amp;EU$11&amp;"'!B:R"),15,FALSE),"")</f>
        <v/>
      </c>
      <c r="EV179" s="96">
        <f>IFERROR(VLOOKUP($B179,INDIRECT("'GRD-"&amp;EV$11&amp;"'!B:R"),15,FALSE),"")</f>
        <v/>
      </c>
      <c r="EW179" s="96">
        <f>IFERROR(VLOOKUP($B179,INDIRECT("'GRD-"&amp;EW$11&amp;"'!B:R"),15,FALSE),"")</f>
        <v/>
      </c>
      <c r="EX179" s="96">
        <f>IFERROR(VLOOKUP($B179,INDIRECT("'GRD-"&amp;EX$11&amp;"'!B:R"),15,FALSE),"")</f>
        <v/>
      </c>
      <c r="EY179" s="96">
        <f>IFERROR(VLOOKUP($B179,INDIRECT("'GRD-"&amp;EY$11&amp;"'!B:R"),15,FALSE),"")</f>
        <v/>
      </c>
      <c r="EZ179" s="96">
        <f>IFERROR(VLOOKUP($B179,INDIRECT("'GRD-"&amp;EZ$11&amp;"'!B:R"),15,FALSE),"")</f>
        <v/>
      </c>
      <c r="FA179" s="96">
        <f>IFERROR(VLOOKUP($B179,INDIRECT("'GRD-"&amp;FA$11&amp;"'!B:R"),15,FALSE),"")</f>
        <v/>
      </c>
      <c r="FB179" s="96">
        <f>IFERROR(VLOOKUP($B179,INDIRECT("'GRD-"&amp;FB$11&amp;"'!B:R"),15,FALSE),"")</f>
        <v/>
      </c>
      <c r="FC179" s="96">
        <f>IFERROR(VLOOKUP($B179,INDIRECT("'GRD-"&amp;FC$11&amp;"'!B:R"),15,FALSE),"")</f>
        <v/>
      </c>
      <c r="FD179" s="96">
        <f>IFERROR(VLOOKUP($B179,INDIRECT("'GRD-"&amp;FD$11&amp;"'!B:R"),15,FALSE),"")</f>
        <v/>
      </c>
      <c r="FE179" s="96">
        <f>IFERROR(VLOOKUP($B179,INDIRECT("'GRD-"&amp;FE$11&amp;"'!B:R"),15,FALSE),"")</f>
        <v/>
      </c>
      <c r="FF179" s="96">
        <f>IFERROR(VLOOKUP($B179,INDIRECT("'GRD-"&amp;FF$11&amp;"'!B:R"),15,FALSE),"")</f>
        <v/>
      </c>
      <c r="FG179" s="96">
        <f>IFERROR(VLOOKUP($B179,INDIRECT("'GRD-"&amp;FG$11&amp;"'!B:R"),15,FALSE),"")</f>
        <v/>
      </c>
      <c r="FH179" s="96">
        <f>IFERROR(VLOOKUP($B179,INDIRECT("'GRD-"&amp;FH$11&amp;"'!B:R"),15,FALSE),"")</f>
        <v/>
      </c>
      <c r="FI179" s="96">
        <f>IFERROR(VLOOKUP($B179,INDIRECT("'GRD-"&amp;FI$11&amp;"'!B:R"),15,FALSE),"")</f>
        <v/>
      </c>
      <c r="FJ179" s="96">
        <f>IFERROR(VLOOKUP($B179,INDIRECT("'GRD-"&amp;FJ$11&amp;"'!B:R"),15,FALSE),"")</f>
        <v/>
      </c>
      <c r="FK179" s="96">
        <f>IFERROR(VLOOKUP($B179,INDIRECT("'GRD-"&amp;FK$11&amp;"'!B:R"),15,FALSE),"")</f>
        <v/>
      </c>
      <c r="FL179" s="96">
        <f>IFERROR(VLOOKUP($B179,INDIRECT("'GRD-"&amp;FL$11&amp;"'!B:R"),15,FALSE),"")</f>
        <v/>
      </c>
      <c r="FM179" s="96">
        <f>IFERROR(VLOOKUP($B179,INDIRECT("'GRD-"&amp;FM$11&amp;"'!B:R"),15,FALSE),"")</f>
        <v/>
      </c>
      <c r="FN179" s="96">
        <f>IFERROR(VLOOKUP($B179,INDIRECT("'GRD-"&amp;FN$11&amp;"'!B:R"),15,FALSE),"")</f>
        <v/>
      </c>
      <c r="FO179" s="96">
        <f>IFERROR(VLOOKUP($B179,INDIRECT("'GRD-"&amp;FO$11&amp;"'!B:R"),15,FALSE),"")</f>
        <v/>
      </c>
      <c r="FP179" s="96">
        <f>IFERROR(VLOOKUP($B179,INDIRECT("'GRD-"&amp;FP$11&amp;"'!B:R"),15,FALSE),"")</f>
        <v/>
      </c>
      <c r="FQ179" s="96">
        <f>IFERROR(VLOOKUP($B179,INDIRECT("'GRD-"&amp;FQ$11&amp;"'!B:R"),15,FALSE),"")</f>
        <v/>
      </c>
      <c r="FR179" s="96">
        <f>IFERROR(VLOOKUP($B179,INDIRECT("'GRD-"&amp;FR$11&amp;"'!B:R"),15,FALSE),"")</f>
        <v/>
      </c>
      <c r="FS179" s="96">
        <f>IFERROR(VLOOKUP($B179,INDIRECT("'GRD-"&amp;FS$11&amp;"'!B:R"),15,FALSE),"")</f>
        <v/>
      </c>
      <c r="FT179" s="96">
        <f>IFERROR(VLOOKUP($B179,INDIRECT("'GRD-"&amp;FT$11&amp;"'!B:R"),15,FALSE),"")</f>
        <v/>
      </c>
      <c r="FU179" s="96">
        <f>IFERROR(VLOOKUP($B179,INDIRECT("'GRD-"&amp;FU$11&amp;"'!B:R"),15,FALSE),"")</f>
        <v/>
      </c>
      <c r="FV179" s="96">
        <f>IFERROR(VLOOKUP($B179,INDIRECT("'GRD-"&amp;FV$11&amp;"'!B:R"),15,FALSE),"")</f>
        <v/>
      </c>
    </row>
    <row r="180">
      <c r="B180" s="85" t="n"/>
      <c r="C180" s="93" t="n"/>
      <c r="D180" s="73">
        <f>IF(K180="","",MAX($CA180:$FV180))</f>
        <v/>
      </c>
      <c r="E180" s="74">
        <f t="array" ref="E180">IF($K180="","",OFFSET($A$1,ROW($B180)-1,11+$D180*4,))</f>
        <v/>
      </c>
      <c r="F180" s="74">
        <f t="array" ref="F180">IF($K180="","",OFFSET($A$1,ROW($B180)-1,12+$D180*4,))</f>
        <v/>
      </c>
      <c r="G180" s="118">
        <f t="array" ref="G180">IF($K180="","",OFFSET($A$1,ROW($B180)-1,13+$D180*4,))</f>
        <v/>
      </c>
      <c r="H180" s="81" t="n"/>
      <c r="I180" s="82" t="n"/>
      <c r="J180" s="75">
        <f>IF(I180="A4",H180/8,IF(I180="A3",H180/4,IF(I180="A2",H180/2,IF(I180="A1",H180/1,IF(I180="A0",H180*2,"")))))</f>
        <v/>
      </c>
      <c r="K180" s="68">
        <f t="array" ref="K180">IFERROR(OFFSET($BZ$11,ROW($B180)-11,MATCH(K$10,$CA180:$FV180,0),),"")</f>
        <v/>
      </c>
      <c r="L180" s="85">
        <f>IF(K180="","",IF(VLOOKUP($B180,INDIRECT("'GRD-"&amp;M180&amp;"'!$B:$R"),16,FALSE)="","",VLOOKUP($B180,INDIRECT("'GRD-"&amp;M180&amp;"'!$B:$R"),16,FALSE)))</f>
        <v/>
      </c>
      <c r="M180" s="130">
        <f t="array" ref="M180">IF(K180="","",IFERROR(OFFSET($BZ$11,0,MATCH($K180,$CA180:$FV180,0),),""))</f>
        <v/>
      </c>
      <c r="N180" s="119">
        <f t="array" ref="N180">IF(K180="","",INDIRECT("'GRD-"&amp;M180&amp;"'!$L$7"))</f>
        <v/>
      </c>
      <c r="O180" s="76">
        <f t="array" ref="O180">IFERROR(OFFSET($BZ$11,ROW($B180)-11,MATCH(O$10,$CA180:$FV180,0),),"")</f>
        <v/>
      </c>
      <c r="P180" s="76">
        <f>IF(O180="","",IF(VLOOKUP($B180,INDIRECT("'GRD-"&amp;Q180&amp;"'!$B:$R"),16,FALSE)="","",VLOOKUP($B180,INDIRECT("'GRD-"&amp;Q180&amp;"'!$B:$R"),16,FALSE)))</f>
        <v/>
      </c>
      <c r="Q180" s="132">
        <f t="array" ref="Q180">IF(O180="","",IFERROR(OFFSET($BZ$11,0,MATCH($O180,$CA180:$FV180,0),),""))</f>
        <v/>
      </c>
      <c r="R180" s="121">
        <f t="array" ref="R180">IF(O180="","",INDIRECT("'GRD-"&amp;Q180&amp;"'!$L$7"))</f>
        <v/>
      </c>
      <c r="S180" s="83">
        <f t="array" ref="S180">IFERROR(OFFSET($BZ$11,ROW($B180)-11,MATCH(S$10,$CA180:$FV180,0),),"")</f>
        <v/>
      </c>
      <c r="T180" s="83">
        <f>IF(S180="","",IF(VLOOKUP($B180,INDIRECT("'GRD-"&amp;U180&amp;"'!$B:$R"),16,FALSE)="","",VLOOKUP($B180,INDIRECT("'GRD-"&amp;U180&amp;"'!$B:$R"),16,FALSE)))</f>
        <v/>
      </c>
      <c r="U180" s="128">
        <f t="array" ref="U180">IF(S180="","",IFERROR(OFFSET($BZ$11,0,MATCH($S180,$CA180:$FV180,0),),""))</f>
        <v/>
      </c>
      <c r="V180" s="133">
        <f t="array" ref="V180">IF(S180="","",INDIRECT("'GRD-"&amp;U180&amp;"'!$L$7"))</f>
        <v/>
      </c>
      <c r="W180" s="84">
        <f t="array" ref="W180">IFERROR(OFFSET($BZ$11,ROW($B180)-11,MATCH(W$10,$CA180:$FV180,0),),"")</f>
        <v/>
      </c>
      <c r="X180" s="84">
        <f>IF(W180="","",IF(VLOOKUP($B180,INDIRECT("'GRD-"&amp;Y180&amp;"'!$B:$R"),16,FALSE)="","",VLOOKUP($B180,INDIRECT("'GRD-"&amp;Y180&amp;"'!$B:$R"),16,FALSE)))</f>
        <v/>
      </c>
      <c r="Y180" s="129">
        <f t="array" ref="Y180">IF(W180="","",IFERROR(OFFSET($BZ$11,0,MATCH($W180,$CA180:$FV180,0),),""))</f>
        <v/>
      </c>
      <c r="Z180" s="134">
        <f t="array" ref="Z180">IF(W180="","",INDIRECT("'GRD-"&amp;Y180&amp;"'!$L$7"))</f>
        <v/>
      </c>
      <c r="AA180" s="85">
        <f t="array" ref="AA180">IFERROR(OFFSET($BZ$11,ROW($B180)-11,MATCH(AA$10,$CA180:$FV180,0),),"")</f>
        <v/>
      </c>
      <c r="AB180" s="85">
        <f>IF(AA180="","",IF(VLOOKUP($B180,INDIRECT("'GRD-"&amp;AC180&amp;"'!$B:$R"),16,FALSE)="","",VLOOKUP($B180,INDIRECT("'GRD-"&amp;AC180&amp;"'!$B:$R"),16,FALSE)))</f>
        <v/>
      </c>
      <c r="AC180" s="130">
        <f t="array" ref="AC180">IF(AA180="","",IFERROR(OFFSET($BZ$11,0,MATCH($AA180,$CA180:$FV180,0),),""))</f>
        <v/>
      </c>
      <c r="AD180" s="131">
        <f t="array" ref="AD180">IF(AA180="","",INDIRECT("'GRD-"&amp;AC180&amp;"'!$L$7"))</f>
        <v/>
      </c>
      <c r="AE180" s="76">
        <f t="array" ref="AE180">IFERROR(OFFSET($BZ$11,ROW($B180)-11,MATCH(AE$10,$CA180:$FV180,0),),"")</f>
        <v/>
      </c>
      <c r="AF180" s="76">
        <f>IF(AE180="","",IF(VLOOKUP($B180,INDIRECT("'GRD-"&amp;AG180&amp;"'!$B:$R"),16,FALSE)="","",VLOOKUP($B180,INDIRECT("'GRD-"&amp;AG180&amp;"'!$B:$R"),16,FALSE)))</f>
        <v/>
      </c>
      <c r="AG180" s="132">
        <f t="array" ref="AG180">IF(AE180="","",IFERROR(OFFSET($BZ$11,0,MATCH($AE180,$CA180:$FV180,0),),""))</f>
        <v/>
      </c>
      <c r="AH180" s="121">
        <f t="array" ref="AH180">IF(AE180="","",INDIRECT("'GRD-"&amp;AG180&amp;"'!$L$7"))</f>
        <v/>
      </c>
      <c r="AI180" s="83">
        <f t="array" ref="AI180">IFERROR(OFFSET($BZ$11,ROW($B180)-11,MATCH(AI$10,$CA180:$FV180,0),),"")</f>
        <v/>
      </c>
      <c r="AJ180" s="83">
        <f>IF(AI180="","",IF(VLOOKUP($B180,INDIRECT("'GRD-"&amp;AK180&amp;"'!$B:$R"),16,FALSE)="","",VLOOKUP($B180,INDIRECT("'GRD-"&amp;AK180&amp;"'!$B:$R"),16,FALSE)))</f>
        <v/>
      </c>
      <c r="AK180" s="128">
        <f t="array" ref="AK180">IF(AI180="","",IFERROR(OFFSET($BZ$11,0,MATCH($AI180,$CA180:$FV180,0),),""))</f>
        <v/>
      </c>
      <c r="AL180" s="133">
        <f t="array" ref="AL180">IF(AI180="","",INDIRECT("'GRD-"&amp;AK180&amp;"'!$L$7"))</f>
        <v/>
      </c>
      <c r="AM180" s="84">
        <f t="array" ref="AM180">IFERROR(OFFSET($BZ$11,ROW($B180)-11,MATCH(AM$10,$CA180:$FV180,0),),"")</f>
        <v/>
      </c>
      <c r="AN180" s="84">
        <f>IF(AM180="","",IF(VLOOKUP($B180,INDIRECT("'GRD-"&amp;AO180&amp;"'!$B:$R"),16,FALSE)="","",VLOOKUP($B180,INDIRECT("'GRD-"&amp;AO180&amp;"'!$B:$R"),16,FALSE)))</f>
        <v/>
      </c>
      <c r="AO180" s="129">
        <f t="array" ref="AO180">IF(AM180="","",IFERROR(OFFSET($BZ$11,0,MATCH($AM180,$CA180:$FV180,0),),""))</f>
        <v/>
      </c>
      <c r="AP180" s="134">
        <f t="array" ref="AP180">IF(AM180="","",INDIRECT("'GRD-"&amp;AO180&amp;"'!$L$7"))</f>
        <v/>
      </c>
      <c r="AQ180" s="85">
        <f t="array" ref="AQ180">IFERROR(OFFSET($BZ$11,ROW($B180)-11,MATCH(AQ$10,$CA180:$FV180,0),),"")</f>
        <v/>
      </c>
      <c r="AR180" s="85">
        <f>IF(AQ180="","",IF(VLOOKUP($B180,INDIRECT("'GRD-"&amp;AS180&amp;"'!$B:$R"),16,FALSE)="","",VLOOKUP($B180,INDIRECT("'GRD-"&amp;AS180&amp;"'!$B:$R"),16,FALSE)))</f>
        <v/>
      </c>
      <c r="AS180" s="130">
        <f t="array" ref="AS180">IF(AQ180="","",IFERROR(OFFSET($BZ$11,0,MATCH($AQ180,$CA180:$FV180,0),),""))</f>
        <v/>
      </c>
      <c r="AT180" s="131">
        <f t="array" ref="AT180">IF(AQ180="","",INDIRECT("'GRD-"&amp;AS180&amp;"'!$L$7"))</f>
        <v/>
      </c>
      <c r="AU180" s="76">
        <f t="array" ref="AU180">IFERROR(OFFSET($BZ$11,ROW($B180)-11,MATCH(AU$10,$CA180:$FV180,0),),"")</f>
        <v/>
      </c>
      <c r="AV180" s="76">
        <f>IF(AU180="","",IF(VLOOKUP($B180,INDIRECT("'GRD-"&amp;AW180&amp;"'!$B:$R"),16,FALSE)="","",VLOOKUP($B180,INDIRECT("'GRD-"&amp;AW180&amp;"'!$B:$R"),16,FALSE)))</f>
        <v/>
      </c>
      <c r="AW180" s="132">
        <f t="array" ref="AW180">IF(AU180="","",IFERROR(OFFSET($BZ$11,0,MATCH($AU180,$CA180:$FV180,0),),""))</f>
        <v/>
      </c>
      <c r="AX180" s="121">
        <f t="array" ref="AX180">IF(AU180="","",INDIRECT("'GRD-"&amp;AW180&amp;"'!$L$7"))</f>
        <v/>
      </c>
      <c r="AY180" s="83">
        <f t="array" ref="AY180">IFERROR(OFFSET($BZ$11,ROW($B180)-11,MATCH(AY$10,$CA180:$FV180,0),),"")</f>
        <v/>
      </c>
      <c r="AZ180" s="83">
        <f>IF(AY180="","",IF(VLOOKUP($B180,INDIRECT("'GRD-"&amp;BA180&amp;"'!$B:$R"),16,FALSE)="","",VLOOKUP($B180,INDIRECT("'GRD-"&amp;BA180&amp;"'!$B:$R"),16,FALSE)))</f>
        <v/>
      </c>
      <c r="BA180" s="128">
        <f t="array" ref="BA180">IF(AY180="","",IFERROR(OFFSET($BZ$11,0,MATCH($AY180,$CA180:$FV180,0),),""))</f>
        <v/>
      </c>
      <c r="BB180" s="133">
        <f t="array" ref="BB180">IF(AY180="","",INDIRECT("'GRD-"&amp;BA180&amp;"'!$L$7"))</f>
        <v/>
      </c>
      <c r="BC180" s="84">
        <f t="array" ref="BC180">IFERROR(OFFSET($BZ$11,ROW($B180)-11,MATCH(BC$10,$CA180:$FV180,0),),"")</f>
        <v/>
      </c>
      <c r="BD180" s="84">
        <f>IF(BC180="","",IF(VLOOKUP($B180,INDIRECT("'GRD-"&amp;BE180&amp;"'!$B:$R"),16,FALSE)="","",VLOOKUP($B180,INDIRECT("'GRD-"&amp;BE180&amp;"'!$B:$R"),16,FALSE)))</f>
        <v/>
      </c>
      <c r="BE180" s="129">
        <f t="array" ref="BE180">IF(BC180="","",IFERROR(OFFSET($BZ$11,0,MATCH($BC180,$CA180:$FV180,0),),""))</f>
        <v/>
      </c>
      <c r="BF180" s="134">
        <f t="array" ref="BF180">IF(BC180="","",INDIRECT("'GRD-"&amp;BE180&amp;"'!$L$7"))</f>
        <v/>
      </c>
      <c r="CA180" s="96">
        <f>IFERROR(VLOOKUP($B180,INDIRECT("'GRD-"&amp;CA$11&amp;"'!B:R"),15,FALSE),"")</f>
        <v/>
      </c>
      <c r="CB180" s="96">
        <f>IFERROR(VLOOKUP($B180,INDIRECT("'GRD-"&amp;CB$11&amp;"'!B:R"),15,FALSE),"")</f>
        <v/>
      </c>
      <c r="CC180" s="96">
        <f>IFERROR(VLOOKUP($B180,INDIRECT("'GRD-"&amp;CC$11&amp;"'!B:R"),15,FALSE),"")</f>
        <v/>
      </c>
      <c r="CD180" s="96">
        <f>IFERROR(VLOOKUP($B180,INDIRECT("'GRD-"&amp;CD$11&amp;"'!B:R"),15,FALSE),"")</f>
        <v/>
      </c>
      <c r="CE180" s="96">
        <f>IFERROR(VLOOKUP($B180,INDIRECT("'GRD-"&amp;CE$11&amp;"'!B:R"),15,FALSE),"")</f>
        <v/>
      </c>
      <c r="CF180" s="96">
        <f>IFERROR(VLOOKUP($B180,INDIRECT("'GRD-"&amp;CF$11&amp;"'!B:R"),15,FALSE),"")</f>
        <v/>
      </c>
      <c r="CG180" s="96">
        <f>IFERROR(VLOOKUP($B180,INDIRECT("'GRD-"&amp;CG$11&amp;"'!B:R"),15,FALSE),"")</f>
        <v/>
      </c>
      <c r="CH180" s="96">
        <f>IFERROR(VLOOKUP($B180,INDIRECT("'GRD-"&amp;CH$11&amp;"'!B:R"),15,FALSE),"")</f>
        <v/>
      </c>
      <c r="CI180" s="96">
        <f>IFERROR(VLOOKUP($B180,INDIRECT("'GRD-"&amp;CI$11&amp;"'!B:R"),15,FALSE),"")</f>
        <v/>
      </c>
      <c r="CJ180" s="96">
        <f>IFERROR(VLOOKUP($B180,INDIRECT("'GRD-"&amp;CJ$11&amp;"'!B:R"),15,FALSE),"")</f>
        <v/>
      </c>
      <c r="CK180" s="96">
        <f>IFERROR(VLOOKUP($B180,INDIRECT("'GRD-"&amp;CK$11&amp;"'!B:R"),15,FALSE),"")</f>
        <v/>
      </c>
      <c r="CL180" s="96">
        <f>IFERROR(VLOOKUP($B180,INDIRECT("'GRD-"&amp;CL$11&amp;"'!B:R"),15,FALSE),"")</f>
        <v/>
      </c>
      <c r="CM180" s="96">
        <f>IFERROR(VLOOKUP($B180,INDIRECT("'GRD-"&amp;CM$11&amp;"'!B:R"),15,FALSE),"")</f>
        <v/>
      </c>
      <c r="CN180" s="96">
        <f>IFERROR(VLOOKUP($B180,INDIRECT("'GRD-"&amp;CN$11&amp;"'!B:R"),15,FALSE),"")</f>
        <v/>
      </c>
      <c r="CO180" s="96">
        <f>IFERROR(VLOOKUP($B180,INDIRECT("'GRD-"&amp;CO$11&amp;"'!B:R"),15,FALSE),"")</f>
        <v/>
      </c>
      <c r="CP180" s="96">
        <f>IFERROR(VLOOKUP($B180,INDIRECT("'GRD-"&amp;CP$11&amp;"'!B:R"),15,FALSE),"")</f>
        <v/>
      </c>
      <c r="CQ180" s="96">
        <f>IFERROR(VLOOKUP($B180,INDIRECT("'GRD-"&amp;CQ$11&amp;"'!B:R"),15,FALSE),"")</f>
        <v/>
      </c>
      <c r="CR180" s="96">
        <f>IFERROR(VLOOKUP($B180,INDIRECT("'GRD-"&amp;CR$11&amp;"'!B:R"),15,FALSE),"")</f>
        <v/>
      </c>
      <c r="CS180" s="96">
        <f>IFERROR(VLOOKUP($B180,INDIRECT("'GRD-"&amp;CS$11&amp;"'!B:R"),15,FALSE),"")</f>
        <v/>
      </c>
      <c r="CT180" s="96">
        <f>IFERROR(VLOOKUP($B180,INDIRECT("'GRD-"&amp;CT$11&amp;"'!B:R"),15,FALSE),"")</f>
        <v/>
      </c>
      <c r="CU180" s="96">
        <f>IFERROR(VLOOKUP($B180,INDIRECT("'GRD-"&amp;CU$11&amp;"'!B:R"),15,FALSE),"")</f>
        <v/>
      </c>
      <c r="CV180" s="96">
        <f>IFERROR(VLOOKUP($B180,INDIRECT("'GRD-"&amp;CV$11&amp;"'!B:R"),15,FALSE),"")</f>
        <v/>
      </c>
      <c r="CW180" s="96">
        <f>IFERROR(VLOOKUP($B180,INDIRECT("'GRD-"&amp;CW$11&amp;"'!B:R"),15,FALSE),"")</f>
        <v/>
      </c>
      <c r="CX180" s="96">
        <f>IFERROR(VLOOKUP($B180,INDIRECT("'GRD-"&amp;CX$11&amp;"'!B:R"),15,FALSE),"")</f>
        <v/>
      </c>
      <c r="CY180" s="96">
        <f>IFERROR(VLOOKUP($B180,INDIRECT("'GRD-"&amp;CY$11&amp;"'!B:R"),15,FALSE),"")</f>
        <v/>
      </c>
      <c r="CZ180" s="96">
        <f>IFERROR(VLOOKUP($B180,INDIRECT("'GRD-"&amp;CZ$11&amp;"'!B:R"),15,FALSE),"")</f>
        <v/>
      </c>
      <c r="DA180" s="96">
        <f>IFERROR(VLOOKUP($B180,INDIRECT("'GRD-"&amp;DA$11&amp;"'!B:R"),15,FALSE),"")</f>
        <v/>
      </c>
      <c r="DB180" s="96">
        <f>IFERROR(VLOOKUP($B180,INDIRECT("'GRD-"&amp;DB$11&amp;"'!B:R"),15,FALSE),"")</f>
        <v/>
      </c>
      <c r="DC180" s="96">
        <f>IFERROR(VLOOKUP($B180,INDIRECT("'GRD-"&amp;DC$11&amp;"'!B:R"),15,FALSE),"")</f>
        <v/>
      </c>
      <c r="DD180" s="96">
        <f>IFERROR(VLOOKUP($B180,INDIRECT("'GRD-"&amp;DD$11&amp;"'!B:R"),15,FALSE),"")</f>
        <v/>
      </c>
      <c r="DE180" s="96">
        <f>IFERROR(VLOOKUP($B180,INDIRECT("'GRD-"&amp;DE$11&amp;"'!B:R"),15,FALSE),"")</f>
        <v/>
      </c>
      <c r="DF180" s="96">
        <f>IFERROR(VLOOKUP($B180,INDIRECT("'GRD-"&amp;DF$11&amp;"'!B:R"),15,FALSE),"")</f>
        <v/>
      </c>
      <c r="DG180" s="96">
        <f>IFERROR(VLOOKUP($B180,INDIRECT("'GRD-"&amp;DG$11&amp;"'!B:R"),15,FALSE),"")</f>
        <v/>
      </c>
      <c r="DH180" s="96">
        <f>IFERROR(VLOOKUP($B180,INDIRECT("'GRD-"&amp;DH$11&amp;"'!B:R"),15,FALSE),"")</f>
        <v/>
      </c>
      <c r="DI180" s="96">
        <f>IFERROR(VLOOKUP($B180,INDIRECT("'GRD-"&amp;DI$11&amp;"'!B:R"),15,FALSE),"")</f>
        <v/>
      </c>
      <c r="DJ180" s="96">
        <f>IFERROR(VLOOKUP($B180,INDIRECT("'GRD-"&amp;DJ$11&amp;"'!B:R"),15,FALSE),"")</f>
        <v/>
      </c>
      <c r="DK180" s="96">
        <f>IFERROR(VLOOKUP($B180,INDIRECT("'GRD-"&amp;DK$11&amp;"'!B:R"),15,FALSE),"")</f>
        <v/>
      </c>
      <c r="DL180" s="96">
        <f>IFERROR(VLOOKUP($B180,INDIRECT("'GRD-"&amp;DL$11&amp;"'!B:R"),15,FALSE),"")</f>
        <v/>
      </c>
      <c r="DM180" s="96">
        <f>IFERROR(VLOOKUP($B180,INDIRECT("'GRD-"&amp;DM$11&amp;"'!B:R"),15,FALSE),"")</f>
        <v/>
      </c>
      <c r="DN180" s="96">
        <f>IFERROR(VLOOKUP($B180,INDIRECT("'GRD-"&amp;DN$11&amp;"'!B:R"),15,FALSE),"")</f>
        <v/>
      </c>
      <c r="DO180" s="96">
        <f>IFERROR(VLOOKUP($B180,INDIRECT("'GRD-"&amp;DO$11&amp;"'!B:R"),15,FALSE),"")</f>
        <v/>
      </c>
      <c r="DP180" s="96">
        <f>IFERROR(VLOOKUP($B180,INDIRECT("'GRD-"&amp;DP$11&amp;"'!B:R"),15,FALSE),"")</f>
        <v/>
      </c>
      <c r="DQ180" s="96">
        <f>IFERROR(VLOOKUP($B180,INDIRECT("'GRD-"&amp;DQ$11&amp;"'!B:R"),15,FALSE),"")</f>
        <v/>
      </c>
      <c r="DR180" s="96">
        <f>IFERROR(VLOOKUP($B180,INDIRECT("'GRD-"&amp;DR$11&amp;"'!B:R"),15,FALSE),"")</f>
        <v/>
      </c>
      <c r="DS180" s="96">
        <f>IFERROR(VLOOKUP($B180,INDIRECT("'GRD-"&amp;DS$11&amp;"'!B:R"),15,FALSE),"")</f>
        <v/>
      </c>
      <c r="DT180" s="96">
        <f>IFERROR(VLOOKUP($B180,INDIRECT("'GRD-"&amp;DT$11&amp;"'!B:R"),15,FALSE),"")</f>
        <v/>
      </c>
      <c r="DU180" s="96">
        <f>IFERROR(VLOOKUP($B180,INDIRECT("'GRD-"&amp;DU$11&amp;"'!B:R"),15,FALSE),"")</f>
        <v/>
      </c>
      <c r="DV180" s="96">
        <f>IFERROR(VLOOKUP($B180,INDIRECT("'GRD-"&amp;DV$11&amp;"'!B:R"),15,FALSE),"")</f>
        <v/>
      </c>
      <c r="DW180" s="96">
        <f>IFERROR(VLOOKUP($B180,INDIRECT("'GRD-"&amp;DW$11&amp;"'!B:R"),15,FALSE),"")</f>
        <v/>
      </c>
      <c r="DX180" s="96">
        <f>IFERROR(VLOOKUP($B180,INDIRECT("'GRD-"&amp;DX$11&amp;"'!B:R"),15,FALSE),"")</f>
        <v/>
      </c>
      <c r="DY180" s="96">
        <f>IFERROR(VLOOKUP($B180,INDIRECT("'GRD-"&amp;DY$11&amp;"'!B:R"),15,FALSE),"")</f>
        <v/>
      </c>
      <c r="DZ180" s="96">
        <f>IFERROR(VLOOKUP($B180,INDIRECT("'GRD-"&amp;DZ$11&amp;"'!B:R"),15,FALSE),"")</f>
        <v/>
      </c>
      <c r="EA180" s="96">
        <f>IFERROR(VLOOKUP($B180,INDIRECT("'GRD-"&amp;EA$11&amp;"'!B:R"),15,FALSE),"")</f>
        <v/>
      </c>
      <c r="EB180" s="96">
        <f>IFERROR(VLOOKUP($B180,INDIRECT("'GRD-"&amp;EB$11&amp;"'!B:R"),15,FALSE),"")</f>
        <v/>
      </c>
      <c r="EC180" s="96">
        <f>IFERROR(VLOOKUP($B180,INDIRECT("'GRD-"&amp;EC$11&amp;"'!B:R"),15,FALSE),"")</f>
        <v/>
      </c>
      <c r="ED180" s="96">
        <f>IFERROR(VLOOKUP($B180,INDIRECT("'GRD-"&amp;ED$11&amp;"'!B:R"),15,FALSE),"")</f>
        <v/>
      </c>
      <c r="EE180" s="96">
        <f>IFERROR(VLOOKUP($B180,INDIRECT("'GRD-"&amp;EE$11&amp;"'!B:R"),15,FALSE),"")</f>
        <v/>
      </c>
      <c r="EF180" s="96">
        <f>IFERROR(VLOOKUP($B180,INDIRECT("'GRD-"&amp;EF$11&amp;"'!B:R"),15,FALSE),"")</f>
        <v/>
      </c>
      <c r="EG180" s="96">
        <f>IFERROR(VLOOKUP($B180,INDIRECT("'GRD-"&amp;EG$11&amp;"'!B:R"),15,FALSE),"")</f>
        <v/>
      </c>
      <c r="EH180" s="96">
        <f>IFERROR(VLOOKUP($B180,INDIRECT("'GRD-"&amp;EH$11&amp;"'!B:R"),15,FALSE),"")</f>
        <v/>
      </c>
      <c r="EI180" s="96">
        <f>IFERROR(VLOOKUP($B180,INDIRECT("'GRD-"&amp;EI$11&amp;"'!B:R"),15,FALSE),"")</f>
        <v/>
      </c>
      <c r="EJ180" s="96">
        <f>IFERROR(VLOOKUP($B180,INDIRECT("'GRD-"&amp;EJ$11&amp;"'!B:R"),15,FALSE),"")</f>
        <v/>
      </c>
      <c r="EK180" s="96">
        <f>IFERROR(VLOOKUP($B180,INDIRECT("'GRD-"&amp;EK$11&amp;"'!B:R"),15,FALSE),"")</f>
        <v/>
      </c>
      <c r="EL180" s="96">
        <f>IFERROR(VLOOKUP($B180,INDIRECT("'GRD-"&amp;EL$11&amp;"'!B:R"),15,FALSE),"")</f>
        <v/>
      </c>
      <c r="EM180" s="96">
        <f>IFERROR(VLOOKUP($B180,INDIRECT("'GRD-"&amp;EM$11&amp;"'!B:R"),15,FALSE),"")</f>
        <v/>
      </c>
      <c r="EN180" s="96">
        <f>IFERROR(VLOOKUP($B180,INDIRECT("'GRD-"&amp;EN$11&amp;"'!B:R"),15,FALSE),"")</f>
        <v/>
      </c>
      <c r="EO180" s="96">
        <f>IFERROR(VLOOKUP($B180,INDIRECT("'GRD-"&amp;EO$11&amp;"'!B:R"),15,FALSE),"")</f>
        <v/>
      </c>
      <c r="EP180" s="96">
        <f>IFERROR(VLOOKUP($B180,INDIRECT("'GRD-"&amp;EP$11&amp;"'!B:R"),15,FALSE),"")</f>
        <v/>
      </c>
      <c r="EQ180" s="96">
        <f>IFERROR(VLOOKUP($B180,INDIRECT("'GRD-"&amp;EQ$11&amp;"'!B:R"),15,FALSE),"")</f>
        <v/>
      </c>
      <c r="ER180" s="96">
        <f>IFERROR(VLOOKUP($B180,INDIRECT("'GRD-"&amp;ER$11&amp;"'!B:R"),15,FALSE),"")</f>
        <v/>
      </c>
      <c r="ES180" s="96">
        <f>IFERROR(VLOOKUP($B180,INDIRECT("'GRD-"&amp;ES$11&amp;"'!B:R"),15,FALSE),"")</f>
        <v/>
      </c>
      <c r="ET180" s="96">
        <f>IFERROR(VLOOKUP($B180,INDIRECT("'GRD-"&amp;ET$11&amp;"'!B:R"),15,FALSE),"")</f>
        <v/>
      </c>
      <c r="EU180" s="96">
        <f>IFERROR(VLOOKUP($B180,INDIRECT("'GRD-"&amp;EU$11&amp;"'!B:R"),15,FALSE),"")</f>
        <v/>
      </c>
      <c r="EV180" s="96">
        <f>IFERROR(VLOOKUP($B180,INDIRECT("'GRD-"&amp;EV$11&amp;"'!B:R"),15,FALSE),"")</f>
        <v/>
      </c>
      <c r="EW180" s="96">
        <f>IFERROR(VLOOKUP($B180,INDIRECT("'GRD-"&amp;EW$11&amp;"'!B:R"),15,FALSE),"")</f>
        <v/>
      </c>
      <c r="EX180" s="96">
        <f>IFERROR(VLOOKUP($B180,INDIRECT("'GRD-"&amp;EX$11&amp;"'!B:R"),15,FALSE),"")</f>
        <v/>
      </c>
      <c r="EY180" s="96">
        <f>IFERROR(VLOOKUP($B180,INDIRECT("'GRD-"&amp;EY$11&amp;"'!B:R"),15,FALSE),"")</f>
        <v/>
      </c>
      <c r="EZ180" s="96">
        <f>IFERROR(VLOOKUP($B180,INDIRECT("'GRD-"&amp;EZ$11&amp;"'!B:R"),15,FALSE),"")</f>
        <v/>
      </c>
      <c r="FA180" s="96">
        <f>IFERROR(VLOOKUP($B180,INDIRECT("'GRD-"&amp;FA$11&amp;"'!B:R"),15,FALSE),"")</f>
        <v/>
      </c>
      <c r="FB180" s="96">
        <f>IFERROR(VLOOKUP($B180,INDIRECT("'GRD-"&amp;FB$11&amp;"'!B:R"),15,FALSE),"")</f>
        <v/>
      </c>
      <c r="FC180" s="96">
        <f>IFERROR(VLOOKUP($B180,INDIRECT("'GRD-"&amp;FC$11&amp;"'!B:R"),15,FALSE),"")</f>
        <v/>
      </c>
      <c r="FD180" s="96">
        <f>IFERROR(VLOOKUP($B180,INDIRECT("'GRD-"&amp;FD$11&amp;"'!B:R"),15,FALSE),"")</f>
        <v/>
      </c>
      <c r="FE180" s="96">
        <f>IFERROR(VLOOKUP($B180,INDIRECT("'GRD-"&amp;FE$11&amp;"'!B:R"),15,FALSE),"")</f>
        <v/>
      </c>
      <c r="FF180" s="96">
        <f>IFERROR(VLOOKUP($B180,INDIRECT("'GRD-"&amp;FF$11&amp;"'!B:R"),15,FALSE),"")</f>
        <v/>
      </c>
      <c r="FG180" s="96">
        <f>IFERROR(VLOOKUP($B180,INDIRECT("'GRD-"&amp;FG$11&amp;"'!B:R"),15,FALSE),"")</f>
        <v/>
      </c>
      <c r="FH180" s="96">
        <f>IFERROR(VLOOKUP($B180,INDIRECT("'GRD-"&amp;FH$11&amp;"'!B:R"),15,FALSE),"")</f>
        <v/>
      </c>
      <c r="FI180" s="96">
        <f>IFERROR(VLOOKUP($B180,INDIRECT("'GRD-"&amp;FI$11&amp;"'!B:R"),15,FALSE),"")</f>
        <v/>
      </c>
      <c r="FJ180" s="96">
        <f>IFERROR(VLOOKUP($B180,INDIRECT("'GRD-"&amp;FJ$11&amp;"'!B:R"),15,FALSE),"")</f>
        <v/>
      </c>
      <c r="FK180" s="96">
        <f>IFERROR(VLOOKUP($B180,INDIRECT("'GRD-"&amp;FK$11&amp;"'!B:R"),15,FALSE),"")</f>
        <v/>
      </c>
      <c r="FL180" s="96">
        <f>IFERROR(VLOOKUP($B180,INDIRECT("'GRD-"&amp;FL$11&amp;"'!B:R"),15,FALSE),"")</f>
        <v/>
      </c>
      <c r="FM180" s="96">
        <f>IFERROR(VLOOKUP($B180,INDIRECT("'GRD-"&amp;FM$11&amp;"'!B:R"),15,FALSE),"")</f>
        <v/>
      </c>
      <c r="FN180" s="96">
        <f>IFERROR(VLOOKUP($B180,INDIRECT("'GRD-"&amp;FN$11&amp;"'!B:R"),15,FALSE),"")</f>
        <v/>
      </c>
      <c r="FO180" s="96">
        <f>IFERROR(VLOOKUP($B180,INDIRECT("'GRD-"&amp;FO$11&amp;"'!B:R"),15,FALSE),"")</f>
        <v/>
      </c>
      <c r="FP180" s="96">
        <f>IFERROR(VLOOKUP($B180,INDIRECT("'GRD-"&amp;FP$11&amp;"'!B:R"),15,FALSE),"")</f>
        <v/>
      </c>
      <c r="FQ180" s="96">
        <f>IFERROR(VLOOKUP($B180,INDIRECT("'GRD-"&amp;FQ$11&amp;"'!B:R"),15,FALSE),"")</f>
        <v/>
      </c>
      <c r="FR180" s="96">
        <f>IFERROR(VLOOKUP($B180,INDIRECT("'GRD-"&amp;FR$11&amp;"'!B:R"),15,FALSE),"")</f>
        <v/>
      </c>
      <c r="FS180" s="96">
        <f>IFERROR(VLOOKUP($B180,INDIRECT("'GRD-"&amp;FS$11&amp;"'!B:R"),15,FALSE),"")</f>
        <v/>
      </c>
      <c r="FT180" s="96">
        <f>IFERROR(VLOOKUP($B180,INDIRECT("'GRD-"&amp;FT$11&amp;"'!B:R"),15,FALSE),"")</f>
        <v/>
      </c>
      <c r="FU180" s="96">
        <f>IFERROR(VLOOKUP($B180,INDIRECT("'GRD-"&amp;FU$11&amp;"'!B:R"),15,FALSE),"")</f>
        <v/>
      </c>
      <c r="FV180" s="96">
        <f>IFERROR(VLOOKUP($B180,INDIRECT("'GRD-"&amp;FV$11&amp;"'!B:R"),15,FALSE),"")</f>
        <v/>
      </c>
    </row>
    <row r="181">
      <c r="B181" s="85" t="n"/>
      <c r="C181" s="93" t="n"/>
      <c r="D181" s="73">
        <f>IF(K181="","",MAX($CA181:$FV181))</f>
        <v/>
      </c>
      <c r="E181" s="74">
        <f t="array" ref="E181">IF($K181="","",OFFSET($A$1,ROW($B181)-1,11+$D181*4,))</f>
        <v/>
      </c>
      <c r="F181" s="74">
        <f t="array" ref="F181">IF($K181="","",OFFSET($A$1,ROW($B181)-1,12+$D181*4,))</f>
        <v/>
      </c>
      <c r="G181" s="118">
        <f t="array" ref="G181">IF($K181="","",OFFSET($A$1,ROW($B181)-1,13+$D181*4,))</f>
        <v/>
      </c>
      <c r="H181" s="81" t="n"/>
      <c r="I181" s="82" t="n"/>
      <c r="J181" s="75">
        <f>IF(I181="A4",H181/8,IF(I181="A3",H181/4,IF(I181="A2",H181/2,IF(I181="A1",H181/1,IF(I181="A0",H181*2,"")))))</f>
        <v/>
      </c>
      <c r="K181" s="68">
        <f t="array" ref="K181">IFERROR(OFFSET($BZ$11,ROW($B181)-11,MATCH(K$10,$CA181:$FV181,0),),"")</f>
        <v/>
      </c>
      <c r="L181" s="85">
        <f>IF(K181="","",IF(VLOOKUP($B181,INDIRECT("'GRD-"&amp;M181&amp;"'!$B:$R"),16,FALSE)="","",VLOOKUP($B181,INDIRECT("'GRD-"&amp;M181&amp;"'!$B:$R"),16,FALSE)))</f>
        <v/>
      </c>
      <c r="M181" s="130">
        <f t="array" ref="M181">IF(K181="","",IFERROR(OFFSET($BZ$11,0,MATCH($K181,$CA181:$FV181,0),),""))</f>
        <v/>
      </c>
      <c r="N181" s="119">
        <f t="array" ref="N181">IF(K181="","",INDIRECT("'GRD-"&amp;M181&amp;"'!$L$7"))</f>
        <v/>
      </c>
      <c r="O181" s="76">
        <f t="array" ref="O181">IFERROR(OFFSET($BZ$11,ROW($B181)-11,MATCH(O$10,$CA181:$FV181,0),),"")</f>
        <v/>
      </c>
      <c r="P181" s="76">
        <f>IF(O181="","",IF(VLOOKUP($B181,INDIRECT("'GRD-"&amp;Q181&amp;"'!$B:$R"),16,FALSE)="","",VLOOKUP($B181,INDIRECT("'GRD-"&amp;Q181&amp;"'!$B:$R"),16,FALSE)))</f>
        <v/>
      </c>
      <c r="Q181" s="132">
        <f t="array" ref="Q181">IF(O181="","",IFERROR(OFFSET($BZ$11,0,MATCH($O181,$CA181:$FV181,0),),""))</f>
        <v/>
      </c>
      <c r="R181" s="121">
        <f t="array" ref="R181">IF(O181="","",INDIRECT("'GRD-"&amp;Q181&amp;"'!$L$7"))</f>
        <v/>
      </c>
      <c r="S181" s="83">
        <f t="array" ref="S181">IFERROR(OFFSET($BZ$11,ROW($B181)-11,MATCH(S$10,$CA181:$FV181,0),),"")</f>
        <v/>
      </c>
      <c r="T181" s="83">
        <f>IF(S181="","",IF(VLOOKUP($B181,INDIRECT("'GRD-"&amp;U181&amp;"'!$B:$R"),16,FALSE)="","",VLOOKUP($B181,INDIRECT("'GRD-"&amp;U181&amp;"'!$B:$R"),16,FALSE)))</f>
        <v/>
      </c>
      <c r="U181" s="128">
        <f t="array" ref="U181">IF(S181="","",IFERROR(OFFSET($BZ$11,0,MATCH($S181,$CA181:$FV181,0),),""))</f>
        <v/>
      </c>
      <c r="V181" s="133">
        <f t="array" ref="V181">IF(S181="","",INDIRECT("'GRD-"&amp;U181&amp;"'!$L$7"))</f>
        <v/>
      </c>
      <c r="W181" s="84">
        <f t="array" ref="W181">IFERROR(OFFSET($BZ$11,ROW($B181)-11,MATCH(W$10,$CA181:$FV181,0),),"")</f>
        <v/>
      </c>
      <c r="X181" s="84">
        <f>IF(W181="","",IF(VLOOKUP($B181,INDIRECT("'GRD-"&amp;Y181&amp;"'!$B:$R"),16,FALSE)="","",VLOOKUP($B181,INDIRECT("'GRD-"&amp;Y181&amp;"'!$B:$R"),16,FALSE)))</f>
        <v/>
      </c>
      <c r="Y181" s="129">
        <f t="array" ref="Y181">IF(W181="","",IFERROR(OFFSET($BZ$11,0,MATCH($W181,$CA181:$FV181,0),),""))</f>
        <v/>
      </c>
      <c r="Z181" s="134">
        <f t="array" ref="Z181">IF(W181="","",INDIRECT("'GRD-"&amp;Y181&amp;"'!$L$7"))</f>
        <v/>
      </c>
      <c r="AA181" s="85">
        <f t="array" ref="AA181">IFERROR(OFFSET($BZ$11,ROW($B181)-11,MATCH(AA$10,$CA181:$FV181,0),),"")</f>
        <v/>
      </c>
      <c r="AB181" s="85">
        <f>IF(AA181="","",IF(VLOOKUP($B181,INDIRECT("'GRD-"&amp;AC181&amp;"'!$B:$R"),16,FALSE)="","",VLOOKUP($B181,INDIRECT("'GRD-"&amp;AC181&amp;"'!$B:$R"),16,FALSE)))</f>
        <v/>
      </c>
      <c r="AC181" s="130">
        <f t="array" ref="AC181">IF(AA181="","",IFERROR(OFFSET($BZ$11,0,MATCH($AA181,$CA181:$FV181,0),),""))</f>
        <v/>
      </c>
      <c r="AD181" s="131">
        <f t="array" ref="AD181">IF(AA181="","",INDIRECT("'GRD-"&amp;AC181&amp;"'!$L$7"))</f>
        <v/>
      </c>
      <c r="AE181" s="76">
        <f t="array" ref="AE181">IFERROR(OFFSET($BZ$11,ROW($B181)-11,MATCH(AE$10,$CA181:$FV181,0),),"")</f>
        <v/>
      </c>
      <c r="AF181" s="76">
        <f>IF(AE181="","",IF(VLOOKUP($B181,INDIRECT("'GRD-"&amp;AG181&amp;"'!$B:$R"),16,FALSE)="","",VLOOKUP($B181,INDIRECT("'GRD-"&amp;AG181&amp;"'!$B:$R"),16,FALSE)))</f>
        <v/>
      </c>
      <c r="AG181" s="132">
        <f t="array" ref="AG181">IF(AE181="","",IFERROR(OFFSET($BZ$11,0,MATCH($AE181,$CA181:$FV181,0),),""))</f>
        <v/>
      </c>
      <c r="AH181" s="121">
        <f t="array" ref="AH181">IF(AE181="","",INDIRECT("'GRD-"&amp;AG181&amp;"'!$L$7"))</f>
        <v/>
      </c>
      <c r="AI181" s="83">
        <f t="array" ref="AI181">IFERROR(OFFSET($BZ$11,ROW($B181)-11,MATCH(AI$10,$CA181:$FV181,0),),"")</f>
        <v/>
      </c>
      <c r="AJ181" s="83">
        <f>IF(AI181="","",IF(VLOOKUP($B181,INDIRECT("'GRD-"&amp;AK181&amp;"'!$B:$R"),16,FALSE)="","",VLOOKUP($B181,INDIRECT("'GRD-"&amp;AK181&amp;"'!$B:$R"),16,FALSE)))</f>
        <v/>
      </c>
      <c r="AK181" s="128">
        <f t="array" ref="AK181">IF(AI181="","",IFERROR(OFFSET($BZ$11,0,MATCH($AI181,$CA181:$FV181,0),),""))</f>
        <v/>
      </c>
      <c r="AL181" s="133">
        <f t="array" ref="AL181">IF(AI181="","",INDIRECT("'GRD-"&amp;AK181&amp;"'!$L$7"))</f>
        <v/>
      </c>
      <c r="AM181" s="84">
        <f t="array" ref="AM181">IFERROR(OFFSET($BZ$11,ROW($B181)-11,MATCH(AM$10,$CA181:$FV181,0),),"")</f>
        <v/>
      </c>
      <c r="AN181" s="84">
        <f>IF(AM181="","",IF(VLOOKUP($B181,INDIRECT("'GRD-"&amp;AO181&amp;"'!$B:$R"),16,FALSE)="","",VLOOKUP($B181,INDIRECT("'GRD-"&amp;AO181&amp;"'!$B:$R"),16,FALSE)))</f>
        <v/>
      </c>
      <c r="AO181" s="129">
        <f t="array" ref="AO181">IF(AM181="","",IFERROR(OFFSET($BZ$11,0,MATCH($AM181,$CA181:$FV181,0),),""))</f>
        <v/>
      </c>
      <c r="AP181" s="134">
        <f t="array" ref="AP181">IF(AM181="","",INDIRECT("'GRD-"&amp;AO181&amp;"'!$L$7"))</f>
        <v/>
      </c>
      <c r="AQ181" s="85">
        <f t="array" ref="AQ181">IFERROR(OFFSET($BZ$11,ROW($B181)-11,MATCH(AQ$10,$CA181:$FV181,0),),"")</f>
        <v/>
      </c>
      <c r="AR181" s="85">
        <f>IF(AQ181="","",IF(VLOOKUP($B181,INDIRECT("'GRD-"&amp;AS181&amp;"'!$B:$R"),16,FALSE)="","",VLOOKUP($B181,INDIRECT("'GRD-"&amp;AS181&amp;"'!$B:$R"),16,FALSE)))</f>
        <v/>
      </c>
      <c r="AS181" s="130">
        <f t="array" ref="AS181">IF(AQ181="","",IFERROR(OFFSET($BZ$11,0,MATCH($AQ181,$CA181:$FV181,0),),""))</f>
        <v/>
      </c>
      <c r="AT181" s="131">
        <f t="array" ref="AT181">IF(AQ181="","",INDIRECT("'GRD-"&amp;AS181&amp;"'!$L$7"))</f>
        <v/>
      </c>
      <c r="AU181" s="76">
        <f t="array" ref="AU181">IFERROR(OFFSET($BZ$11,ROW($B181)-11,MATCH(AU$10,$CA181:$FV181,0),),"")</f>
        <v/>
      </c>
      <c r="AV181" s="76">
        <f>IF(AU181="","",IF(VLOOKUP($B181,INDIRECT("'GRD-"&amp;AW181&amp;"'!$B:$R"),16,FALSE)="","",VLOOKUP($B181,INDIRECT("'GRD-"&amp;AW181&amp;"'!$B:$R"),16,FALSE)))</f>
        <v/>
      </c>
      <c r="AW181" s="132">
        <f t="array" ref="AW181">IF(AU181="","",IFERROR(OFFSET($BZ$11,0,MATCH($AU181,$CA181:$FV181,0),),""))</f>
        <v/>
      </c>
      <c r="AX181" s="121">
        <f t="array" ref="AX181">IF(AU181="","",INDIRECT("'GRD-"&amp;AW181&amp;"'!$L$7"))</f>
        <v/>
      </c>
      <c r="AY181" s="83">
        <f t="array" ref="AY181">IFERROR(OFFSET($BZ$11,ROW($B181)-11,MATCH(AY$10,$CA181:$FV181,0),),"")</f>
        <v/>
      </c>
      <c r="AZ181" s="83">
        <f>IF(AY181="","",IF(VLOOKUP($B181,INDIRECT("'GRD-"&amp;BA181&amp;"'!$B:$R"),16,FALSE)="","",VLOOKUP($B181,INDIRECT("'GRD-"&amp;BA181&amp;"'!$B:$R"),16,FALSE)))</f>
        <v/>
      </c>
      <c r="BA181" s="128">
        <f t="array" ref="BA181">IF(AY181="","",IFERROR(OFFSET($BZ$11,0,MATCH($AY181,$CA181:$FV181,0),),""))</f>
        <v/>
      </c>
      <c r="BB181" s="133">
        <f t="array" ref="BB181">IF(AY181="","",INDIRECT("'GRD-"&amp;BA181&amp;"'!$L$7"))</f>
        <v/>
      </c>
      <c r="BC181" s="84">
        <f t="array" ref="BC181">IFERROR(OFFSET($BZ$11,ROW($B181)-11,MATCH(BC$10,$CA181:$FV181,0),),"")</f>
        <v/>
      </c>
      <c r="BD181" s="84">
        <f>IF(BC181="","",IF(VLOOKUP($B181,INDIRECT("'GRD-"&amp;BE181&amp;"'!$B:$R"),16,FALSE)="","",VLOOKUP($B181,INDIRECT("'GRD-"&amp;BE181&amp;"'!$B:$R"),16,FALSE)))</f>
        <v/>
      </c>
      <c r="BE181" s="129">
        <f t="array" ref="BE181">IF(BC181="","",IFERROR(OFFSET($BZ$11,0,MATCH($BC181,$CA181:$FV181,0),),""))</f>
        <v/>
      </c>
      <c r="BF181" s="134">
        <f t="array" ref="BF181">IF(BC181="","",INDIRECT("'GRD-"&amp;BE181&amp;"'!$L$7"))</f>
        <v/>
      </c>
      <c r="CA181" s="96">
        <f>IFERROR(VLOOKUP($B181,INDIRECT("'GRD-"&amp;CA$11&amp;"'!B:R"),15,FALSE),"")</f>
        <v/>
      </c>
      <c r="CB181" s="96">
        <f>IFERROR(VLOOKUP($B181,INDIRECT("'GRD-"&amp;CB$11&amp;"'!B:R"),15,FALSE),"")</f>
        <v/>
      </c>
      <c r="CC181" s="96">
        <f>IFERROR(VLOOKUP($B181,INDIRECT("'GRD-"&amp;CC$11&amp;"'!B:R"),15,FALSE),"")</f>
        <v/>
      </c>
      <c r="CD181" s="96">
        <f>IFERROR(VLOOKUP($B181,INDIRECT("'GRD-"&amp;CD$11&amp;"'!B:R"),15,FALSE),"")</f>
        <v/>
      </c>
      <c r="CE181" s="96">
        <f>IFERROR(VLOOKUP($B181,INDIRECT("'GRD-"&amp;CE$11&amp;"'!B:R"),15,FALSE),"")</f>
        <v/>
      </c>
      <c r="CF181" s="96">
        <f>IFERROR(VLOOKUP($B181,INDIRECT("'GRD-"&amp;CF$11&amp;"'!B:R"),15,FALSE),"")</f>
        <v/>
      </c>
      <c r="CG181" s="96">
        <f>IFERROR(VLOOKUP($B181,INDIRECT("'GRD-"&amp;CG$11&amp;"'!B:R"),15,FALSE),"")</f>
        <v/>
      </c>
      <c r="CH181" s="96">
        <f>IFERROR(VLOOKUP($B181,INDIRECT("'GRD-"&amp;CH$11&amp;"'!B:R"),15,FALSE),"")</f>
        <v/>
      </c>
      <c r="CI181" s="96">
        <f>IFERROR(VLOOKUP($B181,INDIRECT("'GRD-"&amp;CI$11&amp;"'!B:R"),15,FALSE),"")</f>
        <v/>
      </c>
      <c r="CJ181" s="96">
        <f>IFERROR(VLOOKUP($B181,INDIRECT("'GRD-"&amp;CJ$11&amp;"'!B:R"),15,FALSE),"")</f>
        <v/>
      </c>
      <c r="CK181" s="96">
        <f>IFERROR(VLOOKUP($B181,INDIRECT("'GRD-"&amp;CK$11&amp;"'!B:R"),15,FALSE),"")</f>
        <v/>
      </c>
      <c r="CL181" s="96">
        <f>IFERROR(VLOOKUP($B181,INDIRECT("'GRD-"&amp;CL$11&amp;"'!B:R"),15,FALSE),"")</f>
        <v/>
      </c>
      <c r="CM181" s="96">
        <f>IFERROR(VLOOKUP($B181,INDIRECT("'GRD-"&amp;CM$11&amp;"'!B:R"),15,FALSE),"")</f>
        <v/>
      </c>
      <c r="CN181" s="96">
        <f>IFERROR(VLOOKUP($B181,INDIRECT("'GRD-"&amp;CN$11&amp;"'!B:R"),15,FALSE),"")</f>
        <v/>
      </c>
      <c r="CO181" s="96">
        <f>IFERROR(VLOOKUP($B181,INDIRECT("'GRD-"&amp;CO$11&amp;"'!B:R"),15,FALSE),"")</f>
        <v/>
      </c>
      <c r="CP181" s="96">
        <f>IFERROR(VLOOKUP($B181,INDIRECT("'GRD-"&amp;CP$11&amp;"'!B:R"),15,FALSE),"")</f>
        <v/>
      </c>
      <c r="CQ181" s="96">
        <f>IFERROR(VLOOKUP($B181,INDIRECT("'GRD-"&amp;CQ$11&amp;"'!B:R"),15,FALSE),"")</f>
        <v/>
      </c>
      <c r="CR181" s="96">
        <f>IFERROR(VLOOKUP($B181,INDIRECT("'GRD-"&amp;CR$11&amp;"'!B:R"),15,FALSE),"")</f>
        <v/>
      </c>
      <c r="CS181" s="96">
        <f>IFERROR(VLOOKUP($B181,INDIRECT("'GRD-"&amp;CS$11&amp;"'!B:R"),15,FALSE),"")</f>
        <v/>
      </c>
      <c r="CT181" s="96">
        <f>IFERROR(VLOOKUP($B181,INDIRECT("'GRD-"&amp;CT$11&amp;"'!B:R"),15,FALSE),"")</f>
        <v/>
      </c>
      <c r="CU181" s="96">
        <f>IFERROR(VLOOKUP($B181,INDIRECT("'GRD-"&amp;CU$11&amp;"'!B:R"),15,FALSE),"")</f>
        <v/>
      </c>
      <c r="CV181" s="96">
        <f>IFERROR(VLOOKUP($B181,INDIRECT("'GRD-"&amp;CV$11&amp;"'!B:R"),15,FALSE),"")</f>
        <v/>
      </c>
      <c r="CW181" s="96">
        <f>IFERROR(VLOOKUP($B181,INDIRECT("'GRD-"&amp;CW$11&amp;"'!B:R"),15,FALSE),"")</f>
        <v/>
      </c>
      <c r="CX181" s="96">
        <f>IFERROR(VLOOKUP($B181,INDIRECT("'GRD-"&amp;CX$11&amp;"'!B:R"),15,FALSE),"")</f>
        <v/>
      </c>
      <c r="CY181" s="96">
        <f>IFERROR(VLOOKUP($B181,INDIRECT("'GRD-"&amp;CY$11&amp;"'!B:R"),15,FALSE),"")</f>
        <v/>
      </c>
      <c r="CZ181" s="96">
        <f>IFERROR(VLOOKUP($B181,INDIRECT("'GRD-"&amp;CZ$11&amp;"'!B:R"),15,FALSE),"")</f>
        <v/>
      </c>
      <c r="DA181" s="96">
        <f>IFERROR(VLOOKUP($B181,INDIRECT("'GRD-"&amp;DA$11&amp;"'!B:R"),15,FALSE),"")</f>
        <v/>
      </c>
      <c r="DB181" s="96">
        <f>IFERROR(VLOOKUP($B181,INDIRECT("'GRD-"&amp;DB$11&amp;"'!B:R"),15,FALSE),"")</f>
        <v/>
      </c>
      <c r="DC181" s="96">
        <f>IFERROR(VLOOKUP($B181,INDIRECT("'GRD-"&amp;DC$11&amp;"'!B:R"),15,FALSE),"")</f>
        <v/>
      </c>
      <c r="DD181" s="96">
        <f>IFERROR(VLOOKUP($B181,INDIRECT("'GRD-"&amp;DD$11&amp;"'!B:R"),15,FALSE),"")</f>
        <v/>
      </c>
      <c r="DE181" s="96">
        <f>IFERROR(VLOOKUP($B181,INDIRECT("'GRD-"&amp;DE$11&amp;"'!B:R"),15,FALSE),"")</f>
        <v/>
      </c>
      <c r="DF181" s="96">
        <f>IFERROR(VLOOKUP($B181,INDIRECT("'GRD-"&amp;DF$11&amp;"'!B:R"),15,FALSE),"")</f>
        <v/>
      </c>
      <c r="DG181" s="96">
        <f>IFERROR(VLOOKUP($B181,INDIRECT("'GRD-"&amp;DG$11&amp;"'!B:R"),15,FALSE),"")</f>
        <v/>
      </c>
      <c r="DH181" s="96">
        <f>IFERROR(VLOOKUP($B181,INDIRECT("'GRD-"&amp;DH$11&amp;"'!B:R"),15,FALSE),"")</f>
        <v/>
      </c>
      <c r="DI181" s="96">
        <f>IFERROR(VLOOKUP($B181,INDIRECT("'GRD-"&amp;DI$11&amp;"'!B:R"),15,FALSE),"")</f>
        <v/>
      </c>
      <c r="DJ181" s="96">
        <f>IFERROR(VLOOKUP($B181,INDIRECT("'GRD-"&amp;DJ$11&amp;"'!B:R"),15,FALSE),"")</f>
        <v/>
      </c>
      <c r="DK181" s="96">
        <f>IFERROR(VLOOKUP($B181,INDIRECT("'GRD-"&amp;DK$11&amp;"'!B:R"),15,FALSE),"")</f>
        <v/>
      </c>
      <c r="DL181" s="96">
        <f>IFERROR(VLOOKUP($B181,INDIRECT("'GRD-"&amp;DL$11&amp;"'!B:R"),15,FALSE),"")</f>
        <v/>
      </c>
      <c r="DM181" s="96">
        <f>IFERROR(VLOOKUP($B181,INDIRECT("'GRD-"&amp;DM$11&amp;"'!B:R"),15,FALSE),"")</f>
        <v/>
      </c>
      <c r="DN181" s="96">
        <f>IFERROR(VLOOKUP($B181,INDIRECT("'GRD-"&amp;DN$11&amp;"'!B:R"),15,FALSE),"")</f>
        <v/>
      </c>
      <c r="DO181" s="96">
        <f>IFERROR(VLOOKUP($B181,INDIRECT("'GRD-"&amp;DO$11&amp;"'!B:R"),15,FALSE),"")</f>
        <v/>
      </c>
      <c r="DP181" s="96">
        <f>IFERROR(VLOOKUP($B181,INDIRECT("'GRD-"&amp;DP$11&amp;"'!B:R"),15,FALSE),"")</f>
        <v/>
      </c>
      <c r="DQ181" s="96">
        <f>IFERROR(VLOOKUP($B181,INDIRECT("'GRD-"&amp;DQ$11&amp;"'!B:R"),15,FALSE),"")</f>
        <v/>
      </c>
      <c r="DR181" s="96">
        <f>IFERROR(VLOOKUP($B181,INDIRECT("'GRD-"&amp;DR$11&amp;"'!B:R"),15,FALSE),"")</f>
        <v/>
      </c>
      <c r="DS181" s="96">
        <f>IFERROR(VLOOKUP($B181,INDIRECT("'GRD-"&amp;DS$11&amp;"'!B:R"),15,FALSE),"")</f>
        <v/>
      </c>
      <c r="DT181" s="96">
        <f>IFERROR(VLOOKUP($B181,INDIRECT("'GRD-"&amp;DT$11&amp;"'!B:R"),15,FALSE),"")</f>
        <v/>
      </c>
      <c r="DU181" s="96">
        <f>IFERROR(VLOOKUP($B181,INDIRECT("'GRD-"&amp;DU$11&amp;"'!B:R"),15,FALSE),"")</f>
        <v/>
      </c>
      <c r="DV181" s="96">
        <f>IFERROR(VLOOKUP($B181,INDIRECT("'GRD-"&amp;DV$11&amp;"'!B:R"),15,FALSE),"")</f>
        <v/>
      </c>
      <c r="DW181" s="96">
        <f>IFERROR(VLOOKUP($B181,INDIRECT("'GRD-"&amp;DW$11&amp;"'!B:R"),15,FALSE),"")</f>
        <v/>
      </c>
      <c r="DX181" s="96">
        <f>IFERROR(VLOOKUP($B181,INDIRECT("'GRD-"&amp;DX$11&amp;"'!B:R"),15,FALSE),"")</f>
        <v/>
      </c>
      <c r="DY181" s="96">
        <f>IFERROR(VLOOKUP($B181,INDIRECT("'GRD-"&amp;DY$11&amp;"'!B:R"),15,FALSE),"")</f>
        <v/>
      </c>
      <c r="DZ181" s="96">
        <f>IFERROR(VLOOKUP($B181,INDIRECT("'GRD-"&amp;DZ$11&amp;"'!B:R"),15,FALSE),"")</f>
        <v/>
      </c>
      <c r="EA181" s="96">
        <f>IFERROR(VLOOKUP($B181,INDIRECT("'GRD-"&amp;EA$11&amp;"'!B:R"),15,FALSE),"")</f>
        <v/>
      </c>
      <c r="EB181" s="96">
        <f>IFERROR(VLOOKUP($B181,INDIRECT("'GRD-"&amp;EB$11&amp;"'!B:R"),15,FALSE),"")</f>
        <v/>
      </c>
      <c r="EC181" s="96">
        <f>IFERROR(VLOOKUP($B181,INDIRECT("'GRD-"&amp;EC$11&amp;"'!B:R"),15,FALSE),"")</f>
        <v/>
      </c>
      <c r="ED181" s="96">
        <f>IFERROR(VLOOKUP($B181,INDIRECT("'GRD-"&amp;ED$11&amp;"'!B:R"),15,FALSE),"")</f>
        <v/>
      </c>
      <c r="EE181" s="96">
        <f>IFERROR(VLOOKUP($B181,INDIRECT("'GRD-"&amp;EE$11&amp;"'!B:R"),15,FALSE),"")</f>
        <v/>
      </c>
      <c r="EF181" s="96">
        <f>IFERROR(VLOOKUP($B181,INDIRECT("'GRD-"&amp;EF$11&amp;"'!B:R"),15,FALSE),"")</f>
        <v/>
      </c>
      <c r="EG181" s="96">
        <f>IFERROR(VLOOKUP($B181,INDIRECT("'GRD-"&amp;EG$11&amp;"'!B:R"),15,FALSE),"")</f>
        <v/>
      </c>
      <c r="EH181" s="96">
        <f>IFERROR(VLOOKUP($B181,INDIRECT("'GRD-"&amp;EH$11&amp;"'!B:R"),15,FALSE),"")</f>
        <v/>
      </c>
      <c r="EI181" s="96">
        <f>IFERROR(VLOOKUP($B181,INDIRECT("'GRD-"&amp;EI$11&amp;"'!B:R"),15,FALSE),"")</f>
        <v/>
      </c>
      <c r="EJ181" s="96">
        <f>IFERROR(VLOOKUP($B181,INDIRECT("'GRD-"&amp;EJ$11&amp;"'!B:R"),15,FALSE),"")</f>
        <v/>
      </c>
      <c r="EK181" s="96">
        <f>IFERROR(VLOOKUP($B181,INDIRECT("'GRD-"&amp;EK$11&amp;"'!B:R"),15,FALSE),"")</f>
        <v/>
      </c>
      <c r="EL181" s="96">
        <f>IFERROR(VLOOKUP($B181,INDIRECT("'GRD-"&amp;EL$11&amp;"'!B:R"),15,FALSE),"")</f>
        <v/>
      </c>
      <c r="EM181" s="96">
        <f>IFERROR(VLOOKUP($B181,INDIRECT("'GRD-"&amp;EM$11&amp;"'!B:R"),15,FALSE),"")</f>
        <v/>
      </c>
      <c r="EN181" s="96">
        <f>IFERROR(VLOOKUP($B181,INDIRECT("'GRD-"&amp;EN$11&amp;"'!B:R"),15,FALSE),"")</f>
        <v/>
      </c>
      <c r="EO181" s="96">
        <f>IFERROR(VLOOKUP($B181,INDIRECT("'GRD-"&amp;EO$11&amp;"'!B:R"),15,FALSE),"")</f>
        <v/>
      </c>
      <c r="EP181" s="96">
        <f>IFERROR(VLOOKUP($B181,INDIRECT("'GRD-"&amp;EP$11&amp;"'!B:R"),15,FALSE),"")</f>
        <v/>
      </c>
      <c r="EQ181" s="96">
        <f>IFERROR(VLOOKUP($B181,INDIRECT("'GRD-"&amp;EQ$11&amp;"'!B:R"),15,FALSE),"")</f>
        <v/>
      </c>
      <c r="ER181" s="96">
        <f>IFERROR(VLOOKUP($B181,INDIRECT("'GRD-"&amp;ER$11&amp;"'!B:R"),15,FALSE),"")</f>
        <v/>
      </c>
      <c r="ES181" s="96">
        <f>IFERROR(VLOOKUP($B181,INDIRECT("'GRD-"&amp;ES$11&amp;"'!B:R"),15,FALSE),"")</f>
        <v/>
      </c>
      <c r="ET181" s="96">
        <f>IFERROR(VLOOKUP($B181,INDIRECT("'GRD-"&amp;ET$11&amp;"'!B:R"),15,FALSE),"")</f>
        <v/>
      </c>
      <c r="EU181" s="96">
        <f>IFERROR(VLOOKUP($B181,INDIRECT("'GRD-"&amp;EU$11&amp;"'!B:R"),15,FALSE),"")</f>
        <v/>
      </c>
      <c r="EV181" s="96">
        <f>IFERROR(VLOOKUP($B181,INDIRECT("'GRD-"&amp;EV$11&amp;"'!B:R"),15,FALSE),"")</f>
        <v/>
      </c>
      <c r="EW181" s="96">
        <f>IFERROR(VLOOKUP($B181,INDIRECT("'GRD-"&amp;EW$11&amp;"'!B:R"),15,FALSE),"")</f>
        <v/>
      </c>
      <c r="EX181" s="96">
        <f>IFERROR(VLOOKUP($B181,INDIRECT("'GRD-"&amp;EX$11&amp;"'!B:R"),15,FALSE),"")</f>
        <v/>
      </c>
      <c r="EY181" s="96">
        <f>IFERROR(VLOOKUP($B181,INDIRECT("'GRD-"&amp;EY$11&amp;"'!B:R"),15,FALSE),"")</f>
        <v/>
      </c>
      <c r="EZ181" s="96">
        <f>IFERROR(VLOOKUP($B181,INDIRECT("'GRD-"&amp;EZ$11&amp;"'!B:R"),15,FALSE),"")</f>
        <v/>
      </c>
      <c r="FA181" s="96">
        <f>IFERROR(VLOOKUP($B181,INDIRECT("'GRD-"&amp;FA$11&amp;"'!B:R"),15,FALSE),"")</f>
        <v/>
      </c>
      <c r="FB181" s="96">
        <f>IFERROR(VLOOKUP($B181,INDIRECT("'GRD-"&amp;FB$11&amp;"'!B:R"),15,FALSE),"")</f>
        <v/>
      </c>
      <c r="FC181" s="96">
        <f>IFERROR(VLOOKUP($B181,INDIRECT("'GRD-"&amp;FC$11&amp;"'!B:R"),15,FALSE),"")</f>
        <v/>
      </c>
      <c r="FD181" s="96">
        <f>IFERROR(VLOOKUP($B181,INDIRECT("'GRD-"&amp;FD$11&amp;"'!B:R"),15,FALSE),"")</f>
        <v/>
      </c>
      <c r="FE181" s="96">
        <f>IFERROR(VLOOKUP($B181,INDIRECT("'GRD-"&amp;FE$11&amp;"'!B:R"),15,FALSE),"")</f>
        <v/>
      </c>
      <c r="FF181" s="96">
        <f>IFERROR(VLOOKUP($B181,INDIRECT("'GRD-"&amp;FF$11&amp;"'!B:R"),15,FALSE),"")</f>
        <v/>
      </c>
      <c r="FG181" s="96">
        <f>IFERROR(VLOOKUP($B181,INDIRECT("'GRD-"&amp;FG$11&amp;"'!B:R"),15,FALSE),"")</f>
        <v/>
      </c>
      <c r="FH181" s="96">
        <f>IFERROR(VLOOKUP($B181,INDIRECT("'GRD-"&amp;FH$11&amp;"'!B:R"),15,FALSE),"")</f>
        <v/>
      </c>
      <c r="FI181" s="96">
        <f>IFERROR(VLOOKUP($B181,INDIRECT("'GRD-"&amp;FI$11&amp;"'!B:R"),15,FALSE),"")</f>
        <v/>
      </c>
      <c r="FJ181" s="96">
        <f>IFERROR(VLOOKUP($B181,INDIRECT("'GRD-"&amp;FJ$11&amp;"'!B:R"),15,FALSE),"")</f>
        <v/>
      </c>
      <c r="FK181" s="96">
        <f>IFERROR(VLOOKUP($B181,INDIRECT("'GRD-"&amp;FK$11&amp;"'!B:R"),15,FALSE),"")</f>
        <v/>
      </c>
      <c r="FL181" s="96">
        <f>IFERROR(VLOOKUP($B181,INDIRECT("'GRD-"&amp;FL$11&amp;"'!B:R"),15,FALSE),"")</f>
        <v/>
      </c>
      <c r="FM181" s="96">
        <f>IFERROR(VLOOKUP($B181,INDIRECT("'GRD-"&amp;FM$11&amp;"'!B:R"),15,FALSE),"")</f>
        <v/>
      </c>
      <c r="FN181" s="96">
        <f>IFERROR(VLOOKUP($B181,INDIRECT("'GRD-"&amp;FN$11&amp;"'!B:R"),15,FALSE),"")</f>
        <v/>
      </c>
      <c r="FO181" s="96">
        <f>IFERROR(VLOOKUP($B181,INDIRECT("'GRD-"&amp;FO$11&amp;"'!B:R"),15,FALSE),"")</f>
        <v/>
      </c>
      <c r="FP181" s="96">
        <f>IFERROR(VLOOKUP($B181,INDIRECT("'GRD-"&amp;FP$11&amp;"'!B:R"),15,FALSE),"")</f>
        <v/>
      </c>
      <c r="FQ181" s="96">
        <f>IFERROR(VLOOKUP($B181,INDIRECT("'GRD-"&amp;FQ$11&amp;"'!B:R"),15,FALSE),"")</f>
        <v/>
      </c>
      <c r="FR181" s="96">
        <f>IFERROR(VLOOKUP($B181,INDIRECT("'GRD-"&amp;FR$11&amp;"'!B:R"),15,FALSE),"")</f>
        <v/>
      </c>
      <c r="FS181" s="96">
        <f>IFERROR(VLOOKUP($B181,INDIRECT("'GRD-"&amp;FS$11&amp;"'!B:R"),15,FALSE),"")</f>
        <v/>
      </c>
      <c r="FT181" s="96">
        <f>IFERROR(VLOOKUP($B181,INDIRECT("'GRD-"&amp;FT$11&amp;"'!B:R"),15,FALSE),"")</f>
        <v/>
      </c>
      <c r="FU181" s="96">
        <f>IFERROR(VLOOKUP($B181,INDIRECT("'GRD-"&amp;FU$11&amp;"'!B:R"),15,FALSE),"")</f>
        <v/>
      </c>
      <c r="FV181" s="96">
        <f>IFERROR(VLOOKUP($B181,INDIRECT("'GRD-"&amp;FV$11&amp;"'!B:R"),15,FALSE),"")</f>
        <v/>
      </c>
    </row>
    <row r="182">
      <c r="B182" s="85" t="n"/>
      <c r="C182" s="93" t="n"/>
      <c r="D182" s="73">
        <f>IF(K182="","",MAX($CA182:$FV182))</f>
        <v/>
      </c>
      <c r="E182" s="74">
        <f t="array" ref="E182">IF($K182="","",OFFSET($A$1,ROW($B182)-1,11+$D182*4,))</f>
        <v/>
      </c>
      <c r="F182" s="74">
        <f t="array" ref="F182">IF($K182="","",OFFSET($A$1,ROW($B182)-1,12+$D182*4,))</f>
        <v/>
      </c>
      <c r="G182" s="118">
        <f t="array" ref="G182">IF($K182="","",OFFSET($A$1,ROW($B182)-1,13+$D182*4,))</f>
        <v/>
      </c>
      <c r="H182" s="81" t="n"/>
      <c r="I182" s="82" t="n"/>
      <c r="J182" s="75">
        <f>IF(I182="A4",H182/8,IF(I182="A3",H182/4,IF(I182="A2",H182/2,IF(I182="A1",H182/1,IF(I182="A0",H182*2,"")))))</f>
        <v/>
      </c>
      <c r="K182" s="68">
        <f t="array" ref="K182">IFERROR(OFFSET($BZ$11,ROW($B182)-11,MATCH(K$10,$CA182:$FV182,0),),"")</f>
        <v/>
      </c>
      <c r="L182" s="85">
        <f>IF(K182="","",IF(VLOOKUP($B182,INDIRECT("'GRD-"&amp;M182&amp;"'!$B:$R"),16,FALSE)="","",VLOOKUP($B182,INDIRECT("'GRD-"&amp;M182&amp;"'!$B:$R"),16,FALSE)))</f>
        <v/>
      </c>
      <c r="M182" s="130">
        <f t="array" ref="M182">IF(K182="","",IFERROR(OFFSET($BZ$11,0,MATCH($K182,$CA182:$FV182,0),),""))</f>
        <v/>
      </c>
      <c r="N182" s="119">
        <f t="array" ref="N182">IF(K182="","",INDIRECT("'GRD-"&amp;M182&amp;"'!$L$7"))</f>
        <v/>
      </c>
      <c r="O182" s="76">
        <f t="array" ref="O182">IFERROR(OFFSET($BZ$11,ROW($B182)-11,MATCH(O$10,$CA182:$FV182,0),),"")</f>
        <v/>
      </c>
      <c r="P182" s="76">
        <f>IF(O182="","",IF(VLOOKUP($B182,INDIRECT("'GRD-"&amp;Q182&amp;"'!$B:$R"),16,FALSE)="","",VLOOKUP($B182,INDIRECT("'GRD-"&amp;Q182&amp;"'!$B:$R"),16,FALSE)))</f>
        <v/>
      </c>
      <c r="Q182" s="132">
        <f t="array" ref="Q182">IF(O182="","",IFERROR(OFFSET($BZ$11,0,MATCH($O182,$CA182:$FV182,0),),""))</f>
        <v/>
      </c>
      <c r="R182" s="121">
        <f t="array" ref="R182">IF(O182="","",INDIRECT("'GRD-"&amp;Q182&amp;"'!$L$7"))</f>
        <v/>
      </c>
      <c r="S182" s="83">
        <f t="array" ref="S182">IFERROR(OFFSET($BZ$11,ROW($B182)-11,MATCH(S$10,$CA182:$FV182,0),),"")</f>
        <v/>
      </c>
      <c r="T182" s="83">
        <f>IF(S182="","",IF(VLOOKUP($B182,INDIRECT("'GRD-"&amp;U182&amp;"'!$B:$R"),16,FALSE)="","",VLOOKUP($B182,INDIRECT("'GRD-"&amp;U182&amp;"'!$B:$R"),16,FALSE)))</f>
        <v/>
      </c>
      <c r="U182" s="128">
        <f t="array" ref="U182">IF(S182="","",IFERROR(OFFSET($BZ$11,0,MATCH($S182,$CA182:$FV182,0),),""))</f>
        <v/>
      </c>
      <c r="V182" s="133">
        <f t="array" ref="V182">IF(S182="","",INDIRECT("'GRD-"&amp;U182&amp;"'!$L$7"))</f>
        <v/>
      </c>
      <c r="W182" s="84">
        <f t="array" ref="W182">IFERROR(OFFSET($BZ$11,ROW($B182)-11,MATCH(W$10,$CA182:$FV182,0),),"")</f>
        <v/>
      </c>
      <c r="X182" s="84">
        <f>IF(W182="","",IF(VLOOKUP($B182,INDIRECT("'GRD-"&amp;Y182&amp;"'!$B:$R"),16,FALSE)="","",VLOOKUP($B182,INDIRECT("'GRD-"&amp;Y182&amp;"'!$B:$R"),16,FALSE)))</f>
        <v/>
      </c>
      <c r="Y182" s="129">
        <f t="array" ref="Y182">IF(W182="","",IFERROR(OFFSET($BZ$11,0,MATCH($W182,$CA182:$FV182,0),),""))</f>
        <v/>
      </c>
      <c r="Z182" s="134">
        <f t="array" ref="Z182">IF(W182="","",INDIRECT("'GRD-"&amp;Y182&amp;"'!$L$7"))</f>
        <v/>
      </c>
      <c r="AA182" s="85">
        <f t="array" ref="AA182">IFERROR(OFFSET($BZ$11,ROW($B182)-11,MATCH(AA$10,$CA182:$FV182,0),),"")</f>
        <v/>
      </c>
      <c r="AB182" s="85">
        <f>IF(AA182="","",IF(VLOOKUP($B182,INDIRECT("'GRD-"&amp;AC182&amp;"'!$B:$R"),16,FALSE)="","",VLOOKUP($B182,INDIRECT("'GRD-"&amp;AC182&amp;"'!$B:$R"),16,FALSE)))</f>
        <v/>
      </c>
      <c r="AC182" s="130">
        <f t="array" ref="AC182">IF(AA182="","",IFERROR(OFFSET($BZ$11,0,MATCH($AA182,$CA182:$FV182,0),),""))</f>
        <v/>
      </c>
      <c r="AD182" s="131">
        <f t="array" ref="AD182">IF(AA182="","",INDIRECT("'GRD-"&amp;AC182&amp;"'!$L$7"))</f>
        <v/>
      </c>
      <c r="AE182" s="76">
        <f t="array" ref="AE182">IFERROR(OFFSET($BZ$11,ROW($B182)-11,MATCH(AE$10,$CA182:$FV182,0),),"")</f>
        <v/>
      </c>
      <c r="AF182" s="76">
        <f>IF(AE182="","",IF(VLOOKUP($B182,INDIRECT("'GRD-"&amp;AG182&amp;"'!$B:$R"),16,FALSE)="","",VLOOKUP($B182,INDIRECT("'GRD-"&amp;AG182&amp;"'!$B:$R"),16,FALSE)))</f>
        <v/>
      </c>
      <c r="AG182" s="132">
        <f t="array" ref="AG182">IF(AE182="","",IFERROR(OFFSET($BZ$11,0,MATCH($AE182,$CA182:$FV182,0),),""))</f>
        <v/>
      </c>
      <c r="AH182" s="121">
        <f t="array" ref="AH182">IF(AE182="","",INDIRECT("'GRD-"&amp;AG182&amp;"'!$L$7"))</f>
        <v/>
      </c>
      <c r="AI182" s="83">
        <f t="array" ref="AI182">IFERROR(OFFSET($BZ$11,ROW($B182)-11,MATCH(AI$10,$CA182:$FV182,0),),"")</f>
        <v/>
      </c>
      <c r="AJ182" s="83">
        <f>IF(AI182="","",IF(VLOOKUP($B182,INDIRECT("'GRD-"&amp;AK182&amp;"'!$B:$R"),16,FALSE)="","",VLOOKUP($B182,INDIRECT("'GRD-"&amp;AK182&amp;"'!$B:$R"),16,FALSE)))</f>
        <v/>
      </c>
      <c r="AK182" s="128">
        <f t="array" ref="AK182">IF(AI182="","",IFERROR(OFFSET($BZ$11,0,MATCH($AI182,$CA182:$FV182,0),),""))</f>
        <v/>
      </c>
      <c r="AL182" s="133">
        <f t="array" ref="AL182">IF(AI182="","",INDIRECT("'GRD-"&amp;AK182&amp;"'!$L$7"))</f>
        <v/>
      </c>
      <c r="AM182" s="84">
        <f t="array" ref="AM182">IFERROR(OFFSET($BZ$11,ROW($B182)-11,MATCH(AM$10,$CA182:$FV182,0),),"")</f>
        <v/>
      </c>
      <c r="AN182" s="84">
        <f>IF(AM182="","",IF(VLOOKUP($B182,INDIRECT("'GRD-"&amp;AO182&amp;"'!$B:$R"),16,FALSE)="","",VLOOKUP($B182,INDIRECT("'GRD-"&amp;AO182&amp;"'!$B:$R"),16,FALSE)))</f>
        <v/>
      </c>
      <c r="AO182" s="129">
        <f t="array" ref="AO182">IF(AM182="","",IFERROR(OFFSET($BZ$11,0,MATCH($AM182,$CA182:$FV182,0),),""))</f>
        <v/>
      </c>
      <c r="AP182" s="134">
        <f t="array" ref="AP182">IF(AM182="","",INDIRECT("'GRD-"&amp;AO182&amp;"'!$L$7"))</f>
        <v/>
      </c>
      <c r="AQ182" s="85">
        <f t="array" ref="AQ182">IFERROR(OFFSET($BZ$11,ROW($B182)-11,MATCH(AQ$10,$CA182:$FV182,0),),"")</f>
        <v/>
      </c>
      <c r="AR182" s="85">
        <f>IF(AQ182="","",IF(VLOOKUP($B182,INDIRECT("'GRD-"&amp;AS182&amp;"'!$B:$R"),16,FALSE)="","",VLOOKUP($B182,INDIRECT("'GRD-"&amp;AS182&amp;"'!$B:$R"),16,FALSE)))</f>
        <v/>
      </c>
      <c r="AS182" s="130">
        <f t="array" ref="AS182">IF(AQ182="","",IFERROR(OFFSET($BZ$11,0,MATCH($AQ182,$CA182:$FV182,0),),""))</f>
        <v/>
      </c>
      <c r="AT182" s="131">
        <f t="array" ref="AT182">IF(AQ182="","",INDIRECT("'GRD-"&amp;AS182&amp;"'!$L$7"))</f>
        <v/>
      </c>
      <c r="AU182" s="76">
        <f t="array" ref="AU182">IFERROR(OFFSET($BZ$11,ROW($B182)-11,MATCH(AU$10,$CA182:$FV182,0),),"")</f>
        <v/>
      </c>
      <c r="AV182" s="76">
        <f>IF(AU182="","",IF(VLOOKUP($B182,INDIRECT("'GRD-"&amp;AW182&amp;"'!$B:$R"),16,FALSE)="","",VLOOKUP($B182,INDIRECT("'GRD-"&amp;AW182&amp;"'!$B:$R"),16,FALSE)))</f>
        <v/>
      </c>
      <c r="AW182" s="132">
        <f t="array" ref="AW182">IF(AU182="","",IFERROR(OFFSET($BZ$11,0,MATCH($AU182,$CA182:$FV182,0),),""))</f>
        <v/>
      </c>
      <c r="AX182" s="121">
        <f t="array" ref="AX182">IF(AU182="","",INDIRECT("'GRD-"&amp;AW182&amp;"'!$L$7"))</f>
        <v/>
      </c>
      <c r="AY182" s="83">
        <f t="array" ref="AY182">IFERROR(OFFSET($BZ$11,ROW($B182)-11,MATCH(AY$10,$CA182:$FV182,0),),"")</f>
        <v/>
      </c>
      <c r="AZ182" s="83">
        <f>IF(AY182="","",IF(VLOOKUP($B182,INDIRECT("'GRD-"&amp;BA182&amp;"'!$B:$R"),16,FALSE)="","",VLOOKUP($B182,INDIRECT("'GRD-"&amp;BA182&amp;"'!$B:$R"),16,FALSE)))</f>
        <v/>
      </c>
      <c r="BA182" s="128">
        <f t="array" ref="BA182">IF(AY182="","",IFERROR(OFFSET($BZ$11,0,MATCH($AY182,$CA182:$FV182,0),),""))</f>
        <v/>
      </c>
      <c r="BB182" s="133">
        <f t="array" ref="BB182">IF(AY182="","",INDIRECT("'GRD-"&amp;BA182&amp;"'!$L$7"))</f>
        <v/>
      </c>
      <c r="BC182" s="84">
        <f t="array" ref="BC182">IFERROR(OFFSET($BZ$11,ROW($B182)-11,MATCH(BC$10,$CA182:$FV182,0),),"")</f>
        <v/>
      </c>
      <c r="BD182" s="84">
        <f>IF(BC182="","",IF(VLOOKUP($B182,INDIRECT("'GRD-"&amp;BE182&amp;"'!$B:$R"),16,FALSE)="","",VLOOKUP($B182,INDIRECT("'GRD-"&amp;BE182&amp;"'!$B:$R"),16,FALSE)))</f>
        <v/>
      </c>
      <c r="BE182" s="129">
        <f t="array" ref="BE182">IF(BC182="","",IFERROR(OFFSET($BZ$11,0,MATCH($BC182,$CA182:$FV182,0),),""))</f>
        <v/>
      </c>
      <c r="BF182" s="134">
        <f t="array" ref="BF182">IF(BC182="","",INDIRECT("'GRD-"&amp;BE182&amp;"'!$L$7"))</f>
        <v/>
      </c>
      <c r="CA182" s="96">
        <f>IFERROR(VLOOKUP($B182,INDIRECT("'GRD-"&amp;CA$11&amp;"'!B:R"),15,FALSE),"")</f>
        <v/>
      </c>
      <c r="CB182" s="96">
        <f>IFERROR(VLOOKUP($B182,INDIRECT("'GRD-"&amp;CB$11&amp;"'!B:R"),15,FALSE),"")</f>
        <v/>
      </c>
      <c r="CC182" s="96">
        <f>IFERROR(VLOOKUP($B182,INDIRECT("'GRD-"&amp;CC$11&amp;"'!B:R"),15,FALSE),"")</f>
        <v/>
      </c>
      <c r="CD182" s="96">
        <f>IFERROR(VLOOKUP($B182,INDIRECT("'GRD-"&amp;CD$11&amp;"'!B:R"),15,FALSE),"")</f>
        <v/>
      </c>
      <c r="CE182" s="96">
        <f>IFERROR(VLOOKUP($B182,INDIRECT("'GRD-"&amp;CE$11&amp;"'!B:R"),15,FALSE),"")</f>
        <v/>
      </c>
      <c r="CF182" s="96">
        <f>IFERROR(VLOOKUP($B182,INDIRECT("'GRD-"&amp;CF$11&amp;"'!B:R"),15,FALSE),"")</f>
        <v/>
      </c>
      <c r="CG182" s="96">
        <f>IFERROR(VLOOKUP($B182,INDIRECT("'GRD-"&amp;CG$11&amp;"'!B:R"),15,FALSE),"")</f>
        <v/>
      </c>
      <c r="CH182" s="96">
        <f>IFERROR(VLOOKUP($B182,INDIRECT("'GRD-"&amp;CH$11&amp;"'!B:R"),15,FALSE),"")</f>
        <v/>
      </c>
      <c r="CI182" s="96">
        <f>IFERROR(VLOOKUP($B182,INDIRECT("'GRD-"&amp;CI$11&amp;"'!B:R"),15,FALSE),"")</f>
        <v/>
      </c>
      <c r="CJ182" s="96">
        <f>IFERROR(VLOOKUP($B182,INDIRECT("'GRD-"&amp;CJ$11&amp;"'!B:R"),15,FALSE),"")</f>
        <v/>
      </c>
      <c r="CK182" s="96">
        <f>IFERROR(VLOOKUP($B182,INDIRECT("'GRD-"&amp;CK$11&amp;"'!B:R"),15,FALSE),"")</f>
        <v/>
      </c>
      <c r="CL182" s="96">
        <f>IFERROR(VLOOKUP($B182,INDIRECT("'GRD-"&amp;CL$11&amp;"'!B:R"),15,FALSE),"")</f>
        <v/>
      </c>
      <c r="CM182" s="96">
        <f>IFERROR(VLOOKUP($B182,INDIRECT("'GRD-"&amp;CM$11&amp;"'!B:R"),15,FALSE),"")</f>
        <v/>
      </c>
      <c r="CN182" s="96">
        <f>IFERROR(VLOOKUP($B182,INDIRECT("'GRD-"&amp;CN$11&amp;"'!B:R"),15,FALSE),"")</f>
        <v/>
      </c>
      <c r="CO182" s="96">
        <f>IFERROR(VLOOKUP($B182,INDIRECT("'GRD-"&amp;CO$11&amp;"'!B:R"),15,FALSE),"")</f>
        <v/>
      </c>
      <c r="CP182" s="96">
        <f>IFERROR(VLOOKUP($B182,INDIRECT("'GRD-"&amp;CP$11&amp;"'!B:R"),15,FALSE),"")</f>
        <v/>
      </c>
      <c r="CQ182" s="96">
        <f>IFERROR(VLOOKUP($B182,INDIRECT("'GRD-"&amp;CQ$11&amp;"'!B:R"),15,FALSE),"")</f>
        <v/>
      </c>
      <c r="CR182" s="96">
        <f>IFERROR(VLOOKUP($B182,INDIRECT("'GRD-"&amp;CR$11&amp;"'!B:R"),15,FALSE),"")</f>
        <v/>
      </c>
      <c r="CS182" s="96">
        <f>IFERROR(VLOOKUP($B182,INDIRECT("'GRD-"&amp;CS$11&amp;"'!B:R"),15,FALSE),"")</f>
        <v/>
      </c>
      <c r="CT182" s="96">
        <f>IFERROR(VLOOKUP($B182,INDIRECT("'GRD-"&amp;CT$11&amp;"'!B:R"),15,FALSE),"")</f>
        <v/>
      </c>
      <c r="CU182" s="96">
        <f>IFERROR(VLOOKUP($B182,INDIRECT("'GRD-"&amp;CU$11&amp;"'!B:R"),15,FALSE),"")</f>
        <v/>
      </c>
      <c r="CV182" s="96">
        <f>IFERROR(VLOOKUP($B182,INDIRECT("'GRD-"&amp;CV$11&amp;"'!B:R"),15,FALSE),"")</f>
        <v/>
      </c>
      <c r="CW182" s="96">
        <f>IFERROR(VLOOKUP($B182,INDIRECT("'GRD-"&amp;CW$11&amp;"'!B:R"),15,FALSE),"")</f>
        <v/>
      </c>
      <c r="CX182" s="96">
        <f>IFERROR(VLOOKUP($B182,INDIRECT("'GRD-"&amp;CX$11&amp;"'!B:R"),15,FALSE),"")</f>
        <v/>
      </c>
      <c r="CY182" s="96">
        <f>IFERROR(VLOOKUP($B182,INDIRECT("'GRD-"&amp;CY$11&amp;"'!B:R"),15,FALSE),"")</f>
        <v/>
      </c>
      <c r="CZ182" s="96">
        <f>IFERROR(VLOOKUP($B182,INDIRECT("'GRD-"&amp;CZ$11&amp;"'!B:R"),15,FALSE),"")</f>
        <v/>
      </c>
      <c r="DA182" s="96">
        <f>IFERROR(VLOOKUP($B182,INDIRECT("'GRD-"&amp;DA$11&amp;"'!B:R"),15,FALSE),"")</f>
        <v/>
      </c>
      <c r="DB182" s="96">
        <f>IFERROR(VLOOKUP($B182,INDIRECT("'GRD-"&amp;DB$11&amp;"'!B:R"),15,FALSE),"")</f>
        <v/>
      </c>
      <c r="DC182" s="96">
        <f>IFERROR(VLOOKUP($B182,INDIRECT("'GRD-"&amp;DC$11&amp;"'!B:R"),15,FALSE),"")</f>
        <v/>
      </c>
      <c r="DD182" s="96">
        <f>IFERROR(VLOOKUP($B182,INDIRECT("'GRD-"&amp;DD$11&amp;"'!B:R"),15,FALSE),"")</f>
        <v/>
      </c>
      <c r="DE182" s="96">
        <f>IFERROR(VLOOKUP($B182,INDIRECT("'GRD-"&amp;DE$11&amp;"'!B:R"),15,FALSE),"")</f>
        <v/>
      </c>
      <c r="DF182" s="96">
        <f>IFERROR(VLOOKUP($B182,INDIRECT("'GRD-"&amp;DF$11&amp;"'!B:R"),15,FALSE),"")</f>
        <v/>
      </c>
      <c r="DG182" s="96">
        <f>IFERROR(VLOOKUP($B182,INDIRECT("'GRD-"&amp;DG$11&amp;"'!B:R"),15,FALSE),"")</f>
        <v/>
      </c>
      <c r="DH182" s="96">
        <f>IFERROR(VLOOKUP($B182,INDIRECT("'GRD-"&amp;DH$11&amp;"'!B:R"),15,FALSE),"")</f>
        <v/>
      </c>
      <c r="DI182" s="96">
        <f>IFERROR(VLOOKUP($B182,INDIRECT("'GRD-"&amp;DI$11&amp;"'!B:R"),15,FALSE),"")</f>
        <v/>
      </c>
      <c r="DJ182" s="96">
        <f>IFERROR(VLOOKUP($B182,INDIRECT("'GRD-"&amp;DJ$11&amp;"'!B:R"),15,FALSE),"")</f>
        <v/>
      </c>
      <c r="DK182" s="96">
        <f>IFERROR(VLOOKUP($B182,INDIRECT("'GRD-"&amp;DK$11&amp;"'!B:R"),15,FALSE),"")</f>
        <v/>
      </c>
      <c r="DL182" s="96">
        <f>IFERROR(VLOOKUP($B182,INDIRECT("'GRD-"&amp;DL$11&amp;"'!B:R"),15,FALSE),"")</f>
        <v/>
      </c>
      <c r="DM182" s="96">
        <f>IFERROR(VLOOKUP($B182,INDIRECT("'GRD-"&amp;DM$11&amp;"'!B:R"),15,FALSE),"")</f>
        <v/>
      </c>
      <c r="DN182" s="96">
        <f>IFERROR(VLOOKUP($B182,INDIRECT("'GRD-"&amp;DN$11&amp;"'!B:R"),15,FALSE),"")</f>
        <v/>
      </c>
      <c r="DO182" s="96">
        <f>IFERROR(VLOOKUP($B182,INDIRECT("'GRD-"&amp;DO$11&amp;"'!B:R"),15,FALSE),"")</f>
        <v/>
      </c>
      <c r="DP182" s="96">
        <f>IFERROR(VLOOKUP($B182,INDIRECT("'GRD-"&amp;DP$11&amp;"'!B:R"),15,FALSE),"")</f>
        <v/>
      </c>
      <c r="DQ182" s="96">
        <f>IFERROR(VLOOKUP($B182,INDIRECT("'GRD-"&amp;DQ$11&amp;"'!B:R"),15,FALSE),"")</f>
        <v/>
      </c>
      <c r="DR182" s="96">
        <f>IFERROR(VLOOKUP($B182,INDIRECT("'GRD-"&amp;DR$11&amp;"'!B:R"),15,FALSE),"")</f>
        <v/>
      </c>
      <c r="DS182" s="96">
        <f>IFERROR(VLOOKUP($B182,INDIRECT("'GRD-"&amp;DS$11&amp;"'!B:R"),15,FALSE),"")</f>
        <v/>
      </c>
      <c r="DT182" s="96">
        <f>IFERROR(VLOOKUP($B182,INDIRECT("'GRD-"&amp;DT$11&amp;"'!B:R"),15,FALSE),"")</f>
        <v/>
      </c>
      <c r="DU182" s="96">
        <f>IFERROR(VLOOKUP($B182,INDIRECT("'GRD-"&amp;DU$11&amp;"'!B:R"),15,FALSE),"")</f>
        <v/>
      </c>
      <c r="DV182" s="96">
        <f>IFERROR(VLOOKUP($B182,INDIRECT("'GRD-"&amp;DV$11&amp;"'!B:R"),15,FALSE),"")</f>
        <v/>
      </c>
      <c r="DW182" s="96">
        <f>IFERROR(VLOOKUP($B182,INDIRECT("'GRD-"&amp;DW$11&amp;"'!B:R"),15,FALSE),"")</f>
        <v/>
      </c>
      <c r="DX182" s="96">
        <f>IFERROR(VLOOKUP($B182,INDIRECT("'GRD-"&amp;DX$11&amp;"'!B:R"),15,FALSE),"")</f>
        <v/>
      </c>
      <c r="DY182" s="96">
        <f>IFERROR(VLOOKUP($B182,INDIRECT("'GRD-"&amp;DY$11&amp;"'!B:R"),15,FALSE),"")</f>
        <v/>
      </c>
      <c r="DZ182" s="96">
        <f>IFERROR(VLOOKUP($B182,INDIRECT("'GRD-"&amp;DZ$11&amp;"'!B:R"),15,FALSE),"")</f>
        <v/>
      </c>
      <c r="EA182" s="96">
        <f>IFERROR(VLOOKUP($B182,INDIRECT("'GRD-"&amp;EA$11&amp;"'!B:R"),15,FALSE),"")</f>
        <v/>
      </c>
      <c r="EB182" s="96">
        <f>IFERROR(VLOOKUP($B182,INDIRECT("'GRD-"&amp;EB$11&amp;"'!B:R"),15,FALSE),"")</f>
        <v/>
      </c>
      <c r="EC182" s="96">
        <f>IFERROR(VLOOKUP($B182,INDIRECT("'GRD-"&amp;EC$11&amp;"'!B:R"),15,FALSE),"")</f>
        <v/>
      </c>
      <c r="ED182" s="96">
        <f>IFERROR(VLOOKUP($B182,INDIRECT("'GRD-"&amp;ED$11&amp;"'!B:R"),15,FALSE),"")</f>
        <v/>
      </c>
      <c r="EE182" s="96">
        <f>IFERROR(VLOOKUP($B182,INDIRECT("'GRD-"&amp;EE$11&amp;"'!B:R"),15,FALSE),"")</f>
        <v/>
      </c>
      <c r="EF182" s="96">
        <f>IFERROR(VLOOKUP($B182,INDIRECT("'GRD-"&amp;EF$11&amp;"'!B:R"),15,FALSE),"")</f>
        <v/>
      </c>
      <c r="EG182" s="96">
        <f>IFERROR(VLOOKUP($B182,INDIRECT("'GRD-"&amp;EG$11&amp;"'!B:R"),15,FALSE),"")</f>
        <v/>
      </c>
      <c r="EH182" s="96">
        <f>IFERROR(VLOOKUP($B182,INDIRECT("'GRD-"&amp;EH$11&amp;"'!B:R"),15,FALSE),"")</f>
        <v/>
      </c>
      <c r="EI182" s="96">
        <f>IFERROR(VLOOKUP($B182,INDIRECT("'GRD-"&amp;EI$11&amp;"'!B:R"),15,FALSE),"")</f>
        <v/>
      </c>
      <c r="EJ182" s="96">
        <f>IFERROR(VLOOKUP($B182,INDIRECT("'GRD-"&amp;EJ$11&amp;"'!B:R"),15,FALSE),"")</f>
        <v/>
      </c>
      <c r="EK182" s="96">
        <f>IFERROR(VLOOKUP($B182,INDIRECT("'GRD-"&amp;EK$11&amp;"'!B:R"),15,FALSE),"")</f>
        <v/>
      </c>
      <c r="EL182" s="96">
        <f>IFERROR(VLOOKUP($B182,INDIRECT("'GRD-"&amp;EL$11&amp;"'!B:R"),15,FALSE),"")</f>
        <v/>
      </c>
      <c r="EM182" s="96">
        <f>IFERROR(VLOOKUP($B182,INDIRECT("'GRD-"&amp;EM$11&amp;"'!B:R"),15,FALSE),"")</f>
        <v/>
      </c>
      <c r="EN182" s="96">
        <f>IFERROR(VLOOKUP($B182,INDIRECT("'GRD-"&amp;EN$11&amp;"'!B:R"),15,FALSE),"")</f>
        <v/>
      </c>
      <c r="EO182" s="96">
        <f>IFERROR(VLOOKUP($B182,INDIRECT("'GRD-"&amp;EO$11&amp;"'!B:R"),15,FALSE),"")</f>
        <v/>
      </c>
      <c r="EP182" s="96">
        <f>IFERROR(VLOOKUP($B182,INDIRECT("'GRD-"&amp;EP$11&amp;"'!B:R"),15,FALSE),"")</f>
        <v/>
      </c>
      <c r="EQ182" s="96">
        <f>IFERROR(VLOOKUP($B182,INDIRECT("'GRD-"&amp;EQ$11&amp;"'!B:R"),15,FALSE),"")</f>
        <v/>
      </c>
      <c r="ER182" s="96">
        <f>IFERROR(VLOOKUP($B182,INDIRECT("'GRD-"&amp;ER$11&amp;"'!B:R"),15,FALSE),"")</f>
        <v/>
      </c>
      <c r="ES182" s="96">
        <f>IFERROR(VLOOKUP($B182,INDIRECT("'GRD-"&amp;ES$11&amp;"'!B:R"),15,FALSE),"")</f>
        <v/>
      </c>
      <c r="ET182" s="96">
        <f>IFERROR(VLOOKUP($B182,INDIRECT("'GRD-"&amp;ET$11&amp;"'!B:R"),15,FALSE),"")</f>
        <v/>
      </c>
      <c r="EU182" s="96">
        <f>IFERROR(VLOOKUP($B182,INDIRECT("'GRD-"&amp;EU$11&amp;"'!B:R"),15,FALSE),"")</f>
        <v/>
      </c>
      <c r="EV182" s="96">
        <f>IFERROR(VLOOKUP($B182,INDIRECT("'GRD-"&amp;EV$11&amp;"'!B:R"),15,FALSE),"")</f>
        <v/>
      </c>
      <c r="EW182" s="96">
        <f>IFERROR(VLOOKUP($B182,INDIRECT("'GRD-"&amp;EW$11&amp;"'!B:R"),15,FALSE),"")</f>
        <v/>
      </c>
      <c r="EX182" s="96">
        <f>IFERROR(VLOOKUP($B182,INDIRECT("'GRD-"&amp;EX$11&amp;"'!B:R"),15,FALSE),"")</f>
        <v/>
      </c>
      <c r="EY182" s="96">
        <f>IFERROR(VLOOKUP($B182,INDIRECT("'GRD-"&amp;EY$11&amp;"'!B:R"),15,FALSE),"")</f>
        <v/>
      </c>
      <c r="EZ182" s="96">
        <f>IFERROR(VLOOKUP($B182,INDIRECT("'GRD-"&amp;EZ$11&amp;"'!B:R"),15,FALSE),"")</f>
        <v/>
      </c>
      <c r="FA182" s="96">
        <f>IFERROR(VLOOKUP($B182,INDIRECT("'GRD-"&amp;FA$11&amp;"'!B:R"),15,FALSE),"")</f>
        <v/>
      </c>
      <c r="FB182" s="96">
        <f>IFERROR(VLOOKUP($B182,INDIRECT("'GRD-"&amp;FB$11&amp;"'!B:R"),15,FALSE),"")</f>
        <v/>
      </c>
      <c r="FC182" s="96">
        <f>IFERROR(VLOOKUP($B182,INDIRECT("'GRD-"&amp;FC$11&amp;"'!B:R"),15,FALSE),"")</f>
        <v/>
      </c>
      <c r="FD182" s="96">
        <f>IFERROR(VLOOKUP($B182,INDIRECT("'GRD-"&amp;FD$11&amp;"'!B:R"),15,FALSE),"")</f>
        <v/>
      </c>
      <c r="FE182" s="96">
        <f>IFERROR(VLOOKUP($B182,INDIRECT("'GRD-"&amp;FE$11&amp;"'!B:R"),15,FALSE),"")</f>
        <v/>
      </c>
      <c r="FF182" s="96">
        <f>IFERROR(VLOOKUP($B182,INDIRECT("'GRD-"&amp;FF$11&amp;"'!B:R"),15,FALSE),"")</f>
        <v/>
      </c>
      <c r="FG182" s="96">
        <f>IFERROR(VLOOKUP($B182,INDIRECT("'GRD-"&amp;FG$11&amp;"'!B:R"),15,FALSE),"")</f>
        <v/>
      </c>
      <c r="FH182" s="96">
        <f>IFERROR(VLOOKUP($B182,INDIRECT("'GRD-"&amp;FH$11&amp;"'!B:R"),15,FALSE),"")</f>
        <v/>
      </c>
      <c r="FI182" s="96">
        <f>IFERROR(VLOOKUP($B182,INDIRECT("'GRD-"&amp;FI$11&amp;"'!B:R"),15,FALSE),"")</f>
        <v/>
      </c>
      <c r="FJ182" s="96">
        <f>IFERROR(VLOOKUP($B182,INDIRECT("'GRD-"&amp;FJ$11&amp;"'!B:R"),15,FALSE),"")</f>
        <v/>
      </c>
      <c r="FK182" s="96">
        <f>IFERROR(VLOOKUP($B182,INDIRECT("'GRD-"&amp;FK$11&amp;"'!B:R"),15,FALSE),"")</f>
        <v/>
      </c>
      <c r="FL182" s="96">
        <f>IFERROR(VLOOKUP($B182,INDIRECT("'GRD-"&amp;FL$11&amp;"'!B:R"),15,FALSE),"")</f>
        <v/>
      </c>
      <c r="FM182" s="96">
        <f>IFERROR(VLOOKUP($B182,INDIRECT("'GRD-"&amp;FM$11&amp;"'!B:R"),15,FALSE),"")</f>
        <v/>
      </c>
      <c r="FN182" s="96">
        <f>IFERROR(VLOOKUP($B182,INDIRECT("'GRD-"&amp;FN$11&amp;"'!B:R"),15,FALSE),"")</f>
        <v/>
      </c>
      <c r="FO182" s="96">
        <f>IFERROR(VLOOKUP($B182,INDIRECT("'GRD-"&amp;FO$11&amp;"'!B:R"),15,FALSE),"")</f>
        <v/>
      </c>
      <c r="FP182" s="96">
        <f>IFERROR(VLOOKUP($B182,INDIRECT("'GRD-"&amp;FP$11&amp;"'!B:R"),15,FALSE),"")</f>
        <v/>
      </c>
      <c r="FQ182" s="96">
        <f>IFERROR(VLOOKUP($B182,INDIRECT("'GRD-"&amp;FQ$11&amp;"'!B:R"),15,FALSE),"")</f>
        <v/>
      </c>
      <c r="FR182" s="96">
        <f>IFERROR(VLOOKUP($B182,INDIRECT("'GRD-"&amp;FR$11&amp;"'!B:R"),15,FALSE),"")</f>
        <v/>
      </c>
      <c r="FS182" s="96">
        <f>IFERROR(VLOOKUP($B182,INDIRECT("'GRD-"&amp;FS$11&amp;"'!B:R"),15,FALSE),"")</f>
        <v/>
      </c>
      <c r="FT182" s="96">
        <f>IFERROR(VLOOKUP($B182,INDIRECT("'GRD-"&amp;FT$11&amp;"'!B:R"),15,FALSE),"")</f>
        <v/>
      </c>
      <c r="FU182" s="96">
        <f>IFERROR(VLOOKUP($B182,INDIRECT("'GRD-"&amp;FU$11&amp;"'!B:R"),15,FALSE),"")</f>
        <v/>
      </c>
      <c r="FV182" s="96">
        <f>IFERROR(VLOOKUP($B182,INDIRECT("'GRD-"&amp;FV$11&amp;"'!B:R"),15,FALSE),"")</f>
        <v/>
      </c>
    </row>
    <row r="183">
      <c r="B183" s="85" t="n"/>
      <c r="C183" s="93" t="n"/>
      <c r="D183" s="73">
        <f>IF(K183="","",MAX($CA183:$FV183))</f>
        <v/>
      </c>
      <c r="E183" s="74">
        <f t="array" ref="E183">IF($K183="","",OFFSET($A$1,ROW($B183)-1,11+$D183*4,))</f>
        <v/>
      </c>
      <c r="F183" s="74">
        <f t="array" ref="F183">IF($K183="","",OFFSET($A$1,ROW($B183)-1,12+$D183*4,))</f>
        <v/>
      </c>
      <c r="G183" s="118">
        <f t="array" ref="G183">IF($K183="","",OFFSET($A$1,ROW($B183)-1,13+$D183*4,))</f>
        <v/>
      </c>
      <c r="H183" s="81" t="n"/>
      <c r="I183" s="82" t="n"/>
      <c r="J183" s="75">
        <f>IF(I183="A4",H183/8,IF(I183="A3",H183/4,IF(I183="A2",H183/2,IF(I183="A1",H183/1,IF(I183="A0",H183*2,"")))))</f>
        <v/>
      </c>
      <c r="K183" s="68">
        <f t="array" ref="K183">IFERROR(OFFSET($BZ$11,ROW($B183)-11,MATCH(K$10,$CA183:$FV183,0),),"")</f>
        <v/>
      </c>
      <c r="L183" s="85">
        <f>IF(K183="","",IF(VLOOKUP($B183,INDIRECT("'GRD-"&amp;M183&amp;"'!$B:$R"),16,FALSE)="","",VLOOKUP($B183,INDIRECT("'GRD-"&amp;M183&amp;"'!$B:$R"),16,FALSE)))</f>
        <v/>
      </c>
      <c r="M183" s="130">
        <f t="array" ref="M183">IF(K183="","",IFERROR(OFFSET($BZ$11,0,MATCH($K183,$CA183:$FV183,0),),""))</f>
        <v/>
      </c>
      <c r="N183" s="119">
        <f t="array" ref="N183">IF(K183="","",INDIRECT("'GRD-"&amp;M183&amp;"'!$L$7"))</f>
        <v/>
      </c>
      <c r="O183" s="76">
        <f t="array" ref="O183">IFERROR(OFFSET($BZ$11,ROW($B183)-11,MATCH(O$10,$CA183:$FV183,0),),"")</f>
        <v/>
      </c>
      <c r="P183" s="76">
        <f>IF(O183="","",IF(VLOOKUP($B183,INDIRECT("'GRD-"&amp;Q183&amp;"'!$B:$R"),16,FALSE)="","",VLOOKUP($B183,INDIRECT("'GRD-"&amp;Q183&amp;"'!$B:$R"),16,FALSE)))</f>
        <v/>
      </c>
      <c r="Q183" s="132">
        <f t="array" ref="Q183">IF(O183="","",IFERROR(OFFSET($BZ$11,0,MATCH($O183,$CA183:$FV183,0),),""))</f>
        <v/>
      </c>
      <c r="R183" s="121">
        <f t="array" ref="R183">IF(O183="","",INDIRECT("'GRD-"&amp;Q183&amp;"'!$L$7"))</f>
        <v/>
      </c>
      <c r="S183" s="83">
        <f t="array" ref="S183">IFERROR(OFFSET($BZ$11,ROW($B183)-11,MATCH(S$10,$CA183:$FV183,0),),"")</f>
        <v/>
      </c>
      <c r="T183" s="83">
        <f>IF(S183="","",IF(VLOOKUP($B183,INDIRECT("'GRD-"&amp;U183&amp;"'!$B:$R"),16,FALSE)="","",VLOOKUP($B183,INDIRECT("'GRD-"&amp;U183&amp;"'!$B:$R"),16,FALSE)))</f>
        <v/>
      </c>
      <c r="U183" s="128">
        <f t="array" ref="U183">IF(S183="","",IFERROR(OFFSET($BZ$11,0,MATCH($S183,$CA183:$FV183,0),),""))</f>
        <v/>
      </c>
      <c r="V183" s="133">
        <f t="array" ref="V183">IF(S183="","",INDIRECT("'GRD-"&amp;U183&amp;"'!$L$7"))</f>
        <v/>
      </c>
      <c r="W183" s="84">
        <f t="array" ref="W183">IFERROR(OFFSET($BZ$11,ROW($B183)-11,MATCH(W$10,$CA183:$FV183,0),),"")</f>
        <v/>
      </c>
      <c r="X183" s="84">
        <f>IF(W183="","",IF(VLOOKUP($B183,INDIRECT("'GRD-"&amp;Y183&amp;"'!$B:$R"),16,FALSE)="","",VLOOKUP($B183,INDIRECT("'GRD-"&amp;Y183&amp;"'!$B:$R"),16,FALSE)))</f>
        <v/>
      </c>
      <c r="Y183" s="129">
        <f t="array" ref="Y183">IF(W183="","",IFERROR(OFFSET($BZ$11,0,MATCH($W183,$CA183:$FV183,0),),""))</f>
        <v/>
      </c>
      <c r="Z183" s="134">
        <f t="array" ref="Z183">IF(W183="","",INDIRECT("'GRD-"&amp;Y183&amp;"'!$L$7"))</f>
        <v/>
      </c>
      <c r="AA183" s="85">
        <f t="array" ref="AA183">IFERROR(OFFSET($BZ$11,ROW($B183)-11,MATCH(AA$10,$CA183:$FV183,0),),"")</f>
        <v/>
      </c>
      <c r="AB183" s="85">
        <f>IF(AA183="","",IF(VLOOKUP($B183,INDIRECT("'GRD-"&amp;AC183&amp;"'!$B:$R"),16,FALSE)="","",VLOOKUP($B183,INDIRECT("'GRD-"&amp;AC183&amp;"'!$B:$R"),16,FALSE)))</f>
        <v/>
      </c>
      <c r="AC183" s="130">
        <f t="array" ref="AC183">IF(AA183="","",IFERROR(OFFSET($BZ$11,0,MATCH($AA183,$CA183:$FV183,0),),""))</f>
        <v/>
      </c>
      <c r="AD183" s="131">
        <f t="array" ref="AD183">IF(AA183="","",INDIRECT("'GRD-"&amp;AC183&amp;"'!$L$7"))</f>
        <v/>
      </c>
      <c r="AE183" s="76">
        <f t="array" ref="AE183">IFERROR(OFFSET($BZ$11,ROW($B183)-11,MATCH(AE$10,$CA183:$FV183,0),),"")</f>
        <v/>
      </c>
      <c r="AF183" s="76">
        <f>IF(AE183="","",IF(VLOOKUP($B183,INDIRECT("'GRD-"&amp;AG183&amp;"'!$B:$R"),16,FALSE)="","",VLOOKUP($B183,INDIRECT("'GRD-"&amp;AG183&amp;"'!$B:$R"),16,FALSE)))</f>
        <v/>
      </c>
      <c r="AG183" s="132">
        <f t="array" ref="AG183">IF(AE183="","",IFERROR(OFFSET($BZ$11,0,MATCH($AE183,$CA183:$FV183,0),),""))</f>
        <v/>
      </c>
      <c r="AH183" s="121">
        <f t="array" ref="AH183">IF(AE183="","",INDIRECT("'GRD-"&amp;AG183&amp;"'!$L$7"))</f>
        <v/>
      </c>
      <c r="AI183" s="83">
        <f t="array" ref="AI183">IFERROR(OFFSET($BZ$11,ROW($B183)-11,MATCH(AI$10,$CA183:$FV183,0),),"")</f>
        <v/>
      </c>
      <c r="AJ183" s="83">
        <f>IF(AI183="","",IF(VLOOKUP($B183,INDIRECT("'GRD-"&amp;AK183&amp;"'!$B:$R"),16,FALSE)="","",VLOOKUP($B183,INDIRECT("'GRD-"&amp;AK183&amp;"'!$B:$R"),16,FALSE)))</f>
        <v/>
      </c>
      <c r="AK183" s="128">
        <f t="array" ref="AK183">IF(AI183="","",IFERROR(OFFSET($BZ$11,0,MATCH($AI183,$CA183:$FV183,0),),""))</f>
        <v/>
      </c>
      <c r="AL183" s="133">
        <f t="array" ref="AL183">IF(AI183="","",INDIRECT("'GRD-"&amp;AK183&amp;"'!$L$7"))</f>
        <v/>
      </c>
      <c r="AM183" s="84">
        <f t="array" ref="AM183">IFERROR(OFFSET($BZ$11,ROW($B183)-11,MATCH(AM$10,$CA183:$FV183,0),),"")</f>
        <v/>
      </c>
      <c r="AN183" s="84">
        <f>IF(AM183="","",IF(VLOOKUP($B183,INDIRECT("'GRD-"&amp;AO183&amp;"'!$B:$R"),16,FALSE)="","",VLOOKUP($B183,INDIRECT("'GRD-"&amp;AO183&amp;"'!$B:$R"),16,FALSE)))</f>
        <v/>
      </c>
      <c r="AO183" s="129">
        <f t="array" ref="AO183">IF(AM183="","",IFERROR(OFFSET($BZ$11,0,MATCH($AM183,$CA183:$FV183,0),),""))</f>
        <v/>
      </c>
      <c r="AP183" s="134">
        <f t="array" ref="AP183">IF(AM183="","",INDIRECT("'GRD-"&amp;AO183&amp;"'!$L$7"))</f>
        <v/>
      </c>
      <c r="AQ183" s="85">
        <f t="array" ref="AQ183">IFERROR(OFFSET($BZ$11,ROW($B183)-11,MATCH(AQ$10,$CA183:$FV183,0),),"")</f>
        <v/>
      </c>
      <c r="AR183" s="85">
        <f>IF(AQ183="","",IF(VLOOKUP($B183,INDIRECT("'GRD-"&amp;AS183&amp;"'!$B:$R"),16,FALSE)="","",VLOOKUP($B183,INDIRECT("'GRD-"&amp;AS183&amp;"'!$B:$R"),16,FALSE)))</f>
        <v/>
      </c>
      <c r="AS183" s="130">
        <f t="array" ref="AS183">IF(AQ183="","",IFERROR(OFFSET($BZ$11,0,MATCH($AQ183,$CA183:$FV183,0),),""))</f>
        <v/>
      </c>
      <c r="AT183" s="131">
        <f t="array" ref="AT183">IF(AQ183="","",INDIRECT("'GRD-"&amp;AS183&amp;"'!$L$7"))</f>
        <v/>
      </c>
      <c r="AU183" s="76">
        <f t="array" ref="AU183">IFERROR(OFFSET($BZ$11,ROW($B183)-11,MATCH(AU$10,$CA183:$FV183,0),),"")</f>
        <v/>
      </c>
      <c r="AV183" s="76">
        <f>IF(AU183="","",IF(VLOOKUP($B183,INDIRECT("'GRD-"&amp;AW183&amp;"'!$B:$R"),16,FALSE)="","",VLOOKUP($B183,INDIRECT("'GRD-"&amp;AW183&amp;"'!$B:$R"),16,FALSE)))</f>
        <v/>
      </c>
      <c r="AW183" s="132">
        <f t="array" ref="AW183">IF(AU183="","",IFERROR(OFFSET($BZ$11,0,MATCH($AU183,$CA183:$FV183,0),),""))</f>
        <v/>
      </c>
      <c r="AX183" s="121">
        <f t="array" ref="AX183">IF(AU183="","",INDIRECT("'GRD-"&amp;AW183&amp;"'!$L$7"))</f>
        <v/>
      </c>
      <c r="AY183" s="83">
        <f t="array" ref="AY183">IFERROR(OFFSET($BZ$11,ROW($B183)-11,MATCH(AY$10,$CA183:$FV183,0),),"")</f>
        <v/>
      </c>
      <c r="AZ183" s="83">
        <f>IF(AY183="","",IF(VLOOKUP($B183,INDIRECT("'GRD-"&amp;BA183&amp;"'!$B:$R"),16,FALSE)="","",VLOOKUP($B183,INDIRECT("'GRD-"&amp;BA183&amp;"'!$B:$R"),16,FALSE)))</f>
        <v/>
      </c>
      <c r="BA183" s="128">
        <f t="array" ref="BA183">IF(AY183="","",IFERROR(OFFSET($BZ$11,0,MATCH($AY183,$CA183:$FV183,0),),""))</f>
        <v/>
      </c>
      <c r="BB183" s="133">
        <f t="array" ref="BB183">IF(AY183="","",INDIRECT("'GRD-"&amp;BA183&amp;"'!$L$7"))</f>
        <v/>
      </c>
      <c r="BC183" s="84">
        <f t="array" ref="BC183">IFERROR(OFFSET($BZ$11,ROW($B183)-11,MATCH(BC$10,$CA183:$FV183,0),),"")</f>
        <v/>
      </c>
      <c r="BD183" s="84">
        <f>IF(BC183="","",IF(VLOOKUP($B183,INDIRECT("'GRD-"&amp;BE183&amp;"'!$B:$R"),16,FALSE)="","",VLOOKUP($B183,INDIRECT("'GRD-"&amp;BE183&amp;"'!$B:$R"),16,FALSE)))</f>
        <v/>
      </c>
      <c r="BE183" s="129">
        <f t="array" ref="BE183">IF(BC183="","",IFERROR(OFFSET($BZ$11,0,MATCH($BC183,$CA183:$FV183,0),),""))</f>
        <v/>
      </c>
      <c r="BF183" s="134">
        <f t="array" ref="BF183">IF(BC183="","",INDIRECT("'GRD-"&amp;BE183&amp;"'!$L$7"))</f>
        <v/>
      </c>
      <c r="CA183" s="96">
        <f>IFERROR(VLOOKUP($B183,INDIRECT("'GRD-"&amp;CA$11&amp;"'!B:R"),15,FALSE),"")</f>
        <v/>
      </c>
      <c r="CB183" s="96">
        <f>IFERROR(VLOOKUP($B183,INDIRECT("'GRD-"&amp;CB$11&amp;"'!B:R"),15,FALSE),"")</f>
        <v/>
      </c>
      <c r="CC183" s="96">
        <f>IFERROR(VLOOKUP($B183,INDIRECT("'GRD-"&amp;CC$11&amp;"'!B:R"),15,FALSE),"")</f>
        <v/>
      </c>
      <c r="CD183" s="96">
        <f>IFERROR(VLOOKUP($B183,INDIRECT("'GRD-"&amp;CD$11&amp;"'!B:R"),15,FALSE),"")</f>
        <v/>
      </c>
      <c r="CE183" s="96">
        <f>IFERROR(VLOOKUP($B183,INDIRECT("'GRD-"&amp;CE$11&amp;"'!B:R"),15,FALSE),"")</f>
        <v/>
      </c>
      <c r="CF183" s="96">
        <f>IFERROR(VLOOKUP($B183,INDIRECT("'GRD-"&amp;CF$11&amp;"'!B:R"),15,FALSE),"")</f>
        <v/>
      </c>
      <c r="CG183" s="96">
        <f>IFERROR(VLOOKUP($B183,INDIRECT("'GRD-"&amp;CG$11&amp;"'!B:R"),15,FALSE),"")</f>
        <v/>
      </c>
      <c r="CH183" s="96">
        <f>IFERROR(VLOOKUP($B183,INDIRECT("'GRD-"&amp;CH$11&amp;"'!B:R"),15,FALSE),"")</f>
        <v/>
      </c>
      <c r="CI183" s="96">
        <f>IFERROR(VLOOKUP($B183,INDIRECT("'GRD-"&amp;CI$11&amp;"'!B:R"),15,FALSE),"")</f>
        <v/>
      </c>
      <c r="CJ183" s="96">
        <f>IFERROR(VLOOKUP($B183,INDIRECT("'GRD-"&amp;CJ$11&amp;"'!B:R"),15,FALSE),"")</f>
        <v/>
      </c>
      <c r="CK183" s="96">
        <f>IFERROR(VLOOKUP($B183,INDIRECT("'GRD-"&amp;CK$11&amp;"'!B:R"),15,FALSE),"")</f>
        <v/>
      </c>
      <c r="CL183" s="96">
        <f>IFERROR(VLOOKUP($B183,INDIRECT("'GRD-"&amp;CL$11&amp;"'!B:R"),15,FALSE),"")</f>
        <v/>
      </c>
      <c r="CM183" s="96">
        <f>IFERROR(VLOOKUP($B183,INDIRECT("'GRD-"&amp;CM$11&amp;"'!B:R"),15,FALSE),"")</f>
        <v/>
      </c>
      <c r="CN183" s="96">
        <f>IFERROR(VLOOKUP($B183,INDIRECT("'GRD-"&amp;CN$11&amp;"'!B:R"),15,FALSE),"")</f>
        <v/>
      </c>
      <c r="CO183" s="96">
        <f>IFERROR(VLOOKUP($B183,INDIRECT("'GRD-"&amp;CO$11&amp;"'!B:R"),15,FALSE),"")</f>
        <v/>
      </c>
      <c r="CP183" s="96">
        <f>IFERROR(VLOOKUP($B183,INDIRECT("'GRD-"&amp;CP$11&amp;"'!B:R"),15,FALSE),"")</f>
        <v/>
      </c>
      <c r="CQ183" s="96">
        <f>IFERROR(VLOOKUP($B183,INDIRECT("'GRD-"&amp;CQ$11&amp;"'!B:R"),15,FALSE),"")</f>
        <v/>
      </c>
      <c r="CR183" s="96">
        <f>IFERROR(VLOOKUP($B183,INDIRECT("'GRD-"&amp;CR$11&amp;"'!B:R"),15,FALSE),"")</f>
        <v/>
      </c>
      <c r="CS183" s="96">
        <f>IFERROR(VLOOKUP($B183,INDIRECT("'GRD-"&amp;CS$11&amp;"'!B:R"),15,FALSE),"")</f>
        <v/>
      </c>
      <c r="CT183" s="96">
        <f>IFERROR(VLOOKUP($B183,INDIRECT("'GRD-"&amp;CT$11&amp;"'!B:R"),15,FALSE),"")</f>
        <v/>
      </c>
      <c r="CU183" s="96">
        <f>IFERROR(VLOOKUP($B183,INDIRECT("'GRD-"&amp;CU$11&amp;"'!B:R"),15,FALSE),"")</f>
        <v/>
      </c>
      <c r="CV183" s="96">
        <f>IFERROR(VLOOKUP($B183,INDIRECT("'GRD-"&amp;CV$11&amp;"'!B:R"),15,FALSE),"")</f>
        <v/>
      </c>
      <c r="CW183" s="96">
        <f>IFERROR(VLOOKUP($B183,INDIRECT("'GRD-"&amp;CW$11&amp;"'!B:R"),15,FALSE),"")</f>
        <v/>
      </c>
      <c r="CX183" s="96">
        <f>IFERROR(VLOOKUP($B183,INDIRECT("'GRD-"&amp;CX$11&amp;"'!B:R"),15,FALSE),"")</f>
        <v/>
      </c>
      <c r="CY183" s="96">
        <f>IFERROR(VLOOKUP($B183,INDIRECT("'GRD-"&amp;CY$11&amp;"'!B:R"),15,FALSE),"")</f>
        <v/>
      </c>
      <c r="CZ183" s="96">
        <f>IFERROR(VLOOKUP($B183,INDIRECT("'GRD-"&amp;CZ$11&amp;"'!B:R"),15,FALSE),"")</f>
        <v/>
      </c>
      <c r="DA183" s="96">
        <f>IFERROR(VLOOKUP($B183,INDIRECT("'GRD-"&amp;DA$11&amp;"'!B:R"),15,FALSE),"")</f>
        <v/>
      </c>
      <c r="DB183" s="96">
        <f>IFERROR(VLOOKUP($B183,INDIRECT("'GRD-"&amp;DB$11&amp;"'!B:R"),15,FALSE),"")</f>
        <v/>
      </c>
      <c r="DC183" s="96">
        <f>IFERROR(VLOOKUP($B183,INDIRECT("'GRD-"&amp;DC$11&amp;"'!B:R"),15,FALSE),"")</f>
        <v/>
      </c>
      <c r="DD183" s="96">
        <f>IFERROR(VLOOKUP($B183,INDIRECT("'GRD-"&amp;DD$11&amp;"'!B:R"),15,FALSE),"")</f>
        <v/>
      </c>
      <c r="DE183" s="96">
        <f>IFERROR(VLOOKUP($B183,INDIRECT("'GRD-"&amp;DE$11&amp;"'!B:R"),15,FALSE),"")</f>
        <v/>
      </c>
      <c r="DF183" s="96">
        <f>IFERROR(VLOOKUP($B183,INDIRECT("'GRD-"&amp;DF$11&amp;"'!B:R"),15,FALSE),"")</f>
        <v/>
      </c>
      <c r="DG183" s="96">
        <f>IFERROR(VLOOKUP($B183,INDIRECT("'GRD-"&amp;DG$11&amp;"'!B:R"),15,FALSE),"")</f>
        <v/>
      </c>
      <c r="DH183" s="96">
        <f>IFERROR(VLOOKUP($B183,INDIRECT("'GRD-"&amp;DH$11&amp;"'!B:R"),15,FALSE),"")</f>
        <v/>
      </c>
      <c r="DI183" s="96">
        <f>IFERROR(VLOOKUP($B183,INDIRECT("'GRD-"&amp;DI$11&amp;"'!B:R"),15,FALSE),"")</f>
        <v/>
      </c>
      <c r="DJ183" s="96">
        <f>IFERROR(VLOOKUP($B183,INDIRECT("'GRD-"&amp;DJ$11&amp;"'!B:R"),15,FALSE),"")</f>
        <v/>
      </c>
      <c r="DK183" s="96">
        <f>IFERROR(VLOOKUP($B183,INDIRECT("'GRD-"&amp;DK$11&amp;"'!B:R"),15,FALSE),"")</f>
        <v/>
      </c>
      <c r="DL183" s="96">
        <f>IFERROR(VLOOKUP($B183,INDIRECT("'GRD-"&amp;DL$11&amp;"'!B:R"),15,FALSE),"")</f>
        <v/>
      </c>
      <c r="DM183" s="96">
        <f>IFERROR(VLOOKUP($B183,INDIRECT("'GRD-"&amp;DM$11&amp;"'!B:R"),15,FALSE),"")</f>
        <v/>
      </c>
      <c r="DN183" s="96">
        <f>IFERROR(VLOOKUP($B183,INDIRECT("'GRD-"&amp;DN$11&amp;"'!B:R"),15,FALSE),"")</f>
        <v/>
      </c>
      <c r="DO183" s="96">
        <f>IFERROR(VLOOKUP($B183,INDIRECT("'GRD-"&amp;DO$11&amp;"'!B:R"),15,FALSE),"")</f>
        <v/>
      </c>
      <c r="DP183" s="96">
        <f>IFERROR(VLOOKUP($B183,INDIRECT("'GRD-"&amp;DP$11&amp;"'!B:R"),15,FALSE),"")</f>
        <v/>
      </c>
      <c r="DQ183" s="96">
        <f>IFERROR(VLOOKUP($B183,INDIRECT("'GRD-"&amp;DQ$11&amp;"'!B:R"),15,FALSE),"")</f>
        <v/>
      </c>
      <c r="DR183" s="96">
        <f>IFERROR(VLOOKUP($B183,INDIRECT("'GRD-"&amp;DR$11&amp;"'!B:R"),15,FALSE),"")</f>
        <v/>
      </c>
      <c r="DS183" s="96">
        <f>IFERROR(VLOOKUP($B183,INDIRECT("'GRD-"&amp;DS$11&amp;"'!B:R"),15,FALSE),"")</f>
        <v/>
      </c>
      <c r="DT183" s="96">
        <f>IFERROR(VLOOKUP($B183,INDIRECT("'GRD-"&amp;DT$11&amp;"'!B:R"),15,FALSE),"")</f>
        <v/>
      </c>
      <c r="DU183" s="96">
        <f>IFERROR(VLOOKUP($B183,INDIRECT("'GRD-"&amp;DU$11&amp;"'!B:R"),15,FALSE),"")</f>
        <v/>
      </c>
      <c r="DV183" s="96">
        <f>IFERROR(VLOOKUP($B183,INDIRECT("'GRD-"&amp;DV$11&amp;"'!B:R"),15,FALSE),"")</f>
        <v/>
      </c>
      <c r="DW183" s="96">
        <f>IFERROR(VLOOKUP($B183,INDIRECT("'GRD-"&amp;DW$11&amp;"'!B:R"),15,FALSE),"")</f>
        <v/>
      </c>
      <c r="DX183" s="96">
        <f>IFERROR(VLOOKUP($B183,INDIRECT("'GRD-"&amp;DX$11&amp;"'!B:R"),15,FALSE),"")</f>
        <v/>
      </c>
      <c r="DY183" s="96">
        <f>IFERROR(VLOOKUP($B183,INDIRECT("'GRD-"&amp;DY$11&amp;"'!B:R"),15,FALSE),"")</f>
        <v/>
      </c>
      <c r="DZ183" s="96">
        <f>IFERROR(VLOOKUP($B183,INDIRECT("'GRD-"&amp;DZ$11&amp;"'!B:R"),15,FALSE),"")</f>
        <v/>
      </c>
      <c r="EA183" s="96">
        <f>IFERROR(VLOOKUP($B183,INDIRECT("'GRD-"&amp;EA$11&amp;"'!B:R"),15,FALSE),"")</f>
        <v/>
      </c>
      <c r="EB183" s="96">
        <f>IFERROR(VLOOKUP($B183,INDIRECT("'GRD-"&amp;EB$11&amp;"'!B:R"),15,FALSE),"")</f>
        <v/>
      </c>
      <c r="EC183" s="96">
        <f>IFERROR(VLOOKUP($B183,INDIRECT("'GRD-"&amp;EC$11&amp;"'!B:R"),15,FALSE),"")</f>
        <v/>
      </c>
      <c r="ED183" s="96">
        <f>IFERROR(VLOOKUP($B183,INDIRECT("'GRD-"&amp;ED$11&amp;"'!B:R"),15,FALSE),"")</f>
        <v/>
      </c>
      <c r="EE183" s="96">
        <f>IFERROR(VLOOKUP($B183,INDIRECT("'GRD-"&amp;EE$11&amp;"'!B:R"),15,FALSE),"")</f>
        <v/>
      </c>
      <c r="EF183" s="96">
        <f>IFERROR(VLOOKUP($B183,INDIRECT("'GRD-"&amp;EF$11&amp;"'!B:R"),15,FALSE),"")</f>
        <v/>
      </c>
      <c r="EG183" s="96">
        <f>IFERROR(VLOOKUP($B183,INDIRECT("'GRD-"&amp;EG$11&amp;"'!B:R"),15,FALSE),"")</f>
        <v/>
      </c>
      <c r="EH183" s="96">
        <f>IFERROR(VLOOKUP($B183,INDIRECT("'GRD-"&amp;EH$11&amp;"'!B:R"),15,FALSE),"")</f>
        <v/>
      </c>
      <c r="EI183" s="96">
        <f>IFERROR(VLOOKUP($B183,INDIRECT("'GRD-"&amp;EI$11&amp;"'!B:R"),15,FALSE),"")</f>
        <v/>
      </c>
      <c r="EJ183" s="96">
        <f>IFERROR(VLOOKUP($B183,INDIRECT("'GRD-"&amp;EJ$11&amp;"'!B:R"),15,FALSE),"")</f>
        <v/>
      </c>
      <c r="EK183" s="96">
        <f>IFERROR(VLOOKUP($B183,INDIRECT("'GRD-"&amp;EK$11&amp;"'!B:R"),15,FALSE),"")</f>
        <v/>
      </c>
      <c r="EL183" s="96">
        <f>IFERROR(VLOOKUP($B183,INDIRECT("'GRD-"&amp;EL$11&amp;"'!B:R"),15,FALSE),"")</f>
        <v/>
      </c>
      <c r="EM183" s="96">
        <f>IFERROR(VLOOKUP($B183,INDIRECT("'GRD-"&amp;EM$11&amp;"'!B:R"),15,FALSE),"")</f>
        <v/>
      </c>
      <c r="EN183" s="96">
        <f>IFERROR(VLOOKUP($B183,INDIRECT("'GRD-"&amp;EN$11&amp;"'!B:R"),15,FALSE),"")</f>
        <v/>
      </c>
      <c r="EO183" s="96">
        <f>IFERROR(VLOOKUP($B183,INDIRECT("'GRD-"&amp;EO$11&amp;"'!B:R"),15,FALSE),"")</f>
        <v/>
      </c>
      <c r="EP183" s="96">
        <f>IFERROR(VLOOKUP($B183,INDIRECT("'GRD-"&amp;EP$11&amp;"'!B:R"),15,FALSE),"")</f>
        <v/>
      </c>
      <c r="EQ183" s="96">
        <f>IFERROR(VLOOKUP($B183,INDIRECT("'GRD-"&amp;EQ$11&amp;"'!B:R"),15,FALSE),"")</f>
        <v/>
      </c>
      <c r="ER183" s="96">
        <f>IFERROR(VLOOKUP($B183,INDIRECT("'GRD-"&amp;ER$11&amp;"'!B:R"),15,FALSE),"")</f>
        <v/>
      </c>
      <c r="ES183" s="96">
        <f>IFERROR(VLOOKUP($B183,INDIRECT("'GRD-"&amp;ES$11&amp;"'!B:R"),15,FALSE),"")</f>
        <v/>
      </c>
      <c r="ET183" s="96">
        <f>IFERROR(VLOOKUP($B183,INDIRECT("'GRD-"&amp;ET$11&amp;"'!B:R"),15,FALSE),"")</f>
        <v/>
      </c>
      <c r="EU183" s="96">
        <f>IFERROR(VLOOKUP($B183,INDIRECT("'GRD-"&amp;EU$11&amp;"'!B:R"),15,FALSE),"")</f>
        <v/>
      </c>
      <c r="EV183" s="96">
        <f>IFERROR(VLOOKUP($B183,INDIRECT("'GRD-"&amp;EV$11&amp;"'!B:R"),15,FALSE),"")</f>
        <v/>
      </c>
      <c r="EW183" s="96">
        <f>IFERROR(VLOOKUP($B183,INDIRECT("'GRD-"&amp;EW$11&amp;"'!B:R"),15,FALSE),"")</f>
        <v/>
      </c>
      <c r="EX183" s="96">
        <f>IFERROR(VLOOKUP($B183,INDIRECT("'GRD-"&amp;EX$11&amp;"'!B:R"),15,FALSE),"")</f>
        <v/>
      </c>
      <c r="EY183" s="96">
        <f>IFERROR(VLOOKUP($B183,INDIRECT("'GRD-"&amp;EY$11&amp;"'!B:R"),15,FALSE),"")</f>
        <v/>
      </c>
      <c r="EZ183" s="96">
        <f>IFERROR(VLOOKUP($B183,INDIRECT("'GRD-"&amp;EZ$11&amp;"'!B:R"),15,FALSE),"")</f>
        <v/>
      </c>
      <c r="FA183" s="96">
        <f>IFERROR(VLOOKUP($B183,INDIRECT("'GRD-"&amp;FA$11&amp;"'!B:R"),15,FALSE),"")</f>
        <v/>
      </c>
      <c r="FB183" s="96">
        <f>IFERROR(VLOOKUP($B183,INDIRECT("'GRD-"&amp;FB$11&amp;"'!B:R"),15,FALSE),"")</f>
        <v/>
      </c>
      <c r="FC183" s="96">
        <f>IFERROR(VLOOKUP($B183,INDIRECT("'GRD-"&amp;FC$11&amp;"'!B:R"),15,FALSE),"")</f>
        <v/>
      </c>
      <c r="FD183" s="96">
        <f>IFERROR(VLOOKUP($B183,INDIRECT("'GRD-"&amp;FD$11&amp;"'!B:R"),15,FALSE),"")</f>
        <v/>
      </c>
      <c r="FE183" s="96">
        <f>IFERROR(VLOOKUP($B183,INDIRECT("'GRD-"&amp;FE$11&amp;"'!B:R"),15,FALSE),"")</f>
        <v/>
      </c>
      <c r="FF183" s="96">
        <f>IFERROR(VLOOKUP($B183,INDIRECT("'GRD-"&amp;FF$11&amp;"'!B:R"),15,FALSE),"")</f>
        <v/>
      </c>
      <c r="FG183" s="96">
        <f>IFERROR(VLOOKUP($B183,INDIRECT("'GRD-"&amp;FG$11&amp;"'!B:R"),15,FALSE),"")</f>
        <v/>
      </c>
      <c r="FH183" s="96">
        <f>IFERROR(VLOOKUP($B183,INDIRECT("'GRD-"&amp;FH$11&amp;"'!B:R"),15,FALSE),"")</f>
        <v/>
      </c>
      <c r="FI183" s="96">
        <f>IFERROR(VLOOKUP($B183,INDIRECT("'GRD-"&amp;FI$11&amp;"'!B:R"),15,FALSE),"")</f>
        <v/>
      </c>
      <c r="FJ183" s="96">
        <f>IFERROR(VLOOKUP($B183,INDIRECT("'GRD-"&amp;FJ$11&amp;"'!B:R"),15,FALSE),"")</f>
        <v/>
      </c>
      <c r="FK183" s="96">
        <f>IFERROR(VLOOKUP($B183,INDIRECT("'GRD-"&amp;FK$11&amp;"'!B:R"),15,FALSE),"")</f>
        <v/>
      </c>
      <c r="FL183" s="96">
        <f>IFERROR(VLOOKUP($B183,INDIRECT("'GRD-"&amp;FL$11&amp;"'!B:R"),15,FALSE),"")</f>
        <v/>
      </c>
      <c r="FM183" s="96">
        <f>IFERROR(VLOOKUP($B183,INDIRECT("'GRD-"&amp;FM$11&amp;"'!B:R"),15,FALSE),"")</f>
        <v/>
      </c>
      <c r="FN183" s="96">
        <f>IFERROR(VLOOKUP($B183,INDIRECT("'GRD-"&amp;FN$11&amp;"'!B:R"),15,FALSE),"")</f>
        <v/>
      </c>
      <c r="FO183" s="96">
        <f>IFERROR(VLOOKUP($B183,INDIRECT("'GRD-"&amp;FO$11&amp;"'!B:R"),15,FALSE),"")</f>
        <v/>
      </c>
      <c r="FP183" s="96">
        <f>IFERROR(VLOOKUP($B183,INDIRECT("'GRD-"&amp;FP$11&amp;"'!B:R"),15,FALSE),"")</f>
        <v/>
      </c>
      <c r="FQ183" s="96">
        <f>IFERROR(VLOOKUP($B183,INDIRECT("'GRD-"&amp;FQ$11&amp;"'!B:R"),15,FALSE),"")</f>
        <v/>
      </c>
      <c r="FR183" s="96">
        <f>IFERROR(VLOOKUP($B183,INDIRECT("'GRD-"&amp;FR$11&amp;"'!B:R"),15,FALSE),"")</f>
        <v/>
      </c>
      <c r="FS183" s="96">
        <f>IFERROR(VLOOKUP($B183,INDIRECT("'GRD-"&amp;FS$11&amp;"'!B:R"),15,FALSE),"")</f>
        <v/>
      </c>
      <c r="FT183" s="96">
        <f>IFERROR(VLOOKUP($B183,INDIRECT("'GRD-"&amp;FT$11&amp;"'!B:R"),15,FALSE),"")</f>
        <v/>
      </c>
      <c r="FU183" s="96">
        <f>IFERROR(VLOOKUP($B183,INDIRECT("'GRD-"&amp;FU$11&amp;"'!B:R"),15,FALSE),"")</f>
        <v/>
      </c>
      <c r="FV183" s="96">
        <f>IFERROR(VLOOKUP($B183,INDIRECT("'GRD-"&amp;FV$11&amp;"'!B:R"),15,FALSE),"")</f>
        <v/>
      </c>
    </row>
    <row r="184">
      <c r="B184" s="85" t="n"/>
      <c r="C184" s="93" t="n"/>
      <c r="D184" s="73">
        <f>IF(K184="","",MAX($CA184:$FV184))</f>
        <v/>
      </c>
      <c r="E184" s="74">
        <f t="array" ref="E184">IF($K184="","",OFFSET($A$1,ROW($B184)-1,11+$D184*4,))</f>
        <v/>
      </c>
      <c r="F184" s="74">
        <f t="array" ref="F184">IF($K184="","",OFFSET($A$1,ROW($B184)-1,12+$D184*4,))</f>
        <v/>
      </c>
      <c r="G184" s="118">
        <f t="array" ref="G184">IF($K184="","",OFFSET($A$1,ROW($B184)-1,13+$D184*4,))</f>
        <v/>
      </c>
      <c r="H184" s="81" t="n"/>
      <c r="I184" s="82" t="n"/>
      <c r="J184" s="75">
        <f>IF(I184="A4",H184/8,IF(I184="A3",H184/4,IF(I184="A2",H184/2,IF(I184="A1",H184/1,IF(I184="A0",H184*2,"")))))</f>
        <v/>
      </c>
      <c r="K184" s="68">
        <f t="array" ref="K184">IFERROR(OFFSET($BZ$11,ROW($B184)-11,MATCH(K$10,$CA184:$FV184,0),),"")</f>
        <v/>
      </c>
      <c r="L184" s="85">
        <f>IF(K184="","",IF(VLOOKUP($B184,INDIRECT("'GRD-"&amp;M184&amp;"'!$B:$R"),16,FALSE)="","",VLOOKUP($B184,INDIRECT("'GRD-"&amp;M184&amp;"'!$B:$R"),16,FALSE)))</f>
        <v/>
      </c>
      <c r="M184" s="130">
        <f t="array" ref="M184">IF(K184="","",IFERROR(OFFSET($BZ$11,0,MATCH($K184,$CA184:$FV184,0),),""))</f>
        <v/>
      </c>
      <c r="N184" s="119">
        <f t="array" ref="N184">IF(K184="","",INDIRECT("'GRD-"&amp;M184&amp;"'!$L$7"))</f>
        <v/>
      </c>
      <c r="O184" s="76">
        <f t="array" ref="O184">IFERROR(OFFSET($BZ$11,ROW($B184)-11,MATCH(O$10,$CA184:$FV184,0),),"")</f>
        <v/>
      </c>
      <c r="P184" s="76">
        <f>IF(O184="","",IF(VLOOKUP($B184,INDIRECT("'GRD-"&amp;Q184&amp;"'!$B:$R"),16,FALSE)="","",VLOOKUP($B184,INDIRECT("'GRD-"&amp;Q184&amp;"'!$B:$R"),16,FALSE)))</f>
        <v/>
      </c>
      <c r="Q184" s="132">
        <f t="array" ref="Q184">IF(O184="","",IFERROR(OFFSET($BZ$11,0,MATCH($O184,$CA184:$FV184,0),),""))</f>
        <v/>
      </c>
      <c r="R184" s="121">
        <f t="array" ref="R184">IF(O184="","",INDIRECT("'GRD-"&amp;Q184&amp;"'!$L$7"))</f>
        <v/>
      </c>
      <c r="S184" s="83">
        <f t="array" ref="S184">IFERROR(OFFSET($BZ$11,ROW($B184)-11,MATCH(S$10,$CA184:$FV184,0),),"")</f>
        <v/>
      </c>
      <c r="T184" s="83">
        <f>IF(S184="","",IF(VLOOKUP($B184,INDIRECT("'GRD-"&amp;U184&amp;"'!$B:$R"),16,FALSE)="","",VLOOKUP($B184,INDIRECT("'GRD-"&amp;U184&amp;"'!$B:$R"),16,FALSE)))</f>
        <v/>
      </c>
      <c r="U184" s="128">
        <f t="array" ref="U184">IF(S184="","",IFERROR(OFFSET($BZ$11,0,MATCH($S184,$CA184:$FV184,0),),""))</f>
        <v/>
      </c>
      <c r="V184" s="133">
        <f t="array" ref="V184">IF(S184="","",INDIRECT("'GRD-"&amp;U184&amp;"'!$L$7"))</f>
        <v/>
      </c>
      <c r="W184" s="84">
        <f t="array" ref="W184">IFERROR(OFFSET($BZ$11,ROW($B184)-11,MATCH(W$10,$CA184:$FV184,0),),"")</f>
        <v/>
      </c>
      <c r="X184" s="84">
        <f>IF(W184="","",IF(VLOOKUP($B184,INDIRECT("'GRD-"&amp;Y184&amp;"'!$B:$R"),16,FALSE)="","",VLOOKUP($B184,INDIRECT("'GRD-"&amp;Y184&amp;"'!$B:$R"),16,FALSE)))</f>
        <v/>
      </c>
      <c r="Y184" s="129">
        <f t="array" ref="Y184">IF(W184="","",IFERROR(OFFSET($BZ$11,0,MATCH($W184,$CA184:$FV184,0),),""))</f>
        <v/>
      </c>
      <c r="Z184" s="134">
        <f t="array" ref="Z184">IF(W184="","",INDIRECT("'GRD-"&amp;Y184&amp;"'!$L$7"))</f>
        <v/>
      </c>
      <c r="AA184" s="85">
        <f t="array" ref="AA184">IFERROR(OFFSET($BZ$11,ROW($B184)-11,MATCH(AA$10,$CA184:$FV184,0),),"")</f>
        <v/>
      </c>
      <c r="AB184" s="85">
        <f>IF(AA184="","",IF(VLOOKUP($B184,INDIRECT("'GRD-"&amp;AC184&amp;"'!$B:$R"),16,FALSE)="","",VLOOKUP($B184,INDIRECT("'GRD-"&amp;AC184&amp;"'!$B:$R"),16,FALSE)))</f>
        <v/>
      </c>
      <c r="AC184" s="130">
        <f t="array" ref="AC184">IF(AA184="","",IFERROR(OFFSET($BZ$11,0,MATCH($AA184,$CA184:$FV184,0),),""))</f>
        <v/>
      </c>
      <c r="AD184" s="131">
        <f t="array" ref="AD184">IF(AA184="","",INDIRECT("'GRD-"&amp;AC184&amp;"'!$L$7"))</f>
        <v/>
      </c>
      <c r="AE184" s="76">
        <f t="array" ref="AE184">IFERROR(OFFSET($BZ$11,ROW($B184)-11,MATCH(AE$10,$CA184:$FV184,0),),"")</f>
        <v/>
      </c>
      <c r="AF184" s="76">
        <f>IF(AE184="","",IF(VLOOKUP($B184,INDIRECT("'GRD-"&amp;AG184&amp;"'!$B:$R"),16,FALSE)="","",VLOOKUP($B184,INDIRECT("'GRD-"&amp;AG184&amp;"'!$B:$R"),16,FALSE)))</f>
        <v/>
      </c>
      <c r="AG184" s="132">
        <f t="array" ref="AG184">IF(AE184="","",IFERROR(OFFSET($BZ$11,0,MATCH($AE184,$CA184:$FV184,0),),""))</f>
        <v/>
      </c>
      <c r="AH184" s="121">
        <f t="array" ref="AH184">IF(AE184="","",INDIRECT("'GRD-"&amp;AG184&amp;"'!$L$7"))</f>
        <v/>
      </c>
      <c r="AI184" s="83">
        <f t="array" ref="AI184">IFERROR(OFFSET($BZ$11,ROW($B184)-11,MATCH(AI$10,$CA184:$FV184,0),),"")</f>
        <v/>
      </c>
      <c r="AJ184" s="83">
        <f>IF(AI184="","",IF(VLOOKUP($B184,INDIRECT("'GRD-"&amp;AK184&amp;"'!$B:$R"),16,FALSE)="","",VLOOKUP($B184,INDIRECT("'GRD-"&amp;AK184&amp;"'!$B:$R"),16,FALSE)))</f>
        <v/>
      </c>
      <c r="AK184" s="128">
        <f t="array" ref="AK184">IF(AI184="","",IFERROR(OFFSET($BZ$11,0,MATCH($AI184,$CA184:$FV184,0),),""))</f>
        <v/>
      </c>
      <c r="AL184" s="133">
        <f t="array" ref="AL184">IF(AI184="","",INDIRECT("'GRD-"&amp;AK184&amp;"'!$L$7"))</f>
        <v/>
      </c>
      <c r="AM184" s="84">
        <f t="array" ref="AM184">IFERROR(OFFSET($BZ$11,ROW($B184)-11,MATCH(AM$10,$CA184:$FV184,0),),"")</f>
        <v/>
      </c>
      <c r="AN184" s="84">
        <f>IF(AM184="","",IF(VLOOKUP($B184,INDIRECT("'GRD-"&amp;AO184&amp;"'!$B:$R"),16,FALSE)="","",VLOOKUP($B184,INDIRECT("'GRD-"&amp;AO184&amp;"'!$B:$R"),16,FALSE)))</f>
        <v/>
      </c>
      <c r="AO184" s="129">
        <f t="array" ref="AO184">IF(AM184="","",IFERROR(OFFSET($BZ$11,0,MATCH($AM184,$CA184:$FV184,0),),""))</f>
        <v/>
      </c>
      <c r="AP184" s="134">
        <f t="array" ref="AP184">IF(AM184="","",INDIRECT("'GRD-"&amp;AO184&amp;"'!$L$7"))</f>
        <v/>
      </c>
      <c r="AQ184" s="85">
        <f t="array" ref="AQ184">IFERROR(OFFSET($BZ$11,ROW($B184)-11,MATCH(AQ$10,$CA184:$FV184,0),),"")</f>
        <v/>
      </c>
      <c r="AR184" s="85">
        <f>IF(AQ184="","",IF(VLOOKUP($B184,INDIRECT("'GRD-"&amp;AS184&amp;"'!$B:$R"),16,FALSE)="","",VLOOKUP($B184,INDIRECT("'GRD-"&amp;AS184&amp;"'!$B:$R"),16,FALSE)))</f>
        <v/>
      </c>
      <c r="AS184" s="130">
        <f t="array" ref="AS184">IF(AQ184="","",IFERROR(OFFSET($BZ$11,0,MATCH($AQ184,$CA184:$FV184,0),),""))</f>
        <v/>
      </c>
      <c r="AT184" s="131">
        <f t="array" ref="AT184">IF(AQ184="","",INDIRECT("'GRD-"&amp;AS184&amp;"'!$L$7"))</f>
        <v/>
      </c>
      <c r="AU184" s="76">
        <f t="array" ref="AU184">IFERROR(OFFSET($BZ$11,ROW($B184)-11,MATCH(AU$10,$CA184:$FV184,0),),"")</f>
        <v/>
      </c>
      <c r="AV184" s="76">
        <f>IF(AU184="","",IF(VLOOKUP($B184,INDIRECT("'GRD-"&amp;AW184&amp;"'!$B:$R"),16,FALSE)="","",VLOOKUP($B184,INDIRECT("'GRD-"&amp;AW184&amp;"'!$B:$R"),16,FALSE)))</f>
        <v/>
      </c>
      <c r="AW184" s="132">
        <f t="array" ref="AW184">IF(AU184="","",IFERROR(OFFSET($BZ$11,0,MATCH($AU184,$CA184:$FV184,0),),""))</f>
        <v/>
      </c>
      <c r="AX184" s="121">
        <f t="array" ref="AX184">IF(AU184="","",INDIRECT("'GRD-"&amp;AW184&amp;"'!$L$7"))</f>
        <v/>
      </c>
      <c r="AY184" s="83">
        <f t="array" ref="AY184">IFERROR(OFFSET($BZ$11,ROW($B184)-11,MATCH(AY$10,$CA184:$FV184,0),),"")</f>
        <v/>
      </c>
      <c r="AZ184" s="83">
        <f>IF(AY184="","",IF(VLOOKUP($B184,INDIRECT("'GRD-"&amp;BA184&amp;"'!$B:$R"),16,FALSE)="","",VLOOKUP($B184,INDIRECT("'GRD-"&amp;BA184&amp;"'!$B:$R"),16,FALSE)))</f>
        <v/>
      </c>
      <c r="BA184" s="128">
        <f t="array" ref="BA184">IF(AY184="","",IFERROR(OFFSET($BZ$11,0,MATCH($AY184,$CA184:$FV184,0),),""))</f>
        <v/>
      </c>
      <c r="BB184" s="133">
        <f t="array" ref="BB184">IF(AY184="","",INDIRECT("'GRD-"&amp;BA184&amp;"'!$L$7"))</f>
        <v/>
      </c>
      <c r="BC184" s="84">
        <f t="array" ref="BC184">IFERROR(OFFSET($BZ$11,ROW($B184)-11,MATCH(BC$10,$CA184:$FV184,0),),"")</f>
        <v/>
      </c>
      <c r="BD184" s="84">
        <f>IF(BC184="","",IF(VLOOKUP($B184,INDIRECT("'GRD-"&amp;BE184&amp;"'!$B:$R"),16,FALSE)="","",VLOOKUP($B184,INDIRECT("'GRD-"&amp;BE184&amp;"'!$B:$R"),16,FALSE)))</f>
        <v/>
      </c>
      <c r="BE184" s="129">
        <f t="array" ref="BE184">IF(BC184="","",IFERROR(OFFSET($BZ$11,0,MATCH($BC184,$CA184:$FV184,0),),""))</f>
        <v/>
      </c>
      <c r="BF184" s="134">
        <f t="array" ref="BF184">IF(BC184="","",INDIRECT("'GRD-"&amp;BE184&amp;"'!$L$7"))</f>
        <v/>
      </c>
      <c r="CA184" s="96">
        <f>IFERROR(VLOOKUP($B184,INDIRECT("'GRD-"&amp;CA$11&amp;"'!B:R"),15,FALSE),"")</f>
        <v/>
      </c>
      <c r="CB184" s="96">
        <f>IFERROR(VLOOKUP($B184,INDIRECT("'GRD-"&amp;CB$11&amp;"'!B:R"),15,FALSE),"")</f>
        <v/>
      </c>
      <c r="CC184" s="96">
        <f>IFERROR(VLOOKUP($B184,INDIRECT("'GRD-"&amp;CC$11&amp;"'!B:R"),15,FALSE),"")</f>
        <v/>
      </c>
      <c r="CD184" s="96">
        <f>IFERROR(VLOOKUP($B184,INDIRECT("'GRD-"&amp;CD$11&amp;"'!B:R"),15,FALSE),"")</f>
        <v/>
      </c>
      <c r="CE184" s="96">
        <f>IFERROR(VLOOKUP($B184,INDIRECT("'GRD-"&amp;CE$11&amp;"'!B:R"),15,FALSE),"")</f>
        <v/>
      </c>
      <c r="CF184" s="96">
        <f>IFERROR(VLOOKUP($B184,INDIRECT("'GRD-"&amp;CF$11&amp;"'!B:R"),15,FALSE),"")</f>
        <v/>
      </c>
      <c r="CG184" s="96">
        <f>IFERROR(VLOOKUP($B184,INDIRECT("'GRD-"&amp;CG$11&amp;"'!B:R"),15,FALSE),"")</f>
        <v/>
      </c>
      <c r="CH184" s="96">
        <f>IFERROR(VLOOKUP($B184,INDIRECT("'GRD-"&amp;CH$11&amp;"'!B:R"),15,FALSE),"")</f>
        <v/>
      </c>
      <c r="CI184" s="96">
        <f>IFERROR(VLOOKUP($B184,INDIRECT("'GRD-"&amp;CI$11&amp;"'!B:R"),15,FALSE),"")</f>
        <v/>
      </c>
      <c r="CJ184" s="96">
        <f>IFERROR(VLOOKUP($B184,INDIRECT("'GRD-"&amp;CJ$11&amp;"'!B:R"),15,FALSE),"")</f>
        <v/>
      </c>
      <c r="CK184" s="96">
        <f>IFERROR(VLOOKUP($B184,INDIRECT("'GRD-"&amp;CK$11&amp;"'!B:R"),15,FALSE),"")</f>
        <v/>
      </c>
      <c r="CL184" s="96">
        <f>IFERROR(VLOOKUP($B184,INDIRECT("'GRD-"&amp;CL$11&amp;"'!B:R"),15,FALSE),"")</f>
        <v/>
      </c>
      <c r="CM184" s="96">
        <f>IFERROR(VLOOKUP($B184,INDIRECT("'GRD-"&amp;CM$11&amp;"'!B:R"),15,FALSE),"")</f>
        <v/>
      </c>
      <c r="CN184" s="96">
        <f>IFERROR(VLOOKUP($B184,INDIRECT("'GRD-"&amp;CN$11&amp;"'!B:R"),15,FALSE),"")</f>
        <v/>
      </c>
      <c r="CO184" s="96">
        <f>IFERROR(VLOOKUP($B184,INDIRECT("'GRD-"&amp;CO$11&amp;"'!B:R"),15,FALSE),"")</f>
        <v/>
      </c>
      <c r="CP184" s="96">
        <f>IFERROR(VLOOKUP($B184,INDIRECT("'GRD-"&amp;CP$11&amp;"'!B:R"),15,FALSE),"")</f>
        <v/>
      </c>
      <c r="CQ184" s="96">
        <f>IFERROR(VLOOKUP($B184,INDIRECT("'GRD-"&amp;CQ$11&amp;"'!B:R"),15,FALSE),"")</f>
        <v/>
      </c>
      <c r="CR184" s="96">
        <f>IFERROR(VLOOKUP($B184,INDIRECT("'GRD-"&amp;CR$11&amp;"'!B:R"),15,FALSE),"")</f>
        <v/>
      </c>
      <c r="CS184" s="96">
        <f>IFERROR(VLOOKUP($B184,INDIRECT("'GRD-"&amp;CS$11&amp;"'!B:R"),15,FALSE),"")</f>
        <v/>
      </c>
      <c r="CT184" s="96">
        <f>IFERROR(VLOOKUP($B184,INDIRECT("'GRD-"&amp;CT$11&amp;"'!B:R"),15,FALSE),"")</f>
        <v/>
      </c>
      <c r="CU184" s="96">
        <f>IFERROR(VLOOKUP($B184,INDIRECT("'GRD-"&amp;CU$11&amp;"'!B:R"),15,FALSE),"")</f>
        <v/>
      </c>
      <c r="CV184" s="96">
        <f>IFERROR(VLOOKUP($B184,INDIRECT("'GRD-"&amp;CV$11&amp;"'!B:R"),15,FALSE),"")</f>
        <v/>
      </c>
      <c r="CW184" s="96">
        <f>IFERROR(VLOOKUP($B184,INDIRECT("'GRD-"&amp;CW$11&amp;"'!B:R"),15,FALSE),"")</f>
        <v/>
      </c>
      <c r="CX184" s="96">
        <f>IFERROR(VLOOKUP($B184,INDIRECT("'GRD-"&amp;CX$11&amp;"'!B:R"),15,FALSE),"")</f>
        <v/>
      </c>
      <c r="CY184" s="96">
        <f>IFERROR(VLOOKUP($B184,INDIRECT("'GRD-"&amp;CY$11&amp;"'!B:R"),15,FALSE),"")</f>
        <v/>
      </c>
      <c r="CZ184" s="96">
        <f>IFERROR(VLOOKUP($B184,INDIRECT("'GRD-"&amp;CZ$11&amp;"'!B:R"),15,FALSE),"")</f>
        <v/>
      </c>
      <c r="DA184" s="96">
        <f>IFERROR(VLOOKUP($B184,INDIRECT("'GRD-"&amp;DA$11&amp;"'!B:R"),15,FALSE),"")</f>
        <v/>
      </c>
      <c r="DB184" s="96">
        <f>IFERROR(VLOOKUP($B184,INDIRECT("'GRD-"&amp;DB$11&amp;"'!B:R"),15,FALSE),"")</f>
        <v/>
      </c>
      <c r="DC184" s="96">
        <f>IFERROR(VLOOKUP($B184,INDIRECT("'GRD-"&amp;DC$11&amp;"'!B:R"),15,FALSE),"")</f>
        <v/>
      </c>
      <c r="DD184" s="96">
        <f>IFERROR(VLOOKUP($B184,INDIRECT("'GRD-"&amp;DD$11&amp;"'!B:R"),15,FALSE),"")</f>
        <v/>
      </c>
      <c r="DE184" s="96">
        <f>IFERROR(VLOOKUP($B184,INDIRECT("'GRD-"&amp;DE$11&amp;"'!B:R"),15,FALSE),"")</f>
        <v/>
      </c>
      <c r="DF184" s="96">
        <f>IFERROR(VLOOKUP($B184,INDIRECT("'GRD-"&amp;DF$11&amp;"'!B:R"),15,FALSE),"")</f>
        <v/>
      </c>
      <c r="DG184" s="96">
        <f>IFERROR(VLOOKUP($B184,INDIRECT("'GRD-"&amp;DG$11&amp;"'!B:R"),15,FALSE),"")</f>
        <v/>
      </c>
      <c r="DH184" s="96">
        <f>IFERROR(VLOOKUP($B184,INDIRECT("'GRD-"&amp;DH$11&amp;"'!B:R"),15,FALSE),"")</f>
        <v/>
      </c>
      <c r="DI184" s="96">
        <f>IFERROR(VLOOKUP($B184,INDIRECT("'GRD-"&amp;DI$11&amp;"'!B:R"),15,FALSE),"")</f>
        <v/>
      </c>
      <c r="DJ184" s="96">
        <f>IFERROR(VLOOKUP($B184,INDIRECT("'GRD-"&amp;DJ$11&amp;"'!B:R"),15,FALSE),"")</f>
        <v/>
      </c>
      <c r="DK184" s="96">
        <f>IFERROR(VLOOKUP($B184,INDIRECT("'GRD-"&amp;DK$11&amp;"'!B:R"),15,FALSE),"")</f>
        <v/>
      </c>
      <c r="DL184" s="96">
        <f>IFERROR(VLOOKUP($B184,INDIRECT("'GRD-"&amp;DL$11&amp;"'!B:R"),15,FALSE),"")</f>
        <v/>
      </c>
      <c r="DM184" s="96">
        <f>IFERROR(VLOOKUP($B184,INDIRECT("'GRD-"&amp;DM$11&amp;"'!B:R"),15,FALSE),"")</f>
        <v/>
      </c>
      <c r="DN184" s="96">
        <f>IFERROR(VLOOKUP($B184,INDIRECT("'GRD-"&amp;DN$11&amp;"'!B:R"),15,FALSE),"")</f>
        <v/>
      </c>
      <c r="DO184" s="96">
        <f>IFERROR(VLOOKUP($B184,INDIRECT("'GRD-"&amp;DO$11&amp;"'!B:R"),15,FALSE),"")</f>
        <v/>
      </c>
      <c r="DP184" s="96">
        <f>IFERROR(VLOOKUP($B184,INDIRECT("'GRD-"&amp;DP$11&amp;"'!B:R"),15,FALSE),"")</f>
        <v/>
      </c>
      <c r="DQ184" s="96">
        <f>IFERROR(VLOOKUP($B184,INDIRECT("'GRD-"&amp;DQ$11&amp;"'!B:R"),15,FALSE),"")</f>
        <v/>
      </c>
      <c r="DR184" s="96">
        <f>IFERROR(VLOOKUP($B184,INDIRECT("'GRD-"&amp;DR$11&amp;"'!B:R"),15,FALSE),"")</f>
        <v/>
      </c>
      <c r="DS184" s="96">
        <f>IFERROR(VLOOKUP($B184,INDIRECT("'GRD-"&amp;DS$11&amp;"'!B:R"),15,FALSE),"")</f>
        <v/>
      </c>
      <c r="DT184" s="96">
        <f>IFERROR(VLOOKUP($B184,INDIRECT("'GRD-"&amp;DT$11&amp;"'!B:R"),15,FALSE),"")</f>
        <v/>
      </c>
      <c r="DU184" s="96">
        <f>IFERROR(VLOOKUP($B184,INDIRECT("'GRD-"&amp;DU$11&amp;"'!B:R"),15,FALSE),"")</f>
        <v/>
      </c>
      <c r="DV184" s="96">
        <f>IFERROR(VLOOKUP($B184,INDIRECT("'GRD-"&amp;DV$11&amp;"'!B:R"),15,FALSE),"")</f>
        <v/>
      </c>
      <c r="DW184" s="96">
        <f>IFERROR(VLOOKUP($B184,INDIRECT("'GRD-"&amp;DW$11&amp;"'!B:R"),15,FALSE),"")</f>
        <v/>
      </c>
      <c r="DX184" s="96">
        <f>IFERROR(VLOOKUP($B184,INDIRECT("'GRD-"&amp;DX$11&amp;"'!B:R"),15,FALSE),"")</f>
        <v/>
      </c>
      <c r="DY184" s="96">
        <f>IFERROR(VLOOKUP($B184,INDIRECT("'GRD-"&amp;DY$11&amp;"'!B:R"),15,FALSE),"")</f>
        <v/>
      </c>
      <c r="DZ184" s="96">
        <f>IFERROR(VLOOKUP($B184,INDIRECT("'GRD-"&amp;DZ$11&amp;"'!B:R"),15,FALSE),"")</f>
        <v/>
      </c>
      <c r="EA184" s="96">
        <f>IFERROR(VLOOKUP($B184,INDIRECT("'GRD-"&amp;EA$11&amp;"'!B:R"),15,FALSE),"")</f>
        <v/>
      </c>
      <c r="EB184" s="96">
        <f>IFERROR(VLOOKUP($B184,INDIRECT("'GRD-"&amp;EB$11&amp;"'!B:R"),15,FALSE),"")</f>
        <v/>
      </c>
      <c r="EC184" s="96">
        <f>IFERROR(VLOOKUP($B184,INDIRECT("'GRD-"&amp;EC$11&amp;"'!B:R"),15,FALSE),"")</f>
        <v/>
      </c>
      <c r="ED184" s="96">
        <f>IFERROR(VLOOKUP($B184,INDIRECT("'GRD-"&amp;ED$11&amp;"'!B:R"),15,FALSE),"")</f>
        <v/>
      </c>
      <c r="EE184" s="96">
        <f>IFERROR(VLOOKUP($B184,INDIRECT("'GRD-"&amp;EE$11&amp;"'!B:R"),15,FALSE),"")</f>
        <v/>
      </c>
      <c r="EF184" s="96">
        <f>IFERROR(VLOOKUP($B184,INDIRECT("'GRD-"&amp;EF$11&amp;"'!B:R"),15,FALSE),"")</f>
        <v/>
      </c>
      <c r="EG184" s="96">
        <f>IFERROR(VLOOKUP($B184,INDIRECT("'GRD-"&amp;EG$11&amp;"'!B:R"),15,FALSE),"")</f>
        <v/>
      </c>
      <c r="EH184" s="96">
        <f>IFERROR(VLOOKUP($B184,INDIRECT("'GRD-"&amp;EH$11&amp;"'!B:R"),15,FALSE),"")</f>
        <v/>
      </c>
      <c r="EI184" s="96">
        <f>IFERROR(VLOOKUP($B184,INDIRECT("'GRD-"&amp;EI$11&amp;"'!B:R"),15,FALSE),"")</f>
        <v/>
      </c>
      <c r="EJ184" s="96">
        <f>IFERROR(VLOOKUP($B184,INDIRECT("'GRD-"&amp;EJ$11&amp;"'!B:R"),15,FALSE),"")</f>
        <v/>
      </c>
      <c r="EK184" s="96">
        <f>IFERROR(VLOOKUP($B184,INDIRECT("'GRD-"&amp;EK$11&amp;"'!B:R"),15,FALSE),"")</f>
        <v/>
      </c>
      <c r="EL184" s="96">
        <f>IFERROR(VLOOKUP($B184,INDIRECT("'GRD-"&amp;EL$11&amp;"'!B:R"),15,FALSE),"")</f>
        <v/>
      </c>
      <c r="EM184" s="96">
        <f>IFERROR(VLOOKUP($B184,INDIRECT("'GRD-"&amp;EM$11&amp;"'!B:R"),15,FALSE),"")</f>
        <v/>
      </c>
      <c r="EN184" s="96">
        <f>IFERROR(VLOOKUP($B184,INDIRECT("'GRD-"&amp;EN$11&amp;"'!B:R"),15,FALSE),"")</f>
        <v/>
      </c>
      <c r="EO184" s="96">
        <f>IFERROR(VLOOKUP($B184,INDIRECT("'GRD-"&amp;EO$11&amp;"'!B:R"),15,FALSE),"")</f>
        <v/>
      </c>
      <c r="EP184" s="96">
        <f>IFERROR(VLOOKUP($B184,INDIRECT("'GRD-"&amp;EP$11&amp;"'!B:R"),15,FALSE),"")</f>
        <v/>
      </c>
      <c r="EQ184" s="96">
        <f>IFERROR(VLOOKUP($B184,INDIRECT("'GRD-"&amp;EQ$11&amp;"'!B:R"),15,FALSE),"")</f>
        <v/>
      </c>
      <c r="ER184" s="96">
        <f>IFERROR(VLOOKUP($B184,INDIRECT("'GRD-"&amp;ER$11&amp;"'!B:R"),15,FALSE),"")</f>
        <v/>
      </c>
      <c r="ES184" s="96">
        <f>IFERROR(VLOOKUP($B184,INDIRECT("'GRD-"&amp;ES$11&amp;"'!B:R"),15,FALSE),"")</f>
        <v/>
      </c>
      <c r="ET184" s="96">
        <f>IFERROR(VLOOKUP($B184,INDIRECT("'GRD-"&amp;ET$11&amp;"'!B:R"),15,FALSE),"")</f>
        <v/>
      </c>
      <c r="EU184" s="96">
        <f>IFERROR(VLOOKUP($B184,INDIRECT("'GRD-"&amp;EU$11&amp;"'!B:R"),15,FALSE),"")</f>
        <v/>
      </c>
      <c r="EV184" s="96">
        <f>IFERROR(VLOOKUP($B184,INDIRECT("'GRD-"&amp;EV$11&amp;"'!B:R"),15,FALSE),"")</f>
        <v/>
      </c>
      <c r="EW184" s="96">
        <f>IFERROR(VLOOKUP($B184,INDIRECT("'GRD-"&amp;EW$11&amp;"'!B:R"),15,FALSE),"")</f>
        <v/>
      </c>
      <c r="EX184" s="96">
        <f>IFERROR(VLOOKUP($B184,INDIRECT("'GRD-"&amp;EX$11&amp;"'!B:R"),15,FALSE),"")</f>
        <v/>
      </c>
      <c r="EY184" s="96">
        <f>IFERROR(VLOOKUP($B184,INDIRECT("'GRD-"&amp;EY$11&amp;"'!B:R"),15,FALSE),"")</f>
        <v/>
      </c>
      <c r="EZ184" s="96">
        <f>IFERROR(VLOOKUP($B184,INDIRECT("'GRD-"&amp;EZ$11&amp;"'!B:R"),15,FALSE),"")</f>
        <v/>
      </c>
      <c r="FA184" s="96">
        <f>IFERROR(VLOOKUP($B184,INDIRECT("'GRD-"&amp;FA$11&amp;"'!B:R"),15,FALSE),"")</f>
        <v/>
      </c>
      <c r="FB184" s="96">
        <f>IFERROR(VLOOKUP($B184,INDIRECT("'GRD-"&amp;FB$11&amp;"'!B:R"),15,FALSE),"")</f>
        <v/>
      </c>
      <c r="FC184" s="96">
        <f>IFERROR(VLOOKUP($B184,INDIRECT("'GRD-"&amp;FC$11&amp;"'!B:R"),15,FALSE),"")</f>
        <v/>
      </c>
      <c r="FD184" s="96">
        <f>IFERROR(VLOOKUP($B184,INDIRECT("'GRD-"&amp;FD$11&amp;"'!B:R"),15,FALSE),"")</f>
        <v/>
      </c>
      <c r="FE184" s="96">
        <f>IFERROR(VLOOKUP($B184,INDIRECT("'GRD-"&amp;FE$11&amp;"'!B:R"),15,FALSE),"")</f>
        <v/>
      </c>
      <c r="FF184" s="96">
        <f>IFERROR(VLOOKUP($B184,INDIRECT("'GRD-"&amp;FF$11&amp;"'!B:R"),15,FALSE),"")</f>
        <v/>
      </c>
      <c r="FG184" s="96">
        <f>IFERROR(VLOOKUP($B184,INDIRECT("'GRD-"&amp;FG$11&amp;"'!B:R"),15,FALSE),"")</f>
        <v/>
      </c>
      <c r="FH184" s="96">
        <f>IFERROR(VLOOKUP($B184,INDIRECT("'GRD-"&amp;FH$11&amp;"'!B:R"),15,FALSE),"")</f>
        <v/>
      </c>
      <c r="FI184" s="96">
        <f>IFERROR(VLOOKUP($B184,INDIRECT("'GRD-"&amp;FI$11&amp;"'!B:R"),15,FALSE),"")</f>
        <v/>
      </c>
      <c r="FJ184" s="96">
        <f>IFERROR(VLOOKUP($B184,INDIRECT("'GRD-"&amp;FJ$11&amp;"'!B:R"),15,FALSE),"")</f>
        <v/>
      </c>
      <c r="FK184" s="96">
        <f>IFERROR(VLOOKUP($B184,INDIRECT("'GRD-"&amp;FK$11&amp;"'!B:R"),15,FALSE),"")</f>
        <v/>
      </c>
      <c r="FL184" s="96">
        <f>IFERROR(VLOOKUP($B184,INDIRECT("'GRD-"&amp;FL$11&amp;"'!B:R"),15,FALSE),"")</f>
        <v/>
      </c>
      <c r="FM184" s="96">
        <f>IFERROR(VLOOKUP($B184,INDIRECT("'GRD-"&amp;FM$11&amp;"'!B:R"),15,FALSE),"")</f>
        <v/>
      </c>
      <c r="FN184" s="96">
        <f>IFERROR(VLOOKUP($B184,INDIRECT("'GRD-"&amp;FN$11&amp;"'!B:R"),15,FALSE),"")</f>
        <v/>
      </c>
      <c r="FO184" s="96">
        <f>IFERROR(VLOOKUP($B184,INDIRECT("'GRD-"&amp;FO$11&amp;"'!B:R"),15,FALSE),"")</f>
        <v/>
      </c>
      <c r="FP184" s="96">
        <f>IFERROR(VLOOKUP($B184,INDIRECT("'GRD-"&amp;FP$11&amp;"'!B:R"),15,FALSE),"")</f>
        <v/>
      </c>
      <c r="FQ184" s="96">
        <f>IFERROR(VLOOKUP($B184,INDIRECT("'GRD-"&amp;FQ$11&amp;"'!B:R"),15,FALSE),"")</f>
        <v/>
      </c>
      <c r="FR184" s="96">
        <f>IFERROR(VLOOKUP($B184,INDIRECT("'GRD-"&amp;FR$11&amp;"'!B:R"),15,FALSE),"")</f>
        <v/>
      </c>
      <c r="FS184" s="96">
        <f>IFERROR(VLOOKUP($B184,INDIRECT("'GRD-"&amp;FS$11&amp;"'!B:R"),15,FALSE),"")</f>
        <v/>
      </c>
      <c r="FT184" s="96">
        <f>IFERROR(VLOOKUP($B184,INDIRECT("'GRD-"&amp;FT$11&amp;"'!B:R"),15,FALSE),"")</f>
        <v/>
      </c>
      <c r="FU184" s="96">
        <f>IFERROR(VLOOKUP($B184,INDIRECT("'GRD-"&amp;FU$11&amp;"'!B:R"),15,FALSE),"")</f>
        <v/>
      </c>
      <c r="FV184" s="96">
        <f>IFERROR(VLOOKUP($B184,INDIRECT("'GRD-"&amp;FV$11&amp;"'!B:R"),15,FALSE),"")</f>
        <v/>
      </c>
    </row>
    <row r="185">
      <c r="B185" s="85" t="n"/>
      <c r="C185" s="93" t="n"/>
      <c r="D185" s="73">
        <f>IF(K185="","",MAX($CA185:$FV185))</f>
        <v/>
      </c>
      <c r="E185" s="74">
        <f t="array" ref="E185">IF($K185="","",OFFSET($A$1,ROW($B185)-1,11+$D185*4,))</f>
        <v/>
      </c>
      <c r="F185" s="74">
        <f t="array" ref="F185">IF($K185="","",OFFSET($A$1,ROW($B185)-1,12+$D185*4,))</f>
        <v/>
      </c>
      <c r="G185" s="118">
        <f t="array" ref="G185">IF($K185="","",OFFSET($A$1,ROW($B185)-1,13+$D185*4,))</f>
        <v/>
      </c>
      <c r="H185" s="81" t="n"/>
      <c r="I185" s="82" t="n"/>
      <c r="J185" s="75">
        <f>IF(I185="A4",H185/8,IF(I185="A3",H185/4,IF(I185="A2",H185/2,IF(I185="A1",H185/1,IF(I185="A0",H185*2,"")))))</f>
        <v/>
      </c>
      <c r="K185" s="68">
        <f t="array" ref="K185">IFERROR(OFFSET($BZ$11,ROW($B185)-11,MATCH(K$10,$CA185:$FV185,0),),"")</f>
        <v/>
      </c>
      <c r="L185" s="85">
        <f>IF(K185="","",IF(VLOOKUP($B185,INDIRECT("'GRD-"&amp;M185&amp;"'!$B:$R"),16,FALSE)="","",VLOOKUP($B185,INDIRECT("'GRD-"&amp;M185&amp;"'!$B:$R"),16,FALSE)))</f>
        <v/>
      </c>
      <c r="M185" s="130">
        <f t="array" ref="M185">IF(K185="","",IFERROR(OFFSET($BZ$11,0,MATCH($K185,$CA185:$FV185,0),),""))</f>
        <v/>
      </c>
      <c r="N185" s="119">
        <f t="array" ref="N185">IF(K185="","",INDIRECT("'GRD-"&amp;M185&amp;"'!$L$7"))</f>
        <v/>
      </c>
      <c r="O185" s="76">
        <f t="array" ref="O185">IFERROR(OFFSET($BZ$11,ROW($B185)-11,MATCH(O$10,$CA185:$FV185,0),),"")</f>
        <v/>
      </c>
      <c r="P185" s="76">
        <f>IF(O185="","",IF(VLOOKUP($B185,INDIRECT("'GRD-"&amp;Q185&amp;"'!$B:$R"),16,FALSE)="","",VLOOKUP($B185,INDIRECT("'GRD-"&amp;Q185&amp;"'!$B:$R"),16,FALSE)))</f>
        <v/>
      </c>
      <c r="Q185" s="132">
        <f t="array" ref="Q185">IF(O185="","",IFERROR(OFFSET($BZ$11,0,MATCH($O185,$CA185:$FV185,0),),""))</f>
        <v/>
      </c>
      <c r="R185" s="121">
        <f t="array" ref="R185">IF(O185="","",INDIRECT("'GRD-"&amp;Q185&amp;"'!$L$7"))</f>
        <v/>
      </c>
      <c r="S185" s="83">
        <f t="array" ref="S185">IFERROR(OFFSET($BZ$11,ROW($B185)-11,MATCH(S$10,$CA185:$FV185,0),),"")</f>
        <v/>
      </c>
      <c r="T185" s="83">
        <f>IF(S185="","",IF(VLOOKUP($B185,INDIRECT("'GRD-"&amp;U185&amp;"'!$B:$R"),16,FALSE)="","",VLOOKUP($B185,INDIRECT("'GRD-"&amp;U185&amp;"'!$B:$R"),16,FALSE)))</f>
        <v/>
      </c>
      <c r="U185" s="128">
        <f t="array" ref="U185">IF(S185="","",IFERROR(OFFSET($BZ$11,0,MATCH($S185,$CA185:$FV185,0),),""))</f>
        <v/>
      </c>
      <c r="V185" s="133">
        <f t="array" ref="V185">IF(S185="","",INDIRECT("'GRD-"&amp;U185&amp;"'!$L$7"))</f>
        <v/>
      </c>
      <c r="W185" s="84">
        <f t="array" ref="W185">IFERROR(OFFSET($BZ$11,ROW($B185)-11,MATCH(W$10,$CA185:$FV185,0),),"")</f>
        <v/>
      </c>
      <c r="X185" s="84">
        <f>IF(W185="","",IF(VLOOKUP($B185,INDIRECT("'GRD-"&amp;Y185&amp;"'!$B:$R"),16,FALSE)="","",VLOOKUP($B185,INDIRECT("'GRD-"&amp;Y185&amp;"'!$B:$R"),16,FALSE)))</f>
        <v/>
      </c>
      <c r="Y185" s="129">
        <f t="array" ref="Y185">IF(W185="","",IFERROR(OFFSET($BZ$11,0,MATCH($W185,$CA185:$FV185,0),),""))</f>
        <v/>
      </c>
      <c r="Z185" s="134">
        <f t="array" ref="Z185">IF(W185="","",INDIRECT("'GRD-"&amp;Y185&amp;"'!$L$7"))</f>
        <v/>
      </c>
      <c r="AA185" s="85">
        <f t="array" ref="AA185">IFERROR(OFFSET($BZ$11,ROW($B185)-11,MATCH(AA$10,$CA185:$FV185,0),),"")</f>
        <v/>
      </c>
      <c r="AB185" s="85">
        <f>IF(AA185="","",IF(VLOOKUP($B185,INDIRECT("'GRD-"&amp;AC185&amp;"'!$B:$R"),16,FALSE)="","",VLOOKUP($B185,INDIRECT("'GRD-"&amp;AC185&amp;"'!$B:$R"),16,FALSE)))</f>
        <v/>
      </c>
      <c r="AC185" s="130">
        <f t="array" ref="AC185">IF(AA185="","",IFERROR(OFFSET($BZ$11,0,MATCH($AA185,$CA185:$FV185,0),),""))</f>
        <v/>
      </c>
      <c r="AD185" s="131">
        <f t="array" ref="AD185">IF(AA185="","",INDIRECT("'GRD-"&amp;AC185&amp;"'!$L$7"))</f>
        <v/>
      </c>
      <c r="AE185" s="76">
        <f t="array" ref="AE185">IFERROR(OFFSET($BZ$11,ROW($B185)-11,MATCH(AE$10,$CA185:$FV185,0),),"")</f>
        <v/>
      </c>
      <c r="AF185" s="76">
        <f>IF(AE185="","",IF(VLOOKUP($B185,INDIRECT("'GRD-"&amp;AG185&amp;"'!$B:$R"),16,FALSE)="","",VLOOKUP($B185,INDIRECT("'GRD-"&amp;AG185&amp;"'!$B:$R"),16,FALSE)))</f>
        <v/>
      </c>
      <c r="AG185" s="132">
        <f t="array" ref="AG185">IF(AE185="","",IFERROR(OFFSET($BZ$11,0,MATCH($AE185,$CA185:$FV185,0),),""))</f>
        <v/>
      </c>
      <c r="AH185" s="121">
        <f t="array" ref="AH185">IF(AE185="","",INDIRECT("'GRD-"&amp;AG185&amp;"'!$L$7"))</f>
        <v/>
      </c>
      <c r="AI185" s="83">
        <f t="array" ref="AI185">IFERROR(OFFSET($BZ$11,ROW($B185)-11,MATCH(AI$10,$CA185:$FV185,0),),"")</f>
        <v/>
      </c>
      <c r="AJ185" s="83">
        <f>IF(AI185="","",IF(VLOOKUP($B185,INDIRECT("'GRD-"&amp;AK185&amp;"'!$B:$R"),16,FALSE)="","",VLOOKUP($B185,INDIRECT("'GRD-"&amp;AK185&amp;"'!$B:$R"),16,FALSE)))</f>
        <v/>
      </c>
      <c r="AK185" s="128">
        <f t="array" ref="AK185">IF(AI185="","",IFERROR(OFFSET($BZ$11,0,MATCH($AI185,$CA185:$FV185,0),),""))</f>
        <v/>
      </c>
      <c r="AL185" s="133">
        <f t="array" ref="AL185">IF(AI185="","",INDIRECT("'GRD-"&amp;AK185&amp;"'!$L$7"))</f>
        <v/>
      </c>
      <c r="AM185" s="84">
        <f t="array" ref="AM185">IFERROR(OFFSET($BZ$11,ROW($B185)-11,MATCH(AM$10,$CA185:$FV185,0),),"")</f>
        <v/>
      </c>
      <c r="AN185" s="84">
        <f>IF(AM185="","",IF(VLOOKUP($B185,INDIRECT("'GRD-"&amp;AO185&amp;"'!$B:$R"),16,FALSE)="","",VLOOKUP($B185,INDIRECT("'GRD-"&amp;AO185&amp;"'!$B:$R"),16,FALSE)))</f>
        <v/>
      </c>
      <c r="AO185" s="129">
        <f t="array" ref="AO185">IF(AM185="","",IFERROR(OFFSET($BZ$11,0,MATCH($AM185,$CA185:$FV185,0),),""))</f>
        <v/>
      </c>
      <c r="AP185" s="134">
        <f t="array" ref="AP185">IF(AM185="","",INDIRECT("'GRD-"&amp;AO185&amp;"'!$L$7"))</f>
        <v/>
      </c>
      <c r="AQ185" s="85">
        <f t="array" ref="AQ185">IFERROR(OFFSET($BZ$11,ROW($B185)-11,MATCH(AQ$10,$CA185:$FV185,0),),"")</f>
        <v/>
      </c>
      <c r="AR185" s="85">
        <f>IF(AQ185="","",IF(VLOOKUP($B185,INDIRECT("'GRD-"&amp;AS185&amp;"'!$B:$R"),16,FALSE)="","",VLOOKUP($B185,INDIRECT("'GRD-"&amp;AS185&amp;"'!$B:$R"),16,FALSE)))</f>
        <v/>
      </c>
      <c r="AS185" s="130">
        <f t="array" ref="AS185">IF(AQ185="","",IFERROR(OFFSET($BZ$11,0,MATCH($AQ185,$CA185:$FV185,0),),""))</f>
        <v/>
      </c>
      <c r="AT185" s="131">
        <f t="array" ref="AT185">IF(AQ185="","",INDIRECT("'GRD-"&amp;AS185&amp;"'!$L$7"))</f>
        <v/>
      </c>
      <c r="AU185" s="76">
        <f t="array" ref="AU185">IFERROR(OFFSET($BZ$11,ROW($B185)-11,MATCH(AU$10,$CA185:$FV185,0),),"")</f>
        <v/>
      </c>
      <c r="AV185" s="76">
        <f>IF(AU185="","",IF(VLOOKUP($B185,INDIRECT("'GRD-"&amp;AW185&amp;"'!$B:$R"),16,FALSE)="","",VLOOKUP($B185,INDIRECT("'GRD-"&amp;AW185&amp;"'!$B:$R"),16,FALSE)))</f>
        <v/>
      </c>
      <c r="AW185" s="132">
        <f t="array" ref="AW185">IF(AU185="","",IFERROR(OFFSET($BZ$11,0,MATCH($AU185,$CA185:$FV185,0),),""))</f>
        <v/>
      </c>
      <c r="AX185" s="121">
        <f t="array" ref="AX185">IF(AU185="","",INDIRECT("'GRD-"&amp;AW185&amp;"'!$L$7"))</f>
        <v/>
      </c>
      <c r="AY185" s="83">
        <f t="array" ref="AY185">IFERROR(OFFSET($BZ$11,ROW($B185)-11,MATCH(AY$10,$CA185:$FV185,0),),"")</f>
        <v/>
      </c>
      <c r="AZ185" s="83">
        <f>IF(AY185="","",IF(VLOOKUP($B185,INDIRECT("'GRD-"&amp;BA185&amp;"'!$B:$R"),16,FALSE)="","",VLOOKUP($B185,INDIRECT("'GRD-"&amp;BA185&amp;"'!$B:$R"),16,FALSE)))</f>
        <v/>
      </c>
      <c r="BA185" s="128">
        <f t="array" ref="BA185">IF(AY185="","",IFERROR(OFFSET($BZ$11,0,MATCH($AY185,$CA185:$FV185,0),),""))</f>
        <v/>
      </c>
      <c r="BB185" s="133">
        <f t="array" ref="BB185">IF(AY185="","",INDIRECT("'GRD-"&amp;BA185&amp;"'!$L$7"))</f>
        <v/>
      </c>
      <c r="BC185" s="84">
        <f t="array" ref="BC185">IFERROR(OFFSET($BZ$11,ROW($B185)-11,MATCH(BC$10,$CA185:$FV185,0),),"")</f>
        <v/>
      </c>
      <c r="BD185" s="84">
        <f>IF(BC185="","",IF(VLOOKUP($B185,INDIRECT("'GRD-"&amp;BE185&amp;"'!$B:$R"),16,FALSE)="","",VLOOKUP($B185,INDIRECT("'GRD-"&amp;BE185&amp;"'!$B:$R"),16,FALSE)))</f>
        <v/>
      </c>
      <c r="BE185" s="129">
        <f t="array" ref="BE185">IF(BC185="","",IFERROR(OFFSET($BZ$11,0,MATCH($BC185,$CA185:$FV185,0),),""))</f>
        <v/>
      </c>
      <c r="BF185" s="134">
        <f t="array" ref="BF185">IF(BC185="","",INDIRECT("'GRD-"&amp;BE185&amp;"'!$L$7"))</f>
        <v/>
      </c>
      <c r="CA185" s="96">
        <f>IFERROR(VLOOKUP($B185,INDIRECT("'GRD-"&amp;CA$11&amp;"'!B:R"),15,FALSE),"")</f>
        <v/>
      </c>
      <c r="CB185" s="96">
        <f>IFERROR(VLOOKUP($B185,INDIRECT("'GRD-"&amp;CB$11&amp;"'!B:R"),15,FALSE),"")</f>
        <v/>
      </c>
      <c r="CC185" s="96">
        <f>IFERROR(VLOOKUP($B185,INDIRECT("'GRD-"&amp;CC$11&amp;"'!B:R"),15,FALSE),"")</f>
        <v/>
      </c>
      <c r="CD185" s="96">
        <f>IFERROR(VLOOKUP($B185,INDIRECT("'GRD-"&amp;CD$11&amp;"'!B:R"),15,FALSE),"")</f>
        <v/>
      </c>
      <c r="CE185" s="96">
        <f>IFERROR(VLOOKUP($B185,INDIRECT("'GRD-"&amp;CE$11&amp;"'!B:R"),15,FALSE),"")</f>
        <v/>
      </c>
      <c r="CF185" s="96">
        <f>IFERROR(VLOOKUP($B185,INDIRECT("'GRD-"&amp;CF$11&amp;"'!B:R"),15,FALSE),"")</f>
        <v/>
      </c>
      <c r="CG185" s="96">
        <f>IFERROR(VLOOKUP($B185,INDIRECT("'GRD-"&amp;CG$11&amp;"'!B:R"),15,FALSE),"")</f>
        <v/>
      </c>
      <c r="CH185" s="96">
        <f>IFERROR(VLOOKUP($B185,INDIRECT("'GRD-"&amp;CH$11&amp;"'!B:R"),15,FALSE),"")</f>
        <v/>
      </c>
      <c r="CI185" s="96">
        <f>IFERROR(VLOOKUP($B185,INDIRECT("'GRD-"&amp;CI$11&amp;"'!B:R"),15,FALSE),"")</f>
        <v/>
      </c>
      <c r="CJ185" s="96">
        <f>IFERROR(VLOOKUP($B185,INDIRECT("'GRD-"&amp;CJ$11&amp;"'!B:R"),15,FALSE),"")</f>
        <v/>
      </c>
      <c r="CK185" s="96">
        <f>IFERROR(VLOOKUP($B185,INDIRECT("'GRD-"&amp;CK$11&amp;"'!B:R"),15,FALSE),"")</f>
        <v/>
      </c>
      <c r="CL185" s="96">
        <f>IFERROR(VLOOKUP($B185,INDIRECT("'GRD-"&amp;CL$11&amp;"'!B:R"),15,FALSE),"")</f>
        <v/>
      </c>
      <c r="CM185" s="96">
        <f>IFERROR(VLOOKUP($B185,INDIRECT("'GRD-"&amp;CM$11&amp;"'!B:R"),15,FALSE),"")</f>
        <v/>
      </c>
      <c r="CN185" s="96">
        <f>IFERROR(VLOOKUP($B185,INDIRECT("'GRD-"&amp;CN$11&amp;"'!B:R"),15,FALSE),"")</f>
        <v/>
      </c>
      <c r="CO185" s="96">
        <f>IFERROR(VLOOKUP($B185,INDIRECT("'GRD-"&amp;CO$11&amp;"'!B:R"),15,FALSE),"")</f>
        <v/>
      </c>
      <c r="CP185" s="96">
        <f>IFERROR(VLOOKUP($B185,INDIRECT("'GRD-"&amp;CP$11&amp;"'!B:R"),15,FALSE),"")</f>
        <v/>
      </c>
      <c r="CQ185" s="96">
        <f>IFERROR(VLOOKUP($B185,INDIRECT("'GRD-"&amp;CQ$11&amp;"'!B:R"),15,FALSE),"")</f>
        <v/>
      </c>
      <c r="CR185" s="96">
        <f>IFERROR(VLOOKUP($B185,INDIRECT("'GRD-"&amp;CR$11&amp;"'!B:R"),15,FALSE),"")</f>
        <v/>
      </c>
      <c r="CS185" s="96">
        <f>IFERROR(VLOOKUP($B185,INDIRECT("'GRD-"&amp;CS$11&amp;"'!B:R"),15,FALSE),"")</f>
        <v/>
      </c>
      <c r="CT185" s="96">
        <f>IFERROR(VLOOKUP($B185,INDIRECT("'GRD-"&amp;CT$11&amp;"'!B:R"),15,FALSE),"")</f>
        <v/>
      </c>
      <c r="CU185" s="96">
        <f>IFERROR(VLOOKUP($B185,INDIRECT("'GRD-"&amp;CU$11&amp;"'!B:R"),15,FALSE),"")</f>
        <v/>
      </c>
      <c r="CV185" s="96">
        <f>IFERROR(VLOOKUP($B185,INDIRECT("'GRD-"&amp;CV$11&amp;"'!B:R"),15,FALSE),"")</f>
        <v/>
      </c>
      <c r="CW185" s="96">
        <f>IFERROR(VLOOKUP($B185,INDIRECT("'GRD-"&amp;CW$11&amp;"'!B:R"),15,FALSE),"")</f>
        <v/>
      </c>
      <c r="CX185" s="96">
        <f>IFERROR(VLOOKUP($B185,INDIRECT("'GRD-"&amp;CX$11&amp;"'!B:R"),15,FALSE),"")</f>
        <v/>
      </c>
      <c r="CY185" s="96">
        <f>IFERROR(VLOOKUP($B185,INDIRECT("'GRD-"&amp;CY$11&amp;"'!B:R"),15,FALSE),"")</f>
        <v/>
      </c>
      <c r="CZ185" s="96">
        <f>IFERROR(VLOOKUP($B185,INDIRECT("'GRD-"&amp;CZ$11&amp;"'!B:R"),15,FALSE),"")</f>
        <v/>
      </c>
      <c r="DA185" s="96">
        <f>IFERROR(VLOOKUP($B185,INDIRECT("'GRD-"&amp;DA$11&amp;"'!B:R"),15,FALSE),"")</f>
        <v/>
      </c>
      <c r="DB185" s="96">
        <f>IFERROR(VLOOKUP($B185,INDIRECT("'GRD-"&amp;DB$11&amp;"'!B:R"),15,FALSE),"")</f>
        <v/>
      </c>
      <c r="DC185" s="96">
        <f>IFERROR(VLOOKUP($B185,INDIRECT("'GRD-"&amp;DC$11&amp;"'!B:R"),15,FALSE),"")</f>
        <v/>
      </c>
      <c r="DD185" s="96">
        <f>IFERROR(VLOOKUP($B185,INDIRECT("'GRD-"&amp;DD$11&amp;"'!B:R"),15,FALSE),"")</f>
        <v/>
      </c>
      <c r="DE185" s="96">
        <f>IFERROR(VLOOKUP($B185,INDIRECT("'GRD-"&amp;DE$11&amp;"'!B:R"),15,FALSE),"")</f>
        <v/>
      </c>
      <c r="DF185" s="96">
        <f>IFERROR(VLOOKUP($B185,INDIRECT("'GRD-"&amp;DF$11&amp;"'!B:R"),15,FALSE),"")</f>
        <v/>
      </c>
      <c r="DG185" s="96">
        <f>IFERROR(VLOOKUP($B185,INDIRECT("'GRD-"&amp;DG$11&amp;"'!B:R"),15,FALSE),"")</f>
        <v/>
      </c>
      <c r="DH185" s="96">
        <f>IFERROR(VLOOKUP($B185,INDIRECT("'GRD-"&amp;DH$11&amp;"'!B:R"),15,FALSE),"")</f>
        <v/>
      </c>
      <c r="DI185" s="96">
        <f>IFERROR(VLOOKUP($B185,INDIRECT("'GRD-"&amp;DI$11&amp;"'!B:R"),15,FALSE),"")</f>
        <v/>
      </c>
      <c r="DJ185" s="96">
        <f>IFERROR(VLOOKUP($B185,INDIRECT("'GRD-"&amp;DJ$11&amp;"'!B:R"),15,FALSE),"")</f>
        <v/>
      </c>
      <c r="DK185" s="96">
        <f>IFERROR(VLOOKUP($B185,INDIRECT("'GRD-"&amp;DK$11&amp;"'!B:R"),15,FALSE),"")</f>
        <v/>
      </c>
      <c r="DL185" s="96">
        <f>IFERROR(VLOOKUP($B185,INDIRECT("'GRD-"&amp;DL$11&amp;"'!B:R"),15,FALSE),"")</f>
        <v/>
      </c>
      <c r="DM185" s="96">
        <f>IFERROR(VLOOKUP($B185,INDIRECT("'GRD-"&amp;DM$11&amp;"'!B:R"),15,FALSE),"")</f>
        <v/>
      </c>
      <c r="DN185" s="96">
        <f>IFERROR(VLOOKUP($B185,INDIRECT("'GRD-"&amp;DN$11&amp;"'!B:R"),15,FALSE),"")</f>
        <v/>
      </c>
      <c r="DO185" s="96">
        <f>IFERROR(VLOOKUP($B185,INDIRECT("'GRD-"&amp;DO$11&amp;"'!B:R"),15,FALSE),"")</f>
        <v/>
      </c>
      <c r="DP185" s="96">
        <f>IFERROR(VLOOKUP($B185,INDIRECT("'GRD-"&amp;DP$11&amp;"'!B:R"),15,FALSE),"")</f>
        <v/>
      </c>
      <c r="DQ185" s="96">
        <f>IFERROR(VLOOKUP($B185,INDIRECT("'GRD-"&amp;DQ$11&amp;"'!B:R"),15,FALSE),"")</f>
        <v/>
      </c>
      <c r="DR185" s="96">
        <f>IFERROR(VLOOKUP($B185,INDIRECT("'GRD-"&amp;DR$11&amp;"'!B:R"),15,FALSE),"")</f>
        <v/>
      </c>
      <c r="DS185" s="96">
        <f>IFERROR(VLOOKUP($B185,INDIRECT("'GRD-"&amp;DS$11&amp;"'!B:R"),15,FALSE),"")</f>
        <v/>
      </c>
      <c r="DT185" s="96">
        <f>IFERROR(VLOOKUP($B185,INDIRECT("'GRD-"&amp;DT$11&amp;"'!B:R"),15,FALSE),"")</f>
        <v/>
      </c>
      <c r="DU185" s="96">
        <f>IFERROR(VLOOKUP($B185,INDIRECT("'GRD-"&amp;DU$11&amp;"'!B:R"),15,FALSE),"")</f>
        <v/>
      </c>
      <c r="DV185" s="96">
        <f>IFERROR(VLOOKUP($B185,INDIRECT("'GRD-"&amp;DV$11&amp;"'!B:R"),15,FALSE),"")</f>
        <v/>
      </c>
      <c r="DW185" s="96">
        <f>IFERROR(VLOOKUP($B185,INDIRECT("'GRD-"&amp;DW$11&amp;"'!B:R"),15,FALSE),"")</f>
        <v/>
      </c>
      <c r="DX185" s="96">
        <f>IFERROR(VLOOKUP($B185,INDIRECT("'GRD-"&amp;DX$11&amp;"'!B:R"),15,FALSE),"")</f>
        <v/>
      </c>
      <c r="DY185" s="96">
        <f>IFERROR(VLOOKUP($B185,INDIRECT("'GRD-"&amp;DY$11&amp;"'!B:R"),15,FALSE),"")</f>
        <v/>
      </c>
      <c r="DZ185" s="96">
        <f>IFERROR(VLOOKUP($B185,INDIRECT("'GRD-"&amp;DZ$11&amp;"'!B:R"),15,FALSE),"")</f>
        <v/>
      </c>
      <c r="EA185" s="96">
        <f>IFERROR(VLOOKUP($B185,INDIRECT("'GRD-"&amp;EA$11&amp;"'!B:R"),15,FALSE),"")</f>
        <v/>
      </c>
      <c r="EB185" s="96">
        <f>IFERROR(VLOOKUP($B185,INDIRECT("'GRD-"&amp;EB$11&amp;"'!B:R"),15,FALSE),"")</f>
        <v/>
      </c>
      <c r="EC185" s="96">
        <f>IFERROR(VLOOKUP($B185,INDIRECT("'GRD-"&amp;EC$11&amp;"'!B:R"),15,FALSE),"")</f>
        <v/>
      </c>
      <c r="ED185" s="96">
        <f>IFERROR(VLOOKUP($B185,INDIRECT("'GRD-"&amp;ED$11&amp;"'!B:R"),15,FALSE),"")</f>
        <v/>
      </c>
      <c r="EE185" s="96">
        <f>IFERROR(VLOOKUP($B185,INDIRECT("'GRD-"&amp;EE$11&amp;"'!B:R"),15,FALSE),"")</f>
        <v/>
      </c>
      <c r="EF185" s="96">
        <f>IFERROR(VLOOKUP($B185,INDIRECT("'GRD-"&amp;EF$11&amp;"'!B:R"),15,FALSE),"")</f>
        <v/>
      </c>
      <c r="EG185" s="96">
        <f>IFERROR(VLOOKUP($B185,INDIRECT("'GRD-"&amp;EG$11&amp;"'!B:R"),15,FALSE),"")</f>
        <v/>
      </c>
      <c r="EH185" s="96">
        <f>IFERROR(VLOOKUP($B185,INDIRECT("'GRD-"&amp;EH$11&amp;"'!B:R"),15,FALSE),"")</f>
        <v/>
      </c>
      <c r="EI185" s="96">
        <f>IFERROR(VLOOKUP($B185,INDIRECT("'GRD-"&amp;EI$11&amp;"'!B:R"),15,FALSE),"")</f>
        <v/>
      </c>
      <c r="EJ185" s="96">
        <f>IFERROR(VLOOKUP($B185,INDIRECT("'GRD-"&amp;EJ$11&amp;"'!B:R"),15,FALSE),"")</f>
        <v/>
      </c>
      <c r="EK185" s="96">
        <f>IFERROR(VLOOKUP($B185,INDIRECT("'GRD-"&amp;EK$11&amp;"'!B:R"),15,FALSE),"")</f>
        <v/>
      </c>
      <c r="EL185" s="96">
        <f>IFERROR(VLOOKUP($B185,INDIRECT("'GRD-"&amp;EL$11&amp;"'!B:R"),15,FALSE),"")</f>
        <v/>
      </c>
      <c r="EM185" s="96">
        <f>IFERROR(VLOOKUP($B185,INDIRECT("'GRD-"&amp;EM$11&amp;"'!B:R"),15,FALSE),"")</f>
        <v/>
      </c>
      <c r="EN185" s="96">
        <f>IFERROR(VLOOKUP($B185,INDIRECT("'GRD-"&amp;EN$11&amp;"'!B:R"),15,FALSE),"")</f>
        <v/>
      </c>
      <c r="EO185" s="96">
        <f>IFERROR(VLOOKUP($B185,INDIRECT("'GRD-"&amp;EO$11&amp;"'!B:R"),15,FALSE),"")</f>
        <v/>
      </c>
      <c r="EP185" s="96">
        <f>IFERROR(VLOOKUP($B185,INDIRECT("'GRD-"&amp;EP$11&amp;"'!B:R"),15,FALSE),"")</f>
        <v/>
      </c>
      <c r="EQ185" s="96">
        <f>IFERROR(VLOOKUP($B185,INDIRECT("'GRD-"&amp;EQ$11&amp;"'!B:R"),15,FALSE),"")</f>
        <v/>
      </c>
      <c r="ER185" s="96">
        <f>IFERROR(VLOOKUP($B185,INDIRECT("'GRD-"&amp;ER$11&amp;"'!B:R"),15,FALSE),"")</f>
        <v/>
      </c>
      <c r="ES185" s="96">
        <f>IFERROR(VLOOKUP($B185,INDIRECT("'GRD-"&amp;ES$11&amp;"'!B:R"),15,FALSE),"")</f>
        <v/>
      </c>
      <c r="ET185" s="96">
        <f>IFERROR(VLOOKUP($B185,INDIRECT("'GRD-"&amp;ET$11&amp;"'!B:R"),15,FALSE),"")</f>
        <v/>
      </c>
      <c r="EU185" s="96">
        <f>IFERROR(VLOOKUP($B185,INDIRECT("'GRD-"&amp;EU$11&amp;"'!B:R"),15,FALSE),"")</f>
        <v/>
      </c>
      <c r="EV185" s="96">
        <f>IFERROR(VLOOKUP($B185,INDIRECT("'GRD-"&amp;EV$11&amp;"'!B:R"),15,FALSE),"")</f>
        <v/>
      </c>
      <c r="EW185" s="96">
        <f>IFERROR(VLOOKUP($B185,INDIRECT("'GRD-"&amp;EW$11&amp;"'!B:R"),15,FALSE),"")</f>
        <v/>
      </c>
      <c r="EX185" s="96">
        <f>IFERROR(VLOOKUP($B185,INDIRECT("'GRD-"&amp;EX$11&amp;"'!B:R"),15,FALSE),"")</f>
        <v/>
      </c>
      <c r="EY185" s="96">
        <f>IFERROR(VLOOKUP($B185,INDIRECT("'GRD-"&amp;EY$11&amp;"'!B:R"),15,FALSE),"")</f>
        <v/>
      </c>
      <c r="EZ185" s="96">
        <f>IFERROR(VLOOKUP($B185,INDIRECT("'GRD-"&amp;EZ$11&amp;"'!B:R"),15,FALSE),"")</f>
        <v/>
      </c>
      <c r="FA185" s="96">
        <f>IFERROR(VLOOKUP($B185,INDIRECT("'GRD-"&amp;FA$11&amp;"'!B:R"),15,FALSE),"")</f>
        <v/>
      </c>
      <c r="FB185" s="96">
        <f>IFERROR(VLOOKUP($B185,INDIRECT("'GRD-"&amp;FB$11&amp;"'!B:R"),15,FALSE),"")</f>
        <v/>
      </c>
      <c r="FC185" s="96">
        <f>IFERROR(VLOOKUP($B185,INDIRECT("'GRD-"&amp;FC$11&amp;"'!B:R"),15,FALSE),"")</f>
        <v/>
      </c>
      <c r="FD185" s="96">
        <f>IFERROR(VLOOKUP($B185,INDIRECT("'GRD-"&amp;FD$11&amp;"'!B:R"),15,FALSE),"")</f>
        <v/>
      </c>
      <c r="FE185" s="96">
        <f>IFERROR(VLOOKUP($B185,INDIRECT("'GRD-"&amp;FE$11&amp;"'!B:R"),15,FALSE),"")</f>
        <v/>
      </c>
      <c r="FF185" s="96">
        <f>IFERROR(VLOOKUP($B185,INDIRECT("'GRD-"&amp;FF$11&amp;"'!B:R"),15,FALSE),"")</f>
        <v/>
      </c>
      <c r="FG185" s="96">
        <f>IFERROR(VLOOKUP($B185,INDIRECT("'GRD-"&amp;FG$11&amp;"'!B:R"),15,FALSE),"")</f>
        <v/>
      </c>
      <c r="FH185" s="96">
        <f>IFERROR(VLOOKUP($B185,INDIRECT("'GRD-"&amp;FH$11&amp;"'!B:R"),15,FALSE),"")</f>
        <v/>
      </c>
      <c r="FI185" s="96">
        <f>IFERROR(VLOOKUP($B185,INDIRECT("'GRD-"&amp;FI$11&amp;"'!B:R"),15,FALSE),"")</f>
        <v/>
      </c>
      <c r="FJ185" s="96">
        <f>IFERROR(VLOOKUP($B185,INDIRECT("'GRD-"&amp;FJ$11&amp;"'!B:R"),15,FALSE),"")</f>
        <v/>
      </c>
      <c r="FK185" s="96">
        <f>IFERROR(VLOOKUP($B185,INDIRECT("'GRD-"&amp;FK$11&amp;"'!B:R"),15,FALSE),"")</f>
        <v/>
      </c>
      <c r="FL185" s="96">
        <f>IFERROR(VLOOKUP($B185,INDIRECT("'GRD-"&amp;FL$11&amp;"'!B:R"),15,FALSE),"")</f>
        <v/>
      </c>
      <c r="FM185" s="96">
        <f>IFERROR(VLOOKUP($B185,INDIRECT("'GRD-"&amp;FM$11&amp;"'!B:R"),15,FALSE),"")</f>
        <v/>
      </c>
      <c r="FN185" s="96">
        <f>IFERROR(VLOOKUP($B185,INDIRECT("'GRD-"&amp;FN$11&amp;"'!B:R"),15,FALSE),"")</f>
        <v/>
      </c>
      <c r="FO185" s="96">
        <f>IFERROR(VLOOKUP($B185,INDIRECT("'GRD-"&amp;FO$11&amp;"'!B:R"),15,FALSE),"")</f>
        <v/>
      </c>
      <c r="FP185" s="96">
        <f>IFERROR(VLOOKUP($B185,INDIRECT("'GRD-"&amp;FP$11&amp;"'!B:R"),15,FALSE),"")</f>
        <v/>
      </c>
      <c r="FQ185" s="96">
        <f>IFERROR(VLOOKUP($B185,INDIRECT("'GRD-"&amp;FQ$11&amp;"'!B:R"),15,FALSE),"")</f>
        <v/>
      </c>
      <c r="FR185" s="96">
        <f>IFERROR(VLOOKUP($B185,INDIRECT("'GRD-"&amp;FR$11&amp;"'!B:R"),15,FALSE),"")</f>
        <v/>
      </c>
      <c r="FS185" s="96">
        <f>IFERROR(VLOOKUP($B185,INDIRECT("'GRD-"&amp;FS$11&amp;"'!B:R"),15,FALSE),"")</f>
        <v/>
      </c>
      <c r="FT185" s="96">
        <f>IFERROR(VLOOKUP($B185,INDIRECT("'GRD-"&amp;FT$11&amp;"'!B:R"),15,FALSE),"")</f>
        <v/>
      </c>
      <c r="FU185" s="96">
        <f>IFERROR(VLOOKUP($B185,INDIRECT("'GRD-"&amp;FU$11&amp;"'!B:R"),15,FALSE),"")</f>
        <v/>
      </c>
      <c r="FV185" s="96">
        <f>IFERROR(VLOOKUP($B185,INDIRECT("'GRD-"&amp;FV$11&amp;"'!B:R"),15,FALSE),"")</f>
        <v/>
      </c>
    </row>
    <row r="186">
      <c r="B186" s="85" t="n"/>
      <c r="C186" s="93" t="n"/>
      <c r="D186" s="73">
        <f>IF(K186="","",MAX($CA186:$FV186))</f>
        <v/>
      </c>
      <c r="E186" s="74">
        <f t="array" ref="E186">IF($K186="","",OFFSET($A$1,ROW($B186)-1,11+$D186*4,))</f>
        <v/>
      </c>
      <c r="F186" s="74">
        <f t="array" ref="F186">IF($K186="","",OFFSET($A$1,ROW($B186)-1,12+$D186*4,))</f>
        <v/>
      </c>
      <c r="G186" s="118">
        <f t="array" ref="G186">IF($K186="","",OFFSET($A$1,ROW($B186)-1,13+$D186*4,))</f>
        <v/>
      </c>
      <c r="H186" s="81" t="n"/>
      <c r="I186" s="82" t="n"/>
      <c r="J186" s="75">
        <f>IF(I186="A4",H186/8,IF(I186="A3",H186/4,IF(I186="A2",H186/2,IF(I186="A1",H186/1,IF(I186="A0",H186*2,"")))))</f>
        <v/>
      </c>
      <c r="K186" s="68">
        <f t="array" ref="K186">IFERROR(OFFSET($BZ$11,ROW($B186)-11,MATCH(K$10,$CA186:$FV186,0),),"")</f>
        <v/>
      </c>
      <c r="L186" s="85">
        <f>IF(K186="","",IF(VLOOKUP($B186,INDIRECT("'GRD-"&amp;M186&amp;"'!$B:$R"),16,FALSE)="","",VLOOKUP($B186,INDIRECT("'GRD-"&amp;M186&amp;"'!$B:$R"),16,FALSE)))</f>
        <v/>
      </c>
      <c r="M186" s="130">
        <f t="array" ref="M186">IF(K186="","",IFERROR(OFFSET($BZ$11,0,MATCH($K186,$CA186:$FV186,0),),""))</f>
        <v/>
      </c>
      <c r="N186" s="119">
        <f t="array" ref="N186">IF(K186="","",INDIRECT("'GRD-"&amp;M186&amp;"'!$L$7"))</f>
        <v/>
      </c>
      <c r="O186" s="76">
        <f t="array" ref="O186">IFERROR(OFFSET($BZ$11,ROW($B186)-11,MATCH(O$10,$CA186:$FV186,0),),"")</f>
        <v/>
      </c>
      <c r="P186" s="76">
        <f>IF(O186="","",IF(VLOOKUP($B186,INDIRECT("'GRD-"&amp;Q186&amp;"'!$B:$R"),16,FALSE)="","",VLOOKUP($B186,INDIRECT("'GRD-"&amp;Q186&amp;"'!$B:$R"),16,FALSE)))</f>
        <v/>
      </c>
      <c r="Q186" s="132">
        <f t="array" ref="Q186">IF(O186="","",IFERROR(OFFSET($BZ$11,0,MATCH($O186,$CA186:$FV186,0),),""))</f>
        <v/>
      </c>
      <c r="R186" s="121">
        <f t="array" ref="R186">IF(O186="","",INDIRECT("'GRD-"&amp;Q186&amp;"'!$L$7"))</f>
        <v/>
      </c>
      <c r="S186" s="83">
        <f t="array" ref="S186">IFERROR(OFFSET($BZ$11,ROW($B186)-11,MATCH(S$10,$CA186:$FV186,0),),"")</f>
        <v/>
      </c>
      <c r="T186" s="83">
        <f>IF(S186="","",IF(VLOOKUP($B186,INDIRECT("'GRD-"&amp;U186&amp;"'!$B:$R"),16,FALSE)="","",VLOOKUP($B186,INDIRECT("'GRD-"&amp;U186&amp;"'!$B:$R"),16,FALSE)))</f>
        <v/>
      </c>
      <c r="U186" s="128">
        <f t="array" ref="U186">IF(S186="","",IFERROR(OFFSET($BZ$11,0,MATCH($S186,$CA186:$FV186,0),),""))</f>
        <v/>
      </c>
      <c r="V186" s="133">
        <f t="array" ref="V186">IF(S186="","",INDIRECT("'GRD-"&amp;U186&amp;"'!$L$7"))</f>
        <v/>
      </c>
      <c r="W186" s="84">
        <f t="array" ref="W186">IFERROR(OFFSET($BZ$11,ROW($B186)-11,MATCH(W$10,$CA186:$FV186,0),),"")</f>
        <v/>
      </c>
      <c r="X186" s="84">
        <f>IF(W186="","",IF(VLOOKUP($B186,INDIRECT("'GRD-"&amp;Y186&amp;"'!$B:$R"),16,FALSE)="","",VLOOKUP($B186,INDIRECT("'GRD-"&amp;Y186&amp;"'!$B:$R"),16,FALSE)))</f>
        <v/>
      </c>
      <c r="Y186" s="129">
        <f t="array" ref="Y186">IF(W186="","",IFERROR(OFFSET($BZ$11,0,MATCH($W186,$CA186:$FV186,0),),""))</f>
        <v/>
      </c>
      <c r="Z186" s="134">
        <f t="array" ref="Z186">IF(W186="","",INDIRECT("'GRD-"&amp;Y186&amp;"'!$L$7"))</f>
        <v/>
      </c>
      <c r="AA186" s="85">
        <f t="array" ref="AA186">IFERROR(OFFSET($BZ$11,ROW($B186)-11,MATCH(AA$10,$CA186:$FV186,0),),"")</f>
        <v/>
      </c>
      <c r="AB186" s="85">
        <f>IF(AA186="","",IF(VLOOKUP($B186,INDIRECT("'GRD-"&amp;AC186&amp;"'!$B:$R"),16,FALSE)="","",VLOOKUP($B186,INDIRECT("'GRD-"&amp;AC186&amp;"'!$B:$R"),16,FALSE)))</f>
        <v/>
      </c>
      <c r="AC186" s="130">
        <f t="array" ref="AC186">IF(AA186="","",IFERROR(OFFSET($BZ$11,0,MATCH($AA186,$CA186:$FV186,0),),""))</f>
        <v/>
      </c>
      <c r="AD186" s="131">
        <f t="array" ref="AD186">IF(AA186="","",INDIRECT("'GRD-"&amp;AC186&amp;"'!$L$7"))</f>
        <v/>
      </c>
      <c r="AE186" s="76">
        <f t="array" ref="AE186">IFERROR(OFFSET($BZ$11,ROW($B186)-11,MATCH(AE$10,$CA186:$FV186,0),),"")</f>
        <v/>
      </c>
      <c r="AF186" s="76">
        <f>IF(AE186="","",IF(VLOOKUP($B186,INDIRECT("'GRD-"&amp;AG186&amp;"'!$B:$R"),16,FALSE)="","",VLOOKUP($B186,INDIRECT("'GRD-"&amp;AG186&amp;"'!$B:$R"),16,FALSE)))</f>
        <v/>
      </c>
      <c r="AG186" s="132">
        <f t="array" ref="AG186">IF(AE186="","",IFERROR(OFFSET($BZ$11,0,MATCH($AE186,$CA186:$FV186,0),),""))</f>
        <v/>
      </c>
      <c r="AH186" s="121">
        <f t="array" ref="AH186">IF(AE186="","",INDIRECT("'GRD-"&amp;AG186&amp;"'!$L$7"))</f>
        <v/>
      </c>
      <c r="AI186" s="83">
        <f t="array" ref="AI186">IFERROR(OFFSET($BZ$11,ROW($B186)-11,MATCH(AI$10,$CA186:$FV186,0),),"")</f>
        <v/>
      </c>
      <c r="AJ186" s="83">
        <f>IF(AI186="","",IF(VLOOKUP($B186,INDIRECT("'GRD-"&amp;AK186&amp;"'!$B:$R"),16,FALSE)="","",VLOOKUP($B186,INDIRECT("'GRD-"&amp;AK186&amp;"'!$B:$R"),16,FALSE)))</f>
        <v/>
      </c>
      <c r="AK186" s="128">
        <f t="array" ref="AK186">IF(AI186="","",IFERROR(OFFSET($BZ$11,0,MATCH($AI186,$CA186:$FV186,0),),""))</f>
        <v/>
      </c>
      <c r="AL186" s="133">
        <f t="array" ref="AL186">IF(AI186="","",INDIRECT("'GRD-"&amp;AK186&amp;"'!$L$7"))</f>
        <v/>
      </c>
      <c r="AM186" s="84">
        <f t="array" ref="AM186">IFERROR(OFFSET($BZ$11,ROW($B186)-11,MATCH(AM$10,$CA186:$FV186,0),),"")</f>
        <v/>
      </c>
      <c r="AN186" s="84">
        <f>IF(AM186="","",IF(VLOOKUP($B186,INDIRECT("'GRD-"&amp;AO186&amp;"'!$B:$R"),16,FALSE)="","",VLOOKUP($B186,INDIRECT("'GRD-"&amp;AO186&amp;"'!$B:$R"),16,FALSE)))</f>
        <v/>
      </c>
      <c r="AO186" s="129">
        <f t="array" ref="AO186">IF(AM186="","",IFERROR(OFFSET($BZ$11,0,MATCH($AM186,$CA186:$FV186,0),),""))</f>
        <v/>
      </c>
      <c r="AP186" s="134">
        <f t="array" ref="AP186">IF(AM186="","",INDIRECT("'GRD-"&amp;AO186&amp;"'!$L$7"))</f>
        <v/>
      </c>
      <c r="AQ186" s="85">
        <f t="array" ref="AQ186">IFERROR(OFFSET($BZ$11,ROW($B186)-11,MATCH(AQ$10,$CA186:$FV186,0),),"")</f>
        <v/>
      </c>
      <c r="AR186" s="85">
        <f>IF(AQ186="","",IF(VLOOKUP($B186,INDIRECT("'GRD-"&amp;AS186&amp;"'!$B:$R"),16,FALSE)="","",VLOOKUP($B186,INDIRECT("'GRD-"&amp;AS186&amp;"'!$B:$R"),16,FALSE)))</f>
        <v/>
      </c>
      <c r="AS186" s="130">
        <f t="array" ref="AS186">IF(AQ186="","",IFERROR(OFFSET($BZ$11,0,MATCH($AQ186,$CA186:$FV186,0),),""))</f>
        <v/>
      </c>
      <c r="AT186" s="131">
        <f t="array" ref="AT186">IF(AQ186="","",INDIRECT("'GRD-"&amp;AS186&amp;"'!$L$7"))</f>
        <v/>
      </c>
      <c r="AU186" s="76">
        <f t="array" ref="AU186">IFERROR(OFFSET($BZ$11,ROW($B186)-11,MATCH(AU$10,$CA186:$FV186,0),),"")</f>
        <v/>
      </c>
      <c r="AV186" s="76">
        <f>IF(AU186="","",IF(VLOOKUP($B186,INDIRECT("'GRD-"&amp;AW186&amp;"'!$B:$R"),16,FALSE)="","",VLOOKUP($B186,INDIRECT("'GRD-"&amp;AW186&amp;"'!$B:$R"),16,FALSE)))</f>
        <v/>
      </c>
      <c r="AW186" s="132">
        <f t="array" ref="AW186">IF(AU186="","",IFERROR(OFFSET($BZ$11,0,MATCH($AU186,$CA186:$FV186,0),),""))</f>
        <v/>
      </c>
      <c r="AX186" s="121">
        <f t="array" ref="AX186">IF(AU186="","",INDIRECT("'GRD-"&amp;AW186&amp;"'!$L$7"))</f>
        <v/>
      </c>
      <c r="AY186" s="83">
        <f t="array" ref="AY186">IFERROR(OFFSET($BZ$11,ROW($B186)-11,MATCH(AY$10,$CA186:$FV186,0),),"")</f>
        <v/>
      </c>
      <c r="AZ186" s="83">
        <f>IF(AY186="","",IF(VLOOKUP($B186,INDIRECT("'GRD-"&amp;BA186&amp;"'!$B:$R"),16,FALSE)="","",VLOOKUP($B186,INDIRECT("'GRD-"&amp;BA186&amp;"'!$B:$R"),16,FALSE)))</f>
        <v/>
      </c>
      <c r="BA186" s="128">
        <f t="array" ref="BA186">IF(AY186="","",IFERROR(OFFSET($BZ$11,0,MATCH($AY186,$CA186:$FV186,0),),""))</f>
        <v/>
      </c>
      <c r="BB186" s="133">
        <f t="array" ref="BB186">IF(AY186="","",INDIRECT("'GRD-"&amp;BA186&amp;"'!$L$7"))</f>
        <v/>
      </c>
      <c r="BC186" s="84">
        <f t="array" ref="BC186">IFERROR(OFFSET($BZ$11,ROW($B186)-11,MATCH(BC$10,$CA186:$FV186,0),),"")</f>
        <v/>
      </c>
      <c r="BD186" s="84">
        <f>IF(BC186="","",IF(VLOOKUP($B186,INDIRECT("'GRD-"&amp;BE186&amp;"'!$B:$R"),16,FALSE)="","",VLOOKUP($B186,INDIRECT("'GRD-"&amp;BE186&amp;"'!$B:$R"),16,FALSE)))</f>
        <v/>
      </c>
      <c r="BE186" s="129">
        <f t="array" ref="BE186">IF(BC186="","",IFERROR(OFFSET($BZ$11,0,MATCH($BC186,$CA186:$FV186,0),),""))</f>
        <v/>
      </c>
      <c r="BF186" s="134">
        <f t="array" ref="BF186">IF(BC186="","",INDIRECT("'GRD-"&amp;BE186&amp;"'!$L$7"))</f>
        <v/>
      </c>
      <c r="CA186" s="96">
        <f>IFERROR(VLOOKUP($B186,INDIRECT("'GRD-"&amp;CA$11&amp;"'!B:R"),15,FALSE),"")</f>
        <v/>
      </c>
      <c r="CB186" s="96">
        <f>IFERROR(VLOOKUP($B186,INDIRECT("'GRD-"&amp;CB$11&amp;"'!B:R"),15,FALSE),"")</f>
        <v/>
      </c>
      <c r="CC186" s="96">
        <f>IFERROR(VLOOKUP($B186,INDIRECT("'GRD-"&amp;CC$11&amp;"'!B:R"),15,FALSE),"")</f>
        <v/>
      </c>
      <c r="CD186" s="96">
        <f>IFERROR(VLOOKUP($B186,INDIRECT("'GRD-"&amp;CD$11&amp;"'!B:R"),15,FALSE),"")</f>
        <v/>
      </c>
      <c r="CE186" s="96">
        <f>IFERROR(VLOOKUP($B186,INDIRECT("'GRD-"&amp;CE$11&amp;"'!B:R"),15,FALSE),"")</f>
        <v/>
      </c>
      <c r="CF186" s="96">
        <f>IFERROR(VLOOKUP($B186,INDIRECT("'GRD-"&amp;CF$11&amp;"'!B:R"),15,FALSE),"")</f>
        <v/>
      </c>
      <c r="CG186" s="96">
        <f>IFERROR(VLOOKUP($B186,INDIRECT("'GRD-"&amp;CG$11&amp;"'!B:R"),15,FALSE),"")</f>
        <v/>
      </c>
      <c r="CH186" s="96">
        <f>IFERROR(VLOOKUP($B186,INDIRECT("'GRD-"&amp;CH$11&amp;"'!B:R"),15,FALSE),"")</f>
        <v/>
      </c>
      <c r="CI186" s="96">
        <f>IFERROR(VLOOKUP($B186,INDIRECT("'GRD-"&amp;CI$11&amp;"'!B:R"),15,FALSE),"")</f>
        <v/>
      </c>
      <c r="CJ186" s="96">
        <f>IFERROR(VLOOKUP($B186,INDIRECT("'GRD-"&amp;CJ$11&amp;"'!B:R"),15,FALSE),"")</f>
        <v/>
      </c>
      <c r="CK186" s="96">
        <f>IFERROR(VLOOKUP($B186,INDIRECT("'GRD-"&amp;CK$11&amp;"'!B:R"),15,FALSE),"")</f>
        <v/>
      </c>
      <c r="CL186" s="96">
        <f>IFERROR(VLOOKUP($B186,INDIRECT("'GRD-"&amp;CL$11&amp;"'!B:R"),15,FALSE),"")</f>
        <v/>
      </c>
      <c r="CM186" s="96">
        <f>IFERROR(VLOOKUP($B186,INDIRECT("'GRD-"&amp;CM$11&amp;"'!B:R"),15,FALSE),"")</f>
        <v/>
      </c>
      <c r="CN186" s="96">
        <f>IFERROR(VLOOKUP($B186,INDIRECT("'GRD-"&amp;CN$11&amp;"'!B:R"),15,FALSE),"")</f>
        <v/>
      </c>
      <c r="CO186" s="96">
        <f>IFERROR(VLOOKUP($B186,INDIRECT("'GRD-"&amp;CO$11&amp;"'!B:R"),15,FALSE),"")</f>
        <v/>
      </c>
      <c r="CP186" s="96">
        <f>IFERROR(VLOOKUP($B186,INDIRECT("'GRD-"&amp;CP$11&amp;"'!B:R"),15,FALSE),"")</f>
        <v/>
      </c>
      <c r="CQ186" s="96">
        <f>IFERROR(VLOOKUP($B186,INDIRECT("'GRD-"&amp;CQ$11&amp;"'!B:R"),15,FALSE),"")</f>
        <v/>
      </c>
      <c r="CR186" s="96">
        <f>IFERROR(VLOOKUP($B186,INDIRECT("'GRD-"&amp;CR$11&amp;"'!B:R"),15,FALSE),"")</f>
        <v/>
      </c>
      <c r="CS186" s="96">
        <f>IFERROR(VLOOKUP($B186,INDIRECT("'GRD-"&amp;CS$11&amp;"'!B:R"),15,FALSE),"")</f>
        <v/>
      </c>
      <c r="CT186" s="96">
        <f>IFERROR(VLOOKUP($B186,INDIRECT("'GRD-"&amp;CT$11&amp;"'!B:R"),15,FALSE),"")</f>
        <v/>
      </c>
      <c r="CU186" s="96">
        <f>IFERROR(VLOOKUP($B186,INDIRECT("'GRD-"&amp;CU$11&amp;"'!B:R"),15,FALSE),"")</f>
        <v/>
      </c>
      <c r="CV186" s="96">
        <f>IFERROR(VLOOKUP($B186,INDIRECT("'GRD-"&amp;CV$11&amp;"'!B:R"),15,FALSE),"")</f>
        <v/>
      </c>
      <c r="CW186" s="96">
        <f>IFERROR(VLOOKUP($B186,INDIRECT("'GRD-"&amp;CW$11&amp;"'!B:R"),15,FALSE),"")</f>
        <v/>
      </c>
      <c r="CX186" s="96">
        <f>IFERROR(VLOOKUP($B186,INDIRECT("'GRD-"&amp;CX$11&amp;"'!B:R"),15,FALSE),"")</f>
        <v/>
      </c>
      <c r="CY186" s="96">
        <f>IFERROR(VLOOKUP($B186,INDIRECT("'GRD-"&amp;CY$11&amp;"'!B:R"),15,FALSE),"")</f>
        <v/>
      </c>
      <c r="CZ186" s="96">
        <f>IFERROR(VLOOKUP($B186,INDIRECT("'GRD-"&amp;CZ$11&amp;"'!B:R"),15,FALSE),"")</f>
        <v/>
      </c>
      <c r="DA186" s="96">
        <f>IFERROR(VLOOKUP($B186,INDIRECT("'GRD-"&amp;DA$11&amp;"'!B:R"),15,FALSE),"")</f>
        <v/>
      </c>
      <c r="DB186" s="96">
        <f>IFERROR(VLOOKUP($B186,INDIRECT("'GRD-"&amp;DB$11&amp;"'!B:R"),15,FALSE),"")</f>
        <v/>
      </c>
      <c r="DC186" s="96">
        <f>IFERROR(VLOOKUP($B186,INDIRECT("'GRD-"&amp;DC$11&amp;"'!B:R"),15,FALSE),"")</f>
        <v/>
      </c>
      <c r="DD186" s="96">
        <f>IFERROR(VLOOKUP($B186,INDIRECT("'GRD-"&amp;DD$11&amp;"'!B:R"),15,FALSE),"")</f>
        <v/>
      </c>
      <c r="DE186" s="96">
        <f>IFERROR(VLOOKUP($B186,INDIRECT("'GRD-"&amp;DE$11&amp;"'!B:R"),15,FALSE),"")</f>
        <v/>
      </c>
      <c r="DF186" s="96">
        <f>IFERROR(VLOOKUP($B186,INDIRECT("'GRD-"&amp;DF$11&amp;"'!B:R"),15,FALSE),"")</f>
        <v/>
      </c>
      <c r="DG186" s="96">
        <f>IFERROR(VLOOKUP($B186,INDIRECT("'GRD-"&amp;DG$11&amp;"'!B:R"),15,FALSE),"")</f>
        <v/>
      </c>
      <c r="DH186" s="96">
        <f>IFERROR(VLOOKUP($B186,INDIRECT("'GRD-"&amp;DH$11&amp;"'!B:R"),15,FALSE),"")</f>
        <v/>
      </c>
      <c r="DI186" s="96">
        <f>IFERROR(VLOOKUP($B186,INDIRECT("'GRD-"&amp;DI$11&amp;"'!B:R"),15,FALSE),"")</f>
        <v/>
      </c>
      <c r="DJ186" s="96">
        <f>IFERROR(VLOOKUP($B186,INDIRECT("'GRD-"&amp;DJ$11&amp;"'!B:R"),15,FALSE),"")</f>
        <v/>
      </c>
      <c r="DK186" s="96">
        <f>IFERROR(VLOOKUP($B186,INDIRECT("'GRD-"&amp;DK$11&amp;"'!B:R"),15,FALSE),"")</f>
        <v/>
      </c>
      <c r="DL186" s="96">
        <f>IFERROR(VLOOKUP($B186,INDIRECT("'GRD-"&amp;DL$11&amp;"'!B:R"),15,FALSE),"")</f>
        <v/>
      </c>
      <c r="DM186" s="96">
        <f>IFERROR(VLOOKUP($B186,INDIRECT("'GRD-"&amp;DM$11&amp;"'!B:R"),15,FALSE),"")</f>
        <v/>
      </c>
      <c r="DN186" s="96">
        <f>IFERROR(VLOOKUP($B186,INDIRECT("'GRD-"&amp;DN$11&amp;"'!B:R"),15,FALSE),"")</f>
        <v/>
      </c>
      <c r="DO186" s="96">
        <f>IFERROR(VLOOKUP($B186,INDIRECT("'GRD-"&amp;DO$11&amp;"'!B:R"),15,FALSE),"")</f>
        <v/>
      </c>
      <c r="DP186" s="96">
        <f>IFERROR(VLOOKUP($B186,INDIRECT("'GRD-"&amp;DP$11&amp;"'!B:R"),15,FALSE),"")</f>
        <v/>
      </c>
      <c r="DQ186" s="96">
        <f>IFERROR(VLOOKUP($B186,INDIRECT("'GRD-"&amp;DQ$11&amp;"'!B:R"),15,FALSE),"")</f>
        <v/>
      </c>
      <c r="DR186" s="96">
        <f>IFERROR(VLOOKUP($B186,INDIRECT("'GRD-"&amp;DR$11&amp;"'!B:R"),15,FALSE),"")</f>
        <v/>
      </c>
      <c r="DS186" s="96">
        <f>IFERROR(VLOOKUP($B186,INDIRECT("'GRD-"&amp;DS$11&amp;"'!B:R"),15,FALSE),"")</f>
        <v/>
      </c>
      <c r="DT186" s="96">
        <f>IFERROR(VLOOKUP($B186,INDIRECT("'GRD-"&amp;DT$11&amp;"'!B:R"),15,FALSE),"")</f>
        <v/>
      </c>
      <c r="DU186" s="96">
        <f>IFERROR(VLOOKUP($B186,INDIRECT("'GRD-"&amp;DU$11&amp;"'!B:R"),15,FALSE),"")</f>
        <v/>
      </c>
      <c r="DV186" s="96">
        <f>IFERROR(VLOOKUP($B186,INDIRECT("'GRD-"&amp;DV$11&amp;"'!B:R"),15,FALSE),"")</f>
        <v/>
      </c>
      <c r="DW186" s="96">
        <f>IFERROR(VLOOKUP($B186,INDIRECT("'GRD-"&amp;DW$11&amp;"'!B:R"),15,FALSE),"")</f>
        <v/>
      </c>
      <c r="DX186" s="96">
        <f>IFERROR(VLOOKUP($B186,INDIRECT("'GRD-"&amp;DX$11&amp;"'!B:R"),15,FALSE),"")</f>
        <v/>
      </c>
      <c r="DY186" s="96">
        <f>IFERROR(VLOOKUP($B186,INDIRECT("'GRD-"&amp;DY$11&amp;"'!B:R"),15,FALSE),"")</f>
        <v/>
      </c>
      <c r="DZ186" s="96">
        <f>IFERROR(VLOOKUP($B186,INDIRECT("'GRD-"&amp;DZ$11&amp;"'!B:R"),15,FALSE),"")</f>
        <v/>
      </c>
      <c r="EA186" s="96">
        <f>IFERROR(VLOOKUP($B186,INDIRECT("'GRD-"&amp;EA$11&amp;"'!B:R"),15,FALSE),"")</f>
        <v/>
      </c>
      <c r="EB186" s="96">
        <f>IFERROR(VLOOKUP($B186,INDIRECT("'GRD-"&amp;EB$11&amp;"'!B:R"),15,FALSE),"")</f>
        <v/>
      </c>
      <c r="EC186" s="96">
        <f>IFERROR(VLOOKUP($B186,INDIRECT("'GRD-"&amp;EC$11&amp;"'!B:R"),15,FALSE),"")</f>
        <v/>
      </c>
      <c r="ED186" s="96">
        <f>IFERROR(VLOOKUP($B186,INDIRECT("'GRD-"&amp;ED$11&amp;"'!B:R"),15,FALSE),"")</f>
        <v/>
      </c>
      <c r="EE186" s="96">
        <f>IFERROR(VLOOKUP($B186,INDIRECT("'GRD-"&amp;EE$11&amp;"'!B:R"),15,FALSE),"")</f>
        <v/>
      </c>
      <c r="EF186" s="96">
        <f>IFERROR(VLOOKUP($B186,INDIRECT("'GRD-"&amp;EF$11&amp;"'!B:R"),15,FALSE),"")</f>
        <v/>
      </c>
      <c r="EG186" s="96">
        <f>IFERROR(VLOOKUP($B186,INDIRECT("'GRD-"&amp;EG$11&amp;"'!B:R"),15,FALSE),"")</f>
        <v/>
      </c>
      <c r="EH186" s="96">
        <f>IFERROR(VLOOKUP($B186,INDIRECT("'GRD-"&amp;EH$11&amp;"'!B:R"),15,FALSE),"")</f>
        <v/>
      </c>
      <c r="EI186" s="96">
        <f>IFERROR(VLOOKUP($B186,INDIRECT("'GRD-"&amp;EI$11&amp;"'!B:R"),15,FALSE),"")</f>
        <v/>
      </c>
      <c r="EJ186" s="96">
        <f>IFERROR(VLOOKUP($B186,INDIRECT("'GRD-"&amp;EJ$11&amp;"'!B:R"),15,FALSE),"")</f>
        <v/>
      </c>
      <c r="EK186" s="96">
        <f>IFERROR(VLOOKUP($B186,INDIRECT("'GRD-"&amp;EK$11&amp;"'!B:R"),15,FALSE),"")</f>
        <v/>
      </c>
      <c r="EL186" s="96">
        <f>IFERROR(VLOOKUP($B186,INDIRECT("'GRD-"&amp;EL$11&amp;"'!B:R"),15,FALSE),"")</f>
        <v/>
      </c>
      <c r="EM186" s="96">
        <f>IFERROR(VLOOKUP($B186,INDIRECT("'GRD-"&amp;EM$11&amp;"'!B:R"),15,FALSE),"")</f>
        <v/>
      </c>
      <c r="EN186" s="96">
        <f>IFERROR(VLOOKUP($B186,INDIRECT("'GRD-"&amp;EN$11&amp;"'!B:R"),15,FALSE),"")</f>
        <v/>
      </c>
      <c r="EO186" s="96">
        <f>IFERROR(VLOOKUP($B186,INDIRECT("'GRD-"&amp;EO$11&amp;"'!B:R"),15,FALSE),"")</f>
        <v/>
      </c>
      <c r="EP186" s="96">
        <f>IFERROR(VLOOKUP($B186,INDIRECT("'GRD-"&amp;EP$11&amp;"'!B:R"),15,FALSE),"")</f>
        <v/>
      </c>
      <c r="EQ186" s="96">
        <f>IFERROR(VLOOKUP($B186,INDIRECT("'GRD-"&amp;EQ$11&amp;"'!B:R"),15,FALSE),"")</f>
        <v/>
      </c>
      <c r="ER186" s="96">
        <f>IFERROR(VLOOKUP($B186,INDIRECT("'GRD-"&amp;ER$11&amp;"'!B:R"),15,FALSE),"")</f>
        <v/>
      </c>
      <c r="ES186" s="96">
        <f>IFERROR(VLOOKUP($B186,INDIRECT("'GRD-"&amp;ES$11&amp;"'!B:R"),15,FALSE),"")</f>
        <v/>
      </c>
      <c r="ET186" s="96">
        <f>IFERROR(VLOOKUP($B186,INDIRECT("'GRD-"&amp;ET$11&amp;"'!B:R"),15,FALSE),"")</f>
        <v/>
      </c>
      <c r="EU186" s="96">
        <f>IFERROR(VLOOKUP($B186,INDIRECT("'GRD-"&amp;EU$11&amp;"'!B:R"),15,FALSE),"")</f>
        <v/>
      </c>
      <c r="EV186" s="96">
        <f>IFERROR(VLOOKUP($B186,INDIRECT("'GRD-"&amp;EV$11&amp;"'!B:R"),15,FALSE),"")</f>
        <v/>
      </c>
      <c r="EW186" s="96">
        <f>IFERROR(VLOOKUP($B186,INDIRECT("'GRD-"&amp;EW$11&amp;"'!B:R"),15,FALSE),"")</f>
        <v/>
      </c>
      <c r="EX186" s="96">
        <f>IFERROR(VLOOKUP($B186,INDIRECT("'GRD-"&amp;EX$11&amp;"'!B:R"),15,FALSE),"")</f>
        <v/>
      </c>
      <c r="EY186" s="96">
        <f>IFERROR(VLOOKUP($B186,INDIRECT("'GRD-"&amp;EY$11&amp;"'!B:R"),15,FALSE),"")</f>
        <v/>
      </c>
      <c r="EZ186" s="96">
        <f>IFERROR(VLOOKUP($B186,INDIRECT("'GRD-"&amp;EZ$11&amp;"'!B:R"),15,FALSE),"")</f>
        <v/>
      </c>
      <c r="FA186" s="96">
        <f>IFERROR(VLOOKUP($B186,INDIRECT("'GRD-"&amp;FA$11&amp;"'!B:R"),15,FALSE),"")</f>
        <v/>
      </c>
      <c r="FB186" s="96">
        <f>IFERROR(VLOOKUP($B186,INDIRECT("'GRD-"&amp;FB$11&amp;"'!B:R"),15,FALSE),"")</f>
        <v/>
      </c>
      <c r="FC186" s="96">
        <f>IFERROR(VLOOKUP($B186,INDIRECT("'GRD-"&amp;FC$11&amp;"'!B:R"),15,FALSE),"")</f>
        <v/>
      </c>
      <c r="FD186" s="96">
        <f>IFERROR(VLOOKUP($B186,INDIRECT("'GRD-"&amp;FD$11&amp;"'!B:R"),15,FALSE),"")</f>
        <v/>
      </c>
      <c r="FE186" s="96">
        <f>IFERROR(VLOOKUP($B186,INDIRECT("'GRD-"&amp;FE$11&amp;"'!B:R"),15,FALSE),"")</f>
        <v/>
      </c>
      <c r="FF186" s="96">
        <f>IFERROR(VLOOKUP($B186,INDIRECT("'GRD-"&amp;FF$11&amp;"'!B:R"),15,FALSE),"")</f>
        <v/>
      </c>
      <c r="FG186" s="96">
        <f>IFERROR(VLOOKUP($B186,INDIRECT("'GRD-"&amp;FG$11&amp;"'!B:R"),15,FALSE),"")</f>
        <v/>
      </c>
      <c r="FH186" s="96">
        <f>IFERROR(VLOOKUP($B186,INDIRECT("'GRD-"&amp;FH$11&amp;"'!B:R"),15,FALSE),"")</f>
        <v/>
      </c>
      <c r="FI186" s="96">
        <f>IFERROR(VLOOKUP($B186,INDIRECT("'GRD-"&amp;FI$11&amp;"'!B:R"),15,FALSE),"")</f>
        <v/>
      </c>
      <c r="FJ186" s="96">
        <f>IFERROR(VLOOKUP($B186,INDIRECT("'GRD-"&amp;FJ$11&amp;"'!B:R"),15,FALSE),"")</f>
        <v/>
      </c>
      <c r="FK186" s="96">
        <f>IFERROR(VLOOKUP($B186,INDIRECT("'GRD-"&amp;FK$11&amp;"'!B:R"),15,FALSE),"")</f>
        <v/>
      </c>
      <c r="FL186" s="96">
        <f>IFERROR(VLOOKUP($B186,INDIRECT("'GRD-"&amp;FL$11&amp;"'!B:R"),15,FALSE),"")</f>
        <v/>
      </c>
      <c r="FM186" s="96">
        <f>IFERROR(VLOOKUP($B186,INDIRECT("'GRD-"&amp;FM$11&amp;"'!B:R"),15,FALSE),"")</f>
        <v/>
      </c>
      <c r="FN186" s="96">
        <f>IFERROR(VLOOKUP($B186,INDIRECT("'GRD-"&amp;FN$11&amp;"'!B:R"),15,FALSE),"")</f>
        <v/>
      </c>
      <c r="FO186" s="96">
        <f>IFERROR(VLOOKUP($B186,INDIRECT("'GRD-"&amp;FO$11&amp;"'!B:R"),15,FALSE),"")</f>
        <v/>
      </c>
      <c r="FP186" s="96">
        <f>IFERROR(VLOOKUP($B186,INDIRECT("'GRD-"&amp;FP$11&amp;"'!B:R"),15,FALSE),"")</f>
        <v/>
      </c>
      <c r="FQ186" s="96">
        <f>IFERROR(VLOOKUP($B186,INDIRECT("'GRD-"&amp;FQ$11&amp;"'!B:R"),15,FALSE),"")</f>
        <v/>
      </c>
      <c r="FR186" s="96">
        <f>IFERROR(VLOOKUP($B186,INDIRECT("'GRD-"&amp;FR$11&amp;"'!B:R"),15,FALSE),"")</f>
        <v/>
      </c>
      <c r="FS186" s="96">
        <f>IFERROR(VLOOKUP($B186,INDIRECT("'GRD-"&amp;FS$11&amp;"'!B:R"),15,FALSE),"")</f>
        <v/>
      </c>
      <c r="FT186" s="96">
        <f>IFERROR(VLOOKUP($B186,INDIRECT("'GRD-"&amp;FT$11&amp;"'!B:R"),15,FALSE),"")</f>
        <v/>
      </c>
      <c r="FU186" s="96">
        <f>IFERROR(VLOOKUP($B186,INDIRECT("'GRD-"&amp;FU$11&amp;"'!B:R"),15,FALSE),"")</f>
        <v/>
      </c>
      <c r="FV186" s="96">
        <f>IFERROR(VLOOKUP($B186,INDIRECT("'GRD-"&amp;FV$11&amp;"'!B:R"),15,FALSE),"")</f>
        <v/>
      </c>
    </row>
    <row r="187">
      <c r="B187" s="85" t="n"/>
      <c r="C187" s="93" t="n"/>
      <c r="D187" s="73">
        <f>IF(K187="","",MAX($CA187:$FV187))</f>
        <v/>
      </c>
      <c r="E187" s="74">
        <f t="array" ref="E187">IF($K187="","",OFFSET($A$1,ROW($B187)-1,11+$D187*4,))</f>
        <v/>
      </c>
      <c r="F187" s="74">
        <f t="array" ref="F187">IF($K187="","",OFFSET($A$1,ROW($B187)-1,12+$D187*4,))</f>
        <v/>
      </c>
      <c r="G187" s="118">
        <f t="array" ref="G187">IF($K187="","",OFFSET($A$1,ROW($B187)-1,13+$D187*4,))</f>
        <v/>
      </c>
      <c r="H187" s="81" t="n"/>
      <c r="I187" s="82" t="n"/>
      <c r="J187" s="75">
        <f>IF(I187="A4",H187/8,IF(I187="A3",H187/4,IF(I187="A2",H187/2,IF(I187="A1",H187/1,IF(I187="A0",H187*2,"")))))</f>
        <v/>
      </c>
      <c r="K187" s="68">
        <f t="array" ref="K187">IFERROR(OFFSET($BZ$11,ROW($B187)-11,MATCH(K$10,$CA187:$FV187,0),),"")</f>
        <v/>
      </c>
      <c r="L187" s="85">
        <f>IF(K187="","",IF(VLOOKUP($B187,INDIRECT("'GRD-"&amp;M187&amp;"'!$B:$R"),16,FALSE)="","",VLOOKUP($B187,INDIRECT("'GRD-"&amp;M187&amp;"'!$B:$R"),16,FALSE)))</f>
        <v/>
      </c>
      <c r="M187" s="130">
        <f t="array" ref="M187">IF(K187="","",IFERROR(OFFSET($BZ$11,0,MATCH($K187,$CA187:$FV187,0),),""))</f>
        <v/>
      </c>
      <c r="N187" s="119">
        <f t="array" ref="N187">IF(K187="","",INDIRECT("'GRD-"&amp;M187&amp;"'!$L$7"))</f>
        <v/>
      </c>
      <c r="O187" s="76">
        <f t="array" ref="O187">IFERROR(OFFSET($BZ$11,ROW($B187)-11,MATCH(O$10,$CA187:$FV187,0),),"")</f>
        <v/>
      </c>
      <c r="P187" s="76">
        <f>IF(O187="","",IF(VLOOKUP($B187,INDIRECT("'GRD-"&amp;Q187&amp;"'!$B:$R"),16,FALSE)="","",VLOOKUP($B187,INDIRECT("'GRD-"&amp;Q187&amp;"'!$B:$R"),16,FALSE)))</f>
        <v/>
      </c>
      <c r="Q187" s="132">
        <f t="array" ref="Q187">IF(O187="","",IFERROR(OFFSET($BZ$11,0,MATCH($O187,$CA187:$FV187,0),),""))</f>
        <v/>
      </c>
      <c r="R187" s="121">
        <f t="array" ref="R187">IF(O187="","",INDIRECT("'GRD-"&amp;Q187&amp;"'!$L$7"))</f>
        <v/>
      </c>
      <c r="S187" s="83">
        <f t="array" ref="S187">IFERROR(OFFSET($BZ$11,ROW($B187)-11,MATCH(S$10,$CA187:$FV187,0),),"")</f>
        <v/>
      </c>
      <c r="T187" s="83">
        <f>IF(S187="","",IF(VLOOKUP($B187,INDIRECT("'GRD-"&amp;U187&amp;"'!$B:$R"),16,FALSE)="","",VLOOKUP($B187,INDIRECT("'GRD-"&amp;U187&amp;"'!$B:$R"),16,FALSE)))</f>
        <v/>
      </c>
      <c r="U187" s="128">
        <f t="array" ref="U187">IF(S187="","",IFERROR(OFFSET($BZ$11,0,MATCH($S187,$CA187:$FV187,0),),""))</f>
        <v/>
      </c>
      <c r="V187" s="133">
        <f t="array" ref="V187">IF(S187="","",INDIRECT("'GRD-"&amp;U187&amp;"'!$L$7"))</f>
        <v/>
      </c>
      <c r="W187" s="84">
        <f t="array" ref="W187">IFERROR(OFFSET($BZ$11,ROW($B187)-11,MATCH(W$10,$CA187:$FV187,0),),"")</f>
        <v/>
      </c>
      <c r="X187" s="84">
        <f>IF(W187="","",IF(VLOOKUP($B187,INDIRECT("'GRD-"&amp;Y187&amp;"'!$B:$R"),16,FALSE)="","",VLOOKUP($B187,INDIRECT("'GRD-"&amp;Y187&amp;"'!$B:$R"),16,FALSE)))</f>
        <v/>
      </c>
      <c r="Y187" s="129">
        <f t="array" ref="Y187">IF(W187="","",IFERROR(OFFSET($BZ$11,0,MATCH($W187,$CA187:$FV187,0),),""))</f>
        <v/>
      </c>
      <c r="Z187" s="134">
        <f t="array" ref="Z187">IF(W187="","",INDIRECT("'GRD-"&amp;Y187&amp;"'!$L$7"))</f>
        <v/>
      </c>
      <c r="AA187" s="85">
        <f t="array" ref="AA187">IFERROR(OFFSET($BZ$11,ROW($B187)-11,MATCH(AA$10,$CA187:$FV187,0),),"")</f>
        <v/>
      </c>
      <c r="AB187" s="85">
        <f>IF(AA187="","",IF(VLOOKUP($B187,INDIRECT("'GRD-"&amp;AC187&amp;"'!$B:$R"),16,FALSE)="","",VLOOKUP($B187,INDIRECT("'GRD-"&amp;AC187&amp;"'!$B:$R"),16,FALSE)))</f>
        <v/>
      </c>
      <c r="AC187" s="130">
        <f t="array" ref="AC187">IF(AA187="","",IFERROR(OFFSET($BZ$11,0,MATCH($AA187,$CA187:$FV187,0),),""))</f>
        <v/>
      </c>
      <c r="AD187" s="131">
        <f t="array" ref="AD187">IF(AA187="","",INDIRECT("'GRD-"&amp;AC187&amp;"'!$L$7"))</f>
        <v/>
      </c>
      <c r="AE187" s="76">
        <f t="array" ref="AE187">IFERROR(OFFSET($BZ$11,ROW($B187)-11,MATCH(AE$10,$CA187:$FV187,0),),"")</f>
        <v/>
      </c>
      <c r="AF187" s="76">
        <f>IF(AE187="","",IF(VLOOKUP($B187,INDIRECT("'GRD-"&amp;AG187&amp;"'!$B:$R"),16,FALSE)="","",VLOOKUP($B187,INDIRECT("'GRD-"&amp;AG187&amp;"'!$B:$R"),16,FALSE)))</f>
        <v/>
      </c>
      <c r="AG187" s="132">
        <f t="array" ref="AG187">IF(AE187="","",IFERROR(OFFSET($BZ$11,0,MATCH($AE187,$CA187:$FV187,0),),""))</f>
        <v/>
      </c>
      <c r="AH187" s="121">
        <f t="array" ref="AH187">IF(AE187="","",INDIRECT("'GRD-"&amp;AG187&amp;"'!$L$7"))</f>
        <v/>
      </c>
      <c r="AI187" s="83">
        <f t="array" ref="AI187">IFERROR(OFFSET($BZ$11,ROW($B187)-11,MATCH(AI$10,$CA187:$FV187,0),),"")</f>
        <v/>
      </c>
      <c r="AJ187" s="83">
        <f>IF(AI187="","",IF(VLOOKUP($B187,INDIRECT("'GRD-"&amp;AK187&amp;"'!$B:$R"),16,FALSE)="","",VLOOKUP($B187,INDIRECT("'GRD-"&amp;AK187&amp;"'!$B:$R"),16,FALSE)))</f>
        <v/>
      </c>
      <c r="AK187" s="128">
        <f t="array" ref="AK187">IF(AI187="","",IFERROR(OFFSET($BZ$11,0,MATCH($AI187,$CA187:$FV187,0),),""))</f>
        <v/>
      </c>
      <c r="AL187" s="133">
        <f t="array" ref="AL187">IF(AI187="","",INDIRECT("'GRD-"&amp;AK187&amp;"'!$L$7"))</f>
        <v/>
      </c>
      <c r="AM187" s="84">
        <f t="array" ref="AM187">IFERROR(OFFSET($BZ$11,ROW($B187)-11,MATCH(AM$10,$CA187:$FV187,0),),"")</f>
        <v/>
      </c>
      <c r="AN187" s="84">
        <f>IF(AM187="","",IF(VLOOKUP($B187,INDIRECT("'GRD-"&amp;AO187&amp;"'!$B:$R"),16,FALSE)="","",VLOOKUP($B187,INDIRECT("'GRD-"&amp;AO187&amp;"'!$B:$R"),16,FALSE)))</f>
        <v/>
      </c>
      <c r="AO187" s="129">
        <f t="array" ref="AO187">IF(AM187="","",IFERROR(OFFSET($BZ$11,0,MATCH($AM187,$CA187:$FV187,0),),""))</f>
        <v/>
      </c>
      <c r="AP187" s="134">
        <f t="array" ref="AP187">IF(AM187="","",INDIRECT("'GRD-"&amp;AO187&amp;"'!$L$7"))</f>
        <v/>
      </c>
      <c r="AQ187" s="85">
        <f t="array" ref="AQ187">IFERROR(OFFSET($BZ$11,ROW($B187)-11,MATCH(AQ$10,$CA187:$FV187,0),),"")</f>
        <v/>
      </c>
      <c r="AR187" s="85">
        <f>IF(AQ187="","",IF(VLOOKUP($B187,INDIRECT("'GRD-"&amp;AS187&amp;"'!$B:$R"),16,FALSE)="","",VLOOKUP($B187,INDIRECT("'GRD-"&amp;AS187&amp;"'!$B:$R"),16,FALSE)))</f>
        <v/>
      </c>
      <c r="AS187" s="130">
        <f t="array" ref="AS187">IF(AQ187="","",IFERROR(OFFSET($BZ$11,0,MATCH($AQ187,$CA187:$FV187,0),),""))</f>
        <v/>
      </c>
      <c r="AT187" s="131">
        <f t="array" ref="AT187">IF(AQ187="","",INDIRECT("'GRD-"&amp;AS187&amp;"'!$L$7"))</f>
        <v/>
      </c>
      <c r="AU187" s="76">
        <f t="array" ref="AU187">IFERROR(OFFSET($BZ$11,ROW($B187)-11,MATCH(AU$10,$CA187:$FV187,0),),"")</f>
        <v/>
      </c>
      <c r="AV187" s="76">
        <f>IF(AU187="","",IF(VLOOKUP($B187,INDIRECT("'GRD-"&amp;AW187&amp;"'!$B:$R"),16,FALSE)="","",VLOOKUP($B187,INDIRECT("'GRD-"&amp;AW187&amp;"'!$B:$R"),16,FALSE)))</f>
        <v/>
      </c>
      <c r="AW187" s="132">
        <f t="array" ref="AW187">IF(AU187="","",IFERROR(OFFSET($BZ$11,0,MATCH($AU187,$CA187:$FV187,0),),""))</f>
        <v/>
      </c>
      <c r="AX187" s="121">
        <f t="array" ref="AX187">IF(AU187="","",INDIRECT("'GRD-"&amp;AW187&amp;"'!$L$7"))</f>
        <v/>
      </c>
      <c r="AY187" s="83">
        <f t="array" ref="AY187">IFERROR(OFFSET($BZ$11,ROW($B187)-11,MATCH(AY$10,$CA187:$FV187,0),),"")</f>
        <v/>
      </c>
      <c r="AZ187" s="83">
        <f>IF(AY187="","",IF(VLOOKUP($B187,INDIRECT("'GRD-"&amp;BA187&amp;"'!$B:$R"),16,FALSE)="","",VLOOKUP($B187,INDIRECT("'GRD-"&amp;BA187&amp;"'!$B:$R"),16,FALSE)))</f>
        <v/>
      </c>
      <c r="BA187" s="128">
        <f t="array" ref="BA187">IF(AY187="","",IFERROR(OFFSET($BZ$11,0,MATCH($AY187,$CA187:$FV187,0),),""))</f>
        <v/>
      </c>
      <c r="BB187" s="133">
        <f t="array" ref="BB187">IF(AY187="","",INDIRECT("'GRD-"&amp;BA187&amp;"'!$L$7"))</f>
        <v/>
      </c>
      <c r="BC187" s="84">
        <f t="array" ref="BC187">IFERROR(OFFSET($BZ$11,ROW($B187)-11,MATCH(BC$10,$CA187:$FV187,0),),"")</f>
        <v/>
      </c>
      <c r="BD187" s="84">
        <f>IF(BC187="","",IF(VLOOKUP($B187,INDIRECT("'GRD-"&amp;BE187&amp;"'!$B:$R"),16,FALSE)="","",VLOOKUP($B187,INDIRECT("'GRD-"&amp;BE187&amp;"'!$B:$R"),16,FALSE)))</f>
        <v/>
      </c>
      <c r="BE187" s="129">
        <f t="array" ref="BE187">IF(BC187="","",IFERROR(OFFSET($BZ$11,0,MATCH($BC187,$CA187:$FV187,0),),""))</f>
        <v/>
      </c>
      <c r="BF187" s="134">
        <f t="array" ref="BF187">IF(BC187="","",INDIRECT("'GRD-"&amp;BE187&amp;"'!$L$7"))</f>
        <v/>
      </c>
      <c r="CA187" s="96">
        <f>IFERROR(VLOOKUP($B187,INDIRECT("'GRD-"&amp;CA$11&amp;"'!B:R"),15,FALSE),"")</f>
        <v/>
      </c>
      <c r="CB187" s="96">
        <f>IFERROR(VLOOKUP($B187,INDIRECT("'GRD-"&amp;CB$11&amp;"'!B:R"),15,FALSE),"")</f>
        <v/>
      </c>
      <c r="CC187" s="96">
        <f>IFERROR(VLOOKUP($B187,INDIRECT("'GRD-"&amp;CC$11&amp;"'!B:R"),15,FALSE),"")</f>
        <v/>
      </c>
      <c r="CD187" s="96">
        <f>IFERROR(VLOOKUP($B187,INDIRECT("'GRD-"&amp;CD$11&amp;"'!B:R"),15,FALSE),"")</f>
        <v/>
      </c>
      <c r="CE187" s="96">
        <f>IFERROR(VLOOKUP($B187,INDIRECT("'GRD-"&amp;CE$11&amp;"'!B:R"),15,FALSE),"")</f>
        <v/>
      </c>
      <c r="CF187" s="96">
        <f>IFERROR(VLOOKUP($B187,INDIRECT("'GRD-"&amp;CF$11&amp;"'!B:R"),15,FALSE),"")</f>
        <v/>
      </c>
      <c r="CG187" s="96">
        <f>IFERROR(VLOOKUP($B187,INDIRECT("'GRD-"&amp;CG$11&amp;"'!B:R"),15,FALSE),"")</f>
        <v/>
      </c>
      <c r="CH187" s="96">
        <f>IFERROR(VLOOKUP($B187,INDIRECT("'GRD-"&amp;CH$11&amp;"'!B:R"),15,FALSE),"")</f>
        <v/>
      </c>
      <c r="CI187" s="96">
        <f>IFERROR(VLOOKUP($B187,INDIRECT("'GRD-"&amp;CI$11&amp;"'!B:R"),15,FALSE),"")</f>
        <v/>
      </c>
      <c r="CJ187" s="96">
        <f>IFERROR(VLOOKUP($B187,INDIRECT("'GRD-"&amp;CJ$11&amp;"'!B:R"),15,FALSE),"")</f>
        <v/>
      </c>
      <c r="CK187" s="96">
        <f>IFERROR(VLOOKUP($B187,INDIRECT("'GRD-"&amp;CK$11&amp;"'!B:R"),15,FALSE),"")</f>
        <v/>
      </c>
      <c r="CL187" s="96">
        <f>IFERROR(VLOOKUP($B187,INDIRECT("'GRD-"&amp;CL$11&amp;"'!B:R"),15,FALSE),"")</f>
        <v/>
      </c>
      <c r="CM187" s="96">
        <f>IFERROR(VLOOKUP($B187,INDIRECT("'GRD-"&amp;CM$11&amp;"'!B:R"),15,FALSE),"")</f>
        <v/>
      </c>
      <c r="CN187" s="96">
        <f>IFERROR(VLOOKUP($B187,INDIRECT("'GRD-"&amp;CN$11&amp;"'!B:R"),15,FALSE),"")</f>
        <v/>
      </c>
      <c r="CO187" s="96">
        <f>IFERROR(VLOOKUP($B187,INDIRECT("'GRD-"&amp;CO$11&amp;"'!B:R"),15,FALSE),"")</f>
        <v/>
      </c>
      <c r="CP187" s="96">
        <f>IFERROR(VLOOKUP($B187,INDIRECT("'GRD-"&amp;CP$11&amp;"'!B:R"),15,FALSE),"")</f>
        <v/>
      </c>
      <c r="CQ187" s="96">
        <f>IFERROR(VLOOKUP($B187,INDIRECT("'GRD-"&amp;CQ$11&amp;"'!B:R"),15,FALSE),"")</f>
        <v/>
      </c>
      <c r="CR187" s="96">
        <f>IFERROR(VLOOKUP($B187,INDIRECT("'GRD-"&amp;CR$11&amp;"'!B:R"),15,FALSE),"")</f>
        <v/>
      </c>
      <c r="CS187" s="96">
        <f>IFERROR(VLOOKUP($B187,INDIRECT("'GRD-"&amp;CS$11&amp;"'!B:R"),15,FALSE),"")</f>
        <v/>
      </c>
      <c r="CT187" s="96">
        <f>IFERROR(VLOOKUP($B187,INDIRECT("'GRD-"&amp;CT$11&amp;"'!B:R"),15,FALSE),"")</f>
        <v/>
      </c>
      <c r="CU187" s="96">
        <f>IFERROR(VLOOKUP($B187,INDIRECT("'GRD-"&amp;CU$11&amp;"'!B:R"),15,FALSE),"")</f>
        <v/>
      </c>
      <c r="CV187" s="96">
        <f>IFERROR(VLOOKUP($B187,INDIRECT("'GRD-"&amp;CV$11&amp;"'!B:R"),15,FALSE),"")</f>
        <v/>
      </c>
      <c r="CW187" s="96">
        <f>IFERROR(VLOOKUP($B187,INDIRECT("'GRD-"&amp;CW$11&amp;"'!B:R"),15,FALSE),"")</f>
        <v/>
      </c>
      <c r="CX187" s="96">
        <f>IFERROR(VLOOKUP($B187,INDIRECT("'GRD-"&amp;CX$11&amp;"'!B:R"),15,FALSE),"")</f>
        <v/>
      </c>
      <c r="CY187" s="96">
        <f>IFERROR(VLOOKUP($B187,INDIRECT("'GRD-"&amp;CY$11&amp;"'!B:R"),15,FALSE),"")</f>
        <v/>
      </c>
      <c r="CZ187" s="96">
        <f>IFERROR(VLOOKUP($B187,INDIRECT("'GRD-"&amp;CZ$11&amp;"'!B:R"),15,FALSE),"")</f>
        <v/>
      </c>
      <c r="DA187" s="96">
        <f>IFERROR(VLOOKUP($B187,INDIRECT("'GRD-"&amp;DA$11&amp;"'!B:R"),15,FALSE),"")</f>
        <v/>
      </c>
      <c r="DB187" s="96">
        <f>IFERROR(VLOOKUP($B187,INDIRECT("'GRD-"&amp;DB$11&amp;"'!B:R"),15,FALSE),"")</f>
        <v/>
      </c>
      <c r="DC187" s="96">
        <f>IFERROR(VLOOKUP($B187,INDIRECT("'GRD-"&amp;DC$11&amp;"'!B:R"),15,FALSE),"")</f>
        <v/>
      </c>
      <c r="DD187" s="96">
        <f>IFERROR(VLOOKUP($B187,INDIRECT("'GRD-"&amp;DD$11&amp;"'!B:R"),15,FALSE),"")</f>
        <v/>
      </c>
      <c r="DE187" s="96">
        <f>IFERROR(VLOOKUP($B187,INDIRECT("'GRD-"&amp;DE$11&amp;"'!B:R"),15,FALSE),"")</f>
        <v/>
      </c>
      <c r="DF187" s="96">
        <f>IFERROR(VLOOKUP($B187,INDIRECT("'GRD-"&amp;DF$11&amp;"'!B:R"),15,FALSE),"")</f>
        <v/>
      </c>
      <c r="DG187" s="96">
        <f>IFERROR(VLOOKUP($B187,INDIRECT("'GRD-"&amp;DG$11&amp;"'!B:R"),15,FALSE),"")</f>
        <v/>
      </c>
      <c r="DH187" s="96">
        <f>IFERROR(VLOOKUP($B187,INDIRECT("'GRD-"&amp;DH$11&amp;"'!B:R"),15,FALSE),"")</f>
        <v/>
      </c>
      <c r="DI187" s="96">
        <f>IFERROR(VLOOKUP($B187,INDIRECT("'GRD-"&amp;DI$11&amp;"'!B:R"),15,FALSE),"")</f>
        <v/>
      </c>
      <c r="DJ187" s="96">
        <f>IFERROR(VLOOKUP($B187,INDIRECT("'GRD-"&amp;DJ$11&amp;"'!B:R"),15,FALSE),"")</f>
        <v/>
      </c>
      <c r="DK187" s="96">
        <f>IFERROR(VLOOKUP($B187,INDIRECT("'GRD-"&amp;DK$11&amp;"'!B:R"),15,FALSE),"")</f>
        <v/>
      </c>
      <c r="DL187" s="96">
        <f>IFERROR(VLOOKUP($B187,INDIRECT("'GRD-"&amp;DL$11&amp;"'!B:R"),15,FALSE),"")</f>
        <v/>
      </c>
      <c r="DM187" s="96">
        <f>IFERROR(VLOOKUP($B187,INDIRECT("'GRD-"&amp;DM$11&amp;"'!B:R"),15,FALSE),"")</f>
        <v/>
      </c>
      <c r="DN187" s="96">
        <f>IFERROR(VLOOKUP($B187,INDIRECT("'GRD-"&amp;DN$11&amp;"'!B:R"),15,FALSE),"")</f>
        <v/>
      </c>
      <c r="DO187" s="96">
        <f>IFERROR(VLOOKUP($B187,INDIRECT("'GRD-"&amp;DO$11&amp;"'!B:R"),15,FALSE),"")</f>
        <v/>
      </c>
      <c r="DP187" s="96">
        <f>IFERROR(VLOOKUP($B187,INDIRECT("'GRD-"&amp;DP$11&amp;"'!B:R"),15,FALSE),"")</f>
        <v/>
      </c>
      <c r="DQ187" s="96">
        <f>IFERROR(VLOOKUP($B187,INDIRECT("'GRD-"&amp;DQ$11&amp;"'!B:R"),15,FALSE),"")</f>
        <v/>
      </c>
      <c r="DR187" s="96">
        <f>IFERROR(VLOOKUP($B187,INDIRECT("'GRD-"&amp;DR$11&amp;"'!B:R"),15,FALSE),"")</f>
        <v/>
      </c>
      <c r="DS187" s="96">
        <f>IFERROR(VLOOKUP($B187,INDIRECT("'GRD-"&amp;DS$11&amp;"'!B:R"),15,FALSE),"")</f>
        <v/>
      </c>
      <c r="DT187" s="96">
        <f>IFERROR(VLOOKUP($B187,INDIRECT("'GRD-"&amp;DT$11&amp;"'!B:R"),15,FALSE),"")</f>
        <v/>
      </c>
      <c r="DU187" s="96">
        <f>IFERROR(VLOOKUP($B187,INDIRECT("'GRD-"&amp;DU$11&amp;"'!B:R"),15,FALSE),"")</f>
        <v/>
      </c>
      <c r="DV187" s="96">
        <f>IFERROR(VLOOKUP($B187,INDIRECT("'GRD-"&amp;DV$11&amp;"'!B:R"),15,FALSE),"")</f>
        <v/>
      </c>
      <c r="DW187" s="96">
        <f>IFERROR(VLOOKUP($B187,INDIRECT("'GRD-"&amp;DW$11&amp;"'!B:R"),15,FALSE),"")</f>
        <v/>
      </c>
      <c r="DX187" s="96">
        <f>IFERROR(VLOOKUP($B187,INDIRECT("'GRD-"&amp;DX$11&amp;"'!B:R"),15,FALSE),"")</f>
        <v/>
      </c>
      <c r="DY187" s="96">
        <f>IFERROR(VLOOKUP($B187,INDIRECT("'GRD-"&amp;DY$11&amp;"'!B:R"),15,FALSE),"")</f>
        <v/>
      </c>
      <c r="DZ187" s="96">
        <f>IFERROR(VLOOKUP($B187,INDIRECT("'GRD-"&amp;DZ$11&amp;"'!B:R"),15,FALSE),"")</f>
        <v/>
      </c>
      <c r="EA187" s="96">
        <f>IFERROR(VLOOKUP($B187,INDIRECT("'GRD-"&amp;EA$11&amp;"'!B:R"),15,FALSE),"")</f>
        <v/>
      </c>
      <c r="EB187" s="96">
        <f>IFERROR(VLOOKUP($B187,INDIRECT("'GRD-"&amp;EB$11&amp;"'!B:R"),15,FALSE),"")</f>
        <v/>
      </c>
      <c r="EC187" s="96">
        <f>IFERROR(VLOOKUP($B187,INDIRECT("'GRD-"&amp;EC$11&amp;"'!B:R"),15,FALSE),"")</f>
        <v/>
      </c>
      <c r="ED187" s="96">
        <f>IFERROR(VLOOKUP($B187,INDIRECT("'GRD-"&amp;ED$11&amp;"'!B:R"),15,FALSE),"")</f>
        <v/>
      </c>
      <c r="EE187" s="96">
        <f>IFERROR(VLOOKUP($B187,INDIRECT("'GRD-"&amp;EE$11&amp;"'!B:R"),15,FALSE),"")</f>
        <v/>
      </c>
      <c r="EF187" s="96">
        <f>IFERROR(VLOOKUP($B187,INDIRECT("'GRD-"&amp;EF$11&amp;"'!B:R"),15,FALSE),"")</f>
        <v/>
      </c>
      <c r="EG187" s="96">
        <f>IFERROR(VLOOKUP($B187,INDIRECT("'GRD-"&amp;EG$11&amp;"'!B:R"),15,FALSE),"")</f>
        <v/>
      </c>
      <c r="EH187" s="96">
        <f>IFERROR(VLOOKUP($B187,INDIRECT("'GRD-"&amp;EH$11&amp;"'!B:R"),15,FALSE),"")</f>
        <v/>
      </c>
      <c r="EI187" s="96">
        <f>IFERROR(VLOOKUP($B187,INDIRECT("'GRD-"&amp;EI$11&amp;"'!B:R"),15,FALSE),"")</f>
        <v/>
      </c>
      <c r="EJ187" s="96">
        <f>IFERROR(VLOOKUP($B187,INDIRECT("'GRD-"&amp;EJ$11&amp;"'!B:R"),15,FALSE),"")</f>
        <v/>
      </c>
      <c r="EK187" s="96">
        <f>IFERROR(VLOOKUP($B187,INDIRECT("'GRD-"&amp;EK$11&amp;"'!B:R"),15,FALSE),"")</f>
        <v/>
      </c>
      <c r="EL187" s="96">
        <f>IFERROR(VLOOKUP($B187,INDIRECT("'GRD-"&amp;EL$11&amp;"'!B:R"),15,FALSE),"")</f>
        <v/>
      </c>
      <c r="EM187" s="96">
        <f>IFERROR(VLOOKUP($B187,INDIRECT("'GRD-"&amp;EM$11&amp;"'!B:R"),15,FALSE),"")</f>
        <v/>
      </c>
      <c r="EN187" s="96">
        <f>IFERROR(VLOOKUP($B187,INDIRECT("'GRD-"&amp;EN$11&amp;"'!B:R"),15,FALSE),"")</f>
        <v/>
      </c>
      <c r="EO187" s="96">
        <f>IFERROR(VLOOKUP($B187,INDIRECT("'GRD-"&amp;EO$11&amp;"'!B:R"),15,FALSE),"")</f>
        <v/>
      </c>
      <c r="EP187" s="96">
        <f>IFERROR(VLOOKUP($B187,INDIRECT("'GRD-"&amp;EP$11&amp;"'!B:R"),15,FALSE),"")</f>
        <v/>
      </c>
      <c r="EQ187" s="96">
        <f>IFERROR(VLOOKUP($B187,INDIRECT("'GRD-"&amp;EQ$11&amp;"'!B:R"),15,FALSE),"")</f>
        <v/>
      </c>
      <c r="ER187" s="96">
        <f>IFERROR(VLOOKUP($B187,INDIRECT("'GRD-"&amp;ER$11&amp;"'!B:R"),15,FALSE),"")</f>
        <v/>
      </c>
      <c r="ES187" s="96">
        <f>IFERROR(VLOOKUP($B187,INDIRECT("'GRD-"&amp;ES$11&amp;"'!B:R"),15,FALSE),"")</f>
        <v/>
      </c>
      <c r="ET187" s="96">
        <f>IFERROR(VLOOKUP($B187,INDIRECT("'GRD-"&amp;ET$11&amp;"'!B:R"),15,FALSE),"")</f>
        <v/>
      </c>
      <c r="EU187" s="96">
        <f>IFERROR(VLOOKUP($B187,INDIRECT("'GRD-"&amp;EU$11&amp;"'!B:R"),15,FALSE),"")</f>
        <v/>
      </c>
      <c r="EV187" s="96">
        <f>IFERROR(VLOOKUP($B187,INDIRECT("'GRD-"&amp;EV$11&amp;"'!B:R"),15,FALSE),"")</f>
        <v/>
      </c>
      <c r="EW187" s="96">
        <f>IFERROR(VLOOKUP($B187,INDIRECT("'GRD-"&amp;EW$11&amp;"'!B:R"),15,FALSE),"")</f>
        <v/>
      </c>
      <c r="EX187" s="96">
        <f>IFERROR(VLOOKUP($B187,INDIRECT("'GRD-"&amp;EX$11&amp;"'!B:R"),15,FALSE),"")</f>
        <v/>
      </c>
      <c r="EY187" s="96">
        <f>IFERROR(VLOOKUP($B187,INDIRECT("'GRD-"&amp;EY$11&amp;"'!B:R"),15,FALSE),"")</f>
        <v/>
      </c>
      <c r="EZ187" s="96">
        <f>IFERROR(VLOOKUP($B187,INDIRECT("'GRD-"&amp;EZ$11&amp;"'!B:R"),15,FALSE),"")</f>
        <v/>
      </c>
      <c r="FA187" s="96">
        <f>IFERROR(VLOOKUP($B187,INDIRECT("'GRD-"&amp;FA$11&amp;"'!B:R"),15,FALSE),"")</f>
        <v/>
      </c>
      <c r="FB187" s="96">
        <f>IFERROR(VLOOKUP($B187,INDIRECT("'GRD-"&amp;FB$11&amp;"'!B:R"),15,FALSE),"")</f>
        <v/>
      </c>
      <c r="FC187" s="96">
        <f>IFERROR(VLOOKUP($B187,INDIRECT("'GRD-"&amp;FC$11&amp;"'!B:R"),15,FALSE),"")</f>
        <v/>
      </c>
      <c r="FD187" s="96">
        <f>IFERROR(VLOOKUP($B187,INDIRECT("'GRD-"&amp;FD$11&amp;"'!B:R"),15,FALSE),"")</f>
        <v/>
      </c>
      <c r="FE187" s="96">
        <f>IFERROR(VLOOKUP($B187,INDIRECT("'GRD-"&amp;FE$11&amp;"'!B:R"),15,FALSE),"")</f>
        <v/>
      </c>
      <c r="FF187" s="96">
        <f>IFERROR(VLOOKUP($B187,INDIRECT("'GRD-"&amp;FF$11&amp;"'!B:R"),15,FALSE),"")</f>
        <v/>
      </c>
      <c r="FG187" s="96">
        <f>IFERROR(VLOOKUP($B187,INDIRECT("'GRD-"&amp;FG$11&amp;"'!B:R"),15,FALSE),"")</f>
        <v/>
      </c>
      <c r="FH187" s="96">
        <f>IFERROR(VLOOKUP($B187,INDIRECT("'GRD-"&amp;FH$11&amp;"'!B:R"),15,FALSE),"")</f>
        <v/>
      </c>
      <c r="FI187" s="96">
        <f>IFERROR(VLOOKUP($B187,INDIRECT("'GRD-"&amp;FI$11&amp;"'!B:R"),15,FALSE),"")</f>
        <v/>
      </c>
      <c r="FJ187" s="96">
        <f>IFERROR(VLOOKUP($B187,INDIRECT("'GRD-"&amp;FJ$11&amp;"'!B:R"),15,FALSE),"")</f>
        <v/>
      </c>
      <c r="FK187" s="96">
        <f>IFERROR(VLOOKUP($B187,INDIRECT("'GRD-"&amp;FK$11&amp;"'!B:R"),15,FALSE),"")</f>
        <v/>
      </c>
      <c r="FL187" s="96">
        <f>IFERROR(VLOOKUP($B187,INDIRECT("'GRD-"&amp;FL$11&amp;"'!B:R"),15,FALSE),"")</f>
        <v/>
      </c>
      <c r="FM187" s="96">
        <f>IFERROR(VLOOKUP($B187,INDIRECT("'GRD-"&amp;FM$11&amp;"'!B:R"),15,FALSE),"")</f>
        <v/>
      </c>
      <c r="FN187" s="96">
        <f>IFERROR(VLOOKUP($B187,INDIRECT("'GRD-"&amp;FN$11&amp;"'!B:R"),15,FALSE),"")</f>
        <v/>
      </c>
      <c r="FO187" s="96">
        <f>IFERROR(VLOOKUP($B187,INDIRECT("'GRD-"&amp;FO$11&amp;"'!B:R"),15,FALSE),"")</f>
        <v/>
      </c>
      <c r="FP187" s="96">
        <f>IFERROR(VLOOKUP($B187,INDIRECT("'GRD-"&amp;FP$11&amp;"'!B:R"),15,FALSE),"")</f>
        <v/>
      </c>
      <c r="FQ187" s="96">
        <f>IFERROR(VLOOKUP($B187,INDIRECT("'GRD-"&amp;FQ$11&amp;"'!B:R"),15,FALSE),"")</f>
        <v/>
      </c>
      <c r="FR187" s="96">
        <f>IFERROR(VLOOKUP($B187,INDIRECT("'GRD-"&amp;FR$11&amp;"'!B:R"),15,FALSE),"")</f>
        <v/>
      </c>
      <c r="FS187" s="96">
        <f>IFERROR(VLOOKUP($B187,INDIRECT("'GRD-"&amp;FS$11&amp;"'!B:R"),15,FALSE),"")</f>
        <v/>
      </c>
      <c r="FT187" s="96">
        <f>IFERROR(VLOOKUP($B187,INDIRECT("'GRD-"&amp;FT$11&amp;"'!B:R"),15,FALSE),"")</f>
        <v/>
      </c>
      <c r="FU187" s="96">
        <f>IFERROR(VLOOKUP($B187,INDIRECT("'GRD-"&amp;FU$11&amp;"'!B:R"),15,FALSE),"")</f>
        <v/>
      </c>
      <c r="FV187" s="96">
        <f>IFERROR(VLOOKUP($B187,INDIRECT("'GRD-"&amp;FV$11&amp;"'!B:R"),15,FALSE),"")</f>
        <v/>
      </c>
    </row>
    <row r="188">
      <c r="B188" s="85" t="n"/>
      <c r="C188" s="93" t="n"/>
      <c r="D188" s="73">
        <f>IF(K188="","",MAX($CA188:$FV188))</f>
        <v/>
      </c>
      <c r="E188" s="74">
        <f t="array" ref="E188">IF($K188="","",OFFSET($A$1,ROW($B188)-1,11+$D188*4,))</f>
        <v/>
      </c>
      <c r="F188" s="74">
        <f t="array" ref="F188">IF($K188="","",OFFSET($A$1,ROW($B188)-1,12+$D188*4,))</f>
        <v/>
      </c>
      <c r="G188" s="118">
        <f t="array" ref="G188">IF($K188="","",OFFSET($A$1,ROW($B188)-1,13+$D188*4,))</f>
        <v/>
      </c>
      <c r="H188" s="81" t="n"/>
      <c r="I188" s="82" t="n"/>
      <c r="J188" s="75">
        <f>IF(I188="A4",H188/8,IF(I188="A3",H188/4,IF(I188="A2",H188/2,IF(I188="A1",H188/1,IF(I188="A0",H188*2,"")))))</f>
        <v/>
      </c>
      <c r="K188" s="68">
        <f t="array" ref="K188">IFERROR(OFFSET($BZ$11,ROW($B188)-11,MATCH(K$10,$CA188:$FV188,0),),"")</f>
        <v/>
      </c>
      <c r="L188" s="85">
        <f>IF(K188="","",IF(VLOOKUP($B188,INDIRECT("'GRD-"&amp;M188&amp;"'!$B:$R"),16,FALSE)="","",VLOOKUP($B188,INDIRECT("'GRD-"&amp;M188&amp;"'!$B:$R"),16,FALSE)))</f>
        <v/>
      </c>
      <c r="M188" s="130">
        <f t="array" ref="M188">IF(K188="","",IFERROR(OFFSET($BZ$11,0,MATCH($K188,$CA188:$FV188,0),),""))</f>
        <v/>
      </c>
      <c r="N188" s="119">
        <f t="array" ref="N188">IF(K188="","",INDIRECT("'GRD-"&amp;M188&amp;"'!$L$7"))</f>
        <v/>
      </c>
      <c r="O188" s="76">
        <f t="array" ref="O188">IFERROR(OFFSET($BZ$11,ROW($B188)-11,MATCH(O$10,$CA188:$FV188,0),),"")</f>
        <v/>
      </c>
      <c r="P188" s="76">
        <f>IF(O188="","",IF(VLOOKUP($B188,INDIRECT("'GRD-"&amp;Q188&amp;"'!$B:$R"),16,FALSE)="","",VLOOKUP($B188,INDIRECT("'GRD-"&amp;Q188&amp;"'!$B:$R"),16,FALSE)))</f>
        <v/>
      </c>
      <c r="Q188" s="132">
        <f t="array" ref="Q188">IF(O188="","",IFERROR(OFFSET($BZ$11,0,MATCH($O188,$CA188:$FV188,0),),""))</f>
        <v/>
      </c>
      <c r="R188" s="121">
        <f t="array" ref="R188">IF(O188="","",INDIRECT("'GRD-"&amp;Q188&amp;"'!$L$7"))</f>
        <v/>
      </c>
      <c r="S188" s="83">
        <f t="array" ref="S188">IFERROR(OFFSET($BZ$11,ROW($B188)-11,MATCH(S$10,$CA188:$FV188,0),),"")</f>
        <v/>
      </c>
      <c r="T188" s="83">
        <f>IF(S188="","",IF(VLOOKUP($B188,INDIRECT("'GRD-"&amp;U188&amp;"'!$B:$R"),16,FALSE)="","",VLOOKUP($B188,INDIRECT("'GRD-"&amp;U188&amp;"'!$B:$R"),16,FALSE)))</f>
        <v/>
      </c>
      <c r="U188" s="128">
        <f t="array" ref="U188">IF(S188="","",IFERROR(OFFSET($BZ$11,0,MATCH($S188,$CA188:$FV188,0),),""))</f>
        <v/>
      </c>
      <c r="V188" s="133">
        <f t="array" ref="V188">IF(S188="","",INDIRECT("'GRD-"&amp;U188&amp;"'!$L$7"))</f>
        <v/>
      </c>
      <c r="W188" s="84">
        <f t="array" ref="W188">IFERROR(OFFSET($BZ$11,ROW($B188)-11,MATCH(W$10,$CA188:$FV188,0),),"")</f>
        <v/>
      </c>
      <c r="X188" s="84">
        <f>IF(W188="","",IF(VLOOKUP($B188,INDIRECT("'GRD-"&amp;Y188&amp;"'!$B:$R"),16,FALSE)="","",VLOOKUP($B188,INDIRECT("'GRD-"&amp;Y188&amp;"'!$B:$R"),16,FALSE)))</f>
        <v/>
      </c>
      <c r="Y188" s="129">
        <f t="array" ref="Y188">IF(W188="","",IFERROR(OFFSET($BZ$11,0,MATCH($W188,$CA188:$FV188,0),),""))</f>
        <v/>
      </c>
      <c r="Z188" s="134">
        <f t="array" ref="Z188">IF(W188="","",INDIRECT("'GRD-"&amp;Y188&amp;"'!$L$7"))</f>
        <v/>
      </c>
      <c r="AA188" s="85">
        <f t="array" ref="AA188">IFERROR(OFFSET($BZ$11,ROW($B188)-11,MATCH(AA$10,$CA188:$FV188,0),),"")</f>
        <v/>
      </c>
      <c r="AB188" s="85">
        <f>IF(AA188="","",IF(VLOOKUP($B188,INDIRECT("'GRD-"&amp;AC188&amp;"'!$B:$R"),16,FALSE)="","",VLOOKUP($B188,INDIRECT("'GRD-"&amp;AC188&amp;"'!$B:$R"),16,FALSE)))</f>
        <v/>
      </c>
      <c r="AC188" s="130">
        <f t="array" ref="AC188">IF(AA188="","",IFERROR(OFFSET($BZ$11,0,MATCH($AA188,$CA188:$FV188,0),),""))</f>
        <v/>
      </c>
      <c r="AD188" s="131">
        <f t="array" ref="AD188">IF(AA188="","",INDIRECT("'GRD-"&amp;AC188&amp;"'!$L$7"))</f>
        <v/>
      </c>
      <c r="AE188" s="76">
        <f t="array" ref="AE188">IFERROR(OFFSET($BZ$11,ROW($B188)-11,MATCH(AE$10,$CA188:$FV188,0),),"")</f>
        <v/>
      </c>
      <c r="AF188" s="76">
        <f>IF(AE188="","",IF(VLOOKUP($B188,INDIRECT("'GRD-"&amp;AG188&amp;"'!$B:$R"),16,FALSE)="","",VLOOKUP($B188,INDIRECT("'GRD-"&amp;AG188&amp;"'!$B:$R"),16,FALSE)))</f>
        <v/>
      </c>
      <c r="AG188" s="132">
        <f t="array" ref="AG188">IF(AE188="","",IFERROR(OFFSET($BZ$11,0,MATCH($AE188,$CA188:$FV188,0),),""))</f>
        <v/>
      </c>
      <c r="AH188" s="121">
        <f t="array" ref="AH188">IF(AE188="","",INDIRECT("'GRD-"&amp;AG188&amp;"'!$L$7"))</f>
        <v/>
      </c>
      <c r="AI188" s="83">
        <f t="array" ref="AI188">IFERROR(OFFSET($BZ$11,ROW($B188)-11,MATCH(AI$10,$CA188:$FV188,0),),"")</f>
        <v/>
      </c>
      <c r="AJ188" s="83">
        <f>IF(AI188="","",IF(VLOOKUP($B188,INDIRECT("'GRD-"&amp;AK188&amp;"'!$B:$R"),16,FALSE)="","",VLOOKUP($B188,INDIRECT("'GRD-"&amp;AK188&amp;"'!$B:$R"),16,FALSE)))</f>
        <v/>
      </c>
      <c r="AK188" s="128">
        <f t="array" ref="AK188">IF(AI188="","",IFERROR(OFFSET($BZ$11,0,MATCH($AI188,$CA188:$FV188,0),),""))</f>
        <v/>
      </c>
      <c r="AL188" s="133">
        <f t="array" ref="AL188">IF(AI188="","",INDIRECT("'GRD-"&amp;AK188&amp;"'!$L$7"))</f>
        <v/>
      </c>
      <c r="AM188" s="84">
        <f t="array" ref="AM188">IFERROR(OFFSET($BZ$11,ROW($B188)-11,MATCH(AM$10,$CA188:$FV188,0),),"")</f>
        <v/>
      </c>
      <c r="AN188" s="84">
        <f>IF(AM188="","",IF(VLOOKUP($B188,INDIRECT("'GRD-"&amp;AO188&amp;"'!$B:$R"),16,FALSE)="","",VLOOKUP($B188,INDIRECT("'GRD-"&amp;AO188&amp;"'!$B:$R"),16,FALSE)))</f>
        <v/>
      </c>
      <c r="AO188" s="129">
        <f t="array" ref="AO188">IF(AM188="","",IFERROR(OFFSET($BZ$11,0,MATCH($AM188,$CA188:$FV188,0),),""))</f>
        <v/>
      </c>
      <c r="AP188" s="134">
        <f t="array" ref="AP188">IF(AM188="","",INDIRECT("'GRD-"&amp;AO188&amp;"'!$L$7"))</f>
        <v/>
      </c>
      <c r="AQ188" s="85">
        <f t="array" ref="AQ188">IFERROR(OFFSET($BZ$11,ROW($B188)-11,MATCH(AQ$10,$CA188:$FV188,0),),"")</f>
        <v/>
      </c>
      <c r="AR188" s="85">
        <f>IF(AQ188="","",IF(VLOOKUP($B188,INDIRECT("'GRD-"&amp;AS188&amp;"'!$B:$R"),16,FALSE)="","",VLOOKUP($B188,INDIRECT("'GRD-"&amp;AS188&amp;"'!$B:$R"),16,FALSE)))</f>
        <v/>
      </c>
      <c r="AS188" s="130">
        <f t="array" ref="AS188">IF(AQ188="","",IFERROR(OFFSET($BZ$11,0,MATCH($AQ188,$CA188:$FV188,0),),""))</f>
        <v/>
      </c>
      <c r="AT188" s="131">
        <f t="array" ref="AT188">IF(AQ188="","",INDIRECT("'GRD-"&amp;AS188&amp;"'!$L$7"))</f>
        <v/>
      </c>
      <c r="AU188" s="76">
        <f t="array" ref="AU188">IFERROR(OFFSET($BZ$11,ROW($B188)-11,MATCH(AU$10,$CA188:$FV188,0),),"")</f>
        <v/>
      </c>
      <c r="AV188" s="76">
        <f>IF(AU188="","",IF(VLOOKUP($B188,INDIRECT("'GRD-"&amp;AW188&amp;"'!$B:$R"),16,FALSE)="","",VLOOKUP($B188,INDIRECT("'GRD-"&amp;AW188&amp;"'!$B:$R"),16,FALSE)))</f>
        <v/>
      </c>
      <c r="AW188" s="132">
        <f t="array" ref="AW188">IF(AU188="","",IFERROR(OFFSET($BZ$11,0,MATCH($AU188,$CA188:$FV188,0),),""))</f>
        <v/>
      </c>
      <c r="AX188" s="121">
        <f t="array" ref="AX188">IF(AU188="","",INDIRECT("'GRD-"&amp;AW188&amp;"'!$L$7"))</f>
        <v/>
      </c>
      <c r="AY188" s="83">
        <f t="array" ref="AY188">IFERROR(OFFSET($BZ$11,ROW($B188)-11,MATCH(AY$10,$CA188:$FV188,0),),"")</f>
        <v/>
      </c>
      <c r="AZ188" s="83">
        <f>IF(AY188="","",IF(VLOOKUP($B188,INDIRECT("'GRD-"&amp;BA188&amp;"'!$B:$R"),16,FALSE)="","",VLOOKUP($B188,INDIRECT("'GRD-"&amp;BA188&amp;"'!$B:$R"),16,FALSE)))</f>
        <v/>
      </c>
      <c r="BA188" s="128">
        <f t="array" ref="BA188">IF(AY188="","",IFERROR(OFFSET($BZ$11,0,MATCH($AY188,$CA188:$FV188,0),),""))</f>
        <v/>
      </c>
      <c r="BB188" s="133">
        <f t="array" ref="BB188">IF(AY188="","",INDIRECT("'GRD-"&amp;BA188&amp;"'!$L$7"))</f>
        <v/>
      </c>
      <c r="BC188" s="84">
        <f t="array" ref="BC188">IFERROR(OFFSET($BZ$11,ROW($B188)-11,MATCH(BC$10,$CA188:$FV188,0),),"")</f>
        <v/>
      </c>
      <c r="BD188" s="84">
        <f>IF(BC188="","",IF(VLOOKUP($B188,INDIRECT("'GRD-"&amp;BE188&amp;"'!$B:$R"),16,FALSE)="","",VLOOKUP($B188,INDIRECT("'GRD-"&amp;BE188&amp;"'!$B:$R"),16,FALSE)))</f>
        <v/>
      </c>
      <c r="BE188" s="129">
        <f t="array" ref="BE188">IF(BC188="","",IFERROR(OFFSET($BZ$11,0,MATCH($BC188,$CA188:$FV188,0),),""))</f>
        <v/>
      </c>
      <c r="BF188" s="134">
        <f t="array" ref="BF188">IF(BC188="","",INDIRECT("'GRD-"&amp;BE188&amp;"'!$L$7"))</f>
        <v/>
      </c>
      <c r="CA188" s="96">
        <f>IFERROR(VLOOKUP($B188,INDIRECT("'GRD-"&amp;CA$11&amp;"'!B:R"),15,FALSE),"")</f>
        <v/>
      </c>
      <c r="CB188" s="96">
        <f>IFERROR(VLOOKUP($B188,INDIRECT("'GRD-"&amp;CB$11&amp;"'!B:R"),15,FALSE),"")</f>
        <v/>
      </c>
      <c r="CC188" s="96">
        <f>IFERROR(VLOOKUP($B188,INDIRECT("'GRD-"&amp;CC$11&amp;"'!B:R"),15,FALSE),"")</f>
        <v/>
      </c>
      <c r="CD188" s="96">
        <f>IFERROR(VLOOKUP($B188,INDIRECT("'GRD-"&amp;CD$11&amp;"'!B:R"),15,FALSE),"")</f>
        <v/>
      </c>
      <c r="CE188" s="96">
        <f>IFERROR(VLOOKUP($B188,INDIRECT("'GRD-"&amp;CE$11&amp;"'!B:R"),15,FALSE),"")</f>
        <v/>
      </c>
      <c r="CF188" s="96">
        <f>IFERROR(VLOOKUP($B188,INDIRECT("'GRD-"&amp;CF$11&amp;"'!B:R"),15,FALSE),"")</f>
        <v/>
      </c>
      <c r="CG188" s="96">
        <f>IFERROR(VLOOKUP($B188,INDIRECT("'GRD-"&amp;CG$11&amp;"'!B:R"),15,FALSE),"")</f>
        <v/>
      </c>
      <c r="CH188" s="96">
        <f>IFERROR(VLOOKUP($B188,INDIRECT("'GRD-"&amp;CH$11&amp;"'!B:R"),15,FALSE),"")</f>
        <v/>
      </c>
      <c r="CI188" s="96">
        <f>IFERROR(VLOOKUP($B188,INDIRECT("'GRD-"&amp;CI$11&amp;"'!B:R"),15,FALSE),"")</f>
        <v/>
      </c>
      <c r="CJ188" s="96">
        <f>IFERROR(VLOOKUP($B188,INDIRECT("'GRD-"&amp;CJ$11&amp;"'!B:R"),15,FALSE),"")</f>
        <v/>
      </c>
      <c r="CK188" s="96">
        <f>IFERROR(VLOOKUP($B188,INDIRECT("'GRD-"&amp;CK$11&amp;"'!B:R"),15,FALSE),"")</f>
        <v/>
      </c>
      <c r="CL188" s="96">
        <f>IFERROR(VLOOKUP($B188,INDIRECT("'GRD-"&amp;CL$11&amp;"'!B:R"),15,FALSE),"")</f>
        <v/>
      </c>
      <c r="CM188" s="96">
        <f>IFERROR(VLOOKUP($B188,INDIRECT("'GRD-"&amp;CM$11&amp;"'!B:R"),15,FALSE),"")</f>
        <v/>
      </c>
      <c r="CN188" s="96">
        <f>IFERROR(VLOOKUP($B188,INDIRECT("'GRD-"&amp;CN$11&amp;"'!B:R"),15,FALSE),"")</f>
        <v/>
      </c>
      <c r="CO188" s="96">
        <f>IFERROR(VLOOKUP($B188,INDIRECT("'GRD-"&amp;CO$11&amp;"'!B:R"),15,FALSE),"")</f>
        <v/>
      </c>
      <c r="CP188" s="96">
        <f>IFERROR(VLOOKUP($B188,INDIRECT("'GRD-"&amp;CP$11&amp;"'!B:R"),15,FALSE),"")</f>
        <v/>
      </c>
      <c r="CQ188" s="96">
        <f>IFERROR(VLOOKUP($B188,INDIRECT("'GRD-"&amp;CQ$11&amp;"'!B:R"),15,FALSE),"")</f>
        <v/>
      </c>
      <c r="CR188" s="96">
        <f>IFERROR(VLOOKUP($B188,INDIRECT("'GRD-"&amp;CR$11&amp;"'!B:R"),15,FALSE),"")</f>
        <v/>
      </c>
      <c r="CS188" s="96">
        <f>IFERROR(VLOOKUP($B188,INDIRECT("'GRD-"&amp;CS$11&amp;"'!B:R"),15,FALSE),"")</f>
        <v/>
      </c>
      <c r="CT188" s="96">
        <f>IFERROR(VLOOKUP($B188,INDIRECT("'GRD-"&amp;CT$11&amp;"'!B:R"),15,FALSE),"")</f>
        <v/>
      </c>
      <c r="CU188" s="96">
        <f>IFERROR(VLOOKUP($B188,INDIRECT("'GRD-"&amp;CU$11&amp;"'!B:R"),15,FALSE),"")</f>
        <v/>
      </c>
      <c r="CV188" s="96">
        <f>IFERROR(VLOOKUP($B188,INDIRECT("'GRD-"&amp;CV$11&amp;"'!B:R"),15,FALSE),"")</f>
        <v/>
      </c>
      <c r="CW188" s="96">
        <f>IFERROR(VLOOKUP($B188,INDIRECT("'GRD-"&amp;CW$11&amp;"'!B:R"),15,FALSE),"")</f>
        <v/>
      </c>
      <c r="CX188" s="96">
        <f>IFERROR(VLOOKUP($B188,INDIRECT("'GRD-"&amp;CX$11&amp;"'!B:R"),15,FALSE),"")</f>
        <v/>
      </c>
      <c r="CY188" s="96">
        <f>IFERROR(VLOOKUP($B188,INDIRECT("'GRD-"&amp;CY$11&amp;"'!B:R"),15,FALSE),"")</f>
        <v/>
      </c>
      <c r="CZ188" s="96">
        <f>IFERROR(VLOOKUP($B188,INDIRECT("'GRD-"&amp;CZ$11&amp;"'!B:R"),15,FALSE),"")</f>
        <v/>
      </c>
      <c r="DA188" s="96">
        <f>IFERROR(VLOOKUP($B188,INDIRECT("'GRD-"&amp;DA$11&amp;"'!B:R"),15,FALSE),"")</f>
        <v/>
      </c>
      <c r="DB188" s="96">
        <f>IFERROR(VLOOKUP($B188,INDIRECT("'GRD-"&amp;DB$11&amp;"'!B:R"),15,FALSE),"")</f>
        <v/>
      </c>
      <c r="DC188" s="96">
        <f>IFERROR(VLOOKUP($B188,INDIRECT("'GRD-"&amp;DC$11&amp;"'!B:R"),15,FALSE),"")</f>
        <v/>
      </c>
      <c r="DD188" s="96">
        <f>IFERROR(VLOOKUP($B188,INDIRECT("'GRD-"&amp;DD$11&amp;"'!B:R"),15,FALSE),"")</f>
        <v/>
      </c>
      <c r="DE188" s="96">
        <f>IFERROR(VLOOKUP($B188,INDIRECT("'GRD-"&amp;DE$11&amp;"'!B:R"),15,FALSE),"")</f>
        <v/>
      </c>
      <c r="DF188" s="96">
        <f>IFERROR(VLOOKUP($B188,INDIRECT("'GRD-"&amp;DF$11&amp;"'!B:R"),15,FALSE),"")</f>
        <v/>
      </c>
      <c r="DG188" s="96">
        <f>IFERROR(VLOOKUP($B188,INDIRECT("'GRD-"&amp;DG$11&amp;"'!B:R"),15,FALSE),"")</f>
        <v/>
      </c>
      <c r="DH188" s="96">
        <f>IFERROR(VLOOKUP($B188,INDIRECT("'GRD-"&amp;DH$11&amp;"'!B:R"),15,FALSE),"")</f>
        <v/>
      </c>
      <c r="DI188" s="96">
        <f>IFERROR(VLOOKUP($B188,INDIRECT("'GRD-"&amp;DI$11&amp;"'!B:R"),15,FALSE),"")</f>
        <v/>
      </c>
      <c r="DJ188" s="96">
        <f>IFERROR(VLOOKUP($B188,INDIRECT("'GRD-"&amp;DJ$11&amp;"'!B:R"),15,FALSE),"")</f>
        <v/>
      </c>
      <c r="DK188" s="96">
        <f>IFERROR(VLOOKUP($B188,INDIRECT("'GRD-"&amp;DK$11&amp;"'!B:R"),15,FALSE),"")</f>
        <v/>
      </c>
      <c r="DL188" s="96">
        <f>IFERROR(VLOOKUP($B188,INDIRECT("'GRD-"&amp;DL$11&amp;"'!B:R"),15,FALSE),"")</f>
        <v/>
      </c>
      <c r="DM188" s="96">
        <f>IFERROR(VLOOKUP($B188,INDIRECT("'GRD-"&amp;DM$11&amp;"'!B:R"),15,FALSE),"")</f>
        <v/>
      </c>
      <c r="DN188" s="96">
        <f>IFERROR(VLOOKUP($B188,INDIRECT("'GRD-"&amp;DN$11&amp;"'!B:R"),15,FALSE),"")</f>
        <v/>
      </c>
      <c r="DO188" s="96">
        <f>IFERROR(VLOOKUP($B188,INDIRECT("'GRD-"&amp;DO$11&amp;"'!B:R"),15,FALSE),"")</f>
        <v/>
      </c>
      <c r="DP188" s="96">
        <f>IFERROR(VLOOKUP($B188,INDIRECT("'GRD-"&amp;DP$11&amp;"'!B:R"),15,FALSE),"")</f>
        <v/>
      </c>
      <c r="DQ188" s="96">
        <f>IFERROR(VLOOKUP($B188,INDIRECT("'GRD-"&amp;DQ$11&amp;"'!B:R"),15,FALSE),"")</f>
        <v/>
      </c>
      <c r="DR188" s="96">
        <f>IFERROR(VLOOKUP($B188,INDIRECT("'GRD-"&amp;DR$11&amp;"'!B:R"),15,FALSE),"")</f>
        <v/>
      </c>
      <c r="DS188" s="96">
        <f>IFERROR(VLOOKUP($B188,INDIRECT("'GRD-"&amp;DS$11&amp;"'!B:R"),15,FALSE),"")</f>
        <v/>
      </c>
      <c r="DT188" s="96">
        <f>IFERROR(VLOOKUP($B188,INDIRECT("'GRD-"&amp;DT$11&amp;"'!B:R"),15,FALSE),"")</f>
        <v/>
      </c>
      <c r="DU188" s="96">
        <f>IFERROR(VLOOKUP($B188,INDIRECT("'GRD-"&amp;DU$11&amp;"'!B:R"),15,FALSE),"")</f>
        <v/>
      </c>
      <c r="DV188" s="96">
        <f>IFERROR(VLOOKUP($B188,INDIRECT("'GRD-"&amp;DV$11&amp;"'!B:R"),15,FALSE),"")</f>
        <v/>
      </c>
      <c r="DW188" s="96">
        <f>IFERROR(VLOOKUP($B188,INDIRECT("'GRD-"&amp;DW$11&amp;"'!B:R"),15,FALSE),"")</f>
        <v/>
      </c>
      <c r="DX188" s="96">
        <f>IFERROR(VLOOKUP($B188,INDIRECT("'GRD-"&amp;DX$11&amp;"'!B:R"),15,FALSE),"")</f>
        <v/>
      </c>
      <c r="DY188" s="96">
        <f>IFERROR(VLOOKUP($B188,INDIRECT("'GRD-"&amp;DY$11&amp;"'!B:R"),15,FALSE),"")</f>
        <v/>
      </c>
      <c r="DZ188" s="96">
        <f>IFERROR(VLOOKUP($B188,INDIRECT("'GRD-"&amp;DZ$11&amp;"'!B:R"),15,FALSE),"")</f>
        <v/>
      </c>
      <c r="EA188" s="96">
        <f>IFERROR(VLOOKUP($B188,INDIRECT("'GRD-"&amp;EA$11&amp;"'!B:R"),15,FALSE),"")</f>
        <v/>
      </c>
      <c r="EB188" s="96">
        <f>IFERROR(VLOOKUP($B188,INDIRECT("'GRD-"&amp;EB$11&amp;"'!B:R"),15,FALSE),"")</f>
        <v/>
      </c>
      <c r="EC188" s="96">
        <f>IFERROR(VLOOKUP($B188,INDIRECT("'GRD-"&amp;EC$11&amp;"'!B:R"),15,FALSE),"")</f>
        <v/>
      </c>
      <c r="ED188" s="96">
        <f>IFERROR(VLOOKUP($B188,INDIRECT("'GRD-"&amp;ED$11&amp;"'!B:R"),15,FALSE),"")</f>
        <v/>
      </c>
      <c r="EE188" s="96">
        <f>IFERROR(VLOOKUP($B188,INDIRECT("'GRD-"&amp;EE$11&amp;"'!B:R"),15,FALSE),"")</f>
        <v/>
      </c>
      <c r="EF188" s="96">
        <f>IFERROR(VLOOKUP($B188,INDIRECT("'GRD-"&amp;EF$11&amp;"'!B:R"),15,FALSE),"")</f>
        <v/>
      </c>
      <c r="EG188" s="96">
        <f>IFERROR(VLOOKUP($B188,INDIRECT("'GRD-"&amp;EG$11&amp;"'!B:R"),15,FALSE),"")</f>
        <v/>
      </c>
      <c r="EH188" s="96">
        <f>IFERROR(VLOOKUP($B188,INDIRECT("'GRD-"&amp;EH$11&amp;"'!B:R"),15,FALSE),"")</f>
        <v/>
      </c>
      <c r="EI188" s="96">
        <f>IFERROR(VLOOKUP($B188,INDIRECT("'GRD-"&amp;EI$11&amp;"'!B:R"),15,FALSE),"")</f>
        <v/>
      </c>
      <c r="EJ188" s="96">
        <f>IFERROR(VLOOKUP($B188,INDIRECT("'GRD-"&amp;EJ$11&amp;"'!B:R"),15,FALSE),"")</f>
        <v/>
      </c>
      <c r="EK188" s="96">
        <f>IFERROR(VLOOKUP($B188,INDIRECT("'GRD-"&amp;EK$11&amp;"'!B:R"),15,FALSE),"")</f>
        <v/>
      </c>
      <c r="EL188" s="96">
        <f>IFERROR(VLOOKUP($B188,INDIRECT("'GRD-"&amp;EL$11&amp;"'!B:R"),15,FALSE),"")</f>
        <v/>
      </c>
      <c r="EM188" s="96">
        <f>IFERROR(VLOOKUP($B188,INDIRECT("'GRD-"&amp;EM$11&amp;"'!B:R"),15,FALSE),"")</f>
        <v/>
      </c>
      <c r="EN188" s="96">
        <f>IFERROR(VLOOKUP($B188,INDIRECT("'GRD-"&amp;EN$11&amp;"'!B:R"),15,FALSE),"")</f>
        <v/>
      </c>
      <c r="EO188" s="96">
        <f>IFERROR(VLOOKUP($B188,INDIRECT("'GRD-"&amp;EO$11&amp;"'!B:R"),15,FALSE),"")</f>
        <v/>
      </c>
      <c r="EP188" s="96">
        <f>IFERROR(VLOOKUP($B188,INDIRECT("'GRD-"&amp;EP$11&amp;"'!B:R"),15,FALSE),"")</f>
        <v/>
      </c>
      <c r="EQ188" s="96">
        <f>IFERROR(VLOOKUP($B188,INDIRECT("'GRD-"&amp;EQ$11&amp;"'!B:R"),15,FALSE),"")</f>
        <v/>
      </c>
      <c r="ER188" s="96">
        <f>IFERROR(VLOOKUP($B188,INDIRECT("'GRD-"&amp;ER$11&amp;"'!B:R"),15,FALSE),"")</f>
        <v/>
      </c>
      <c r="ES188" s="96">
        <f>IFERROR(VLOOKUP($B188,INDIRECT("'GRD-"&amp;ES$11&amp;"'!B:R"),15,FALSE),"")</f>
        <v/>
      </c>
      <c r="ET188" s="96">
        <f>IFERROR(VLOOKUP($B188,INDIRECT("'GRD-"&amp;ET$11&amp;"'!B:R"),15,FALSE),"")</f>
        <v/>
      </c>
      <c r="EU188" s="96">
        <f>IFERROR(VLOOKUP($B188,INDIRECT("'GRD-"&amp;EU$11&amp;"'!B:R"),15,FALSE),"")</f>
        <v/>
      </c>
      <c r="EV188" s="96">
        <f>IFERROR(VLOOKUP($B188,INDIRECT("'GRD-"&amp;EV$11&amp;"'!B:R"),15,FALSE),"")</f>
        <v/>
      </c>
      <c r="EW188" s="96">
        <f>IFERROR(VLOOKUP($B188,INDIRECT("'GRD-"&amp;EW$11&amp;"'!B:R"),15,FALSE),"")</f>
        <v/>
      </c>
      <c r="EX188" s="96">
        <f>IFERROR(VLOOKUP($B188,INDIRECT("'GRD-"&amp;EX$11&amp;"'!B:R"),15,FALSE),"")</f>
        <v/>
      </c>
      <c r="EY188" s="96">
        <f>IFERROR(VLOOKUP($B188,INDIRECT("'GRD-"&amp;EY$11&amp;"'!B:R"),15,FALSE),"")</f>
        <v/>
      </c>
      <c r="EZ188" s="96">
        <f>IFERROR(VLOOKUP($B188,INDIRECT("'GRD-"&amp;EZ$11&amp;"'!B:R"),15,FALSE),"")</f>
        <v/>
      </c>
      <c r="FA188" s="96">
        <f>IFERROR(VLOOKUP($B188,INDIRECT("'GRD-"&amp;FA$11&amp;"'!B:R"),15,FALSE),"")</f>
        <v/>
      </c>
      <c r="FB188" s="96">
        <f>IFERROR(VLOOKUP($B188,INDIRECT("'GRD-"&amp;FB$11&amp;"'!B:R"),15,FALSE),"")</f>
        <v/>
      </c>
      <c r="FC188" s="96">
        <f>IFERROR(VLOOKUP($B188,INDIRECT("'GRD-"&amp;FC$11&amp;"'!B:R"),15,FALSE),"")</f>
        <v/>
      </c>
      <c r="FD188" s="96">
        <f>IFERROR(VLOOKUP($B188,INDIRECT("'GRD-"&amp;FD$11&amp;"'!B:R"),15,FALSE),"")</f>
        <v/>
      </c>
      <c r="FE188" s="96">
        <f>IFERROR(VLOOKUP($B188,INDIRECT("'GRD-"&amp;FE$11&amp;"'!B:R"),15,FALSE),"")</f>
        <v/>
      </c>
      <c r="FF188" s="96">
        <f>IFERROR(VLOOKUP($B188,INDIRECT("'GRD-"&amp;FF$11&amp;"'!B:R"),15,FALSE),"")</f>
        <v/>
      </c>
      <c r="FG188" s="96">
        <f>IFERROR(VLOOKUP($B188,INDIRECT("'GRD-"&amp;FG$11&amp;"'!B:R"),15,FALSE),"")</f>
        <v/>
      </c>
      <c r="FH188" s="96">
        <f>IFERROR(VLOOKUP($B188,INDIRECT("'GRD-"&amp;FH$11&amp;"'!B:R"),15,FALSE),"")</f>
        <v/>
      </c>
      <c r="FI188" s="96">
        <f>IFERROR(VLOOKUP($B188,INDIRECT("'GRD-"&amp;FI$11&amp;"'!B:R"),15,FALSE),"")</f>
        <v/>
      </c>
      <c r="FJ188" s="96">
        <f>IFERROR(VLOOKUP($B188,INDIRECT("'GRD-"&amp;FJ$11&amp;"'!B:R"),15,FALSE),"")</f>
        <v/>
      </c>
      <c r="FK188" s="96">
        <f>IFERROR(VLOOKUP($B188,INDIRECT("'GRD-"&amp;FK$11&amp;"'!B:R"),15,FALSE),"")</f>
        <v/>
      </c>
      <c r="FL188" s="96">
        <f>IFERROR(VLOOKUP($B188,INDIRECT("'GRD-"&amp;FL$11&amp;"'!B:R"),15,FALSE),"")</f>
        <v/>
      </c>
      <c r="FM188" s="96">
        <f>IFERROR(VLOOKUP($B188,INDIRECT("'GRD-"&amp;FM$11&amp;"'!B:R"),15,FALSE),"")</f>
        <v/>
      </c>
      <c r="FN188" s="96">
        <f>IFERROR(VLOOKUP($B188,INDIRECT("'GRD-"&amp;FN$11&amp;"'!B:R"),15,FALSE),"")</f>
        <v/>
      </c>
      <c r="FO188" s="96">
        <f>IFERROR(VLOOKUP($B188,INDIRECT("'GRD-"&amp;FO$11&amp;"'!B:R"),15,FALSE),"")</f>
        <v/>
      </c>
      <c r="FP188" s="96">
        <f>IFERROR(VLOOKUP($B188,INDIRECT("'GRD-"&amp;FP$11&amp;"'!B:R"),15,FALSE),"")</f>
        <v/>
      </c>
      <c r="FQ188" s="96">
        <f>IFERROR(VLOOKUP($B188,INDIRECT("'GRD-"&amp;FQ$11&amp;"'!B:R"),15,FALSE),"")</f>
        <v/>
      </c>
      <c r="FR188" s="96">
        <f>IFERROR(VLOOKUP($B188,INDIRECT("'GRD-"&amp;FR$11&amp;"'!B:R"),15,FALSE),"")</f>
        <v/>
      </c>
      <c r="FS188" s="96">
        <f>IFERROR(VLOOKUP($B188,INDIRECT("'GRD-"&amp;FS$11&amp;"'!B:R"),15,FALSE),"")</f>
        <v/>
      </c>
      <c r="FT188" s="96">
        <f>IFERROR(VLOOKUP($B188,INDIRECT("'GRD-"&amp;FT$11&amp;"'!B:R"),15,FALSE),"")</f>
        <v/>
      </c>
      <c r="FU188" s="96">
        <f>IFERROR(VLOOKUP($B188,INDIRECT("'GRD-"&amp;FU$11&amp;"'!B:R"),15,FALSE),"")</f>
        <v/>
      </c>
      <c r="FV188" s="96">
        <f>IFERROR(VLOOKUP($B188,INDIRECT("'GRD-"&amp;FV$11&amp;"'!B:R"),15,FALSE),"")</f>
        <v/>
      </c>
    </row>
    <row r="189">
      <c r="B189" s="85" t="n"/>
      <c r="C189" s="93" t="n"/>
      <c r="D189" s="73">
        <f>IF(K189="","",MAX($CA189:$FV189))</f>
        <v/>
      </c>
      <c r="E189" s="74">
        <f t="array" ref="E189">IF($K189="","",OFFSET($A$1,ROW($B189)-1,11+$D189*4,))</f>
        <v/>
      </c>
      <c r="F189" s="74">
        <f t="array" ref="F189">IF($K189="","",OFFSET($A$1,ROW($B189)-1,12+$D189*4,))</f>
        <v/>
      </c>
      <c r="G189" s="118">
        <f t="array" ref="G189">IF($K189="","",OFFSET($A$1,ROW($B189)-1,13+$D189*4,))</f>
        <v/>
      </c>
      <c r="H189" s="81" t="n"/>
      <c r="I189" s="82" t="n"/>
      <c r="J189" s="75">
        <f>IF(I189="A4",H189/8,IF(I189="A3",H189/4,IF(I189="A2",H189/2,IF(I189="A1",H189/1,IF(I189="A0",H189*2,"")))))</f>
        <v/>
      </c>
      <c r="K189" s="68">
        <f t="array" ref="K189">IFERROR(OFFSET($BZ$11,ROW($B189)-11,MATCH(K$10,$CA189:$FV189,0),),"")</f>
        <v/>
      </c>
      <c r="L189" s="85">
        <f>IF(K189="","",IF(VLOOKUP($B189,INDIRECT("'GRD-"&amp;M189&amp;"'!$B:$R"),16,FALSE)="","",VLOOKUP($B189,INDIRECT("'GRD-"&amp;M189&amp;"'!$B:$R"),16,FALSE)))</f>
        <v/>
      </c>
      <c r="M189" s="130">
        <f t="array" ref="M189">IF(K189="","",IFERROR(OFFSET($BZ$11,0,MATCH($K189,$CA189:$FV189,0),),""))</f>
        <v/>
      </c>
      <c r="N189" s="119">
        <f t="array" ref="N189">IF(K189="","",INDIRECT("'GRD-"&amp;M189&amp;"'!$L$7"))</f>
        <v/>
      </c>
      <c r="O189" s="76">
        <f t="array" ref="O189">IFERROR(OFFSET($BZ$11,ROW($B189)-11,MATCH(O$10,$CA189:$FV189,0),),"")</f>
        <v/>
      </c>
      <c r="P189" s="76">
        <f>IF(O189="","",IF(VLOOKUP($B189,INDIRECT("'GRD-"&amp;Q189&amp;"'!$B:$R"),16,FALSE)="","",VLOOKUP($B189,INDIRECT("'GRD-"&amp;Q189&amp;"'!$B:$R"),16,FALSE)))</f>
        <v/>
      </c>
      <c r="Q189" s="132">
        <f t="array" ref="Q189">IF(O189="","",IFERROR(OFFSET($BZ$11,0,MATCH($O189,$CA189:$FV189,0),),""))</f>
        <v/>
      </c>
      <c r="R189" s="121">
        <f t="array" ref="R189">IF(O189="","",INDIRECT("'GRD-"&amp;Q189&amp;"'!$L$7"))</f>
        <v/>
      </c>
      <c r="S189" s="83">
        <f t="array" ref="S189">IFERROR(OFFSET($BZ$11,ROW($B189)-11,MATCH(S$10,$CA189:$FV189,0),),"")</f>
        <v/>
      </c>
      <c r="T189" s="83">
        <f>IF(S189="","",IF(VLOOKUP($B189,INDIRECT("'GRD-"&amp;U189&amp;"'!$B:$R"),16,FALSE)="","",VLOOKUP($B189,INDIRECT("'GRD-"&amp;U189&amp;"'!$B:$R"),16,FALSE)))</f>
        <v/>
      </c>
      <c r="U189" s="128">
        <f t="array" ref="U189">IF(S189="","",IFERROR(OFFSET($BZ$11,0,MATCH($S189,$CA189:$FV189,0),),""))</f>
        <v/>
      </c>
      <c r="V189" s="133">
        <f t="array" ref="V189">IF(S189="","",INDIRECT("'GRD-"&amp;U189&amp;"'!$L$7"))</f>
        <v/>
      </c>
      <c r="W189" s="84">
        <f t="array" ref="W189">IFERROR(OFFSET($BZ$11,ROW($B189)-11,MATCH(W$10,$CA189:$FV189,0),),"")</f>
        <v/>
      </c>
      <c r="X189" s="84">
        <f>IF(W189="","",IF(VLOOKUP($B189,INDIRECT("'GRD-"&amp;Y189&amp;"'!$B:$R"),16,FALSE)="","",VLOOKUP($B189,INDIRECT("'GRD-"&amp;Y189&amp;"'!$B:$R"),16,FALSE)))</f>
        <v/>
      </c>
      <c r="Y189" s="129">
        <f t="array" ref="Y189">IF(W189="","",IFERROR(OFFSET($BZ$11,0,MATCH($W189,$CA189:$FV189,0),),""))</f>
        <v/>
      </c>
      <c r="Z189" s="134">
        <f t="array" ref="Z189">IF(W189="","",INDIRECT("'GRD-"&amp;Y189&amp;"'!$L$7"))</f>
        <v/>
      </c>
      <c r="AA189" s="85">
        <f t="array" ref="AA189">IFERROR(OFFSET($BZ$11,ROW($B189)-11,MATCH(AA$10,$CA189:$FV189,0),),"")</f>
        <v/>
      </c>
      <c r="AB189" s="85">
        <f>IF(AA189="","",IF(VLOOKUP($B189,INDIRECT("'GRD-"&amp;AC189&amp;"'!$B:$R"),16,FALSE)="","",VLOOKUP($B189,INDIRECT("'GRD-"&amp;AC189&amp;"'!$B:$R"),16,FALSE)))</f>
        <v/>
      </c>
      <c r="AC189" s="130">
        <f t="array" ref="AC189">IF(AA189="","",IFERROR(OFFSET($BZ$11,0,MATCH($AA189,$CA189:$FV189,0),),""))</f>
        <v/>
      </c>
      <c r="AD189" s="131">
        <f t="array" ref="AD189">IF(AA189="","",INDIRECT("'GRD-"&amp;AC189&amp;"'!$L$7"))</f>
        <v/>
      </c>
      <c r="AE189" s="76">
        <f t="array" ref="AE189">IFERROR(OFFSET($BZ$11,ROW($B189)-11,MATCH(AE$10,$CA189:$FV189,0),),"")</f>
        <v/>
      </c>
      <c r="AF189" s="76">
        <f>IF(AE189="","",IF(VLOOKUP($B189,INDIRECT("'GRD-"&amp;AG189&amp;"'!$B:$R"),16,FALSE)="","",VLOOKUP($B189,INDIRECT("'GRD-"&amp;AG189&amp;"'!$B:$R"),16,FALSE)))</f>
        <v/>
      </c>
      <c r="AG189" s="132">
        <f t="array" ref="AG189">IF(AE189="","",IFERROR(OFFSET($BZ$11,0,MATCH($AE189,$CA189:$FV189,0),),""))</f>
        <v/>
      </c>
      <c r="AH189" s="121">
        <f t="array" ref="AH189">IF(AE189="","",INDIRECT("'GRD-"&amp;AG189&amp;"'!$L$7"))</f>
        <v/>
      </c>
      <c r="AI189" s="83">
        <f t="array" ref="AI189">IFERROR(OFFSET($BZ$11,ROW($B189)-11,MATCH(AI$10,$CA189:$FV189,0),),"")</f>
        <v/>
      </c>
      <c r="AJ189" s="83">
        <f>IF(AI189="","",IF(VLOOKUP($B189,INDIRECT("'GRD-"&amp;AK189&amp;"'!$B:$R"),16,FALSE)="","",VLOOKUP($B189,INDIRECT("'GRD-"&amp;AK189&amp;"'!$B:$R"),16,FALSE)))</f>
        <v/>
      </c>
      <c r="AK189" s="128">
        <f t="array" ref="AK189">IF(AI189="","",IFERROR(OFFSET($BZ$11,0,MATCH($AI189,$CA189:$FV189,0),),""))</f>
        <v/>
      </c>
      <c r="AL189" s="133">
        <f t="array" ref="AL189">IF(AI189="","",INDIRECT("'GRD-"&amp;AK189&amp;"'!$L$7"))</f>
        <v/>
      </c>
      <c r="AM189" s="84">
        <f t="array" ref="AM189">IFERROR(OFFSET($BZ$11,ROW($B189)-11,MATCH(AM$10,$CA189:$FV189,0),),"")</f>
        <v/>
      </c>
      <c r="AN189" s="84">
        <f>IF(AM189="","",IF(VLOOKUP($B189,INDIRECT("'GRD-"&amp;AO189&amp;"'!$B:$R"),16,FALSE)="","",VLOOKUP($B189,INDIRECT("'GRD-"&amp;AO189&amp;"'!$B:$R"),16,FALSE)))</f>
        <v/>
      </c>
      <c r="AO189" s="129">
        <f t="array" ref="AO189">IF(AM189="","",IFERROR(OFFSET($BZ$11,0,MATCH($AM189,$CA189:$FV189,0),),""))</f>
        <v/>
      </c>
      <c r="AP189" s="134">
        <f t="array" ref="AP189">IF(AM189="","",INDIRECT("'GRD-"&amp;AO189&amp;"'!$L$7"))</f>
        <v/>
      </c>
      <c r="AQ189" s="85">
        <f t="array" ref="AQ189">IFERROR(OFFSET($BZ$11,ROW($B189)-11,MATCH(AQ$10,$CA189:$FV189,0),),"")</f>
        <v/>
      </c>
      <c r="AR189" s="85">
        <f>IF(AQ189="","",IF(VLOOKUP($B189,INDIRECT("'GRD-"&amp;AS189&amp;"'!$B:$R"),16,FALSE)="","",VLOOKUP($B189,INDIRECT("'GRD-"&amp;AS189&amp;"'!$B:$R"),16,FALSE)))</f>
        <v/>
      </c>
      <c r="AS189" s="130">
        <f t="array" ref="AS189">IF(AQ189="","",IFERROR(OFFSET($BZ$11,0,MATCH($AQ189,$CA189:$FV189,0),),""))</f>
        <v/>
      </c>
      <c r="AT189" s="131">
        <f t="array" ref="AT189">IF(AQ189="","",INDIRECT("'GRD-"&amp;AS189&amp;"'!$L$7"))</f>
        <v/>
      </c>
      <c r="AU189" s="76">
        <f t="array" ref="AU189">IFERROR(OFFSET($BZ$11,ROW($B189)-11,MATCH(AU$10,$CA189:$FV189,0),),"")</f>
        <v/>
      </c>
      <c r="AV189" s="76">
        <f>IF(AU189="","",IF(VLOOKUP($B189,INDIRECT("'GRD-"&amp;AW189&amp;"'!$B:$R"),16,FALSE)="","",VLOOKUP($B189,INDIRECT("'GRD-"&amp;AW189&amp;"'!$B:$R"),16,FALSE)))</f>
        <v/>
      </c>
      <c r="AW189" s="132">
        <f t="array" ref="AW189">IF(AU189="","",IFERROR(OFFSET($BZ$11,0,MATCH($AU189,$CA189:$FV189,0),),""))</f>
        <v/>
      </c>
      <c r="AX189" s="121">
        <f t="array" ref="AX189">IF(AU189="","",INDIRECT("'GRD-"&amp;AW189&amp;"'!$L$7"))</f>
        <v/>
      </c>
      <c r="AY189" s="83">
        <f t="array" ref="AY189">IFERROR(OFFSET($BZ$11,ROW($B189)-11,MATCH(AY$10,$CA189:$FV189,0),),"")</f>
        <v/>
      </c>
      <c r="AZ189" s="83">
        <f>IF(AY189="","",IF(VLOOKUP($B189,INDIRECT("'GRD-"&amp;BA189&amp;"'!$B:$R"),16,FALSE)="","",VLOOKUP($B189,INDIRECT("'GRD-"&amp;BA189&amp;"'!$B:$R"),16,FALSE)))</f>
        <v/>
      </c>
      <c r="BA189" s="128">
        <f t="array" ref="BA189">IF(AY189="","",IFERROR(OFFSET($BZ$11,0,MATCH($AY189,$CA189:$FV189,0),),""))</f>
        <v/>
      </c>
      <c r="BB189" s="133">
        <f t="array" ref="BB189">IF(AY189="","",INDIRECT("'GRD-"&amp;BA189&amp;"'!$L$7"))</f>
        <v/>
      </c>
      <c r="BC189" s="84">
        <f t="array" ref="BC189">IFERROR(OFFSET($BZ$11,ROW($B189)-11,MATCH(BC$10,$CA189:$FV189,0),),"")</f>
        <v/>
      </c>
      <c r="BD189" s="84">
        <f>IF(BC189="","",IF(VLOOKUP($B189,INDIRECT("'GRD-"&amp;BE189&amp;"'!$B:$R"),16,FALSE)="","",VLOOKUP($B189,INDIRECT("'GRD-"&amp;BE189&amp;"'!$B:$R"),16,FALSE)))</f>
        <v/>
      </c>
      <c r="BE189" s="129">
        <f t="array" ref="BE189">IF(BC189="","",IFERROR(OFFSET($BZ$11,0,MATCH($BC189,$CA189:$FV189,0),),""))</f>
        <v/>
      </c>
      <c r="BF189" s="134">
        <f t="array" ref="BF189">IF(BC189="","",INDIRECT("'GRD-"&amp;BE189&amp;"'!$L$7"))</f>
        <v/>
      </c>
      <c r="CA189" s="96">
        <f>IFERROR(VLOOKUP($B189,INDIRECT("'GRD-"&amp;CA$11&amp;"'!B:R"),15,FALSE),"")</f>
        <v/>
      </c>
      <c r="CB189" s="96">
        <f>IFERROR(VLOOKUP($B189,INDIRECT("'GRD-"&amp;CB$11&amp;"'!B:R"),15,FALSE),"")</f>
        <v/>
      </c>
      <c r="CC189" s="96">
        <f>IFERROR(VLOOKUP($B189,INDIRECT("'GRD-"&amp;CC$11&amp;"'!B:R"),15,FALSE),"")</f>
        <v/>
      </c>
      <c r="CD189" s="96">
        <f>IFERROR(VLOOKUP($B189,INDIRECT("'GRD-"&amp;CD$11&amp;"'!B:R"),15,FALSE),"")</f>
        <v/>
      </c>
      <c r="CE189" s="96">
        <f>IFERROR(VLOOKUP($B189,INDIRECT("'GRD-"&amp;CE$11&amp;"'!B:R"),15,FALSE),"")</f>
        <v/>
      </c>
      <c r="CF189" s="96">
        <f>IFERROR(VLOOKUP($B189,INDIRECT("'GRD-"&amp;CF$11&amp;"'!B:R"),15,FALSE),"")</f>
        <v/>
      </c>
      <c r="CG189" s="96">
        <f>IFERROR(VLOOKUP($B189,INDIRECT("'GRD-"&amp;CG$11&amp;"'!B:R"),15,FALSE),"")</f>
        <v/>
      </c>
      <c r="CH189" s="96">
        <f>IFERROR(VLOOKUP($B189,INDIRECT("'GRD-"&amp;CH$11&amp;"'!B:R"),15,FALSE),"")</f>
        <v/>
      </c>
      <c r="CI189" s="96">
        <f>IFERROR(VLOOKUP($B189,INDIRECT("'GRD-"&amp;CI$11&amp;"'!B:R"),15,FALSE),"")</f>
        <v/>
      </c>
      <c r="CJ189" s="96">
        <f>IFERROR(VLOOKUP($B189,INDIRECT("'GRD-"&amp;CJ$11&amp;"'!B:R"),15,FALSE),"")</f>
        <v/>
      </c>
      <c r="CK189" s="96">
        <f>IFERROR(VLOOKUP($B189,INDIRECT("'GRD-"&amp;CK$11&amp;"'!B:R"),15,FALSE),"")</f>
        <v/>
      </c>
      <c r="CL189" s="96">
        <f>IFERROR(VLOOKUP($B189,INDIRECT("'GRD-"&amp;CL$11&amp;"'!B:R"),15,FALSE),"")</f>
        <v/>
      </c>
      <c r="CM189" s="96">
        <f>IFERROR(VLOOKUP($B189,INDIRECT("'GRD-"&amp;CM$11&amp;"'!B:R"),15,FALSE),"")</f>
        <v/>
      </c>
      <c r="CN189" s="96">
        <f>IFERROR(VLOOKUP($B189,INDIRECT("'GRD-"&amp;CN$11&amp;"'!B:R"),15,FALSE),"")</f>
        <v/>
      </c>
      <c r="CO189" s="96">
        <f>IFERROR(VLOOKUP($B189,INDIRECT("'GRD-"&amp;CO$11&amp;"'!B:R"),15,FALSE),"")</f>
        <v/>
      </c>
      <c r="CP189" s="96">
        <f>IFERROR(VLOOKUP($B189,INDIRECT("'GRD-"&amp;CP$11&amp;"'!B:R"),15,FALSE),"")</f>
        <v/>
      </c>
      <c r="CQ189" s="96">
        <f>IFERROR(VLOOKUP($B189,INDIRECT("'GRD-"&amp;CQ$11&amp;"'!B:R"),15,FALSE),"")</f>
        <v/>
      </c>
      <c r="CR189" s="96">
        <f>IFERROR(VLOOKUP($B189,INDIRECT("'GRD-"&amp;CR$11&amp;"'!B:R"),15,FALSE),"")</f>
        <v/>
      </c>
      <c r="CS189" s="96">
        <f>IFERROR(VLOOKUP($B189,INDIRECT("'GRD-"&amp;CS$11&amp;"'!B:R"),15,FALSE),"")</f>
        <v/>
      </c>
      <c r="CT189" s="96">
        <f>IFERROR(VLOOKUP($B189,INDIRECT("'GRD-"&amp;CT$11&amp;"'!B:R"),15,FALSE),"")</f>
        <v/>
      </c>
      <c r="CU189" s="96">
        <f>IFERROR(VLOOKUP($B189,INDIRECT("'GRD-"&amp;CU$11&amp;"'!B:R"),15,FALSE),"")</f>
        <v/>
      </c>
      <c r="CV189" s="96">
        <f>IFERROR(VLOOKUP($B189,INDIRECT("'GRD-"&amp;CV$11&amp;"'!B:R"),15,FALSE),"")</f>
        <v/>
      </c>
      <c r="CW189" s="96">
        <f>IFERROR(VLOOKUP($B189,INDIRECT("'GRD-"&amp;CW$11&amp;"'!B:R"),15,FALSE),"")</f>
        <v/>
      </c>
      <c r="CX189" s="96">
        <f>IFERROR(VLOOKUP($B189,INDIRECT("'GRD-"&amp;CX$11&amp;"'!B:R"),15,FALSE),"")</f>
        <v/>
      </c>
      <c r="CY189" s="96">
        <f>IFERROR(VLOOKUP($B189,INDIRECT("'GRD-"&amp;CY$11&amp;"'!B:R"),15,FALSE),"")</f>
        <v/>
      </c>
      <c r="CZ189" s="96">
        <f>IFERROR(VLOOKUP($B189,INDIRECT("'GRD-"&amp;CZ$11&amp;"'!B:R"),15,FALSE),"")</f>
        <v/>
      </c>
      <c r="DA189" s="96">
        <f>IFERROR(VLOOKUP($B189,INDIRECT("'GRD-"&amp;DA$11&amp;"'!B:R"),15,FALSE),"")</f>
        <v/>
      </c>
      <c r="DB189" s="96">
        <f>IFERROR(VLOOKUP($B189,INDIRECT("'GRD-"&amp;DB$11&amp;"'!B:R"),15,FALSE),"")</f>
        <v/>
      </c>
      <c r="DC189" s="96">
        <f>IFERROR(VLOOKUP($B189,INDIRECT("'GRD-"&amp;DC$11&amp;"'!B:R"),15,FALSE),"")</f>
        <v/>
      </c>
      <c r="DD189" s="96">
        <f>IFERROR(VLOOKUP($B189,INDIRECT("'GRD-"&amp;DD$11&amp;"'!B:R"),15,FALSE),"")</f>
        <v/>
      </c>
      <c r="DE189" s="96">
        <f>IFERROR(VLOOKUP($B189,INDIRECT("'GRD-"&amp;DE$11&amp;"'!B:R"),15,FALSE),"")</f>
        <v/>
      </c>
      <c r="DF189" s="96">
        <f>IFERROR(VLOOKUP($B189,INDIRECT("'GRD-"&amp;DF$11&amp;"'!B:R"),15,FALSE),"")</f>
        <v/>
      </c>
      <c r="DG189" s="96">
        <f>IFERROR(VLOOKUP($B189,INDIRECT("'GRD-"&amp;DG$11&amp;"'!B:R"),15,FALSE),"")</f>
        <v/>
      </c>
      <c r="DH189" s="96">
        <f>IFERROR(VLOOKUP($B189,INDIRECT("'GRD-"&amp;DH$11&amp;"'!B:R"),15,FALSE),"")</f>
        <v/>
      </c>
      <c r="DI189" s="96">
        <f>IFERROR(VLOOKUP($B189,INDIRECT("'GRD-"&amp;DI$11&amp;"'!B:R"),15,FALSE),"")</f>
        <v/>
      </c>
      <c r="DJ189" s="96">
        <f>IFERROR(VLOOKUP($B189,INDIRECT("'GRD-"&amp;DJ$11&amp;"'!B:R"),15,FALSE),"")</f>
        <v/>
      </c>
      <c r="DK189" s="96">
        <f>IFERROR(VLOOKUP($B189,INDIRECT("'GRD-"&amp;DK$11&amp;"'!B:R"),15,FALSE),"")</f>
        <v/>
      </c>
      <c r="DL189" s="96">
        <f>IFERROR(VLOOKUP($B189,INDIRECT("'GRD-"&amp;DL$11&amp;"'!B:R"),15,FALSE),"")</f>
        <v/>
      </c>
      <c r="DM189" s="96">
        <f>IFERROR(VLOOKUP($B189,INDIRECT("'GRD-"&amp;DM$11&amp;"'!B:R"),15,FALSE),"")</f>
        <v/>
      </c>
      <c r="DN189" s="96">
        <f>IFERROR(VLOOKUP($B189,INDIRECT("'GRD-"&amp;DN$11&amp;"'!B:R"),15,FALSE),"")</f>
        <v/>
      </c>
      <c r="DO189" s="96">
        <f>IFERROR(VLOOKUP($B189,INDIRECT("'GRD-"&amp;DO$11&amp;"'!B:R"),15,FALSE),"")</f>
        <v/>
      </c>
      <c r="DP189" s="96">
        <f>IFERROR(VLOOKUP($B189,INDIRECT("'GRD-"&amp;DP$11&amp;"'!B:R"),15,FALSE),"")</f>
        <v/>
      </c>
      <c r="DQ189" s="96">
        <f>IFERROR(VLOOKUP($B189,INDIRECT("'GRD-"&amp;DQ$11&amp;"'!B:R"),15,FALSE),"")</f>
        <v/>
      </c>
      <c r="DR189" s="96">
        <f>IFERROR(VLOOKUP($B189,INDIRECT("'GRD-"&amp;DR$11&amp;"'!B:R"),15,FALSE),"")</f>
        <v/>
      </c>
      <c r="DS189" s="96">
        <f>IFERROR(VLOOKUP($B189,INDIRECT("'GRD-"&amp;DS$11&amp;"'!B:R"),15,FALSE),"")</f>
        <v/>
      </c>
      <c r="DT189" s="96">
        <f>IFERROR(VLOOKUP($B189,INDIRECT("'GRD-"&amp;DT$11&amp;"'!B:R"),15,FALSE),"")</f>
        <v/>
      </c>
      <c r="DU189" s="96">
        <f>IFERROR(VLOOKUP($B189,INDIRECT("'GRD-"&amp;DU$11&amp;"'!B:R"),15,FALSE),"")</f>
        <v/>
      </c>
      <c r="DV189" s="96">
        <f>IFERROR(VLOOKUP($B189,INDIRECT("'GRD-"&amp;DV$11&amp;"'!B:R"),15,FALSE),"")</f>
        <v/>
      </c>
      <c r="DW189" s="96">
        <f>IFERROR(VLOOKUP($B189,INDIRECT("'GRD-"&amp;DW$11&amp;"'!B:R"),15,FALSE),"")</f>
        <v/>
      </c>
      <c r="DX189" s="96">
        <f>IFERROR(VLOOKUP($B189,INDIRECT("'GRD-"&amp;DX$11&amp;"'!B:R"),15,FALSE),"")</f>
        <v/>
      </c>
      <c r="DY189" s="96">
        <f>IFERROR(VLOOKUP($B189,INDIRECT("'GRD-"&amp;DY$11&amp;"'!B:R"),15,FALSE),"")</f>
        <v/>
      </c>
      <c r="DZ189" s="96">
        <f>IFERROR(VLOOKUP($B189,INDIRECT("'GRD-"&amp;DZ$11&amp;"'!B:R"),15,FALSE),"")</f>
        <v/>
      </c>
      <c r="EA189" s="96">
        <f>IFERROR(VLOOKUP($B189,INDIRECT("'GRD-"&amp;EA$11&amp;"'!B:R"),15,FALSE),"")</f>
        <v/>
      </c>
      <c r="EB189" s="96">
        <f>IFERROR(VLOOKUP($B189,INDIRECT("'GRD-"&amp;EB$11&amp;"'!B:R"),15,FALSE),"")</f>
        <v/>
      </c>
      <c r="EC189" s="96">
        <f>IFERROR(VLOOKUP($B189,INDIRECT("'GRD-"&amp;EC$11&amp;"'!B:R"),15,FALSE),"")</f>
        <v/>
      </c>
      <c r="ED189" s="96">
        <f>IFERROR(VLOOKUP($B189,INDIRECT("'GRD-"&amp;ED$11&amp;"'!B:R"),15,FALSE),"")</f>
        <v/>
      </c>
      <c r="EE189" s="96">
        <f>IFERROR(VLOOKUP($B189,INDIRECT("'GRD-"&amp;EE$11&amp;"'!B:R"),15,FALSE),"")</f>
        <v/>
      </c>
      <c r="EF189" s="96">
        <f>IFERROR(VLOOKUP($B189,INDIRECT("'GRD-"&amp;EF$11&amp;"'!B:R"),15,FALSE),"")</f>
        <v/>
      </c>
      <c r="EG189" s="96">
        <f>IFERROR(VLOOKUP($B189,INDIRECT("'GRD-"&amp;EG$11&amp;"'!B:R"),15,FALSE),"")</f>
        <v/>
      </c>
      <c r="EH189" s="96">
        <f>IFERROR(VLOOKUP($B189,INDIRECT("'GRD-"&amp;EH$11&amp;"'!B:R"),15,FALSE),"")</f>
        <v/>
      </c>
      <c r="EI189" s="96">
        <f>IFERROR(VLOOKUP($B189,INDIRECT("'GRD-"&amp;EI$11&amp;"'!B:R"),15,FALSE),"")</f>
        <v/>
      </c>
      <c r="EJ189" s="96">
        <f>IFERROR(VLOOKUP($B189,INDIRECT("'GRD-"&amp;EJ$11&amp;"'!B:R"),15,FALSE),"")</f>
        <v/>
      </c>
      <c r="EK189" s="96">
        <f>IFERROR(VLOOKUP($B189,INDIRECT("'GRD-"&amp;EK$11&amp;"'!B:R"),15,FALSE),"")</f>
        <v/>
      </c>
      <c r="EL189" s="96">
        <f>IFERROR(VLOOKUP($B189,INDIRECT("'GRD-"&amp;EL$11&amp;"'!B:R"),15,FALSE),"")</f>
        <v/>
      </c>
      <c r="EM189" s="96">
        <f>IFERROR(VLOOKUP($B189,INDIRECT("'GRD-"&amp;EM$11&amp;"'!B:R"),15,FALSE),"")</f>
        <v/>
      </c>
      <c r="EN189" s="96">
        <f>IFERROR(VLOOKUP($B189,INDIRECT("'GRD-"&amp;EN$11&amp;"'!B:R"),15,FALSE),"")</f>
        <v/>
      </c>
      <c r="EO189" s="96">
        <f>IFERROR(VLOOKUP($B189,INDIRECT("'GRD-"&amp;EO$11&amp;"'!B:R"),15,FALSE),"")</f>
        <v/>
      </c>
      <c r="EP189" s="96">
        <f>IFERROR(VLOOKUP($B189,INDIRECT("'GRD-"&amp;EP$11&amp;"'!B:R"),15,FALSE),"")</f>
        <v/>
      </c>
      <c r="EQ189" s="96">
        <f>IFERROR(VLOOKUP($B189,INDIRECT("'GRD-"&amp;EQ$11&amp;"'!B:R"),15,FALSE),"")</f>
        <v/>
      </c>
      <c r="ER189" s="96">
        <f>IFERROR(VLOOKUP($B189,INDIRECT("'GRD-"&amp;ER$11&amp;"'!B:R"),15,FALSE),"")</f>
        <v/>
      </c>
      <c r="ES189" s="96">
        <f>IFERROR(VLOOKUP($B189,INDIRECT("'GRD-"&amp;ES$11&amp;"'!B:R"),15,FALSE),"")</f>
        <v/>
      </c>
      <c r="ET189" s="96">
        <f>IFERROR(VLOOKUP($B189,INDIRECT("'GRD-"&amp;ET$11&amp;"'!B:R"),15,FALSE),"")</f>
        <v/>
      </c>
      <c r="EU189" s="96">
        <f>IFERROR(VLOOKUP($B189,INDIRECT("'GRD-"&amp;EU$11&amp;"'!B:R"),15,FALSE),"")</f>
        <v/>
      </c>
      <c r="EV189" s="96">
        <f>IFERROR(VLOOKUP($B189,INDIRECT("'GRD-"&amp;EV$11&amp;"'!B:R"),15,FALSE),"")</f>
        <v/>
      </c>
      <c r="EW189" s="96">
        <f>IFERROR(VLOOKUP($B189,INDIRECT("'GRD-"&amp;EW$11&amp;"'!B:R"),15,FALSE),"")</f>
        <v/>
      </c>
      <c r="EX189" s="96">
        <f>IFERROR(VLOOKUP($B189,INDIRECT("'GRD-"&amp;EX$11&amp;"'!B:R"),15,FALSE),"")</f>
        <v/>
      </c>
      <c r="EY189" s="96">
        <f>IFERROR(VLOOKUP($B189,INDIRECT("'GRD-"&amp;EY$11&amp;"'!B:R"),15,FALSE),"")</f>
        <v/>
      </c>
      <c r="EZ189" s="96">
        <f>IFERROR(VLOOKUP($B189,INDIRECT("'GRD-"&amp;EZ$11&amp;"'!B:R"),15,FALSE),"")</f>
        <v/>
      </c>
      <c r="FA189" s="96">
        <f>IFERROR(VLOOKUP($B189,INDIRECT("'GRD-"&amp;FA$11&amp;"'!B:R"),15,FALSE),"")</f>
        <v/>
      </c>
      <c r="FB189" s="96">
        <f>IFERROR(VLOOKUP($B189,INDIRECT("'GRD-"&amp;FB$11&amp;"'!B:R"),15,FALSE),"")</f>
        <v/>
      </c>
      <c r="FC189" s="96">
        <f>IFERROR(VLOOKUP($B189,INDIRECT("'GRD-"&amp;FC$11&amp;"'!B:R"),15,FALSE),"")</f>
        <v/>
      </c>
      <c r="FD189" s="96">
        <f>IFERROR(VLOOKUP($B189,INDIRECT("'GRD-"&amp;FD$11&amp;"'!B:R"),15,FALSE),"")</f>
        <v/>
      </c>
      <c r="FE189" s="96">
        <f>IFERROR(VLOOKUP($B189,INDIRECT("'GRD-"&amp;FE$11&amp;"'!B:R"),15,FALSE),"")</f>
        <v/>
      </c>
      <c r="FF189" s="96">
        <f>IFERROR(VLOOKUP($B189,INDIRECT("'GRD-"&amp;FF$11&amp;"'!B:R"),15,FALSE),"")</f>
        <v/>
      </c>
      <c r="FG189" s="96">
        <f>IFERROR(VLOOKUP($B189,INDIRECT("'GRD-"&amp;FG$11&amp;"'!B:R"),15,FALSE),"")</f>
        <v/>
      </c>
      <c r="FH189" s="96">
        <f>IFERROR(VLOOKUP($B189,INDIRECT("'GRD-"&amp;FH$11&amp;"'!B:R"),15,FALSE),"")</f>
        <v/>
      </c>
      <c r="FI189" s="96">
        <f>IFERROR(VLOOKUP($B189,INDIRECT("'GRD-"&amp;FI$11&amp;"'!B:R"),15,FALSE),"")</f>
        <v/>
      </c>
      <c r="FJ189" s="96">
        <f>IFERROR(VLOOKUP($B189,INDIRECT("'GRD-"&amp;FJ$11&amp;"'!B:R"),15,FALSE),"")</f>
        <v/>
      </c>
      <c r="FK189" s="96">
        <f>IFERROR(VLOOKUP($B189,INDIRECT("'GRD-"&amp;FK$11&amp;"'!B:R"),15,FALSE),"")</f>
        <v/>
      </c>
      <c r="FL189" s="96">
        <f>IFERROR(VLOOKUP($B189,INDIRECT("'GRD-"&amp;FL$11&amp;"'!B:R"),15,FALSE),"")</f>
        <v/>
      </c>
      <c r="FM189" s="96">
        <f>IFERROR(VLOOKUP($B189,INDIRECT("'GRD-"&amp;FM$11&amp;"'!B:R"),15,FALSE),"")</f>
        <v/>
      </c>
      <c r="FN189" s="96">
        <f>IFERROR(VLOOKUP($B189,INDIRECT("'GRD-"&amp;FN$11&amp;"'!B:R"),15,FALSE),"")</f>
        <v/>
      </c>
      <c r="FO189" s="96">
        <f>IFERROR(VLOOKUP($B189,INDIRECT("'GRD-"&amp;FO$11&amp;"'!B:R"),15,FALSE),"")</f>
        <v/>
      </c>
      <c r="FP189" s="96">
        <f>IFERROR(VLOOKUP($B189,INDIRECT("'GRD-"&amp;FP$11&amp;"'!B:R"),15,FALSE),"")</f>
        <v/>
      </c>
      <c r="FQ189" s="96">
        <f>IFERROR(VLOOKUP($B189,INDIRECT("'GRD-"&amp;FQ$11&amp;"'!B:R"),15,FALSE),"")</f>
        <v/>
      </c>
      <c r="FR189" s="96">
        <f>IFERROR(VLOOKUP($B189,INDIRECT("'GRD-"&amp;FR$11&amp;"'!B:R"),15,FALSE),"")</f>
        <v/>
      </c>
      <c r="FS189" s="96">
        <f>IFERROR(VLOOKUP($B189,INDIRECT("'GRD-"&amp;FS$11&amp;"'!B:R"),15,FALSE),"")</f>
        <v/>
      </c>
      <c r="FT189" s="96">
        <f>IFERROR(VLOOKUP($B189,INDIRECT("'GRD-"&amp;FT$11&amp;"'!B:R"),15,FALSE),"")</f>
        <v/>
      </c>
      <c r="FU189" s="96">
        <f>IFERROR(VLOOKUP($B189,INDIRECT("'GRD-"&amp;FU$11&amp;"'!B:R"),15,FALSE),"")</f>
        <v/>
      </c>
      <c r="FV189" s="96">
        <f>IFERROR(VLOOKUP($B189,INDIRECT("'GRD-"&amp;FV$11&amp;"'!B:R"),15,FALSE),"")</f>
        <v/>
      </c>
    </row>
    <row r="190">
      <c r="B190" s="85" t="n"/>
      <c r="C190" s="93" t="n"/>
      <c r="D190" s="73">
        <f>IF(K190="","",MAX($CA190:$FV190))</f>
        <v/>
      </c>
      <c r="E190" s="74">
        <f t="array" ref="E190">IF($K190="","",OFFSET($A$1,ROW($B190)-1,11+$D190*4,))</f>
        <v/>
      </c>
      <c r="F190" s="74">
        <f t="array" ref="F190">IF($K190="","",OFFSET($A$1,ROW($B190)-1,12+$D190*4,))</f>
        <v/>
      </c>
      <c r="G190" s="118">
        <f t="array" ref="G190">IF($K190="","",OFFSET($A$1,ROW($B190)-1,13+$D190*4,))</f>
        <v/>
      </c>
      <c r="H190" s="81" t="n"/>
      <c r="I190" s="82" t="n"/>
      <c r="J190" s="75">
        <f>IF(I190="A4",H190/8,IF(I190="A3",H190/4,IF(I190="A2",H190/2,IF(I190="A1",H190/1,IF(I190="A0",H190*2,"")))))</f>
        <v/>
      </c>
      <c r="K190" s="68">
        <f t="array" ref="K190">IFERROR(OFFSET($BZ$11,ROW($B190)-11,MATCH(K$10,$CA190:$FV190,0),),"")</f>
        <v/>
      </c>
      <c r="L190" s="85">
        <f>IF(K190="","",IF(VLOOKUP($B190,INDIRECT("'GRD-"&amp;M190&amp;"'!$B:$R"),16,FALSE)="","",VLOOKUP($B190,INDIRECT("'GRD-"&amp;M190&amp;"'!$B:$R"),16,FALSE)))</f>
        <v/>
      </c>
      <c r="M190" s="130">
        <f t="array" ref="M190">IF(K190="","",IFERROR(OFFSET($BZ$11,0,MATCH($K190,$CA190:$FV190,0),),""))</f>
        <v/>
      </c>
      <c r="N190" s="119">
        <f t="array" ref="N190">IF(K190="","",INDIRECT("'GRD-"&amp;M190&amp;"'!$L$7"))</f>
        <v/>
      </c>
      <c r="O190" s="76">
        <f t="array" ref="O190">IFERROR(OFFSET($BZ$11,ROW($B190)-11,MATCH(O$10,$CA190:$FV190,0),),"")</f>
        <v/>
      </c>
      <c r="P190" s="76">
        <f>IF(O190="","",IF(VLOOKUP($B190,INDIRECT("'GRD-"&amp;Q190&amp;"'!$B:$R"),16,FALSE)="","",VLOOKUP($B190,INDIRECT("'GRD-"&amp;Q190&amp;"'!$B:$R"),16,FALSE)))</f>
        <v/>
      </c>
      <c r="Q190" s="132">
        <f t="array" ref="Q190">IF(O190="","",IFERROR(OFFSET($BZ$11,0,MATCH($O190,$CA190:$FV190,0),),""))</f>
        <v/>
      </c>
      <c r="R190" s="121">
        <f t="array" ref="R190">IF(O190="","",INDIRECT("'GRD-"&amp;Q190&amp;"'!$L$7"))</f>
        <v/>
      </c>
      <c r="S190" s="83">
        <f t="array" ref="S190">IFERROR(OFFSET($BZ$11,ROW($B190)-11,MATCH(S$10,$CA190:$FV190,0),),"")</f>
        <v/>
      </c>
      <c r="T190" s="83">
        <f>IF(S190="","",IF(VLOOKUP($B190,INDIRECT("'GRD-"&amp;U190&amp;"'!$B:$R"),16,FALSE)="","",VLOOKUP($B190,INDIRECT("'GRD-"&amp;U190&amp;"'!$B:$R"),16,FALSE)))</f>
        <v/>
      </c>
      <c r="U190" s="128">
        <f t="array" ref="U190">IF(S190="","",IFERROR(OFFSET($BZ$11,0,MATCH($S190,$CA190:$FV190,0),),""))</f>
        <v/>
      </c>
      <c r="V190" s="133">
        <f t="array" ref="V190">IF(S190="","",INDIRECT("'GRD-"&amp;U190&amp;"'!$L$7"))</f>
        <v/>
      </c>
      <c r="W190" s="84">
        <f t="array" ref="W190">IFERROR(OFFSET($BZ$11,ROW($B190)-11,MATCH(W$10,$CA190:$FV190,0),),"")</f>
        <v/>
      </c>
      <c r="X190" s="84">
        <f>IF(W190="","",IF(VLOOKUP($B190,INDIRECT("'GRD-"&amp;Y190&amp;"'!$B:$R"),16,FALSE)="","",VLOOKUP($B190,INDIRECT("'GRD-"&amp;Y190&amp;"'!$B:$R"),16,FALSE)))</f>
        <v/>
      </c>
      <c r="Y190" s="129">
        <f t="array" ref="Y190">IF(W190="","",IFERROR(OFFSET($BZ$11,0,MATCH($W190,$CA190:$FV190,0),),""))</f>
        <v/>
      </c>
      <c r="Z190" s="134">
        <f t="array" ref="Z190">IF(W190="","",INDIRECT("'GRD-"&amp;Y190&amp;"'!$L$7"))</f>
        <v/>
      </c>
      <c r="AA190" s="85">
        <f t="array" ref="AA190">IFERROR(OFFSET($BZ$11,ROW($B190)-11,MATCH(AA$10,$CA190:$FV190,0),),"")</f>
        <v/>
      </c>
      <c r="AB190" s="85">
        <f>IF(AA190="","",IF(VLOOKUP($B190,INDIRECT("'GRD-"&amp;AC190&amp;"'!$B:$R"),16,FALSE)="","",VLOOKUP($B190,INDIRECT("'GRD-"&amp;AC190&amp;"'!$B:$R"),16,FALSE)))</f>
        <v/>
      </c>
      <c r="AC190" s="130">
        <f t="array" ref="AC190">IF(AA190="","",IFERROR(OFFSET($BZ$11,0,MATCH($AA190,$CA190:$FV190,0),),""))</f>
        <v/>
      </c>
      <c r="AD190" s="131">
        <f t="array" ref="AD190">IF(AA190="","",INDIRECT("'GRD-"&amp;AC190&amp;"'!$L$7"))</f>
        <v/>
      </c>
      <c r="AE190" s="76">
        <f t="array" ref="AE190">IFERROR(OFFSET($BZ$11,ROW($B190)-11,MATCH(AE$10,$CA190:$FV190,0),),"")</f>
        <v/>
      </c>
      <c r="AF190" s="76">
        <f>IF(AE190="","",IF(VLOOKUP($B190,INDIRECT("'GRD-"&amp;AG190&amp;"'!$B:$R"),16,FALSE)="","",VLOOKUP($B190,INDIRECT("'GRD-"&amp;AG190&amp;"'!$B:$R"),16,FALSE)))</f>
        <v/>
      </c>
      <c r="AG190" s="132">
        <f t="array" ref="AG190">IF(AE190="","",IFERROR(OFFSET($BZ$11,0,MATCH($AE190,$CA190:$FV190,0),),""))</f>
        <v/>
      </c>
      <c r="AH190" s="121">
        <f t="array" ref="AH190">IF(AE190="","",INDIRECT("'GRD-"&amp;AG190&amp;"'!$L$7"))</f>
        <v/>
      </c>
      <c r="AI190" s="83">
        <f t="array" ref="AI190">IFERROR(OFFSET($BZ$11,ROW($B190)-11,MATCH(AI$10,$CA190:$FV190,0),),"")</f>
        <v/>
      </c>
      <c r="AJ190" s="83">
        <f>IF(AI190="","",IF(VLOOKUP($B190,INDIRECT("'GRD-"&amp;AK190&amp;"'!$B:$R"),16,FALSE)="","",VLOOKUP($B190,INDIRECT("'GRD-"&amp;AK190&amp;"'!$B:$R"),16,FALSE)))</f>
        <v/>
      </c>
      <c r="AK190" s="128">
        <f t="array" ref="AK190">IF(AI190="","",IFERROR(OFFSET($BZ$11,0,MATCH($AI190,$CA190:$FV190,0),),""))</f>
        <v/>
      </c>
      <c r="AL190" s="133">
        <f t="array" ref="AL190">IF(AI190="","",INDIRECT("'GRD-"&amp;AK190&amp;"'!$L$7"))</f>
        <v/>
      </c>
      <c r="AM190" s="84">
        <f t="array" ref="AM190">IFERROR(OFFSET($BZ$11,ROW($B190)-11,MATCH(AM$10,$CA190:$FV190,0),),"")</f>
        <v/>
      </c>
      <c r="AN190" s="84">
        <f>IF(AM190="","",IF(VLOOKUP($B190,INDIRECT("'GRD-"&amp;AO190&amp;"'!$B:$R"),16,FALSE)="","",VLOOKUP($B190,INDIRECT("'GRD-"&amp;AO190&amp;"'!$B:$R"),16,FALSE)))</f>
        <v/>
      </c>
      <c r="AO190" s="129">
        <f t="array" ref="AO190">IF(AM190="","",IFERROR(OFFSET($BZ$11,0,MATCH($AM190,$CA190:$FV190,0),),""))</f>
        <v/>
      </c>
      <c r="AP190" s="134">
        <f t="array" ref="AP190">IF(AM190="","",INDIRECT("'GRD-"&amp;AO190&amp;"'!$L$7"))</f>
        <v/>
      </c>
      <c r="AQ190" s="85">
        <f t="array" ref="AQ190">IFERROR(OFFSET($BZ$11,ROW($B190)-11,MATCH(AQ$10,$CA190:$FV190,0),),"")</f>
        <v/>
      </c>
      <c r="AR190" s="85">
        <f>IF(AQ190="","",IF(VLOOKUP($B190,INDIRECT("'GRD-"&amp;AS190&amp;"'!$B:$R"),16,FALSE)="","",VLOOKUP($B190,INDIRECT("'GRD-"&amp;AS190&amp;"'!$B:$R"),16,FALSE)))</f>
        <v/>
      </c>
      <c r="AS190" s="130">
        <f t="array" ref="AS190">IF(AQ190="","",IFERROR(OFFSET($BZ$11,0,MATCH($AQ190,$CA190:$FV190,0),),""))</f>
        <v/>
      </c>
      <c r="AT190" s="131">
        <f t="array" ref="AT190">IF(AQ190="","",INDIRECT("'GRD-"&amp;AS190&amp;"'!$L$7"))</f>
        <v/>
      </c>
      <c r="AU190" s="76">
        <f t="array" ref="AU190">IFERROR(OFFSET($BZ$11,ROW($B190)-11,MATCH(AU$10,$CA190:$FV190,0),),"")</f>
        <v/>
      </c>
      <c r="AV190" s="76">
        <f>IF(AU190="","",IF(VLOOKUP($B190,INDIRECT("'GRD-"&amp;AW190&amp;"'!$B:$R"),16,FALSE)="","",VLOOKUP($B190,INDIRECT("'GRD-"&amp;AW190&amp;"'!$B:$R"),16,FALSE)))</f>
        <v/>
      </c>
      <c r="AW190" s="132">
        <f t="array" ref="AW190">IF(AU190="","",IFERROR(OFFSET($BZ$11,0,MATCH($AU190,$CA190:$FV190,0),),""))</f>
        <v/>
      </c>
      <c r="AX190" s="121">
        <f t="array" ref="AX190">IF(AU190="","",INDIRECT("'GRD-"&amp;AW190&amp;"'!$L$7"))</f>
        <v/>
      </c>
      <c r="AY190" s="83">
        <f t="array" ref="AY190">IFERROR(OFFSET($BZ$11,ROW($B190)-11,MATCH(AY$10,$CA190:$FV190,0),),"")</f>
        <v/>
      </c>
      <c r="AZ190" s="83">
        <f>IF(AY190="","",IF(VLOOKUP($B190,INDIRECT("'GRD-"&amp;BA190&amp;"'!$B:$R"),16,FALSE)="","",VLOOKUP($B190,INDIRECT("'GRD-"&amp;BA190&amp;"'!$B:$R"),16,FALSE)))</f>
        <v/>
      </c>
      <c r="BA190" s="128">
        <f t="array" ref="BA190">IF(AY190="","",IFERROR(OFFSET($BZ$11,0,MATCH($AY190,$CA190:$FV190,0),),""))</f>
        <v/>
      </c>
      <c r="BB190" s="133">
        <f t="array" ref="BB190">IF(AY190="","",INDIRECT("'GRD-"&amp;BA190&amp;"'!$L$7"))</f>
        <v/>
      </c>
      <c r="BC190" s="84">
        <f t="array" ref="BC190">IFERROR(OFFSET($BZ$11,ROW($B190)-11,MATCH(BC$10,$CA190:$FV190,0),),"")</f>
        <v/>
      </c>
      <c r="BD190" s="84">
        <f>IF(BC190="","",IF(VLOOKUP($B190,INDIRECT("'GRD-"&amp;BE190&amp;"'!$B:$R"),16,FALSE)="","",VLOOKUP($B190,INDIRECT("'GRD-"&amp;BE190&amp;"'!$B:$R"),16,FALSE)))</f>
        <v/>
      </c>
      <c r="BE190" s="129">
        <f t="array" ref="BE190">IF(BC190="","",IFERROR(OFFSET($BZ$11,0,MATCH($BC190,$CA190:$FV190,0),),""))</f>
        <v/>
      </c>
      <c r="BF190" s="134">
        <f t="array" ref="BF190">IF(BC190="","",INDIRECT("'GRD-"&amp;BE190&amp;"'!$L$7"))</f>
        <v/>
      </c>
      <c r="CA190" s="96">
        <f>IFERROR(VLOOKUP($B190,INDIRECT("'GRD-"&amp;CA$11&amp;"'!B:R"),15,FALSE),"")</f>
        <v/>
      </c>
      <c r="CB190" s="96">
        <f>IFERROR(VLOOKUP($B190,INDIRECT("'GRD-"&amp;CB$11&amp;"'!B:R"),15,FALSE),"")</f>
        <v/>
      </c>
      <c r="CC190" s="96">
        <f>IFERROR(VLOOKUP($B190,INDIRECT("'GRD-"&amp;CC$11&amp;"'!B:R"),15,FALSE),"")</f>
        <v/>
      </c>
      <c r="CD190" s="96">
        <f>IFERROR(VLOOKUP($B190,INDIRECT("'GRD-"&amp;CD$11&amp;"'!B:R"),15,FALSE),"")</f>
        <v/>
      </c>
      <c r="CE190" s="96">
        <f>IFERROR(VLOOKUP($B190,INDIRECT("'GRD-"&amp;CE$11&amp;"'!B:R"),15,FALSE),"")</f>
        <v/>
      </c>
      <c r="CF190" s="96">
        <f>IFERROR(VLOOKUP($B190,INDIRECT("'GRD-"&amp;CF$11&amp;"'!B:R"),15,FALSE),"")</f>
        <v/>
      </c>
      <c r="CG190" s="96">
        <f>IFERROR(VLOOKUP($B190,INDIRECT("'GRD-"&amp;CG$11&amp;"'!B:R"),15,FALSE),"")</f>
        <v/>
      </c>
      <c r="CH190" s="96">
        <f>IFERROR(VLOOKUP($B190,INDIRECT("'GRD-"&amp;CH$11&amp;"'!B:R"),15,FALSE),"")</f>
        <v/>
      </c>
      <c r="CI190" s="96">
        <f>IFERROR(VLOOKUP($B190,INDIRECT("'GRD-"&amp;CI$11&amp;"'!B:R"),15,FALSE),"")</f>
        <v/>
      </c>
      <c r="CJ190" s="96">
        <f>IFERROR(VLOOKUP($B190,INDIRECT("'GRD-"&amp;CJ$11&amp;"'!B:R"),15,FALSE),"")</f>
        <v/>
      </c>
      <c r="CK190" s="96">
        <f>IFERROR(VLOOKUP($B190,INDIRECT("'GRD-"&amp;CK$11&amp;"'!B:R"),15,FALSE),"")</f>
        <v/>
      </c>
      <c r="CL190" s="96">
        <f>IFERROR(VLOOKUP($B190,INDIRECT("'GRD-"&amp;CL$11&amp;"'!B:R"),15,FALSE),"")</f>
        <v/>
      </c>
      <c r="CM190" s="96">
        <f>IFERROR(VLOOKUP($B190,INDIRECT("'GRD-"&amp;CM$11&amp;"'!B:R"),15,FALSE),"")</f>
        <v/>
      </c>
      <c r="CN190" s="96">
        <f>IFERROR(VLOOKUP($B190,INDIRECT("'GRD-"&amp;CN$11&amp;"'!B:R"),15,FALSE),"")</f>
        <v/>
      </c>
      <c r="CO190" s="96">
        <f>IFERROR(VLOOKUP($B190,INDIRECT("'GRD-"&amp;CO$11&amp;"'!B:R"),15,FALSE),"")</f>
        <v/>
      </c>
      <c r="CP190" s="96">
        <f>IFERROR(VLOOKUP($B190,INDIRECT("'GRD-"&amp;CP$11&amp;"'!B:R"),15,FALSE),"")</f>
        <v/>
      </c>
      <c r="CQ190" s="96">
        <f>IFERROR(VLOOKUP($B190,INDIRECT("'GRD-"&amp;CQ$11&amp;"'!B:R"),15,FALSE),"")</f>
        <v/>
      </c>
      <c r="CR190" s="96">
        <f>IFERROR(VLOOKUP($B190,INDIRECT("'GRD-"&amp;CR$11&amp;"'!B:R"),15,FALSE),"")</f>
        <v/>
      </c>
      <c r="CS190" s="96">
        <f>IFERROR(VLOOKUP($B190,INDIRECT("'GRD-"&amp;CS$11&amp;"'!B:R"),15,FALSE),"")</f>
        <v/>
      </c>
      <c r="CT190" s="96">
        <f>IFERROR(VLOOKUP($B190,INDIRECT("'GRD-"&amp;CT$11&amp;"'!B:R"),15,FALSE),"")</f>
        <v/>
      </c>
      <c r="CU190" s="96">
        <f>IFERROR(VLOOKUP($B190,INDIRECT("'GRD-"&amp;CU$11&amp;"'!B:R"),15,FALSE),"")</f>
        <v/>
      </c>
      <c r="CV190" s="96">
        <f>IFERROR(VLOOKUP($B190,INDIRECT("'GRD-"&amp;CV$11&amp;"'!B:R"),15,FALSE),"")</f>
        <v/>
      </c>
      <c r="CW190" s="96">
        <f>IFERROR(VLOOKUP($B190,INDIRECT("'GRD-"&amp;CW$11&amp;"'!B:R"),15,FALSE),"")</f>
        <v/>
      </c>
      <c r="CX190" s="96">
        <f>IFERROR(VLOOKUP($B190,INDIRECT("'GRD-"&amp;CX$11&amp;"'!B:R"),15,FALSE),"")</f>
        <v/>
      </c>
      <c r="CY190" s="96">
        <f>IFERROR(VLOOKUP($B190,INDIRECT("'GRD-"&amp;CY$11&amp;"'!B:R"),15,FALSE),"")</f>
        <v/>
      </c>
      <c r="CZ190" s="96">
        <f>IFERROR(VLOOKUP($B190,INDIRECT("'GRD-"&amp;CZ$11&amp;"'!B:R"),15,FALSE),"")</f>
        <v/>
      </c>
      <c r="DA190" s="96">
        <f>IFERROR(VLOOKUP($B190,INDIRECT("'GRD-"&amp;DA$11&amp;"'!B:R"),15,FALSE),"")</f>
        <v/>
      </c>
      <c r="DB190" s="96">
        <f>IFERROR(VLOOKUP($B190,INDIRECT("'GRD-"&amp;DB$11&amp;"'!B:R"),15,FALSE),"")</f>
        <v/>
      </c>
      <c r="DC190" s="96">
        <f>IFERROR(VLOOKUP($B190,INDIRECT("'GRD-"&amp;DC$11&amp;"'!B:R"),15,FALSE),"")</f>
        <v/>
      </c>
      <c r="DD190" s="96">
        <f>IFERROR(VLOOKUP($B190,INDIRECT("'GRD-"&amp;DD$11&amp;"'!B:R"),15,FALSE),"")</f>
        <v/>
      </c>
      <c r="DE190" s="96">
        <f>IFERROR(VLOOKUP($B190,INDIRECT("'GRD-"&amp;DE$11&amp;"'!B:R"),15,FALSE),"")</f>
        <v/>
      </c>
      <c r="DF190" s="96">
        <f>IFERROR(VLOOKUP($B190,INDIRECT("'GRD-"&amp;DF$11&amp;"'!B:R"),15,FALSE),"")</f>
        <v/>
      </c>
      <c r="DG190" s="96">
        <f>IFERROR(VLOOKUP($B190,INDIRECT("'GRD-"&amp;DG$11&amp;"'!B:R"),15,FALSE),"")</f>
        <v/>
      </c>
      <c r="DH190" s="96">
        <f>IFERROR(VLOOKUP($B190,INDIRECT("'GRD-"&amp;DH$11&amp;"'!B:R"),15,FALSE),"")</f>
        <v/>
      </c>
      <c r="DI190" s="96">
        <f>IFERROR(VLOOKUP($B190,INDIRECT("'GRD-"&amp;DI$11&amp;"'!B:R"),15,FALSE),"")</f>
        <v/>
      </c>
      <c r="DJ190" s="96">
        <f>IFERROR(VLOOKUP($B190,INDIRECT("'GRD-"&amp;DJ$11&amp;"'!B:R"),15,FALSE),"")</f>
        <v/>
      </c>
      <c r="DK190" s="96">
        <f>IFERROR(VLOOKUP($B190,INDIRECT("'GRD-"&amp;DK$11&amp;"'!B:R"),15,FALSE),"")</f>
        <v/>
      </c>
      <c r="DL190" s="96">
        <f>IFERROR(VLOOKUP($B190,INDIRECT("'GRD-"&amp;DL$11&amp;"'!B:R"),15,FALSE),"")</f>
        <v/>
      </c>
      <c r="DM190" s="96">
        <f>IFERROR(VLOOKUP($B190,INDIRECT("'GRD-"&amp;DM$11&amp;"'!B:R"),15,FALSE),"")</f>
        <v/>
      </c>
      <c r="DN190" s="96">
        <f>IFERROR(VLOOKUP($B190,INDIRECT("'GRD-"&amp;DN$11&amp;"'!B:R"),15,FALSE),"")</f>
        <v/>
      </c>
      <c r="DO190" s="96">
        <f>IFERROR(VLOOKUP($B190,INDIRECT("'GRD-"&amp;DO$11&amp;"'!B:R"),15,FALSE),"")</f>
        <v/>
      </c>
      <c r="DP190" s="96">
        <f>IFERROR(VLOOKUP($B190,INDIRECT("'GRD-"&amp;DP$11&amp;"'!B:R"),15,FALSE),"")</f>
        <v/>
      </c>
      <c r="DQ190" s="96">
        <f>IFERROR(VLOOKUP($B190,INDIRECT("'GRD-"&amp;DQ$11&amp;"'!B:R"),15,FALSE),"")</f>
        <v/>
      </c>
      <c r="DR190" s="96">
        <f>IFERROR(VLOOKUP($B190,INDIRECT("'GRD-"&amp;DR$11&amp;"'!B:R"),15,FALSE),"")</f>
        <v/>
      </c>
      <c r="DS190" s="96">
        <f>IFERROR(VLOOKUP($B190,INDIRECT("'GRD-"&amp;DS$11&amp;"'!B:R"),15,FALSE),"")</f>
        <v/>
      </c>
      <c r="DT190" s="96">
        <f>IFERROR(VLOOKUP($B190,INDIRECT("'GRD-"&amp;DT$11&amp;"'!B:R"),15,FALSE),"")</f>
        <v/>
      </c>
      <c r="DU190" s="96">
        <f>IFERROR(VLOOKUP($B190,INDIRECT("'GRD-"&amp;DU$11&amp;"'!B:R"),15,FALSE),"")</f>
        <v/>
      </c>
      <c r="DV190" s="96">
        <f>IFERROR(VLOOKUP($B190,INDIRECT("'GRD-"&amp;DV$11&amp;"'!B:R"),15,FALSE),"")</f>
        <v/>
      </c>
      <c r="DW190" s="96">
        <f>IFERROR(VLOOKUP($B190,INDIRECT("'GRD-"&amp;DW$11&amp;"'!B:R"),15,FALSE),"")</f>
        <v/>
      </c>
      <c r="DX190" s="96">
        <f>IFERROR(VLOOKUP($B190,INDIRECT("'GRD-"&amp;DX$11&amp;"'!B:R"),15,FALSE),"")</f>
        <v/>
      </c>
      <c r="DY190" s="96">
        <f>IFERROR(VLOOKUP($B190,INDIRECT("'GRD-"&amp;DY$11&amp;"'!B:R"),15,FALSE),"")</f>
        <v/>
      </c>
      <c r="DZ190" s="96">
        <f>IFERROR(VLOOKUP($B190,INDIRECT("'GRD-"&amp;DZ$11&amp;"'!B:R"),15,FALSE),"")</f>
        <v/>
      </c>
      <c r="EA190" s="96">
        <f>IFERROR(VLOOKUP($B190,INDIRECT("'GRD-"&amp;EA$11&amp;"'!B:R"),15,FALSE),"")</f>
        <v/>
      </c>
      <c r="EB190" s="96">
        <f>IFERROR(VLOOKUP($B190,INDIRECT("'GRD-"&amp;EB$11&amp;"'!B:R"),15,FALSE),"")</f>
        <v/>
      </c>
      <c r="EC190" s="96">
        <f>IFERROR(VLOOKUP($B190,INDIRECT("'GRD-"&amp;EC$11&amp;"'!B:R"),15,FALSE),"")</f>
        <v/>
      </c>
      <c r="ED190" s="96">
        <f>IFERROR(VLOOKUP($B190,INDIRECT("'GRD-"&amp;ED$11&amp;"'!B:R"),15,FALSE),"")</f>
        <v/>
      </c>
      <c r="EE190" s="96">
        <f>IFERROR(VLOOKUP($B190,INDIRECT("'GRD-"&amp;EE$11&amp;"'!B:R"),15,FALSE),"")</f>
        <v/>
      </c>
      <c r="EF190" s="96">
        <f>IFERROR(VLOOKUP($B190,INDIRECT("'GRD-"&amp;EF$11&amp;"'!B:R"),15,FALSE),"")</f>
        <v/>
      </c>
      <c r="EG190" s="96">
        <f>IFERROR(VLOOKUP($B190,INDIRECT("'GRD-"&amp;EG$11&amp;"'!B:R"),15,FALSE),"")</f>
        <v/>
      </c>
      <c r="EH190" s="96">
        <f>IFERROR(VLOOKUP($B190,INDIRECT("'GRD-"&amp;EH$11&amp;"'!B:R"),15,FALSE),"")</f>
        <v/>
      </c>
      <c r="EI190" s="96">
        <f>IFERROR(VLOOKUP($B190,INDIRECT("'GRD-"&amp;EI$11&amp;"'!B:R"),15,FALSE),"")</f>
        <v/>
      </c>
      <c r="EJ190" s="96">
        <f>IFERROR(VLOOKUP($B190,INDIRECT("'GRD-"&amp;EJ$11&amp;"'!B:R"),15,FALSE),"")</f>
        <v/>
      </c>
      <c r="EK190" s="96">
        <f>IFERROR(VLOOKUP($B190,INDIRECT("'GRD-"&amp;EK$11&amp;"'!B:R"),15,FALSE),"")</f>
        <v/>
      </c>
      <c r="EL190" s="96">
        <f>IFERROR(VLOOKUP($B190,INDIRECT("'GRD-"&amp;EL$11&amp;"'!B:R"),15,FALSE),"")</f>
        <v/>
      </c>
      <c r="EM190" s="96">
        <f>IFERROR(VLOOKUP($B190,INDIRECT("'GRD-"&amp;EM$11&amp;"'!B:R"),15,FALSE),"")</f>
        <v/>
      </c>
      <c r="EN190" s="96">
        <f>IFERROR(VLOOKUP($B190,INDIRECT("'GRD-"&amp;EN$11&amp;"'!B:R"),15,FALSE),"")</f>
        <v/>
      </c>
      <c r="EO190" s="96">
        <f>IFERROR(VLOOKUP($B190,INDIRECT("'GRD-"&amp;EO$11&amp;"'!B:R"),15,FALSE),"")</f>
        <v/>
      </c>
      <c r="EP190" s="96">
        <f>IFERROR(VLOOKUP($B190,INDIRECT("'GRD-"&amp;EP$11&amp;"'!B:R"),15,FALSE),"")</f>
        <v/>
      </c>
      <c r="EQ190" s="96">
        <f>IFERROR(VLOOKUP($B190,INDIRECT("'GRD-"&amp;EQ$11&amp;"'!B:R"),15,FALSE),"")</f>
        <v/>
      </c>
      <c r="ER190" s="96">
        <f>IFERROR(VLOOKUP($B190,INDIRECT("'GRD-"&amp;ER$11&amp;"'!B:R"),15,FALSE),"")</f>
        <v/>
      </c>
      <c r="ES190" s="96">
        <f>IFERROR(VLOOKUP($B190,INDIRECT("'GRD-"&amp;ES$11&amp;"'!B:R"),15,FALSE),"")</f>
        <v/>
      </c>
      <c r="ET190" s="96">
        <f>IFERROR(VLOOKUP($B190,INDIRECT("'GRD-"&amp;ET$11&amp;"'!B:R"),15,FALSE),"")</f>
        <v/>
      </c>
      <c r="EU190" s="96">
        <f>IFERROR(VLOOKUP($B190,INDIRECT("'GRD-"&amp;EU$11&amp;"'!B:R"),15,FALSE),"")</f>
        <v/>
      </c>
      <c r="EV190" s="96">
        <f>IFERROR(VLOOKUP($B190,INDIRECT("'GRD-"&amp;EV$11&amp;"'!B:R"),15,FALSE),"")</f>
        <v/>
      </c>
      <c r="EW190" s="96">
        <f>IFERROR(VLOOKUP($B190,INDIRECT("'GRD-"&amp;EW$11&amp;"'!B:R"),15,FALSE),"")</f>
        <v/>
      </c>
      <c r="EX190" s="96">
        <f>IFERROR(VLOOKUP($B190,INDIRECT("'GRD-"&amp;EX$11&amp;"'!B:R"),15,FALSE),"")</f>
        <v/>
      </c>
      <c r="EY190" s="96">
        <f>IFERROR(VLOOKUP($B190,INDIRECT("'GRD-"&amp;EY$11&amp;"'!B:R"),15,FALSE),"")</f>
        <v/>
      </c>
      <c r="EZ190" s="96">
        <f>IFERROR(VLOOKUP($B190,INDIRECT("'GRD-"&amp;EZ$11&amp;"'!B:R"),15,FALSE),"")</f>
        <v/>
      </c>
      <c r="FA190" s="96">
        <f>IFERROR(VLOOKUP($B190,INDIRECT("'GRD-"&amp;FA$11&amp;"'!B:R"),15,FALSE),"")</f>
        <v/>
      </c>
      <c r="FB190" s="96">
        <f>IFERROR(VLOOKUP($B190,INDIRECT("'GRD-"&amp;FB$11&amp;"'!B:R"),15,FALSE),"")</f>
        <v/>
      </c>
      <c r="FC190" s="96">
        <f>IFERROR(VLOOKUP($B190,INDIRECT("'GRD-"&amp;FC$11&amp;"'!B:R"),15,FALSE),"")</f>
        <v/>
      </c>
      <c r="FD190" s="96">
        <f>IFERROR(VLOOKUP($B190,INDIRECT("'GRD-"&amp;FD$11&amp;"'!B:R"),15,FALSE),"")</f>
        <v/>
      </c>
      <c r="FE190" s="96">
        <f>IFERROR(VLOOKUP($B190,INDIRECT("'GRD-"&amp;FE$11&amp;"'!B:R"),15,FALSE),"")</f>
        <v/>
      </c>
      <c r="FF190" s="96">
        <f>IFERROR(VLOOKUP($B190,INDIRECT("'GRD-"&amp;FF$11&amp;"'!B:R"),15,FALSE),"")</f>
        <v/>
      </c>
      <c r="FG190" s="96">
        <f>IFERROR(VLOOKUP($B190,INDIRECT("'GRD-"&amp;FG$11&amp;"'!B:R"),15,FALSE),"")</f>
        <v/>
      </c>
      <c r="FH190" s="96">
        <f>IFERROR(VLOOKUP($B190,INDIRECT("'GRD-"&amp;FH$11&amp;"'!B:R"),15,FALSE),"")</f>
        <v/>
      </c>
      <c r="FI190" s="96">
        <f>IFERROR(VLOOKUP($B190,INDIRECT("'GRD-"&amp;FI$11&amp;"'!B:R"),15,FALSE),"")</f>
        <v/>
      </c>
      <c r="FJ190" s="96">
        <f>IFERROR(VLOOKUP($B190,INDIRECT("'GRD-"&amp;FJ$11&amp;"'!B:R"),15,FALSE),"")</f>
        <v/>
      </c>
      <c r="FK190" s="96">
        <f>IFERROR(VLOOKUP($B190,INDIRECT("'GRD-"&amp;FK$11&amp;"'!B:R"),15,FALSE),"")</f>
        <v/>
      </c>
      <c r="FL190" s="96">
        <f>IFERROR(VLOOKUP($B190,INDIRECT("'GRD-"&amp;FL$11&amp;"'!B:R"),15,FALSE),"")</f>
        <v/>
      </c>
      <c r="FM190" s="96">
        <f>IFERROR(VLOOKUP($B190,INDIRECT("'GRD-"&amp;FM$11&amp;"'!B:R"),15,FALSE),"")</f>
        <v/>
      </c>
      <c r="FN190" s="96">
        <f>IFERROR(VLOOKUP($B190,INDIRECT("'GRD-"&amp;FN$11&amp;"'!B:R"),15,FALSE),"")</f>
        <v/>
      </c>
      <c r="FO190" s="96">
        <f>IFERROR(VLOOKUP($B190,INDIRECT("'GRD-"&amp;FO$11&amp;"'!B:R"),15,FALSE),"")</f>
        <v/>
      </c>
      <c r="FP190" s="96">
        <f>IFERROR(VLOOKUP($B190,INDIRECT("'GRD-"&amp;FP$11&amp;"'!B:R"),15,FALSE),"")</f>
        <v/>
      </c>
      <c r="FQ190" s="96">
        <f>IFERROR(VLOOKUP($B190,INDIRECT("'GRD-"&amp;FQ$11&amp;"'!B:R"),15,FALSE),"")</f>
        <v/>
      </c>
      <c r="FR190" s="96">
        <f>IFERROR(VLOOKUP($B190,INDIRECT("'GRD-"&amp;FR$11&amp;"'!B:R"),15,FALSE),"")</f>
        <v/>
      </c>
      <c r="FS190" s="96">
        <f>IFERROR(VLOOKUP($B190,INDIRECT("'GRD-"&amp;FS$11&amp;"'!B:R"),15,FALSE),"")</f>
        <v/>
      </c>
      <c r="FT190" s="96">
        <f>IFERROR(VLOOKUP($B190,INDIRECT("'GRD-"&amp;FT$11&amp;"'!B:R"),15,FALSE),"")</f>
        <v/>
      </c>
      <c r="FU190" s="96">
        <f>IFERROR(VLOOKUP($B190,INDIRECT("'GRD-"&amp;FU$11&amp;"'!B:R"),15,FALSE),"")</f>
        <v/>
      </c>
      <c r="FV190" s="96">
        <f>IFERROR(VLOOKUP($B190,INDIRECT("'GRD-"&amp;FV$11&amp;"'!B:R"),15,FALSE),"")</f>
        <v/>
      </c>
    </row>
    <row r="191">
      <c r="B191" s="85" t="n"/>
      <c r="C191" s="93" t="n"/>
      <c r="D191" s="73">
        <f>IF(K191="","",MAX($CA191:$FV191))</f>
        <v/>
      </c>
      <c r="E191" s="74">
        <f t="array" ref="E191">IF($K191="","",OFFSET($A$1,ROW($B191)-1,11+$D191*4,))</f>
        <v/>
      </c>
      <c r="F191" s="74">
        <f t="array" ref="F191">IF($K191="","",OFFSET($A$1,ROW($B191)-1,12+$D191*4,))</f>
        <v/>
      </c>
      <c r="G191" s="118">
        <f t="array" ref="G191">IF($K191="","",OFFSET($A$1,ROW($B191)-1,13+$D191*4,))</f>
        <v/>
      </c>
      <c r="H191" s="81" t="n"/>
      <c r="I191" s="82" t="n"/>
      <c r="J191" s="75">
        <f>IF(I191="A4",H191/8,IF(I191="A3",H191/4,IF(I191="A2",H191/2,IF(I191="A1",H191/1,IF(I191="A0",H191*2,"")))))</f>
        <v/>
      </c>
      <c r="K191" s="68">
        <f t="array" ref="K191">IFERROR(OFFSET($BZ$11,ROW($B191)-11,MATCH(K$10,$CA191:$FV191,0),),"")</f>
        <v/>
      </c>
      <c r="L191" s="85">
        <f>IF(K191="","",IF(VLOOKUP($B191,INDIRECT("'GRD-"&amp;M191&amp;"'!$B:$R"),16,FALSE)="","",VLOOKUP($B191,INDIRECT("'GRD-"&amp;M191&amp;"'!$B:$R"),16,FALSE)))</f>
        <v/>
      </c>
      <c r="M191" s="130">
        <f t="array" ref="M191">IF(K191="","",IFERROR(OFFSET($BZ$11,0,MATCH($K191,$CA191:$FV191,0),),""))</f>
        <v/>
      </c>
      <c r="N191" s="119">
        <f t="array" ref="N191">IF(K191="","",INDIRECT("'GRD-"&amp;M191&amp;"'!$L$7"))</f>
        <v/>
      </c>
      <c r="O191" s="76">
        <f t="array" ref="O191">IFERROR(OFFSET($BZ$11,ROW($B191)-11,MATCH(O$10,$CA191:$FV191,0),),"")</f>
        <v/>
      </c>
      <c r="P191" s="76">
        <f>IF(O191="","",IF(VLOOKUP($B191,INDIRECT("'GRD-"&amp;Q191&amp;"'!$B:$R"),16,FALSE)="","",VLOOKUP($B191,INDIRECT("'GRD-"&amp;Q191&amp;"'!$B:$R"),16,FALSE)))</f>
        <v/>
      </c>
      <c r="Q191" s="132">
        <f t="array" ref="Q191">IF(O191="","",IFERROR(OFFSET($BZ$11,0,MATCH($O191,$CA191:$FV191,0),),""))</f>
        <v/>
      </c>
      <c r="R191" s="121">
        <f t="array" ref="R191">IF(O191="","",INDIRECT("'GRD-"&amp;Q191&amp;"'!$L$7"))</f>
        <v/>
      </c>
      <c r="S191" s="83">
        <f t="array" ref="S191">IFERROR(OFFSET($BZ$11,ROW($B191)-11,MATCH(S$10,$CA191:$FV191,0),),"")</f>
        <v/>
      </c>
      <c r="T191" s="83">
        <f>IF(S191="","",IF(VLOOKUP($B191,INDIRECT("'GRD-"&amp;U191&amp;"'!$B:$R"),16,FALSE)="","",VLOOKUP($B191,INDIRECT("'GRD-"&amp;U191&amp;"'!$B:$R"),16,FALSE)))</f>
        <v/>
      </c>
      <c r="U191" s="128">
        <f t="array" ref="U191">IF(S191="","",IFERROR(OFFSET($BZ$11,0,MATCH($S191,$CA191:$FV191,0),),""))</f>
        <v/>
      </c>
      <c r="V191" s="133">
        <f t="array" ref="V191">IF(S191="","",INDIRECT("'GRD-"&amp;U191&amp;"'!$L$7"))</f>
        <v/>
      </c>
      <c r="W191" s="84">
        <f t="array" ref="W191">IFERROR(OFFSET($BZ$11,ROW($B191)-11,MATCH(W$10,$CA191:$FV191,0),),"")</f>
        <v/>
      </c>
      <c r="X191" s="84">
        <f>IF(W191="","",IF(VLOOKUP($B191,INDIRECT("'GRD-"&amp;Y191&amp;"'!$B:$R"),16,FALSE)="","",VLOOKUP($B191,INDIRECT("'GRD-"&amp;Y191&amp;"'!$B:$R"),16,FALSE)))</f>
        <v/>
      </c>
      <c r="Y191" s="129">
        <f t="array" ref="Y191">IF(W191="","",IFERROR(OFFSET($BZ$11,0,MATCH($W191,$CA191:$FV191,0),),""))</f>
        <v/>
      </c>
      <c r="Z191" s="134">
        <f t="array" ref="Z191">IF(W191="","",INDIRECT("'GRD-"&amp;Y191&amp;"'!$L$7"))</f>
        <v/>
      </c>
      <c r="AA191" s="85">
        <f t="array" ref="AA191">IFERROR(OFFSET($BZ$11,ROW($B191)-11,MATCH(AA$10,$CA191:$FV191,0),),"")</f>
        <v/>
      </c>
      <c r="AB191" s="85">
        <f>IF(AA191="","",IF(VLOOKUP($B191,INDIRECT("'GRD-"&amp;AC191&amp;"'!$B:$R"),16,FALSE)="","",VLOOKUP($B191,INDIRECT("'GRD-"&amp;AC191&amp;"'!$B:$R"),16,FALSE)))</f>
        <v/>
      </c>
      <c r="AC191" s="130">
        <f t="array" ref="AC191">IF(AA191="","",IFERROR(OFFSET($BZ$11,0,MATCH($AA191,$CA191:$FV191,0),),""))</f>
        <v/>
      </c>
      <c r="AD191" s="131">
        <f t="array" ref="AD191">IF(AA191="","",INDIRECT("'GRD-"&amp;AC191&amp;"'!$L$7"))</f>
        <v/>
      </c>
      <c r="AE191" s="76">
        <f t="array" ref="AE191">IFERROR(OFFSET($BZ$11,ROW($B191)-11,MATCH(AE$10,$CA191:$FV191,0),),"")</f>
        <v/>
      </c>
      <c r="AF191" s="76">
        <f>IF(AE191="","",IF(VLOOKUP($B191,INDIRECT("'GRD-"&amp;AG191&amp;"'!$B:$R"),16,FALSE)="","",VLOOKUP($B191,INDIRECT("'GRD-"&amp;AG191&amp;"'!$B:$R"),16,FALSE)))</f>
        <v/>
      </c>
      <c r="AG191" s="132">
        <f t="array" ref="AG191">IF(AE191="","",IFERROR(OFFSET($BZ$11,0,MATCH($AE191,$CA191:$FV191,0),),""))</f>
        <v/>
      </c>
      <c r="AH191" s="121">
        <f t="array" ref="AH191">IF(AE191="","",INDIRECT("'GRD-"&amp;AG191&amp;"'!$L$7"))</f>
        <v/>
      </c>
      <c r="AI191" s="83">
        <f t="array" ref="AI191">IFERROR(OFFSET($BZ$11,ROW($B191)-11,MATCH(AI$10,$CA191:$FV191,0),),"")</f>
        <v/>
      </c>
      <c r="AJ191" s="83">
        <f>IF(AI191="","",IF(VLOOKUP($B191,INDIRECT("'GRD-"&amp;AK191&amp;"'!$B:$R"),16,FALSE)="","",VLOOKUP($B191,INDIRECT("'GRD-"&amp;AK191&amp;"'!$B:$R"),16,FALSE)))</f>
        <v/>
      </c>
      <c r="AK191" s="128">
        <f t="array" ref="AK191">IF(AI191="","",IFERROR(OFFSET($BZ$11,0,MATCH($AI191,$CA191:$FV191,0),),""))</f>
        <v/>
      </c>
      <c r="AL191" s="133">
        <f t="array" ref="AL191">IF(AI191="","",INDIRECT("'GRD-"&amp;AK191&amp;"'!$L$7"))</f>
        <v/>
      </c>
      <c r="AM191" s="84">
        <f t="array" ref="AM191">IFERROR(OFFSET($BZ$11,ROW($B191)-11,MATCH(AM$10,$CA191:$FV191,0),),"")</f>
        <v/>
      </c>
      <c r="AN191" s="84">
        <f>IF(AM191="","",IF(VLOOKUP($B191,INDIRECT("'GRD-"&amp;AO191&amp;"'!$B:$R"),16,FALSE)="","",VLOOKUP($B191,INDIRECT("'GRD-"&amp;AO191&amp;"'!$B:$R"),16,FALSE)))</f>
        <v/>
      </c>
      <c r="AO191" s="129">
        <f t="array" ref="AO191">IF(AM191="","",IFERROR(OFFSET($BZ$11,0,MATCH($AM191,$CA191:$FV191,0),),""))</f>
        <v/>
      </c>
      <c r="AP191" s="134">
        <f t="array" ref="AP191">IF(AM191="","",INDIRECT("'GRD-"&amp;AO191&amp;"'!$L$7"))</f>
        <v/>
      </c>
      <c r="AQ191" s="85">
        <f t="array" ref="AQ191">IFERROR(OFFSET($BZ$11,ROW($B191)-11,MATCH(AQ$10,$CA191:$FV191,0),),"")</f>
        <v/>
      </c>
      <c r="AR191" s="85">
        <f>IF(AQ191="","",IF(VLOOKUP($B191,INDIRECT("'GRD-"&amp;AS191&amp;"'!$B:$R"),16,FALSE)="","",VLOOKUP($B191,INDIRECT("'GRD-"&amp;AS191&amp;"'!$B:$R"),16,FALSE)))</f>
        <v/>
      </c>
      <c r="AS191" s="130">
        <f t="array" ref="AS191">IF(AQ191="","",IFERROR(OFFSET($BZ$11,0,MATCH($AQ191,$CA191:$FV191,0),),""))</f>
        <v/>
      </c>
      <c r="AT191" s="131">
        <f t="array" ref="AT191">IF(AQ191="","",INDIRECT("'GRD-"&amp;AS191&amp;"'!$L$7"))</f>
        <v/>
      </c>
      <c r="AU191" s="76">
        <f t="array" ref="AU191">IFERROR(OFFSET($BZ$11,ROW($B191)-11,MATCH(AU$10,$CA191:$FV191,0),),"")</f>
        <v/>
      </c>
      <c r="AV191" s="76">
        <f>IF(AU191="","",IF(VLOOKUP($B191,INDIRECT("'GRD-"&amp;AW191&amp;"'!$B:$R"),16,FALSE)="","",VLOOKUP($B191,INDIRECT("'GRD-"&amp;AW191&amp;"'!$B:$R"),16,FALSE)))</f>
        <v/>
      </c>
      <c r="AW191" s="132">
        <f t="array" ref="AW191">IF(AU191="","",IFERROR(OFFSET($BZ$11,0,MATCH($AU191,$CA191:$FV191,0),),""))</f>
        <v/>
      </c>
      <c r="AX191" s="121">
        <f t="array" ref="AX191">IF(AU191="","",INDIRECT("'GRD-"&amp;AW191&amp;"'!$L$7"))</f>
        <v/>
      </c>
      <c r="AY191" s="83">
        <f t="array" ref="AY191">IFERROR(OFFSET($BZ$11,ROW($B191)-11,MATCH(AY$10,$CA191:$FV191,0),),"")</f>
        <v/>
      </c>
      <c r="AZ191" s="83">
        <f>IF(AY191="","",IF(VLOOKUP($B191,INDIRECT("'GRD-"&amp;BA191&amp;"'!$B:$R"),16,FALSE)="","",VLOOKUP($B191,INDIRECT("'GRD-"&amp;BA191&amp;"'!$B:$R"),16,FALSE)))</f>
        <v/>
      </c>
      <c r="BA191" s="128">
        <f t="array" ref="BA191">IF(AY191="","",IFERROR(OFFSET($BZ$11,0,MATCH($AY191,$CA191:$FV191,0),),""))</f>
        <v/>
      </c>
      <c r="BB191" s="133">
        <f t="array" ref="BB191">IF(AY191="","",INDIRECT("'GRD-"&amp;BA191&amp;"'!$L$7"))</f>
        <v/>
      </c>
      <c r="BC191" s="84">
        <f t="array" ref="BC191">IFERROR(OFFSET($BZ$11,ROW($B191)-11,MATCH(BC$10,$CA191:$FV191,0),),"")</f>
        <v/>
      </c>
      <c r="BD191" s="84">
        <f>IF(BC191="","",IF(VLOOKUP($B191,INDIRECT("'GRD-"&amp;BE191&amp;"'!$B:$R"),16,FALSE)="","",VLOOKUP($B191,INDIRECT("'GRD-"&amp;BE191&amp;"'!$B:$R"),16,FALSE)))</f>
        <v/>
      </c>
      <c r="BE191" s="129">
        <f t="array" ref="BE191">IF(BC191="","",IFERROR(OFFSET($BZ$11,0,MATCH($BC191,$CA191:$FV191,0),),""))</f>
        <v/>
      </c>
      <c r="BF191" s="134">
        <f t="array" ref="BF191">IF(BC191="","",INDIRECT("'GRD-"&amp;BE191&amp;"'!$L$7"))</f>
        <v/>
      </c>
      <c r="CA191" s="96">
        <f>IFERROR(VLOOKUP($B191,INDIRECT("'GRD-"&amp;CA$11&amp;"'!B:R"),15,FALSE),"")</f>
        <v/>
      </c>
      <c r="CB191" s="96">
        <f>IFERROR(VLOOKUP($B191,INDIRECT("'GRD-"&amp;CB$11&amp;"'!B:R"),15,FALSE),"")</f>
        <v/>
      </c>
      <c r="CC191" s="96">
        <f>IFERROR(VLOOKUP($B191,INDIRECT("'GRD-"&amp;CC$11&amp;"'!B:R"),15,FALSE),"")</f>
        <v/>
      </c>
      <c r="CD191" s="96">
        <f>IFERROR(VLOOKUP($B191,INDIRECT("'GRD-"&amp;CD$11&amp;"'!B:R"),15,FALSE),"")</f>
        <v/>
      </c>
      <c r="CE191" s="96">
        <f>IFERROR(VLOOKUP($B191,INDIRECT("'GRD-"&amp;CE$11&amp;"'!B:R"),15,FALSE),"")</f>
        <v/>
      </c>
      <c r="CF191" s="96">
        <f>IFERROR(VLOOKUP($B191,INDIRECT("'GRD-"&amp;CF$11&amp;"'!B:R"),15,FALSE),"")</f>
        <v/>
      </c>
      <c r="CG191" s="96">
        <f>IFERROR(VLOOKUP($B191,INDIRECT("'GRD-"&amp;CG$11&amp;"'!B:R"),15,FALSE),"")</f>
        <v/>
      </c>
      <c r="CH191" s="96">
        <f>IFERROR(VLOOKUP($B191,INDIRECT("'GRD-"&amp;CH$11&amp;"'!B:R"),15,FALSE),"")</f>
        <v/>
      </c>
      <c r="CI191" s="96">
        <f>IFERROR(VLOOKUP($B191,INDIRECT("'GRD-"&amp;CI$11&amp;"'!B:R"),15,FALSE),"")</f>
        <v/>
      </c>
      <c r="CJ191" s="96">
        <f>IFERROR(VLOOKUP($B191,INDIRECT("'GRD-"&amp;CJ$11&amp;"'!B:R"),15,FALSE),"")</f>
        <v/>
      </c>
      <c r="CK191" s="96">
        <f>IFERROR(VLOOKUP($B191,INDIRECT("'GRD-"&amp;CK$11&amp;"'!B:R"),15,FALSE),"")</f>
        <v/>
      </c>
      <c r="CL191" s="96">
        <f>IFERROR(VLOOKUP($B191,INDIRECT("'GRD-"&amp;CL$11&amp;"'!B:R"),15,FALSE),"")</f>
        <v/>
      </c>
      <c r="CM191" s="96">
        <f>IFERROR(VLOOKUP($B191,INDIRECT("'GRD-"&amp;CM$11&amp;"'!B:R"),15,FALSE),"")</f>
        <v/>
      </c>
      <c r="CN191" s="96">
        <f>IFERROR(VLOOKUP($B191,INDIRECT("'GRD-"&amp;CN$11&amp;"'!B:R"),15,FALSE),"")</f>
        <v/>
      </c>
      <c r="CO191" s="96">
        <f>IFERROR(VLOOKUP($B191,INDIRECT("'GRD-"&amp;CO$11&amp;"'!B:R"),15,FALSE),"")</f>
        <v/>
      </c>
      <c r="CP191" s="96">
        <f>IFERROR(VLOOKUP($B191,INDIRECT("'GRD-"&amp;CP$11&amp;"'!B:R"),15,FALSE),"")</f>
        <v/>
      </c>
      <c r="CQ191" s="96">
        <f>IFERROR(VLOOKUP($B191,INDIRECT("'GRD-"&amp;CQ$11&amp;"'!B:R"),15,FALSE),"")</f>
        <v/>
      </c>
      <c r="CR191" s="96">
        <f>IFERROR(VLOOKUP($B191,INDIRECT("'GRD-"&amp;CR$11&amp;"'!B:R"),15,FALSE),"")</f>
        <v/>
      </c>
      <c r="CS191" s="96">
        <f>IFERROR(VLOOKUP($B191,INDIRECT("'GRD-"&amp;CS$11&amp;"'!B:R"),15,FALSE),"")</f>
        <v/>
      </c>
      <c r="CT191" s="96">
        <f>IFERROR(VLOOKUP($B191,INDIRECT("'GRD-"&amp;CT$11&amp;"'!B:R"),15,FALSE),"")</f>
        <v/>
      </c>
      <c r="CU191" s="96">
        <f>IFERROR(VLOOKUP($B191,INDIRECT("'GRD-"&amp;CU$11&amp;"'!B:R"),15,FALSE),"")</f>
        <v/>
      </c>
      <c r="CV191" s="96">
        <f>IFERROR(VLOOKUP($B191,INDIRECT("'GRD-"&amp;CV$11&amp;"'!B:R"),15,FALSE),"")</f>
        <v/>
      </c>
      <c r="CW191" s="96">
        <f>IFERROR(VLOOKUP($B191,INDIRECT("'GRD-"&amp;CW$11&amp;"'!B:R"),15,FALSE),"")</f>
        <v/>
      </c>
      <c r="CX191" s="96">
        <f>IFERROR(VLOOKUP($B191,INDIRECT("'GRD-"&amp;CX$11&amp;"'!B:R"),15,FALSE),"")</f>
        <v/>
      </c>
      <c r="CY191" s="96">
        <f>IFERROR(VLOOKUP($B191,INDIRECT("'GRD-"&amp;CY$11&amp;"'!B:R"),15,FALSE),"")</f>
        <v/>
      </c>
      <c r="CZ191" s="96">
        <f>IFERROR(VLOOKUP($B191,INDIRECT("'GRD-"&amp;CZ$11&amp;"'!B:R"),15,FALSE),"")</f>
        <v/>
      </c>
      <c r="DA191" s="96">
        <f>IFERROR(VLOOKUP($B191,INDIRECT("'GRD-"&amp;DA$11&amp;"'!B:R"),15,FALSE),"")</f>
        <v/>
      </c>
      <c r="DB191" s="96">
        <f>IFERROR(VLOOKUP($B191,INDIRECT("'GRD-"&amp;DB$11&amp;"'!B:R"),15,FALSE),"")</f>
        <v/>
      </c>
      <c r="DC191" s="96">
        <f>IFERROR(VLOOKUP($B191,INDIRECT("'GRD-"&amp;DC$11&amp;"'!B:R"),15,FALSE),"")</f>
        <v/>
      </c>
      <c r="DD191" s="96">
        <f>IFERROR(VLOOKUP($B191,INDIRECT("'GRD-"&amp;DD$11&amp;"'!B:R"),15,FALSE),"")</f>
        <v/>
      </c>
      <c r="DE191" s="96">
        <f>IFERROR(VLOOKUP($B191,INDIRECT("'GRD-"&amp;DE$11&amp;"'!B:R"),15,FALSE),"")</f>
        <v/>
      </c>
      <c r="DF191" s="96">
        <f>IFERROR(VLOOKUP($B191,INDIRECT("'GRD-"&amp;DF$11&amp;"'!B:R"),15,FALSE),"")</f>
        <v/>
      </c>
      <c r="DG191" s="96">
        <f>IFERROR(VLOOKUP($B191,INDIRECT("'GRD-"&amp;DG$11&amp;"'!B:R"),15,FALSE),"")</f>
        <v/>
      </c>
      <c r="DH191" s="96">
        <f>IFERROR(VLOOKUP($B191,INDIRECT("'GRD-"&amp;DH$11&amp;"'!B:R"),15,FALSE),"")</f>
        <v/>
      </c>
      <c r="DI191" s="96">
        <f>IFERROR(VLOOKUP($B191,INDIRECT("'GRD-"&amp;DI$11&amp;"'!B:R"),15,FALSE),"")</f>
        <v/>
      </c>
      <c r="DJ191" s="96">
        <f>IFERROR(VLOOKUP($B191,INDIRECT("'GRD-"&amp;DJ$11&amp;"'!B:R"),15,FALSE),"")</f>
        <v/>
      </c>
      <c r="DK191" s="96">
        <f>IFERROR(VLOOKUP($B191,INDIRECT("'GRD-"&amp;DK$11&amp;"'!B:R"),15,FALSE),"")</f>
        <v/>
      </c>
      <c r="DL191" s="96">
        <f>IFERROR(VLOOKUP($B191,INDIRECT("'GRD-"&amp;DL$11&amp;"'!B:R"),15,FALSE),"")</f>
        <v/>
      </c>
      <c r="DM191" s="96">
        <f>IFERROR(VLOOKUP($B191,INDIRECT("'GRD-"&amp;DM$11&amp;"'!B:R"),15,FALSE),"")</f>
        <v/>
      </c>
      <c r="DN191" s="96">
        <f>IFERROR(VLOOKUP($B191,INDIRECT("'GRD-"&amp;DN$11&amp;"'!B:R"),15,FALSE),"")</f>
        <v/>
      </c>
      <c r="DO191" s="96">
        <f>IFERROR(VLOOKUP($B191,INDIRECT("'GRD-"&amp;DO$11&amp;"'!B:R"),15,FALSE),"")</f>
        <v/>
      </c>
      <c r="DP191" s="96">
        <f>IFERROR(VLOOKUP($B191,INDIRECT("'GRD-"&amp;DP$11&amp;"'!B:R"),15,FALSE),"")</f>
        <v/>
      </c>
      <c r="DQ191" s="96">
        <f>IFERROR(VLOOKUP($B191,INDIRECT("'GRD-"&amp;DQ$11&amp;"'!B:R"),15,FALSE),"")</f>
        <v/>
      </c>
      <c r="DR191" s="96">
        <f>IFERROR(VLOOKUP($B191,INDIRECT("'GRD-"&amp;DR$11&amp;"'!B:R"),15,FALSE),"")</f>
        <v/>
      </c>
      <c r="DS191" s="96">
        <f>IFERROR(VLOOKUP($B191,INDIRECT("'GRD-"&amp;DS$11&amp;"'!B:R"),15,FALSE),"")</f>
        <v/>
      </c>
      <c r="DT191" s="96">
        <f>IFERROR(VLOOKUP($B191,INDIRECT("'GRD-"&amp;DT$11&amp;"'!B:R"),15,FALSE),"")</f>
        <v/>
      </c>
      <c r="DU191" s="96">
        <f>IFERROR(VLOOKUP($B191,INDIRECT("'GRD-"&amp;DU$11&amp;"'!B:R"),15,FALSE),"")</f>
        <v/>
      </c>
      <c r="DV191" s="96">
        <f>IFERROR(VLOOKUP($B191,INDIRECT("'GRD-"&amp;DV$11&amp;"'!B:R"),15,FALSE),"")</f>
        <v/>
      </c>
      <c r="DW191" s="96">
        <f>IFERROR(VLOOKUP($B191,INDIRECT("'GRD-"&amp;DW$11&amp;"'!B:R"),15,FALSE),"")</f>
        <v/>
      </c>
      <c r="DX191" s="96">
        <f>IFERROR(VLOOKUP($B191,INDIRECT("'GRD-"&amp;DX$11&amp;"'!B:R"),15,FALSE),"")</f>
        <v/>
      </c>
      <c r="DY191" s="96">
        <f>IFERROR(VLOOKUP($B191,INDIRECT("'GRD-"&amp;DY$11&amp;"'!B:R"),15,FALSE),"")</f>
        <v/>
      </c>
      <c r="DZ191" s="96">
        <f>IFERROR(VLOOKUP($B191,INDIRECT("'GRD-"&amp;DZ$11&amp;"'!B:R"),15,FALSE),"")</f>
        <v/>
      </c>
      <c r="EA191" s="96">
        <f>IFERROR(VLOOKUP($B191,INDIRECT("'GRD-"&amp;EA$11&amp;"'!B:R"),15,FALSE),"")</f>
        <v/>
      </c>
      <c r="EB191" s="96">
        <f>IFERROR(VLOOKUP($B191,INDIRECT("'GRD-"&amp;EB$11&amp;"'!B:R"),15,FALSE),"")</f>
        <v/>
      </c>
      <c r="EC191" s="96">
        <f>IFERROR(VLOOKUP($B191,INDIRECT("'GRD-"&amp;EC$11&amp;"'!B:R"),15,FALSE),"")</f>
        <v/>
      </c>
      <c r="ED191" s="96">
        <f>IFERROR(VLOOKUP($B191,INDIRECT("'GRD-"&amp;ED$11&amp;"'!B:R"),15,FALSE),"")</f>
        <v/>
      </c>
      <c r="EE191" s="96">
        <f>IFERROR(VLOOKUP($B191,INDIRECT("'GRD-"&amp;EE$11&amp;"'!B:R"),15,FALSE),"")</f>
        <v/>
      </c>
      <c r="EF191" s="96">
        <f>IFERROR(VLOOKUP($B191,INDIRECT("'GRD-"&amp;EF$11&amp;"'!B:R"),15,FALSE),"")</f>
        <v/>
      </c>
      <c r="EG191" s="96">
        <f>IFERROR(VLOOKUP($B191,INDIRECT("'GRD-"&amp;EG$11&amp;"'!B:R"),15,FALSE),"")</f>
        <v/>
      </c>
      <c r="EH191" s="96">
        <f>IFERROR(VLOOKUP($B191,INDIRECT("'GRD-"&amp;EH$11&amp;"'!B:R"),15,FALSE),"")</f>
        <v/>
      </c>
      <c r="EI191" s="96">
        <f>IFERROR(VLOOKUP($B191,INDIRECT("'GRD-"&amp;EI$11&amp;"'!B:R"),15,FALSE),"")</f>
        <v/>
      </c>
      <c r="EJ191" s="96">
        <f>IFERROR(VLOOKUP($B191,INDIRECT("'GRD-"&amp;EJ$11&amp;"'!B:R"),15,FALSE),"")</f>
        <v/>
      </c>
      <c r="EK191" s="96">
        <f>IFERROR(VLOOKUP($B191,INDIRECT("'GRD-"&amp;EK$11&amp;"'!B:R"),15,FALSE),"")</f>
        <v/>
      </c>
      <c r="EL191" s="96">
        <f>IFERROR(VLOOKUP($B191,INDIRECT("'GRD-"&amp;EL$11&amp;"'!B:R"),15,FALSE),"")</f>
        <v/>
      </c>
      <c r="EM191" s="96">
        <f>IFERROR(VLOOKUP($B191,INDIRECT("'GRD-"&amp;EM$11&amp;"'!B:R"),15,FALSE),"")</f>
        <v/>
      </c>
      <c r="EN191" s="96">
        <f>IFERROR(VLOOKUP($B191,INDIRECT("'GRD-"&amp;EN$11&amp;"'!B:R"),15,FALSE),"")</f>
        <v/>
      </c>
      <c r="EO191" s="96">
        <f>IFERROR(VLOOKUP($B191,INDIRECT("'GRD-"&amp;EO$11&amp;"'!B:R"),15,FALSE),"")</f>
        <v/>
      </c>
      <c r="EP191" s="96">
        <f>IFERROR(VLOOKUP($B191,INDIRECT("'GRD-"&amp;EP$11&amp;"'!B:R"),15,FALSE),"")</f>
        <v/>
      </c>
      <c r="EQ191" s="96">
        <f>IFERROR(VLOOKUP($B191,INDIRECT("'GRD-"&amp;EQ$11&amp;"'!B:R"),15,FALSE),"")</f>
        <v/>
      </c>
      <c r="ER191" s="96">
        <f>IFERROR(VLOOKUP($B191,INDIRECT("'GRD-"&amp;ER$11&amp;"'!B:R"),15,FALSE),"")</f>
        <v/>
      </c>
      <c r="ES191" s="96">
        <f>IFERROR(VLOOKUP($B191,INDIRECT("'GRD-"&amp;ES$11&amp;"'!B:R"),15,FALSE),"")</f>
        <v/>
      </c>
      <c r="ET191" s="96">
        <f>IFERROR(VLOOKUP($B191,INDIRECT("'GRD-"&amp;ET$11&amp;"'!B:R"),15,FALSE),"")</f>
        <v/>
      </c>
      <c r="EU191" s="96">
        <f>IFERROR(VLOOKUP($B191,INDIRECT("'GRD-"&amp;EU$11&amp;"'!B:R"),15,FALSE),"")</f>
        <v/>
      </c>
      <c r="EV191" s="96">
        <f>IFERROR(VLOOKUP($B191,INDIRECT("'GRD-"&amp;EV$11&amp;"'!B:R"),15,FALSE),"")</f>
        <v/>
      </c>
      <c r="EW191" s="96">
        <f>IFERROR(VLOOKUP($B191,INDIRECT("'GRD-"&amp;EW$11&amp;"'!B:R"),15,FALSE),"")</f>
        <v/>
      </c>
      <c r="EX191" s="96">
        <f>IFERROR(VLOOKUP($B191,INDIRECT("'GRD-"&amp;EX$11&amp;"'!B:R"),15,FALSE),"")</f>
        <v/>
      </c>
      <c r="EY191" s="96">
        <f>IFERROR(VLOOKUP($B191,INDIRECT("'GRD-"&amp;EY$11&amp;"'!B:R"),15,FALSE),"")</f>
        <v/>
      </c>
      <c r="EZ191" s="96">
        <f>IFERROR(VLOOKUP($B191,INDIRECT("'GRD-"&amp;EZ$11&amp;"'!B:R"),15,FALSE),"")</f>
        <v/>
      </c>
      <c r="FA191" s="96">
        <f>IFERROR(VLOOKUP($B191,INDIRECT("'GRD-"&amp;FA$11&amp;"'!B:R"),15,FALSE),"")</f>
        <v/>
      </c>
      <c r="FB191" s="96">
        <f>IFERROR(VLOOKUP($B191,INDIRECT("'GRD-"&amp;FB$11&amp;"'!B:R"),15,FALSE),"")</f>
        <v/>
      </c>
      <c r="FC191" s="96">
        <f>IFERROR(VLOOKUP($B191,INDIRECT("'GRD-"&amp;FC$11&amp;"'!B:R"),15,FALSE),"")</f>
        <v/>
      </c>
      <c r="FD191" s="96">
        <f>IFERROR(VLOOKUP($B191,INDIRECT("'GRD-"&amp;FD$11&amp;"'!B:R"),15,FALSE),"")</f>
        <v/>
      </c>
      <c r="FE191" s="96">
        <f>IFERROR(VLOOKUP($B191,INDIRECT("'GRD-"&amp;FE$11&amp;"'!B:R"),15,FALSE),"")</f>
        <v/>
      </c>
      <c r="FF191" s="96">
        <f>IFERROR(VLOOKUP($B191,INDIRECT("'GRD-"&amp;FF$11&amp;"'!B:R"),15,FALSE),"")</f>
        <v/>
      </c>
      <c r="FG191" s="96">
        <f>IFERROR(VLOOKUP($B191,INDIRECT("'GRD-"&amp;FG$11&amp;"'!B:R"),15,FALSE),"")</f>
        <v/>
      </c>
      <c r="FH191" s="96">
        <f>IFERROR(VLOOKUP($B191,INDIRECT("'GRD-"&amp;FH$11&amp;"'!B:R"),15,FALSE),"")</f>
        <v/>
      </c>
      <c r="FI191" s="96">
        <f>IFERROR(VLOOKUP($B191,INDIRECT("'GRD-"&amp;FI$11&amp;"'!B:R"),15,FALSE),"")</f>
        <v/>
      </c>
      <c r="FJ191" s="96">
        <f>IFERROR(VLOOKUP($B191,INDIRECT("'GRD-"&amp;FJ$11&amp;"'!B:R"),15,FALSE),"")</f>
        <v/>
      </c>
      <c r="FK191" s="96">
        <f>IFERROR(VLOOKUP($B191,INDIRECT("'GRD-"&amp;FK$11&amp;"'!B:R"),15,FALSE),"")</f>
        <v/>
      </c>
      <c r="FL191" s="96">
        <f>IFERROR(VLOOKUP($B191,INDIRECT("'GRD-"&amp;FL$11&amp;"'!B:R"),15,FALSE),"")</f>
        <v/>
      </c>
      <c r="FM191" s="96">
        <f>IFERROR(VLOOKUP($B191,INDIRECT("'GRD-"&amp;FM$11&amp;"'!B:R"),15,FALSE),"")</f>
        <v/>
      </c>
      <c r="FN191" s="96">
        <f>IFERROR(VLOOKUP($B191,INDIRECT("'GRD-"&amp;FN$11&amp;"'!B:R"),15,FALSE),"")</f>
        <v/>
      </c>
      <c r="FO191" s="96">
        <f>IFERROR(VLOOKUP($B191,INDIRECT("'GRD-"&amp;FO$11&amp;"'!B:R"),15,FALSE),"")</f>
        <v/>
      </c>
      <c r="FP191" s="96">
        <f>IFERROR(VLOOKUP($B191,INDIRECT("'GRD-"&amp;FP$11&amp;"'!B:R"),15,FALSE),"")</f>
        <v/>
      </c>
      <c r="FQ191" s="96">
        <f>IFERROR(VLOOKUP($B191,INDIRECT("'GRD-"&amp;FQ$11&amp;"'!B:R"),15,FALSE),"")</f>
        <v/>
      </c>
      <c r="FR191" s="96">
        <f>IFERROR(VLOOKUP($B191,INDIRECT("'GRD-"&amp;FR$11&amp;"'!B:R"),15,FALSE),"")</f>
        <v/>
      </c>
      <c r="FS191" s="96">
        <f>IFERROR(VLOOKUP($B191,INDIRECT("'GRD-"&amp;FS$11&amp;"'!B:R"),15,FALSE),"")</f>
        <v/>
      </c>
      <c r="FT191" s="96">
        <f>IFERROR(VLOOKUP($B191,INDIRECT("'GRD-"&amp;FT$11&amp;"'!B:R"),15,FALSE),"")</f>
        <v/>
      </c>
      <c r="FU191" s="96">
        <f>IFERROR(VLOOKUP($B191,INDIRECT("'GRD-"&amp;FU$11&amp;"'!B:R"),15,FALSE),"")</f>
        <v/>
      </c>
      <c r="FV191" s="96">
        <f>IFERROR(VLOOKUP($B191,INDIRECT("'GRD-"&amp;FV$11&amp;"'!B:R"),15,FALSE),"")</f>
        <v/>
      </c>
    </row>
    <row r="192">
      <c r="B192" s="85" t="n"/>
      <c r="C192" s="93" t="n"/>
      <c r="D192" s="73">
        <f>IF(K192="","",MAX($CA192:$FV192))</f>
        <v/>
      </c>
      <c r="E192" s="74">
        <f t="array" ref="E192">IF($K192="","",OFFSET($A$1,ROW($B192)-1,11+$D192*4,))</f>
        <v/>
      </c>
      <c r="F192" s="74">
        <f t="array" ref="F192">IF($K192="","",OFFSET($A$1,ROW($B192)-1,12+$D192*4,))</f>
        <v/>
      </c>
      <c r="G192" s="118">
        <f t="array" ref="G192">IF($K192="","",OFFSET($A$1,ROW($B192)-1,13+$D192*4,))</f>
        <v/>
      </c>
      <c r="H192" s="81" t="n"/>
      <c r="I192" s="82" t="n"/>
      <c r="J192" s="75">
        <f>IF(I192="A4",H192/8,IF(I192="A3",H192/4,IF(I192="A2",H192/2,IF(I192="A1",H192/1,IF(I192="A0",H192*2,"")))))</f>
        <v/>
      </c>
      <c r="K192" s="68">
        <f t="array" ref="K192">IFERROR(OFFSET($BZ$11,ROW($B192)-11,MATCH(K$10,$CA192:$FV192,0),),"")</f>
        <v/>
      </c>
      <c r="L192" s="85">
        <f>IF(K192="","",IF(VLOOKUP($B192,INDIRECT("'GRD-"&amp;M192&amp;"'!$B:$R"),16,FALSE)="","",VLOOKUP($B192,INDIRECT("'GRD-"&amp;M192&amp;"'!$B:$R"),16,FALSE)))</f>
        <v/>
      </c>
      <c r="M192" s="130">
        <f t="array" ref="M192">IF(K192="","",IFERROR(OFFSET($BZ$11,0,MATCH($K192,$CA192:$FV192,0),),""))</f>
        <v/>
      </c>
      <c r="N192" s="119">
        <f t="array" ref="N192">IF(K192="","",INDIRECT("'GRD-"&amp;M192&amp;"'!$L$7"))</f>
        <v/>
      </c>
      <c r="O192" s="76">
        <f t="array" ref="O192">IFERROR(OFFSET($BZ$11,ROW($B192)-11,MATCH(O$10,$CA192:$FV192,0),),"")</f>
        <v/>
      </c>
      <c r="P192" s="76">
        <f>IF(O192="","",IF(VLOOKUP($B192,INDIRECT("'GRD-"&amp;Q192&amp;"'!$B:$R"),16,FALSE)="","",VLOOKUP($B192,INDIRECT("'GRD-"&amp;Q192&amp;"'!$B:$R"),16,FALSE)))</f>
        <v/>
      </c>
      <c r="Q192" s="132">
        <f t="array" ref="Q192">IF(O192="","",IFERROR(OFFSET($BZ$11,0,MATCH($O192,$CA192:$FV192,0),),""))</f>
        <v/>
      </c>
      <c r="R192" s="121">
        <f t="array" ref="R192">IF(O192="","",INDIRECT("'GRD-"&amp;Q192&amp;"'!$L$7"))</f>
        <v/>
      </c>
      <c r="S192" s="83">
        <f t="array" ref="S192">IFERROR(OFFSET($BZ$11,ROW($B192)-11,MATCH(S$10,$CA192:$FV192,0),),"")</f>
        <v/>
      </c>
      <c r="T192" s="83">
        <f>IF(S192="","",IF(VLOOKUP($B192,INDIRECT("'GRD-"&amp;U192&amp;"'!$B:$R"),16,FALSE)="","",VLOOKUP($B192,INDIRECT("'GRD-"&amp;U192&amp;"'!$B:$R"),16,FALSE)))</f>
        <v/>
      </c>
      <c r="U192" s="128">
        <f t="array" ref="U192">IF(S192="","",IFERROR(OFFSET($BZ$11,0,MATCH($S192,$CA192:$FV192,0),),""))</f>
        <v/>
      </c>
      <c r="V192" s="133">
        <f t="array" ref="V192">IF(S192="","",INDIRECT("'GRD-"&amp;U192&amp;"'!$L$7"))</f>
        <v/>
      </c>
      <c r="W192" s="84">
        <f t="array" ref="W192">IFERROR(OFFSET($BZ$11,ROW($B192)-11,MATCH(W$10,$CA192:$FV192,0),),"")</f>
        <v/>
      </c>
      <c r="X192" s="84">
        <f>IF(W192="","",IF(VLOOKUP($B192,INDIRECT("'GRD-"&amp;Y192&amp;"'!$B:$R"),16,FALSE)="","",VLOOKUP($B192,INDIRECT("'GRD-"&amp;Y192&amp;"'!$B:$R"),16,FALSE)))</f>
        <v/>
      </c>
      <c r="Y192" s="129">
        <f t="array" ref="Y192">IF(W192="","",IFERROR(OFFSET($BZ$11,0,MATCH($W192,$CA192:$FV192,0),),""))</f>
        <v/>
      </c>
      <c r="Z192" s="134">
        <f t="array" ref="Z192">IF(W192="","",INDIRECT("'GRD-"&amp;Y192&amp;"'!$L$7"))</f>
        <v/>
      </c>
      <c r="AA192" s="85">
        <f t="array" ref="AA192">IFERROR(OFFSET($BZ$11,ROW($B192)-11,MATCH(AA$10,$CA192:$FV192,0),),"")</f>
        <v/>
      </c>
      <c r="AB192" s="85">
        <f>IF(AA192="","",IF(VLOOKUP($B192,INDIRECT("'GRD-"&amp;AC192&amp;"'!$B:$R"),16,FALSE)="","",VLOOKUP($B192,INDIRECT("'GRD-"&amp;AC192&amp;"'!$B:$R"),16,FALSE)))</f>
        <v/>
      </c>
      <c r="AC192" s="130">
        <f t="array" ref="AC192">IF(AA192="","",IFERROR(OFFSET($BZ$11,0,MATCH($AA192,$CA192:$FV192,0),),""))</f>
        <v/>
      </c>
      <c r="AD192" s="131">
        <f t="array" ref="AD192">IF(AA192="","",INDIRECT("'GRD-"&amp;AC192&amp;"'!$L$7"))</f>
        <v/>
      </c>
      <c r="AE192" s="76">
        <f t="array" ref="AE192">IFERROR(OFFSET($BZ$11,ROW($B192)-11,MATCH(AE$10,$CA192:$FV192,0),),"")</f>
        <v/>
      </c>
      <c r="AF192" s="76">
        <f>IF(AE192="","",IF(VLOOKUP($B192,INDIRECT("'GRD-"&amp;AG192&amp;"'!$B:$R"),16,FALSE)="","",VLOOKUP($B192,INDIRECT("'GRD-"&amp;AG192&amp;"'!$B:$R"),16,FALSE)))</f>
        <v/>
      </c>
      <c r="AG192" s="132">
        <f t="array" ref="AG192">IF(AE192="","",IFERROR(OFFSET($BZ$11,0,MATCH($AE192,$CA192:$FV192,0),),""))</f>
        <v/>
      </c>
      <c r="AH192" s="121">
        <f t="array" ref="AH192">IF(AE192="","",INDIRECT("'GRD-"&amp;AG192&amp;"'!$L$7"))</f>
        <v/>
      </c>
      <c r="AI192" s="83">
        <f t="array" ref="AI192">IFERROR(OFFSET($BZ$11,ROW($B192)-11,MATCH(AI$10,$CA192:$FV192,0),),"")</f>
        <v/>
      </c>
      <c r="AJ192" s="83">
        <f>IF(AI192="","",IF(VLOOKUP($B192,INDIRECT("'GRD-"&amp;AK192&amp;"'!$B:$R"),16,FALSE)="","",VLOOKUP($B192,INDIRECT("'GRD-"&amp;AK192&amp;"'!$B:$R"),16,FALSE)))</f>
        <v/>
      </c>
      <c r="AK192" s="128">
        <f t="array" ref="AK192">IF(AI192="","",IFERROR(OFFSET($BZ$11,0,MATCH($AI192,$CA192:$FV192,0),),""))</f>
        <v/>
      </c>
      <c r="AL192" s="133">
        <f t="array" ref="AL192">IF(AI192="","",INDIRECT("'GRD-"&amp;AK192&amp;"'!$L$7"))</f>
        <v/>
      </c>
      <c r="AM192" s="84">
        <f t="array" ref="AM192">IFERROR(OFFSET($BZ$11,ROW($B192)-11,MATCH(AM$10,$CA192:$FV192,0),),"")</f>
        <v/>
      </c>
      <c r="AN192" s="84">
        <f>IF(AM192="","",IF(VLOOKUP($B192,INDIRECT("'GRD-"&amp;AO192&amp;"'!$B:$R"),16,FALSE)="","",VLOOKUP($B192,INDIRECT("'GRD-"&amp;AO192&amp;"'!$B:$R"),16,FALSE)))</f>
        <v/>
      </c>
      <c r="AO192" s="129">
        <f t="array" ref="AO192">IF(AM192="","",IFERROR(OFFSET($BZ$11,0,MATCH($AM192,$CA192:$FV192,0),),""))</f>
        <v/>
      </c>
      <c r="AP192" s="134">
        <f t="array" ref="AP192">IF(AM192="","",INDIRECT("'GRD-"&amp;AO192&amp;"'!$L$7"))</f>
        <v/>
      </c>
      <c r="AQ192" s="85">
        <f t="array" ref="AQ192">IFERROR(OFFSET($BZ$11,ROW($B192)-11,MATCH(AQ$10,$CA192:$FV192,0),),"")</f>
        <v/>
      </c>
      <c r="AR192" s="85">
        <f>IF(AQ192="","",IF(VLOOKUP($B192,INDIRECT("'GRD-"&amp;AS192&amp;"'!$B:$R"),16,FALSE)="","",VLOOKUP($B192,INDIRECT("'GRD-"&amp;AS192&amp;"'!$B:$R"),16,FALSE)))</f>
        <v/>
      </c>
      <c r="AS192" s="130">
        <f t="array" ref="AS192">IF(AQ192="","",IFERROR(OFFSET($BZ$11,0,MATCH($AQ192,$CA192:$FV192,0),),""))</f>
        <v/>
      </c>
      <c r="AT192" s="131">
        <f t="array" ref="AT192">IF(AQ192="","",INDIRECT("'GRD-"&amp;AS192&amp;"'!$L$7"))</f>
        <v/>
      </c>
      <c r="AU192" s="76">
        <f t="array" ref="AU192">IFERROR(OFFSET($BZ$11,ROW($B192)-11,MATCH(AU$10,$CA192:$FV192,0),),"")</f>
        <v/>
      </c>
      <c r="AV192" s="76">
        <f>IF(AU192="","",IF(VLOOKUP($B192,INDIRECT("'GRD-"&amp;AW192&amp;"'!$B:$R"),16,FALSE)="","",VLOOKUP($B192,INDIRECT("'GRD-"&amp;AW192&amp;"'!$B:$R"),16,FALSE)))</f>
        <v/>
      </c>
      <c r="AW192" s="132">
        <f t="array" ref="AW192">IF(AU192="","",IFERROR(OFFSET($BZ$11,0,MATCH($AU192,$CA192:$FV192,0),),""))</f>
        <v/>
      </c>
      <c r="AX192" s="121">
        <f t="array" ref="AX192">IF(AU192="","",INDIRECT("'GRD-"&amp;AW192&amp;"'!$L$7"))</f>
        <v/>
      </c>
      <c r="AY192" s="83">
        <f t="array" ref="AY192">IFERROR(OFFSET($BZ$11,ROW($B192)-11,MATCH(AY$10,$CA192:$FV192,0),),"")</f>
        <v/>
      </c>
      <c r="AZ192" s="83">
        <f>IF(AY192="","",IF(VLOOKUP($B192,INDIRECT("'GRD-"&amp;BA192&amp;"'!$B:$R"),16,FALSE)="","",VLOOKUP($B192,INDIRECT("'GRD-"&amp;BA192&amp;"'!$B:$R"),16,FALSE)))</f>
        <v/>
      </c>
      <c r="BA192" s="128">
        <f t="array" ref="BA192">IF(AY192="","",IFERROR(OFFSET($BZ$11,0,MATCH($AY192,$CA192:$FV192,0),),""))</f>
        <v/>
      </c>
      <c r="BB192" s="133">
        <f t="array" ref="BB192">IF(AY192="","",INDIRECT("'GRD-"&amp;BA192&amp;"'!$L$7"))</f>
        <v/>
      </c>
      <c r="BC192" s="84">
        <f t="array" ref="BC192">IFERROR(OFFSET($BZ$11,ROW($B192)-11,MATCH(BC$10,$CA192:$FV192,0),),"")</f>
        <v/>
      </c>
      <c r="BD192" s="84">
        <f>IF(BC192="","",IF(VLOOKUP($B192,INDIRECT("'GRD-"&amp;BE192&amp;"'!$B:$R"),16,FALSE)="","",VLOOKUP($B192,INDIRECT("'GRD-"&amp;BE192&amp;"'!$B:$R"),16,FALSE)))</f>
        <v/>
      </c>
      <c r="BE192" s="129">
        <f t="array" ref="BE192">IF(BC192="","",IFERROR(OFFSET($BZ$11,0,MATCH($BC192,$CA192:$FV192,0),),""))</f>
        <v/>
      </c>
      <c r="BF192" s="134">
        <f t="array" ref="BF192">IF(BC192="","",INDIRECT("'GRD-"&amp;BE192&amp;"'!$L$7"))</f>
        <v/>
      </c>
      <c r="CA192" s="96">
        <f>IFERROR(VLOOKUP($B192,INDIRECT("'GRD-"&amp;CA$11&amp;"'!B:R"),15,FALSE),"")</f>
        <v/>
      </c>
      <c r="CB192" s="96">
        <f>IFERROR(VLOOKUP($B192,INDIRECT("'GRD-"&amp;CB$11&amp;"'!B:R"),15,FALSE),"")</f>
        <v/>
      </c>
      <c r="CC192" s="96">
        <f>IFERROR(VLOOKUP($B192,INDIRECT("'GRD-"&amp;CC$11&amp;"'!B:R"),15,FALSE),"")</f>
        <v/>
      </c>
      <c r="CD192" s="96">
        <f>IFERROR(VLOOKUP($B192,INDIRECT("'GRD-"&amp;CD$11&amp;"'!B:R"),15,FALSE),"")</f>
        <v/>
      </c>
      <c r="CE192" s="96">
        <f>IFERROR(VLOOKUP($B192,INDIRECT("'GRD-"&amp;CE$11&amp;"'!B:R"),15,FALSE),"")</f>
        <v/>
      </c>
      <c r="CF192" s="96">
        <f>IFERROR(VLOOKUP($B192,INDIRECT("'GRD-"&amp;CF$11&amp;"'!B:R"),15,FALSE),"")</f>
        <v/>
      </c>
      <c r="CG192" s="96">
        <f>IFERROR(VLOOKUP($B192,INDIRECT("'GRD-"&amp;CG$11&amp;"'!B:R"),15,FALSE),"")</f>
        <v/>
      </c>
      <c r="CH192" s="96">
        <f>IFERROR(VLOOKUP($B192,INDIRECT("'GRD-"&amp;CH$11&amp;"'!B:R"),15,FALSE),"")</f>
        <v/>
      </c>
      <c r="CI192" s="96">
        <f>IFERROR(VLOOKUP($B192,INDIRECT("'GRD-"&amp;CI$11&amp;"'!B:R"),15,FALSE),"")</f>
        <v/>
      </c>
      <c r="CJ192" s="96">
        <f>IFERROR(VLOOKUP($B192,INDIRECT("'GRD-"&amp;CJ$11&amp;"'!B:R"),15,FALSE),"")</f>
        <v/>
      </c>
      <c r="CK192" s="96">
        <f>IFERROR(VLOOKUP($B192,INDIRECT("'GRD-"&amp;CK$11&amp;"'!B:R"),15,FALSE),"")</f>
        <v/>
      </c>
      <c r="CL192" s="96">
        <f>IFERROR(VLOOKUP($B192,INDIRECT("'GRD-"&amp;CL$11&amp;"'!B:R"),15,FALSE),"")</f>
        <v/>
      </c>
      <c r="CM192" s="96">
        <f>IFERROR(VLOOKUP($B192,INDIRECT("'GRD-"&amp;CM$11&amp;"'!B:R"),15,FALSE),"")</f>
        <v/>
      </c>
      <c r="CN192" s="96">
        <f>IFERROR(VLOOKUP($B192,INDIRECT("'GRD-"&amp;CN$11&amp;"'!B:R"),15,FALSE),"")</f>
        <v/>
      </c>
      <c r="CO192" s="96">
        <f>IFERROR(VLOOKUP($B192,INDIRECT("'GRD-"&amp;CO$11&amp;"'!B:R"),15,FALSE),"")</f>
        <v/>
      </c>
      <c r="CP192" s="96">
        <f>IFERROR(VLOOKUP($B192,INDIRECT("'GRD-"&amp;CP$11&amp;"'!B:R"),15,FALSE),"")</f>
        <v/>
      </c>
      <c r="CQ192" s="96">
        <f>IFERROR(VLOOKUP($B192,INDIRECT("'GRD-"&amp;CQ$11&amp;"'!B:R"),15,FALSE),"")</f>
        <v/>
      </c>
      <c r="CR192" s="96">
        <f>IFERROR(VLOOKUP($B192,INDIRECT("'GRD-"&amp;CR$11&amp;"'!B:R"),15,FALSE),"")</f>
        <v/>
      </c>
      <c r="CS192" s="96">
        <f>IFERROR(VLOOKUP($B192,INDIRECT("'GRD-"&amp;CS$11&amp;"'!B:R"),15,FALSE),"")</f>
        <v/>
      </c>
      <c r="CT192" s="96">
        <f>IFERROR(VLOOKUP($B192,INDIRECT("'GRD-"&amp;CT$11&amp;"'!B:R"),15,FALSE),"")</f>
        <v/>
      </c>
      <c r="CU192" s="96">
        <f>IFERROR(VLOOKUP($B192,INDIRECT("'GRD-"&amp;CU$11&amp;"'!B:R"),15,FALSE),"")</f>
        <v/>
      </c>
      <c r="CV192" s="96">
        <f>IFERROR(VLOOKUP($B192,INDIRECT("'GRD-"&amp;CV$11&amp;"'!B:R"),15,FALSE),"")</f>
        <v/>
      </c>
      <c r="CW192" s="96">
        <f>IFERROR(VLOOKUP($B192,INDIRECT("'GRD-"&amp;CW$11&amp;"'!B:R"),15,FALSE),"")</f>
        <v/>
      </c>
      <c r="CX192" s="96">
        <f>IFERROR(VLOOKUP($B192,INDIRECT("'GRD-"&amp;CX$11&amp;"'!B:R"),15,FALSE),"")</f>
        <v/>
      </c>
      <c r="CY192" s="96">
        <f>IFERROR(VLOOKUP($B192,INDIRECT("'GRD-"&amp;CY$11&amp;"'!B:R"),15,FALSE),"")</f>
        <v/>
      </c>
      <c r="CZ192" s="96">
        <f>IFERROR(VLOOKUP($B192,INDIRECT("'GRD-"&amp;CZ$11&amp;"'!B:R"),15,FALSE),"")</f>
        <v/>
      </c>
      <c r="DA192" s="96">
        <f>IFERROR(VLOOKUP($B192,INDIRECT("'GRD-"&amp;DA$11&amp;"'!B:R"),15,FALSE),"")</f>
        <v/>
      </c>
      <c r="DB192" s="96">
        <f>IFERROR(VLOOKUP($B192,INDIRECT("'GRD-"&amp;DB$11&amp;"'!B:R"),15,FALSE),"")</f>
        <v/>
      </c>
      <c r="DC192" s="96">
        <f>IFERROR(VLOOKUP($B192,INDIRECT("'GRD-"&amp;DC$11&amp;"'!B:R"),15,FALSE),"")</f>
        <v/>
      </c>
      <c r="DD192" s="96">
        <f>IFERROR(VLOOKUP($B192,INDIRECT("'GRD-"&amp;DD$11&amp;"'!B:R"),15,FALSE),"")</f>
        <v/>
      </c>
      <c r="DE192" s="96">
        <f>IFERROR(VLOOKUP($B192,INDIRECT("'GRD-"&amp;DE$11&amp;"'!B:R"),15,FALSE),"")</f>
        <v/>
      </c>
      <c r="DF192" s="96">
        <f>IFERROR(VLOOKUP($B192,INDIRECT("'GRD-"&amp;DF$11&amp;"'!B:R"),15,FALSE),"")</f>
        <v/>
      </c>
      <c r="DG192" s="96">
        <f>IFERROR(VLOOKUP($B192,INDIRECT("'GRD-"&amp;DG$11&amp;"'!B:R"),15,FALSE),"")</f>
        <v/>
      </c>
      <c r="DH192" s="96">
        <f>IFERROR(VLOOKUP($B192,INDIRECT("'GRD-"&amp;DH$11&amp;"'!B:R"),15,FALSE),"")</f>
        <v/>
      </c>
      <c r="DI192" s="96">
        <f>IFERROR(VLOOKUP($B192,INDIRECT("'GRD-"&amp;DI$11&amp;"'!B:R"),15,FALSE),"")</f>
        <v/>
      </c>
      <c r="DJ192" s="96">
        <f>IFERROR(VLOOKUP($B192,INDIRECT("'GRD-"&amp;DJ$11&amp;"'!B:R"),15,FALSE),"")</f>
        <v/>
      </c>
      <c r="DK192" s="96">
        <f>IFERROR(VLOOKUP($B192,INDIRECT("'GRD-"&amp;DK$11&amp;"'!B:R"),15,FALSE),"")</f>
        <v/>
      </c>
      <c r="DL192" s="96">
        <f>IFERROR(VLOOKUP($B192,INDIRECT("'GRD-"&amp;DL$11&amp;"'!B:R"),15,FALSE),"")</f>
        <v/>
      </c>
      <c r="DM192" s="96">
        <f>IFERROR(VLOOKUP($B192,INDIRECT("'GRD-"&amp;DM$11&amp;"'!B:R"),15,FALSE),"")</f>
        <v/>
      </c>
      <c r="DN192" s="96">
        <f>IFERROR(VLOOKUP($B192,INDIRECT("'GRD-"&amp;DN$11&amp;"'!B:R"),15,FALSE),"")</f>
        <v/>
      </c>
      <c r="DO192" s="96">
        <f>IFERROR(VLOOKUP($B192,INDIRECT("'GRD-"&amp;DO$11&amp;"'!B:R"),15,FALSE),"")</f>
        <v/>
      </c>
      <c r="DP192" s="96">
        <f>IFERROR(VLOOKUP($B192,INDIRECT("'GRD-"&amp;DP$11&amp;"'!B:R"),15,FALSE),"")</f>
        <v/>
      </c>
      <c r="DQ192" s="96">
        <f>IFERROR(VLOOKUP($B192,INDIRECT("'GRD-"&amp;DQ$11&amp;"'!B:R"),15,FALSE),"")</f>
        <v/>
      </c>
      <c r="DR192" s="96">
        <f>IFERROR(VLOOKUP($B192,INDIRECT("'GRD-"&amp;DR$11&amp;"'!B:R"),15,FALSE),"")</f>
        <v/>
      </c>
      <c r="DS192" s="96">
        <f>IFERROR(VLOOKUP($B192,INDIRECT("'GRD-"&amp;DS$11&amp;"'!B:R"),15,FALSE),"")</f>
        <v/>
      </c>
      <c r="DT192" s="96">
        <f>IFERROR(VLOOKUP($B192,INDIRECT("'GRD-"&amp;DT$11&amp;"'!B:R"),15,FALSE),"")</f>
        <v/>
      </c>
      <c r="DU192" s="96">
        <f>IFERROR(VLOOKUP($B192,INDIRECT("'GRD-"&amp;DU$11&amp;"'!B:R"),15,FALSE),"")</f>
        <v/>
      </c>
      <c r="DV192" s="96">
        <f>IFERROR(VLOOKUP($B192,INDIRECT("'GRD-"&amp;DV$11&amp;"'!B:R"),15,FALSE),"")</f>
        <v/>
      </c>
      <c r="DW192" s="96">
        <f>IFERROR(VLOOKUP($B192,INDIRECT("'GRD-"&amp;DW$11&amp;"'!B:R"),15,FALSE),"")</f>
        <v/>
      </c>
      <c r="DX192" s="96">
        <f>IFERROR(VLOOKUP($B192,INDIRECT("'GRD-"&amp;DX$11&amp;"'!B:R"),15,FALSE),"")</f>
        <v/>
      </c>
      <c r="DY192" s="96">
        <f>IFERROR(VLOOKUP($B192,INDIRECT("'GRD-"&amp;DY$11&amp;"'!B:R"),15,FALSE),"")</f>
        <v/>
      </c>
      <c r="DZ192" s="96">
        <f>IFERROR(VLOOKUP($B192,INDIRECT("'GRD-"&amp;DZ$11&amp;"'!B:R"),15,FALSE),"")</f>
        <v/>
      </c>
      <c r="EA192" s="96">
        <f>IFERROR(VLOOKUP($B192,INDIRECT("'GRD-"&amp;EA$11&amp;"'!B:R"),15,FALSE),"")</f>
        <v/>
      </c>
      <c r="EB192" s="96">
        <f>IFERROR(VLOOKUP($B192,INDIRECT("'GRD-"&amp;EB$11&amp;"'!B:R"),15,FALSE),"")</f>
        <v/>
      </c>
      <c r="EC192" s="96">
        <f>IFERROR(VLOOKUP($B192,INDIRECT("'GRD-"&amp;EC$11&amp;"'!B:R"),15,FALSE),"")</f>
        <v/>
      </c>
      <c r="ED192" s="96">
        <f>IFERROR(VLOOKUP($B192,INDIRECT("'GRD-"&amp;ED$11&amp;"'!B:R"),15,FALSE),"")</f>
        <v/>
      </c>
      <c r="EE192" s="96">
        <f>IFERROR(VLOOKUP($B192,INDIRECT("'GRD-"&amp;EE$11&amp;"'!B:R"),15,FALSE),"")</f>
        <v/>
      </c>
      <c r="EF192" s="96">
        <f>IFERROR(VLOOKUP($B192,INDIRECT("'GRD-"&amp;EF$11&amp;"'!B:R"),15,FALSE),"")</f>
        <v/>
      </c>
      <c r="EG192" s="96">
        <f>IFERROR(VLOOKUP($B192,INDIRECT("'GRD-"&amp;EG$11&amp;"'!B:R"),15,FALSE),"")</f>
        <v/>
      </c>
      <c r="EH192" s="96">
        <f>IFERROR(VLOOKUP($B192,INDIRECT("'GRD-"&amp;EH$11&amp;"'!B:R"),15,FALSE),"")</f>
        <v/>
      </c>
      <c r="EI192" s="96">
        <f>IFERROR(VLOOKUP($B192,INDIRECT("'GRD-"&amp;EI$11&amp;"'!B:R"),15,FALSE),"")</f>
        <v/>
      </c>
      <c r="EJ192" s="96">
        <f>IFERROR(VLOOKUP($B192,INDIRECT("'GRD-"&amp;EJ$11&amp;"'!B:R"),15,FALSE),"")</f>
        <v/>
      </c>
      <c r="EK192" s="96">
        <f>IFERROR(VLOOKUP($B192,INDIRECT("'GRD-"&amp;EK$11&amp;"'!B:R"),15,FALSE),"")</f>
        <v/>
      </c>
      <c r="EL192" s="96">
        <f>IFERROR(VLOOKUP($B192,INDIRECT("'GRD-"&amp;EL$11&amp;"'!B:R"),15,FALSE),"")</f>
        <v/>
      </c>
      <c r="EM192" s="96">
        <f>IFERROR(VLOOKUP($B192,INDIRECT("'GRD-"&amp;EM$11&amp;"'!B:R"),15,FALSE),"")</f>
        <v/>
      </c>
      <c r="EN192" s="96">
        <f>IFERROR(VLOOKUP($B192,INDIRECT("'GRD-"&amp;EN$11&amp;"'!B:R"),15,FALSE),"")</f>
        <v/>
      </c>
      <c r="EO192" s="96">
        <f>IFERROR(VLOOKUP($B192,INDIRECT("'GRD-"&amp;EO$11&amp;"'!B:R"),15,FALSE),"")</f>
        <v/>
      </c>
      <c r="EP192" s="96">
        <f>IFERROR(VLOOKUP($B192,INDIRECT("'GRD-"&amp;EP$11&amp;"'!B:R"),15,FALSE),"")</f>
        <v/>
      </c>
      <c r="EQ192" s="96">
        <f>IFERROR(VLOOKUP($B192,INDIRECT("'GRD-"&amp;EQ$11&amp;"'!B:R"),15,FALSE),"")</f>
        <v/>
      </c>
      <c r="ER192" s="96">
        <f>IFERROR(VLOOKUP($B192,INDIRECT("'GRD-"&amp;ER$11&amp;"'!B:R"),15,FALSE),"")</f>
        <v/>
      </c>
      <c r="ES192" s="96">
        <f>IFERROR(VLOOKUP($B192,INDIRECT("'GRD-"&amp;ES$11&amp;"'!B:R"),15,FALSE),"")</f>
        <v/>
      </c>
      <c r="ET192" s="96">
        <f>IFERROR(VLOOKUP($B192,INDIRECT("'GRD-"&amp;ET$11&amp;"'!B:R"),15,FALSE),"")</f>
        <v/>
      </c>
      <c r="EU192" s="96">
        <f>IFERROR(VLOOKUP($B192,INDIRECT("'GRD-"&amp;EU$11&amp;"'!B:R"),15,FALSE),"")</f>
        <v/>
      </c>
      <c r="EV192" s="96">
        <f>IFERROR(VLOOKUP($B192,INDIRECT("'GRD-"&amp;EV$11&amp;"'!B:R"),15,FALSE),"")</f>
        <v/>
      </c>
      <c r="EW192" s="96">
        <f>IFERROR(VLOOKUP($B192,INDIRECT("'GRD-"&amp;EW$11&amp;"'!B:R"),15,FALSE),"")</f>
        <v/>
      </c>
      <c r="EX192" s="96">
        <f>IFERROR(VLOOKUP($B192,INDIRECT("'GRD-"&amp;EX$11&amp;"'!B:R"),15,FALSE),"")</f>
        <v/>
      </c>
      <c r="EY192" s="96">
        <f>IFERROR(VLOOKUP($B192,INDIRECT("'GRD-"&amp;EY$11&amp;"'!B:R"),15,FALSE),"")</f>
        <v/>
      </c>
      <c r="EZ192" s="96">
        <f>IFERROR(VLOOKUP($B192,INDIRECT("'GRD-"&amp;EZ$11&amp;"'!B:R"),15,FALSE),"")</f>
        <v/>
      </c>
      <c r="FA192" s="96">
        <f>IFERROR(VLOOKUP($B192,INDIRECT("'GRD-"&amp;FA$11&amp;"'!B:R"),15,FALSE),"")</f>
        <v/>
      </c>
      <c r="FB192" s="96">
        <f>IFERROR(VLOOKUP($B192,INDIRECT("'GRD-"&amp;FB$11&amp;"'!B:R"),15,FALSE),"")</f>
        <v/>
      </c>
      <c r="FC192" s="96">
        <f>IFERROR(VLOOKUP($B192,INDIRECT("'GRD-"&amp;FC$11&amp;"'!B:R"),15,FALSE),"")</f>
        <v/>
      </c>
      <c r="FD192" s="96">
        <f>IFERROR(VLOOKUP($B192,INDIRECT("'GRD-"&amp;FD$11&amp;"'!B:R"),15,FALSE),"")</f>
        <v/>
      </c>
      <c r="FE192" s="96">
        <f>IFERROR(VLOOKUP($B192,INDIRECT("'GRD-"&amp;FE$11&amp;"'!B:R"),15,FALSE),"")</f>
        <v/>
      </c>
      <c r="FF192" s="96">
        <f>IFERROR(VLOOKUP($B192,INDIRECT("'GRD-"&amp;FF$11&amp;"'!B:R"),15,FALSE),"")</f>
        <v/>
      </c>
      <c r="FG192" s="96">
        <f>IFERROR(VLOOKUP($B192,INDIRECT("'GRD-"&amp;FG$11&amp;"'!B:R"),15,FALSE),"")</f>
        <v/>
      </c>
      <c r="FH192" s="96">
        <f>IFERROR(VLOOKUP($B192,INDIRECT("'GRD-"&amp;FH$11&amp;"'!B:R"),15,FALSE),"")</f>
        <v/>
      </c>
      <c r="FI192" s="96">
        <f>IFERROR(VLOOKUP($B192,INDIRECT("'GRD-"&amp;FI$11&amp;"'!B:R"),15,FALSE),"")</f>
        <v/>
      </c>
      <c r="FJ192" s="96">
        <f>IFERROR(VLOOKUP($B192,INDIRECT("'GRD-"&amp;FJ$11&amp;"'!B:R"),15,FALSE),"")</f>
        <v/>
      </c>
      <c r="FK192" s="96">
        <f>IFERROR(VLOOKUP($B192,INDIRECT("'GRD-"&amp;FK$11&amp;"'!B:R"),15,FALSE),"")</f>
        <v/>
      </c>
      <c r="FL192" s="96">
        <f>IFERROR(VLOOKUP($B192,INDIRECT("'GRD-"&amp;FL$11&amp;"'!B:R"),15,FALSE),"")</f>
        <v/>
      </c>
      <c r="FM192" s="96">
        <f>IFERROR(VLOOKUP($B192,INDIRECT("'GRD-"&amp;FM$11&amp;"'!B:R"),15,FALSE),"")</f>
        <v/>
      </c>
      <c r="FN192" s="96">
        <f>IFERROR(VLOOKUP($B192,INDIRECT("'GRD-"&amp;FN$11&amp;"'!B:R"),15,FALSE),"")</f>
        <v/>
      </c>
      <c r="FO192" s="96">
        <f>IFERROR(VLOOKUP($B192,INDIRECT("'GRD-"&amp;FO$11&amp;"'!B:R"),15,FALSE),"")</f>
        <v/>
      </c>
      <c r="FP192" s="96">
        <f>IFERROR(VLOOKUP($B192,INDIRECT("'GRD-"&amp;FP$11&amp;"'!B:R"),15,FALSE),"")</f>
        <v/>
      </c>
      <c r="FQ192" s="96">
        <f>IFERROR(VLOOKUP($B192,INDIRECT("'GRD-"&amp;FQ$11&amp;"'!B:R"),15,FALSE),"")</f>
        <v/>
      </c>
      <c r="FR192" s="96">
        <f>IFERROR(VLOOKUP($B192,INDIRECT("'GRD-"&amp;FR$11&amp;"'!B:R"),15,FALSE),"")</f>
        <v/>
      </c>
      <c r="FS192" s="96">
        <f>IFERROR(VLOOKUP($B192,INDIRECT("'GRD-"&amp;FS$11&amp;"'!B:R"),15,FALSE),"")</f>
        <v/>
      </c>
      <c r="FT192" s="96">
        <f>IFERROR(VLOOKUP($B192,INDIRECT("'GRD-"&amp;FT$11&amp;"'!B:R"),15,FALSE),"")</f>
        <v/>
      </c>
      <c r="FU192" s="96">
        <f>IFERROR(VLOOKUP($B192,INDIRECT("'GRD-"&amp;FU$11&amp;"'!B:R"),15,FALSE),"")</f>
        <v/>
      </c>
      <c r="FV192" s="96">
        <f>IFERROR(VLOOKUP($B192,INDIRECT("'GRD-"&amp;FV$11&amp;"'!B:R"),15,FALSE),"")</f>
        <v/>
      </c>
    </row>
    <row r="193">
      <c r="B193" s="85" t="n"/>
      <c r="C193" s="93" t="n"/>
      <c r="D193" s="73">
        <f>IF(K193="","",MAX($CA193:$FV193))</f>
        <v/>
      </c>
      <c r="E193" s="74">
        <f t="array" ref="E193">IF($K193="","",OFFSET($A$1,ROW($B193)-1,11+$D193*4,))</f>
        <v/>
      </c>
      <c r="F193" s="74">
        <f t="array" ref="F193">IF($K193="","",OFFSET($A$1,ROW($B193)-1,12+$D193*4,))</f>
        <v/>
      </c>
      <c r="G193" s="118">
        <f t="array" ref="G193">IF($K193="","",OFFSET($A$1,ROW($B193)-1,13+$D193*4,))</f>
        <v/>
      </c>
      <c r="H193" s="81" t="n"/>
      <c r="I193" s="82" t="n"/>
      <c r="J193" s="75">
        <f>IF(I193="A4",H193/8,IF(I193="A3",H193/4,IF(I193="A2",H193/2,IF(I193="A1",H193/1,IF(I193="A0",H193*2,"")))))</f>
        <v/>
      </c>
      <c r="K193" s="68">
        <f t="array" ref="K193">IFERROR(OFFSET($BZ$11,ROW($B193)-11,MATCH(K$10,$CA193:$FV193,0),),"")</f>
        <v/>
      </c>
      <c r="L193" s="85">
        <f>IF(K193="","",IF(VLOOKUP($B193,INDIRECT("'GRD-"&amp;M193&amp;"'!$B:$R"),16,FALSE)="","",VLOOKUP($B193,INDIRECT("'GRD-"&amp;M193&amp;"'!$B:$R"),16,FALSE)))</f>
        <v/>
      </c>
      <c r="M193" s="130">
        <f t="array" ref="M193">IF(K193="","",IFERROR(OFFSET($BZ$11,0,MATCH($K193,$CA193:$FV193,0),),""))</f>
        <v/>
      </c>
      <c r="N193" s="119">
        <f t="array" ref="N193">IF(K193="","",INDIRECT("'GRD-"&amp;M193&amp;"'!$L$7"))</f>
        <v/>
      </c>
      <c r="O193" s="76">
        <f t="array" ref="O193">IFERROR(OFFSET($BZ$11,ROW($B193)-11,MATCH(O$10,$CA193:$FV193,0),),"")</f>
        <v/>
      </c>
      <c r="P193" s="76">
        <f>IF(O193="","",IF(VLOOKUP($B193,INDIRECT("'GRD-"&amp;Q193&amp;"'!$B:$R"),16,FALSE)="","",VLOOKUP($B193,INDIRECT("'GRD-"&amp;Q193&amp;"'!$B:$R"),16,FALSE)))</f>
        <v/>
      </c>
      <c r="Q193" s="132">
        <f t="array" ref="Q193">IF(O193="","",IFERROR(OFFSET($BZ$11,0,MATCH($O193,$CA193:$FV193,0),),""))</f>
        <v/>
      </c>
      <c r="R193" s="121">
        <f t="array" ref="R193">IF(O193="","",INDIRECT("'GRD-"&amp;Q193&amp;"'!$L$7"))</f>
        <v/>
      </c>
      <c r="S193" s="83">
        <f t="array" ref="S193">IFERROR(OFFSET($BZ$11,ROW($B193)-11,MATCH(S$10,$CA193:$FV193,0),),"")</f>
        <v/>
      </c>
      <c r="T193" s="83">
        <f>IF(S193="","",IF(VLOOKUP($B193,INDIRECT("'GRD-"&amp;U193&amp;"'!$B:$R"),16,FALSE)="","",VLOOKUP($B193,INDIRECT("'GRD-"&amp;U193&amp;"'!$B:$R"),16,FALSE)))</f>
        <v/>
      </c>
      <c r="U193" s="128">
        <f t="array" ref="U193">IF(S193="","",IFERROR(OFFSET($BZ$11,0,MATCH($S193,$CA193:$FV193,0),),""))</f>
        <v/>
      </c>
      <c r="V193" s="133">
        <f t="array" ref="V193">IF(S193="","",INDIRECT("'GRD-"&amp;U193&amp;"'!$L$7"))</f>
        <v/>
      </c>
      <c r="W193" s="84">
        <f t="array" ref="W193">IFERROR(OFFSET($BZ$11,ROW($B193)-11,MATCH(W$10,$CA193:$FV193,0),),"")</f>
        <v/>
      </c>
      <c r="X193" s="84">
        <f>IF(W193="","",IF(VLOOKUP($B193,INDIRECT("'GRD-"&amp;Y193&amp;"'!$B:$R"),16,FALSE)="","",VLOOKUP($B193,INDIRECT("'GRD-"&amp;Y193&amp;"'!$B:$R"),16,FALSE)))</f>
        <v/>
      </c>
      <c r="Y193" s="129">
        <f t="array" ref="Y193">IF(W193="","",IFERROR(OFFSET($BZ$11,0,MATCH($W193,$CA193:$FV193,0),),""))</f>
        <v/>
      </c>
      <c r="Z193" s="134">
        <f t="array" ref="Z193">IF(W193="","",INDIRECT("'GRD-"&amp;Y193&amp;"'!$L$7"))</f>
        <v/>
      </c>
      <c r="AA193" s="85">
        <f t="array" ref="AA193">IFERROR(OFFSET($BZ$11,ROW($B193)-11,MATCH(AA$10,$CA193:$FV193,0),),"")</f>
        <v/>
      </c>
      <c r="AB193" s="85">
        <f>IF(AA193="","",IF(VLOOKUP($B193,INDIRECT("'GRD-"&amp;AC193&amp;"'!$B:$R"),16,FALSE)="","",VLOOKUP($B193,INDIRECT("'GRD-"&amp;AC193&amp;"'!$B:$R"),16,FALSE)))</f>
        <v/>
      </c>
      <c r="AC193" s="130">
        <f t="array" ref="AC193">IF(AA193="","",IFERROR(OFFSET($BZ$11,0,MATCH($AA193,$CA193:$FV193,0),),""))</f>
        <v/>
      </c>
      <c r="AD193" s="131">
        <f t="array" ref="AD193">IF(AA193="","",INDIRECT("'GRD-"&amp;AC193&amp;"'!$L$7"))</f>
        <v/>
      </c>
      <c r="AE193" s="76">
        <f t="array" ref="AE193">IFERROR(OFFSET($BZ$11,ROW($B193)-11,MATCH(AE$10,$CA193:$FV193,0),),"")</f>
        <v/>
      </c>
      <c r="AF193" s="76">
        <f>IF(AE193="","",IF(VLOOKUP($B193,INDIRECT("'GRD-"&amp;AG193&amp;"'!$B:$R"),16,FALSE)="","",VLOOKUP($B193,INDIRECT("'GRD-"&amp;AG193&amp;"'!$B:$R"),16,FALSE)))</f>
        <v/>
      </c>
      <c r="AG193" s="132">
        <f t="array" ref="AG193">IF(AE193="","",IFERROR(OFFSET($BZ$11,0,MATCH($AE193,$CA193:$FV193,0),),""))</f>
        <v/>
      </c>
      <c r="AH193" s="121">
        <f t="array" ref="AH193">IF(AE193="","",INDIRECT("'GRD-"&amp;AG193&amp;"'!$L$7"))</f>
        <v/>
      </c>
      <c r="AI193" s="83">
        <f t="array" ref="AI193">IFERROR(OFFSET($BZ$11,ROW($B193)-11,MATCH(AI$10,$CA193:$FV193,0),),"")</f>
        <v/>
      </c>
      <c r="AJ193" s="83">
        <f>IF(AI193="","",IF(VLOOKUP($B193,INDIRECT("'GRD-"&amp;AK193&amp;"'!$B:$R"),16,FALSE)="","",VLOOKUP($B193,INDIRECT("'GRD-"&amp;AK193&amp;"'!$B:$R"),16,FALSE)))</f>
        <v/>
      </c>
      <c r="AK193" s="128">
        <f t="array" ref="AK193">IF(AI193="","",IFERROR(OFFSET($BZ$11,0,MATCH($AI193,$CA193:$FV193,0),),""))</f>
        <v/>
      </c>
      <c r="AL193" s="133">
        <f t="array" ref="AL193">IF(AI193="","",INDIRECT("'GRD-"&amp;AK193&amp;"'!$L$7"))</f>
        <v/>
      </c>
      <c r="AM193" s="84">
        <f t="array" ref="AM193">IFERROR(OFFSET($BZ$11,ROW($B193)-11,MATCH(AM$10,$CA193:$FV193,0),),"")</f>
        <v/>
      </c>
      <c r="AN193" s="84">
        <f>IF(AM193="","",IF(VLOOKUP($B193,INDIRECT("'GRD-"&amp;AO193&amp;"'!$B:$R"),16,FALSE)="","",VLOOKUP($B193,INDIRECT("'GRD-"&amp;AO193&amp;"'!$B:$R"),16,FALSE)))</f>
        <v/>
      </c>
      <c r="AO193" s="129">
        <f t="array" ref="AO193">IF(AM193="","",IFERROR(OFFSET($BZ$11,0,MATCH($AM193,$CA193:$FV193,0),),""))</f>
        <v/>
      </c>
      <c r="AP193" s="134">
        <f t="array" ref="AP193">IF(AM193="","",INDIRECT("'GRD-"&amp;AO193&amp;"'!$L$7"))</f>
        <v/>
      </c>
      <c r="AQ193" s="85">
        <f t="array" ref="AQ193">IFERROR(OFFSET($BZ$11,ROW($B193)-11,MATCH(AQ$10,$CA193:$FV193,0),),"")</f>
        <v/>
      </c>
      <c r="AR193" s="85">
        <f>IF(AQ193="","",IF(VLOOKUP($B193,INDIRECT("'GRD-"&amp;AS193&amp;"'!$B:$R"),16,FALSE)="","",VLOOKUP($B193,INDIRECT("'GRD-"&amp;AS193&amp;"'!$B:$R"),16,FALSE)))</f>
        <v/>
      </c>
      <c r="AS193" s="130">
        <f t="array" ref="AS193">IF(AQ193="","",IFERROR(OFFSET($BZ$11,0,MATCH($AQ193,$CA193:$FV193,0),),""))</f>
        <v/>
      </c>
      <c r="AT193" s="131">
        <f t="array" ref="AT193">IF(AQ193="","",INDIRECT("'GRD-"&amp;AS193&amp;"'!$L$7"))</f>
        <v/>
      </c>
      <c r="AU193" s="76">
        <f t="array" ref="AU193">IFERROR(OFFSET($BZ$11,ROW($B193)-11,MATCH(AU$10,$CA193:$FV193,0),),"")</f>
        <v/>
      </c>
      <c r="AV193" s="76">
        <f>IF(AU193="","",IF(VLOOKUP($B193,INDIRECT("'GRD-"&amp;AW193&amp;"'!$B:$R"),16,FALSE)="","",VLOOKUP($B193,INDIRECT("'GRD-"&amp;AW193&amp;"'!$B:$R"),16,FALSE)))</f>
        <v/>
      </c>
      <c r="AW193" s="132">
        <f t="array" ref="AW193">IF(AU193="","",IFERROR(OFFSET($BZ$11,0,MATCH($AU193,$CA193:$FV193,0),),""))</f>
        <v/>
      </c>
      <c r="AX193" s="121">
        <f t="array" ref="AX193">IF(AU193="","",INDIRECT("'GRD-"&amp;AW193&amp;"'!$L$7"))</f>
        <v/>
      </c>
      <c r="AY193" s="83">
        <f t="array" ref="AY193">IFERROR(OFFSET($BZ$11,ROW($B193)-11,MATCH(AY$10,$CA193:$FV193,0),),"")</f>
        <v/>
      </c>
      <c r="AZ193" s="83">
        <f>IF(AY193="","",IF(VLOOKUP($B193,INDIRECT("'GRD-"&amp;BA193&amp;"'!$B:$R"),16,FALSE)="","",VLOOKUP($B193,INDIRECT("'GRD-"&amp;BA193&amp;"'!$B:$R"),16,FALSE)))</f>
        <v/>
      </c>
      <c r="BA193" s="128">
        <f t="array" ref="BA193">IF(AY193="","",IFERROR(OFFSET($BZ$11,0,MATCH($AY193,$CA193:$FV193,0),),""))</f>
        <v/>
      </c>
      <c r="BB193" s="133">
        <f t="array" ref="BB193">IF(AY193="","",INDIRECT("'GRD-"&amp;BA193&amp;"'!$L$7"))</f>
        <v/>
      </c>
      <c r="BC193" s="84">
        <f t="array" ref="BC193">IFERROR(OFFSET($BZ$11,ROW($B193)-11,MATCH(BC$10,$CA193:$FV193,0),),"")</f>
        <v/>
      </c>
      <c r="BD193" s="84">
        <f>IF(BC193="","",IF(VLOOKUP($B193,INDIRECT("'GRD-"&amp;BE193&amp;"'!$B:$R"),16,FALSE)="","",VLOOKUP($B193,INDIRECT("'GRD-"&amp;BE193&amp;"'!$B:$R"),16,FALSE)))</f>
        <v/>
      </c>
      <c r="BE193" s="129">
        <f t="array" ref="BE193">IF(BC193="","",IFERROR(OFFSET($BZ$11,0,MATCH($BC193,$CA193:$FV193,0),),""))</f>
        <v/>
      </c>
      <c r="BF193" s="134">
        <f t="array" ref="BF193">IF(BC193="","",INDIRECT("'GRD-"&amp;BE193&amp;"'!$L$7"))</f>
        <v/>
      </c>
      <c r="CA193" s="96">
        <f>IFERROR(VLOOKUP($B193,INDIRECT("'GRD-"&amp;CA$11&amp;"'!B:R"),15,FALSE),"")</f>
        <v/>
      </c>
      <c r="CB193" s="96">
        <f>IFERROR(VLOOKUP($B193,INDIRECT("'GRD-"&amp;CB$11&amp;"'!B:R"),15,FALSE),"")</f>
        <v/>
      </c>
      <c r="CC193" s="96">
        <f>IFERROR(VLOOKUP($B193,INDIRECT("'GRD-"&amp;CC$11&amp;"'!B:R"),15,FALSE),"")</f>
        <v/>
      </c>
      <c r="CD193" s="96">
        <f>IFERROR(VLOOKUP($B193,INDIRECT("'GRD-"&amp;CD$11&amp;"'!B:R"),15,FALSE),"")</f>
        <v/>
      </c>
      <c r="CE193" s="96">
        <f>IFERROR(VLOOKUP($B193,INDIRECT("'GRD-"&amp;CE$11&amp;"'!B:R"),15,FALSE),"")</f>
        <v/>
      </c>
      <c r="CF193" s="96">
        <f>IFERROR(VLOOKUP($B193,INDIRECT("'GRD-"&amp;CF$11&amp;"'!B:R"),15,FALSE),"")</f>
        <v/>
      </c>
      <c r="CG193" s="96">
        <f>IFERROR(VLOOKUP($B193,INDIRECT("'GRD-"&amp;CG$11&amp;"'!B:R"),15,FALSE),"")</f>
        <v/>
      </c>
      <c r="CH193" s="96">
        <f>IFERROR(VLOOKUP($B193,INDIRECT("'GRD-"&amp;CH$11&amp;"'!B:R"),15,FALSE),"")</f>
        <v/>
      </c>
      <c r="CI193" s="96">
        <f>IFERROR(VLOOKUP($B193,INDIRECT("'GRD-"&amp;CI$11&amp;"'!B:R"),15,FALSE),"")</f>
        <v/>
      </c>
      <c r="CJ193" s="96">
        <f>IFERROR(VLOOKUP($B193,INDIRECT("'GRD-"&amp;CJ$11&amp;"'!B:R"),15,FALSE),"")</f>
        <v/>
      </c>
      <c r="CK193" s="96">
        <f>IFERROR(VLOOKUP($B193,INDIRECT("'GRD-"&amp;CK$11&amp;"'!B:R"),15,FALSE),"")</f>
        <v/>
      </c>
      <c r="CL193" s="96">
        <f>IFERROR(VLOOKUP($B193,INDIRECT("'GRD-"&amp;CL$11&amp;"'!B:R"),15,FALSE),"")</f>
        <v/>
      </c>
      <c r="CM193" s="96">
        <f>IFERROR(VLOOKUP($B193,INDIRECT("'GRD-"&amp;CM$11&amp;"'!B:R"),15,FALSE),"")</f>
        <v/>
      </c>
      <c r="CN193" s="96">
        <f>IFERROR(VLOOKUP($B193,INDIRECT("'GRD-"&amp;CN$11&amp;"'!B:R"),15,FALSE),"")</f>
        <v/>
      </c>
      <c r="CO193" s="96">
        <f>IFERROR(VLOOKUP($B193,INDIRECT("'GRD-"&amp;CO$11&amp;"'!B:R"),15,FALSE),"")</f>
        <v/>
      </c>
      <c r="CP193" s="96">
        <f>IFERROR(VLOOKUP($B193,INDIRECT("'GRD-"&amp;CP$11&amp;"'!B:R"),15,FALSE),"")</f>
        <v/>
      </c>
      <c r="CQ193" s="96">
        <f>IFERROR(VLOOKUP($B193,INDIRECT("'GRD-"&amp;CQ$11&amp;"'!B:R"),15,FALSE),"")</f>
        <v/>
      </c>
      <c r="CR193" s="96">
        <f>IFERROR(VLOOKUP($B193,INDIRECT("'GRD-"&amp;CR$11&amp;"'!B:R"),15,FALSE),"")</f>
        <v/>
      </c>
      <c r="CS193" s="96">
        <f>IFERROR(VLOOKUP($B193,INDIRECT("'GRD-"&amp;CS$11&amp;"'!B:R"),15,FALSE),"")</f>
        <v/>
      </c>
      <c r="CT193" s="96">
        <f>IFERROR(VLOOKUP($B193,INDIRECT("'GRD-"&amp;CT$11&amp;"'!B:R"),15,FALSE),"")</f>
        <v/>
      </c>
      <c r="CU193" s="96">
        <f>IFERROR(VLOOKUP($B193,INDIRECT("'GRD-"&amp;CU$11&amp;"'!B:R"),15,FALSE),"")</f>
        <v/>
      </c>
      <c r="CV193" s="96">
        <f>IFERROR(VLOOKUP($B193,INDIRECT("'GRD-"&amp;CV$11&amp;"'!B:R"),15,FALSE),"")</f>
        <v/>
      </c>
      <c r="CW193" s="96">
        <f>IFERROR(VLOOKUP($B193,INDIRECT("'GRD-"&amp;CW$11&amp;"'!B:R"),15,FALSE),"")</f>
        <v/>
      </c>
      <c r="CX193" s="96">
        <f>IFERROR(VLOOKUP($B193,INDIRECT("'GRD-"&amp;CX$11&amp;"'!B:R"),15,FALSE),"")</f>
        <v/>
      </c>
      <c r="CY193" s="96">
        <f>IFERROR(VLOOKUP($B193,INDIRECT("'GRD-"&amp;CY$11&amp;"'!B:R"),15,FALSE),"")</f>
        <v/>
      </c>
      <c r="CZ193" s="96">
        <f>IFERROR(VLOOKUP($B193,INDIRECT("'GRD-"&amp;CZ$11&amp;"'!B:R"),15,FALSE),"")</f>
        <v/>
      </c>
      <c r="DA193" s="96">
        <f>IFERROR(VLOOKUP($B193,INDIRECT("'GRD-"&amp;DA$11&amp;"'!B:R"),15,FALSE),"")</f>
        <v/>
      </c>
      <c r="DB193" s="96">
        <f>IFERROR(VLOOKUP($B193,INDIRECT("'GRD-"&amp;DB$11&amp;"'!B:R"),15,FALSE),"")</f>
        <v/>
      </c>
      <c r="DC193" s="96">
        <f>IFERROR(VLOOKUP($B193,INDIRECT("'GRD-"&amp;DC$11&amp;"'!B:R"),15,FALSE),"")</f>
        <v/>
      </c>
      <c r="DD193" s="96">
        <f>IFERROR(VLOOKUP($B193,INDIRECT("'GRD-"&amp;DD$11&amp;"'!B:R"),15,FALSE),"")</f>
        <v/>
      </c>
      <c r="DE193" s="96">
        <f>IFERROR(VLOOKUP($B193,INDIRECT("'GRD-"&amp;DE$11&amp;"'!B:R"),15,FALSE),"")</f>
        <v/>
      </c>
      <c r="DF193" s="96">
        <f>IFERROR(VLOOKUP($B193,INDIRECT("'GRD-"&amp;DF$11&amp;"'!B:R"),15,FALSE),"")</f>
        <v/>
      </c>
      <c r="DG193" s="96">
        <f>IFERROR(VLOOKUP($B193,INDIRECT("'GRD-"&amp;DG$11&amp;"'!B:R"),15,FALSE),"")</f>
        <v/>
      </c>
      <c r="DH193" s="96">
        <f>IFERROR(VLOOKUP($B193,INDIRECT("'GRD-"&amp;DH$11&amp;"'!B:R"),15,FALSE),"")</f>
        <v/>
      </c>
      <c r="DI193" s="96">
        <f>IFERROR(VLOOKUP($B193,INDIRECT("'GRD-"&amp;DI$11&amp;"'!B:R"),15,FALSE),"")</f>
        <v/>
      </c>
      <c r="DJ193" s="96">
        <f>IFERROR(VLOOKUP($B193,INDIRECT("'GRD-"&amp;DJ$11&amp;"'!B:R"),15,FALSE),"")</f>
        <v/>
      </c>
      <c r="DK193" s="96">
        <f>IFERROR(VLOOKUP($B193,INDIRECT("'GRD-"&amp;DK$11&amp;"'!B:R"),15,FALSE),"")</f>
        <v/>
      </c>
      <c r="DL193" s="96">
        <f>IFERROR(VLOOKUP($B193,INDIRECT("'GRD-"&amp;DL$11&amp;"'!B:R"),15,FALSE),"")</f>
        <v/>
      </c>
      <c r="DM193" s="96">
        <f>IFERROR(VLOOKUP($B193,INDIRECT("'GRD-"&amp;DM$11&amp;"'!B:R"),15,FALSE),"")</f>
        <v/>
      </c>
      <c r="DN193" s="96">
        <f>IFERROR(VLOOKUP($B193,INDIRECT("'GRD-"&amp;DN$11&amp;"'!B:R"),15,FALSE),"")</f>
        <v/>
      </c>
      <c r="DO193" s="96">
        <f>IFERROR(VLOOKUP($B193,INDIRECT("'GRD-"&amp;DO$11&amp;"'!B:R"),15,FALSE),"")</f>
        <v/>
      </c>
      <c r="DP193" s="96">
        <f>IFERROR(VLOOKUP($B193,INDIRECT("'GRD-"&amp;DP$11&amp;"'!B:R"),15,FALSE),"")</f>
        <v/>
      </c>
      <c r="DQ193" s="96">
        <f>IFERROR(VLOOKUP($B193,INDIRECT("'GRD-"&amp;DQ$11&amp;"'!B:R"),15,FALSE),"")</f>
        <v/>
      </c>
      <c r="DR193" s="96">
        <f>IFERROR(VLOOKUP($B193,INDIRECT("'GRD-"&amp;DR$11&amp;"'!B:R"),15,FALSE),"")</f>
        <v/>
      </c>
      <c r="DS193" s="96">
        <f>IFERROR(VLOOKUP($B193,INDIRECT("'GRD-"&amp;DS$11&amp;"'!B:R"),15,FALSE),"")</f>
        <v/>
      </c>
      <c r="DT193" s="96">
        <f>IFERROR(VLOOKUP($B193,INDIRECT("'GRD-"&amp;DT$11&amp;"'!B:R"),15,FALSE),"")</f>
        <v/>
      </c>
      <c r="DU193" s="96">
        <f>IFERROR(VLOOKUP($B193,INDIRECT("'GRD-"&amp;DU$11&amp;"'!B:R"),15,FALSE),"")</f>
        <v/>
      </c>
      <c r="DV193" s="96">
        <f>IFERROR(VLOOKUP($B193,INDIRECT("'GRD-"&amp;DV$11&amp;"'!B:R"),15,FALSE),"")</f>
        <v/>
      </c>
      <c r="DW193" s="96">
        <f>IFERROR(VLOOKUP($B193,INDIRECT("'GRD-"&amp;DW$11&amp;"'!B:R"),15,FALSE),"")</f>
        <v/>
      </c>
      <c r="DX193" s="96">
        <f>IFERROR(VLOOKUP($B193,INDIRECT("'GRD-"&amp;DX$11&amp;"'!B:R"),15,FALSE),"")</f>
        <v/>
      </c>
      <c r="DY193" s="96">
        <f>IFERROR(VLOOKUP($B193,INDIRECT("'GRD-"&amp;DY$11&amp;"'!B:R"),15,FALSE),"")</f>
        <v/>
      </c>
      <c r="DZ193" s="96">
        <f>IFERROR(VLOOKUP($B193,INDIRECT("'GRD-"&amp;DZ$11&amp;"'!B:R"),15,FALSE),"")</f>
        <v/>
      </c>
      <c r="EA193" s="96">
        <f>IFERROR(VLOOKUP($B193,INDIRECT("'GRD-"&amp;EA$11&amp;"'!B:R"),15,FALSE),"")</f>
        <v/>
      </c>
      <c r="EB193" s="96">
        <f>IFERROR(VLOOKUP($B193,INDIRECT("'GRD-"&amp;EB$11&amp;"'!B:R"),15,FALSE),"")</f>
        <v/>
      </c>
      <c r="EC193" s="96">
        <f>IFERROR(VLOOKUP($B193,INDIRECT("'GRD-"&amp;EC$11&amp;"'!B:R"),15,FALSE),"")</f>
        <v/>
      </c>
      <c r="ED193" s="96">
        <f>IFERROR(VLOOKUP($B193,INDIRECT("'GRD-"&amp;ED$11&amp;"'!B:R"),15,FALSE),"")</f>
        <v/>
      </c>
      <c r="EE193" s="96">
        <f>IFERROR(VLOOKUP($B193,INDIRECT("'GRD-"&amp;EE$11&amp;"'!B:R"),15,FALSE),"")</f>
        <v/>
      </c>
      <c r="EF193" s="96">
        <f>IFERROR(VLOOKUP($B193,INDIRECT("'GRD-"&amp;EF$11&amp;"'!B:R"),15,FALSE),"")</f>
        <v/>
      </c>
      <c r="EG193" s="96">
        <f>IFERROR(VLOOKUP($B193,INDIRECT("'GRD-"&amp;EG$11&amp;"'!B:R"),15,FALSE),"")</f>
        <v/>
      </c>
      <c r="EH193" s="96">
        <f>IFERROR(VLOOKUP($B193,INDIRECT("'GRD-"&amp;EH$11&amp;"'!B:R"),15,FALSE),"")</f>
        <v/>
      </c>
      <c r="EI193" s="96">
        <f>IFERROR(VLOOKUP($B193,INDIRECT("'GRD-"&amp;EI$11&amp;"'!B:R"),15,FALSE),"")</f>
        <v/>
      </c>
      <c r="EJ193" s="96">
        <f>IFERROR(VLOOKUP($B193,INDIRECT("'GRD-"&amp;EJ$11&amp;"'!B:R"),15,FALSE),"")</f>
        <v/>
      </c>
      <c r="EK193" s="96">
        <f>IFERROR(VLOOKUP($B193,INDIRECT("'GRD-"&amp;EK$11&amp;"'!B:R"),15,FALSE),"")</f>
        <v/>
      </c>
      <c r="EL193" s="96">
        <f>IFERROR(VLOOKUP($B193,INDIRECT("'GRD-"&amp;EL$11&amp;"'!B:R"),15,FALSE),"")</f>
        <v/>
      </c>
      <c r="EM193" s="96">
        <f>IFERROR(VLOOKUP($B193,INDIRECT("'GRD-"&amp;EM$11&amp;"'!B:R"),15,FALSE),"")</f>
        <v/>
      </c>
      <c r="EN193" s="96">
        <f>IFERROR(VLOOKUP($B193,INDIRECT("'GRD-"&amp;EN$11&amp;"'!B:R"),15,FALSE),"")</f>
        <v/>
      </c>
      <c r="EO193" s="96">
        <f>IFERROR(VLOOKUP($B193,INDIRECT("'GRD-"&amp;EO$11&amp;"'!B:R"),15,FALSE),"")</f>
        <v/>
      </c>
      <c r="EP193" s="96">
        <f>IFERROR(VLOOKUP($B193,INDIRECT("'GRD-"&amp;EP$11&amp;"'!B:R"),15,FALSE),"")</f>
        <v/>
      </c>
      <c r="EQ193" s="96">
        <f>IFERROR(VLOOKUP($B193,INDIRECT("'GRD-"&amp;EQ$11&amp;"'!B:R"),15,FALSE),"")</f>
        <v/>
      </c>
      <c r="ER193" s="96">
        <f>IFERROR(VLOOKUP($B193,INDIRECT("'GRD-"&amp;ER$11&amp;"'!B:R"),15,FALSE),"")</f>
        <v/>
      </c>
      <c r="ES193" s="96">
        <f>IFERROR(VLOOKUP($B193,INDIRECT("'GRD-"&amp;ES$11&amp;"'!B:R"),15,FALSE),"")</f>
        <v/>
      </c>
      <c r="ET193" s="96">
        <f>IFERROR(VLOOKUP($B193,INDIRECT("'GRD-"&amp;ET$11&amp;"'!B:R"),15,FALSE),"")</f>
        <v/>
      </c>
      <c r="EU193" s="96">
        <f>IFERROR(VLOOKUP($B193,INDIRECT("'GRD-"&amp;EU$11&amp;"'!B:R"),15,FALSE),"")</f>
        <v/>
      </c>
      <c r="EV193" s="96">
        <f>IFERROR(VLOOKUP($B193,INDIRECT("'GRD-"&amp;EV$11&amp;"'!B:R"),15,FALSE),"")</f>
        <v/>
      </c>
      <c r="EW193" s="96">
        <f>IFERROR(VLOOKUP($B193,INDIRECT("'GRD-"&amp;EW$11&amp;"'!B:R"),15,FALSE),"")</f>
        <v/>
      </c>
      <c r="EX193" s="96">
        <f>IFERROR(VLOOKUP($B193,INDIRECT("'GRD-"&amp;EX$11&amp;"'!B:R"),15,FALSE),"")</f>
        <v/>
      </c>
      <c r="EY193" s="96">
        <f>IFERROR(VLOOKUP($B193,INDIRECT("'GRD-"&amp;EY$11&amp;"'!B:R"),15,FALSE),"")</f>
        <v/>
      </c>
      <c r="EZ193" s="96">
        <f>IFERROR(VLOOKUP($B193,INDIRECT("'GRD-"&amp;EZ$11&amp;"'!B:R"),15,FALSE),"")</f>
        <v/>
      </c>
      <c r="FA193" s="96">
        <f>IFERROR(VLOOKUP($B193,INDIRECT("'GRD-"&amp;FA$11&amp;"'!B:R"),15,FALSE),"")</f>
        <v/>
      </c>
      <c r="FB193" s="96">
        <f>IFERROR(VLOOKUP($B193,INDIRECT("'GRD-"&amp;FB$11&amp;"'!B:R"),15,FALSE),"")</f>
        <v/>
      </c>
      <c r="FC193" s="96">
        <f>IFERROR(VLOOKUP($B193,INDIRECT("'GRD-"&amp;FC$11&amp;"'!B:R"),15,FALSE),"")</f>
        <v/>
      </c>
      <c r="FD193" s="96">
        <f>IFERROR(VLOOKUP($B193,INDIRECT("'GRD-"&amp;FD$11&amp;"'!B:R"),15,FALSE),"")</f>
        <v/>
      </c>
      <c r="FE193" s="96">
        <f>IFERROR(VLOOKUP($B193,INDIRECT("'GRD-"&amp;FE$11&amp;"'!B:R"),15,FALSE),"")</f>
        <v/>
      </c>
      <c r="FF193" s="96">
        <f>IFERROR(VLOOKUP($B193,INDIRECT("'GRD-"&amp;FF$11&amp;"'!B:R"),15,FALSE),"")</f>
        <v/>
      </c>
      <c r="FG193" s="96">
        <f>IFERROR(VLOOKUP($B193,INDIRECT("'GRD-"&amp;FG$11&amp;"'!B:R"),15,FALSE),"")</f>
        <v/>
      </c>
      <c r="FH193" s="96">
        <f>IFERROR(VLOOKUP($B193,INDIRECT("'GRD-"&amp;FH$11&amp;"'!B:R"),15,FALSE),"")</f>
        <v/>
      </c>
      <c r="FI193" s="96">
        <f>IFERROR(VLOOKUP($B193,INDIRECT("'GRD-"&amp;FI$11&amp;"'!B:R"),15,FALSE),"")</f>
        <v/>
      </c>
      <c r="FJ193" s="96">
        <f>IFERROR(VLOOKUP($B193,INDIRECT("'GRD-"&amp;FJ$11&amp;"'!B:R"),15,FALSE),"")</f>
        <v/>
      </c>
      <c r="FK193" s="96">
        <f>IFERROR(VLOOKUP($B193,INDIRECT("'GRD-"&amp;FK$11&amp;"'!B:R"),15,FALSE),"")</f>
        <v/>
      </c>
      <c r="FL193" s="96">
        <f>IFERROR(VLOOKUP($B193,INDIRECT("'GRD-"&amp;FL$11&amp;"'!B:R"),15,FALSE),"")</f>
        <v/>
      </c>
      <c r="FM193" s="96">
        <f>IFERROR(VLOOKUP($B193,INDIRECT("'GRD-"&amp;FM$11&amp;"'!B:R"),15,FALSE),"")</f>
        <v/>
      </c>
      <c r="FN193" s="96">
        <f>IFERROR(VLOOKUP($B193,INDIRECT("'GRD-"&amp;FN$11&amp;"'!B:R"),15,FALSE),"")</f>
        <v/>
      </c>
      <c r="FO193" s="96">
        <f>IFERROR(VLOOKUP($B193,INDIRECT("'GRD-"&amp;FO$11&amp;"'!B:R"),15,FALSE),"")</f>
        <v/>
      </c>
      <c r="FP193" s="96">
        <f>IFERROR(VLOOKUP($B193,INDIRECT("'GRD-"&amp;FP$11&amp;"'!B:R"),15,FALSE),"")</f>
        <v/>
      </c>
      <c r="FQ193" s="96">
        <f>IFERROR(VLOOKUP($B193,INDIRECT("'GRD-"&amp;FQ$11&amp;"'!B:R"),15,FALSE),"")</f>
        <v/>
      </c>
      <c r="FR193" s="96">
        <f>IFERROR(VLOOKUP($B193,INDIRECT("'GRD-"&amp;FR$11&amp;"'!B:R"),15,FALSE),"")</f>
        <v/>
      </c>
      <c r="FS193" s="96">
        <f>IFERROR(VLOOKUP($B193,INDIRECT("'GRD-"&amp;FS$11&amp;"'!B:R"),15,FALSE),"")</f>
        <v/>
      </c>
      <c r="FT193" s="96">
        <f>IFERROR(VLOOKUP($B193,INDIRECT("'GRD-"&amp;FT$11&amp;"'!B:R"),15,FALSE),"")</f>
        <v/>
      </c>
      <c r="FU193" s="96">
        <f>IFERROR(VLOOKUP($B193,INDIRECT("'GRD-"&amp;FU$11&amp;"'!B:R"),15,FALSE),"")</f>
        <v/>
      </c>
      <c r="FV193" s="96">
        <f>IFERROR(VLOOKUP($B193,INDIRECT("'GRD-"&amp;FV$11&amp;"'!B:R"),15,FALSE),"")</f>
        <v/>
      </c>
    </row>
    <row r="194">
      <c r="B194" s="85" t="n"/>
      <c r="C194" s="93" t="n"/>
      <c r="D194" s="73">
        <f>IF(K194="","",MAX($CA194:$FV194))</f>
        <v/>
      </c>
      <c r="E194" s="74">
        <f t="array" ref="E194">IF($K194="","",OFFSET($A$1,ROW($B194)-1,11+$D194*4,))</f>
        <v/>
      </c>
      <c r="F194" s="74">
        <f t="array" ref="F194">IF($K194="","",OFFSET($A$1,ROW($B194)-1,12+$D194*4,))</f>
        <v/>
      </c>
      <c r="G194" s="118">
        <f t="array" ref="G194">IF($K194="","",OFFSET($A$1,ROW($B194)-1,13+$D194*4,))</f>
        <v/>
      </c>
      <c r="H194" s="81" t="n"/>
      <c r="I194" s="82" t="n"/>
      <c r="J194" s="75">
        <f>IF(I194="A4",H194/8,IF(I194="A3",H194/4,IF(I194="A2",H194/2,IF(I194="A1",H194/1,IF(I194="A0",H194*2,"")))))</f>
        <v/>
      </c>
      <c r="K194" s="68">
        <f t="array" ref="K194">IFERROR(OFFSET($BZ$11,ROW($B194)-11,MATCH(K$10,$CA194:$FV194,0),),"")</f>
        <v/>
      </c>
      <c r="L194" s="85">
        <f>IF(K194="","",IF(VLOOKUP($B194,INDIRECT("'GRD-"&amp;M194&amp;"'!$B:$R"),16,FALSE)="","",VLOOKUP($B194,INDIRECT("'GRD-"&amp;M194&amp;"'!$B:$R"),16,FALSE)))</f>
        <v/>
      </c>
      <c r="M194" s="130">
        <f t="array" ref="M194">IF(K194="","",IFERROR(OFFSET($BZ$11,0,MATCH($K194,$CA194:$FV194,0),),""))</f>
        <v/>
      </c>
      <c r="N194" s="119">
        <f t="array" ref="N194">IF(K194="","",INDIRECT("'GRD-"&amp;M194&amp;"'!$L$7"))</f>
        <v/>
      </c>
      <c r="O194" s="76">
        <f t="array" ref="O194">IFERROR(OFFSET($BZ$11,ROW($B194)-11,MATCH(O$10,$CA194:$FV194,0),),"")</f>
        <v/>
      </c>
      <c r="P194" s="76">
        <f>IF(O194="","",IF(VLOOKUP($B194,INDIRECT("'GRD-"&amp;Q194&amp;"'!$B:$R"),16,FALSE)="","",VLOOKUP($B194,INDIRECT("'GRD-"&amp;Q194&amp;"'!$B:$R"),16,FALSE)))</f>
        <v/>
      </c>
      <c r="Q194" s="132">
        <f t="array" ref="Q194">IF(O194="","",IFERROR(OFFSET($BZ$11,0,MATCH($O194,$CA194:$FV194,0),),""))</f>
        <v/>
      </c>
      <c r="R194" s="121">
        <f t="array" ref="R194">IF(O194="","",INDIRECT("'GRD-"&amp;Q194&amp;"'!$L$7"))</f>
        <v/>
      </c>
      <c r="S194" s="83">
        <f t="array" ref="S194">IFERROR(OFFSET($BZ$11,ROW($B194)-11,MATCH(S$10,$CA194:$FV194,0),),"")</f>
        <v/>
      </c>
      <c r="T194" s="83">
        <f>IF(S194="","",IF(VLOOKUP($B194,INDIRECT("'GRD-"&amp;U194&amp;"'!$B:$R"),16,FALSE)="","",VLOOKUP($B194,INDIRECT("'GRD-"&amp;U194&amp;"'!$B:$R"),16,FALSE)))</f>
        <v/>
      </c>
      <c r="U194" s="128">
        <f t="array" ref="U194">IF(S194="","",IFERROR(OFFSET($BZ$11,0,MATCH($S194,$CA194:$FV194,0),),""))</f>
        <v/>
      </c>
      <c r="V194" s="133">
        <f t="array" ref="V194">IF(S194="","",INDIRECT("'GRD-"&amp;U194&amp;"'!$L$7"))</f>
        <v/>
      </c>
      <c r="W194" s="84">
        <f t="array" ref="W194">IFERROR(OFFSET($BZ$11,ROW($B194)-11,MATCH(W$10,$CA194:$FV194,0),),"")</f>
        <v/>
      </c>
      <c r="X194" s="84">
        <f>IF(W194="","",IF(VLOOKUP($B194,INDIRECT("'GRD-"&amp;Y194&amp;"'!$B:$R"),16,FALSE)="","",VLOOKUP($B194,INDIRECT("'GRD-"&amp;Y194&amp;"'!$B:$R"),16,FALSE)))</f>
        <v/>
      </c>
      <c r="Y194" s="129">
        <f t="array" ref="Y194">IF(W194="","",IFERROR(OFFSET($BZ$11,0,MATCH($W194,$CA194:$FV194,0),),""))</f>
        <v/>
      </c>
      <c r="Z194" s="134">
        <f t="array" ref="Z194">IF(W194="","",INDIRECT("'GRD-"&amp;Y194&amp;"'!$L$7"))</f>
        <v/>
      </c>
      <c r="AA194" s="85">
        <f t="array" ref="AA194">IFERROR(OFFSET($BZ$11,ROW($B194)-11,MATCH(AA$10,$CA194:$FV194,0),),"")</f>
        <v/>
      </c>
      <c r="AB194" s="85">
        <f>IF(AA194="","",IF(VLOOKUP($B194,INDIRECT("'GRD-"&amp;AC194&amp;"'!$B:$R"),16,FALSE)="","",VLOOKUP($B194,INDIRECT("'GRD-"&amp;AC194&amp;"'!$B:$R"),16,FALSE)))</f>
        <v/>
      </c>
      <c r="AC194" s="130">
        <f t="array" ref="AC194">IF(AA194="","",IFERROR(OFFSET($BZ$11,0,MATCH($AA194,$CA194:$FV194,0),),""))</f>
        <v/>
      </c>
      <c r="AD194" s="131">
        <f t="array" ref="AD194">IF(AA194="","",INDIRECT("'GRD-"&amp;AC194&amp;"'!$L$7"))</f>
        <v/>
      </c>
      <c r="AE194" s="76">
        <f t="array" ref="AE194">IFERROR(OFFSET($BZ$11,ROW($B194)-11,MATCH(AE$10,$CA194:$FV194,0),),"")</f>
        <v/>
      </c>
      <c r="AF194" s="76">
        <f>IF(AE194="","",IF(VLOOKUP($B194,INDIRECT("'GRD-"&amp;AG194&amp;"'!$B:$R"),16,FALSE)="","",VLOOKUP($B194,INDIRECT("'GRD-"&amp;AG194&amp;"'!$B:$R"),16,FALSE)))</f>
        <v/>
      </c>
      <c r="AG194" s="132">
        <f t="array" ref="AG194">IF(AE194="","",IFERROR(OFFSET($BZ$11,0,MATCH($AE194,$CA194:$FV194,0),),""))</f>
        <v/>
      </c>
      <c r="AH194" s="121">
        <f t="array" ref="AH194">IF(AE194="","",INDIRECT("'GRD-"&amp;AG194&amp;"'!$L$7"))</f>
        <v/>
      </c>
      <c r="AI194" s="83">
        <f t="array" ref="AI194">IFERROR(OFFSET($BZ$11,ROW($B194)-11,MATCH(AI$10,$CA194:$FV194,0),),"")</f>
        <v/>
      </c>
      <c r="AJ194" s="83">
        <f>IF(AI194="","",IF(VLOOKUP($B194,INDIRECT("'GRD-"&amp;AK194&amp;"'!$B:$R"),16,FALSE)="","",VLOOKUP($B194,INDIRECT("'GRD-"&amp;AK194&amp;"'!$B:$R"),16,FALSE)))</f>
        <v/>
      </c>
      <c r="AK194" s="128">
        <f t="array" ref="AK194">IF(AI194="","",IFERROR(OFFSET($BZ$11,0,MATCH($AI194,$CA194:$FV194,0),),""))</f>
        <v/>
      </c>
      <c r="AL194" s="133">
        <f t="array" ref="AL194">IF(AI194="","",INDIRECT("'GRD-"&amp;AK194&amp;"'!$L$7"))</f>
        <v/>
      </c>
      <c r="AM194" s="84">
        <f t="array" ref="AM194">IFERROR(OFFSET($BZ$11,ROW($B194)-11,MATCH(AM$10,$CA194:$FV194,0),),"")</f>
        <v/>
      </c>
      <c r="AN194" s="84">
        <f>IF(AM194="","",IF(VLOOKUP($B194,INDIRECT("'GRD-"&amp;AO194&amp;"'!$B:$R"),16,FALSE)="","",VLOOKUP($B194,INDIRECT("'GRD-"&amp;AO194&amp;"'!$B:$R"),16,FALSE)))</f>
        <v/>
      </c>
      <c r="AO194" s="129">
        <f t="array" ref="AO194">IF(AM194="","",IFERROR(OFFSET($BZ$11,0,MATCH($AM194,$CA194:$FV194,0),),""))</f>
        <v/>
      </c>
      <c r="AP194" s="134">
        <f t="array" ref="AP194">IF(AM194="","",INDIRECT("'GRD-"&amp;AO194&amp;"'!$L$7"))</f>
        <v/>
      </c>
      <c r="AQ194" s="85">
        <f t="array" ref="AQ194">IFERROR(OFFSET($BZ$11,ROW($B194)-11,MATCH(AQ$10,$CA194:$FV194,0),),"")</f>
        <v/>
      </c>
      <c r="AR194" s="85">
        <f>IF(AQ194="","",IF(VLOOKUP($B194,INDIRECT("'GRD-"&amp;AS194&amp;"'!$B:$R"),16,FALSE)="","",VLOOKUP($B194,INDIRECT("'GRD-"&amp;AS194&amp;"'!$B:$R"),16,FALSE)))</f>
        <v/>
      </c>
      <c r="AS194" s="130">
        <f t="array" ref="AS194">IF(AQ194="","",IFERROR(OFFSET($BZ$11,0,MATCH($AQ194,$CA194:$FV194,0),),""))</f>
        <v/>
      </c>
      <c r="AT194" s="131">
        <f t="array" ref="AT194">IF(AQ194="","",INDIRECT("'GRD-"&amp;AS194&amp;"'!$L$7"))</f>
        <v/>
      </c>
      <c r="AU194" s="76">
        <f t="array" ref="AU194">IFERROR(OFFSET($BZ$11,ROW($B194)-11,MATCH(AU$10,$CA194:$FV194,0),),"")</f>
        <v/>
      </c>
      <c r="AV194" s="76">
        <f>IF(AU194="","",IF(VLOOKUP($B194,INDIRECT("'GRD-"&amp;AW194&amp;"'!$B:$R"),16,FALSE)="","",VLOOKUP($B194,INDIRECT("'GRD-"&amp;AW194&amp;"'!$B:$R"),16,FALSE)))</f>
        <v/>
      </c>
      <c r="AW194" s="132">
        <f t="array" ref="AW194">IF(AU194="","",IFERROR(OFFSET($BZ$11,0,MATCH($AU194,$CA194:$FV194,0),),""))</f>
        <v/>
      </c>
      <c r="AX194" s="121">
        <f t="array" ref="AX194">IF(AU194="","",INDIRECT("'GRD-"&amp;AW194&amp;"'!$L$7"))</f>
        <v/>
      </c>
      <c r="AY194" s="83">
        <f t="array" ref="AY194">IFERROR(OFFSET($BZ$11,ROW($B194)-11,MATCH(AY$10,$CA194:$FV194,0),),"")</f>
        <v/>
      </c>
      <c r="AZ194" s="83">
        <f>IF(AY194="","",IF(VLOOKUP($B194,INDIRECT("'GRD-"&amp;BA194&amp;"'!$B:$R"),16,FALSE)="","",VLOOKUP($B194,INDIRECT("'GRD-"&amp;BA194&amp;"'!$B:$R"),16,FALSE)))</f>
        <v/>
      </c>
      <c r="BA194" s="128">
        <f t="array" ref="BA194">IF(AY194="","",IFERROR(OFFSET($BZ$11,0,MATCH($AY194,$CA194:$FV194,0),),""))</f>
        <v/>
      </c>
      <c r="BB194" s="133">
        <f t="array" ref="BB194">IF(AY194="","",INDIRECT("'GRD-"&amp;BA194&amp;"'!$L$7"))</f>
        <v/>
      </c>
      <c r="BC194" s="84">
        <f t="array" ref="BC194">IFERROR(OFFSET($BZ$11,ROW($B194)-11,MATCH(BC$10,$CA194:$FV194,0),),"")</f>
        <v/>
      </c>
      <c r="BD194" s="84">
        <f>IF(BC194="","",IF(VLOOKUP($B194,INDIRECT("'GRD-"&amp;BE194&amp;"'!$B:$R"),16,FALSE)="","",VLOOKUP($B194,INDIRECT("'GRD-"&amp;BE194&amp;"'!$B:$R"),16,FALSE)))</f>
        <v/>
      </c>
      <c r="BE194" s="129">
        <f t="array" ref="BE194">IF(BC194="","",IFERROR(OFFSET($BZ$11,0,MATCH($BC194,$CA194:$FV194,0),),""))</f>
        <v/>
      </c>
      <c r="BF194" s="134">
        <f t="array" ref="BF194">IF(BC194="","",INDIRECT("'GRD-"&amp;BE194&amp;"'!$L$7"))</f>
        <v/>
      </c>
      <c r="CA194" s="96">
        <f>IFERROR(VLOOKUP($B194,INDIRECT("'GRD-"&amp;CA$11&amp;"'!B:R"),15,FALSE),"")</f>
        <v/>
      </c>
      <c r="CB194" s="96">
        <f>IFERROR(VLOOKUP($B194,INDIRECT("'GRD-"&amp;CB$11&amp;"'!B:R"),15,FALSE),"")</f>
        <v/>
      </c>
      <c r="CC194" s="96">
        <f>IFERROR(VLOOKUP($B194,INDIRECT("'GRD-"&amp;CC$11&amp;"'!B:R"),15,FALSE),"")</f>
        <v/>
      </c>
      <c r="CD194" s="96">
        <f>IFERROR(VLOOKUP($B194,INDIRECT("'GRD-"&amp;CD$11&amp;"'!B:R"),15,FALSE),"")</f>
        <v/>
      </c>
      <c r="CE194" s="96">
        <f>IFERROR(VLOOKUP($B194,INDIRECT("'GRD-"&amp;CE$11&amp;"'!B:R"),15,FALSE),"")</f>
        <v/>
      </c>
      <c r="CF194" s="96">
        <f>IFERROR(VLOOKUP($B194,INDIRECT("'GRD-"&amp;CF$11&amp;"'!B:R"),15,FALSE),"")</f>
        <v/>
      </c>
      <c r="CG194" s="96">
        <f>IFERROR(VLOOKUP($B194,INDIRECT("'GRD-"&amp;CG$11&amp;"'!B:R"),15,FALSE),"")</f>
        <v/>
      </c>
      <c r="CH194" s="96">
        <f>IFERROR(VLOOKUP($B194,INDIRECT("'GRD-"&amp;CH$11&amp;"'!B:R"),15,FALSE),"")</f>
        <v/>
      </c>
      <c r="CI194" s="96">
        <f>IFERROR(VLOOKUP($B194,INDIRECT("'GRD-"&amp;CI$11&amp;"'!B:R"),15,FALSE),"")</f>
        <v/>
      </c>
      <c r="CJ194" s="96">
        <f>IFERROR(VLOOKUP($B194,INDIRECT("'GRD-"&amp;CJ$11&amp;"'!B:R"),15,FALSE),"")</f>
        <v/>
      </c>
      <c r="CK194" s="96">
        <f>IFERROR(VLOOKUP($B194,INDIRECT("'GRD-"&amp;CK$11&amp;"'!B:R"),15,FALSE),"")</f>
        <v/>
      </c>
      <c r="CL194" s="96">
        <f>IFERROR(VLOOKUP($B194,INDIRECT("'GRD-"&amp;CL$11&amp;"'!B:R"),15,FALSE),"")</f>
        <v/>
      </c>
      <c r="CM194" s="96">
        <f>IFERROR(VLOOKUP($B194,INDIRECT("'GRD-"&amp;CM$11&amp;"'!B:R"),15,FALSE),"")</f>
        <v/>
      </c>
      <c r="CN194" s="96">
        <f>IFERROR(VLOOKUP($B194,INDIRECT("'GRD-"&amp;CN$11&amp;"'!B:R"),15,FALSE),"")</f>
        <v/>
      </c>
      <c r="CO194" s="96">
        <f>IFERROR(VLOOKUP($B194,INDIRECT("'GRD-"&amp;CO$11&amp;"'!B:R"),15,FALSE),"")</f>
        <v/>
      </c>
      <c r="CP194" s="96">
        <f>IFERROR(VLOOKUP($B194,INDIRECT("'GRD-"&amp;CP$11&amp;"'!B:R"),15,FALSE),"")</f>
        <v/>
      </c>
      <c r="CQ194" s="96">
        <f>IFERROR(VLOOKUP($B194,INDIRECT("'GRD-"&amp;CQ$11&amp;"'!B:R"),15,FALSE),"")</f>
        <v/>
      </c>
      <c r="CR194" s="96">
        <f>IFERROR(VLOOKUP($B194,INDIRECT("'GRD-"&amp;CR$11&amp;"'!B:R"),15,FALSE),"")</f>
        <v/>
      </c>
      <c r="CS194" s="96">
        <f>IFERROR(VLOOKUP($B194,INDIRECT("'GRD-"&amp;CS$11&amp;"'!B:R"),15,FALSE),"")</f>
        <v/>
      </c>
      <c r="CT194" s="96">
        <f>IFERROR(VLOOKUP($B194,INDIRECT("'GRD-"&amp;CT$11&amp;"'!B:R"),15,FALSE),"")</f>
        <v/>
      </c>
      <c r="CU194" s="96">
        <f>IFERROR(VLOOKUP($B194,INDIRECT("'GRD-"&amp;CU$11&amp;"'!B:R"),15,FALSE),"")</f>
        <v/>
      </c>
      <c r="CV194" s="96">
        <f>IFERROR(VLOOKUP($B194,INDIRECT("'GRD-"&amp;CV$11&amp;"'!B:R"),15,FALSE),"")</f>
        <v/>
      </c>
      <c r="CW194" s="96">
        <f>IFERROR(VLOOKUP($B194,INDIRECT("'GRD-"&amp;CW$11&amp;"'!B:R"),15,FALSE),"")</f>
        <v/>
      </c>
      <c r="CX194" s="96">
        <f>IFERROR(VLOOKUP($B194,INDIRECT("'GRD-"&amp;CX$11&amp;"'!B:R"),15,FALSE),"")</f>
        <v/>
      </c>
      <c r="CY194" s="96">
        <f>IFERROR(VLOOKUP($B194,INDIRECT("'GRD-"&amp;CY$11&amp;"'!B:R"),15,FALSE),"")</f>
        <v/>
      </c>
      <c r="CZ194" s="96">
        <f>IFERROR(VLOOKUP($B194,INDIRECT("'GRD-"&amp;CZ$11&amp;"'!B:R"),15,FALSE),"")</f>
        <v/>
      </c>
      <c r="DA194" s="96">
        <f>IFERROR(VLOOKUP($B194,INDIRECT("'GRD-"&amp;DA$11&amp;"'!B:R"),15,FALSE),"")</f>
        <v/>
      </c>
      <c r="DB194" s="96">
        <f>IFERROR(VLOOKUP($B194,INDIRECT("'GRD-"&amp;DB$11&amp;"'!B:R"),15,FALSE),"")</f>
        <v/>
      </c>
      <c r="DC194" s="96">
        <f>IFERROR(VLOOKUP($B194,INDIRECT("'GRD-"&amp;DC$11&amp;"'!B:R"),15,FALSE),"")</f>
        <v/>
      </c>
      <c r="DD194" s="96">
        <f>IFERROR(VLOOKUP($B194,INDIRECT("'GRD-"&amp;DD$11&amp;"'!B:R"),15,FALSE),"")</f>
        <v/>
      </c>
      <c r="DE194" s="96">
        <f>IFERROR(VLOOKUP($B194,INDIRECT("'GRD-"&amp;DE$11&amp;"'!B:R"),15,FALSE),"")</f>
        <v/>
      </c>
      <c r="DF194" s="96">
        <f>IFERROR(VLOOKUP($B194,INDIRECT("'GRD-"&amp;DF$11&amp;"'!B:R"),15,FALSE),"")</f>
        <v/>
      </c>
      <c r="DG194" s="96">
        <f>IFERROR(VLOOKUP($B194,INDIRECT("'GRD-"&amp;DG$11&amp;"'!B:R"),15,FALSE),"")</f>
        <v/>
      </c>
      <c r="DH194" s="96">
        <f>IFERROR(VLOOKUP($B194,INDIRECT("'GRD-"&amp;DH$11&amp;"'!B:R"),15,FALSE),"")</f>
        <v/>
      </c>
      <c r="DI194" s="96">
        <f>IFERROR(VLOOKUP($B194,INDIRECT("'GRD-"&amp;DI$11&amp;"'!B:R"),15,FALSE),"")</f>
        <v/>
      </c>
      <c r="DJ194" s="96">
        <f>IFERROR(VLOOKUP($B194,INDIRECT("'GRD-"&amp;DJ$11&amp;"'!B:R"),15,FALSE),"")</f>
        <v/>
      </c>
      <c r="DK194" s="96">
        <f>IFERROR(VLOOKUP($B194,INDIRECT("'GRD-"&amp;DK$11&amp;"'!B:R"),15,FALSE),"")</f>
        <v/>
      </c>
      <c r="DL194" s="96">
        <f>IFERROR(VLOOKUP($B194,INDIRECT("'GRD-"&amp;DL$11&amp;"'!B:R"),15,FALSE),"")</f>
        <v/>
      </c>
      <c r="DM194" s="96">
        <f>IFERROR(VLOOKUP($B194,INDIRECT("'GRD-"&amp;DM$11&amp;"'!B:R"),15,FALSE),"")</f>
        <v/>
      </c>
      <c r="DN194" s="96">
        <f>IFERROR(VLOOKUP($B194,INDIRECT("'GRD-"&amp;DN$11&amp;"'!B:R"),15,FALSE),"")</f>
        <v/>
      </c>
      <c r="DO194" s="96">
        <f>IFERROR(VLOOKUP($B194,INDIRECT("'GRD-"&amp;DO$11&amp;"'!B:R"),15,FALSE),"")</f>
        <v/>
      </c>
      <c r="DP194" s="96">
        <f>IFERROR(VLOOKUP($B194,INDIRECT("'GRD-"&amp;DP$11&amp;"'!B:R"),15,FALSE),"")</f>
        <v/>
      </c>
      <c r="DQ194" s="96">
        <f>IFERROR(VLOOKUP($B194,INDIRECT("'GRD-"&amp;DQ$11&amp;"'!B:R"),15,FALSE),"")</f>
        <v/>
      </c>
      <c r="DR194" s="96">
        <f>IFERROR(VLOOKUP($B194,INDIRECT("'GRD-"&amp;DR$11&amp;"'!B:R"),15,FALSE),"")</f>
        <v/>
      </c>
      <c r="DS194" s="96">
        <f>IFERROR(VLOOKUP($B194,INDIRECT("'GRD-"&amp;DS$11&amp;"'!B:R"),15,FALSE),"")</f>
        <v/>
      </c>
      <c r="DT194" s="96">
        <f>IFERROR(VLOOKUP($B194,INDIRECT("'GRD-"&amp;DT$11&amp;"'!B:R"),15,FALSE),"")</f>
        <v/>
      </c>
      <c r="DU194" s="96">
        <f>IFERROR(VLOOKUP($B194,INDIRECT("'GRD-"&amp;DU$11&amp;"'!B:R"),15,FALSE),"")</f>
        <v/>
      </c>
      <c r="DV194" s="96">
        <f>IFERROR(VLOOKUP($B194,INDIRECT("'GRD-"&amp;DV$11&amp;"'!B:R"),15,FALSE),"")</f>
        <v/>
      </c>
      <c r="DW194" s="96">
        <f>IFERROR(VLOOKUP($B194,INDIRECT("'GRD-"&amp;DW$11&amp;"'!B:R"),15,FALSE),"")</f>
        <v/>
      </c>
      <c r="DX194" s="96">
        <f>IFERROR(VLOOKUP($B194,INDIRECT("'GRD-"&amp;DX$11&amp;"'!B:R"),15,FALSE),"")</f>
        <v/>
      </c>
      <c r="DY194" s="96">
        <f>IFERROR(VLOOKUP($B194,INDIRECT("'GRD-"&amp;DY$11&amp;"'!B:R"),15,FALSE),"")</f>
        <v/>
      </c>
      <c r="DZ194" s="96">
        <f>IFERROR(VLOOKUP($B194,INDIRECT("'GRD-"&amp;DZ$11&amp;"'!B:R"),15,FALSE),"")</f>
        <v/>
      </c>
      <c r="EA194" s="96">
        <f>IFERROR(VLOOKUP($B194,INDIRECT("'GRD-"&amp;EA$11&amp;"'!B:R"),15,FALSE),"")</f>
        <v/>
      </c>
      <c r="EB194" s="96">
        <f>IFERROR(VLOOKUP($B194,INDIRECT("'GRD-"&amp;EB$11&amp;"'!B:R"),15,FALSE),"")</f>
        <v/>
      </c>
      <c r="EC194" s="96">
        <f>IFERROR(VLOOKUP($B194,INDIRECT("'GRD-"&amp;EC$11&amp;"'!B:R"),15,FALSE),"")</f>
        <v/>
      </c>
      <c r="ED194" s="96">
        <f>IFERROR(VLOOKUP($B194,INDIRECT("'GRD-"&amp;ED$11&amp;"'!B:R"),15,FALSE),"")</f>
        <v/>
      </c>
      <c r="EE194" s="96">
        <f>IFERROR(VLOOKUP($B194,INDIRECT("'GRD-"&amp;EE$11&amp;"'!B:R"),15,FALSE),"")</f>
        <v/>
      </c>
      <c r="EF194" s="96">
        <f>IFERROR(VLOOKUP($B194,INDIRECT("'GRD-"&amp;EF$11&amp;"'!B:R"),15,FALSE),"")</f>
        <v/>
      </c>
      <c r="EG194" s="96">
        <f>IFERROR(VLOOKUP($B194,INDIRECT("'GRD-"&amp;EG$11&amp;"'!B:R"),15,FALSE),"")</f>
        <v/>
      </c>
      <c r="EH194" s="96">
        <f>IFERROR(VLOOKUP($B194,INDIRECT("'GRD-"&amp;EH$11&amp;"'!B:R"),15,FALSE),"")</f>
        <v/>
      </c>
      <c r="EI194" s="96">
        <f>IFERROR(VLOOKUP($B194,INDIRECT("'GRD-"&amp;EI$11&amp;"'!B:R"),15,FALSE),"")</f>
        <v/>
      </c>
      <c r="EJ194" s="96">
        <f>IFERROR(VLOOKUP($B194,INDIRECT("'GRD-"&amp;EJ$11&amp;"'!B:R"),15,FALSE),"")</f>
        <v/>
      </c>
      <c r="EK194" s="96">
        <f>IFERROR(VLOOKUP($B194,INDIRECT("'GRD-"&amp;EK$11&amp;"'!B:R"),15,FALSE),"")</f>
        <v/>
      </c>
      <c r="EL194" s="96">
        <f>IFERROR(VLOOKUP($B194,INDIRECT("'GRD-"&amp;EL$11&amp;"'!B:R"),15,FALSE),"")</f>
        <v/>
      </c>
      <c r="EM194" s="96">
        <f>IFERROR(VLOOKUP($B194,INDIRECT("'GRD-"&amp;EM$11&amp;"'!B:R"),15,FALSE),"")</f>
        <v/>
      </c>
      <c r="EN194" s="96">
        <f>IFERROR(VLOOKUP($B194,INDIRECT("'GRD-"&amp;EN$11&amp;"'!B:R"),15,FALSE),"")</f>
        <v/>
      </c>
      <c r="EO194" s="96">
        <f>IFERROR(VLOOKUP($B194,INDIRECT("'GRD-"&amp;EO$11&amp;"'!B:R"),15,FALSE),"")</f>
        <v/>
      </c>
      <c r="EP194" s="96">
        <f>IFERROR(VLOOKUP($B194,INDIRECT("'GRD-"&amp;EP$11&amp;"'!B:R"),15,FALSE),"")</f>
        <v/>
      </c>
      <c r="EQ194" s="96">
        <f>IFERROR(VLOOKUP($B194,INDIRECT("'GRD-"&amp;EQ$11&amp;"'!B:R"),15,FALSE),"")</f>
        <v/>
      </c>
      <c r="ER194" s="96">
        <f>IFERROR(VLOOKUP($B194,INDIRECT("'GRD-"&amp;ER$11&amp;"'!B:R"),15,FALSE),"")</f>
        <v/>
      </c>
      <c r="ES194" s="96">
        <f>IFERROR(VLOOKUP($B194,INDIRECT("'GRD-"&amp;ES$11&amp;"'!B:R"),15,FALSE),"")</f>
        <v/>
      </c>
      <c r="ET194" s="96">
        <f>IFERROR(VLOOKUP($B194,INDIRECT("'GRD-"&amp;ET$11&amp;"'!B:R"),15,FALSE),"")</f>
        <v/>
      </c>
      <c r="EU194" s="96">
        <f>IFERROR(VLOOKUP($B194,INDIRECT("'GRD-"&amp;EU$11&amp;"'!B:R"),15,FALSE),"")</f>
        <v/>
      </c>
      <c r="EV194" s="96">
        <f>IFERROR(VLOOKUP($B194,INDIRECT("'GRD-"&amp;EV$11&amp;"'!B:R"),15,FALSE),"")</f>
        <v/>
      </c>
      <c r="EW194" s="96">
        <f>IFERROR(VLOOKUP($B194,INDIRECT("'GRD-"&amp;EW$11&amp;"'!B:R"),15,FALSE),"")</f>
        <v/>
      </c>
      <c r="EX194" s="96">
        <f>IFERROR(VLOOKUP($B194,INDIRECT("'GRD-"&amp;EX$11&amp;"'!B:R"),15,FALSE),"")</f>
        <v/>
      </c>
      <c r="EY194" s="96">
        <f>IFERROR(VLOOKUP($B194,INDIRECT("'GRD-"&amp;EY$11&amp;"'!B:R"),15,FALSE),"")</f>
        <v/>
      </c>
      <c r="EZ194" s="96">
        <f>IFERROR(VLOOKUP($B194,INDIRECT("'GRD-"&amp;EZ$11&amp;"'!B:R"),15,FALSE),"")</f>
        <v/>
      </c>
      <c r="FA194" s="96">
        <f>IFERROR(VLOOKUP($B194,INDIRECT("'GRD-"&amp;FA$11&amp;"'!B:R"),15,FALSE),"")</f>
        <v/>
      </c>
      <c r="FB194" s="96">
        <f>IFERROR(VLOOKUP($B194,INDIRECT("'GRD-"&amp;FB$11&amp;"'!B:R"),15,FALSE),"")</f>
        <v/>
      </c>
      <c r="FC194" s="96">
        <f>IFERROR(VLOOKUP($B194,INDIRECT("'GRD-"&amp;FC$11&amp;"'!B:R"),15,FALSE),"")</f>
        <v/>
      </c>
      <c r="FD194" s="96">
        <f>IFERROR(VLOOKUP($B194,INDIRECT("'GRD-"&amp;FD$11&amp;"'!B:R"),15,FALSE),"")</f>
        <v/>
      </c>
      <c r="FE194" s="96">
        <f>IFERROR(VLOOKUP($B194,INDIRECT("'GRD-"&amp;FE$11&amp;"'!B:R"),15,FALSE),"")</f>
        <v/>
      </c>
      <c r="FF194" s="96">
        <f>IFERROR(VLOOKUP($B194,INDIRECT("'GRD-"&amp;FF$11&amp;"'!B:R"),15,FALSE),"")</f>
        <v/>
      </c>
      <c r="FG194" s="96">
        <f>IFERROR(VLOOKUP($B194,INDIRECT("'GRD-"&amp;FG$11&amp;"'!B:R"),15,FALSE),"")</f>
        <v/>
      </c>
      <c r="FH194" s="96">
        <f>IFERROR(VLOOKUP($B194,INDIRECT("'GRD-"&amp;FH$11&amp;"'!B:R"),15,FALSE),"")</f>
        <v/>
      </c>
      <c r="FI194" s="96">
        <f>IFERROR(VLOOKUP($B194,INDIRECT("'GRD-"&amp;FI$11&amp;"'!B:R"),15,FALSE),"")</f>
        <v/>
      </c>
      <c r="FJ194" s="96">
        <f>IFERROR(VLOOKUP($B194,INDIRECT("'GRD-"&amp;FJ$11&amp;"'!B:R"),15,FALSE),"")</f>
        <v/>
      </c>
      <c r="FK194" s="96">
        <f>IFERROR(VLOOKUP($B194,INDIRECT("'GRD-"&amp;FK$11&amp;"'!B:R"),15,FALSE),"")</f>
        <v/>
      </c>
      <c r="FL194" s="96">
        <f>IFERROR(VLOOKUP($B194,INDIRECT("'GRD-"&amp;FL$11&amp;"'!B:R"),15,FALSE),"")</f>
        <v/>
      </c>
      <c r="FM194" s="96">
        <f>IFERROR(VLOOKUP($B194,INDIRECT("'GRD-"&amp;FM$11&amp;"'!B:R"),15,FALSE),"")</f>
        <v/>
      </c>
      <c r="FN194" s="96">
        <f>IFERROR(VLOOKUP($B194,INDIRECT("'GRD-"&amp;FN$11&amp;"'!B:R"),15,FALSE),"")</f>
        <v/>
      </c>
      <c r="FO194" s="96">
        <f>IFERROR(VLOOKUP($B194,INDIRECT("'GRD-"&amp;FO$11&amp;"'!B:R"),15,FALSE),"")</f>
        <v/>
      </c>
      <c r="FP194" s="96">
        <f>IFERROR(VLOOKUP($B194,INDIRECT("'GRD-"&amp;FP$11&amp;"'!B:R"),15,FALSE),"")</f>
        <v/>
      </c>
      <c r="FQ194" s="96">
        <f>IFERROR(VLOOKUP($B194,INDIRECT("'GRD-"&amp;FQ$11&amp;"'!B:R"),15,FALSE),"")</f>
        <v/>
      </c>
      <c r="FR194" s="96">
        <f>IFERROR(VLOOKUP($B194,INDIRECT("'GRD-"&amp;FR$11&amp;"'!B:R"),15,FALSE),"")</f>
        <v/>
      </c>
      <c r="FS194" s="96">
        <f>IFERROR(VLOOKUP($B194,INDIRECT("'GRD-"&amp;FS$11&amp;"'!B:R"),15,FALSE),"")</f>
        <v/>
      </c>
      <c r="FT194" s="96">
        <f>IFERROR(VLOOKUP($B194,INDIRECT("'GRD-"&amp;FT$11&amp;"'!B:R"),15,FALSE),"")</f>
        <v/>
      </c>
      <c r="FU194" s="96">
        <f>IFERROR(VLOOKUP($B194,INDIRECT("'GRD-"&amp;FU$11&amp;"'!B:R"),15,FALSE),"")</f>
        <v/>
      </c>
      <c r="FV194" s="96">
        <f>IFERROR(VLOOKUP($B194,INDIRECT("'GRD-"&amp;FV$11&amp;"'!B:R"),15,FALSE),"")</f>
        <v/>
      </c>
    </row>
    <row r="195">
      <c r="B195" s="85" t="n"/>
      <c r="C195" s="93" t="n"/>
      <c r="D195" s="73">
        <f>IF(K195="","",MAX($CA195:$FV195))</f>
        <v/>
      </c>
      <c r="E195" s="74">
        <f t="array" ref="E195">IF($K195="","",OFFSET($A$1,ROW($B195)-1,11+$D195*4,))</f>
        <v/>
      </c>
      <c r="F195" s="74">
        <f t="array" ref="F195">IF($K195="","",OFFSET($A$1,ROW($B195)-1,12+$D195*4,))</f>
        <v/>
      </c>
      <c r="G195" s="118">
        <f t="array" ref="G195">IF($K195="","",OFFSET($A$1,ROW($B195)-1,13+$D195*4,))</f>
        <v/>
      </c>
      <c r="H195" s="81" t="n"/>
      <c r="I195" s="82" t="n"/>
      <c r="J195" s="75">
        <f>IF(I195="A4",H195/8,IF(I195="A3",H195/4,IF(I195="A2",H195/2,IF(I195="A1",H195/1,IF(I195="A0",H195*2,"")))))</f>
        <v/>
      </c>
      <c r="K195" s="68">
        <f t="array" ref="K195">IFERROR(OFFSET($BZ$11,ROW($B195)-11,MATCH(K$10,$CA195:$FV195,0),),"")</f>
        <v/>
      </c>
      <c r="L195" s="85">
        <f>IF(K195="","",IF(VLOOKUP($B195,INDIRECT("'GRD-"&amp;M195&amp;"'!$B:$R"),16,FALSE)="","",VLOOKUP($B195,INDIRECT("'GRD-"&amp;M195&amp;"'!$B:$R"),16,FALSE)))</f>
        <v/>
      </c>
      <c r="M195" s="130">
        <f t="array" ref="M195">IF(K195="","",IFERROR(OFFSET($BZ$11,0,MATCH($K195,$CA195:$FV195,0),),""))</f>
        <v/>
      </c>
      <c r="N195" s="119">
        <f t="array" ref="N195">IF(K195="","",INDIRECT("'GRD-"&amp;M195&amp;"'!$L$7"))</f>
        <v/>
      </c>
      <c r="O195" s="76">
        <f t="array" ref="O195">IFERROR(OFFSET($BZ$11,ROW($B195)-11,MATCH(O$10,$CA195:$FV195,0),),"")</f>
        <v/>
      </c>
      <c r="P195" s="76">
        <f>IF(O195="","",IF(VLOOKUP($B195,INDIRECT("'GRD-"&amp;Q195&amp;"'!$B:$R"),16,FALSE)="","",VLOOKUP($B195,INDIRECT("'GRD-"&amp;Q195&amp;"'!$B:$R"),16,FALSE)))</f>
        <v/>
      </c>
      <c r="Q195" s="132">
        <f t="array" ref="Q195">IF(O195="","",IFERROR(OFFSET($BZ$11,0,MATCH($O195,$CA195:$FV195,0),),""))</f>
        <v/>
      </c>
      <c r="R195" s="121">
        <f t="array" ref="R195">IF(O195="","",INDIRECT("'GRD-"&amp;Q195&amp;"'!$L$7"))</f>
        <v/>
      </c>
      <c r="S195" s="83">
        <f t="array" ref="S195">IFERROR(OFFSET($BZ$11,ROW($B195)-11,MATCH(S$10,$CA195:$FV195,0),),"")</f>
        <v/>
      </c>
      <c r="T195" s="83">
        <f>IF(S195="","",IF(VLOOKUP($B195,INDIRECT("'GRD-"&amp;U195&amp;"'!$B:$R"),16,FALSE)="","",VLOOKUP($B195,INDIRECT("'GRD-"&amp;U195&amp;"'!$B:$R"),16,FALSE)))</f>
        <v/>
      </c>
      <c r="U195" s="128">
        <f t="array" ref="U195">IF(S195="","",IFERROR(OFFSET($BZ$11,0,MATCH($S195,$CA195:$FV195,0),),""))</f>
        <v/>
      </c>
      <c r="V195" s="133">
        <f t="array" ref="V195">IF(S195="","",INDIRECT("'GRD-"&amp;U195&amp;"'!$L$7"))</f>
        <v/>
      </c>
      <c r="W195" s="84">
        <f t="array" ref="W195">IFERROR(OFFSET($BZ$11,ROW($B195)-11,MATCH(W$10,$CA195:$FV195,0),),"")</f>
        <v/>
      </c>
      <c r="X195" s="84">
        <f>IF(W195="","",IF(VLOOKUP($B195,INDIRECT("'GRD-"&amp;Y195&amp;"'!$B:$R"),16,FALSE)="","",VLOOKUP($B195,INDIRECT("'GRD-"&amp;Y195&amp;"'!$B:$R"),16,FALSE)))</f>
        <v/>
      </c>
      <c r="Y195" s="129">
        <f t="array" ref="Y195">IF(W195="","",IFERROR(OFFSET($BZ$11,0,MATCH($W195,$CA195:$FV195,0),),""))</f>
        <v/>
      </c>
      <c r="Z195" s="134">
        <f t="array" ref="Z195">IF(W195="","",INDIRECT("'GRD-"&amp;Y195&amp;"'!$L$7"))</f>
        <v/>
      </c>
      <c r="AA195" s="85">
        <f t="array" ref="AA195">IFERROR(OFFSET($BZ$11,ROW($B195)-11,MATCH(AA$10,$CA195:$FV195,0),),"")</f>
        <v/>
      </c>
      <c r="AB195" s="85">
        <f>IF(AA195="","",IF(VLOOKUP($B195,INDIRECT("'GRD-"&amp;AC195&amp;"'!$B:$R"),16,FALSE)="","",VLOOKUP($B195,INDIRECT("'GRD-"&amp;AC195&amp;"'!$B:$R"),16,FALSE)))</f>
        <v/>
      </c>
      <c r="AC195" s="130">
        <f t="array" ref="AC195">IF(AA195="","",IFERROR(OFFSET($BZ$11,0,MATCH($AA195,$CA195:$FV195,0),),""))</f>
        <v/>
      </c>
      <c r="AD195" s="131">
        <f t="array" ref="AD195">IF(AA195="","",INDIRECT("'GRD-"&amp;AC195&amp;"'!$L$7"))</f>
        <v/>
      </c>
      <c r="AE195" s="76">
        <f t="array" ref="AE195">IFERROR(OFFSET($BZ$11,ROW($B195)-11,MATCH(AE$10,$CA195:$FV195,0),),"")</f>
        <v/>
      </c>
      <c r="AF195" s="76">
        <f>IF(AE195="","",IF(VLOOKUP($B195,INDIRECT("'GRD-"&amp;AG195&amp;"'!$B:$R"),16,FALSE)="","",VLOOKUP($B195,INDIRECT("'GRD-"&amp;AG195&amp;"'!$B:$R"),16,FALSE)))</f>
        <v/>
      </c>
      <c r="AG195" s="132">
        <f t="array" ref="AG195">IF(AE195="","",IFERROR(OFFSET($BZ$11,0,MATCH($AE195,$CA195:$FV195,0),),""))</f>
        <v/>
      </c>
      <c r="AH195" s="121">
        <f t="array" ref="AH195">IF(AE195="","",INDIRECT("'GRD-"&amp;AG195&amp;"'!$L$7"))</f>
        <v/>
      </c>
      <c r="AI195" s="83">
        <f t="array" ref="AI195">IFERROR(OFFSET($BZ$11,ROW($B195)-11,MATCH(AI$10,$CA195:$FV195,0),),"")</f>
        <v/>
      </c>
      <c r="AJ195" s="83">
        <f>IF(AI195="","",IF(VLOOKUP($B195,INDIRECT("'GRD-"&amp;AK195&amp;"'!$B:$R"),16,FALSE)="","",VLOOKUP($B195,INDIRECT("'GRD-"&amp;AK195&amp;"'!$B:$R"),16,FALSE)))</f>
        <v/>
      </c>
      <c r="AK195" s="128">
        <f t="array" ref="AK195">IF(AI195="","",IFERROR(OFFSET($BZ$11,0,MATCH($AI195,$CA195:$FV195,0),),""))</f>
        <v/>
      </c>
      <c r="AL195" s="133">
        <f t="array" ref="AL195">IF(AI195="","",INDIRECT("'GRD-"&amp;AK195&amp;"'!$L$7"))</f>
        <v/>
      </c>
      <c r="AM195" s="84">
        <f t="array" ref="AM195">IFERROR(OFFSET($BZ$11,ROW($B195)-11,MATCH(AM$10,$CA195:$FV195,0),),"")</f>
        <v/>
      </c>
      <c r="AN195" s="84">
        <f>IF(AM195="","",IF(VLOOKUP($B195,INDIRECT("'GRD-"&amp;AO195&amp;"'!$B:$R"),16,FALSE)="","",VLOOKUP($B195,INDIRECT("'GRD-"&amp;AO195&amp;"'!$B:$R"),16,FALSE)))</f>
        <v/>
      </c>
      <c r="AO195" s="129">
        <f t="array" ref="AO195">IF(AM195="","",IFERROR(OFFSET($BZ$11,0,MATCH($AM195,$CA195:$FV195,0),),""))</f>
        <v/>
      </c>
      <c r="AP195" s="134">
        <f t="array" ref="AP195">IF(AM195="","",INDIRECT("'GRD-"&amp;AO195&amp;"'!$L$7"))</f>
        <v/>
      </c>
      <c r="AQ195" s="85">
        <f t="array" ref="AQ195">IFERROR(OFFSET($BZ$11,ROW($B195)-11,MATCH(AQ$10,$CA195:$FV195,0),),"")</f>
        <v/>
      </c>
      <c r="AR195" s="85">
        <f>IF(AQ195="","",IF(VLOOKUP($B195,INDIRECT("'GRD-"&amp;AS195&amp;"'!$B:$R"),16,FALSE)="","",VLOOKUP($B195,INDIRECT("'GRD-"&amp;AS195&amp;"'!$B:$R"),16,FALSE)))</f>
        <v/>
      </c>
      <c r="AS195" s="130">
        <f t="array" ref="AS195">IF(AQ195="","",IFERROR(OFFSET($BZ$11,0,MATCH($AQ195,$CA195:$FV195,0),),""))</f>
        <v/>
      </c>
      <c r="AT195" s="131">
        <f t="array" ref="AT195">IF(AQ195="","",INDIRECT("'GRD-"&amp;AS195&amp;"'!$L$7"))</f>
        <v/>
      </c>
      <c r="AU195" s="76">
        <f t="array" ref="AU195">IFERROR(OFFSET($BZ$11,ROW($B195)-11,MATCH(AU$10,$CA195:$FV195,0),),"")</f>
        <v/>
      </c>
      <c r="AV195" s="76">
        <f>IF(AU195="","",IF(VLOOKUP($B195,INDIRECT("'GRD-"&amp;AW195&amp;"'!$B:$R"),16,FALSE)="","",VLOOKUP($B195,INDIRECT("'GRD-"&amp;AW195&amp;"'!$B:$R"),16,FALSE)))</f>
        <v/>
      </c>
      <c r="AW195" s="132">
        <f t="array" ref="AW195">IF(AU195="","",IFERROR(OFFSET($BZ$11,0,MATCH($AU195,$CA195:$FV195,0),),""))</f>
        <v/>
      </c>
      <c r="AX195" s="121">
        <f t="array" ref="AX195">IF(AU195="","",INDIRECT("'GRD-"&amp;AW195&amp;"'!$L$7"))</f>
        <v/>
      </c>
      <c r="AY195" s="83">
        <f t="array" ref="AY195">IFERROR(OFFSET($BZ$11,ROW($B195)-11,MATCH(AY$10,$CA195:$FV195,0),),"")</f>
        <v/>
      </c>
      <c r="AZ195" s="83">
        <f>IF(AY195="","",IF(VLOOKUP($B195,INDIRECT("'GRD-"&amp;BA195&amp;"'!$B:$R"),16,FALSE)="","",VLOOKUP($B195,INDIRECT("'GRD-"&amp;BA195&amp;"'!$B:$R"),16,FALSE)))</f>
        <v/>
      </c>
      <c r="BA195" s="128">
        <f t="array" ref="BA195">IF(AY195="","",IFERROR(OFFSET($BZ$11,0,MATCH($AY195,$CA195:$FV195,0),),""))</f>
        <v/>
      </c>
      <c r="BB195" s="133">
        <f t="array" ref="BB195">IF(AY195="","",INDIRECT("'GRD-"&amp;BA195&amp;"'!$L$7"))</f>
        <v/>
      </c>
      <c r="BC195" s="84">
        <f t="array" ref="BC195">IFERROR(OFFSET($BZ$11,ROW($B195)-11,MATCH(BC$10,$CA195:$FV195,0),),"")</f>
        <v/>
      </c>
      <c r="BD195" s="84">
        <f>IF(BC195="","",IF(VLOOKUP($B195,INDIRECT("'GRD-"&amp;BE195&amp;"'!$B:$R"),16,FALSE)="","",VLOOKUP($B195,INDIRECT("'GRD-"&amp;BE195&amp;"'!$B:$R"),16,FALSE)))</f>
        <v/>
      </c>
      <c r="BE195" s="129">
        <f t="array" ref="BE195">IF(BC195="","",IFERROR(OFFSET($BZ$11,0,MATCH($BC195,$CA195:$FV195,0),),""))</f>
        <v/>
      </c>
      <c r="BF195" s="134">
        <f t="array" ref="BF195">IF(BC195="","",INDIRECT("'GRD-"&amp;BE195&amp;"'!$L$7"))</f>
        <v/>
      </c>
      <c r="CA195" s="96">
        <f>IFERROR(VLOOKUP($B195,INDIRECT("'GRD-"&amp;CA$11&amp;"'!B:R"),15,FALSE),"")</f>
        <v/>
      </c>
      <c r="CB195" s="96">
        <f>IFERROR(VLOOKUP($B195,INDIRECT("'GRD-"&amp;CB$11&amp;"'!B:R"),15,FALSE),"")</f>
        <v/>
      </c>
      <c r="CC195" s="96">
        <f>IFERROR(VLOOKUP($B195,INDIRECT("'GRD-"&amp;CC$11&amp;"'!B:R"),15,FALSE),"")</f>
        <v/>
      </c>
      <c r="CD195" s="96">
        <f>IFERROR(VLOOKUP($B195,INDIRECT("'GRD-"&amp;CD$11&amp;"'!B:R"),15,FALSE),"")</f>
        <v/>
      </c>
      <c r="CE195" s="96">
        <f>IFERROR(VLOOKUP($B195,INDIRECT("'GRD-"&amp;CE$11&amp;"'!B:R"),15,FALSE),"")</f>
        <v/>
      </c>
      <c r="CF195" s="96">
        <f>IFERROR(VLOOKUP($B195,INDIRECT("'GRD-"&amp;CF$11&amp;"'!B:R"),15,FALSE),"")</f>
        <v/>
      </c>
      <c r="CG195" s="96">
        <f>IFERROR(VLOOKUP($B195,INDIRECT("'GRD-"&amp;CG$11&amp;"'!B:R"),15,FALSE),"")</f>
        <v/>
      </c>
      <c r="CH195" s="96">
        <f>IFERROR(VLOOKUP($B195,INDIRECT("'GRD-"&amp;CH$11&amp;"'!B:R"),15,FALSE),"")</f>
        <v/>
      </c>
      <c r="CI195" s="96">
        <f>IFERROR(VLOOKUP($B195,INDIRECT("'GRD-"&amp;CI$11&amp;"'!B:R"),15,FALSE),"")</f>
        <v/>
      </c>
      <c r="CJ195" s="96">
        <f>IFERROR(VLOOKUP($B195,INDIRECT("'GRD-"&amp;CJ$11&amp;"'!B:R"),15,FALSE),"")</f>
        <v/>
      </c>
      <c r="CK195" s="96">
        <f>IFERROR(VLOOKUP($B195,INDIRECT("'GRD-"&amp;CK$11&amp;"'!B:R"),15,FALSE),"")</f>
        <v/>
      </c>
      <c r="CL195" s="96">
        <f>IFERROR(VLOOKUP($B195,INDIRECT("'GRD-"&amp;CL$11&amp;"'!B:R"),15,FALSE),"")</f>
        <v/>
      </c>
      <c r="CM195" s="96">
        <f>IFERROR(VLOOKUP($B195,INDIRECT("'GRD-"&amp;CM$11&amp;"'!B:R"),15,FALSE),"")</f>
        <v/>
      </c>
      <c r="CN195" s="96">
        <f>IFERROR(VLOOKUP($B195,INDIRECT("'GRD-"&amp;CN$11&amp;"'!B:R"),15,FALSE),"")</f>
        <v/>
      </c>
      <c r="CO195" s="96">
        <f>IFERROR(VLOOKUP($B195,INDIRECT("'GRD-"&amp;CO$11&amp;"'!B:R"),15,FALSE),"")</f>
        <v/>
      </c>
      <c r="CP195" s="96">
        <f>IFERROR(VLOOKUP($B195,INDIRECT("'GRD-"&amp;CP$11&amp;"'!B:R"),15,FALSE),"")</f>
        <v/>
      </c>
      <c r="CQ195" s="96">
        <f>IFERROR(VLOOKUP($B195,INDIRECT("'GRD-"&amp;CQ$11&amp;"'!B:R"),15,FALSE),"")</f>
        <v/>
      </c>
      <c r="CR195" s="96">
        <f>IFERROR(VLOOKUP($B195,INDIRECT("'GRD-"&amp;CR$11&amp;"'!B:R"),15,FALSE),"")</f>
        <v/>
      </c>
      <c r="CS195" s="96">
        <f>IFERROR(VLOOKUP($B195,INDIRECT("'GRD-"&amp;CS$11&amp;"'!B:R"),15,FALSE),"")</f>
        <v/>
      </c>
      <c r="CT195" s="96">
        <f>IFERROR(VLOOKUP($B195,INDIRECT("'GRD-"&amp;CT$11&amp;"'!B:R"),15,FALSE),"")</f>
        <v/>
      </c>
      <c r="CU195" s="96">
        <f>IFERROR(VLOOKUP($B195,INDIRECT("'GRD-"&amp;CU$11&amp;"'!B:R"),15,FALSE),"")</f>
        <v/>
      </c>
      <c r="CV195" s="96">
        <f>IFERROR(VLOOKUP($B195,INDIRECT("'GRD-"&amp;CV$11&amp;"'!B:R"),15,FALSE),"")</f>
        <v/>
      </c>
      <c r="CW195" s="96">
        <f>IFERROR(VLOOKUP($B195,INDIRECT("'GRD-"&amp;CW$11&amp;"'!B:R"),15,FALSE),"")</f>
        <v/>
      </c>
      <c r="CX195" s="96">
        <f>IFERROR(VLOOKUP($B195,INDIRECT("'GRD-"&amp;CX$11&amp;"'!B:R"),15,FALSE),"")</f>
        <v/>
      </c>
      <c r="CY195" s="96">
        <f>IFERROR(VLOOKUP($B195,INDIRECT("'GRD-"&amp;CY$11&amp;"'!B:R"),15,FALSE),"")</f>
        <v/>
      </c>
      <c r="CZ195" s="96">
        <f>IFERROR(VLOOKUP($B195,INDIRECT("'GRD-"&amp;CZ$11&amp;"'!B:R"),15,FALSE),"")</f>
        <v/>
      </c>
      <c r="DA195" s="96">
        <f>IFERROR(VLOOKUP($B195,INDIRECT("'GRD-"&amp;DA$11&amp;"'!B:R"),15,FALSE),"")</f>
        <v/>
      </c>
      <c r="DB195" s="96">
        <f>IFERROR(VLOOKUP($B195,INDIRECT("'GRD-"&amp;DB$11&amp;"'!B:R"),15,FALSE),"")</f>
        <v/>
      </c>
      <c r="DC195" s="96">
        <f>IFERROR(VLOOKUP($B195,INDIRECT("'GRD-"&amp;DC$11&amp;"'!B:R"),15,FALSE),"")</f>
        <v/>
      </c>
      <c r="DD195" s="96">
        <f>IFERROR(VLOOKUP($B195,INDIRECT("'GRD-"&amp;DD$11&amp;"'!B:R"),15,FALSE),"")</f>
        <v/>
      </c>
      <c r="DE195" s="96">
        <f>IFERROR(VLOOKUP($B195,INDIRECT("'GRD-"&amp;DE$11&amp;"'!B:R"),15,FALSE),"")</f>
        <v/>
      </c>
      <c r="DF195" s="96">
        <f>IFERROR(VLOOKUP($B195,INDIRECT("'GRD-"&amp;DF$11&amp;"'!B:R"),15,FALSE),"")</f>
        <v/>
      </c>
      <c r="DG195" s="96">
        <f>IFERROR(VLOOKUP($B195,INDIRECT("'GRD-"&amp;DG$11&amp;"'!B:R"),15,FALSE),"")</f>
        <v/>
      </c>
      <c r="DH195" s="96">
        <f>IFERROR(VLOOKUP($B195,INDIRECT("'GRD-"&amp;DH$11&amp;"'!B:R"),15,FALSE),"")</f>
        <v/>
      </c>
      <c r="DI195" s="96">
        <f>IFERROR(VLOOKUP($B195,INDIRECT("'GRD-"&amp;DI$11&amp;"'!B:R"),15,FALSE),"")</f>
        <v/>
      </c>
      <c r="DJ195" s="96">
        <f>IFERROR(VLOOKUP($B195,INDIRECT("'GRD-"&amp;DJ$11&amp;"'!B:R"),15,FALSE),"")</f>
        <v/>
      </c>
      <c r="DK195" s="96">
        <f>IFERROR(VLOOKUP($B195,INDIRECT("'GRD-"&amp;DK$11&amp;"'!B:R"),15,FALSE),"")</f>
        <v/>
      </c>
      <c r="DL195" s="96">
        <f>IFERROR(VLOOKUP($B195,INDIRECT("'GRD-"&amp;DL$11&amp;"'!B:R"),15,FALSE),"")</f>
        <v/>
      </c>
      <c r="DM195" s="96">
        <f>IFERROR(VLOOKUP($B195,INDIRECT("'GRD-"&amp;DM$11&amp;"'!B:R"),15,FALSE),"")</f>
        <v/>
      </c>
      <c r="DN195" s="96">
        <f>IFERROR(VLOOKUP($B195,INDIRECT("'GRD-"&amp;DN$11&amp;"'!B:R"),15,FALSE),"")</f>
        <v/>
      </c>
      <c r="DO195" s="96">
        <f>IFERROR(VLOOKUP($B195,INDIRECT("'GRD-"&amp;DO$11&amp;"'!B:R"),15,FALSE),"")</f>
        <v/>
      </c>
      <c r="DP195" s="96">
        <f>IFERROR(VLOOKUP($B195,INDIRECT("'GRD-"&amp;DP$11&amp;"'!B:R"),15,FALSE),"")</f>
        <v/>
      </c>
      <c r="DQ195" s="96">
        <f>IFERROR(VLOOKUP($B195,INDIRECT("'GRD-"&amp;DQ$11&amp;"'!B:R"),15,FALSE),"")</f>
        <v/>
      </c>
      <c r="DR195" s="96">
        <f>IFERROR(VLOOKUP($B195,INDIRECT("'GRD-"&amp;DR$11&amp;"'!B:R"),15,FALSE),"")</f>
        <v/>
      </c>
      <c r="DS195" s="96">
        <f>IFERROR(VLOOKUP($B195,INDIRECT("'GRD-"&amp;DS$11&amp;"'!B:R"),15,FALSE),"")</f>
        <v/>
      </c>
      <c r="DT195" s="96">
        <f>IFERROR(VLOOKUP($B195,INDIRECT("'GRD-"&amp;DT$11&amp;"'!B:R"),15,FALSE),"")</f>
        <v/>
      </c>
      <c r="DU195" s="96">
        <f>IFERROR(VLOOKUP($B195,INDIRECT("'GRD-"&amp;DU$11&amp;"'!B:R"),15,FALSE),"")</f>
        <v/>
      </c>
      <c r="DV195" s="96">
        <f>IFERROR(VLOOKUP($B195,INDIRECT("'GRD-"&amp;DV$11&amp;"'!B:R"),15,FALSE),"")</f>
        <v/>
      </c>
      <c r="DW195" s="96">
        <f>IFERROR(VLOOKUP($B195,INDIRECT("'GRD-"&amp;DW$11&amp;"'!B:R"),15,FALSE),"")</f>
        <v/>
      </c>
      <c r="DX195" s="96">
        <f>IFERROR(VLOOKUP($B195,INDIRECT("'GRD-"&amp;DX$11&amp;"'!B:R"),15,FALSE),"")</f>
        <v/>
      </c>
      <c r="DY195" s="96">
        <f>IFERROR(VLOOKUP($B195,INDIRECT("'GRD-"&amp;DY$11&amp;"'!B:R"),15,FALSE),"")</f>
        <v/>
      </c>
      <c r="DZ195" s="96">
        <f>IFERROR(VLOOKUP($B195,INDIRECT("'GRD-"&amp;DZ$11&amp;"'!B:R"),15,FALSE),"")</f>
        <v/>
      </c>
      <c r="EA195" s="96">
        <f>IFERROR(VLOOKUP($B195,INDIRECT("'GRD-"&amp;EA$11&amp;"'!B:R"),15,FALSE),"")</f>
        <v/>
      </c>
      <c r="EB195" s="96">
        <f>IFERROR(VLOOKUP($B195,INDIRECT("'GRD-"&amp;EB$11&amp;"'!B:R"),15,FALSE),"")</f>
        <v/>
      </c>
      <c r="EC195" s="96">
        <f>IFERROR(VLOOKUP($B195,INDIRECT("'GRD-"&amp;EC$11&amp;"'!B:R"),15,FALSE),"")</f>
        <v/>
      </c>
      <c r="ED195" s="96">
        <f>IFERROR(VLOOKUP($B195,INDIRECT("'GRD-"&amp;ED$11&amp;"'!B:R"),15,FALSE),"")</f>
        <v/>
      </c>
      <c r="EE195" s="96">
        <f>IFERROR(VLOOKUP($B195,INDIRECT("'GRD-"&amp;EE$11&amp;"'!B:R"),15,FALSE),"")</f>
        <v/>
      </c>
      <c r="EF195" s="96">
        <f>IFERROR(VLOOKUP($B195,INDIRECT("'GRD-"&amp;EF$11&amp;"'!B:R"),15,FALSE),"")</f>
        <v/>
      </c>
      <c r="EG195" s="96">
        <f>IFERROR(VLOOKUP($B195,INDIRECT("'GRD-"&amp;EG$11&amp;"'!B:R"),15,FALSE),"")</f>
        <v/>
      </c>
      <c r="EH195" s="96">
        <f>IFERROR(VLOOKUP($B195,INDIRECT("'GRD-"&amp;EH$11&amp;"'!B:R"),15,FALSE),"")</f>
        <v/>
      </c>
      <c r="EI195" s="96">
        <f>IFERROR(VLOOKUP($B195,INDIRECT("'GRD-"&amp;EI$11&amp;"'!B:R"),15,FALSE),"")</f>
        <v/>
      </c>
      <c r="EJ195" s="96">
        <f>IFERROR(VLOOKUP($B195,INDIRECT("'GRD-"&amp;EJ$11&amp;"'!B:R"),15,FALSE),"")</f>
        <v/>
      </c>
      <c r="EK195" s="96">
        <f>IFERROR(VLOOKUP($B195,INDIRECT("'GRD-"&amp;EK$11&amp;"'!B:R"),15,FALSE),"")</f>
        <v/>
      </c>
      <c r="EL195" s="96">
        <f>IFERROR(VLOOKUP($B195,INDIRECT("'GRD-"&amp;EL$11&amp;"'!B:R"),15,FALSE),"")</f>
        <v/>
      </c>
      <c r="EM195" s="96">
        <f>IFERROR(VLOOKUP($B195,INDIRECT("'GRD-"&amp;EM$11&amp;"'!B:R"),15,FALSE),"")</f>
        <v/>
      </c>
      <c r="EN195" s="96">
        <f>IFERROR(VLOOKUP($B195,INDIRECT("'GRD-"&amp;EN$11&amp;"'!B:R"),15,FALSE),"")</f>
        <v/>
      </c>
      <c r="EO195" s="96">
        <f>IFERROR(VLOOKUP($B195,INDIRECT("'GRD-"&amp;EO$11&amp;"'!B:R"),15,FALSE),"")</f>
        <v/>
      </c>
      <c r="EP195" s="96">
        <f>IFERROR(VLOOKUP($B195,INDIRECT("'GRD-"&amp;EP$11&amp;"'!B:R"),15,FALSE),"")</f>
        <v/>
      </c>
      <c r="EQ195" s="96">
        <f>IFERROR(VLOOKUP($B195,INDIRECT("'GRD-"&amp;EQ$11&amp;"'!B:R"),15,FALSE),"")</f>
        <v/>
      </c>
      <c r="ER195" s="96">
        <f>IFERROR(VLOOKUP($B195,INDIRECT("'GRD-"&amp;ER$11&amp;"'!B:R"),15,FALSE),"")</f>
        <v/>
      </c>
      <c r="ES195" s="96">
        <f>IFERROR(VLOOKUP($B195,INDIRECT("'GRD-"&amp;ES$11&amp;"'!B:R"),15,FALSE),"")</f>
        <v/>
      </c>
      <c r="ET195" s="96">
        <f>IFERROR(VLOOKUP($B195,INDIRECT("'GRD-"&amp;ET$11&amp;"'!B:R"),15,FALSE),"")</f>
        <v/>
      </c>
      <c r="EU195" s="96">
        <f>IFERROR(VLOOKUP($B195,INDIRECT("'GRD-"&amp;EU$11&amp;"'!B:R"),15,FALSE),"")</f>
        <v/>
      </c>
      <c r="EV195" s="96">
        <f>IFERROR(VLOOKUP($B195,INDIRECT("'GRD-"&amp;EV$11&amp;"'!B:R"),15,FALSE),"")</f>
        <v/>
      </c>
      <c r="EW195" s="96">
        <f>IFERROR(VLOOKUP($B195,INDIRECT("'GRD-"&amp;EW$11&amp;"'!B:R"),15,FALSE),"")</f>
        <v/>
      </c>
      <c r="EX195" s="96">
        <f>IFERROR(VLOOKUP($B195,INDIRECT("'GRD-"&amp;EX$11&amp;"'!B:R"),15,FALSE),"")</f>
        <v/>
      </c>
      <c r="EY195" s="96">
        <f>IFERROR(VLOOKUP($B195,INDIRECT("'GRD-"&amp;EY$11&amp;"'!B:R"),15,FALSE),"")</f>
        <v/>
      </c>
      <c r="EZ195" s="96">
        <f>IFERROR(VLOOKUP($B195,INDIRECT("'GRD-"&amp;EZ$11&amp;"'!B:R"),15,FALSE),"")</f>
        <v/>
      </c>
      <c r="FA195" s="96">
        <f>IFERROR(VLOOKUP($B195,INDIRECT("'GRD-"&amp;FA$11&amp;"'!B:R"),15,FALSE),"")</f>
        <v/>
      </c>
      <c r="FB195" s="96">
        <f>IFERROR(VLOOKUP($B195,INDIRECT("'GRD-"&amp;FB$11&amp;"'!B:R"),15,FALSE),"")</f>
        <v/>
      </c>
      <c r="FC195" s="96">
        <f>IFERROR(VLOOKUP($B195,INDIRECT("'GRD-"&amp;FC$11&amp;"'!B:R"),15,FALSE),"")</f>
        <v/>
      </c>
      <c r="FD195" s="96">
        <f>IFERROR(VLOOKUP($B195,INDIRECT("'GRD-"&amp;FD$11&amp;"'!B:R"),15,FALSE),"")</f>
        <v/>
      </c>
      <c r="FE195" s="96">
        <f>IFERROR(VLOOKUP($B195,INDIRECT("'GRD-"&amp;FE$11&amp;"'!B:R"),15,FALSE),"")</f>
        <v/>
      </c>
      <c r="FF195" s="96">
        <f>IFERROR(VLOOKUP($B195,INDIRECT("'GRD-"&amp;FF$11&amp;"'!B:R"),15,FALSE),"")</f>
        <v/>
      </c>
      <c r="FG195" s="96">
        <f>IFERROR(VLOOKUP($B195,INDIRECT("'GRD-"&amp;FG$11&amp;"'!B:R"),15,FALSE),"")</f>
        <v/>
      </c>
      <c r="FH195" s="96">
        <f>IFERROR(VLOOKUP($B195,INDIRECT("'GRD-"&amp;FH$11&amp;"'!B:R"),15,FALSE),"")</f>
        <v/>
      </c>
      <c r="FI195" s="96">
        <f>IFERROR(VLOOKUP($B195,INDIRECT("'GRD-"&amp;FI$11&amp;"'!B:R"),15,FALSE),"")</f>
        <v/>
      </c>
      <c r="FJ195" s="96">
        <f>IFERROR(VLOOKUP($B195,INDIRECT("'GRD-"&amp;FJ$11&amp;"'!B:R"),15,FALSE),"")</f>
        <v/>
      </c>
      <c r="FK195" s="96">
        <f>IFERROR(VLOOKUP($B195,INDIRECT("'GRD-"&amp;FK$11&amp;"'!B:R"),15,FALSE),"")</f>
        <v/>
      </c>
      <c r="FL195" s="96">
        <f>IFERROR(VLOOKUP($B195,INDIRECT("'GRD-"&amp;FL$11&amp;"'!B:R"),15,FALSE),"")</f>
        <v/>
      </c>
      <c r="FM195" s="96">
        <f>IFERROR(VLOOKUP($B195,INDIRECT("'GRD-"&amp;FM$11&amp;"'!B:R"),15,FALSE),"")</f>
        <v/>
      </c>
      <c r="FN195" s="96">
        <f>IFERROR(VLOOKUP($B195,INDIRECT("'GRD-"&amp;FN$11&amp;"'!B:R"),15,FALSE),"")</f>
        <v/>
      </c>
      <c r="FO195" s="96">
        <f>IFERROR(VLOOKUP($B195,INDIRECT("'GRD-"&amp;FO$11&amp;"'!B:R"),15,FALSE),"")</f>
        <v/>
      </c>
      <c r="FP195" s="96">
        <f>IFERROR(VLOOKUP($B195,INDIRECT("'GRD-"&amp;FP$11&amp;"'!B:R"),15,FALSE),"")</f>
        <v/>
      </c>
      <c r="FQ195" s="96">
        <f>IFERROR(VLOOKUP($B195,INDIRECT("'GRD-"&amp;FQ$11&amp;"'!B:R"),15,FALSE),"")</f>
        <v/>
      </c>
      <c r="FR195" s="96">
        <f>IFERROR(VLOOKUP($B195,INDIRECT("'GRD-"&amp;FR$11&amp;"'!B:R"),15,FALSE),"")</f>
        <v/>
      </c>
      <c r="FS195" s="96">
        <f>IFERROR(VLOOKUP($B195,INDIRECT("'GRD-"&amp;FS$11&amp;"'!B:R"),15,FALSE),"")</f>
        <v/>
      </c>
      <c r="FT195" s="96">
        <f>IFERROR(VLOOKUP($B195,INDIRECT("'GRD-"&amp;FT$11&amp;"'!B:R"),15,FALSE),"")</f>
        <v/>
      </c>
      <c r="FU195" s="96">
        <f>IFERROR(VLOOKUP($B195,INDIRECT("'GRD-"&amp;FU$11&amp;"'!B:R"),15,FALSE),"")</f>
        <v/>
      </c>
      <c r="FV195" s="96">
        <f>IFERROR(VLOOKUP($B195,INDIRECT("'GRD-"&amp;FV$11&amp;"'!B:R"),15,FALSE),"")</f>
        <v/>
      </c>
    </row>
    <row r="196">
      <c r="B196" s="85" t="n"/>
      <c r="C196" s="93" t="n"/>
      <c r="D196" s="73">
        <f>IF(K196="","",MAX($CA196:$FV196))</f>
        <v/>
      </c>
      <c r="E196" s="74">
        <f t="array" ref="E196">IF($K196="","",OFFSET($A$1,ROW($B196)-1,11+$D196*4,))</f>
        <v/>
      </c>
      <c r="F196" s="74">
        <f t="array" ref="F196">IF($K196="","",OFFSET($A$1,ROW($B196)-1,12+$D196*4,))</f>
        <v/>
      </c>
      <c r="G196" s="118">
        <f t="array" ref="G196">IF($K196="","",OFFSET($A$1,ROW($B196)-1,13+$D196*4,))</f>
        <v/>
      </c>
      <c r="H196" s="81" t="n"/>
      <c r="I196" s="82" t="n"/>
      <c r="J196" s="75">
        <f>IF(I196="A4",H196/8,IF(I196="A3",H196/4,IF(I196="A2",H196/2,IF(I196="A1",H196/1,IF(I196="A0",H196*2,"")))))</f>
        <v/>
      </c>
      <c r="K196" s="68">
        <f t="array" ref="K196">IFERROR(OFFSET($BZ$11,ROW($B196)-11,MATCH(K$10,$CA196:$FV196,0),),"")</f>
        <v/>
      </c>
      <c r="L196" s="85">
        <f>IF(K196="","",IF(VLOOKUP($B196,INDIRECT("'GRD-"&amp;M196&amp;"'!$B:$R"),16,FALSE)="","",VLOOKUP($B196,INDIRECT("'GRD-"&amp;M196&amp;"'!$B:$R"),16,FALSE)))</f>
        <v/>
      </c>
      <c r="M196" s="130">
        <f t="array" ref="M196">IF(K196="","",IFERROR(OFFSET($BZ$11,0,MATCH($K196,$CA196:$FV196,0),),""))</f>
        <v/>
      </c>
      <c r="N196" s="119">
        <f t="array" ref="N196">IF(K196="","",INDIRECT("'GRD-"&amp;M196&amp;"'!$L$7"))</f>
        <v/>
      </c>
      <c r="O196" s="76">
        <f t="array" ref="O196">IFERROR(OFFSET($BZ$11,ROW($B196)-11,MATCH(O$10,$CA196:$FV196,0),),"")</f>
        <v/>
      </c>
      <c r="P196" s="76">
        <f>IF(O196="","",IF(VLOOKUP($B196,INDIRECT("'GRD-"&amp;Q196&amp;"'!$B:$R"),16,FALSE)="","",VLOOKUP($B196,INDIRECT("'GRD-"&amp;Q196&amp;"'!$B:$R"),16,FALSE)))</f>
        <v/>
      </c>
      <c r="Q196" s="132">
        <f t="array" ref="Q196">IF(O196="","",IFERROR(OFFSET($BZ$11,0,MATCH($O196,$CA196:$FV196,0),),""))</f>
        <v/>
      </c>
      <c r="R196" s="121">
        <f t="array" ref="R196">IF(O196="","",INDIRECT("'GRD-"&amp;Q196&amp;"'!$L$7"))</f>
        <v/>
      </c>
      <c r="S196" s="83">
        <f t="array" ref="S196">IFERROR(OFFSET($BZ$11,ROW($B196)-11,MATCH(S$10,$CA196:$FV196,0),),"")</f>
        <v/>
      </c>
      <c r="T196" s="83">
        <f>IF(S196="","",IF(VLOOKUP($B196,INDIRECT("'GRD-"&amp;U196&amp;"'!$B:$R"),16,FALSE)="","",VLOOKUP($B196,INDIRECT("'GRD-"&amp;U196&amp;"'!$B:$R"),16,FALSE)))</f>
        <v/>
      </c>
      <c r="U196" s="128">
        <f t="array" ref="U196">IF(S196="","",IFERROR(OFFSET($BZ$11,0,MATCH($S196,$CA196:$FV196,0),),""))</f>
        <v/>
      </c>
      <c r="V196" s="133">
        <f t="array" ref="V196">IF(S196="","",INDIRECT("'GRD-"&amp;U196&amp;"'!$L$7"))</f>
        <v/>
      </c>
      <c r="W196" s="84">
        <f t="array" ref="W196">IFERROR(OFFSET($BZ$11,ROW($B196)-11,MATCH(W$10,$CA196:$FV196,0),),"")</f>
        <v/>
      </c>
      <c r="X196" s="84">
        <f>IF(W196="","",IF(VLOOKUP($B196,INDIRECT("'GRD-"&amp;Y196&amp;"'!$B:$R"),16,FALSE)="","",VLOOKUP($B196,INDIRECT("'GRD-"&amp;Y196&amp;"'!$B:$R"),16,FALSE)))</f>
        <v/>
      </c>
      <c r="Y196" s="129">
        <f t="array" ref="Y196">IF(W196="","",IFERROR(OFFSET($BZ$11,0,MATCH($W196,$CA196:$FV196,0),),""))</f>
        <v/>
      </c>
      <c r="Z196" s="134">
        <f t="array" ref="Z196">IF(W196="","",INDIRECT("'GRD-"&amp;Y196&amp;"'!$L$7"))</f>
        <v/>
      </c>
      <c r="AA196" s="85">
        <f t="array" ref="AA196">IFERROR(OFFSET($BZ$11,ROW($B196)-11,MATCH(AA$10,$CA196:$FV196,0),),"")</f>
        <v/>
      </c>
      <c r="AB196" s="85">
        <f>IF(AA196="","",IF(VLOOKUP($B196,INDIRECT("'GRD-"&amp;AC196&amp;"'!$B:$R"),16,FALSE)="","",VLOOKUP($B196,INDIRECT("'GRD-"&amp;AC196&amp;"'!$B:$R"),16,FALSE)))</f>
        <v/>
      </c>
      <c r="AC196" s="130">
        <f t="array" ref="AC196">IF(AA196="","",IFERROR(OFFSET($BZ$11,0,MATCH($AA196,$CA196:$FV196,0),),""))</f>
        <v/>
      </c>
      <c r="AD196" s="131">
        <f t="array" ref="AD196">IF(AA196="","",INDIRECT("'GRD-"&amp;AC196&amp;"'!$L$7"))</f>
        <v/>
      </c>
      <c r="AE196" s="76">
        <f t="array" ref="AE196">IFERROR(OFFSET($BZ$11,ROW($B196)-11,MATCH(AE$10,$CA196:$FV196,0),),"")</f>
        <v/>
      </c>
      <c r="AF196" s="76">
        <f>IF(AE196="","",IF(VLOOKUP($B196,INDIRECT("'GRD-"&amp;AG196&amp;"'!$B:$R"),16,FALSE)="","",VLOOKUP($B196,INDIRECT("'GRD-"&amp;AG196&amp;"'!$B:$R"),16,FALSE)))</f>
        <v/>
      </c>
      <c r="AG196" s="132">
        <f t="array" ref="AG196">IF(AE196="","",IFERROR(OFFSET($BZ$11,0,MATCH($AE196,$CA196:$FV196,0),),""))</f>
        <v/>
      </c>
      <c r="AH196" s="121">
        <f t="array" ref="AH196">IF(AE196="","",INDIRECT("'GRD-"&amp;AG196&amp;"'!$L$7"))</f>
        <v/>
      </c>
      <c r="AI196" s="83">
        <f t="array" ref="AI196">IFERROR(OFFSET($BZ$11,ROW($B196)-11,MATCH(AI$10,$CA196:$FV196,0),),"")</f>
        <v/>
      </c>
      <c r="AJ196" s="83">
        <f>IF(AI196="","",IF(VLOOKUP($B196,INDIRECT("'GRD-"&amp;AK196&amp;"'!$B:$R"),16,FALSE)="","",VLOOKUP($B196,INDIRECT("'GRD-"&amp;AK196&amp;"'!$B:$R"),16,FALSE)))</f>
        <v/>
      </c>
      <c r="AK196" s="128">
        <f t="array" ref="AK196">IF(AI196="","",IFERROR(OFFSET($BZ$11,0,MATCH($AI196,$CA196:$FV196,0),),""))</f>
        <v/>
      </c>
      <c r="AL196" s="133">
        <f t="array" ref="AL196">IF(AI196="","",INDIRECT("'GRD-"&amp;AK196&amp;"'!$L$7"))</f>
        <v/>
      </c>
      <c r="AM196" s="84">
        <f t="array" ref="AM196">IFERROR(OFFSET($BZ$11,ROW($B196)-11,MATCH(AM$10,$CA196:$FV196,0),),"")</f>
        <v/>
      </c>
      <c r="AN196" s="84">
        <f>IF(AM196="","",IF(VLOOKUP($B196,INDIRECT("'GRD-"&amp;AO196&amp;"'!$B:$R"),16,FALSE)="","",VLOOKUP($B196,INDIRECT("'GRD-"&amp;AO196&amp;"'!$B:$R"),16,FALSE)))</f>
        <v/>
      </c>
      <c r="AO196" s="129">
        <f t="array" ref="AO196">IF(AM196="","",IFERROR(OFFSET($BZ$11,0,MATCH($AM196,$CA196:$FV196,0),),""))</f>
        <v/>
      </c>
      <c r="AP196" s="134">
        <f t="array" ref="AP196">IF(AM196="","",INDIRECT("'GRD-"&amp;AO196&amp;"'!$L$7"))</f>
        <v/>
      </c>
      <c r="AQ196" s="85">
        <f t="array" ref="AQ196">IFERROR(OFFSET($BZ$11,ROW($B196)-11,MATCH(AQ$10,$CA196:$FV196,0),),"")</f>
        <v/>
      </c>
      <c r="AR196" s="85">
        <f>IF(AQ196="","",IF(VLOOKUP($B196,INDIRECT("'GRD-"&amp;AS196&amp;"'!$B:$R"),16,FALSE)="","",VLOOKUP($B196,INDIRECT("'GRD-"&amp;AS196&amp;"'!$B:$R"),16,FALSE)))</f>
        <v/>
      </c>
      <c r="AS196" s="130">
        <f t="array" ref="AS196">IF(AQ196="","",IFERROR(OFFSET($BZ$11,0,MATCH($AQ196,$CA196:$FV196,0),),""))</f>
        <v/>
      </c>
      <c r="AT196" s="131">
        <f t="array" ref="AT196">IF(AQ196="","",INDIRECT("'GRD-"&amp;AS196&amp;"'!$L$7"))</f>
        <v/>
      </c>
      <c r="AU196" s="76">
        <f t="array" ref="AU196">IFERROR(OFFSET($BZ$11,ROW($B196)-11,MATCH(AU$10,$CA196:$FV196,0),),"")</f>
        <v/>
      </c>
      <c r="AV196" s="76">
        <f>IF(AU196="","",IF(VLOOKUP($B196,INDIRECT("'GRD-"&amp;AW196&amp;"'!$B:$R"),16,FALSE)="","",VLOOKUP($B196,INDIRECT("'GRD-"&amp;AW196&amp;"'!$B:$R"),16,FALSE)))</f>
        <v/>
      </c>
      <c r="AW196" s="132">
        <f t="array" ref="AW196">IF(AU196="","",IFERROR(OFFSET($BZ$11,0,MATCH($AU196,$CA196:$FV196,0),),""))</f>
        <v/>
      </c>
      <c r="AX196" s="121">
        <f t="array" ref="AX196">IF(AU196="","",INDIRECT("'GRD-"&amp;AW196&amp;"'!$L$7"))</f>
        <v/>
      </c>
      <c r="AY196" s="83">
        <f t="array" ref="AY196">IFERROR(OFFSET($BZ$11,ROW($B196)-11,MATCH(AY$10,$CA196:$FV196,0),),"")</f>
        <v/>
      </c>
      <c r="AZ196" s="83">
        <f>IF(AY196="","",IF(VLOOKUP($B196,INDIRECT("'GRD-"&amp;BA196&amp;"'!$B:$R"),16,FALSE)="","",VLOOKUP($B196,INDIRECT("'GRD-"&amp;BA196&amp;"'!$B:$R"),16,FALSE)))</f>
        <v/>
      </c>
      <c r="BA196" s="128">
        <f t="array" ref="BA196">IF(AY196="","",IFERROR(OFFSET($BZ$11,0,MATCH($AY196,$CA196:$FV196,0),),""))</f>
        <v/>
      </c>
      <c r="BB196" s="133">
        <f t="array" ref="BB196">IF(AY196="","",INDIRECT("'GRD-"&amp;BA196&amp;"'!$L$7"))</f>
        <v/>
      </c>
      <c r="BC196" s="84">
        <f t="array" ref="BC196">IFERROR(OFFSET($BZ$11,ROW($B196)-11,MATCH(BC$10,$CA196:$FV196,0),),"")</f>
        <v/>
      </c>
      <c r="BD196" s="84">
        <f>IF(BC196="","",IF(VLOOKUP($B196,INDIRECT("'GRD-"&amp;BE196&amp;"'!$B:$R"),16,FALSE)="","",VLOOKUP($B196,INDIRECT("'GRD-"&amp;BE196&amp;"'!$B:$R"),16,FALSE)))</f>
        <v/>
      </c>
      <c r="BE196" s="129">
        <f t="array" ref="BE196">IF(BC196="","",IFERROR(OFFSET($BZ$11,0,MATCH($BC196,$CA196:$FV196,0),),""))</f>
        <v/>
      </c>
      <c r="BF196" s="134">
        <f t="array" ref="BF196">IF(BC196="","",INDIRECT("'GRD-"&amp;BE196&amp;"'!$L$7"))</f>
        <v/>
      </c>
      <c r="CA196" s="96">
        <f>IFERROR(VLOOKUP($B196,INDIRECT("'GRD-"&amp;CA$11&amp;"'!B:R"),15,FALSE),"")</f>
        <v/>
      </c>
      <c r="CB196" s="96">
        <f>IFERROR(VLOOKUP($B196,INDIRECT("'GRD-"&amp;CB$11&amp;"'!B:R"),15,FALSE),"")</f>
        <v/>
      </c>
      <c r="CC196" s="96">
        <f>IFERROR(VLOOKUP($B196,INDIRECT("'GRD-"&amp;CC$11&amp;"'!B:R"),15,FALSE),"")</f>
        <v/>
      </c>
      <c r="CD196" s="96">
        <f>IFERROR(VLOOKUP($B196,INDIRECT("'GRD-"&amp;CD$11&amp;"'!B:R"),15,FALSE),"")</f>
        <v/>
      </c>
      <c r="CE196" s="96">
        <f>IFERROR(VLOOKUP($B196,INDIRECT("'GRD-"&amp;CE$11&amp;"'!B:R"),15,FALSE),"")</f>
        <v/>
      </c>
      <c r="CF196" s="96">
        <f>IFERROR(VLOOKUP($B196,INDIRECT("'GRD-"&amp;CF$11&amp;"'!B:R"),15,FALSE),"")</f>
        <v/>
      </c>
      <c r="CG196" s="96">
        <f>IFERROR(VLOOKUP($B196,INDIRECT("'GRD-"&amp;CG$11&amp;"'!B:R"),15,FALSE),"")</f>
        <v/>
      </c>
      <c r="CH196" s="96">
        <f>IFERROR(VLOOKUP($B196,INDIRECT("'GRD-"&amp;CH$11&amp;"'!B:R"),15,FALSE),"")</f>
        <v/>
      </c>
      <c r="CI196" s="96">
        <f>IFERROR(VLOOKUP($B196,INDIRECT("'GRD-"&amp;CI$11&amp;"'!B:R"),15,FALSE),"")</f>
        <v/>
      </c>
      <c r="CJ196" s="96">
        <f>IFERROR(VLOOKUP($B196,INDIRECT("'GRD-"&amp;CJ$11&amp;"'!B:R"),15,FALSE),"")</f>
        <v/>
      </c>
      <c r="CK196" s="96">
        <f>IFERROR(VLOOKUP($B196,INDIRECT("'GRD-"&amp;CK$11&amp;"'!B:R"),15,FALSE),"")</f>
        <v/>
      </c>
      <c r="CL196" s="96">
        <f>IFERROR(VLOOKUP($B196,INDIRECT("'GRD-"&amp;CL$11&amp;"'!B:R"),15,FALSE),"")</f>
        <v/>
      </c>
      <c r="CM196" s="96">
        <f>IFERROR(VLOOKUP($B196,INDIRECT("'GRD-"&amp;CM$11&amp;"'!B:R"),15,FALSE),"")</f>
        <v/>
      </c>
      <c r="CN196" s="96">
        <f>IFERROR(VLOOKUP($B196,INDIRECT("'GRD-"&amp;CN$11&amp;"'!B:R"),15,FALSE),"")</f>
        <v/>
      </c>
      <c r="CO196" s="96">
        <f>IFERROR(VLOOKUP($B196,INDIRECT("'GRD-"&amp;CO$11&amp;"'!B:R"),15,FALSE),"")</f>
        <v/>
      </c>
      <c r="CP196" s="96">
        <f>IFERROR(VLOOKUP($B196,INDIRECT("'GRD-"&amp;CP$11&amp;"'!B:R"),15,FALSE),"")</f>
        <v/>
      </c>
      <c r="CQ196" s="96">
        <f>IFERROR(VLOOKUP($B196,INDIRECT("'GRD-"&amp;CQ$11&amp;"'!B:R"),15,FALSE),"")</f>
        <v/>
      </c>
      <c r="CR196" s="96">
        <f>IFERROR(VLOOKUP($B196,INDIRECT("'GRD-"&amp;CR$11&amp;"'!B:R"),15,FALSE),"")</f>
        <v/>
      </c>
      <c r="CS196" s="96">
        <f>IFERROR(VLOOKUP($B196,INDIRECT("'GRD-"&amp;CS$11&amp;"'!B:R"),15,FALSE),"")</f>
        <v/>
      </c>
      <c r="CT196" s="96">
        <f>IFERROR(VLOOKUP($B196,INDIRECT("'GRD-"&amp;CT$11&amp;"'!B:R"),15,FALSE),"")</f>
        <v/>
      </c>
      <c r="CU196" s="96">
        <f>IFERROR(VLOOKUP($B196,INDIRECT("'GRD-"&amp;CU$11&amp;"'!B:R"),15,FALSE),"")</f>
        <v/>
      </c>
      <c r="CV196" s="96">
        <f>IFERROR(VLOOKUP($B196,INDIRECT("'GRD-"&amp;CV$11&amp;"'!B:R"),15,FALSE),"")</f>
        <v/>
      </c>
      <c r="CW196" s="96">
        <f>IFERROR(VLOOKUP($B196,INDIRECT("'GRD-"&amp;CW$11&amp;"'!B:R"),15,FALSE),"")</f>
        <v/>
      </c>
      <c r="CX196" s="96">
        <f>IFERROR(VLOOKUP($B196,INDIRECT("'GRD-"&amp;CX$11&amp;"'!B:R"),15,FALSE),"")</f>
        <v/>
      </c>
      <c r="CY196" s="96">
        <f>IFERROR(VLOOKUP($B196,INDIRECT("'GRD-"&amp;CY$11&amp;"'!B:R"),15,FALSE),"")</f>
        <v/>
      </c>
      <c r="CZ196" s="96">
        <f>IFERROR(VLOOKUP($B196,INDIRECT("'GRD-"&amp;CZ$11&amp;"'!B:R"),15,FALSE),"")</f>
        <v/>
      </c>
      <c r="DA196" s="96">
        <f>IFERROR(VLOOKUP($B196,INDIRECT("'GRD-"&amp;DA$11&amp;"'!B:R"),15,FALSE),"")</f>
        <v/>
      </c>
      <c r="DB196" s="96">
        <f>IFERROR(VLOOKUP($B196,INDIRECT("'GRD-"&amp;DB$11&amp;"'!B:R"),15,FALSE),"")</f>
        <v/>
      </c>
      <c r="DC196" s="96">
        <f>IFERROR(VLOOKUP($B196,INDIRECT("'GRD-"&amp;DC$11&amp;"'!B:R"),15,FALSE),"")</f>
        <v/>
      </c>
      <c r="DD196" s="96">
        <f>IFERROR(VLOOKUP($B196,INDIRECT("'GRD-"&amp;DD$11&amp;"'!B:R"),15,FALSE),"")</f>
        <v/>
      </c>
      <c r="DE196" s="96">
        <f>IFERROR(VLOOKUP($B196,INDIRECT("'GRD-"&amp;DE$11&amp;"'!B:R"),15,FALSE),"")</f>
        <v/>
      </c>
      <c r="DF196" s="96">
        <f>IFERROR(VLOOKUP($B196,INDIRECT("'GRD-"&amp;DF$11&amp;"'!B:R"),15,FALSE),"")</f>
        <v/>
      </c>
      <c r="DG196" s="96">
        <f>IFERROR(VLOOKUP($B196,INDIRECT("'GRD-"&amp;DG$11&amp;"'!B:R"),15,FALSE),"")</f>
        <v/>
      </c>
      <c r="DH196" s="96">
        <f>IFERROR(VLOOKUP($B196,INDIRECT("'GRD-"&amp;DH$11&amp;"'!B:R"),15,FALSE),"")</f>
        <v/>
      </c>
      <c r="DI196" s="96">
        <f>IFERROR(VLOOKUP($B196,INDIRECT("'GRD-"&amp;DI$11&amp;"'!B:R"),15,FALSE),"")</f>
        <v/>
      </c>
      <c r="DJ196" s="96">
        <f>IFERROR(VLOOKUP($B196,INDIRECT("'GRD-"&amp;DJ$11&amp;"'!B:R"),15,FALSE),"")</f>
        <v/>
      </c>
      <c r="DK196" s="96">
        <f>IFERROR(VLOOKUP($B196,INDIRECT("'GRD-"&amp;DK$11&amp;"'!B:R"),15,FALSE),"")</f>
        <v/>
      </c>
      <c r="DL196" s="96">
        <f>IFERROR(VLOOKUP($B196,INDIRECT("'GRD-"&amp;DL$11&amp;"'!B:R"),15,FALSE),"")</f>
        <v/>
      </c>
      <c r="DM196" s="96">
        <f>IFERROR(VLOOKUP($B196,INDIRECT("'GRD-"&amp;DM$11&amp;"'!B:R"),15,FALSE),"")</f>
        <v/>
      </c>
      <c r="DN196" s="96">
        <f>IFERROR(VLOOKUP($B196,INDIRECT("'GRD-"&amp;DN$11&amp;"'!B:R"),15,FALSE),"")</f>
        <v/>
      </c>
      <c r="DO196" s="96">
        <f>IFERROR(VLOOKUP($B196,INDIRECT("'GRD-"&amp;DO$11&amp;"'!B:R"),15,FALSE),"")</f>
        <v/>
      </c>
      <c r="DP196" s="96">
        <f>IFERROR(VLOOKUP($B196,INDIRECT("'GRD-"&amp;DP$11&amp;"'!B:R"),15,FALSE),"")</f>
        <v/>
      </c>
      <c r="DQ196" s="96">
        <f>IFERROR(VLOOKUP($B196,INDIRECT("'GRD-"&amp;DQ$11&amp;"'!B:R"),15,FALSE),"")</f>
        <v/>
      </c>
      <c r="DR196" s="96">
        <f>IFERROR(VLOOKUP($B196,INDIRECT("'GRD-"&amp;DR$11&amp;"'!B:R"),15,FALSE),"")</f>
        <v/>
      </c>
      <c r="DS196" s="96">
        <f>IFERROR(VLOOKUP($B196,INDIRECT("'GRD-"&amp;DS$11&amp;"'!B:R"),15,FALSE),"")</f>
        <v/>
      </c>
      <c r="DT196" s="96">
        <f>IFERROR(VLOOKUP($B196,INDIRECT("'GRD-"&amp;DT$11&amp;"'!B:R"),15,FALSE),"")</f>
        <v/>
      </c>
      <c r="DU196" s="96">
        <f>IFERROR(VLOOKUP($B196,INDIRECT("'GRD-"&amp;DU$11&amp;"'!B:R"),15,FALSE),"")</f>
        <v/>
      </c>
      <c r="DV196" s="96">
        <f>IFERROR(VLOOKUP($B196,INDIRECT("'GRD-"&amp;DV$11&amp;"'!B:R"),15,FALSE),"")</f>
        <v/>
      </c>
      <c r="DW196" s="96">
        <f>IFERROR(VLOOKUP($B196,INDIRECT("'GRD-"&amp;DW$11&amp;"'!B:R"),15,FALSE),"")</f>
        <v/>
      </c>
      <c r="DX196" s="96">
        <f>IFERROR(VLOOKUP($B196,INDIRECT("'GRD-"&amp;DX$11&amp;"'!B:R"),15,FALSE),"")</f>
        <v/>
      </c>
      <c r="DY196" s="96">
        <f>IFERROR(VLOOKUP($B196,INDIRECT("'GRD-"&amp;DY$11&amp;"'!B:R"),15,FALSE),"")</f>
        <v/>
      </c>
      <c r="DZ196" s="96">
        <f>IFERROR(VLOOKUP($B196,INDIRECT("'GRD-"&amp;DZ$11&amp;"'!B:R"),15,FALSE),"")</f>
        <v/>
      </c>
      <c r="EA196" s="96">
        <f>IFERROR(VLOOKUP($B196,INDIRECT("'GRD-"&amp;EA$11&amp;"'!B:R"),15,FALSE),"")</f>
        <v/>
      </c>
      <c r="EB196" s="96">
        <f>IFERROR(VLOOKUP($B196,INDIRECT("'GRD-"&amp;EB$11&amp;"'!B:R"),15,FALSE),"")</f>
        <v/>
      </c>
      <c r="EC196" s="96">
        <f>IFERROR(VLOOKUP($B196,INDIRECT("'GRD-"&amp;EC$11&amp;"'!B:R"),15,FALSE),"")</f>
        <v/>
      </c>
      <c r="ED196" s="96">
        <f>IFERROR(VLOOKUP($B196,INDIRECT("'GRD-"&amp;ED$11&amp;"'!B:R"),15,FALSE),"")</f>
        <v/>
      </c>
      <c r="EE196" s="96">
        <f>IFERROR(VLOOKUP($B196,INDIRECT("'GRD-"&amp;EE$11&amp;"'!B:R"),15,FALSE),"")</f>
        <v/>
      </c>
      <c r="EF196" s="96">
        <f>IFERROR(VLOOKUP($B196,INDIRECT("'GRD-"&amp;EF$11&amp;"'!B:R"),15,FALSE),"")</f>
        <v/>
      </c>
      <c r="EG196" s="96">
        <f>IFERROR(VLOOKUP($B196,INDIRECT("'GRD-"&amp;EG$11&amp;"'!B:R"),15,FALSE),"")</f>
        <v/>
      </c>
      <c r="EH196" s="96">
        <f>IFERROR(VLOOKUP($B196,INDIRECT("'GRD-"&amp;EH$11&amp;"'!B:R"),15,FALSE),"")</f>
        <v/>
      </c>
      <c r="EI196" s="96">
        <f>IFERROR(VLOOKUP($B196,INDIRECT("'GRD-"&amp;EI$11&amp;"'!B:R"),15,FALSE),"")</f>
        <v/>
      </c>
      <c r="EJ196" s="96">
        <f>IFERROR(VLOOKUP($B196,INDIRECT("'GRD-"&amp;EJ$11&amp;"'!B:R"),15,FALSE),"")</f>
        <v/>
      </c>
      <c r="EK196" s="96">
        <f>IFERROR(VLOOKUP($B196,INDIRECT("'GRD-"&amp;EK$11&amp;"'!B:R"),15,FALSE),"")</f>
        <v/>
      </c>
      <c r="EL196" s="96">
        <f>IFERROR(VLOOKUP($B196,INDIRECT("'GRD-"&amp;EL$11&amp;"'!B:R"),15,FALSE),"")</f>
        <v/>
      </c>
      <c r="EM196" s="96">
        <f>IFERROR(VLOOKUP($B196,INDIRECT("'GRD-"&amp;EM$11&amp;"'!B:R"),15,FALSE),"")</f>
        <v/>
      </c>
      <c r="EN196" s="96">
        <f>IFERROR(VLOOKUP($B196,INDIRECT("'GRD-"&amp;EN$11&amp;"'!B:R"),15,FALSE),"")</f>
        <v/>
      </c>
      <c r="EO196" s="96">
        <f>IFERROR(VLOOKUP($B196,INDIRECT("'GRD-"&amp;EO$11&amp;"'!B:R"),15,FALSE),"")</f>
        <v/>
      </c>
      <c r="EP196" s="96">
        <f>IFERROR(VLOOKUP($B196,INDIRECT("'GRD-"&amp;EP$11&amp;"'!B:R"),15,FALSE),"")</f>
        <v/>
      </c>
      <c r="EQ196" s="96">
        <f>IFERROR(VLOOKUP($B196,INDIRECT("'GRD-"&amp;EQ$11&amp;"'!B:R"),15,FALSE),"")</f>
        <v/>
      </c>
      <c r="ER196" s="96">
        <f>IFERROR(VLOOKUP($B196,INDIRECT("'GRD-"&amp;ER$11&amp;"'!B:R"),15,FALSE),"")</f>
        <v/>
      </c>
      <c r="ES196" s="96">
        <f>IFERROR(VLOOKUP($B196,INDIRECT("'GRD-"&amp;ES$11&amp;"'!B:R"),15,FALSE),"")</f>
        <v/>
      </c>
      <c r="ET196" s="96">
        <f>IFERROR(VLOOKUP($B196,INDIRECT("'GRD-"&amp;ET$11&amp;"'!B:R"),15,FALSE),"")</f>
        <v/>
      </c>
      <c r="EU196" s="96">
        <f>IFERROR(VLOOKUP($B196,INDIRECT("'GRD-"&amp;EU$11&amp;"'!B:R"),15,FALSE),"")</f>
        <v/>
      </c>
      <c r="EV196" s="96">
        <f>IFERROR(VLOOKUP($B196,INDIRECT("'GRD-"&amp;EV$11&amp;"'!B:R"),15,FALSE),"")</f>
        <v/>
      </c>
      <c r="EW196" s="96">
        <f>IFERROR(VLOOKUP($B196,INDIRECT("'GRD-"&amp;EW$11&amp;"'!B:R"),15,FALSE),"")</f>
        <v/>
      </c>
      <c r="EX196" s="96">
        <f>IFERROR(VLOOKUP($B196,INDIRECT("'GRD-"&amp;EX$11&amp;"'!B:R"),15,FALSE),"")</f>
        <v/>
      </c>
      <c r="EY196" s="96">
        <f>IFERROR(VLOOKUP($B196,INDIRECT("'GRD-"&amp;EY$11&amp;"'!B:R"),15,FALSE),"")</f>
        <v/>
      </c>
      <c r="EZ196" s="96">
        <f>IFERROR(VLOOKUP($B196,INDIRECT("'GRD-"&amp;EZ$11&amp;"'!B:R"),15,FALSE),"")</f>
        <v/>
      </c>
      <c r="FA196" s="96">
        <f>IFERROR(VLOOKUP($B196,INDIRECT("'GRD-"&amp;FA$11&amp;"'!B:R"),15,FALSE),"")</f>
        <v/>
      </c>
      <c r="FB196" s="96">
        <f>IFERROR(VLOOKUP($B196,INDIRECT("'GRD-"&amp;FB$11&amp;"'!B:R"),15,FALSE),"")</f>
        <v/>
      </c>
      <c r="FC196" s="96">
        <f>IFERROR(VLOOKUP($B196,INDIRECT("'GRD-"&amp;FC$11&amp;"'!B:R"),15,FALSE),"")</f>
        <v/>
      </c>
      <c r="FD196" s="96">
        <f>IFERROR(VLOOKUP($B196,INDIRECT("'GRD-"&amp;FD$11&amp;"'!B:R"),15,FALSE),"")</f>
        <v/>
      </c>
      <c r="FE196" s="96">
        <f>IFERROR(VLOOKUP($B196,INDIRECT("'GRD-"&amp;FE$11&amp;"'!B:R"),15,FALSE),"")</f>
        <v/>
      </c>
      <c r="FF196" s="96">
        <f>IFERROR(VLOOKUP($B196,INDIRECT("'GRD-"&amp;FF$11&amp;"'!B:R"),15,FALSE),"")</f>
        <v/>
      </c>
      <c r="FG196" s="96">
        <f>IFERROR(VLOOKUP($B196,INDIRECT("'GRD-"&amp;FG$11&amp;"'!B:R"),15,FALSE),"")</f>
        <v/>
      </c>
      <c r="FH196" s="96">
        <f>IFERROR(VLOOKUP($B196,INDIRECT("'GRD-"&amp;FH$11&amp;"'!B:R"),15,FALSE),"")</f>
        <v/>
      </c>
      <c r="FI196" s="96">
        <f>IFERROR(VLOOKUP($B196,INDIRECT("'GRD-"&amp;FI$11&amp;"'!B:R"),15,FALSE),"")</f>
        <v/>
      </c>
      <c r="FJ196" s="96">
        <f>IFERROR(VLOOKUP($B196,INDIRECT("'GRD-"&amp;FJ$11&amp;"'!B:R"),15,FALSE),"")</f>
        <v/>
      </c>
      <c r="FK196" s="96">
        <f>IFERROR(VLOOKUP($B196,INDIRECT("'GRD-"&amp;FK$11&amp;"'!B:R"),15,FALSE),"")</f>
        <v/>
      </c>
      <c r="FL196" s="96">
        <f>IFERROR(VLOOKUP($B196,INDIRECT("'GRD-"&amp;FL$11&amp;"'!B:R"),15,FALSE),"")</f>
        <v/>
      </c>
      <c r="FM196" s="96">
        <f>IFERROR(VLOOKUP($B196,INDIRECT("'GRD-"&amp;FM$11&amp;"'!B:R"),15,FALSE),"")</f>
        <v/>
      </c>
      <c r="FN196" s="96">
        <f>IFERROR(VLOOKUP($B196,INDIRECT("'GRD-"&amp;FN$11&amp;"'!B:R"),15,FALSE),"")</f>
        <v/>
      </c>
      <c r="FO196" s="96">
        <f>IFERROR(VLOOKUP($B196,INDIRECT("'GRD-"&amp;FO$11&amp;"'!B:R"),15,FALSE),"")</f>
        <v/>
      </c>
      <c r="FP196" s="96">
        <f>IFERROR(VLOOKUP($B196,INDIRECT("'GRD-"&amp;FP$11&amp;"'!B:R"),15,FALSE),"")</f>
        <v/>
      </c>
      <c r="FQ196" s="96">
        <f>IFERROR(VLOOKUP($B196,INDIRECT("'GRD-"&amp;FQ$11&amp;"'!B:R"),15,FALSE),"")</f>
        <v/>
      </c>
      <c r="FR196" s="96">
        <f>IFERROR(VLOOKUP($B196,INDIRECT("'GRD-"&amp;FR$11&amp;"'!B:R"),15,FALSE),"")</f>
        <v/>
      </c>
      <c r="FS196" s="96">
        <f>IFERROR(VLOOKUP($B196,INDIRECT("'GRD-"&amp;FS$11&amp;"'!B:R"),15,FALSE),"")</f>
        <v/>
      </c>
      <c r="FT196" s="96">
        <f>IFERROR(VLOOKUP($B196,INDIRECT("'GRD-"&amp;FT$11&amp;"'!B:R"),15,FALSE),"")</f>
        <v/>
      </c>
      <c r="FU196" s="96">
        <f>IFERROR(VLOOKUP($B196,INDIRECT("'GRD-"&amp;FU$11&amp;"'!B:R"),15,FALSE),"")</f>
        <v/>
      </c>
      <c r="FV196" s="96">
        <f>IFERROR(VLOOKUP($B196,INDIRECT("'GRD-"&amp;FV$11&amp;"'!B:R"),15,FALSE),"")</f>
        <v/>
      </c>
    </row>
    <row r="197">
      <c r="B197" s="85" t="n"/>
      <c r="C197" s="93" t="n"/>
      <c r="D197" s="73">
        <f>IF(K197="","",MAX($CA197:$FV197))</f>
        <v/>
      </c>
      <c r="E197" s="74">
        <f t="array" ref="E197">IF($K197="","",OFFSET($A$1,ROW($B197)-1,11+$D197*4,))</f>
        <v/>
      </c>
      <c r="F197" s="74">
        <f t="array" ref="F197">IF($K197="","",OFFSET($A$1,ROW($B197)-1,12+$D197*4,))</f>
        <v/>
      </c>
      <c r="G197" s="118">
        <f t="array" ref="G197">IF($K197="","",OFFSET($A$1,ROW($B197)-1,13+$D197*4,))</f>
        <v/>
      </c>
      <c r="H197" s="81" t="n"/>
      <c r="I197" s="82" t="n"/>
      <c r="J197" s="75">
        <f>IF(I197="A4",H197/8,IF(I197="A3",H197/4,IF(I197="A2",H197/2,IF(I197="A1",H197/1,IF(I197="A0",H197*2,"")))))</f>
        <v/>
      </c>
      <c r="K197" s="68">
        <f t="array" ref="K197">IFERROR(OFFSET($BZ$11,ROW($B197)-11,MATCH(K$10,$CA197:$FV197,0),),"")</f>
        <v/>
      </c>
      <c r="L197" s="85">
        <f>IF(K197="","",IF(VLOOKUP($B197,INDIRECT("'GRD-"&amp;M197&amp;"'!$B:$R"),16,FALSE)="","",VLOOKUP($B197,INDIRECT("'GRD-"&amp;M197&amp;"'!$B:$R"),16,FALSE)))</f>
        <v/>
      </c>
      <c r="M197" s="130">
        <f t="array" ref="M197">IF(K197="","",IFERROR(OFFSET($BZ$11,0,MATCH($K197,$CA197:$FV197,0),),""))</f>
        <v/>
      </c>
      <c r="N197" s="119">
        <f t="array" ref="N197">IF(K197="","",INDIRECT("'GRD-"&amp;M197&amp;"'!$L$7"))</f>
        <v/>
      </c>
      <c r="O197" s="76">
        <f t="array" ref="O197">IFERROR(OFFSET($BZ$11,ROW($B197)-11,MATCH(O$10,$CA197:$FV197,0),),"")</f>
        <v/>
      </c>
      <c r="P197" s="76">
        <f>IF(O197="","",IF(VLOOKUP($B197,INDIRECT("'GRD-"&amp;Q197&amp;"'!$B:$R"),16,FALSE)="","",VLOOKUP($B197,INDIRECT("'GRD-"&amp;Q197&amp;"'!$B:$R"),16,FALSE)))</f>
        <v/>
      </c>
      <c r="Q197" s="132">
        <f t="array" ref="Q197">IF(O197="","",IFERROR(OFFSET($BZ$11,0,MATCH($O197,$CA197:$FV197,0),),""))</f>
        <v/>
      </c>
      <c r="R197" s="121">
        <f t="array" ref="R197">IF(O197="","",INDIRECT("'GRD-"&amp;Q197&amp;"'!$L$7"))</f>
        <v/>
      </c>
      <c r="S197" s="83">
        <f t="array" ref="S197">IFERROR(OFFSET($BZ$11,ROW($B197)-11,MATCH(S$10,$CA197:$FV197,0),),"")</f>
        <v/>
      </c>
      <c r="T197" s="83">
        <f>IF(S197="","",IF(VLOOKUP($B197,INDIRECT("'GRD-"&amp;U197&amp;"'!$B:$R"),16,FALSE)="","",VLOOKUP($B197,INDIRECT("'GRD-"&amp;U197&amp;"'!$B:$R"),16,FALSE)))</f>
        <v/>
      </c>
      <c r="U197" s="128">
        <f t="array" ref="U197">IF(S197="","",IFERROR(OFFSET($BZ$11,0,MATCH($S197,$CA197:$FV197,0),),""))</f>
        <v/>
      </c>
      <c r="V197" s="133">
        <f t="array" ref="V197">IF(S197="","",INDIRECT("'GRD-"&amp;U197&amp;"'!$L$7"))</f>
        <v/>
      </c>
      <c r="W197" s="84">
        <f t="array" ref="W197">IFERROR(OFFSET($BZ$11,ROW($B197)-11,MATCH(W$10,$CA197:$FV197,0),),"")</f>
        <v/>
      </c>
      <c r="X197" s="84">
        <f>IF(W197="","",IF(VLOOKUP($B197,INDIRECT("'GRD-"&amp;Y197&amp;"'!$B:$R"),16,FALSE)="","",VLOOKUP($B197,INDIRECT("'GRD-"&amp;Y197&amp;"'!$B:$R"),16,FALSE)))</f>
        <v/>
      </c>
      <c r="Y197" s="129">
        <f t="array" ref="Y197">IF(W197="","",IFERROR(OFFSET($BZ$11,0,MATCH($W197,$CA197:$FV197,0),),""))</f>
        <v/>
      </c>
      <c r="Z197" s="134">
        <f t="array" ref="Z197">IF(W197="","",INDIRECT("'GRD-"&amp;Y197&amp;"'!$L$7"))</f>
        <v/>
      </c>
      <c r="AA197" s="85">
        <f t="array" ref="AA197">IFERROR(OFFSET($BZ$11,ROW($B197)-11,MATCH(AA$10,$CA197:$FV197,0),),"")</f>
        <v/>
      </c>
      <c r="AB197" s="85">
        <f>IF(AA197="","",IF(VLOOKUP($B197,INDIRECT("'GRD-"&amp;AC197&amp;"'!$B:$R"),16,FALSE)="","",VLOOKUP($B197,INDIRECT("'GRD-"&amp;AC197&amp;"'!$B:$R"),16,FALSE)))</f>
        <v/>
      </c>
      <c r="AC197" s="130">
        <f t="array" ref="AC197">IF(AA197="","",IFERROR(OFFSET($BZ$11,0,MATCH($AA197,$CA197:$FV197,0),),""))</f>
        <v/>
      </c>
      <c r="AD197" s="131">
        <f t="array" ref="AD197">IF(AA197="","",INDIRECT("'GRD-"&amp;AC197&amp;"'!$L$7"))</f>
        <v/>
      </c>
      <c r="AE197" s="76">
        <f t="array" ref="AE197">IFERROR(OFFSET($BZ$11,ROW($B197)-11,MATCH(AE$10,$CA197:$FV197,0),),"")</f>
        <v/>
      </c>
      <c r="AF197" s="76">
        <f>IF(AE197="","",IF(VLOOKUP($B197,INDIRECT("'GRD-"&amp;AG197&amp;"'!$B:$R"),16,FALSE)="","",VLOOKUP($B197,INDIRECT("'GRD-"&amp;AG197&amp;"'!$B:$R"),16,FALSE)))</f>
        <v/>
      </c>
      <c r="AG197" s="132">
        <f t="array" ref="AG197">IF(AE197="","",IFERROR(OFFSET($BZ$11,0,MATCH($AE197,$CA197:$FV197,0),),""))</f>
        <v/>
      </c>
      <c r="AH197" s="121">
        <f t="array" ref="AH197">IF(AE197="","",INDIRECT("'GRD-"&amp;AG197&amp;"'!$L$7"))</f>
        <v/>
      </c>
      <c r="AI197" s="83">
        <f t="array" ref="AI197">IFERROR(OFFSET($BZ$11,ROW($B197)-11,MATCH(AI$10,$CA197:$FV197,0),),"")</f>
        <v/>
      </c>
      <c r="AJ197" s="83">
        <f>IF(AI197="","",IF(VLOOKUP($B197,INDIRECT("'GRD-"&amp;AK197&amp;"'!$B:$R"),16,FALSE)="","",VLOOKUP($B197,INDIRECT("'GRD-"&amp;AK197&amp;"'!$B:$R"),16,FALSE)))</f>
        <v/>
      </c>
      <c r="AK197" s="128">
        <f t="array" ref="AK197">IF(AI197="","",IFERROR(OFFSET($BZ$11,0,MATCH($AI197,$CA197:$FV197,0),),""))</f>
        <v/>
      </c>
      <c r="AL197" s="133">
        <f t="array" ref="AL197">IF(AI197="","",INDIRECT("'GRD-"&amp;AK197&amp;"'!$L$7"))</f>
        <v/>
      </c>
      <c r="AM197" s="84">
        <f t="array" ref="AM197">IFERROR(OFFSET($BZ$11,ROW($B197)-11,MATCH(AM$10,$CA197:$FV197,0),),"")</f>
        <v/>
      </c>
      <c r="AN197" s="84">
        <f>IF(AM197="","",IF(VLOOKUP($B197,INDIRECT("'GRD-"&amp;AO197&amp;"'!$B:$R"),16,FALSE)="","",VLOOKUP($B197,INDIRECT("'GRD-"&amp;AO197&amp;"'!$B:$R"),16,FALSE)))</f>
        <v/>
      </c>
      <c r="AO197" s="129">
        <f t="array" ref="AO197">IF(AM197="","",IFERROR(OFFSET($BZ$11,0,MATCH($AM197,$CA197:$FV197,0),),""))</f>
        <v/>
      </c>
      <c r="AP197" s="134">
        <f t="array" ref="AP197">IF(AM197="","",INDIRECT("'GRD-"&amp;AO197&amp;"'!$L$7"))</f>
        <v/>
      </c>
      <c r="AQ197" s="85">
        <f t="array" ref="AQ197">IFERROR(OFFSET($BZ$11,ROW($B197)-11,MATCH(AQ$10,$CA197:$FV197,0),),"")</f>
        <v/>
      </c>
      <c r="AR197" s="85">
        <f>IF(AQ197="","",IF(VLOOKUP($B197,INDIRECT("'GRD-"&amp;AS197&amp;"'!$B:$R"),16,FALSE)="","",VLOOKUP($B197,INDIRECT("'GRD-"&amp;AS197&amp;"'!$B:$R"),16,FALSE)))</f>
        <v/>
      </c>
      <c r="AS197" s="130">
        <f t="array" ref="AS197">IF(AQ197="","",IFERROR(OFFSET($BZ$11,0,MATCH($AQ197,$CA197:$FV197,0),),""))</f>
        <v/>
      </c>
      <c r="AT197" s="131">
        <f t="array" ref="AT197">IF(AQ197="","",INDIRECT("'GRD-"&amp;AS197&amp;"'!$L$7"))</f>
        <v/>
      </c>
      <c r="AU197" s="76">
        <f t="array" ref="AU197">IFERROR(OFFSET($BZ$11,ROW($B197)-11,MATCH(AU$10,$CA197:$FV197,0),),"")</f>
        <v/>
      </c>
      <c r="AV197" s="76">
        <f>IF(AU197="","",IF(VLOOKUP($B197,INDIRECT("'GRD-"&amp;AW197&amp;"'!$B:$R"),16,FALSE)="","",VLOOKUP($B197,INDIRECT("'GRD-"&amp;AW197&amp;"'!$B:$R"),16,FALSE)))</f>
        <v/>
      </c>
      <c r="AW197" s="132">
        <f t="array" ref="AW197">IF(AU197="","",IFERROR(OFFSET($BZ$11,0,MATCH($AU197,$CA197:$FV197,0),),""))</f>
        <v/>
      </c>
      <c r="AX197" s="121">
        <f t="array" ref="AX197">IF(AU197="","",INDIRECT("'GRD-"&amp;AW197&amp;"'!$L$7"))</f>
        <v/>
      </c>
      <c r="AY197" s="83">
        <f t="array" ref="AY197">IFERROR(OFFSET($BZ$11,ROW($B197)-11,MATCH(AY$10,$CA197:$FV197,0),),"")</f>
        <v/>
      </c>
      <c r="AZ197" s="83">
        <f>IF(AY197="","",IF(VLOOKUP($B197,INDIRECT("'GRD-"&amp;BA197&amp;"'!$B:$R"),16,FALSE)="","",VLOOKUP($B197,INDIRECT("'GRD-"&amp;BA197&amp;"'!$B:$R"),16,FALSE)))</f>
        <v/>
      </c>
      <c r="BA197" s="128">
        <f t="array" ref="BA197">IF(AY197="","",IFERROR(OFFSET($BZ$11,0,MATCH($AY197,$CA197:$FV197,0),),""))</f>
        <v/>
      </c>
      <c r="BB197" s="133">
        <f t="array" ref="BB197">IF(AY197="","",INDIRECT("'GRD-"&amp;BA197&amp;"'!$L$7"))</f>
        <v/>
      </c>
      <c r="BC197" s="84">
        <f t="array" ref="BC197">IFERROR(OFFSET($BZ$11,ROW($B197)-11,MATCH(BC$10,$CA197:$FV197,0),),"")</f>
        <v/>
      </c>
      <c r="BD197" s="84">
        <f>IF(BC197="","",IF(VLOOKUP($B197,INDIRECT("'GRD-"&amp;BE197&amp;"'!$B:$R"),16,FALSE)="","",VLOOKUP($B197,INDIRECT("'GRD-"&amp;BE197&amp;"'!$B:$R"),16,FALSE)))</f>
        <v/>
      </c>
      <c r="BE197" s="129">
        <f t="array" ref="BE197">IF(BC197="","",IFERROR(OFFSET($BZ$11,0,MATCH($BC197,$CA197:$FV197,0),),""))</f>
        <v/>
      </c>
      <c r="BF197" s="134">
        <f t="array" ref="BF197">IF(BC197="","",INDIRECT("'GRD-"&amp;BE197&amp;"'!$L$7"))</f>
        <v/>
      </c>
      <c r="CA197" s="96">
        <f>IFERROR(VLOOKUP($B197,INDIRECT("'GRD-"&amp;CA$11&amp;"'!B:R"),15,FALSE),"")</f>
        <v/>
      </c>
      <c r="CB197" s="96">
        <f>IFERROR(VLOOKUP($B197,INDIRECT("'GRD-"&amp;CB$11&amp;"'!B:R"),15,FALSE),"")</f>
        <v/>
      </c>
      <c r="CC197" s="96">
        <f>IFERROR(VLOOKUP($B197,INDIRECT("'GRD-"&amp;CC$11&amp;"'!B:R"),15,FALSE),"")</f>
        <v/>
      </c>
      <c r="CD197" s="96">
        <f>IFERROR(VLOOKUP($B197,INDIRECT("'GRD-"&amp;CD$11&amp;"'!B:R"),15,FALSE),"")</f>
        <v/>
      </c>
      <c r="CE197" s="96">
        <f>IFERROR(VLOOKUP($B197,INDIRECT("'GRD-"&amp;CE$11&amp;"'!B:R"),15,FALSE),"")</f>
        <v/>
      </c>
      <c r="CF197" s="96">
        <f>IFERROR(VLOOKUP($B197,INDIRECT("'GRD-"&amp;CF$11&amp;"'!B:R"),15,FALSE),"")</f>
        <v/>
      </c>
      <c r="CG197" s="96">
        <f>IFERROR(VLOOKUP($B197,INDIRECT("'GRD-"&amp;CG$11&amp;"'!B:R"),15,FALSE),"")</f>
        <v/>
      </c>
      <c r="CH197" s="96">
        <f>IFERROR(VLOOKUP($B197,INDIRECT("'GRD-"&amp;CH$11&amp;"'!B:R"),15,FALSE),"")</f>
        <v/>
      </c>
      <c r="CI197" s="96">
        <f>IFERROR(VLOOKUP($B197,INDIRECT("'GRD-"&amp;CI$11&amp;"'!B:R"),15,FALSE),"")</f>
        <v/>
      </c>
      <c r="CJ197" s="96">
        <f>IFERROR(VLOOKUP($B197,INDIRECT("'GRD-"&amp;CJ$11&amp;"'!B:R"),15,FALSE),"")</f>
        <v/>
      </c>
      <c r="CK197" s="96">
        <f>IFERROR(VLOOKUP($B197,INDIRECT("'GRD-"&amp;CK$11&amp;"'!B:R"),15,FALSE),"")</f>
        <v/>
      </c>
      <c r="CL197" s="96">
        <f>IFERROR(VLOOKUP($B197,INDIRECT("'GRD-"&amp;CL$11&amp;"'!B:R"),15,FALSE),"")</f>
        <v/>
      </c>
      <c r="CM197" s="96">
        <f>IFERROR(VLOOKUP($B197,INDIRECT("'GRD-"&amp;CM$11&amp;"'!B:R"),15,FALSE),"")</f>
        <v/>
      </c>
      <c r="CN197" s="96">
        <f>IFERROR(VLOOKUP($B197,INDIRECT("'GRD-"&amp;CN$11&amp;"'!B:R"),15,FALSE),"")</f>
        <v/>
      </c>
      <c r="CO197" s="96">
        <f>IFERROR(VLOOKUP($B197,INDIRECT("'GRD-"&amp;CO$11&amp;"'!B:R"),15,FALSE),"")</f>
        <v/>
      </c>
      <c r="CP197" s="96">
        <f>IFERROR(VLOOKUP($B197,INDIRECT("'GRD-"&amp;CP$11&amp;"'!B:R"),15,FALSE),"")</f>
        <v/>
      </c>
      <c r="CQ197" s="96">
        <f>IFERROR(VLOOKUP($B197,INDIRECT("'GRD-"&amp;CQ$11&amp;"'!B:R"),15,FALSE),"")</f>
        <v/>
      </c>
      <c r="CR197" s="96">
        <f>IFERROR(VLOOKUP($B197,INDIRECT("'GRD-"&amp;CR$11&amp;"'!B:R"),15,FALSE),"")</f>
        <v/>
      </c>
      <c r="CS197" s="96">
        <f>IFERROR(VLOOKUP($B197,INDIRECT("'GRD-"&amp;CS$11&amp;"'!B:R"),15,FALSE),"")</f>
        <v/>
      </c>
      <c r="CT197" s="96">
        <f>IFERROR(VLOOKUP($B197,INDIRECT("'GRD-"&amp;CT$11&amp;"'!B:R"),15,FALSE),"")</f>
        <v/>
      </c>
      <c r="CU197" s="96">
        <f>IFERROR(VLOOKUP($B197,INDIRECT("'GRD-"&amp;CU$11&amp;"'!B:R"),15,FALSE),"")</f>
        <v/>
      </c>
      <c r="CV197" s="96">
        <f>IFERROR(VLOOKUP($B197,INDIRECT("'GRD-"&amp;CV$11&amp;"'!B:R"),15,FALSE),"")</f>
        <v/>
      </c>
      <c r="CW197" s="96">
        <f>IFERROR(VLOOKUP($B197,INDIRECT("'GRD-"&amp;CW$11&amp;"'!B:R"),15,FALSE),"")</f>
        <v/>
      </c>
      <c r="CX197" s="96">
        <f>IFERROR(VLOOKUP($B197,INDIRECT("'GRD-"&amp;CX$11&amp;"'!B:R"),15,FALSE),"")</f>
        <v/>
      </c>
      <c r="CY197" s="96">
        <f>IFERROR(VLOOKUP($B197,INDIRECT("'GRD-"&amp;CY$11&amp;"'!B:R"),15,FALSE),"")</f>
        <v/>
      </c>
      <c r="CZ197" s="96">
        <f>IFERROR(VLOOKUP($B197,INDIRECT("'GRD-"&amp;CZ$11&amp;"'!B:R"),15,FALSE),"")</f>
        <v/>
      </c>
      <c r="DA197" s="96">
        <f>IFERROR(VLOOKUP($B197,INDIRECT("'GRD-"&amp;DA$11&amp;"'!B:R"),15,FALSE),"")</f>
        <v/>
      </c>
      <c r="DB197" s="96">
        <f>IFERROR(VLOOKUP($B197,INDIRECT("'GRD-"&amp;DB$11&amp;"'!B:R"),15,FALSE),"")</f>
        <v/>
      </c>
      <c r="DC197" s="96">
        <f>IFERROR(VLOOKUP($B197,INDIRECT("'GRD-"&amp;DC$11&amp;"'!B:R"),15,FALSE),"")</f>
        <v/>
      </c>
      <c r="DD197" s="96">
        <f>IFERROR(VLOOKUP($B197,INDIRECT("'GRD-"&amp;DD$11&amp;"'!B:R"),15,FALSE),"")</f>
        <v/>
      </c>
      <c r="DE197" s="96">
        <f>IFERROR(VLOOKUP($B197,INDIRECT("'GRD-"&amp;DE$11&amp;"'!B:R"),15,FALSE),"")</f>
        <v/>
      </c>
      <c r="DF197" s="96">
        <f>IFERROR(VLOOKUP($B197,INDIRECT("'GRD-"&amp;DF$11&amp;"'!B:R"),15,FALSE),"")</f>
        <v/>
      </c>
      <c r="DG197" s="96">
        <f>IFERROR(VLOOKUP($B197,INDIRECT("'GRD-"&amp;DG$11&amp;"'!B:R"),15,FALSE),"")</f>
        <v/>
      </c>
      <c r="DH197" s="96">
        <f>IFERROR(VLOOKUP($B197,INDIRECT("'GRD-"&amp;DH$11&amp;"'!B:R"),15,FALSE),"")</f>
        <v/>
      </c>
      <c r="DI197" s="96">
        <f>IFERROR(VLOOKUP($B197,INDIRECT("'GRD-"&amp;DI$11&amp;"'!B:R"),15,FALSE),"")</f>
        <v/>
      </c>
      <c r="DJ197" s="96">
        <f>IFERROR(VLOOKUP($B197,INDIRECT("'GRD-"&amp;DJ$11&amp;"'!B:R"),15,FALSE),"")</f>
        <v/>
      </c>
      <c r="DK197" s="96">
        <f>IFERROR(VLOOKUP($B197,INDIRECT("'GRD-"&amp;DK$11&amp;"'!B:R"),15,FALSE),"")</f>
        <v/>
      </c>
      <c r="DL197" s="96">
        <f>IFERROR(VLOOKUP($B197,INDIRECT("'GRD-"&amp;DL$11&amp;"'!B:R"),15,FALSE),"")</f>
        <v/>
      </c>
      <c r="DM197" s="96">
        <f>IFERROR(VLOOKUP($B197,INDIRECT("'GRD-"&amp;DM$11&amp;"'!B:R"),15,FALSE),"")</f>
        <v/>
      </c>
      <c r="DN197" s="96">
        <f>IFERROR(VLOOKUP($B197,INDIRECT("'GRD-"&amp;DN$11&amp;"'!B:R"),15,FALSE),"")</f>
        <v/>
      </c>
      <c r="DO197" s="96">
        <f>IFERROR(VLOOKUP($B197,INDIRECT("'GRD-"&amp;DO$11&amp;"'!B:R"),15,FALSE),"")</f>
        <v/>
      </c>
      <c r="DP197" s="96">
        <f>IFERROR(VLOOKUP($B197,INDIRECT("'GRD-"&amp;DP$11&amp;"'!B:R"),15,FALSE),"")</f>
        <v/>
      </c>
      <c r="DQ197" s="96">
        <f>IFERROR(VLOOKUP($B197,INDIRECT("'GRD-"&amp;DQ$11&amp;"'!B:R"),15,FALSE),"")</f>
        <v/>
      </c>
      <c r="DR197" s="96">
        <f>IFERROR(VLOOKUP($B197,INDIRECT("'GRD-"&amp;DR$11&amp;"'!B:R"),15,FALSE),"")</f>
        <v/>
      </c>
      <c r="DS197" s="96">
        <f>IFERROR(VLOOKUP($B197,INDIRECT("'GRD-"&amp;DS$11&amp;"'!B:R"),15,FALSE),"")</f>
        <v/>
      </c>
      <c r="DT197" s="96">
        <f>IFERROR(VLOOKUP($B197,INDIRECT("'GRD-"&amp;DT$11&amp;"'!B:R"),15,FALSE),"")</f>
        <v/>
      </c>
      <c r="DU197" s="96">
        <f>IFERROR(VLOOKUP($B197,INDIRECT("'GRD-"&amp;DU$11&amp;"'!B:R"),15,FALSE),"")</f>
        <v/>
      </c>
      <c r="DV197" s="96">
        <f>IFERROR(VLOOKUP($B197,INDIRECT("'GRD-"&amp;DV$11&amp;"'!B:R"),15,FALSE),"")</f>
        <v/>
      </c>
      <c r="DW197" s="96">
        <f>IFERROR(VLOOKUP($B197,INDIRECT("'GRD-"&amp;DW$11&amp;"'!B:R"),15,FALSE),"")</f>
        <v/>
      </c>
      <c r="DX197" s="96">
        <f>IFERROR(VLOOKUP($B197,INDIRECT("'GRD-"&amp;DX$11&amp;"'!B:R"),15,FALSE),"")</f>
        <v/>
      </c>
      <c r="DY197" s="96">
        <f>IFERROR(VLOOKUP($B197,INDIRECT("'GRD-"&amp;DY$11&amp;"'!B:R"),15,FALSE),"")</f>
        <v/>
      </c>
      <c r="DZ197" s="96">
        <f>IFERROR(VLOOKUP($B197,INDIRECT("'GRD-"&amp;DZ$11&amp;"'!B:R"),15,FALSE),"")</f>
        <v/>
      </c>
      <c r="EA197" s="96">
        <f>IFERROR(VLOOKUP($B197,INDIRECT("'GRD-"&amp;EA$11&amp;"'!B:R"),15,FALSE),"")</f>
        <v/>
      </c>
      <c r="EB197" s="96">
        <f>IFERROR(VLOOKUP($B197,INDIRECT("'GRD-"&amp;EB$11&amp;"'!B:R"),15,FALSE),"")</f>
        <v/>
      </c>
      <c r="EC197" s="96">
        <f>IFERROR(VLOOKUP($B197,INDIRECT("'GRD-"&amp;EC$11&amp;"'!B:R"),15,FALSE),"")</f>
        <v/>
      </c>
      <c r="ED197" s="96">
        <f>IFERROR(VLOOKUP($B197,INDIRECT("'GRD-"&amp;ED$11&amp;"'!B:R"),15,FALSE),"")</f>
        <v/>
      </c>
      <c r="EE197" s="96">
        <f>IFERROR(VLOOKUP($B197,INDIRECT("'GRD-"&amp;EE$11&amp;"'!B:R"),15,FALSE),"")</f>
        <v/>
      </c>
      <c r="EF197" s="96">
        <f>IFERROR(VLOOKUP($B197,INDIRECT("'GRD-"&amp;EF$11&amp;"'!B:R"),15,FALSE),"")</f>
        <v/>
      </c>
      <c r="EG197" s="96">
        <f>IFERROR(VLOOKUP($B197,INDIRECT("'GRD-"&amp;EG$11&amp;"'!B:R"),15,FALSE),"")</f>
        <v/>
      </c>
      <c r="EH197" s="96">
        <f>IFERROR(VLOOKUP($B197,INDIRECT("'GRD-"&amp;EH$11&amp;"'!B:R"),15,FALSE),"")</f>
        <v/>
      </c>
      <c r="EI197" s="96">
        <f>IFERROR(VLOOKUP($B197,INDIRECT("'GRD-"&amp;EI$11&amp;"'!B:R"),15,FALSE),"")</f>
        <v/>
      </c>
      <c r="EJ197" s="96">
        <f>IFERROR(VLOOKUP($B197,INDIRECT("'GRD-"&amp;EJ$11&amp;"'!B:R"),15,FALSE),"")</f>
        <v/>
      </c>
      <c r="EK197" s="96">
        <f>IFERROR(VLOOKUP($B197,INDIRECT("'GRD-"&amp;EK$11&amp;"'!B:R"),15,FALSE),"")</f>
        <v/>
      </c>
      <c r="EL197" s="96">
        <f>IFERROR(VLOOKUP($B197,INDIRECT("'GRD-"&amp;EL$11&amp;"'!B:R"),15,FALSE),"")</f>
        <v/>
      </c>
      <c r="EM197" s="96">
        <f>IFERROR(VLOOKUP($B197,INDIRECT("'GRD-"&amp;EM$11&amp;"'!B:R"),15,FALSE),"")</f>
        <v/>
      </c>
      <c r="EN197" s="96">
        <f>IFERROR(VLOOKUP($B197,INDIRECT("'GRD-"&amp;EN$11&amp;"'!B:R"),15,FALSE),"")</f>
        <v/>
      </c>
      <c r="EO197" s="96">
        <f>IFERROR(VLOOKUP($B197,INDIRECT("'GRD-"&amp;EO$11&amp;"'!B:R"),15,FALSE),"")</f>
        <v/>
      </c>
      <c r="EP197" s="96">
        <f>IFERROR(VLOOKUP($B197,INDIRECT("'GRD-"&amp;EP$11&amp;"'!B:R"),15,FALSE),"")</f>
        <v/>
      </c>
      <c r="EQ197" s="96">
        <f>IFERROR(VLOOKUP($B197,INDIRECT("'GRD-"&amp;EQ$11&amp;"'!B:R"),15,FALSE),"")</f>
        <v/>
      </c>
      <c r="ER197" s="96">
        <f>IFERROR(VLOOKUP($B197,INDIRECT("'GRD-"&amp;ER$11&amp;"'!B:R"),15,FALSE),"")</f>
        <v/>
      </c>
      <c r="ES197" s="96">
        <f>IFERROR(VLOOKUP($B197,INDIRECT("'GRD-"&amp;ES$11&amp;"'!B:R"),15,FALSE),"")</f>
        <v/>
      </c>
      <c r="ET197" s="96">
        <f>IFERROR(VLOOKUP($B197,INDIRECT("'GRD-"&amp;ET$11&amp;"'!B:R"),15,FALSE),"")</f>
        <v/>
      </c>
      <c r="EU197" s="96">
        <f>IFERROR(VLOOKUP($B197,INDIRECT("'GRD-"&amp;EU$11&amp;"'!B:R"),15,FALSE),"")</f>
        <v/>
      </c>
      <c r="EV197" s="96">
        <f>IFERROR(VLOOKUP($B197,INDIRECT("'GRD-"&amp;EV$11&amp;"'!B:R"),15,FALSE),"")</f>
        <v/>
      </c>
      <c r="EW197" s="96">
        <f>IFERROR(VLOOKUP($B197,INDIRECT("'GRD-"&amp;EW$11&amp;"'!B:R"),15,FALSE),"")</f>
        <v/>
      </c>
      <c r="EX197" s="96">
        <f>IFERROR(VLOOKUP($B197,INDIRECT("'GRD-"&amp;EX$11&amp;"'!B:R"),15,FALSE),"")</f>
        <v/>
      </c>
      <c r="EY197" s="96">
        <f>IFERROR(VLOOKUP($B197,INDIRECT("'GRD-"&amp;EY$11&amp;"'!B:R"),15,FALSE),"")</f>
        <v/>
      </c>
      <c r="EZ197" s="96">
        <f>IFERROR(VLOOKUP($B197,INDIRECT("'GRD-"&amp;EZ$11&amp;"'!B:R"),15,FALSE),"")</f>
        <v/>
      </c>
      <c r="FA197" s="96">
        <f>IFERROR(VLOOKUP($B197,INDIRECT("'GRD-"&amp;FA$11&amp;"'!B:R"),15,FALSE),"")</f>
        <v/>
      </c>
      <c r="FB197" s="96">
        <f>IFERROR(VLOOKUP($B197,INDIRECT("'GRD-"&amp;FB$11&amp;"'!B:R"),15,FALSE),"")</f>
        <v/>
      </c>
      <c r="FC197" s="96">
        <f>IFERROR(VLOOKUP($B197,INDIRECT("'GRD-"&amp;FC$11&amp;"'!B:R"),15,FALSE),"")</f>
        <v/>
      </c>
      <c r="FD197" s="96">
        <f>IFERROR(VLOOKUP($B197,INDIRECT("'GRD-"&amp;FD$11&amp;"'!B:R"),15,FALSE),"")</f>
        <v/>
      </c>
      <c r="FE197" s="96">
        <f>IFERROR(VLOOKUP($B197,INDIRECT("'GRD-"&amp;FE$11&amp;"'!B:R"),15,FALSE),"")</f>
        <v/>
      </c>
      <c r="FF197" s="96">
        <f>IFERROR(VLOOKUP($B197,INDIRECT("'GRD-"&amp;FF$11&amp;"'!B:R"),15,FALSE),"")</f>
        <v/>
      </c>
      <c r="FG197" s="96">
        <f>IFERROR(VLOOKUP($B197,INDIRECT("'GRD-"&amp;FG$11&amp;"'!B:R"),15,FALSE),"")</f>
        <v/>
      </c>
      <c r="FH197" s="96">
        <f>IFERROR(VLOOKUP($B197,INDIRECT("'GRD-"&amp;FH$11&amp;"'!B:R"),15,FALSE),"")</f>
        <v/>
      </c>
      <c r="FI197" s="96">
        <f>IFERROR(VLOOKUP($B197,INDIRECT("'GRD-"&amp;FI$11&amp;"'!B:R"),15,FALSE),"")</f>
        <v/>
      </c>
      <c r="FJ197" s="96">
        <f>IFERROR(VLOOKUP($B197,INDIRECT("'GRD-"&amp;FJ$11&amp;"'!B:R"),15,FALSE),"")</f>
        <v/>
      </c>
      <c r="FK197" s="96">
        <f>IFERROR(VLOOKUP($B197,INDIRECT("'GRD-"&amp;FK$11&amp;"'!B:R"),15,FALSE),"")</f>
        <v/>
      </c>
      <c r="FL197" s="96">
        <f>IFERROR(VLOOKUP($B197,INDIRECT("'GRD-"&amp;FL$11&amp;"'!B:R"),15,FALSE),"")</f>
        <v/>
      </c>
      <c r="FM197" s="96">
        <f>IFERROR(VLOOKUP($B197,INDIRECT("'GRD-"&amp;FM$11&amp;"'!B:R"),15,FALSE),"")</f>
        <v/>
      </c>
      <c r="FN197" s="96">
        <f>IFERROR(VLOOKUP($B197,INDIRECT("'GRD-"&amp;FN$11&amp;"'!B:R"),15,FALSE),"")</f>
        <v/>
      </c>
      <c r="FO197" s="96">
        <f>IFERROR(VLOOKUP($B197,INDIRECT("'GRD-"&amp;FO$11&amp;"'!B:R"),15,FALSE),"")</f>
        <v/>
      </c>
      <c r="FP197" s="96">
        <f>IFERROR(VLOOKUP($B197,INDIRECT("'GRD-"&amp;FP$11&amp;"'!B:R"),15,FALSE),"")</f>
        <v/>
      </c>
      <c r="FQ197" s="96">
        <f>IFERROR(VLOOKUP($B197,INDIRECT("'GRD-"&amp;FQ$11&amp;"'!B:R"),15,FALSE),"")</f>
        <v/>
      </c>
      <c r="FR197" s="96">
        <f>IFERROR(VLOOKUP($B197,INDIRECT("'GRD-"&amp;FR$11&amp;"'!B:R"),15,FALSE),"")</f>
        <v/>
      </c>
      <c r="FS197" s="96">
        <f>IFERROR(VLOOKUP($B197,INDIRECT("'GRD-"&amp;FS$11&amp;"'!B:R"),15,FALSE),"")</f>
        <v/>
      </c>
      <c r="FT197" s="96">
        <f>IFERROR(VLOOKUP($B197,INDIRECT("'GRD-"&amp;FT$11&amp;"'!B:R"),15,FALSE),"")</f>
        <v/>
      </c>
      <c r="FU197" s="96">
        <f>IFERROR(VLOOKUP($B197,INDIRECT("'GRD-"&amp;FU$11&amp;"'!B:R"),15,FALSE),"")</f>
        <v/>
      </c>
      <c r="FV197" s="96">
        <f>IFERROR(VLOOKUP($B197,INDIRECT("'GRD-"&amp;FV$11&amp;"'!B:R"),15,FALSE),"")</f>
        <v/>
      </c>
    </row>
    <row r="198">
      <c r="B198" s="85" t="n"/>
      <c r="C198" s="93" t="n"/>
      <c r="D198" s="73">
        <f>IF(K198="","",MAX($CA198:$FV198))</f>
        <v/>
      </c>
      <c r="E198" s="74">
        <f t="array" ref="E198">IF($K198="","",OFFSET($A$1,ROW($B198)-1,11+$D198*4,))</f>
        <v/>
      </c>
      <c r="F198" s="74">
        <f t="array" ref="F198">IF($K198="","",OFFSET($A$1,ROW($B198)-1,12+$D198*4,))</f>
        <v/>
      </c>
      <c r="G198" s="118">
        <f t="array" ref="G198">IF($K198="","",OFFSET($A$1,ROW($B198)-1,13+$D198*4,))</f>
        <v/>
      </c>
      <c r="H198" s="81" t="n"/>
      <c r="I198" s="82" t="n"/>
      <c r="J198" s="75">
        <f>IF(I198="A4",H198/8,IF(I198="A3",H198/4,IF(I198="A2",H198/2,IF(I198="A1",H198/1,IF(I198="A0",H198*2,"")))))</f>
        <v/>
      </c>
      <c r="K198" s="68">
        <f t="array" ref="K198">IFERROR(OFFSET($BZ$11,ROW($B198)-11,MATCH(K$10,$CA198:$FV198,0),),"")</f>
        <v/>
      </c>
      <c r="L198" s="85">
        <f>IF(K198="","",IF(VLOOKUP($B198,INDIRECT("'GRD-"&amp;M198&amp;"'!$B:$R"),16,FALSE)="","",VLOOKUP($B198,INDIRECT("'GRD-"&amp;M198&amp;"'!$B:$R"),16,FALSE)))</f>
        <v/>
      </c>
      <c r="M198" s="130">
        <f t="array" ref="M198">IF(K198="","",IFERROR(OFFSET($BZ$11,0,MATCH($K198,$CA198:$FV198,0),),""))</f>
        <v/>
      </c>
      <c r="N198" s="119">
        <f t="array" ref="N198">IF(K198="","",INDIRECT("'GRD-"&amp;M198&amp;"'!$L$7"))</f>
        <v/>
      </c>
      <c r="O198" s="76">
        <f t="array" ref="O198">IFERROR(OFFSET($BZ$11,ROW($B198)-11,MATCH(O$10,$CA198:$FV198,0),),"")</f>
        <v/>
      </c>
      <c r="P198" s="76">
        <f>IF(O198="","",IF(VLOOKUP($B198,INDIRECT("'GRD-"&amp;Q198&amp;"'!$B:$R"),16,FALSE)="","",VLOOKUP($B198,INDIRECT("'GRD-"&amp;Q198&amp;"'!$B:$R"),16,FALSE)))</f>
        <v/>
      </c>
      <c r="Q198" s="132">
        <f t="array" ref="Q198">IF(O198="","",IFERROR(OFFSET($BZ$11,0,MATCH($O198,$CA198:$FV198,0),),""))</f>
        <v/>
      </c>
      <c r="R198" s="121">
        <f t="array" ref="R198">IF(O198="","",INDIRECT("'GRD-"&amp;Q198&amp;"'!$L$7"))</f>
        <v/>
      </c>
      <c r="S198" s="83">
        <f t="array" ref="S198">IFERROR(OFFSET($BZ$11,ROW($B198)-11,MATCH(S$10,$CA198:$FV198,0),),"")</f>
        <v/>
      </c>
      <c r="T198" s="83">
        <f>IF(S198="","",IF(VLOOKUP($B198,INDIRECT("'GRD-"&amp;U198&amp;"'!$B:$R"),16,FALSE)="","",VLOOKUP($B198,INDIRECT("'GRD-"&amp;U198&amp;"'!$B:$R"),16,FALSE)))</f>
        <v/>
      </c>
      <c r="U198" s="128">
        <f t="array" ref="U198">IF(S198="","",IFERROR(OFFSET($BZ$11,0,MATCH($S198,$CA198:$FV198,0),),""))</f>
        <v/>
      </c>
      <c r="V198" s="133">
        <f t="array" ref="V198">IF(S198="","",INDIRECT("'GRD-"&amp;U198&amp;"'!$L$7"))</f>
        <v/>
      </c>
      <c r="W198" s="84">
        <f t="array" ref="W198">IFERROR(OFFSET($BZ$11,ROW($B198)-11,MATCH(W$10,$CA198:$FV198,0),),"")</f>
        <v/>
      </c>
      <c r="X198" s="84">
        <f>IF(W198="","",IF(VLOOKUP($B198,INDIRECT("'GRD-"&amp;Y198&amp;"'!$B:$R"),16,FALSE)="","",VLOOKUP($B198,INDIRECT("'GRD-"&amp;Y198&amp;"'!$B:$R"),16,FALSE)))</f>
        <v/>
      </c>
      <c r="Y198" s="129">
        <f t="array" ref="Y198">IF(W198="","",IFERROR(OFFSET($BZ$11,0,MATCH($W198,$CA198:$FV198,0),),""))</f>
        <v/>
      </c>
      <c r="Z198" s="134">
        <f t="array" ref="Z198">IF(W198="","",INDIRECT("'GRD-"&amp;Y198&amp;"'!$L$7"))</f>
        <v/>
      </c>
      <c r="AA198" s="85">
        <f t="array" ref="AA198">IFERROR(OFFSET($BZ$11,ROW($B198)-11,MATCH(AA$10,$CA198:$FV198,0),),"")</f>
        <v/>
      </c>
      <c r="AB198" s="85">
        <f>IF(AA198="","",IF(VLOOKUP($B198,INDIRECT("'GRD-"&amp;AC198&amp;"'!$B:$R"),16,FALSE)="","",VLOOKUP($B198,INDIRECT("'GRD-"&amp;AC198&amp;"'!$B:$R"),16,FALSE)))</f>
        <v/>
      </c>
      <c r="AC198" s="130">
        <f t="array" ref="AC198">IF(AA198="","",IFERROR(OFFSET($BZ$11,0,MATCH($AA198,$CA198:$FV198,0),),""))</f>
        <v/>
      </c>
      <c r="AD198" s="131">
        <f t="array" ref="AD198">IF(AA198="","",INDIRECT("'GRD-"&amp;AC198&amp;"'!$L$7"))</f>
        <v/>
      </c>
      <c r="AE198" s="76">
        <f t="array" ref="AE198">IFERROR(OFFSET($BZ$11,ROW($B198)-11,MATCH(AE$10,$CA198:$FV198,0),),"")</f>
        <v/>
      </c>
      <c r="AF198" s="76">
        <f>IF(AE198="","",IF(VLOOKUP($B198,INDIRECT("'GRD-"&amp;AG198&amp;"'!$B:$R"),16,FALSE)="","",VLOOKUP($B198,INDIRECT("'GRD-"&amp;AG198&amp;"'!$B:$R"),16,FALSE)))</f>
        <v/>
      </c>
      <c r="AG198" s="132">
        <f t="array" ref="AG198">IF(AE198="","",IFERROR(OFFSET($BZ$11,0,MATCH($AE198,$CA198:$FV198,0),),""))</f>
        <v/>
      </c>
      <c r="AH198" s="121">
        <f t="array" ref="AH198">IF(AE198="","",INDIRECT("'GRD-"&amp;AG198&amp;"'!$L$7"))</f>
        <v/>
      </c>
      <c r="AI198" s="83">
        <f t="array" ref="AI198">IFERROR(OFFSET($BZ$11,ROW($B198)-11,MATCH(AI$10,$CA198:$FV198,0),),"")</f>
        <v/>
      </c>
      <c r="AJ198" s="83">
        <f>IF(AI198="","",IF(VLOOKUP($B198,INDIRECT("'GRD-"&amp;AK198&amp;"'!$B:$R"),16,FALSE)="","",VLOOKUP($B198,INDIRECT("'GRD-"&amp;AK198&amp;"'!$B:$R"),16,FALSE)))</f>
        <v/>
      </c>
      <c r="AK198" s="128">
        <f t="array" ref="AK198">IF(AI198="","",IFERROR(OFFSET($BZ$11,0,MATCH($AI198,$CA198:$FV198,0),),""))</f>
        <v/>
      </c>
      <c r="AL198" s="133">
        <f t="array" ref="AL198">IF(AI198="","",INDIRECT("'GRD-"&amp;AK198&amp;"'!$L$7"))</f>
        <v/>
      </c>
      <c r="AM198" s="84">
        <f t="array" ref="AM198">IFERROR(OFFSET($BZ$11,ROW($B198)-11,MATCH(AM$10,$CA198:$FV198,0),),"")</f>
        <v/>
      </c>
      <c r="AN198" s="84">
        <f>IF(AM198="","",IF(VLOOKUP($B198,INDIRECT("'GRD-"&amp;AO198&amp;"'!$B:$R"),16,FALSE)="","",VLOOKUP($B198,INDIRECT("'GRD-"&amp;AO198&amp;"'!$B:$R"),16,FALSE)))</f>
        <v/>
      </c>
      <c r="AO198" s="129">
        <f t="array" ref="AO198">IF(AM198="","",IFERROR(OFFSET($BZ$11,0,MATCH($AM198,$CA198:$FV198,0),),""))</f>
        <v/>
      </c>
      <c r="AP198" s="134">
        <f t="array" ref="AP198">IF(AM198="","",INDIRECT("'GRD-"&amp;AO198&amp;"'!$L$7"))</f>
        <v/>
      </c>
      <c r="AQ198" s="85">
        <f t="array" ref="AQ198">IFERROR(OFFSET($BZ$11,ROW($B198)-11,MATCH(AQ$10,$CA198:$FV198,0),),"")</f>
        <v/>
      </c>
      <c r="AR198" s="85">
        <f>IF(AQ198="","",IF(VLOOKUP($B198,INDIRECT("'GRD-"&amp;AS198&amp;"'!$B:$R"),16,FALSE)="","",VLOOKUP($B198,INDIRECT("'GRD-"&amp;AS198&amp;"'!$B:$R"),16,FALSE)))</f>
        <v/>
      </c>
      <c r="AS198" s="130">
        <f t="array" ref="AS198">IF(AQ198="","",IFERROR(OFFSET($BZ$11,0,MATCH($AQ198,$CA198:$FV198,0),),""))</f>
        <v/>
      </c>
      <c r="AT198" s="131">
        <f t="array" ref="AT198">IF(AQ198="","",INDIRECT("'GRD-"&amp;AS198&amp;"'!$L$7"))</f>
        <v/>
      </c>
      <c r="AU198" s="76">
        <f t="array" ref="AU198">IFERROR(OFFSET($BZ$11,ROW($B198)-11,MATCH(AU$10,$CA198:$FV198,0),),"")</f>
        <v/>
      </c>
      <c r="AV198" s="76">
        <f>IF(AU198="","",IF(VLOOKUP($B198,INDIRECT("'GRD-"&amp;AW198&amp;"'!$B:$R"),16,FALSE)="","",VLOOKUP($B198,INDIRECT("'GRD-"&amp;AW198&amp;"'!$B:$R"),16,FALSE)))</f>
        <v/>
      </c>
      <c r="AW198" s="132">
        <f t="array" ref="AW198">IF(AU198="","",IFERROR(OFFSET($BZ$11,0,MATCH($AU198,$CA198:$FV198,0),),""))</f>
        <v/>
      </c>
      <c r="AX198" s="121">
        <f t="array" ref="AX198">IF(AU198="","",INDIRECT("'GRD-"&amp;AW198&amp;"'!$L$7"))</f>
        <v/>
      </c>
      <c r="AY198" s="83">
        <f t="array" ref="AY198">IFERROR(OFFSET($BZ$11,ROW($B198)-11,MATCH(AY$10,$CA198:$FV198,0),),"")</f>
        <v/>
      </c>
      <c r="AZ198" s="83">
        <f>IF(AY198="","",IF(VLOOKUP($B198,INDIRECT("'GRD-"&amp;BA198&amp;"'!$B:$R"),16,FALSE)="","",VLOOKUP($B198,INDIRECT("'GRD-"&amp;BA198&amp;"'!$B:$R"),16,FALSE)))</f>
        <v/>
      </c>
      <c r="BA198" s="128">
        <f t="array" ref="BA198">IF(AY198="","",IFERROR(OFFSET($BZ$11,0,MATCH($AY198,$CA198:$FV198,0),),""))</f>
        <v/>
      </c>
      <c r="BB198" s="133">
        <f t="array" ref="BB198">IF(AY198="","",INDIRECT("'GRD-"&amp;BA198&amp;"'!$L$7"))</f>
        <v/>
      </c>
      <c r="BC198" s="84">
        <f t="array" ref="BC198">IFERROR(OFFSET($BZ$11,ROW($B198)-11,MATCH(BC$10,$CA198:$FV198,0),),"")</f>
        <v/>
      </c>
      <c r="BD198" s="84">
        <f>IF(BC198="","",IF(VLOOKUP($B198,INDIRECT("'GRD-"&amp;BE198&amp;"'!$B:$R"),16,FALSE)="","",VLOOKUP($B198,INDIRECT("'GRD-"&amp;BE198&amp;"'!$B:$R"),16,FALSE)))</f>
        <v/>
      </c>
      <c r="BE198" s="129">
        <f t="array" ref="BE198">IF(BC198="","",IFERROR(OFFSET($BZ$11,0,MATCH($BC198,$CA198:$FV198,0),),""))</f>
        <v/>
      </c>
      <c r="BF198" s="134">
        <f t="array" ref="BF198">IF(BC198="","",INDIRECT("'GRD-"&amp;BE198&amp;"'!$L$7"))</f>
        <v/>
      </c>
      <c r="CA198" s="96">
        <f>IFERROR(VLOOKUP($B198,INDIRECT("'GRD-"&amp;CA$11&amp;"'!B:R"),15,FALSE),"")</f>
        <v/>
      </c>
      <c r="CB198" s="96">
        <f>IFERROR(VLOOKUP($B198,INDIRECT("'GRD-"&amp;CB$11&amp;"'!B:R"),15,FALSE),"")</f>
        <v/>
      </c>
      <c r="CC198" s="96">
        <f>IFERROR(VLOOKUP($B198,INDIRECT("'GRD-"&amp;CC$11&amp;"'!B:R"),15,FALSE),"")</f>
        <v/>
      </c>
      <c r="CD198" s="96">
        <f>IFERROR(VLOOKUP($B198,INDIRECT("'GRD-"&amp;CD$11&amp;"'!B:R"),15,FALSE),"")</f>
        <v/>
      </c>
      <c r="CE198" s="96">
        <f>IFERROR(VLOOKUP($B198,INDIRECT("'GRD-"&amp;CE$11&amp;"'!B:R"),15,FALSE),"")</f>
        <v/>
      </c>
      <c r="CF198" s="96">
        <f>IFERROR(VLOOKUP($B198,INDIRECT("'GRD-"&amp;CF$11&amp;"'!B:R"),15,FALSE),"")</f>
        <v/>
      </c>
      <c r="CG198" s="96">
        <f>IFERROR(VLOOKUP($B198,INDIRECT("'GRD-"&amp;CG$11&amp;"'!B:R"),15,FALSE),"")</f>
        <v/>
      </c>
      <c r="CH198" s="96">
        <f>IFERROR(VLOOKUP($B198,INDIRECT("'GRD-"&amp;CH$11&amp;"'!B:R"),15,FALSE),"")</f>
        <v/>
      </c>
      <c r="CI198" s="96">
        <f>IFERROR(VLOOKUP($B198,INDIRECT("'GRD-"&amp;CI$11&amp;"'!B:R"),15,FALSE),"")</f>
        <v/>
      </c>
      <c r="CJ198" s="96">
        <f>IFERROR(VLOOKUP($B198,INDIRECT("'GRD-"&amp;CJ$11&amp;"'!B:R"),15,FALSE),"")</f>
        <v/>
      </c>
      <c r="CK198" s="96">
        <f>IFERROR(VLOOKUP($B198,INDIRECT("'GRD-"&amp;CK$11&amp;"'!B:R"),15,FALSE),"")</f>
        <v/>
      </c>
      <c r="CL198" s="96">
        <f>IFERROR(VLOOKUP($B198,INDIRECT("'GRD-"&amp;CL$11&amp;"'!B:R"),15,FALSE),"")</f>
        <v/>
      </c>
      <c r="CM198" s="96">
        <f>IFERROR(VLOOKUP($B198,INDIRECT("'GRD-"&amp;CM$11&amp;"'!B:R"),15,FALSE),"")</f>
        <v/>
      </c>
      <c r="CN198" s="96">
        <f>IFERROR(VLOOKUP($B198,INDIRECT("'GRD-"&amp;CN$11&amp;"'!B:R"),15,FALSE),"")</f>
        <v/>
      </c>
      <c r="CO198" s="96">
        <f>IFERROR(VLOOKUP($B198,INDIRECT("'GRD-"&amp;CO$11&amp;"'!B:R"),15,FALSE),"")</f>
        <v/>
      </c>
      <c r="CP198" s="96">
        <f>IFERROR(VLOOKUP($B198,INDIRECT("'GRD-"&amp;CP$11&amp;"'!B:R"),15,FALSE),"")</f>
        <v/>
      </c>
      <c r="CQ198" s="96">
        <f>IFERROR(VLOOKUP($B198,INDIRECT("'GRD-"&amp;CQ$11&amp;"'!B:R"),15,FALSE),"")</f>
        <v/>
      </c>
      <c r="CR198" s="96">
        <f>IFERROR(VLOOKUP($B198,INDIRECT("'GRD-"&amp;CR$11&amp;"'!B:R"),15,FALSE),"")</f>
        <v/>
      </c>
      <c r="CS198" s="96">
        <f>IFERROR(VLOOKUP($B198,INDIRECT("'GRD-"&amp;CS$11&amp;"'!B:R"),15,FALSE),"")</f>
        <v/>
      </c>
      <c r="CT198" s="96">
        <f>IFERROR(VLOOKUP($B198,INDIRECT("'GRD-"&amp;CT$11&amp;"'!B:R"),15,FALSE),"")</f>
        <v/>
      </c>
      <c r="CU198" s="96">
        <f>IFERROR(VLOOKUP($B198,INDIRECT("'GRD-"&amp;CU$11&amp;"'!B:R"),15,FALSE),"")</f>
        <v/>
      </c>
      <c r="CV198" s="96">
        <f>IFERROR(VLOOKUP($B198,INDIRECT("'GRD-"&amp;CV$11&amp;"'!B:R"),15,FALSE),"")</f>
        <v/>
      </c>
      <c r="CW198" s="96">
        <f>IFERROR(VLOOKUP($B198,INDIRECT("'GRD-"&amp;CW$11&amp;"'!B:R"),15,FALSE),"")</f>
        <v/>
      </c>
      <c r="CX198" s="96">
        <f>IFERROR(VLOOKUP($B198,INDIRECT("'GRD-"&amp;CX$11&amp;"'!B:R"),15,FALSE),"")</f>
        <v/>
      </c>
      <c r="CY198" s="96">
        <f>IFERROR(VLOOKUP($B198,INDIRECT("'GRD-"&amp;CY$11&amp;"'!B:R"),15,FALSE),"")</f>
        <v/>
      </c>
      <c r="CZ198" s="96">
        <f>IFERROR(VLOOKUP($B198,INDIRECT("'GRD-"&amp;CZ$11&amp;"'!B:R"),15,FALSE),"")</f>
        <v/>
      </c>
      <c r="DA198" s="96">
        <f>IFERROR(VLOOKUP($B198,INDIRECT("'GRD-"&amp;DA$11&amp;"'!B:R"),15,FALSE),"")</f>
        <v/>
      </c>
      <c r="DB198" s="96">
        <f>IFERROR(VLOOKUP($B198,INDIRECT("'GRD-"&amp;DB$11&amp;"'!B:R"),15,FALSE),"")</f>
        <v/>
      </c>
      <c r="DC198" s="96">
        <f>IFERROR(VLOOKUP($B198,INDIRECT("'GRD-"&amp;DC$11&amp;"'!B:R"),15,FALSE),"")</f>
        <v/>
      </c>
      <c r="DD198" s="96">
        <f>IFERROR(VLOOKUP($B198,INDIRECT("'GRD-"&amp;DD$11&amp;"'!B:R"),15,FALSE),"")</f>
        <v/>
      </c>
      <c r="DE198" s="96">
        <f>IFERROR(VLOOKUP($B198,INDIRECT("'GRD-"&amp;DE$11&amp;"'!B:R"),15,FALSE),"")</f>
        <v/>
      </c>
      <c r="DF198" s="96">
        <f>IFERROR(VLOOKUP($B198,INDIRECT("'GRD-"&amp;DF$11&amp;"'!B:R"),15,FALSE),"")</f>
        <v/>
      </c>
      <c r="DG198" s="96">
        <f>IFERROR(VLOOKUP($B198,INDIRECT("'GRD-"&amp;DG$11&amp;"'!B:R"),15,FALSE),"")</f>
        <v/>
      </c>
      <c r="DH198" s="96">
        <f>IFERROR(VLOOKUP($B198,INDIRECT("'GRD-"&amp;DH$11&amp;"'!B:R"),15,FALSE),"")</f>
        <v/>
      </c>
      <c r="DI198" s="96">
        <f>IFERROR(VLOOKUP($B198,INDIRECT("'GRD-"&amp;DI$11&amp;"'!B:R"),15,FALSE),"")</f>
        <v/>
      </c>
      <c r="DJ198" s="96">
        <f>IFERROR(VLOOKUP($B198,INDIRECT("'GRD-"&amp;DJ$11&amp;"'!B:R"),15,FALSE),"")</f>
        <v/>
      </c>
      <c r="DK198" s="96">
        <f>IFERROR(VLOOKUP($B198,INDIRECT("'GRD-"&amp;DK$11&amp;"'!B:R"),15,FALSE),"")</f>
        <v/>
      </c>
      <c r="DL198" s="96">
        <f>IFERROR(VLOOKUP($B198,INDIRECT("'GRD-"&amp;DL$11&amp;"'!B:R"),15,FALSE),"")</f>
        <v/>
      </c>
      <c r="DM198" s="96">
        <f>IFERROR(VLOOKUP($B198,INDIRECT("'GRD-"&amp;DM$11&amp;"'!B:R"),15,FALSE),"")</f>
        <v/>
      </c>
      <c r="DN198" s="96">
        <f>IFERROR(VLOOKUP($B198,INDIRECT("'GRD-"&amp;DN$11&amp;"'!B:R"),15,FALSE),"")</f>
        <v/>
      </c>
      <c r="DO198" s="96">
        <f>IFERROR(VLOOKUP($B198,INDIRECT("'GRD-"&amp;DO$11&amp;"'!B:R"),15,FALSE),"")</f>
        <v/>
      </c>
      <c r="DP198" s="96">
        <f>IFERROR(VLOOKUP($B198,INDIRECT("'GRD-"&amp;DP$11&amp;"'!B:R"),15,FALSE),"")</f>
        <v/>
      </c>
      <c r="DQ198" s="96">
        <f>IFERROR(VLOOKUP($B198,INDIRECT("'GRD-"&amp;DQ$11&amp;"'!B:R"),15,FALSE),"")</f>
        <v/>
      </c>
      <c r="DR198" s="96">
        <f>IFERROR(VLOOKUP($B198,INDIRECT("'GRD-"&amp;DR$11&amp;"'!B:R"),15,FALSE),"")</f>
        <v/>
      </c>
      <c r="DS198" s="96">
        <f>IFERROR(VLOOKUP($B198,INDIRECT("'GRD-"&amp;DS$11&amp;"'!B:R"),15,FALSE),"")</f>
        <v/>
      </c>
      <c r="DT198" s="96">
        <f>IFERROR(VLOOKUP($B198,INDIRECT("'GRD-"&amp;DT$11&amp;"'!B:R"),15,FALSE),"")</f>
        <v/>
      </c>
      <c r="DU198" s="96">
        <f>IFERROR(VLOOKUP($B198,INDIRECT("'GRD-"&amp;DU$11&amp;"'!B:R"),15,FALSE),"")</f>
        <v/>
      </c>
      <c r="DV198" s="96">
        <f>IFERROR(VLOOKUP($B198,INDIRECT("'GRD-"&amp;DV$11&amp;"'!B:R"),15,FALSE),"")</f>
        <v/>
      </c>
      <c r="DW198" s="96">
        <f>IFERROR(VLOOKUP($B198,INDIRECT("'GRD-"&amp;DW$11&amp;"'!B:R"),15,FALSE),"")</f>
        <v/>
      </c>
      <c r="DX198" s="96">
        <f>IFERROR(VLOOKUP($B198,INDIRECT("'GRD-"&amp;DX$11&amp;"'!B:R"),15,FALSE),"")</f>
        <v/>
      </c>
      <c r="DY198" s="96">
        <f>IFERROR(VLOOKUP($B198,INDIRECT("'GRD-"&amp;DY$11&amp;"'!B:R"),15,FALSE),"")</f>
        <v/>
      </c>
      <c r="DZ198" s="96">
        <f>IFERROR(VLOOKUP($B198,INDIRECT("'GRD-"&amp;DZ$11&amp;"'!B:R"),15,FALSE),"")</f>
        <v/>
      </c>
      <c r="EA198" s="96">
        <f>IFERROR(VLOOKUP($B198,INDIRECT("'GRD-"&amp;EA$11&amp;"'!B:R"),15,FALSE),"")</f>
        <v/>
      </c>
      <c r="EB198" s="96">
        <f>IFERROR(VLOOKUP($B198,INDIRECT("'GRD-"&amp;EB$11&amp;"'!B:R"),15,FALSE),"")</f>
        <v/>
      </c>
      <c r="EC198" s="96">
        <f>IFERROR(VLOOKUP($B198,INDIRECT("'GRD-"&amp;EC$11&amp;"'!B:R"),15,FALSE),"")</f>
        <v/>
      </c>
      <c r="ED198" s="96">
        <f>IFERROR(VLOOKUP($B198,INDIRECT("'GRD-"&amp;ED$11&amp;"'!B:R"),15,FALSE),"")</f>
        <v/>
      </c>
      <c r="EE198" s="96">
        <f>IFERROR(VLOOKUP($B198,INDIRECT("'GRD-"&amp;EE$11&amp;"'!B:R"),15,FALSE),"")</f>
        <v/>
      </c>
      <c r="EF198" s="96">
        <f>IFERROR(VLOOKUP($B198,INDIRECT("'GRD-"&amp;EF$11&amp;"'!B:R"),15,FALSE),"")</f>
        <v/>
      </c>
      <c r="EG198" s="96">
        <f>IFERROR(VLOOKUP($B198,INDIRECT("'GRD-"&amp;EG$11&amp;"'!B:R"),15,FALSE),"")</f>
        <v/>
      </c>
      <c r="EH198" s="96">
        <f>IFERROR(VLOOKUP($B198,INDIRECT("'GRD-"&amp;EH$11&amp;"'!B:R"),15,FALSE),"")</f>
        <v/>
      </c>
      <c r="EI198" s="96">
        <f>IFERROR(VLOOKUP($B198,INDIRECT("'GRD-"&amp;EI$11&amp;"'!B:R"),15,FALSE),"")</f>
        <v/>
      </c>
      <c r="EJ198" s="96">
        <f>IFERROR(VLOOKUP($B198,INDIRECT("'GRD-"&amp;EJ$11&amp;"'!B:R"),15,FALSE),"")</f>
        <v/>
      </c>
      <c r="EK198" s="96">
        <f>IFERROR(VLOOKUP($B198,INDIRECT("'GRD-"&amp;EK$11&amp;"'!B:R"),15,FALSE),"")</f>
        <v/>
      </c>
      <c r="EL198" s="96">
        <f>IFERROR(VLOOKUP($B198,INDIRECT("'GRD-"&amp;EL$11&amp;"'!B:R"),15,FALSE),"")</f>
        <v/>
      </c>
      <c r="EM198" s="96">
        <f>IFERROR(VLOOKUP($B198,INDIRECT("'GRD-"&amp;EM$11&amp;"'!B:R"),15,FALSE),"")</f>
        <v/>
      </c>
      <c r="EN198" s="96">
        <f>IFERROR(VLOOKUP($B198,INDIRECT("'GRD-"&amp;EN$11&amp;"'!B:R"),15,FALSE),"")</f>
        <v/>
      </c>
      <c r="EO198" s="96">
        <f>IFERROR(VLOOKUP($B198,INDIRECT("'GRD-"&amp;EO$11&amp;"'!B:R"),15,FALSE),"")</f>
        <v/>
      </c>
      <c r="EP198" s="96">
        <f>IFERROR(VLOOKUP($B198,INDIRECT("'GRD-"&amp;EP$11&amp;"'!B:R"),15,FALSE),"")</f>
        <v/>
      </c>
      <c r="EQ198" s="96">
        <f>IFERROR(VLOOKUP($B198,INDIRECT("'GRD-"&amp;EQ$11&amp;"'!B:R"),15,FALSE),"")</f>
        <v/>
      </c>
      <c r="ER198" s="96">
        <f>IFERROR(VLOOKUP($B198,INDIRECT("'GRD-"&amp;ER$11&amp;"'!B:R"),15,FALSE),"")</f>
        <v/>
      </c>
      <c r="ES198" s="96">
        <f>IFERROR(VLOOKUP($B198,INDIRECT("'GRD-"&amp;ES$11&amp;"'!B:R"),15,FALSE),"")</f>
        <v/>
      </c>
      <c r="ET198" s="96">
        <f>IFERROR(VLOOKUP($B198,INDIRECT("'GRD-"&amp;ET$11&amp;"'!B:R"),15,FALSE),"")</f>
        <v/>
      </c>
      <c r="EU198" s="96">
        <f>IFERROR(VLOOKUP($B198,INDIRECT("'GRD-"&amp;EU$11&amp;"'!B:R"),15,FALSE),"")</f>
        <v/>
      </c>
      <c r="EV198" s="96">
        <f>IFERROR(VLOOKUP($B198,INDIRECT("'GRD-"&amp;EV$11&amp;"'!B:R"),15,FALSE),"")</f>
        <v/>
      </c>
      <c r="EW198" s="96">
        <f>IFERROR(VLOOKUP($B198,INDIRECT("'GRD-"&amp;EW$11&amp;"'!B:R"),15,FALSE),"")</f>
        <v/>
      </c>
      <c r="EX198" s="96">
        <f>IFERROR(VLOOKUP($B198,INDIRECT("'GRD-"&amp;EX$11&amp;"'!B:R"),15,FALSE),"")</f>
        <v/>
      </c>
      <c r="EY198" s="96">
        <f>IFERROR(VLOOKUP($B198,INDIRECT("'GRD-"&amp;EY$11&amp;"'!B:R"),15,FALSE),"")</f>
        <v/>
      </c>
      <c r="EZ198" s="96">
        <f>IFERROR(VLOOKUP($B198,INDIRECT("'GRD-"&amp;EZ$11&amp;"'!B:R"),15,FALSE),"")</f>
        <v/>
      </c>
      <c r="FA198" s="96">
        <f>IFERROR(VLOOKUP($B198,INDIRECT("'GRD-"&amp;FA$11&amp;"'!B:R"),15,FALSE),"")</f>
        <v/>
      </c>
      <c r="FB198" s="96">
        <f>IFERROR(VLOOKUP($B198,INDIRECT("'GRD-"&amp;FB$11&amp;"'!B:R"),15,FALSE),"")</f>
        <v/>
      </c>
      <c r="FC198" s="96">
        <f>IFERROR(VLOOKUP($B198,INDIRECT("'GRD-"&amp;FC$11&amp;"'!B:R"),15,FALSE),"")</f>
        <v/>
      </c>
      <c r="FD198" s="96">
        <f>IFERROR(VLOOKUP($B198,INDIRECT("'GRD-"&amp;FD$11&amp;"'!B:R"),15,FALSE),"")</f>
        <v/>
      </c>
      <c r="FE198" s="96">
        <f>IFERROR(VLOOKUP($B198,INDIRECT("'GRD-"&amp;FE$11&amp;"'!B:R"),15,FALSE),"")</f>
        <v/>
      </c>
      <c r="FF198" s="96">
        <f>IFERROR(VLOOKUP($B198,INDIRECT("'GRD-"&amp;FF$11&amp;"'!B:R"),15,FALSE),"")</f>
        <v/>
      </c>
      <c r="FG198" s="96">
        <f>IFERROR(VLOOKUP($B198,INDIRECT("'GRD-"&amp;FG$11&amp;"'!B:R"),15,FALSE),"")</f>
        <v/>
      </c>
      <c r="FH198" s="96">
        <f>IFERROR(VLOOKUP($B198,INDIRECT("'GRD-"&amp;FH$11&amp;"'!B:R"),15,FALSE),"")</f>
        <v/>
      </c>
      <c r="FI198" s="96">
        <f>IFERROR(VLOOKUP($B198,INDIRECT("'GRD-"&amp;FI$11&amp;"'!B:R"),15,FALSE),"")</f>
        <v/>
      </c>
      <c r="FJ198" s="96">
        <f>IFERROR(VLOOKUP($B198,INDIRECT("'GRD-"&amp;FJ$11&amp;"'!B:R"),15,FALSE),"")</f>
        <v/>
      </c>
      <c r="FK198" s="96">
        <f>IFERROR(VLOOKUP($B198,INDIRECT("'GRD-"&amp;FK$11&amp;"'!B:R"),15,FALSE),"")</f>
        <v/>
      </c>
      <c r="FL198" s="96">
        <f>IFERROR(VLOOKUP($B198,INDIRECT("'GRD-"&amp;FL$11&amp;"'!B:R"),15,FALSE),"")</f>
        <v/>
      </c>
      <c r="FM198" s="96">
        <f>IFERROR(VLOOKUP($B198,INDIRECT("'GRD-"&amp;FM$11&amp;"'!B:R"),15,FALSE),"")</f>
        <v/>
      </c>
      <c r="FN198" s="96">
        <f>IFERROR(VLOOKUP($B198,INDIRECT("'GRD-"&amp;FN$11&amp;"'!B:R"),15,FALSE),"")</f>
        <v/>
      </c>
      <c r="FO198" s="96">
        <f>IFERROR(VLOOKUP($B198,INDIRECT("'GRD-"&amp;FO$11&amp;"'!B:R"),15,FALSE),"")</f>
        <v/>
      </c>
      <c r="FP198" s="96">
        <f>IFERROR(VLOOKUP($B198,INDIRECT("'GRD-"&amp;FP$11&amp;"'!B:R"),15,FALSE),"")</f>
        <v/>
      </c>
      <c r="FQ198" s="96">
        <f>IFERROR(VLOOKUP($B198,INDIRECT("'GRD-"&amp;FQ$11&amp;"'!B:R"),15,FALSE),"")</f>
        <v/>
      </c>
      <c r="FR198" s="96">
        <f>IFERROR(VLOOKUP($B198,INDIRECT("'GRD-"&amp;FR$11&amp;"'!B:R"),15,FALSE),"")</f>
        <v/>
      </c>
      <c r="FS198" s="96">
        <f>IFERROR(VLOOKUP($B198,INDIRECT("'GRD-"&amp;FS$11&amp;"'!B:R"),15,FALSE),"")</f>
        <v/>
      </c>
      <c r="FT198" s="96">
        <f>IFERROR(VLOOKUP($B198,INDIRECT("'GRD-"&amp;FT$11&amp;"'!B:R"),15,FALSE),"")</f>
        <v/>
      </c>
      <c r="FU198" s="96">
        <f>IFERROR(VLOOKUP($B198,INDIRECT("'GRD-"&amp;FU$11&amp;"'!B:R"),15,FALSE),"")</f>
        <v/>
      </c>
      <c r="FV198" s="96">
        <f>IFERROR(VLOOKUP($B198,INDIRECT("'GRD-"&amp;FV$11&amp;"'!B:R"),15,FALSE),"")</f>
        <v/>
      </c>
    </row>
    <row r="199">
      <c r="B199" s="85" t="n"/>
      <c r="C199" s="93" t="n"/>
      <c r="D199" s="73">
        <f>IF(K199="","",MAX($CA199:$FV199))</f>
        <v/>
      </c>
      <c r="E199" s="74">
        <f t="array" ref="E199">IF($K199="","",OFFSET($A$1,ROW($B199)-1,11+$D199*4,))</f>
        <v/>
      </c>
      <c r="F199" s="74">
        <f t="array" ref="F199">IF($K199="","",OFFSET($A$1,ROW($B199)-1,12+$D199*4,))</f>
        <v/>
      </c>
      <c r="G199" s="118">
        <f t="array" ref="G199">IF($K199="","",OFFSET($A$1,ROW($B199)-1,13+$D199*4,))</f>
        <v/>
      </c>
      <c r="H199" s="81" t="n"/>
      <c r="I199" s="82" t="n"/>
      <c r="J199" s="75">
        <f>IF(I199="A4",H199/8,IF(I199="A3",H199/4,IF(I199="A2",H199/2,IF(I199="A1",H199/1,IF(I199="A0",H199*2,"")))))</f>
        <v/>
      </c>
      <c r="K199" s="68">
        <f t="array" ref="K199">IFERROR(OFFSET($BZ$11,ROW($B199)-11,MATCH(K$10,$CA199:$FV199,0),),"")</f>
        <v/>
      </c>
      <c r="L199" s="85">
        <f>IF(K199="","",IF(VLOOKUP($B199,INDIRECT("'GRD-"&amp;M199&amp;"'!$B:$R"),16,FALSE)="","",VLOOKUP($B199,INDIRECT("'GRD-"&amp;M199&amp;"'!$B:$R"),16,FALSE)))</f>
        <v/>
      </c>
      <c r="M199" s="130">
        <f t="array" ref="M199">IF(K199="","",IFERROR(OFFSET($BZ$11,0,MATCH($K199,$CA199:$FV199,0),),""))</f>
        <v/>
      </c>
      <c r="N199" s="119">
        <f t="array" ref="N199">IF(K199="","",INDIRECT("'GRD-"&amp;M199&amp;"'!$L$7"))</f>
        <v/>
      </c>
      <c r="O199" s="76">
        <f t="array" ref="O199">IFERROR(OFFSET($BZ$11,ROW($B199)-11,MATCH(O$10,$CA199:$FV199,0),),"")</f>
        <v/>
      </c>
      <c r="P199" s="76">
        <f>IF(O199="","",IF(VLOOKUP($B199,INDIRECT("'GRD-"&amp;Q199&amp;"'!$B:$R"),16,FALSE)="","",VLOOKUP($B199,INDIRECT("'GRD-"&amp;Q199&amp;"'!$B:$R"),16,FALSE)))</f>
        <v/>
      </c>
      <c r="Q199" s="132">
        <f t="array" ref="Q199">IF(O199="","",IFERROR(OFFSET($BZ$11,0,MATCH($O199,$CA199:$FV199,0),),""))</f>
        <v/>
      </c>
      <c r="R199" s="121">
        <f t="array" ref="R199">IF(O199="","",INDIRECT("'GRD-"&amp;Q199&amp;"'!$L$7"))</f>
        <v/>
      </c>
      <c r="S199" s="83">
        <f t="array" ref="S199">IFERROR(OFFSET($BZ$11,ROW($B199)-11,MATCH(S$10,$CA199:$FV199,0),),"")</f>
        <v/>
      </c>
      <c r="T199" s="83">
        <f>IF(S199="","",IF(VLOOKUP($B199,INDIRECT("'GRD-"&amp;U199&amp;"'!$B:$R"),16,FALSE)="","",VLOOKUP($B199,INDIRECT("'GRD-"&amp;U199&amp;"'!$B:$R"),16,FALSE)))</f>
        <v/>
      </c>
      <c r="U199" s="128">
        <f t="array" ref="U199">IF(S199="","",IFERROR(OFFSET($BZ$11,0,MATCH($S199,$CA199:$FV199,0),),""))</f>
        <v/>
      </c>
      <c r="V199" s="133">
        <f t="array" ref="V199">IF(S199="","",INDIRECT("'GRD-"&amp;U199&amp;"'!$L$7"))</f>
        <v/>
      </c>
      <c r="W199" s="84">
        <f t="array" ref="W199">IFERROR(OFFSET($BZ$11,ROW($B199)-11,MATCH(W$10,$CA199:$FV199,0),),"")</f>
        <v/>
      </c>
      <c r="X199" s="84">
        <f>IF(W199="","",IF(VLOOKUP($B199,INDIRECT("'GRD-"&amp;Y199&amp;"'!$B:$R"),16,FALSE)="","",VLOOKUP($B199,INDIRECT("'GRD-"&amp;Y199&amp;"'!$B:$R"),16,FALSE)))</f>
        <v/>
      </c>
      <c r="Y199" s="129">
        <f t="array" ref="Y199">IF(W199="","",IFERROR(OFFSET($BZ$11,0,MATCH($W199,$CA199:$FV199,0),),""))</f>
        <v/>
      </c>
      <c r="Z199" s="134">
        <f t="array" ref="Z199">IF(W199="","",INDIRECT("'GRD-"&amp;Y199&amp;"'!$L$7"))</f>
        <v/>
      </c>
      <c r="AA199" s="85">
        <f t="array" ref="AA199">IFERROR(OFFSET($BZ$11,ROW($B199)-11,MATCH(AA$10,$CA199:$FV199,0),),"")</f>
        <v/>
      </c>
      <c r="AB199" s="85">
        <f>IF(AA199="","",IF(VLOOKUP($B199,INDIRECT("'GRD-"&amp;AC199&amp;"'!$B:$R"),16,FALSE)="","",VLOOKUP($B199,INDIRECT("'GRD-"&amp;AC199&amp;"'!$B:$R"),16,FALSE)))</f>
        <v/>
      </c>
      <c r="AC199" s="130">
        <f t="array" ref="AC199">IF(AA199="","",IFERROR(OFFSET($BZ$11,0,MATCH($AA199,$CA199:$FV199,0),),""))</f>
        <v/>
      </c>
      <c r="AD199" s="131">
        <f t="array" ref="AD199">IF(AA199="","",INDIRECT("'GRD-"&amp;AC199&amp;"'!$L$7"))</f>
        <v/>
      </c>
      <c r="AE199" s="76">
        <f t="array" ref="AE199">IFERROR(OFFSET($BZ$11,ROW($B199)-11,MATCH(AE$10,$CA199:$FV199,0),),"")</f>
        <v/>
      </c>
      <c r="AF199" s="76">
        <f>IF(AE199="","",IF(VLOOKUP($B199,INDIRECT("'GRD-"&amp;AG199&amp;"'!$B:$R"),16,FALSE)="","",VLOOKUP($B199,INDIRECT("'GRD-"&amp;AG199&amp;"'!$B:$R"),16,FALSE)))</f>
        <v/>
      </c>
      <c r="AG199" s="132">
        <f t="array" ref="AG199">IF(AE199="","",IFERROR(OFFSET($BZ$11,0,MATCH($AE199,$CA199:$FV199,0),),""))</f>
        <v/>
      </c>
      <c r="AH199" s="121">
        <f t="array" ref="AH199">IF(AE199="","",INDIRECT("'GRD-"&amp;AG199&amp;"'!$L$7"))</f>
        <v/>
      </c>
      <c r="AI199" s="83">
        <f t="array" ref="AI199">IFERROR(OFFSET($BZ$11,ROW($B199)-11,MATCH(AI$10,$CA199:$FV199,0),),"")</f>
        <v/>
      </c>
      <c r="AJ199" s="83">
        <f>IF(AI199="","",IF(VLOOKUP($B199,INDIRECT("'GRD-"&amp;AK199&amp;"'!$B:$R"),16,FALSE)="","",VLOOKUP($B199,INDIRECT("'GRD-"&amp;AK199&amp;"'!$B:$R"),16,FALSE)))</f>
        <v/>
      </c>
      <c r="AK199" s="128">
        <f t="array" ref="AK199">IF(AI199="","",IFERROR(OFFSET($BZ$11,0,MATCH($AI199,$CA199:$FV199,0),),""))</f>
        <v/>
      </c>
      <c r="AL199" s="133">
        <f t="array" ref="AL199">IF(AI199="","",INDIRECT("'GRD-"&amp;AK199&amp;"'!$L$7"))</f>
        <v/>
      </c>
      <c r="AM199" s="84">
        <f t="array" ref="AM199">IFERROR(OFFSET($BZ$11,ROW($B199)-11,MATCH(AM$10,$CA199:$FV199,0),),"")</f>
        <v/>
      </c>
      <c r="AN199" s="84">
        <f>IF(AM199="","",IF(VLOOKUP($B199,INDIRECT("'GRD-"&amp;AO199&amp;"'!$B:$R"),16,FALSE)="","",VLOOKUP($B199,INDIRECT("'GRD-"&amp;AO199&amp;"'!$B:$R"),16,FALSE)))</f>
        <v/>
      </c>
      <c r="AO199" s="129">
        <f t="array" ref="AO199">IF(AM199="","",IFERROR(OFFSET($BZ$11,0,MATCH($AM199,$CA199:$FV199,0),),""))</f>
        <v/>
      </c>
      <c r="AP199" s="134">
        <f t="array" ref="AP199">IF(AM199="","",INDIRECT("'GRD-"&amp;AO199&amp;"'!$L$7"))</f>
        <v/>
      </c>
      <c r="AQ199" s="85">
        <f t="array" ref="AQ199">IFERROR(OFFSET($BZ$11,ROW($B199)-11,MATCH(AQ$10,$CA199:$FV199,0),),"")</f>
        <v/>
      </c>
      <c r="AR199" s="85">
        <f>IF(AQ199="","",IF(VLOOKUP($B199,INDIRECT("'GRD-"&amp;AS199&amp;"'!$B:$R"),16,FALSE)="","",VLOOKUP($B199,INDIRECT("'GRD-"&amp;AS199&amp;"'!$B:$R"),16,FALSE)))</f>
        <v/>
      </c>
      <c r="AS199" s="130">
        <f t="array" ref="AS199">IF(AQ199="","",IFERROR(OFFSET($BZ$11,0,MATCH($AQ199,$CA199:$FV199,0),),""))</f>
        <v/>
      </c>
      <c r="AT199" s="131">
        <f t="array" ref="AT199">IF(AQ199="","",INDIRECT("'GRD-"&amp;AS199&amp;"'!$L$7"))</f>
        <v/>
      </c>
      <c r="AU199" s="76">
        <f t="array" ref="AU199">IFERROR(OFFSET($BZ$11,ROW($B199)-11,MATCH(AU$10,$CA199:$FV199,0),),"")</f>
        <v/>
      </c>
      <c r="AV199" s="76">
        <f>IF(AU199="","",IF(VLOOKUP($B199,INDIRECT("'GRD-"&amp;AW199&amp;"'!$B:$R"),16,FALSE)="","",VLOOKUP($B199,INDIRECT("'GRD-"&amp;AW199&amp;"'!$B:$R"),16,FALSE)))</f>
        <v/>
      </c>
      <c r="AW199" s="132">
        <f t="array" ref="AW199">IF(AU199="","",IFERROR(OFFSET($BZ$11,0,MATCH($AU199,$CA199:$FV199,0),),""))</f>
        <v/>
      </c>
      <c r="AX199" s="121">
        <f t="array" ref="AX199">IF(AU199="","",INDIRECT("'GRD-"&amp;AW199&amp;"'!$L$7"))</f>
        <v/>
      </c>
      <c r="AY199" s="83">
        <f t="array" ref="AY199">IFERROR(OFFSET($BZ$11,ROW($B199)-11,MATCH(AY$10,$CA199:$FV199,0),),"")</f>
        <v/>
      </c>
      <c r="AZ199" s="83">
        <f>IF(AY199="","",IF(VLOOKUP($B199,INDIRECT("'GRD-"&amp;BA199&amp;"'!$B:$R"),16,FALSE)="","",VLOOKUP($B199,INDIRECT("'GRD-"&amp;BA199&amp;"'!$B:$R"),16,FALSE)))</f>
        <v/>
      </c>
      <c r="BA199" s="128">
        <f t="array" ref="BA199">IF(AY199="","",IFERROR(OFFSET($BZ$11,0,MATCH($AY199,$CA199:$FV199,0),),""))</f>
        <v/>
      </c>
      <c r="BB199" s="133">
        <f t="array" ref="BB199">IF(AY199="","",INDIRECT("'GRD-"&amp;BA199&amp;"'!$L$7"))</f>
        <v/>
      </c>
      <c r="BC199" s="84">
        <f t="array" ref="BC199">IFERROR(OFFSET($BZ$11,ROW($B199)-11,MATCH(BC$10,$CA199:$FV199,0),),"")</f>
        <v/>
      </c>
      <c r="BD199" s="84">
        <f>IF(BC199="","",IF(VLOOKUP($B199,INDIRECT("'GRD-"&amp;BE199&amp;"'!$B:$R"),16,FALSE)="","",VLOOKUP($B199,INDIRECT("'GRD-"&amp;BE199&amp;"'!$B:$R"),16,FALSE)))</f>
        <v/>
      </c>
      <c r="BE199" s="129">
        <f t="array" ref="BE199">IF(BC199="","",IFERROR(OFFSET($BZ$11,0,MATCH($BC199,$CA199:$FV199,0),),""))</f>
        <v/>
      </c>
      <c r="BF199" s="134">
        <f t="array" ref="BF199">IF(BC199="","",INDIRECT("'GRD-"&amp;BE199&amp;"'!$L$7"))</f>
        <v/>
      </c>
      <c r="CA199" s="96">
        <f>IFERROR(VLOOKUP($B199,INDIRECT("'GRD-"&amp;CA$11&amp;"'!B:R"),15,FALSE),"")</f>
        <v/>
      </c>
      <c r="CB199" s="96">
        <f>IFERROR(VLOOKUP($B199,INDIRECT("'GRD-"&amp;CB$11&amp;"'!B:R"),15,FALSE),"")</f>
        <v/>
      </c>
      <c r="CC199" s="96">
        <f>IFERROR(VLOOKUP($B199,INDIRECT("'GRD-"&amp;CC$11&amp;"'!B:R"),15,FALSE),"")</f>
        <v/>
      </c>
      <c r="CD199" s="96">
        <f>IFERROR(VLOOKUP($B199,INDIRECT("'GRD-"&amp;CD$11&amp;"'!B:R"),15,FALSE),"")</f>
        <v/>
      </c>
      <c r="CE199" s="96">
        <f>IFERROR(VLOOKUP($B199,INDIRECT("'GRD-"&amp;CE$11&amp;"'!B:R"),15,FALSE),"")</f>
        <v/>
      </c>
      <c r="CF199" s="96">
        <f>IFERROR(VLOOKUP($B199,INDIRECT("'GRD-"&amp;CF$11&amp;"'!B:R"),15,FALSE),"")</f>
        <v/>
      </c>
      <c r="CG199" s="96">
        <f>IFERROR(VLOOKUP($B199,INDIRECT("'GRD-"&amp;CG$11&amp;"'!B:R"),15,FALSE),"")</f>
        <v/>
      </c>
      <c r="CH199" s="96">
        <f>IFERROR(VLOOKUP($B199,INDIRECT("'GRD-"&amp;CH$11&amp;"'!B:R"),15,FALSE),"")</f>
        <v/>
      </c>
      <c r="CI199" s="96">
        <f>IFERROR(VLOOKUP($B199,INDIRECT("'GRD-"&amp;CI$11&amp;"'!B:R"),15,FALSE),"")</f>
        <v/>
      </c>
      <c r="CJ199" s="96">
        <f>IFERROR(VLOOKUP($B199,INDIRECT("'GRD-"&amp;CJ$11&amp;"'!B:R"),15,FALSE),"")</f>
        <v/>
      </c>
      <c r="CK199" s="96">
        <f>IFERROR(VLOOKUP($B199,INDIRECT("'GRD-"&amp;CK$11&amp;"'!B:R"),15,FALSE),"")</f>
        <v/>
      </c>
      <c r="CL199" s="96">
        <f>IFERROR(VLOOKUP($B199,INDIRECT("'GRD-"&amp;CL$11&amp;"'!B:R"),15,FALSE),"")</f>
        <v/>
      </c>
      <c r="CM199" s="96">
        <f>IFERROR(VLOOKUP($B199,INDIRECT("'GRD-"&amp;CM$11&amp;"'!B:R"),15,FALSE),"")</f>
        <v/>
      </c>
      <c r="CN199" s="96">
        <f>IFERROR(VLOOKUP($B199,INDIRECT("'GRD-"&amp;CN$11&amp;"'!B:R"),15,FALSE),"")</f>
        <v/>
      </c>
      <c r="CO199" s="96">
        <f>IFERROR(VLOOKUP($B199,INDIRECT("'GRD-"&amp;CO$11&amp;"'!B:R"),15,FALSE),"")</f>
        <v/>
      </c>
      <c r="CP199" s="96">
        <f>IFERROR(VLOOKUP($B199,INDIRECT("'GRD-"&amp;CP$11&amp;"'!B:R"),15,FALSE),"")</f>
        <v/>
      </c>
      <c r="CQ199" s="96">
        <f>IFERROR(VLOOKUP($B199,INDIRECT("'GRD-"&amp;CQ$11&amp;"'!B:R"),15,FALSE),"")</f>
        <v/>
      </c>
      <c r="CR199" s="96">
        <f>IFERROR(VLOOKUP($B199,INDIRECT("'GRD-"&amp;CR$11&amp;"'!B:R"),15,FALSE),"")</f>
        <v/>
      </c>
      <c r="CS199" s="96">
        <f>IFERROR(VLOOKUP($B199,INDIRECT("'GRD-"&amp;CS$11&amp;"'!B:R"),15,FALSE),"")</f>
        <v/>
      </c>
      <c r="CT199" s="96">
        <f>IFERROR(VLOOKUP($B199,INDIRECT("'GRD-"&amp;CT$11&amp;"'!B:R"),15,FALSE),"")</f>
        <v/>
      </c>
      <c r="CU199" s="96">
        <f>IFERROR(VLOOKUP($B199,INDIRECT("'GRD-"&amp;CU$11&amp;"'!B:R"),15,FALSE),"")</f>
        <v/>
      </c>
      <c r="CV199" s="96">
        <f>IFERROR(VLOOKUP($B199,INDIRECT("'GRD-"&amp;CV$11&amp;"'!B:R"),15,FALSE),"")</f>
        <v/>
      </c>
      <c r="CW199" s="96">
        <f>IFERROR(VLOOKUP($B199,INDIRECT("'GRD-"&amp;CW$11&amp;"'!B:R"),15,FALSE),"")</f>
        <v/>
      </c>
      <c r="CX199" s="96">
        <f>IFERROR(VLOOKUP($B199,INDIRECT("'GRD-"&amp;CX$11&amp;"'!B:R"),15,FALSE),"")</f>
        <v/>
      </c>
      <c r="CY199" s="96">
        <f>IFERROR(VLOOKUP($B199,INDIRECT("'GRD-"&amp;CY$11&amp;"'!B:R"),15,FALSE),"")</f>
        <v/>
      </c>
      <c r="CZ199" s="96">
        <f>IFERROR(VLOOKUP($B199,INDIRECT("'GRD-"&amp;CZ$11&amp;"'!B:R"),15,FALSE),"")</f>
        <v/>
      </c>
      <c r="DA199" s="96">
        <f>IFERROR(VLOOKUP($B199,INDIRECT("'GRD-"&amp;DA$11&amp;"'!B:R"),15,FALSE),"")</f>
        <v/>
      </c>
      <c r="DB199" s="96">
        <f>IFERROR(VLOOKUP($B199,INDIRECT("'GRD-"&amp;DB$11&amp;"'!B:R"),15,FALSE),"")</f>
        <v/>
      </c>
      <c r="DC199" s="96">
        <f>IFERROR(VLOOKUP($B199,INDIRECT("'GRD-"&amp;DC$11&amp;"'!B:R"),15,FALSE),"")</f>
        <v/>
      </c>
      <c r="DD199" s="96">
        <f>IFERROR(VLOOKUP($B199,INDIRECT("'GRD-"&amp;DD$11&amp;"'!B:R"),15,FALSE),"")</f>
        <v/>
      </c>
      <c r="DE199" s="96">
        <f>IFERROR(VLOOKUP($B199,INDIRECT("'GRD-"&amp;DE$11&amp;"'!B:R"),15,FALSE),"")</f>
        <v/>
      </c>
      <c r="DF199" s="96">
        <f>IFERROR(VLOOKUP($B199,INDIRECT("'GRD-"&amp;DF$11&amp;"'!B:R"),15,FALSE),"")</f>
        <v/>
      </c>
      <c r="DG199" s="96">
        <f>IFERROR(VLOOKUP($B199,INDIRECT("'GRD-"&amp;DG$11&amp;"'!B:R"),15,FALSE),"")</f>
        <v/>
      </c>
      <c r="DH199" s="96">
        <f>IFERROR(VLOOKUP($B199,INDIRECT("'GRD-"&amp;DH$11&amp;"'!B:R"),15,FALSE),"")</f>
        <v/>
      </c>
      <c r="DI199" s="96">
        <f>IFERROR(VLOOKUP($B199,INDIRECT("'GRD-"&amp;DI$11&amp;"'!B:R"),15,FALSE),"")</f>
        <v/>
      </c>
      <c r="DJ199" s="96">
        <f>IFERROR(VLOOKUP($B199,INDIRECT("'GRD-"&amp;DJ$11&amp;"'!B:R"),15,FALSE),"")</f>
        <v/>
      </c>
      <c r="DK199" s="96">
        <f>IFERROR(VLOOKUP($B199,INDIRECT("'GRD-"&amp;DK$11&amp;"'!B:R"),15,FALSE),"")</f>
        <v/>
      </c>
      <c r="DL199" s="96">
        <f>IFERROR(VLOOKUP($B199,INDIRECT("'GRD-"&amp;DL$11&amp;"'!B:R"),15,FALSE),"")</f>
        <v/>
      </c>
      <c r="DM199" s="96">
        <f>IFERROR(VLOOKUP($B199,INDIRECT("'GRD-"&amp;DM$11&amp;"'!B:R"),15,FALSE),"")</f>
        <v/>
      </c>
      <c r="DN199" s="96">
        <f>IFERROR(VLOOKUP($B199,INDIRECT("'GRD-"&amp;DN$11&amp;"'!B:R"),15,FALSE),"")</f>
        <v/>
      </c>
      <c r="DO199" s="96">
        <f>IFERROR(VLOOKUP($B199,INDIRECT("'GRD-"&amp;DO$11&amp;"'!B:R"),15,FALSE),"")</f>
        <v/>
      </c>
      <c r="DP199" s="96">
        <f>IFERROR(VLOOKUP($B199,INDIRECT("'GRD-"&amp;DP$11&amp;"'!B:R"),15,FALSE),"")</f>
        <v/>
      </c>
      <c r="DQ199" s="96">
        <f>IFERROR(VLOOKUP($B199,INDIRECT("'GRD-"&amp;DQ$11&amp;"'!B:R"),15,FALSE),"")</f>
        <v/>
      </c>
      <c r="DR199" s="96">
        <f>IFERROR(VLOOKUP($B199,INDIRECT("'GRD-"&amp;DR$11&amp;"'!B:R"),15,FALSE),"")</f>
        <v/>
      </c>
      <c r="DS199" s="96">
        <f>IFERROR(VLOOKUP($B199,INDIRECT("'GRD-"&amp;DS$11&amp;"'!B:R"),15,FALSE),"")</f>
        <v/>
      </c>
      <c r="DT199" s="96">
        <f>IFERROR(VLOOKUP($B199,INDIRECT("'GRD-"&amp;DT$11&amp;"'!B:R"),15,FALSE),"")</f>
        <v/>
      </c>
      <c r="DU199" s="96">
        <f>IFERROR(VLOOKUP($B199,INDIRECT("'GRD-"&amp;DU$11&amp;"'!B:R"),15,FALSE),"")</f>
        <v/>
      </c>
      <c r="DV199" s="96">
        <f>IFERROR(VLOOKUP($B199,INDIRECT("'GRD-"&amp;DV$11&amp;"'!B:R"),15,FALSE),"")</f>
        <v/>
      </c>
      <c r="DW199" s="96">
        <f>IFERROR(VLOOKUP($B199,INDIRECT("'GRD-"&amp;DW$11&amp;"'!B:R"),15,FALSE),"")</f>
        <v/>
      </c>
      <c r="DX199" s="96">
        <f>IFERROR(VLOOKUP($B199,INDIRECT("'GRD-"&amp;DX$11&amp;"'!B:R"),15,FALSE),"")</f>
        <v/>
      </c>
      <c r="DY199" s="96">
        <f>IFERROR(VLOOKUP($B199,INDIRECT("'GRD-"&amp;DY$11&amp;"'!B:R"),15,FALSE),"")</f>
        <v/>
      </c>
      <c r="DZ199" s="96">
        <f>IFERROR(VLOOKUP($B199,INDIRECT("'GRD-"&amp;DZ$11&amp;"'!B:R"),15,FALSE),"")</f>
        <v/>
      </c>
      <c r="EA199" s="96">
        <f>IFERROR(VLOOKUP($B199,INDIRECT("'GRD-"&amp;EA$11&amp;"'!B:R"),15,FALSE),"")</f>
        <v/>
      </c>
      <c r="EB199" s="96">
        <f>IFERROR(VLOOKUP($B199,INDIRECT("'GRD-"&amp;EB$11&amp;"'!B:R"),15,FALSE),"")</f>
        <v/>
      </c>
      <c r="EC199" s="96">
        <f>IFERROR(VLOOKUP($B199,INDIRECT("'GRD-"&amp;EC$11&amp;"'!B:R"),15,FALSE),"")</f>
        <v/>
      </c>
      <c r="ED199" s="96">
        <f>IFERROR(VLOOKUP($B199,INDIRECT("'GRD-"&amp;ED$11&amp;"'!B:R"),15,FALSE),"")</f>
        <v/>
      </c>
      <c r="EE199" s="96">
        <f>IFERROR(VLOOKUP($B199,INDIRECT("'GRD-"&amp;EE$11&amp;"'!B:R"),15,FALSE),"")</f>
        <v/>
      </c>
      <c r="EF199" s="96">
        <f>IFERROR(VLOOKUP($B199,INDIRECT("'GRD-"&amp;EF$11&amp;"'!B:R"),15,FALSE),"")</f>
        <v/>
      </c>
      <c r="EG199" s="96">
        <f>IFERROR(VLOOKUP($B199,INDIRECT("'GRD-"&amp;EG$11&amp;"'!B:R"),15,FALSE),"")</f>
        <v/>
      </c>
      <c r="EH199" s="96">
        <f>IFERROR(VLOOKUP($B199,INDIRECT("'GRD-"&amp;EH$11&amp;"'!B:R"),15,FALSE),"")</f>
        <v/>
      </c>
      <c r="EI199" s="96">
        <f>IFERROR(VLOOKUP($B199,INDIRECT("'GRD-"&amp;EI$11&amp;"'!B:R"),15,FALSE),"")</f>
        <v/>
      </c>
      <c r="EJ199" s="96">
        <f>IFERROR(VLOOKUP($B199,INDIRECT("'GRD-"&amp;EJ$11&amp;"'!B:R"),15,FALSE),"")</f>
        <v/>
      </c>
      <c r="EK199" s="96">
        <f>IFERROR(VLOOKUP($B199,INDIRECT("'GRD-"&amp;EK$11&amp;"'!B:R"),15,FALSE),"")</f>
        <v/>
      </c>
      <c r="EL199" s="96">
        <f>IFERROR(VLOOKUP($B199,INDIRECT("'GRD-"&amp;EL$11&amp;"'!B:R"),15,FALSE),"")</f>
        <v/>
      </c>
      <c r="EM199" s="96">
        <f>IFERROR(VLOOKUP($B199,INDIRECT("'GRD-"&amp;EM$11&amp;"'!B:R"),15,FALSE),"")</f>
        <v/>
      </c>
      <c r="EN199" s="96">
        <f>IFERROR(VLOOKUP($B199,INDIRECT("'GRD-"&amp;EN$11&amp;"'!B:R"),15,FALSE),"")</f>
        <v/>
      </c>
      <c r="EO199" s="96">
        <f>IFERROR(VLOOKUP($B199,INDIRECT("'GRD-"&amp;EO$11&amp;"'!B:R"),15,FALSE),"")</f>
        <v/>
      </c>
      <c r="EP199" s="96">
        <f>IFERROR(VLOOKUP($B199,INDIRECT("'GRD-"&amp;EP$11&amp;"'!B:R"),15,FALSE),"")</f>
        <v/>
      </c>
      <c r="EQ199" s="96">
        <f>IFERROR(VLOOKUP($B199,INDIRECT("'GRD-"&amp;EQ$11&amp;"'!B:R"),15,FALSE),"")</f>
        <v/>
      </c>
      <c r="ER199" s="96">
        <f>IFERROR(VLOOKUP($B199,INDIRECT("'GRD-"&amp;ER$11&amp;"'!B:R"),15,FALSE),"")</f>
        <v/>
      </c>
      <c r="ES199" s="96">
        <f>IFERROR(VLOOKUP($B199,INDIRECT("'GRD-"&amp;ES$11&amp;"'!B:R"),15,FALSE),"")</f>
        <v/>
      </c>
      <c r="ET199" s="96">
        <f>IFERROR(VLOOKUP($B199,INDIRECT("'GRD-"&amp;ET$11&amp;"'!B:R"),15,FALSE),"")</f>
        <v/>
      </c>
      <c r="EU199" s="96">
        <f>IFERROR(VLOOKUP($B199,INDIRECT("'GRD-"&amp;EU$11&amp;"'!B:R"),15,FALSE),"")</f>
        <v/>
      </c>
      <c r="EV199" s="96">
        <f>IFERROR(VLOOKUP($B199,INDIRECT("'GRD-"&amp;EV$11&amp;"'!B:R"),15,FALSE),"")</f>
        <v/>
      </c>
      <c r="EW199" s="96">
        <f>IFERROR(VLOOKUP($B199,INDIRECT("'GRD-"&amp;EW$11&amp;"'!B:R"),15,FALSE),"")</f>
        <v/>
      </c>
      <c r="EX199" s="96">
        <f>IFERROR(VLOOKUP($B199,INDIRECT("'GRD-"&amp;EX$11&amp;"'!B:R"),15,FALSE),"")</f>
        <v/>
      </c>
      <c r="EY199" s="96">
        <f>IFERROR(VLOOKUP($B199,INDIRECT("'GRD-"&amp;EY$11&amp;"'!B:R"),15,FALSE),"")</f>
        <v/>
      </c>
      <c r="EZ199" s="96">
        <f>IFERROR(VLOOKUP($B199,INDIRECT("'GRD-"&amp;EZ$11&amp;"'!B:R"),15,FALSE),"")</f>
        <v/>
      </c>
      <c r="FA199" s="96">
        <f>IFERROR(VLOOKUP($B199,INDIRECT("'GRD-"&amp;FA$11&amp;"'!B:R"),15,FALSE),"")</f>
        <v/>
      </c>
      <c r="FB199" s="96">
        <f>IFERROR(VLOOKUP($B199,INDIRECT("'GRD-"&amp;FB$11&amp;"'!B:R"),15,FALSE),"")</f>
        <v/>
      </c>
      <c r="FC199" s="96">
        <f>IFERROR(VLOOKUP($B199,INDIRECT("'GRD-"&amp;FC$11&amp;"'!B:R"),15,FALSE),"")</f>
        <v/>
      </c>
      <c r="FD199" s="96">
        <f>IFERROR(VLOOKUP($B199,INDIRECT("'GRD-"&amp;FD$11&amp;"'!B:R"),15,FALSE),"")</f>
        <v/>
      </c>
      <c r="FE199" s="96">
        <f>IFERROR(VLOOKUP($B199,INDIRECT("'GRD-"&amp;FE$11&amp;"'!B:R"),15,FALSE),"")</f>
        <v/>
      </c>
      <c r="FF199" s="96">
        <f>IFERROR(VLOOKUP($B199,INDIRECT("'GRD-"&amp;FF$11&amp;"'!B:R"),15,FALSE),"")</f>
        <v/>
      </c>
      <c r="FG199" s="96">
        <f>IFERROR(VLOOKUP($B199,INDIRECT("'GRD-"&amp;FG$11&amp;"'!B:R"),15,FALSE),"")</f>
        <v/>
      </c>
      <c r="FH199" s="96">
        <f>IFERROR(VLOOKUP($B199,INDIRECT("'GRD-"&amp;FH$11&amp;"'!B:R"),15,FALSE),"")</f>
        <v/>
      </c>
      <c r="FI199" s="96">
        <f>IFERROR(VLOOKUP($B199,INDIRECT("'GRD-"&amp;FI$11&amp;"'!B:R"),15,FALSE),"")</f>
        <v/>
      </c>
      <c r="FJ199" s="96">
        <f>IFERROR(VLOOKUP($B199,INDIRECT("'GRD-"&amp;FJ$11&amp;"'!B:R"),15,FALSE),"")</f>
        <v/>
      </c>
      <c r="FK199" s="96">
        <f>IFERROR(VLOOKUP($B199,INDIRECT("'GRD-"&amp;FK$11&amp;"'!B:R"),15,FALSE),"")</f>
        <v/>
      </c>
      <c r="FL199" s="96">
        <f>IFERROR(VLOOKUP($B199,INDIRECT("'GRD-"&amp;FL$11&amp;"'!B:R"),15,FALSE),"")</f>
        <v/>
      </c>
      <c r="FM199" s="96">
        <f>IFERROR(VLOOKUP($B199,INDIRECT("'GRD-"&amp;FM$11&amp;"'!B:R"),15,FALSE),"")</f>
        <v/>
      </c>
      <c r="FN199" s="96">
        <f>IFERROR(VLOOKUP($B199,INDIRECT("'GRD-"&amp;FN$11&amp;"'!B:R"),15,FALSE),"")</f>
        <v/>
      </c>
      <c r="FO199" s="96">
        <f>IFERROR(VLOOKUP($B199,INDIRECT("'GRD-"&amp;FO$11&amp;"'!B:R"),15,FALSE),"")</f>
        <v/>
      </c>
      <c r="FP199" s="96">
        <f>IFERROR(VLOOKUP($B199,INDIRECT("'GRD-"&amp;FP$11&amp;"'!B:R"),15,FALSE),"")</f>
        <v/>
      </c>
      <c r="FQ199" s="96">
        <f>IFERROR(VLOOKUP($B199,INDIRECT("'GRD-"&amp;FQ$11&amp;"'!B:R"),15,FALSE),"")</f>
        <v/>
      </c>
      <c r="FR199" s="96">
        <f>IFERROR(VLOOKUP($B199,INDIRECT("'GRD-"&amp;FR$11&amp;"'!B:R"),15,FALSE),"")</f>
        <v/>
      </c>
      <c r="FS199" s="96">
        <f>IFERROR(VLOOKUP($B199,INDIRECT("'GRD-"&amp;FS$11&amp;"'!B:R"),15,FALSE),"")</f>
        <v/>
      </c>
      <c r="FT199" s="96">
        <f>IFERROR(VLOOKUP($B199,INDIRECT("'GRD-"&amp;FT$11&amp;"'!B:R"),15,FALSE),"")</f>
        <v/>
      </c>
      <c r="FU199" s="96">
        <f>IFERROR(VLOOKUP($B199,INDIRECT("'GRD-"&amp;FU$11&amp;"'!B:R"),15,FALSE),"")</f>
        <v/>
      </c>
      <c r="FV199" s="96">
        <f>IFERROR(VLOOKUP($B199,INDIRECT("'GRD-"&amp;FV$11&amp;"'!B:R"),15,FALSE),"")</f>
        <v/>
      </c>
    </row>
    <row r="200">
      <c r="B200" s="85" t="n"/>
      <c r="C200" s="93" t="n"/>
      <c r="D200" s="73">
        <f>IF(K200="","",MAX($CA200:$FV200))</f>
        <v/>
      </c>
      <c r="E200" s="74">
        <f t="array" ref="E200">IF($K200="","",OFFSET($A$1,ROW($B200)-1,11+$D200*4,))</f>
        <v/>
      </c>
      <c r="F200" s="74">
        <f t="array" ref="F200">IF($K200="","",OFFSET($A$1,ROW($B200)-1,12+$D200*4,))</f>
        <v/>
      </c>
      <c r="G200" s="118">
        <f t="array" ref="G200">IF($K200="","",OFFSET($A$1,ROW($B200)-1,13+$D200*4,))</f>
        <v/>
      </c>
      <c r="H200" s="81" t="n"/>
      <c r="I200" s="82" t="n"/>
      <c r="J200" s="75">
        <f>IF(I200="A4",H200/8,IF(I200="A3",H200/4,IF(I200="A2",H200/2,IF(I200="A1",H200/1,IF(I200="A0",H200*2,"")))))</f>
        <v/>
      </c>
      <c r="K200" s="68">
        <f t="array" ref="K200">IFERROR(OFFSET($BZ$11,ROW($B200)-11,MATCH(K$10,$CA200:$FV200,0),),"")</f>
        <v/>
      </c>
      <c r="L200" s="85">
        <f>IF(K200="","",IF(VLOOKUP($B200,INDIRECT("'GRD-"&amp;M200&amp;"'!$B:$R"),16,FALSE)="","",VLOOKUP($B200,INDIRECT("'GRD-"&amp;M200&amp;"'!$B:$R"),16,FALSE)))</f>
        <v/>
      </c>
      <c r="M200" s="130">
        <f t="array" ref="M200">IF(K200="","",IFERROR(OFFSET($BZ$11,0,MATCH($K200,$CA200:$FV200,0),),""))</f>
        <v/>
      </c>
      <c r="N200" s="119">
        <f t="array" ref="N200">IF(K200="","",INDIRECT("'GRD-"&amp;M200&amp;"'!$L$7"))</f>
        <v/>
      </c>
      <c r="O200" s="76">
        <f t="array" ref="O200">IFERROR(OFFSET($BZ$11,ROW($B200)-11,MATCH(O$10,$CA200:$FV200,0),),"")</f>
        <v/>
      </c>
      <c r="P200" s="76">
        <f>IF(O200="","",IF(VLOOKUP($B200,INDIRECT("'GRD-"&amp;Q200&amp;"'!$B:$R"),16,FALSE)="","",VLOOKUP($B200,INDIRECT("'GRD-"&amp;Q200&amp;"'!$B:$R"),16,FALSE)))</f>
        <v/>
      </c>
      <c r="Q200" s="132">
        <f t="array" ref="Q200">IF(O200="","",IFERROR(OFFSET($BZ$11,0,MATCH($O200,$CA200:$FV200,0),),""))</f>
        <v/>
      </c>
      <c r="R200" s="121">
        <f t="array" ref="R200">IF(O200="","",INDIRECT("'GRD-"&amp;Q200&amp;"'!$L$7"))</f>
        <v/>
      </c>
      <c r="S200" s="83">
        <f t="array" ref="S200">IFERROR(OFFSET($BZ$11,ROW($B200)-11,MATCH(S$10,$CA200:$FV200,0),),"")</f>
        <v/>
      </c>
      <c r="T200" s="83">
        <f>IF(S200="","",IF(VLOOKUP($B200,INDIRECT("'GRD-"&amp;U200&amp;"'!$B:$R"),16,FALSE)="","",VLOOKUP($B200,INDIRECT("'GRD-"&amp;U200&amp;"'!$B:$R"),16,FALSE)))</f>
        <v/>
      </c>
      <c r="U200" s="128">
        <f t="array" ref="U200">IF(S200="","",IFERROR(OFFSET($BZ$11,0,MATCH($S200,$CA200:$FV200,0),),""))</f>
        <v/>
      </c>
      <c r="V200" s="133">
        <f t="array" ref="V200">IF(S200="","",INDIRECT("'GRD-"&amp;U200&amp;"'!$L$7"))</f>
        <v/>
      </c>
      <c r="W200" s="84">
        <f t="array" ref="W200">IFERROR(OFFSET($BZ$11,ROW($B200)-11,MATCH(W$10,$CA200:$FV200,0),),"")</f>
        <v/>
      </c>
      <c r="X200" s="84">
        <f>IF(W200="","",IF(VLOOKUP($B200,INDIRECT("'GRD-"&amp;Y200&amp;"'!$B:$R"),16,FALSE)="","",VLOOKUP($B200,INDIRECT("'GRD-"&amp;Y200&amp;"'!$B:$R"),16,FALSE)))</f>
        <v/>
      </c>
      <c r="Y200" s="129">
        <f t="array" ref="Y200">IF(W200="","",IFERROR(OFFSET($BZ$11,0,MATCH($W200,$CA200:$FV200,0),),""))</f>
        <v/>
      </c>
      <c r="Z200" s="134">
        <f t="array" ref="Z200">IF(W200="","",INDIRECT("'GRD-"&amp;Y200&amp;"'!$L$7"))</f>
        <v/>
      </c>
      <c r="AA200" s="85">
        <f t="array" ref="AA200">IFERROR(OFFSET($BZ$11,ROW($B200)-11,MATCH(AA$10,$CA200:$FV200,0),),"")</f>
        <v/>
      </c>
      <c r="AB200" s="85">
        <f>IF(AA200="","",IF(VLOOKUP($B200,INDIRECT("'GRD-"&amp;AC200&amp;"'!$B:$R"),16,FALSE)="","",VLOOKUP($B200,INDIRECT("'GRD-"&amp;AC200&amp;"'!$B:$R"),16,FALSE)))</f>
        <v/>
      </c>
      <c r="AC200" s="130">
        <f t="array" ref="AC200">IF(AA200="","",IFERROR(OFFSET($BZ$11,0,MATCH($AA200,$CA200:$FV200,0),),""))</f>
        <v/>
      </c>
      <c r="AD200" s="131">
        <f t="array" ref="AD200">IF(AA200="","",INDIRECT("'GRD-"&amp;AC200&amp;"'!$L$7"))</f>
        <v/>
      </c>
      <c r="AE200" s="76">
        <f t="array" ref="AE200">IFERROR(OFFSET($BZ$11,ROW($B200)-11,MATCH(AE$10,$CA200:$FV200,0),),"")</f>
        <v/>
      </c>
      <c r="AF200" s="76">
        <f>IF(AE200="","",IF(VLOOKUP($B200,INDIRECT("'GRD-"&amp;AG200&amp;"'!$B:$R"),16,FALSE)="","",VLOOKUP($B200,INDIRECT("'GRD-"&amp;AG200&amp;"'!$B:$R"),16,FALSE)))</f>
        <v/>
      </c>
      <c r="AG200" s="132">
        <f t="array" ref="AG200">IF(AE200="","",IFERROR(OFFSET($BZ$11,0,MATCH($AE200,$CA200:$FV200,0),),""))</f>
        <v/>
      </c>
      <c r="AH200" s="121">
        <f t="array" ref="AH200">IF(AE200="","",INDIRECT("'GRD-"&amp;AG200&amp;"'!$L$7"))</f>
        <v/>
      </c>
      <c r="AI200" s="83">
        <f t="array" ref="AI200">IFERROR(OFFSET($BZ$11,ROW($B200)-11,MATCH(AI$10,$CA200:$FV200,0),),"")</f>
        <v/>
      </c>
      <c r="AJ200" s="83">
        <f>IF(AI200="","",IF(VLOOKUP($B200,INDIRECT("'GRD-"&amp;AK200&amp;"'!$B:$R"),16,FALSE)="","",VLOOKUP($B200,INDIRECT("'GRD-"&amp;AK200&amp;"'!$B:$R"),16,FALSE)))</f>
        <v/>
      </c>
      <c r="AK200" s="128">
        <f t="array" ref="AK200">IF(AI200="","",IFERROR(OFFSET($BZ$11,0,MATCH($AI200,$CA200:$FV200,0),),""))</f>
        <v/>
      </c>
      <c r="AL200" s="133">
        <f t="array" ref="AL200">IF(AI200="","",INDIRECT("'GRD-"&amp;AK200&amp;"'!$L$7"))</f>
        <v/>
      </c>
      <c r="AM200" s="84">
        <f t="array" ref="AM200">IFERROR(OFFSET($BZ$11,ROW($B200)-11,MATCH(AM$10,$CA200:$FV200,0),),"")</f>
        <v/>
      </c>
      <c r="AN200" s="84">
        <f>IF(AM200="","",IF(VLOOKUP($B200,INDIRECT("'GRD-"&amp;AO200&amp;"'!$B:$R"),16,FALSE)="","",VLOOKUP($B200,INDIRECT("'GRD-"&amp;AO200&amp;"'!$B:$R"),16,FALSE)))</f>
        <v/>
      </c>
      <c r="AO200" s="129">
        <f t="array" ref="AO200">IF(AM200="","",IFERROR(OFFSET($BZ$11,0,MATCH($AM200,$CA200:$FV200,0),),""))</f>
        <v/>
      </c>
      <c r="AP200" s="134">
        <f t="array" ref="AP200">IF(AM200="","",INDIRECT("'GRD-"&amp;AO200&amp;"'!$L$7"))</f>
        <v/>
      </c>
      <c r="AQ200" s="85">
        <f t="array" ref="AQ200">IFERROR(OFFSET($BZ$11,ROW($B200)-11,MATCH(AQ$10,$CA200:$FV200,0),),"")</f>
        <v/>
      </c>
      <c r="AR200" s="85">
        <f>IF(AQ200="","",IF(VLOOKUP($B200,INDIRECT("'GRD-"&amp;AS200&amp;"'!$B:$R"),16,FALSE)="","",VLOOKUP($B200,INDIRECT("'GRD-"&amp;AS200&amp;"'!$B:$R"),16,FALSE)))</f>
        <v/>
      </c>
      <c r="AS200" s="130">
        <f t="array" ref="AS200">IF(AQ200="","",IFERROR(OFFSET($BZ$11,0,MATCH($AQ200,$CA200:$FV200,0),),""))</f>
        <v/>
      </c>
      <c r="AT200" s="131">
        <f t="array" ref="AT200">IF(AQ200="","",INDIRECT("'GRD-"&amp;AS200&amp;"'!$L$7"))</f>
        <v/>
      </c>
      <c r="AU200" s="76">
        <f t="array" ref="AU200">IFERROR(OFFSET($BZ$11,ROW($B200)-11,MATCH(AU$10,$CA200:$FV200,0),),"")</f>
        <v/>
      </c>
      <c r="AV200" s="76">
        <f>IF(AU200="","",IF(VLOOKUP($B200,INDIRECT("'GRD-"&amp;AW200&amp;"'!$B:$R"),16,FALSE)="","",VLOOKUP($B200,INDIRECT("'GRD-"&amp;AW200&amp;"'!$B:$R"),16,FALSE)))</f>
        <v/>
      </c>
      <c r="AW200" s="132">
        <f t="array" ref="AW200">IF(AU200="","",IFERROR(OFFSET($BZ$11,0,MATCH($AU200,$CA200:$FV200,0),),""))</f>
        <v/>
      </c>
      <c r="AX200" s="121">
        <f t="array" ref="AX200">IF(AU200="","",INDIRECT("'GRD-"&amp;AW200&amp;"'!$L$7"))</f>
        <v/>
      </c>
      <c r="AY200" s="83">
        <f t="array" ref="AY200">IFERROR(OFFSET($BZ$11,ROW($B200)-11,MATCH(AY$10,$CA200:$FV200,0),),"")</f>
        <v/>
      </c>
      <c r="AZ200" s="83">
        <f>IF(AY200="","",IF(VLOOKUP($B200,INDIRECT("'GRD-"&amp;BA200&amp;"'!$B:$R"),16,FALSE)="","",VLOOKUP($B200,INDIRECT("'GRD-"&amp;BA200&amp;"'!$B:$R"),16,FALSE)))</f>
        <v/>
      </c>
      <c r="BA200" s="128">
        <f t="array" ref="BA200">IF(AY200="","",IFERROR(OFFSET($BZ$11,0,MATCH($AY200,$CA200:$FV200,0),),""))</f>
        <v/>
      </c>
      <c r="BB200" s="133">
        <f t="array" ref="BB200">IF(AY200="","",INDIRECT("'GRD-"&amp;BA200&amp;"'!$L$7"))</f>
        <v/>
      </c>
      <c r="BC200" s="84">
        <f t="array" ref="BC200">IFERROR(OFFSET($BZ$11,ROW($B200)-11,MATCH(BC$10,$CA200:$FV200,0),),"")</f>
        <v/>
      </c>
      <c r="BD200" s="84">
        <f>IF(BC200="","",IF(VLOOKUP($B200,INDIRECT("'GRD-"&amp;BE200&amp;"'!$B:$R"),16,FALSE)="","",VLOOKUP($B200,INDIRECT("'GRD-"&amp;BE200&amp;"'!$B:$R"),16,FALSE)))</f>
        <v/>
      </c>
      <c r="BE200" s="129">
        <f t="array" ref="BE200">IF(BC200="","",IFERROR(OFFSET($BZ$11,0,MATCH($BC200,$CA200:$FV200,0),),""))</f>
        <v/>
      </c>
      <c r="BF200" s="134">
        <f t="array" ref="BF200">IF(BC200="","",INDIRECT("'GRD-"&amp;BE200&amp;"'!$L$7"))</f>
        <v/>
      </c>
      <c r="CA200" s="96">
        <f>IFERROR(VLOOKUP($B200,INDIRECT("'GRD-"&amp;CA$11&amp;"'!B:R"),15,FALSE),"")</f>
        <v/>
      </c>
      <c r="CB200" s="96">
        <f>IFERROR(VLOOKUP($B200,INDIRECT("'GRD-"&amp;CB$11&amp;"'!B:R"),15,FALSE),"")</f>
        <v/>
      </c>
      <c r="CC200" s="96">
        <f>IFERROR(VLOOKUP($B200,INDIRECT("'GRD-"&amp;CC$11&amp;"'!B:R"),15,FALSE),"")</f>
        <v/>
      </c>
      <c r="CD200" s="96">
        <f>IFERROR(VLOOKUP($B200,INDIRECT("'GRD-"&amp;CD$11&amp;"'!B:R"),15,FALSE),"")</f>
        <v/>
      </c>
      <c r="CE200" s="96">
        <f>IFERROR(VLOOKUP($B200,INDIRECT("'GRD-"&amp;CE$11&amp;"'!B:R"),15,FALSE),"")</f>
        <v/>
      </c>
      <c r="CF200" s="96">
        <f>IFERROR(VLOOKUP($B200,INDIRECT("'GRD-"&amp;CF$11&amp;"'!B:R"),15,FALSE),"")</f>
        <v/>
      </c>
      <c r="CG200" s="96">
        <f>IFERROR(VLOOKUP($B200,INDIRECT("'GRD-"&amp;CG$11&amp;"'!B:R"),15,FALSE),"")</f>
        <v/>
      </c>
      <c r="CH200" s="96">
        <f>IFERROR(VLOOKUP($B200,INDIRECT("'GRD-"&amp;CH$11&amp;"'!B:R"),15,FALSE),"")</f>
        <v/>
      </c>
      <c r="CI200" s="96">
        <f>IFERROR(VLOOKUP($B200,INDIRECT("'GRD-"&amp;CI$11&amp;"'!B:R"),15,FALSE),"")</f>
        <v/>
      </c>
      <c r="CJ200" s="96">
        <f>IFERROR(VLOOKUP($B200,INDIRECT("'GRD-"&amp;CJ$11&amp;"'!B:R"),15,FALSE),"")</f>
        <v/>
      </c>
      <c r="CK200" s="96">
        <f>IFERROR(VLOOKUP($B200,INDIRECT("'GRD-"&amp;CK$11&amp;"'!B:R"),15,FALSE),"")</f>
        <v/>
      </c>
      <c r="CL200" s="96">
        <f>IFERROR(VLOOKUP($B200,INDIRECT("'GRD-"&amp;CL$11&amp;"'!B:R"),15,FALSE),"")</f>
        <v/>
      </c>
      <c r="CM200" s="96">
        <f>IFERROR(VLOOKUP($B200,INDIRECT("'GRD-"&amp;CM$11&amp;"'!B:R"),15,FALSE),"")</f>
        <v/>
      </c>
      <c r="CN200" s="96">
        <f>IFERROR(VLOOKUP($B200,INDIRECT("'GRD-"&amp;CN$11&amp;"'!B:R"),15,FALSE),"")</f>
        <v/>
      </c>
      <c r="CO200" s="96">
        <f>IFERROR(VLOOKUP($B200,INDIRECT("'GRD-"&amp;CO$11&amp;"'!B:R"),15,FALSE),"")</f>
        <v/>
      </c>
      <c r="CP200" s="96">
        <f>IFERROR(VLOOKUP($B200,INDIRECT("'GRD-"&amp;CP$11&amp;"'!B:R"),15,FALSE),"")</f>
        <v/>
      </c>
      <c r="CQ200" s="96">
        <f>IFERROR(VLOOKUP($B200,INDIRECT("'GRD-"&amp;CQ$11&amp;"'!B:R"),15,FALSE),"")</f>
        <v/>
      </c>
      <c r="CR200" s="96">
        <f>IFERROR(VLOOKUP($B200,INDIRECT("'GRD-"&amp;CR$11&amp;"'!B:R"),15,FALSE),"")</f>
        <v/>
      </c>
      <c r="CS200" s="96">
        <f>IFERROR(VLOOKUP($B200,INDIRECT("'GRD-"&amp;CS$11&amp;"'!B:R"),15,FALSE),"")</f>
        <v/>
      </c>
      <c r="CT200" s="96">
        <f>IFERROR(VLOOKUP($B200,INDIRECT("'GRD-"&amp;CT$11&amp;"'!B:R"),15,FALSE),"")</f>
        <v/>
      </c>
      <c r="CU200" s="96">
        <f>IFERROR(VLOOKUP($B200,INDIRECT("'GRD-"&amp;CU$11&amp;"'!B:R"),15,FALSE),"")</f>
        <v/>
      </c>
      <c r="CV200" s="96">
        <f>IFERROR(VLOOKUP($B200,INDIRECT("'GRD-"&amp;CV$11&amp;"'!B:R"),15,FALSE),"")</f>
        <v/>
      </c>
      <c r="CW200" s="96">
        <f>IFERROR(VLOOKUP($B200,INDIRECT("'GRD-"&amp;CW$11&amp;"'!B:R"),15,FALSE),"")</f>
        <v/>
      </c>
      <c r="CX200" s="96">
        <f>IFERROR(VLOOKUP($B200,INDIRECT("'GRD-"&amp;CX$11&amp;"'!B:R"),15,FALSE),"")</f>
        <v/>
      </c>
      <c r="CY200" s="96">
        <f>IFERROR(VLOOKUP($B200,INDIRECT("'GRD-"&amp;CY$11&amp;"'!B:R"),15,FALSE),"")</f>
        <v/>
      </c>
      <c r="CZ200" s="96">
        <f>IFERROR(VLOOKUP($B200,INDIRECT("'GRD-"&amp;CZ$11&amp;"'!B:R"),15,FALSE),"")</f>
        <v/>
      </c>
      <c r="DA200" s="96">
        <f>IFERROR(VLOOKUP($B200,INDIRECT("'GRD-"&amp;DA$11&amp;"'!B:R"),15,FALSE),"")</f>
        <v/>
      </c>
      <c r="DB200" s="96">
        <f>IFERROR(VLOOKUP($B200,INDIRECT("'GRD-"&amp;DB$11&amp;"'!B:R"),15,FALSE),"")</f>
        <v/>
      </c>
      <c r="DC200" s="96">
        <f>IFERROR(VLOOKUP($B200,INDIRECT("'GRD-"&amp;DC$11&amp;"'!B:R"),15,FALSE),"")</f>
        <v/>
      </c>
      <c r="DD200" s="96">
        <f>IFERROR(VLOOKUP($B200,INDIRECT("'GRD-"&amp;DD$11&amp;"'!B:R"),15,FALSE),"")</f>
        <v/>
      </c>
      <c r="DE200" s="96">
        <f>IFERROR(VLOOKUP($B200,INDIRECT("'GRD-"&amp;DE$11&amp;"'!B:R"),15,FALSE),"")</f>
        <v/>
      </c>
      <c r="DF200" s="96">
        <f>IFERROR(VLOOKUP($B200,INDIRECT("'GRD-"&amp;DF$11&amp;"'!B:R"),15,FALSE),"")</f>
        <v/>
      </c>
      <c r="DG200" s="96">
        <f>IFERROR(VLOOKUP($B200,INDIRECT("'GRD-"&amp;DG$11&amp;"'!B:R"),15,FALSE),"")</f>
        <v/>
      </c>
      <c r="DH200" s="96">
        <f>IFERROR(VLOOKUP($B200,INDIRECT("'GRD-"&amp;DH$11&amp;"'!B:R"),15,FALSE),"")</f>
        <v/>
      </c>
      <c r="DI200" s="96">
        <f>IFERROR(VLOOKUP($B200,INDIRECT("'GRD-"&amp;DI$11&amp;"'!B:R"),15,FALSE),"")</f>
        <v/>
      </c>
      <c r="DJ200" s="96">
        <f>IFERROR(VLOOKUP($B200,INDIRECT("'GRD-"&amp;DJ$11&amp;"'!B:R"),15,FALSE),"")</f>
        <v/>
      </c>
      <c r="DK200" s="96">
        <f>IFERROR(VLOOKUP($B200,INDIRECT("'GRD-"&amp;DK$11&amp;"'!B:R"),15,FALSE),"")</f>
        <v/>
      </c>
      <c r="DL200" s="96">
        <f>IFERROR(VLOOKUP($B200,INDIRECT("'GRD-"&amp;DL$11&amp;"'!B:R"),15,FALSE),"")</f>
        <v/>
      </c>
      <c r="DM200" s="96">
        <f>IFERROR(VLOOKUP($B200,INDIRECT("'GRD-"&amp;DM$11&amp;"'!B:R"),15,FALSE),"")</f>
        <v/>
      </c>
      <c r="DN200" s="96">
        <f>IFERROR(VLOOKUP($B200,INDIRECT("'GRD-"&amp;DN$11&amp;"'!B:R"),15,FALSE),"")</f>
        <v/>
      </c>
      <c r="DO200" s="96">
        <f>IFERROR(VLOOKUP($B200,INDIRECT("'GRD-"&amp;DO$11&amp;"'!B:R"),15,FALSE),"")</f>
        <v/>
      </c>
      <c r="DP200" s="96">
        <f>IFERROR(VLOOKUP($B200,INDIRECT("'GRD-"&amp;DP$11&amp;"'!B:R"),15,FALSE),"")</f>
        <v/>
      </c>
      <c r="DQ200" s="96">
        <f>IFERROR(VLOOKUP($B200,INDIRECT("'GRD-"&amp;DQ$11&amp;"'!B:R"),15,FALSE),"")</f>
        <v/>
      </c>
      <c r="DR200" s="96">
        <f>IFERROR(VLOOKUP($B200,INDIRECT("'GRD-"&amp;DR$11&amp;"'!B:R"),15,FALSE),"")</f>
        <v/>
      </c>
      <c r="DS200" s="96">
        <f>IFERROR(VLOOKUP($B200,INDIRECT("'GRD-"&amp;DS$11&amp;"'!B:R"),15,FALSE),"")</f>
        <v/>
      </c>
      <c r="DT200" s="96">
        <f>IFERROR(VLOOKUP($B200,INDIRECT("'GRD-"&amp;DT$11&amp;"'!B:R"),15,FALSE),"")</f>
        <v/>
      </c>
      <c r="DU200" s="96">
        <f>IFERROR(VLOOKUP($B200,INDIRECT("'GRD-"&amp;DU$11&amp;"'!B:R"),15,FALSE),"")</f>
        <v/>
      </c>
      <c r="DV200" s="96">
        <f>IFERROR(VLOOKUP($B200,INDIRECT("'GRD-"&amp;DV$11&amp;"'!B:R"),15,FALSE),"")</f>
        <v/>
      </c>
      <c r="DW200" s="96">
        <f>IFERROR(VLOOKUP($B200,INDIRECT("'GRD-"&amp;DW$11&amp;"'!B:R"),15,FALSE),"")</f>
        <v/>
      </c>
      <c r="DX200" s="96">
        <f>IFERROR(VLOOKUP($B200,INDIRECT("'GRD-"&amp;DX$11&amp;"'!B:R"),15,FALSE),"")</f>
        <v/>
      </c>
      <c r="DY200" s="96">
        <f>IFERROR(VLOOKUP($B200,INDIRECT("'GRD-"&amp;DY$11&amp;"'!B:R"),15,FALSE),"")</f>
        <v/>
      </c>
      <c r="DZ200" s="96">
        <f>IFERROR(VLOOKUP($B200,INDIRECT("'GRD-"&amp;DZ$11&amp;"'!B:R"),15,FALSE),"")</f>
        <v/>
      </c>
      <c r="EA200" s="96">
        <f>IFERROR(VLOOKUP($B200,INDIRECT("'GRD-"&amp;EA$11&amp;"'!B:R"),15,FALSE),"")</f>
        <v/>
      </c>
      <c r="EB200" s="96">
        <f>IFERROR(VLOOKUP($B200,INDIRECT("'GRD-"&amp;EB$11&amp;"'!B:R"),15,FALSE),"")</f>
        <v/>
      </c>
      <c r="EC200" s="96">
        <f>IFERROR(VLOOKUP($B200,INDIRECT("'GRD-"&amp;EC$11&amp;"'!B:R"),15,FALSE),"")</f>
        <v/>
      </c>
      <c r="ED200" s="96">
        <f>IFERROR(VLOOKUP($B200,INDIRECT("'GRD-"&amp;ED$11&amp;"'!B:R"),15,FALSE),"")</f>
        <v/>
      </c>
      <c r="EE200" s="96">
        <f>IFERROR(VLOOKUP($B200,INDIRECT("'GRD-"&amp;EE$11&amp;"'!B:R"),15,FALSE),"")</f>
        <v/>
      </c>
      <c r="EF200" s="96">
        <f>IFERROR(VLOOKUP($B200,INDIRECT("'GRD-"&amp;EF$11&amp;"'!B:R"),15,FALSE),"")</f>
        <v/>
      </c>
      <c r="EG200" s="96">
        <f>IFERROR(VLOOKUP($B200,INDIRECT("'GRD-"&amp;EG$11&amp;"'!B:R"),15,FALSE),"")</f>
        <v/>
      </c>
      <c r="EH200" s="96">
        <f>IFERROR(VLOOKUP($B200,INDIRECT("'GRD-"&amp;EH$11&amp;"'!B:R"),15,FALSE),"")</f>
        <v/>
      </c>
      <c r="EI200" s="96">
        <f>IFERROR(VLOOKUP($B200,INDIRECT("'GRD-"&amp;EI$11&amp;"'!B:R"),15,FALSE),"")</f>
        <v/>
      </c>
      <c r="EJ200" s="96">
        <f>IFERROR(VLOOKUP($B200,INDIRECT("'GRD-"&amp;EJ$11&amp;"'!B:R"),15,FALSE),"")</f>
        <v/>
      </c>
      <c r="EK200" s="96">
        <f>IFERROR(VLOOKUP($B200,INDIRECT("'GRD-"&amp;EK$11&amp;"'!B:R"),15,FALSE),"")</f>
        <v/>
      </c>
      <c r="EL200" s="96">
        <f>IFERROR(VLOOKUP($B200,INDIRECT("'GRD-"&amp;EL$11&amp;"'!B:R"),15,FALSE),"")</f>
        <v/>
      </c>
      <c r="EM200" s="96">
        <f>IFERROR(VLOOKUP($B200,INDIRECT("'GRD-"&amp;EM$11&amp;"'!B:R"),15,FALSE),"")</f>
        <v/>
      </c>
      <c r="EN200" s="96">
        <f>IFERROR(VLOOKUP($B200,INDIRECT("'GRD-"&amp;EN$11&amp;"'!B:R"),15,FALSE),"")</f>
        <v/>
      </c>
      <c r="EO200" s="96">
        <f>IFERROR(VLOOKUP($B200,INDIRECT("'GRD-"&amp;EO$11&amp;"'!B:R"),15,FALSE),"")</f>
        <v/>
      </c>
      <c r="EP200" s="96">
        <f>IFERROR(VLOOKUP($B200,INDIRECT("'GRD-"&amp;EP$11&amp;"'!B:R"),15,FALSE),"")</f>
        <v/>
      </c>
      <c r="EQ200" s="96">
        <f>IFERROR(VLOOKUP($B200,INDIRECT("'GRD-"&amp;EQ$11&amp;"'!B:R"),15,FALSE),"")</f>
        <v/>
      </c>
      <c r="ER200" s="96">
        <f>IFERROR(VLOOKUP($B200,INDIRECT("'GRD-"&amp;ER$11&amp;"'!B:R"),15,FALSE),"")</f>
        <v/>
      </c>
      <c r="ES200" s="96">
        <f>IFERROR(VLOOKUP($B200,INDIRECT("'GRD-"&amp;ES$11&amp;"'!B:R"),15,FALSE),"")</f>
        <v/>
      </c>
      <c r="ET200" s="96">
        <f>IFERROR(VLOOKUP($B200,INDIRECT("'GRD-"&amp;ET$11&amp;"'!B:R"),15,FALSE),"")</f>
        <v/>
      </c>
      <c r="EU200" s="96">
        <f>IFERROR(VLOOKUP($B200,INDIRECT("'GRD-"&amp;EU$11&amp;"'!B:R"),15,FALSE),"")</f>
        <v/>
      </c>
      <c r="EV200" s="96">
        <f>IFERROR(VLOOKUP($B200,INDIRECT("'GRD-"&amp;EV$11&amp;"'!B:R"),15,FALSE),"")</f>
        <v/>
      </c>
      <c r="EW200" s="96">
        <f>IFERROR(VLOOKUP($B200,INDIRECT("'GRD-"&amp;EW$11&amp;"'!B:R"),15,FALSE),"")</f>
        <v/>
      </c>
      <c r="EX200" s="96">
        <f>IFERROR(VLOOKUP($B200,INDIRECT("'GRD-"&amp;EX$11&amp;"'!B:R"),15,FALSE),"")</f>
        <v/>
      </c>
      <c r="EY200" s="96">
        <f>IFERROR(VLOOKUP($B200,INDIRECT("'GRD-"&amp;EY$11&amp;"'!B:R"),15,FALSE),"")</f>
        <v/>
      </c>
      <c r="EZ200" s="96">
        <f>IFERROR(VLOOKUP($B200,INDIRECT("'GRD-"&amp;EZ$11&amp;"'!B:R"),15,FALSE),"")</f>
        <v/>
      </c>
      <c r="FA200" s="96">
        <f>IFERROR(VLOOKUP($B200,INDIRECT("'GRD-"&amp;FA$11&amp;"'!B:R"),15,FALSE),"")</f>
        <v/>
      </c>
      <c r="FB200" s="96">
        <f>IFERROR(VLOOKUP($B200,INDIRECT("'GRD-"&amp;FB$11&amp;"'!B:R"),15,FALSE),"")</f>
        <v/>
      </c>
      <c r="FC200" s="96">
        <f>IFERROR(VLOOKUP($B200,INDIRECT("'GRD-"&amp;FC$11&amp;"'!B:R"),15,FALSE),"")</f>
        <v/>
      </c>
      <c r="FD200" s="96">
        <f>IFERROR(VLOOKUP($B200,INDIRECT("'GRD-"&amp;FD$11&amp;"'!B:R"),15,FALSE),"")</f>
        <v/>
      </c>
      <c r="FE200" s="96">
        <f>IFERROR(VLOOKUP($B200,INDIRECT("'GRD-"&amp;FE$11&amp;"'!B:R"),15,FALSE),"")</f>
        <v/>
      </c>
      <c r="FF200" s="96">
        <f>IFERROR(VLOOKUP($B200,INDIRECT("'GRD-"&amp;FF$11&amp;"'!B:R"),15,FALSE),"")</f>
        <v/>
      </c>
      <c r="FG200" s="96">
        <f>IFERROR(VLOOKUP($B200,INDIRECT("'GRD-"&amp;FG$11&amp;"'!B:R"),15,FALSE),"")</f>
        <v/>
      </c>
      <c r="FH200" s="96">
        <f>IFERROR(VLOOKUP($B200,INDIRECT("'GRD-"&amp;FH$11&amp;"'!B:R"),15,FALSE),"")</f>
        <v/>
      </c>
      <c r="FI200" s="96">
        <f>IFERROR(VLOOKUP($B200,INDIRECT("'GRD-"&amp;FI$11&amp;"'!B:R"),15,FALSE),"")</f>
        <v/>
      </c>
      <c r="FJ200" s="96">
        <f>IFERROR(VLOOKUP($B200,INDIRECT("'GRD-"&amp;FJ$11&amp;"'!B:R"),15,FALSE),"")</f>
        <v/>
      </c>
      <c r="FK200" s="96">
        <f>IFERROR(VLOOKUP($B200,INDIRECT("'GRD-"&amp;FK$11&amp;"'!B:R"),15,FALSE),"")</f>
        <v/>
      </c>
      <c r="FL200" s="96">
        <f>IFERROR(VLOOKUP($B200,INDIRECT("'GRD-"&amp;FL$11&amp;"'!B:R"),15,FALSE),"")</f>
        <v/>
      </c>
      <c r="FM200" s="96">
        <f>IFERROR(VLOOKUP($B200,INDIRECT("'GRD-"&amp;FM$11&amp;"'!B:R"),15,FALSE),"")</f>
        <v/>
      </c>
      <c r="FN200" s="96">
        <f>IFERROR(VLOOKUP($B200,INDIRECT("'GRD-"&amp;FN$11&amp;"'!B:R"),15,FALSE),"")</f>
        <v/>
      </c>
      <c r="FO200" s="96">
        <f>IFERROR(VLOOKUP($B200,INDIRECT("'GRD-"&amp;FO$11&amp;"'!B:R"),15,FALSE),"")</f>
        <v/>
      </c>
      <c r="FP200" s="96">
        <f>IFERROR(VLOOKUP($B200,INDIRECT("'GRD-"&amp;FP$11&amp;"'!B:R"),15,FALSE),"")</f>
        <v/>
      </c>
      <c r="FQ200" s="96">
        <f>IFERROR(VLOOKUP($B200,INDIRECT("'GRD-"&amp;FQ$11&amp;"'!B:R"),15,FALSE),"")</f>
        <v/>
      </c>
      <c r="FR200" s="96">
        <f>IFERROR(VLOOKUP($B200,INDIRECT("'GRD-"&amp;FR$11&amp;"'!B:R"),15,FALSE),"")</f>
        <v/>
      </c>
      <c r="FS200" s="96">
        <f>IFERROR(VLOOKUP($B200,INDIRECT("'GRD-"&amp;FS$11&amp;"'!B:R"),15,FALSE),"")</f>
        <v/>
      </c>
      <c r="FT200" s="96">
        <f>IFERROR(VLOOKUP($B200,INDIRECT("'GRD-"&amp;FT$11&amp;"'!B:R"),15,FALSE),"")</f>
        <v/>
      </c>
      <c r="FU200" s="96">
        <f>IFERROR(VLOOKUP($B200,INDIRECT("'GRD-"&amp;FU$11&amp;"'!B:R"),15,FALSE),"")</f>
        <v/>
      </c>
      <c r="FV200" s="96">
        <f>IFERROR(VLOOKUP($B200,INDIRECT("'GRD-"&amp;FV$11&amp;"'!B:R"),15,FALSE),"")</f>
        <v/>
      </c>
    </row>
    <row r="201">
      <c r="B201" s="85" t="n"/>
      <c r="C201" s="93" t="n"/>
      <c r="D201" s="73">
        <f>IF(K201="","",MAX($CA201:$FV201))</f>
        <v/>
      </c>
      <c r="E201" s="74">
        <f t="array" ref="E201">IF($K201="","",OFFSET($A$1,ROW($B201)-1,11+$D201*4,))</f>
        <v/>
      </c>
      <c r="F201" s="74">
        <f t="array" ref="F201">IF($K201="","",OFFSET($A$1,ROW($B201)-1,12+$D201*4,))</f>
        <v/>
      </c>
      <c r="G201" s="118">
        <f t="array" ref="G201">IF($K201="","",OFFSET($A$1,ROW($B201)-1,13+$D201*4,))</f>
        <v/>
      </c>
      <c r="H201" s="81" t="n"/>
      <c r="I201" s="82" t="n"/>
      <c r="J201" s="75">
        <f>IF(I201="A4",H201/8,IF(I201="A3",H201/4,IF(I201="A2",H201/2,IF(I201="A1",H201/1,IF(I201="A0",H201*2,"")))))</f>
        <v/>
      </c>
      <c r="K201" s="68">
        <f t="array" ref="K201">IFERROR(OFFSET($BZ$11,ROW($B201)-11,MATCH(K$10,$CA201:$FV201,0),),"")</f>
        <v/>
      </c>
      <c r="L201" s="85">
        <f>IF(K201="","",IF(VLOOKUP($B201,INDIRECT("'GRD-"&amp;M201&amp;"'!$B:$R"),16,FALSE)="","",VLOOKUP($B201,INDIRECT("'GRD-"&amp;M201&amp;"'!$B:$R"),16,FALSE)))</f>
        <v/>
      </c>
      <c r="M201" s="130">
        <f t="array" ref="M201">IF(K201="","",IFERROR(OFFSET($BZ$11,0,MATCH($K201,$CA201:$FV201,0),),""))</f>
        <v/>
      </c>
      <c r="N201" s="119">
        <f t="array" ref="N201">IF(K201="","",INDIRECT("'GRD-"&amp;M201&amp;"'!$L$7"))</f>
        <v/>
      </c>
      <c r="O201" s="76">
        <f t="array" ref="O201">IFERROR(OFFSET($BZ$11,ROW($B201)-11,MATCH(O$10,$CA201:$FV201,0),),"")</f>
        <v/>
      </c>
      <c r="P201" s="76">
        <f>IF(O201="","",IF(VLOOKUP($B201,INDIRECT("'GRD-"&amp;Q201&amp;"'!$B:$R"),16,FALSE)="","",VLOOKUP($B201,INDIRECT("'GRD-"&amp;Q201&amp;"'!$B:$R"),16,FALSE)))</f>
        <v/>
      </c>
      <c r="Q201" s="132">
        <f t="array" ref="Q201">IF(O201="","",IFERROR(OFFSET($BZ$11,0,MATCH($O201,$CA201:$FV201,0),),""))</f>
        <v/>
      </c>
      <c r="R201" s="121">
        <f t="array" ref="R201">IF(O201="","",INDIRECT("'GRD-"&amp;Q201&amp;"'!$L$7"))</f>
        <v/>
      </c>
      <c r="S201" s="83">
        <f t="array" ref="S201">IFERROR(OFFSET($BZ$11,ROW($B201)-11,MATCH(S$10,$CA201:$FV201,0),),"")</f>
        <v/>
      </c>
      <c r="T201" s="83">
        <f>IF(S201="","",IF(VLOOKUP($B201,INDIRECT("'GRD-"&amp;U201&amp;"'!$B:$R"),16,FALSE)="","",VLOOKUP($B201,INDIRECT("'GRD-"&amp;U201&amp;"'!$B:$R"),16,FALSE)))</f>
        <v/>
      </c>
      <c r="U201" s="128">
        <f t="array" ref="U201">IF(S201="","",IFERROR(OFFSET($BZ$11,0,MATCH($S201,$CA201:$FV201,0),),""))</f>
        <v/>
      </c>
      <c r="V201" s="133">
        <f t="array" ref="V201">IF(S201="","",INDIRECT("'GRD-"&amp;U201&amp;"'!$L$7"))</f>
        <v/>
      </c>
      <c r="W201" s="84">
        <f t="array" ref="W201">IFERROR(OFFSET($BZ$11,ROW($B201)-11,MATCH(W$10,$CA201:$FV201,0),),"")</f>
        <v/>
      </c>
      <c r="X201" s="84">
        <f>IF(W201="","",IF(VLOOKUP($B201,INDIRECT("'GRD-"&amp;Y201&amp;"'!$B:$R"),16,FALSE)="","",VLOOKUP($B201,INDIRECT("'GRD-"&amp;Y201&amp;"'!$B:$R"),16,FALSE)))</f>
        <v/>
      </c>
      <c r="Y201" s="129">
        <f t="array" ref="Y201">IF(W201="","",IFERROR(OFFSET($BZ$11,0,MATCH($W201,$CA201:$FV201,0),),""))</f>
        <v/>
      </c>
      <c r="Z201" s="134">
        <f t="array" ref="Z201">IF(W201="","",INDIRECT("'GRD-"&amp;Y201&amp;"'!$L$7"))</f>
        <v/>
      </c>
      <c r="AA201" s="85">
        <f t="array" ref="AA201">IFERROR(OFFSET($BZ$11,ROW($B201)-11,MATCH(AA$10,$CA201:$FV201,0),),"")</f>
        <v/>
      </c>
      <c r="AB201" s="85">
        <f>IF(AA201="","",IF(VLOOKUP($B201,INDIRECT("'GRD-"&amp;AC201&amp;"'!$B:$R"),16,FALSE)="","",VLOOKUP($B201,INDIRECT("'GRD-"&amp;AC201&amp;"'!$B:$R"),16,FALSE)))</f>
        <v/>
      </c>
      <c r="AC201" s="130">
        <f t="array" ref="AC201">IF(AA201="","",IFERROR(OFFSET($BZ$11,0,MATCH($AA201,$CA201:$FV201,0),),""))</f>
        <v/>
      </c>
      <c r="AD201" s="131">
        <f t="array" ref="AD201">IF(AA201="","",INDIRECT("'GRD-"&amp;AC201&amp;"'!$L$7"))</f>
        <v/>
      </c>
      <c r="AE201" s="76">
        <f t="array" ref="AE201">IFERROR(OFFSET($BZ$11,ROW($B201)-11,MATCH(AE$10,$CA201:$FV201,0),),"")</f>
        <v/>
      </c>
      <c r="AF201" s="76">
        <f>IF(AE201="","",IF(VLOOKUP($B201,INDIRECT("'GRD-"&amp;AG201&amp;"'!$B:$R"),16,FALSE)="","",VLOOKUP($B201,INDIRECT("'GRD-"&amp;AG201&amp;"'!$B:$R"),16,FALSE)))</f>
        <v/>
      </c>
      <c r="AG201" s="132">
        <f t="array" ref="AG201">IF(AE201="","",IFERROR(OFFSET($BZ$11,0,MATCH($AE201,$CA201:$FV201,0),),""))</f>
        <v/>
      </c>
      <c r="AH201" s="121">
        <f t="array" ref="AH201">IF(AE201="","",INDIRECT("'GRD-"&amp;AG201&amp;"'!$L$7"))</f>
        <v/>
      </c>
      <c r="AI201" s="83">
        <f t="array" ref="AI201">IFERROR(OFFSET($BZ$11,ROW($B201)-11,MATCH(AI$10,$CA201:$FV201,0),),"")</f>
        <v/>
      </c>
      <c r="AJ201" s="83">
        <f>IF(AI201="","",IF(VLOOKUP($B201,INDIRECT("'GRD-"&amp;AK201&amp;"'!$B:$R"),16,FALSE)="","",VLOOKUP($B201,INDIRECT("'GRD-"&amp;AK201&amp;"'!$B:$R"),16,FALSE)))</f>
        <v/>
      </c>
      <c r="AK201" s="128">
        <f t="array" ref="AK201">IF(AI201="","",IFERROR(OFFSET($BZ$11,0,MATCH($AI201,$CA201:$FV201,0),),""))</f>
        <v/>
      </c>
      <c r="AL201" s="133">
        <f t="array" ref="AL201">IF(AI201="","",INDIRECT("'GRD-"&amp;AK201&amp;"'!$L$7"))</f>
        <v/>
      </c>
      <c r="AM201" s="84">
        <f t="array" ref="AM201">IFERROR(OFFSET($BZ$11,ROW($B201)-11,MATCH(AM$10,$CA201:$FV201,0),),"")</f>
        <v/>
      </c>
      <c r="AN201" s="84">
        <f>IF(AM201="","",IF(VLOOKUP($B201,INDIRECT("'GRD-"&amp;AO201&amp;"'!$B:$R"),16,FALSE)="","",VLOOKUP($B201,INDIRECT("'GRD-"&amp;AO201&amp;"'!$B:$R"),16,FALSE)))</f>
        <v/>
      </c>
      <c r="AO201" s="129">
        <f t="array" ref="AO201">IF(AM201="","",IFERROR(OFFSET($BZ$11,0,MATCH($AM201,$CA201:$FV201,0),),""))</f>
        <v/>
      </c>
      <c r="AP201" s="134">
        <f t="array" ref="AP201">IF(AM201="","",INDIRECT("'GRD-"&amp;AO201&amp;"'!$L$7"))</f>
        <v/>
      </c>
      <c r="AQ201" s="85">
        <f t="array" ref="AQ201">IFERROR(OFFSET($BZ$11,ROW($B201)-11,MATCH(AQ$10,$CA201:$FV201,0),),"")</f>
        <v/>
      </c>
      <c r="AR201" s="85">
        <f>IF(AQ201="","",IF(VLOOKUP($B201,INDIRECT("'GRD-"&amp;AS201&amp;"'!$B:$R"),16,FALSE)="","",VLOOKUP($B201,INDIRECT("'GRD-"&amp;AS201&amp;"'!$B:$R"),16,FALSE)))</f>
        <v/>
      </c>
      <c r="AS201" s="130">
        <f t="array" ref="AS201">IF(AQ201="","",IFERROR(OFFSET($BZ$11,0,MATCH($AQ201,$CA201:$FV201,0),),""))</f>
        <v/>
      </c>
      <c r="AT201" s="131">
        <f t="array" ref="AT201">IF(AQ201="","",INDIRECT("'GRD-"&amp;AS201&amp;"'!$L$7"))</f>
        <v/>
      </c>
      <c r="AU201" s="76">
        <f t="array" ref="AU201">IFERROR(OFFSET($BZ$11,ROW($B201)-11,MATCH(AU$10,$CA201:$FV201,0),),"")</f>
        <v/>
      </c>
      <c r="AV201" s="76">
        <f>IF(AU201="","",IF(VLOOKUP($B201,INDIRECT("'GRD-"&amp;AW201&amp;"'!$B:$R"),16,FALSE)="","",VLOOKUP($B201,INDIRECT("'GRD-"&amp;AW201&amp;"'!$B:$R"),16,FALSE)))</f>
        <v/>
      </c>
      <c r="AW201" s="132">
        <f t="array" ref="AW201">IF(AU201="","",IFERROR(OFFSET($BZ$11,0,MATCH($AU201,$CA201:$FV201,0),),""))</f>
        <v/>
      </c>
      <c r="AX201" s="121">
        <f t="array" ref="AX201">IF(AU201="","",INDIRECT("'GRD-"&amp;AW201&amp;"'!$L$7"))</f>
        <v/>
      </c>
      <c r="AY201" s="83">
        <f t="array" ref="AY201">IFERROR(OFFSET($BZ$11,ROW($B201)-11,MATCH(AY$10,$CA201:$FV201,0),),"")</f>
        <v/>
      </c>
      <c r="AZ201" s="83">
        <f>IF(AY201="","",IF(VLOOKUP($B201,INDIRECT("'GRD-"&amp;BA201&amp;"'!$B:$R"),16,FALSE)="","",VLOOKUP($B201,INDIRECT("'GRD-"&amp;BA201&amp;"'!$B:$R"),16,FALSE)))</f>
        <v/>
      </c>
      <c r="BA201" s="128">
        <f t="array" ref="BA201">IF(AY201="","",IFERROR(OFFSET($BZ$11,0,MATCH($AY201,$CA201:$FV201,0),),""))</f>
        <v/>
      </c>
      <c r="BB201" s="133">
        <f t="array" ref="BB201">IF(AY201="","",INDIRECT("'GRD-"&amp;BA201&amp;"'!$L$7"))</f>
        <v/>
      </c>
      <c r="BC201" s="84">
        <f t="array" ref="BC201">IFERROR(OFFSET($BZ$11,ROW($B201)-11,MATCH(BC$10,$CA201:$FV201,0),),"")</f>
        <v/>
      </c>
      <c r="BD201" s="84">
        <f>IF(BC201="","",IF(VLOOKUP($B201,INDIRECT("'GRD-"&amp;BE201&amp;"'!$B:$R"),16,FALSE)="","",VLOOKUP($B201,INDIRECT("'GRD-"&amp;BE201&amp;"'!$B:$R"),16,FALSE)))</f>
        <v/>
      </c>
      <c r="BE201" s="129">
        <f t="array" ref="BE201">IF(BC201="","",IFERROR(OFFSET($BZ$11,0,MATCH($BC201,$CA201:$FV201,0),),""))</f>
        <v/>
      </c>
      <c r="BF201" s="134">
        <f t="array" ref="BF201">IF(BC201="","",INDIRECT("'GRD-"&amp;BE201&amp;"'!$L$7"))</f>
        <v/>
      </c>
      <c r="CA201" s="96">
        <f>IFERROR(VLOOKUP($B201,INDIRECT("'GRD-"&amp;CA$11&amp;"'!B:R"),15,FALSE),"")</f>
        <v/>
      </c>
      <c r="CB201" s="96">
        <f>IFERROR(VLOOKUP($B201,INDIRECT("'GRD-"&amp;CB$11&amp;"'!B:R"),15,FALSE),"")</f>
        <v/>
      </c>
      <c r="CC201" s="96">
        <f>IFERROR(VLOOKUP($B201,INDIRECT("'GRD-"&amp;CC$11&amp;"'!B:R"),15,FALSE),"")</f>
        <v/>
      </c>
      <c r="CD201" s="96">
        <f>IFERROR(VLOOKUP($B201,INDIRECT("'GRD-"&amp;CD$11&amp;"'!B:R"),15,FALSE),"")</f>
        <v/>
      </c>
      <c r="CE201" s="96">
        <f>IFERROR(VLOOKUP($B201,INDIRECT("'GRD-"&amp;CE$11&amp;"'!B:R"),15,FALSE),"")</f>
        <v/>
      </c>
      <c r="CF201" s="96">
        <f>IFERROR(VLOOKUP($B201,INDIRECT("'GRD-"&amp;CF$11&amp;"'!B:R"),15,FALSE),"")</f>
        <v/>
      </c>
      <c r="CG201" s="96">
        <f>IFERROR(VLOOKUP($B201,INDIRECT("'GRD-"&amp;CG$11&amp;"'!B:R"),15,FALSE),"")</f>
        <v/>
      </c>
      <c r="CH201" s="96">
        <f>IFERROR(VLOOKUP($B201,INDIRECT("'GRD-"&amp;CH$11&amp;"'!B:R"),15,FALSE),"")</f>
        <v/>
      </c>
      <c r="CI201" s="96">
        <f>IFERROR(VLOOKUP($B201,INDIRECT("'GRD-"&amp;CI$11&amp;"'!B:R"),15,FALSE),"")</f>
        <v/>
      </c>
      <c r="CJ201" s="96">
        <f>IFERROR(VLOOKUP($B201,INDIRECT("'GRD-"&amp;CJ$11&amp;"'!B:R"),15,FALSE),"")</f>
        <v/>
      </c>
      <c r="CK201" s="96">
        <f>IFERROR(VLOOKUP($B201,INDIRECT("'GRD-"&amp;CK$11&amp;"'!B:R"),15,FALSE),"")</f>
        <v/>
      </c>
      <c r="CL201" s="96">
        <f>IFERROR(VLOOKUP($B201,INDIRECT("'GRD-"&amp;CL$11&amp;"'!B:R"),15,FALSE),"")</f>
        <v/>
      </c>
      <c r="CM201" s="96">
        <f>IFERROR(VLOOKUP($B201,INDIRECT("'GRD-"&amp;CM$11&amp;"'!B:R"),15,FALSE),"")</f>
        <v/>
      </c>
      <c r="CN201" s="96">
        <f>IFERROR(VLOOKUP($B201,INDIRECT("'GRD-"&amp;CN$11&amp;"'!B:R"),15,FALSE),"")</f>
        <v/>
      </c>
      <c r="CO201" s="96">
        <f>IFERROR(VLOOKUP($B201,INDIRECT("'GRD-"&amp;CO$11&amp;"'!B:R"),15,FALSE),"")</f>
        <v/>
      </c>
      <c r="CP201" s="96">
        <f>IFERROR(VLOOKUP($B201,INDIRECT("'GRD-"&amp;CP$11&amp;"'!B:R"),15,FALSE),"")</f>
        <v/>
      </c>
      <c r="CQ201" s="96">
        <f>IFERROR(VLOOKUP($B201,INDIRECT("'GRD-"&amp;CQ$11&amp;"'!B:R"),15,FALSE),"")</f>
        <v/>
      </c>
      <c r="CR201" s="96">
        <f>IFERROR(VLOOKUP($B201,INDIRECT("'GRD-"&amp;CR$11&amp;"'!B:R"),15,FALSE),"")</f>
        <v/>
      </c>
      <c r="CS201" s="96">
        <f>IFERROR(VLOOKUP($B201,INDIRECT("'GRD-"&amp;CS$11&amp;"'!B:R"),15,FALSE),"")</f>
        <v/>
      </c>
      <c r="CT201" s="96">
        <f>IFERROR(VLOOKUP($B201,INDIRECT("'GRD-"&amp;CT$11&amp;"'!B:R"),15,FALSE),"")</f>
        <v/>
      </c>
      <c r="CU201" s="96">
        <f>IFERROR(VLOOKUP($B201,INDIRECT("'GRD-"&amp;CU$11&amp;"'!B:R"),15,FALSE),"")</f>
        <v/>
      </c>
      <c r="CV201" s="96">
        <f>IFERROR(VLOOKUP($B201,INDIRECT("'GRD-"&amp;CV$11&amp;"'!B:R"),15,FALSE),"")</f>
        <v/>
      </c>
      <c r="CW201" s="96">
        <f>IFERROR(VLOOKUP($B201,INDIRECT("'GRD-"&amp;CW$11&amp;"'!B:R"),15,FALSE),"")</f>
        <v/>
      </c>
      <c r="CX201" s="96">
        <f>IFERROR(VLOOKUP($B201,INDIRECT("'GRD-"&amp;CX$11&amp;"'!B:R"),15,FALSE),"")</f>
        <v/>
      </c>
      <c r="CY201" s="96">
        <f>IFERROR(VLOOKUP($B201,INDIRECT("'GRD-"&amp;CY$11&amp;"'!B:R"),15,FALSE),"")</f>
        <v/>
      </c>
      <c r="CZ201" s="96">
        <f>IFERROR(VLOOKUP($B201,INDIRECT("'GRD-"&amp;CZ$11&amp;"'!B:R"),15,FALSE),"")</f>
        <v/>
      </c>
      <c r="DA201" s="96">
        <f>IFERROR(VLOOKUP($B201,INDIRECT("'GRD-"&amp;DA$11&amp;"'!B:R"),15,FALSE),"")</f>
        <v/>
      </c>
      <c r="DB201" s="96">
        <f>IFERROR(VLOOKUP($B201,INDIRECT("'GRD-"&amp;DB$11&amp;"'!B:R"),15,FALSE),"")</f>
        <v/>
      </c>
      <c r="DC201" s="96">
        <f>IFERROR(VLOOKUP($B201,INDIRECT("'GRD-"&amp;DC$11&amp;"'!B:R"),15,FALSE),"")</f>
        <v/>
      </c>
      <c r="DD201" s="96">
        <f>IFERROR(VLOOKUP($B201,INDIRECT("'GRD-"&amp;DD$11&amp;"'!B:R"),15,FALSE),"")</f>
        <v/>
      </c>
      <c r="DE201" s="96">
        <f>IFERROR(VLOOKUP($B201,INDIRECT("'GRD-"&amp;DE$11&amp;"'!B:R"),15,FALSE),"")</f>
        <v/>
      </c>
      <c r="DF201" s="96">
        <f>IFERROR(VLOOKUP($B201,INDIRECT("'GRD-"&amp;DF$11&amp;"'!B:R"),15,FALSE),"")</f>
        <v/>
      </c>
      <c r="DG201" s="96">
        <f>IFERROR(VLOOKUP($B201,INDIRECT("'GRD-"&amp;DG$11&amp;"'!B:R"),15,FALSE),"")</f>
        <v/>
      </c>
      <c r="DH201" s="96">
        <f>IFERROR(VLOOKUP($B201,INDIRECT("'GRD-"&amp;DH$11&amp;"'!B:R"),15,FALSE),"")</f>
        <v/>
      </c>
      <c r="DI201" s="96">
        <f>IFERROR(VLOOKUP($B201,INDIRECT("'GRD-"&amp;DI$11&amp;"'!B:R"),15,FALSE),"")</f>
        <v/>
      </c>
      <c r="DJ201" s="96">
        <f>IFERROR(VLOOKUP($B201,INDIRECT("'GRD-"&amp;DJ$11&amp;"'!B:R"),15,FALSE),"")</f>
        <v/>
      </c>
      <c r="DK201" s="96">
        <f>IFERROR(VLOOKUP($B201,INDIRECT("'GRD-"&amp;DK$11&amp;"'!B:R"),15,FALSE),"")</f>
        <v/>
      </c>
      <c r="DL201" s="96">
        <f>IFERROR(VLOOKUP($B201,INDIRECT("'GRD-"&amp;DL$11&amp;"'!B:R"),15,FALSE),"")</f>
        <v/>
      </c>
      <c r="DM201" s="96">
        <f>IFERROR(VLOOKUP($B201,INDIRECT("'GRD-"&amp;DM$11&amp;"'!B:R"),15,FALSE),"")</f>
        <v/>
      </c>
      <c r="DN201" s="96">
        <f>IFERROR(VLOOKUP($B201,INDIRECT("'GRD-"&amp;DN$11&amp;"'!B:R"),15,FALSE),"")</f>
        <v/>
      </c>
      <c r="DO201" s="96">
        <f>IFERROR(VLOOKUP($B201,INDIRECT("'GRD-"&amp;DO$11&amp;"'!B:R"),15,FALSE),"")</f>
        <v/>
      </c>
      <c r="DP201" s="96">
        <f>IFERROR(VLOOKUP($B201,INDIRECT("'GRD-"&amp;DP$11&amp;"'!B:R"),15,FALSE),"")</f>
        <v/>
      </c>
      <c r="DQ201" s="96">
        <f>IFERROR(VLOOKUP($B201,INDIRECT("'GRD-"&amp;DQ$11&amp;"'!B:R"),15,FALSE),"")</f>
        <v/>
      </c>
      <c r="DR201" s="96">
        <f>IFERROR(VLOOKUP($B201,INDIRECT("'GRD-"&amp;DR$11&amp;"'!B:R"),15,FALSE),"")</f>
        <v/>
      </c>
      <c r="DS201" s="96">
        <f>IFERROR(VLOOKUP($B201,INDIRECT("'GRD-"&amp;DS$11&amp;"'!B:R"),15,FALSE),"")</f>
        <v/>
      </c>
      <c r="DT201" s="96">
        <f>IFERROR(VLOOKUP($B201,INDIRECT("'GRD-"&amp;DT$11&amp;"'!B:R"),15,FALSE),"")</f>
        <v/>
      </c>
      <c r="DU201" s="96">
        <f>IFERROR(VLOOKUP($B201,INDIRECT("'GRD-"&amp;DU$11&amp;"'!B:R"),15,FALSE),"")</f>
        <v/>
      </c>
      <c r="DV201" s="96">
        <f>IFERROR(VLOOKUP($B201,INDIRECT("'GRD-"&amp;DV$11&amp;"'!B:R"),15,FALSE),"")</f>
        <v/>
      </c>
      <c r="DW201" s="96">
        <f>IFERROR(VLOOKUP($B201,INDIRECT("'GRD-"&amp;DW$11&amp;"'!B:R"),15,FALSE),"")</f>
        <v/>
      </c>
      <c r="DX201" s="96">
        <f>IFERROR(VLOOKUP($B201,INDIRECT("'GRD-"&amp;DX$11&amp;"'!B:R"),15,FALSE),"")</f>
        <v/>
      </c>
      <c r="DY201" s="96">
        <f>IFERROR(VLOOKUP($B201,INDIRECT("'GRD-"&amp;DY$11&amp;"'!B:R"),15,FALSE),"")</f>
        <v/>
      </c>
      <c r="DZ201" s="96">
        <f>IFERROR(VLOOKUP($B201,INDIRECT("'GRD-"&amp;DZ$11&amp;"'!B:R"),15,FALSE),"")</f>
        <v/>
      </c>
      <c r="EA201" s="96">
        <f>IFERROR(VLOOKUP($B201,INDIRECT("'GRD-"&amp;EA$11&amp;"'!B:R"),15,FALSE),"")</f>
        <v/>
      </c>
      <c r="EB201" s="96">
        <f>IFERROR(VLOOKUP($B201,INDIRECT("'GRD-"&amp;EB$11&amp;"'!B:R"),15,FALSE),"")</f>
        <v/>
      </c>
      <c r="EC201" s="96">
        <f>IFERROR(VLOOKUP($B201,INDIRECT("'GRD-"&amp;EC$11&amp;"'!B:R"),15,FALSE),"")</f>
        <v/>
      </c>
      <c r="ED201" s="96">
        <f>IFERROR(VLOOKUP($B201,INDIRECT("'GRD-"&amp;ED$11&amp;"'!B:R"),15,FALSE),"")</f>
        <v/>
      </c>
      <c r="EE201" s="96">
        <f>IFERROR(VLOOKUP($B201,INDIRECT("'GRD-"&amp;EE$11&amp;"'!B:R"),15,FALSE),"")</f>
        <v/>
      </c>
      <c r="EF201" s="96">
        <f>IFERROR(VLOOKUP($B201,INDIRECT("'GRD-"&amp;EF$11&amp;"'!B:R"),15,FALSE),"")</f>
        <v/>
      </c>
      <c r="EG201" s="96">
        <f>IFERROR(VLOOKUP($B201,INDIRECT("'GRD-"&amp;EG$11&amp;"'!B:R"),15,FALSE),"")</f>
        <v/>
      </c>
      <c r="EH201" s="96">
        <f>IFERROR(VLOOKUP($B201,INDIRECT("'GRD-"&amp;EH$11&amp;"'!B:R"),15,FALSE),"")</f>
        <v/>
      </c>
      <c r="EI201" s="96">
        <f>IFERROR(VLOOKUP($B201,INDIRECT("'GRD-"&amp;EI$11&amp;"'!B:R"),15,FALSE),"")</f>
        <v/>
      </c>
      <c r="EJ201" s="96">
        <f>IFERROR(VLOOKUP($B201,INDIRECT("'GRD-"&amp;EJ$11&amp;"'!B:R"),15,FALSE),"")</f>
        <v/>
      </c>
      <c r="EK201" s="96">
        <f>IFERROR(VLOOKUP($B201,INDIRECT("'GRD-"&amp;EK$11&amp;"'!B:R"),15,FALSE),"")</f>
        <v/>
      </c>
      <c r="EL201" s="96">
        <f>IFERROR(VLOOKUP($B201,INDIRECT("'GRD-"&amp;EL$11&amp;"'!B:R"),15,FALSE),"")</f>
        <v/>
      </c>
      <c r="EM201" s="96">
        <f>IFERROR(VLOOKUP($B201,INDIRECT("'GRD-"&amp;EM$11&amp;"'!B:R"),15,FALSE),"")</f>
        <v/>
      </c>
      <c r="EN201" s="96">
        <f>IFERROR(VLOOKUP($B201,INDIRECT("'GRD-"&amp;EN$11&amp;"'!B:R"),15,FALSE),"")</f>
        <v/>
      </c>
      <c r="EO201" s="96">
        <f>IFERROR(VLOOKUP($B201,INDIRECT("'GRD-"&amp;EO$11&amp;"'!B:R"),15,FALSE),"")</f>
        <v/>
      </c>
      <c r="EP201" s="96">
        <f>IFERROR(VLOOKUP($B201,INDIRECT("'GRD-"&amp;EP$11&amp;"'!B:R"),15,FALSE),"")</f>
        <v/>
      </c>
      <c r="EQ201" s="96">
        <f>IFERROR(VLOOKUP($B201,INDIRECT("'GRD-"&amp;EQ$11&amp;"'!B:R"),15,FALSE),"")</f>
        <v/>
      </c>
      <c r="ER201" s="96">
        <f>IFERROR(VLOOKUP($B201,INDIRECT("'GRD-"&amp;ER$11&amp;"'!B:R"),15,FALSE),"")</f>
        <v/>
      </c>
      <c r="ES201" s="96">
        <f>IFERROR(VLOOKUP($B201,INDIRECT("'GRD-"&amp;ES$11&amp;"'!B:R"),15,FALSE),"")</f>
        <v/>
      </c>
      <c r="ET201" s="96">
        <f>IFERROR(VLOOKUP($B201,INDIRECT("'GRD-"&amp;ET$11&amp;"'!B:R"),15,FALSE),"")</f>
        <v/>
      </c>
      <c r="EU201" s="96">
        <f>IFERROR(VLOOKUP($B201,INDIRECT("'GRD-"&amp;EU$11&amp;"'!B:R"),15,FALSE),"")</f>
        <v/>
      </c>
      <c r="EV201" s="96">
        <f>IFERROR(VLOOKUP($B201,INDIRECT("'GRD-"&amp;EV$11&amp;"'!B:R"),15,FALSE),"")</f>
        <v/>
      </c>
      <c r="EW201" s="96">
        <f>IFERROR(VLOOKUP($B201,INDIRECT("'GRD-"&amp;EW$11&amp;"'!B:R"),15,FALSE),"")</f>
        <v/>
      </c>
      <c r="EX201" s="96">
        <f>IFERROR(VLOOKUP($B201,INDIRECT("'GRD-"&amp;EX$11&amp;"'!B:R"),15,FALSE),"")</f>
        <v/>
      </c>
      <c r="EY201" s="96">
        <f>IFERROR(VLOOKUP($B201,INDIRECT("'GRD-"&amp;EY$11&amp;"'!B:R"),15,FALSE),"")</f>
        <v/>
      </c>
      <c r="EZ201" s="96">
        <f>IFERROR(VLOOKUP($B201,INDIRECT("'GRD-"&amp;EZ$11&amp;"'!B:R"),15,FALSE),"")</f>
        <v/>
      </c>
      <c r="FA201" s="96">
        <f>IFERROR(VLOOKUP($B201,INDIRECT("'GRD-"&amp;FA$11&amp;"'!B:R"),15,FALSE),"")</f>
        <v/>
      </c>
      <c r="FB201" s="96">
        <f>IFERROR(VLOOKUP($B201,INDIRECT("'GRD-"&amp;FB$11&amp;"'!B:R"),15,FALSE),"")</f>
        <v/>
      </c>
      <c r="FC201" s="96">
        <f>IFERROR(VLOOKUP($B201,INDIRECT("'GRD-"&amp;FC$11&amp;"'!B:R"),15,FALSE),"")</f>
        <v/>
      </c>
      <c r="FD201" s="96">
        <f>IFERROR(VLOOKUP($B201,INDIRECT("'GRD-"&amp;FD$11&amp;"'!B:R"),15,FALSE),"")</f>
        <v/>
      </c>
      <c r="FE201" s="96">
        <f>IFERROR(VLOOKUP($B201,INDIRECT("'GRD-"&amp;FE$11&amp;"'!B:R"),15,FALSE),"")</f>
        <v/>
      </c>
      <c r="FF201" s="96">
        <f>IFERROR(VLOOKUP($B201,INDIRECT("'GRD-"&amp;FF$11&amp;"'!B:R"),15,FALSE),"")</f>
        <v/>
      </c>
      <c r="FG201" s="96">
        <f>IFERROR(VLOOKUP($B201,INDIRECT("'GRD-"&amp;FG$11&amp;"'!B:R"),15,FALSE),"")</f>
        <v/>
      </c>
      <c r="FH201" s="96">
        <f>IFERROR(VLOOKUP($B201,INDIRECT("'GRD-"&amp;FH$11&amp;"'!B:R"),15,FALSE),"")</f>
        <v/>
      </c>
      <c r="FI201" s="96">
        <f>IFERROR(VLOOKUP($B201,INDIRECT("'GRD-"&amp;FI$11&amp;"'!B:R"),15,FALSE),"")</f>
        <v/>
      </c>
      <c r="FJ201" s="96">
        <f>IFERROR(VLOOKUP($B201,INDIRECT("'GRD-"&amp;FJ$11&amp;"'!B:R"),15,FALSE),"")</f>
        <v/>
      </c>
      <c r="FK201" s="96">
        <f>IFERROR(VLOOKUP($B201,INDIRECT("'GRD-"&amp;FK$11&amp;"'!B:R"),15,FALSE),"")</f>
        <v/>
      </c>
      <c r="FL201" s="96">
        <f>IFERROR(VLOOKUP($B201,INDIRECT("'GRD-"&amp;FL$11&amp;"'!B:R"),15,FALSE),"")</f>
        <v/>
      </c>
      <c r="FM201" s="96">
        <f>IFERROR(VLOOKUP($B201,INDIRECT("'GRD-"&amp;FM$11&amp;"'!B:R"),15,FALSE),"")</f>
        <v/>
      </c>
      <c r="FN201" s="96">
        <f>IFERROR(VLOOKUP($B201,INDIRECT("'GRD-"&amp;FN$11&amp;"'!B:R"),15,FALSE),"")</f>
        <v/>
      </c>
      <c r="FO201" s="96">
        <f>IFERROR(VLOOKUP($B201,INDIRECT("'GRD-"&amp;FO$11&amp;"'!B:R"),15,FALSE),"")</f>
        <v/>
      </c>
      <c r="FP201" s="96">
        <f>IFERROR(VLOOKUP($B201,INDIRECT("'GRD-"&amp;FP$11&amp;"'!B:R"),15,FALSE),"")</f>
        <v/>
      </c>
      <c r="FQ201" s="96">
        <f>IFERROR(VLOOKUP($B201,INDIRECT("'GRD-"&amp;FQ$11&amp;"'!B:R"),15,FALSE),"")</f>
        <v/>
      </c>
      <c r="FR201" s="96">
        <f>IFERROR(VLOOKUP($B201,INDIRECT("'GRD-"&amp;FR$11&amp;"'!B:R"),15,FALSE),"")</f>
        <v/>
      </c>
      <c r="FS201" s="96">
        <f>IFERROR(VLOOKUP($B201,INDIRECT("'GRD-"&amp;FS$11&amp;"'!B:R"),15,FALSE),"")</f>
        <v/>
      </c>
      <c r="FT201" s="96">
        <f>IFERROR(VLOOKUP($B201,INDIRECT("'GRD-"&amp;FT$11&amp;"'!B:R"),15,FALSE),"")</f>
        <v/>
      </c>
      <c r="FU201" s="96">
        <f>IFERROR(VLOOKUP($B201,INDIRECT("'GRD-"&amp;FU$11&amp;"'!B:R"),15,FALSE),"")</f>
        <v/>
      </c>
      <c r="FV201" s="96">
        <f>IFERROR(VLOOKUP($B201,INDIRECT("'GRD-"&amp;FV$11&amp;"'!B:R"),15,FALSE),"")</f>
        <v/>
      </c>
    </row>
    <row r="202">
      <c r="B202" s="85" t="n"/>
      <c r="C202" s="93" t="n"/>
      <c r="D202" s="73">
        <f>IF(K202="","",MAX($CA202:$FV202))</f>
        <v/>
      </c>
      <c r="E202" s="74">
        <f t="array" ref="E202">IF($K202="","",OFFSET($A$1,ROW($B202)-1,11+$D202*4,))</f>
        <v/>
      </c>
      <c r="F202" s="74">
        <f t="array" ref="F202">IF($K202="","",OFFSET($A$1,ROW($B202)-1,12+$D202*4,))</f>
        <v/>
      </c>
      <c r="G202" s="118">
        <f t="array" ref="G202">IF($K202="","",OFFSET($A$1,ROW($B202)-1,13+$D202*4,))</f>
        <v/>
      </c>
      <c r="H202" s="81" t="n"/>
      <c r="I202" s="82" t="n"/>
      <c r="J202" s="75">
        <f>IF(I202="A4",H202/8,IF(I202="A3",H202/4,IF(I202="A2",H202/2,IF(I202="A1",H202/1,IF(I202="A0",H202*2,"")))))</f>
        <v/>
      </c>
      <c r="K202" s="68">
        <f t="array" ref="K202">IFERROR(OFFSET($BZ$11,ROW($B202)-11,MATCH(K$10,$CA202:$FV202,0),),"")</f>
        <v/>
      </c>
      <c r="L202" s="85">
        <f>IF(K202="","",IF(VLOOKUP($B202,INDIRECT("'GRD-"&amp;M202&amp;"'!$B:$R"),16,FALSE)="","",VLOOKUP($B202,INDIRECT("'GRD-"&amp;M202&amp;"'!$B:$R"),16,FALSE)))</f>
        <v/>
      </c>
      <c r="M202" s="130">
        <f t="array" ref="M202">IF(K202="","",IFERROR(OFFSET($BZ$11,0,MATCH($K202,$CA202:$FV202,0),),""))</f>
        <v/>
      </c>
      <c r="N202" s="119">
        <f t="array" ref="N202">IF(K202="","",INDIRECT("'GRD-"&amp;M202&amp;"'!$L$7"))</f>
        <v/>
      </c>
      <c r="O202" s="76">
        <f t="array" ref="O202">IFERROR(OFFSET($BZ$11,ROW($B202)-11,MATCH(O$10,$CA202:$FV202,0),),"")</f>
        <v/>
      </c>
      <c r="P202" s="76">
        <f>IF(O202="","",IF(VLOOKUP($B202,INDIRECT("'GRD-"&amp;Q202&amp;"'!$B:$R"),16,FALSE)="","",VLOOKUP($B202,INDIRECT("'GRD-"&amp;Q202&amp;"'!$B:$R"),16,FALSE)))</f>
        <v/>
      </c>
      <c r="Q202" s="132">
        <f t="array" ref="Q202">IF(O202="","",IFERROR(OFFSET($BZ$11,0,MATCH($O202,$CA202:$FV202,0),),""))</f>
        <v/>
      </c>
      <c r="R202" s="121">
        <f t="array" ref="R202">IF(O202="","",INDIRECT("'GRD-"&amp;Q202&amp;"'!$L$7"))</f>
        <v/>
      </c>
      <c r="S202" s="83">
        <f t="array" ref="S202">IFERROR(OFFSET($BZ$11,ROW($B202)-11,MATCH(S$10,$CA202:$FV202,0),),"")</f>
        <v/>
      </c>
      <c r="T202" s="83">
        <f>IF(S202="","",IF(VLOOKUP($B202,INDIRECT("'GRD-"&amp;U202&amp;"'!$B:$R"),16,FALSE)="","",VLOOKUP($B202,INDIRECT("'GRD-"&amp;U202&amp;"'!$B:$R"),16,FALSE)))</f>
        <v/>
      </c>
      <c r="U202" s="128">
        <f t="array" ref="U202">IF(S202="","",IFERROR(OFFSET($BZ$11,0,MATCH($S202,$CA202:$FV202,0),),""))</f>
        <v/>
      </c>
      <c r="V202" s="133">
        <f t="array" ref="V202">IF(S202="","",INDIRECT("'GRD-"&amp;U202&amp;"'!$L$7"))</f>
        <v/>
      </c>
      <c r="W202" s="84">
        <f t="array" ref="W202">IFERROR(OFFSET($BZ$11,ROW($B202)-11,MATCH(W$10,$CA202:$FV202,0),),"")</f>
        <v/>
      </c>
      <c r="X202" s="84">
        <f>IF(W202="","",IF(VLOOKUP($B202,INDIRECT("'GRD-"&amp;Y202&amp;"'!$B:$R"),16,FALSE)="","",VLOOKUP($B202,INDIRECT("'GRD-"&amp;Y202&amp;"'!$B:$R"),16,FALSE)))</f>
        <v/>
      </c>
      <c r="Y202" s="129">
        <f t="array" ref="Y202">IF(W202="","",IFERROR(OFFSET($BZ$11,0,MATCH($W202,$CA202:$FV202,0),),""))</f>
        <v/>
      </c>
      <c r="Z202" s="134">
        <f t="array" ref="Z202">IF(W202="","",INDIRECT("'GRD-"&amp;Y202&amp;"'!$L$7"))</f>
        <v/>
      </c>
      <c r="AA202" s="85">
        <f t="array" ref="AA202">IFERROR(OFFSET($BZ$11,ROW($B202)-11,MATCH(AA$10,$CA202:$FV202,0),),"")</f>
        <v/>
      </c>
      <c r="AB202" s="85">
        <f>IF(AA202="","",IF(VLOOKUP($B202,INDIRECT("'GRD-"&amp;AC202&amp;"'!$B:$R"),16,FALSE)="","",VLOOKUP($B202,INDIRECT("'GRD-"&amp;AC202&amp;"'!$B:$R"),16,FALSE)))</f>
        <v/>
      </c>
      <c r="AC202" s="130">
        <f t="array" ref="AC202">IF(AA202="","",IFERROR(OFFSET($BZ$11,0,MATCH($AA202,$CA202:$FV202,0),),""))</f>
        <v/>
      </c>
      <c r="AD202" s="131">
        <f t="array" ref="AD202">IF(AA202="","",INDIRECT("'GRD-"&amp;AC202&amp;"'!$L$7"))</f>
        <v/>
      </c>
      <c r="AE202" s="76">
        <f t="array" ref="AE202">IFERROR(OFFSET($BZ$11,ROW($B202)-11,MATCH(AE$10,$CA202:$FV202,0),),"")</f>
        <v/>
      </c>
      <c r="AF202" s="76">
        <f>IF(AE202="","",IF(VLOOKUP($B202,INDIRECT("'GRD-"&amp;AG202&amp;"'!$B:$R"),16,FALSE)="","",VLOOKUP($B202,INDIRECT("'GRD-"&amp;AG202&amp;"'!$B:$R"),16,FALSE)))</f>
        <v/>
      </c>
      <c r="AG202" s="132">
        <f t="array" ref="AG202">IF(AE202="","",IFERROR(OFFSET($BZ$11,0,MATCH($AE202,$CA202:$FV202,0),),""))</f>
        <v/>
      </c>
      <c r="AH202" s="121">
        <f t="array" ref="AH202">IF(AE202="","",INDIRECT("'GRD-"&amp;AG202&amp;"'!$L$7"))</f>
        <v/>
      </c>
      <c r="AI202" s="83">
        <f t="array" ref="AI202">IFERROR(OFFSET($BZ$11,ROW($B202)-11,MATCH(AI$10,$CA202:$FV202,0),),"")</f>
        <v/>
      </c>
      <c r="AJ202" s="83">
        <f>IF(AI202="","",IF(VLOOKUP($B202,INDIRECT("'GRD-"&amp;AK202&amp;"'!$B:$R"),16,FALSE)="","",VLOOKUP($B202,INDIRECT("'GRD-"&amp;AK202&amp;"'!$B:$R"),16,FALSE)))</f>
        <v/>
      </c>
      <c r="AK202" s="128">
        <f t="array" ref="AK202">IF(AI202="","",IFERROR(OFFSET($BZ$11,0,MATCH($AI202,$CA202:$FV202,0),),""))</f>
        <v/>
      </c>
      <c r="AL202" s="133">
        <f t="array" ref="AL202">IF(AI202="","",INDIRECT("'GRD-"&amp;AK202&amp;"'!$L$7"))</f>
        <v/>
      </c>
      <c r="AM202" s="84">
        <f t="array" ref="AM202">IFERROR(OFFSET($BZ$11,ROW($B202)-11,MATCH(AM$10,$CA202:$FV202,0),),"")</f>
        <v/>
      </c>
      <c r="AN202" s="84">
        <f>IF(AM202="","",IF(VLOOKUP($B202,INDIRECT("'GRD-"&amp;AO202&amp;"'!$B:$R"),16,FALSE)="","",VLOOKUP($B202,INDIRECT("'GRD-"&amp;AO202&amp;"'!$B:$R"),16,FALSE)))</f>
        <v/>
      </c>
      <c r="AO202" s="129">
        <f t="array" ref="AO202">IF(AM202="","",IFERROR(OFFSET($BZ$11,0,MATCH($AM202,$CA202:$FV202,0),),""))</f>
        <v/>
      </c>
      <c r="AP202" s="134">
        <f t="array" ref="AP202">IF(AM202="","",INDIRECT("'GRD-"&amp;AO202&amp;"'!$L$7"))</f>
        <v/>
      </c>
      <c r="AQ202" s="85">
        <f t="array" ref="AQ202">IFERROR(OFFSET($BZ$11,ROW($B202)-11,MATCH(AQ$10,$CA202:$FV202,0),),"")</f>
        <v/>
      </c>
      <c r="AR202" s="85">
        <f>IF(AQ202="","",IF(VLOOKUP($B202,INDIRECT("'GRD-"&amp;AS202&amp;"'!$B:$R"),16,FALSE)="","",VLOOKUP($B202,INDIRECT("'GRD-"&amp;AS202&amp;"'!$B:$R"),16,FALSE)))</f>
        <v/>
      </c>
      <c r="AS202" s="130">
        <f t="array" ref="AS202">IF(AQ202="","",IFERROR(OFFSET($BZ$11,0,MATCH($AQ202,$CA202:$FV202,0),),""))</f>
        <v/>
      </c>
      <c r="AT202" s="131">
        <f t="array" ref="AT202">IF(AQ202="","",INDIRECT("'GRD-"&amp;AS202&amp;"'!$L$7"))</f>
        <v/>
      </c>
      <c r="AU202" s="76">
        <f t="array" ref="AU202">IFERROR(OFFSET($BZ$11,ROW($B202)-11,MATCH(AU$10,$CA202:$FV202,0),),"")</f>
        <v/>
      </c>
      <c r="AV202" s="76">
        <f>IF(AU202="","",IF(VLOOKUP($B202,INDIRECT("'GRD-"&amp;AW202&amp;"'!$B:$R"),16,FALSE)="","",VLOOKUP($B202,INDIRECT("'GRD-"&amp;AW202&amp;"'!$B:$R"),16,FALSE)))</f>
        <v/>
      </c>
      <c r="AW202" s="132">
        <f t="array" ref="AW202">IF(AU202="","",IFERROR(OFFSET($BZ$11,0,MATCH($AU202,$CA202:$FV202,0),),""))</f>
        <v/>
      </c>
      <c r="AX202" s="121">
        <f t="array" ref="AX202">IF(AU202="","",INDIRECT("'GRD-"&amp;AW202&amp;"'!$L$7"))</f>
        <v/>
      </c>
      <c r="AY202" s="83">
        <f t="array" ref="AY202">IFERROR(OFFSET($BZ$11,ROW($B202)-11,MATCH(AY$10,$CA202:$FV202,0),),"")</f>
        <v/>
      </c>
      <c r="AZ202" s="83">
        <f>IF(AY202="","",IF(VLOOKUP($B202,INDIRECT("'GRD-"&amp;BA202&amp;"'!$B:$R"),16,FALSE)="","",VLOOKUP($B202,INDIRECT("'GRD-"&amp;BA202&amp;"'!$B:$R"),16,FALSE)))</f>
        <v/>
      </c>
      <c r="BA202" s="128">
        <f t="array" ref="BA202">IF(AY202="","",IFERROR(OFFSET($BZ$11,0,MATCH($AY202,$CA202:$FV202,0),),""))</f>
        <v/>
      </c>
      <c r="BB202" s="133">
        <f t="array" ref="BB202">IF(AY202="","",INDIRECT("'GRD-"&amp;BA202&amp;"'!$L$7"))</f>
        <v/>
      </c>
      <c r="BC202" s="84">
        <f t="array" ref="BC202">IFERROR(OFFSET($BZ$11,ROW($B202)-11,MATCH(BC$10,$CA202:$FV202,0),),"")</f>
        <v/>
      </c>
      <c r="BD202" s="84">
        <f>IF(BC202="","",IF(VLOOKUP($B202,INDIRECT("'GRD-"&amp;BE202&amp;"'!$B:$R"),16,FALSE)="","",VLOOKUP($B202,INDIRECT("'GRD-"&amp;BE202&amp;"'!$B:$R"),16,FALSE)))</f>
        <v/>
      </c>
      <c r="BE202" s="129">
        <f t="array" ref="BE202">IF(BC202="","",IFERROR(OFFSET($BZ$11,0,MATCH($BC202,$CA202:$FV202,0),),""))</f>
        <v/>
      </c>
      <c r="BF202" s="134">
        <f t="array" ref="BF202">IF(BC202="","",INDIRECT("'GRD-"&amp;BE202&amp;"'!$L$7"))</f>
        <v/>
      </c>
      <c r="CA202" s="96">
        <f>IFERROR(VLOOKUP($B202,INDIRECT("'GRD-"&amp;CA$11&amp;"'!B:R"),15,FALSE),"")</f>
        <v/>
      </c>
      <c r="CB202" s="96">
        <f>IFERROR(VLOOKUP($B202,INDIRECT("'GRD-"&amp;CB$11&amp;"'!B:R"),15,FALSE),"")</f>
        <v/>
      </c>
      <c r="CC202" s="96">
        <f>IFERROR(VLOOKUP($B202,INDIRECT("'GRD-"&amp;CC$11&amp;"'!B:R"),15,FALSE),"")</f>
        <v/>
      </c>
      <c r="CD202" s="96">
        <f>IFERROR(VLOOKUP($B202,INDIRECT("'GRD-"&amp;CD$11&amp;"'!B:R"),15,FALSE),"")</f>
        <v/>
      </c>
      <c r="CE202" s="96">
        <f>IFERROR(VLOOKUP($B202,INDIRECT("'GRD-"&amp;CE$11&amp;"'!B:R"),15,FALSE),"")</f>
        <v/>
      </c>
      <c r="CF202" s="96">
        <f>IFERROR(VLOOKUP($B202,INDIRECT("'GRD-"&amp;CF$11&amp;"'!B:R"),15,FALSE),"")</f>
        <v/>
      </c>
      <c r="CG202" s="96">
        <f>IFERROR(VLOOKUP($B202,INDIRECT("'GRD-"&amp;CG$11&amp;"'!B:R"),15,FALSE),"")</f>
        <v/>
      </c>
      <c r="CH202" s="96">
        <f>IFERROR(VLOOKUP($B202,INDIRECT("'GRD-"&amp;CH$11&amp;"'!B:R"),15,FALSE),"")</f>
        <v/>
      </c>
      <c r="CI202" s="96">
        <f>IFERROR(VLOOKUP($B202,INDIRECT("'GRD-"&amp;CI$11&amp;"'!B:R"),15,FALSE),"")</f>
        <v/>
      </c>
      <c r="CJ202" s="96">
        <f>IFERROR(VLOOKUP($B202,INDIRECT("'GRD-"&amp;CJ$11&amp;"'!B:R"),15,FALSE),"")</f>
        <v/>
      </c>
      <c r="CK202" s="96">
        <f>IFERROR(VLOOKUP($B202,INDIRECT("'GRD-"&amp;CK$11&amp;"'!B:R"),15,FALSE),"")</f>
        <v/>
      </c>
      <c r="CL202" s="96">
        <f>IFERROR(VLOOKUP($B202,INDIRECT("'GRD-"&amp;CL$11&amp;"'!B:R"),15,FALSE),"")</f>
        <v/>
      </c>
      <c r="CM202" s="96">
        <f>IFERROR(VLOOKUP($B202,INDIRECT("'GRD-"&amp;CM$11&amp;"'!B:R"),15,FALSE),"")</f>
        <v/>
      </c>
      <c r="CN202" s="96">
        <f>IFERROR(VLOOKUP($B202,INDIRECT("'GRD-"&amp;CN$11&amp;"'!B:R"),15,FALSE),"")</f>
        <v/>
      </c>
      <c r="CO202" s="96">
        <f>IFERROR(VLOOKUP($B202,INDIRECT("'GRD-"&amp;CO$11&amp;"'!B:R"),15,FALSE),"")</f>
        <v/>
      </c>
      <c r="CP202" s="96">
        <f>IFERROR(VLOOKUP($B202,INDIRECT("'GRD-"&amp;CP$11&amp;"'!B:R"),15,FALSE),"")</f>
        <v/>
      </c>
      <c r="CQ202" s="96">
        <f>IFERROR(VLOOKUP($B202,INDIRECT("'GRD-"&amp;CQ$11&amp;"'!B:R"),15,FALSE),"")</f>
        <v/>
      </c>
      <c r="CR202" s="96">
        <f>IFERROR(VLOOKUP($B202,INDIRECT("'GRD-"&amp;CR$11&amp;"'!B:R"),15,FALSE),"")</f>
        <v/>
      </c>
      <c r="CS202" s="96">
        <f>IFERROR(VLOOKUP($B202,INDIRECT("'GRD-"&amp;CS$11&amp;"'!B:R"),15,FALSE),"")</f>
        <v/>
      </c>
      <c r="CT202" s="96">
        <f>IFERROR(VLOOKUP($B202,INDIRECT("'GRD-"&amp;CT$11&amp;"'!B:R"),15,FALSE),"")</f>
        <v/>
      </c>
      <c r="CU202" s="96">
        <f>IFERROR(VLOOKUP($B202,INDIRECT("'GRD-"&amp;CU$11&amp;"'!B:R"),15,FALSE),"")</f>
        <v/>
      </c>
      <c r="CV202" s="96">
        <f>IFERROR(VLOOKUP($B202,INDIRECT("'GRD-"&amp;CV$11&amp;"'!B:R"),15,FALSE),"")</f>
        <v/>
      </c>
      <c r="CW202" s="96">
        <f>IFERROR(VLOOKUP($B202,INDIRECT("'GRD-"&amp;CW$11&amp;"'!B:R"),15,FALSE),"")</f>
        <v/>
      </c>
      <c r="CX202" s="96">
        <f>IFERROR(VLOOKUP($B202,INDIRECT("'GRD-"&amp;CX$11&amp;"'!B:R"),15,FALSE),"")</f>
        <v/>
      </c>
      <c r="CY202" s="96">
        <f>IFERROR(VLOOKUP($B202,INDIRECT("'GRD-"&amp;CY$11&amp;"'!B:R"),15,FALSE),"")</f>
        <v/>
      </c>
      <c r="CZ202" s="96">
        <f>IFERROR(VLOOKUP($B202,INDIRECT("'GRD-"&amp;CZ$11&amp;"'!B:R"),15,FALSE),"")</f>
        <v/>
      </c>
      <c r="DA202" s="96">
        <f>IFERROR(VLOOKUP($B202,INDIRECT("'GRD-"&amp;DA$11&amp;"'!B:R"),15,FALSE),"")</f>
        <v/>
      </c>
      <c r="DB202" s="96">
        <f>IFERROR(VLOOKUP($B202,INDIRECT("'GRD-"&amp;DB$11&amp;"'!B:R"),15,FALSE),"")</f>
        <v/>
      </c>
      <c r="DC202" s="96">
        <f>IFERROR(VLOOKUP($B202,INDIRECT("'GRD-"&amp;DC$11&amp;"'!B:R"),15,FALSE),"")</f>
        <v/>
      </c>
      <c r="DD202" s="96">
        <f>IFERROR(VLOOKUP($B202,INDIRECT("'GRD-"&amp;DD$11&amp;"'!B:R"),15,FALSE),"")</f>
        <v/>
      </c>
      <c r="DE202" s="96">
        <f>IFERROR(VLOOKUP($B202,INDIRECT("'GRD-"&amp;DE$11&amp;"'!B:R"),15,FALSE),"")</f>
        <v/>
      </c>
      <c r="DF202" s="96">
        <f>IFERROR(VLOOKUP($B202,INDIRECT("'GRD-"&amp;DF$11&amp;"'!B:R"),15,FALSE),"")</f>
        <v/>
      </c>
      <c r="DG202" s="96">
        <f>IFERROR(VLOOKUP($B202,INDIRECT("'GRD-"&amp;DG$11&amp;"'!B:R"),15,FALSE),"")</f>
        <v/>
      </c>
      <c r="DH202" s="96">
        <f>IFERROR(VLOOKUP($B202,INDIRECT("'GRD-"&amp;DH$11&amp;"'!B:R"),15,FALSE),"")</f>
        <v/>
      </c>
      <c r="DI202" s="96">
        <f>IFERROR(VLOOKUP($B202,INDIRECT("'GRD-"&amp;DI$11&amp;"'!B:R"),15,FALSE),"")</f>
        <v/>
      </c>
      <c r="DJ202" s="96">
        <f>IFERROR(VLOOKUP($B202,INDIRECT("'GRD-"&amp;DJ$11&amp;"'!B:R"),15,FALSE),"")</f>
        <v/>
      </c>
      <c r="DK202" s="96">
        <f>IFERROR(VLOOKUP($B202,INDIRECT("'GRD-"&amp;DK$11&amp;"'!B:R"),15,FALSE),"")</f>
        <v/>
      </c>
      <c r="DL202" s="96">
        <f>IFERROR(VLOOKUP($B202,INDIRECT("'GRD-"&amp;DL$11&amp;"'!B:R"),15,FALSE),"")</f>
        <v/>
      </c>
      <c r="DM202" s="96">
        <f>IFERROR(VLOOKUP($B202,INDIRECT("'GRD-"&amp;DM$11&amp;"'!B:R"),15,FALSE),"")</f>
        <v/>
      </c>
      <c r="DN202" s="96">
        <f>IFERROR(VLOOKUP($B202,INDIRECT("'GRD-"&amp;DN$11&amp;"'!B:R"),15,FALSE),"")</f>
        <v/>
      </c>
      <c r="DO202" s="96">
        <f>IFERROR(VLOOKUP($B202,INDIRECT("'GRD-"&amp;DO$11&amp;"'!B:R"),15,FALSE),"")</f>
        <v/>
      </c>
      <c r="DP202" s="96">
        <f>IFERROR(VLOOKUP($B202,INDIRECT("'GRD-"&amp;DP$11&amp;"'!B:R"),15,FALSE),"")</f>
        <v/>
      </c>
      <c r="DQ202" s="96">
        <f>IFERROR(VLOOKUP($B202,INDIRECT("'GRD-"&amp;DQ$11&amp;"'!B:R"),15,FALSE),"")</f>
        <v/>
      </c>
      <c r="DR202" s="96">
        <f>IFERROR(VLOOKUP($B202,INDIRECT("'GRD-"&amp;DR$11&amp;"'!B:R"),15,FALSE),"")</f>
        <v/>
      </c>
      <c r="DS202" s="96">
        <f>IFERROR(VLOOKUP($B202,INDIRECT("'GRD-"&amp;DS$11&amp;"'!B:R"),15,FALSE),"")</f>
        <v/>
      </c>
      <c r="DT202" s="96">
        <f>IFERROR(VLOOKUP($B202,INDIRECT("'GRD-"&amp;DT$11&amp;"'!B:R"),15,FALSE),"")</f>
        <v/>
      </c>
      <c r="DU202" s="96">
        <f>IFERROR(VLOOKUP($B202,INDIRECT("'GRD-"&amp;DU$11&amp;"'!B:R"),15,FALSE),"")</f>
        <v/>
      </c>
      <c r="DV202" s="96">
        <f>IFERROR(VLOOKUP($B202,INDIRECT("'GRD-"&amp;DV$11&amp;"'!B:R"),15,FALSE),"")</f>
        <v/>
      </c>
      <c r="DW202" s="96">
        <f>IFERROR(VLOOKUP($B202,INDIRECT("'GRD-"&amp;DW$11&amp;"'!B:R"),15,FALSE),"")</f>
        <v/>
      </c>
      <c r="DX202" s="96">
        <f>IFERROR(VLOOKUP($B202,INDIRECT("'GRD-"&amp;DX$11&amp;"'!B:R"),15,FALSE),"")</f>
        <v/>
      </c>
      <c r="DY202" s="96">
        <f>IFERROR(VLOOKUP($B202,INDIRECT("'GRD-"&amp;DY$11&amp;"'!B:R"),15,FALSE),"")</f>
        <v/>
      </c>
      <c r="DZ202" s="96">
        <f>IFERROR(VLOOKUP($B202,INDIRECT("'GRD-"&amp;DZ$11&amp;"'!B:R"),15,FALSE),"")</f>
        <v/>
      </c>
      <c r="EA202" s="96">
        <f>IFERROR(VLOOKUP($B202,INDIRECT("'GRD-"&amp;EA$11&amp;"'!B:R"),15,FALSE),"")</f>
        <v/>
      </c>
      <c r="EB202" s="96">
        <f>IFERROR(VLOOKUP($B202,INDIRECT("'GRD-"&amp;EB$11&amp;"'!B:R"),15,FALSE),"")</f>
        <v/>
      </c>
      <c r="EC202" s="96">
        <f>IFERROR(VLOOKUP($B202,INDIRECT("'GRD-"&amp;EC$11&amp;"'!B:R"),15,FALSE),"")</f>
        <v/>
      </c>
      <c r="ED202" s="96">
        <f>IFERROR(VLOOKUP($B202,INDIRECT("'GRD-"&amp;ED$11&amp;"'!B:R"),15,FALSE),"")</f>
        <v/>
      </c>
      <c r="EE202" s="96">
        <f>IFERROR(VLOOKUP($B202,INDIRECT("'GRD-"&amp;EE$11&amp;"'!B:R"),15,FALSE),"")</f>
        <v/>
      </c>
      <c r="EF202" s="96">
        <f>IFERROR(VLOOKUP($B202,INDIRECT("'GRD-"&amp;EF$11&amp;"'!B:R"),15,FALSE),"")</f>
        <v/>
      </c>
      <c r="EG202" s="96">
        <f>IFERROR(VLOOKUP($B202,INDIRECT("'GRD-"&amp;EG$11&amp;"'!B:R"),15,FALSE),"")</f>
        <v/>
      </c>
      <c r="EH202" s="96">
        <f>IFERROR(VLOOKUP($B202,INDIRECT("'GRD-"&amp;EH$11&amp;"'!B:R"),15,FALSE),"")</f>
        <v/>
      </c>
      <c r="EI202" s="96">
        <f>IFERROR(VLOOKUP($B202,INDIRECT("'GRD-"&amp;EI$11&amp;"'!B:R"),15,FALSE),"")</f>
        <v/>
      </c>
      <c r="EJ202" s="96">
        <f>IFERROR(VLOOKUP($B202,INDIRECT("'GRD-"&amp;EJ$11&amp;"'!B:R"),15,FALSE),"")</f>
        <v/>
      </c>
      <c r="EK202" s="96">
        <f>IFERROR(VLOOKUP($B202,INDIRECT("'GRD-"&amp;EK$11&amp;"'!B:R"),15,FALSE),"")</f>
        <v/>
      </c>
      <c r="EL202" s="96">
        <f>IFERROR(VLOOKUP($B202,INDIRECT("'GRD-"&amp;EL$11&amp;"'!B:R"),15,FALSE),"")</f>
        <v/>
      </c>
      <c r="EM202" s="96">
        <f>IFERROR(VLOOKUP($B202,INDIRECT("'GRD-"&amp;EM$11&amp;"'!B:R"),15,FALSE),"")</f>
        <v/>
      </c>
      <c r="EN202" s="96">
        <f>IFERROR(VLOOKUP($B202,INDIRECT("'GRD-"&amp;EN$11&amp;"'!B:R"),15,FALSE),"")</f>
        <v/>
      </c>
      <c r="EO202" s="96">
        <f>IFERROR(VLOOKUP($B202,INDIRECT("'GRD-"&amp;EO$11&amp;"'!B:R"),15,FALSE),"")</f>
        <v/>
      </c>
      <c r="EP202" s="96">
        <f>IFERROR(VLOOKUP($B202,INDIRECT("'GRD-"&amp;EP$11&amp;"'!B:R"),15,FALSE),"")</f>
        <v/>
      </c>
      <c r="EQ202" s="96">
        <f>IFERROR(VLOOKUP($B202,INDIRECT("'GRD-"&amp;EQ$11&amp;"'!B:R"),15,FALSE),"")</f>
        <v/>
      </c>
      <c r="ER202" s="96">
        <f>IFERROR(VLOOKUP($B202,INDIRECT("'GRD-"&amp;ER$11&amp;"'!B:R"),15,FALSE),"")</f>
        <v/>
      </c>
      <c r="ES202" s="96">
        <f>IFERROR(VLOOKUP($B202,INDIRECT("'GRD-"&amp;ES$11&amp;"'!B:R"),15,FALSE),"")</f>
        <v/>
      </c>
      <c r="ET202" s="96">
        <f>IFERROR(VLOOKUP($B202,INDIRECT("'GRD-"&amp;ET$11&amp;"'!B:R"),15,FALSE),"")</f>
        <v/>
      </c>
      <c r="EU202" s="96">
        <f>IFERROR(VLOOKUP($B202,INDIRECT("'GRD-"&amp;EU$11&amp;"'!B:R"),15,FALSE),"")</f>
        <v/>
      </c>
      <c r="EV202" s="96">
        <f>IFERROR(VLOOKUP($B202,INDIRECT("'GRD-"&amp;EV$11&amp;"'!B:R"),15,FALSE),"")</f>
        <v/>
      </c>
      <c r="EW202" s="96">
        <f>IFERROR(VLOOKUP($B202,INDIRECT("'GRD-"&amp;EW$11&amp;"'!B:R"),15,FALSE),"")</f>
        <v/>
      </c>
      <c r="EX202" s="96">
        <f>IFERROR(VLOOKUP($B202,INDIRECT("'GRD-"&amp;EX$11&amp;"'!B:R"),15,FALSE),"")</f>
        <v/>
      </c>
      <c r="EY202" s="96">
        <f>IFERROR(VLOOKUP($B202,INDIRECT("'GRD-"&amp;EY$11&amp;"'!B:R"),15,FALSE),"")</f>
        <v/>
      </c>
      <c r="EZ202" s="96">
        <f>IFERROR(VLOOKUP($B202,INDIRECT("'GRD-"&amp;EZ$11&amp;"'!B:R"),15,FALSE),"")</f>
        <v/>
      </c>
      <c r="FA202" s="96">
        <f>IFERROR(VLOOKUP($B202,INDIRECT("'GRD-"&amp;FA$11&amp;"'!B:R"),15,FALSE),"")</f>
        <v/>
      </c>
      <c r="FB202" s="96">
        <f>IFERROR(VLOOKUP($B202,INDIRECT("'GRD-"&amp;FB$11&amp;"'!B:R"),15,FALSE),"")</f>
        <v/>
      </c>
      <c r="FC202" s="96">
        <f>IFERROR(VLOOKUP($B202,INDIRECT("'GRD-"&amp;FC$11&amp;"'!B:R"),15,FALSE),"")</f>
        <v/>
      </c>
      <c r="FD202" s="96">
        <f>IFERROR(VLOOKUP($B202,INDIRECT("'GRD-"&amp;FD$11&amp;"'!B:R"),15,FALSE),"")</f>
        <v/>
      </c>
      <c r="FE202" s="96">
        <f>IFERROR(VLOOKUP($B202,INDIRECT("'GRD-"&amp;FE$11&amp;"'!B:R"),15,FALSE),"")</f>
        <v/>
      </c>
      <c r="FF202" s="96">
        <f>IFERROR(VLOOKUP($B202,INDIRECT("'GRD-"&amp;FF$11&amp;"'!B:R"),15,FALSE),"")</f>
        <v/>
      </c>
      <c r="FG202" s="96">
        <f>IFERROR(VLOOKUP($B202,INDIRECT("'GRD-"&amp;FG$11&amp;"'!B:R"),15,FALSE),"")</f>
        <v/>
      </c>
      <c r="FH202" s="96">
        <f>IFERROR(VLOOKUP($B202,INDIRECT("'GRD-"&amp;FH$11&amp;"'!B:R"),15,FALSE),"")</f>
        <v/>
      </c>
      <c r="FI202" s="96">
        <f>IFERROR(VLOOKUP($B202,INDIRECT("'GRD-"&amp;FI$11&amp;"'!B:R"),15,FALSE),"")</f>
        <v/>
      </c>
      <c r="FJ202" s="96">
        <f>IFERROR(VLOOKUP($B202,INDIRECT("'GRD-"&amp;FJ$11&amp;"'!B:R"),15,FALSE),"")</f>
        <v/>
      </c>
      <c r="FK202" s="96">
        <f>IFERROR(VLOOKUP($B202,INDIRECT("'GRD-"&amp;FK$11&amp;"'!B:R"),15,FALSE),"")</f>
        <v/>
      </c>
      <c r="FL202" s="96">
        <f>IFERROR(VLOOKUP($B202,INDIRECT("'GRD-"&amp;FL$11&amp;"'!B:R"),15,FALSE),"")</f>
        <v/>
      </c>
      <c r="FM202" s="96">
        <f>IFERROR(VLOOKUP($B202,INDIRECT("'GRD-"&amp;FM$11&amp;"'!B:R"),15,FALSE),"")</f>
        <v/>
      </c>
      <c r="FN202" s="96">
        <f>IFERROR(VLOOKUP($B202,INDIRECT("'GRD-"&amp;FN$11&amp;"'!B:R"),15,FALSE),"")</f>
        <v/>
      </c>
      <c r="FO202" s="96">
        <f>IFERROR(VLOOKUP($B202,INDIRECT("'GRD-"&amp;FO$11&amp;"'!B:R"),15,FALSE),"")</f>
        <v/>
      </c>
      <c r="FP202" s="96">
        <f>IFERROR(VLOOKUP($B202,INDIRECT("'GRD-"&amp;FP$11&amp;"'!B:R"),15,FALSE),"")</f>
        <v/>
      </c>
      <c r="FQ202" s="96">
        <f>IFERROR(VLOOKUP($B202,INDIRECT("'GRD-"&amp;FQ$11&amp;"'!B:R"),15,FALSE),"")</f>
        <v/>
      </c>
      <c r="FR202" s="96">
        <f>IFERROR(VLOOKUP($B202,INDIRECT("'GRD-"&amp;FR$11&amp;"'!B:R"),15,FALSE),"")</f>
        <v/>
      </c>
      <c r="FS202" s="96">
        <f>IFERROR(VLOOKUP($B202,INDIRECT("'GRD-"&amp;FS$11&amp;"'!B:R"),15,FALSE),"")</f>
        <v/>
      </c>
      <c r="FT202" s="96">
        <f>IFERROR(VLOOKUP($B202,INDIRECT("'GRD-"&amp;FT$11&amp;"'!B:R"),15,FALSE),"")</f>
        <v/>
      </c>
      <c r="FU202" s="96">
        <f>IFERROR(VLOOKUP($B202,INDIRECT("'GRD-"&amp;FU$11&amp;"'!B:R"),15,FALSE),"")</f>
        <v/>
      </c>
      <c r="FV202" s="96">
        <f>IFERROR(VLOOKUP($B202,INDIRECT("'GRD-"&amp;FV$11&amp;"'!B:R"),15,FALSE),"")</f>
        <v/>
      </c>
    </row>
    <row r="203">
      <c r="B203" s="85" t="n"/>
      <c r="C203" s="93" t="n"/>
      <c r="D203" s="73">
        <f>IF(K203="","",MAX($CA203:$FV203))</f>
        <v/>
      </c>
      <c r="E203" s="74">
        <f t="array" ref="E203">IF($K203="","",OFFSET($A$1,ROW($B203)-1,11+$D203*4,))</f>
        <v/>
      </c>
      <c r="F203" s="74">
        <f t="array" ref="F203">IF($K203="","",OFFSET($A$1,ROW($B203)-1,12+$D203*4,))</f>
        <v/>
      </c>
      <c r="G203" s="118">
        <f t="array" ref="G203">IF($K203="","",OFFSET($A$1,ROW($B203)-1,13+$D203*4,))</f>
        <v/>
      </c>
      <c r="H203" s="81" t="n"/>
      <c r="I203" s="82" t="n"/>
      <c r="J203" s="75">
        <f>IF(I203="A4",H203/8,IF(I203="A3",H203/4,IF(I203="A2",H203/2,IF(I203="A1",H203/1,IF(I203="A0",H203*2,"")))))</f>
        <v/>
      </c>
      <c r="K203" s="68">
        <f t="array" ref="K203">IFERROR(OFFSET($BZ$11,ROW($B203)-11,MATCH(K$10,$CA203:$FV203,0),),"")</f>
        <v/>
      </c>
      <c r="L203" s="85">
        <f>IF(K203="","",IF(VLOOKUP($B203,INDIRECT("'GRD-"&amp;M203&amp;"'!$B:$R"),16,FALSE)="","",VLOOKUP($B203,INDIRECT("'GRD-"&amp;M203&amp;"'!$B:$R"),16,FALSE)))</f>
        <v/>
      </c>
      <c r="M203" s="130">
        <f t="array" ref="M203">IF(K203="","",IFERROR(OFFSET($BZ$11,0,MATCH($K203,$CA203:$FV203,0),),""))</f>
        <v/>
      </c>
      <c r="N203" s="119">
        <f t="array" ref="N203">IF(K203="","",INDIRECT("'GRD-"&amp;M203&amp;"'!$L$7"))</f>
        <v/>
      </c>
      <c r="O203" s="76">
        <f t="array" ref="O203">IFERROR(OFFSET($BZ$11,ROW($B203)-11,MATCH(O$10,$CA203:$FV203,0),),"")</f>
        <v/>
      </c>
      <c r="P203" s="76">
        <f>IF(O203="","",IF(VLOOKUP($B203,INDIRECT("'GRD-"&amp;Q203&amp;"'!$B:$R"),16,FALSE)="","",VLOOKUP($B203,INDIRECT("'GRD-"&amp;Q203&amp;"'!$B:$R"),16,FALSE)))</f>
        <v/>
      </c>
      <c r="Q203" s="132">
        <f t="array" ref="Q203">IF(O203="","",IFERROR(OFFSET($BZ$11,0,MATCH($O203,$CA203:$FV203,0),),""))</f>
        <v/>
      </c>
      <c r="R203" s="121">
        <f t="array" ref="R203">IF(O203="","",INDIRECT("'GRD-"&amp;Q203&amp;"'!$L$7"))</f>
        <v/>
      </c>
      <c r="S203" s="83">
        <f t="array" ref="S203">IFERROR(OFFSET($BZ$11,ROW($B203)-11,MATCH(S$10,$CA203:$FV203,0),),"")</f>
        <v/>
      </c>
      <c r="T203" s="83">
        <f>IF(S203="","",IF(VLOOKUP($B203,INDIRECT("'GRD-"&amp;U203&amp;"'!$B:$R"),16,FALSE)="","",VLOOKUP($B203,INDIRECT("'GRD-"&amp;U203&amp;"'!$B:$R"),16,FALSE)))</f>
        <v/>
      </c>
      <c r="U203" s="128">
        <f t="array" ref="U203">IF(S203="","",IFERROR(OFFSET($BZ$11,0,MATCH($S203,$CA203:$FV203,0),),""))</f>
        <v/>
      </c>
      <c r="V203" s="133">
        <f t="array" ref="V203">IF(S203="","",INDIRECT("'GRD-"&amp;U203&amp;"'!$L$7"))</f>
        <v/>
      </c>
      <c r="W203" s="84">
        <f t="array" ref="W203">IFERROR(OFFSET($BZ$11,ROW($B203)-11,MATCH(W$10,$CA203:$FV203,0),),"")</f>
        <v/>
      </c>
      <c r="X203" s="84">
        <f>IF(W203="","",IF(VLOOKUP($B203,INDIRECT("'GRD-"&amp;Y203&amp;"'!$B:$R"),16,FALSE)="","",VLOOKUP($B203,INDIRECT("'GRD-"&amp;Y203&amp;"'!$B:$R"),16,FALSE)))</f>
        <v/>
      </c>
      <c r="Y203" s="129">
        <f t="array" ref="Y203">IF(W203="","",IFERROR(OFFSET($BZ$11,0,MATCH($W203,$CA203:$FV203,0),),""))</f>
        <v/>
      </c>
      <c r="Z203" s="134">
        <f t="array" ref="Z203">IF(W203="","",INDIRECT("'GRD-"&amp;Y203&amp;"'!$L$7"))</f>
        <v/>
      </c>
      <c r="AA203" s="85">
        <f t="array" ref="AA203">IFERROR(OFFSET($BZ$11,ROW($B203)-11,MATCH(AA$10,$CA203:$FV203,0),),"")</f>
        <v/>
      </c>
      <c r="AB203" s="85">
        <f>IF(AA203="","",IF(VLOOKUP($B203,INDIRECT("'GRD-"&amp;AC203&amp;"'!$B:$R"),16,FALSE)="","",VLOOKUP($B203,INDIRECT("'GRD-"&amp;AC203&amp;"'!$B:$R"),16,FALSE)))</f>
        <v/>
      </c>
      <c r="AC203" s="130">
        <f t="array" ref="AC203">IF(AA203="","",IFERROR(OFFSET($BZ$11,0,MATCH($AA203,$CA203:$FV203,0),),""))</f>
        <v/>
      </c>
      <c r="AD203" s="131">
        <f t="array" ref="AD203">IF(AA203="","",INDIRECT("'GRD-"&amp;AC203&amp;"'!$L$7"))</f>
        <v/>
      </c>
      <c r="AE203" s="76">
        <f t="array" ref="AE203">IFERROR(OFFSET($BZ$11,ROW($B203)-11,MATCH(AE$10,$CA203:$FV203,0),),"")</f>
        <v/>
      </c>
      <c r="AF203" s="76">
        <f>IF(AE203="","",IF(VLOOKUP($B203,INDIRECT("'GRD-"&amp;AG203&amp;"'!$B:$R"),16,FALSE)="","",VLOOKUP($B203,INDIRECT("'GRD-"&amp;AG203&amp;"'!$B:$R"),16,FALSE)))</f>
        <v/>
      </c>
      <c r="AG203" s="132">
        <f t="array" ref="AG203">IF(AE203="","",IFERROR(OFFSET($BZ$11,0,MATCH($AE203,$CA203:$FV203,0),),""))</f>
        <v/>
      </c>
      <c r="AH203" s="121">
        <f t="array" ref="AH203">IF(AE203="","",INDIRECT("'GRD-"&amp;AG203&amp;"'!$L$7"))</f>
        <v/>
      </c>
      <c r="AI203" s="83">
        <f t="array" ref="AI203">IFERROR(OFFSET($BZ$11,ROW($B203)-11,MATCH(AI$10,$CA203:$FV203,0),),"")</f>
        <v/>
      </c>
      <c r="AJ203" s="83">
        <f>IF(AI203="","",IF(VLOOKUP($B203,INDIRECT("'GRD-"&amp;AK203&amp;"'!$B:$R"),16,FALSE)="","",VLOOKUP($B203,INDIRECT("'GRD-"&amp;AK203&amp;"'!$B:$R"),16,FALSE)))</f>
        <v/>
      </c>
      <c r="AK203" s="128">
        <f t="array" ref="AK203">IF(AI203="","",IFERROR(OFFSET($BZ$11,0,MATCH($AI203,$CA203:$FV203,0),),""))</f>
        <v/>
      </c>
      <c r="AL203" s="133">
        <f t="array" ref="AL203">IF(AI203="","",INDIRECT("'GRD-"&amp;AK203&amp;"'!$L$7"))</f>
        <v/>
      </c>
      <c r="AM203" s="84">
        <f t="array" ref="AM203">IFERROR(OFFSET($BZ$11,ROW($B203)-11,MATCH(AM$10,$CA203:$FV203,0),),"")</f>
        <v/>
      </c>
      <c r="AN203" s="84">
        <f>IF(AM203="","",IF(VLOOKUP($B203,INDIRECT("'GRD-"&amp;AO203&amp;"'!$B:$R"),16,FALSE)="","",VLOOKUP($B203,INDIRECT("'GRD-"&amp;AO203&amp;"'!$B:$R"),16,FALSE)))</f>
        <v/>
      </c>
      <c r="AO203" s="129">
        <f t="array" ref="AO203">IF(AM203="","",IFERROR(OFFSET($BZ$11,0,MATCH($AM203,$CA203:$FV203,0),),""))</f>
        <v/>
      </c>
      <c r="AP203" s="134">
        <f t="array" ref="AP203">IF(AM203="","",INDIRECT("'GRD-"&amp;AO203&amp;"'!$L$7"))</f>
        <v/>
      </c>
      <c r="AQ203" s="85">
        <f t="array" ref="AQ203">IFERROR(OFFSET($BZ$11,ROW($B203)-11,MATCH(AQ$10,$CA203:$FV203,0),),"")</f>
        <v/>
      </c>
      <c r="AR203" s="85">
        <f>IF(AQ203="","",IF(VLOOKUP($B203,INDIRECT("'GRD-"&amp;AS203&amp;"'!$B:$R"),16,FALSE)="","",VLOOKUP($B203,INDIRECT("'GRD-"&amp;AS203&amp;"'!$B:$R"),16,FALSE)))</f>
        <v/>
      </c>
      <c r="AS203" s="130">
        <f t="array" ref="AS203">IF(AQ203="","",IFERROR(OFFSET($BZ$11,0,MATCH($AQ203,$CA203:$FV203,0),),""))</f>
        <v/>
      </c>
      <c r="AT203" s="131">
        <f t="array" ref="AT203">IF(AQ203="","",INDIRECT("'GRD-"&amp;AS203&amp;"'!$L$7"))</f>
        <v/>
      </c>
      <c r="AU203" s="76">
        <f t="array" ref="AU203">IFERROR(OFFSET($BZ$11,ROW($B203)-11,MATCH(AU$10,$CA203:$FV203,0),),"")</f>
        <v/>
      </c>
      <c r="AV203" s="76">
        <f>IF(AU203="","",IF(VLOOKUP($B203,INDIRECT("'GRD-"&amp;AW203&amp;"'!$B:$R"),16,FALSE)="","",VLOOKUP($B203,INDIRECT("'GRD-"&amp;AW203&amp;"'!$B:$R"),16,FALSE)))</f>
        <v/>
      </c>
      <c r="AW203" s="132">
        <f t="array" ref="AW203">IF(AU203="","",IFERROR(OFFSET($BZ$11,0,MATCH($AU203,$CA203:$FV203,0),),""))</f>
        <v/>
      </c>
      <c r="AX203" s="121">
        <f t="array" ref="AX203">IF(AU203="","",INDIRECT("'GRD-"&amp;AW203&amp;"'!$L$7"))</f>
        <v/>
      </c>
      <c r="AY203" s="83">
        <f t="array" ref="AY203">IFERROR(OFFSET($BZ$11,ROW($B203)-11,MATCH(AY$10,$CA203:$FV203,0),),"")</f>
        <v/>
      </c>
      <c r="AZ203" s="83">
        <f>IF(AY203="","",IF(VLOOKUP($B203,INDIRECT("'GRD-"&amp;BA203&amp;"'!$B:$R"),16,FALSE)="","",VLOOKUP($B203,INDIRECT("'GRD-"&amp;BA203&amp;"'!$B:$R"),16,FALSE)))</f>
        <v/>
      </c>
      <c r="BA203" s="128">
        <f t="array" ref="BA203">IF(AY203="","",IFERROR(OFFSET($BZ$11,0,MATCH($AY203,$CA203:$FV203,0),),""))</f>
        <v/>
      </c>
      <c r="BB203" s="133">
        <f t="array" ref="BB203">IF(AY203="","",INDIRECT("'GRD-"&amp;BA203&amp;"'!$L$7"))</f>
        <v/>
      </c>
      <c r="BC203" s="84">
        <f t="array" ref="BC203">IFERROR(OFFSET($BZ$11,ROW($B203)-11,MATCH(BC$10,$CA203:$FV203,0),),"")</f>
        <v/>
      </c>
      <c r="BD203" s="84">
        <f>IF(BC203="","",IF(VLOOKUP($B203,INDIRECT("'GRD-"&amp;BE203&amp;"'!$B:$R"),16,FALSE)="","",VLOOKUP($B203,INDIRECT("'GRD-"&amp;BE203&amp;"'!$B:$R"),16,FALSE)))</f>
        <v/>
      </c>
      <c r="BE203" s="129">
        <f t="array" ref="BE203">IF(BC203="","",IFERROR(OFFSET($BZ$11,0,MATCH($BC203,$CA203:$FV203,0),),""))</f>
        <v/>
      </c>
      <c r="BF203" s="134">
        <f t="array" ref="BF203">IF(BC203="","",INDIRECT("'GRD-"&amp;BE203&amp;"'!$L$7"))</f>
        <v/>
      </c>
      <c r="CA203" s="96">
        <f>IFERROR(VLOOKUP($B203,INDIRECT("'GRD-"&amp;CA$11&amp;"'!B:R"),15,FALSE),"")</f>
        <v/>
      </c>
      <c r="CB203" s="96">
        <f>IFERROR(VLOOKUP($B203,INDIRECT("'GRD-"&amp;CB$11&amp;"'!B:R"),15,FALSE),"")</f>
        <v/>
      </c>
      <c r="CC203" s="96">
        <f>IFERROR(VLOOKUP($B203,INDIRECT("'GRD-"&amp;CC$11&amp;"'!B:R"),15,FALSE),"")</f>
        <v/>
      </c>
      <c r="CD203" s="96">
        <f>IFERROR(VLOOKUP($B203,INDIRECT("'GRD-"&amp;CD$11&amp;"'!B:R"),15,FALSE),"")</f>
        <v/>
      </c>
      <c r="CE203" s="96">
        <f>IFERROR(VLOOKUP($B203,INDIRECT("'GRD-"&amp;CE$11&amp;"'!B:R"),15,FALSE),"")</f>
        <v/>
      </c>
      <c r="CF203" s="96">
        <f>IFERROR(VLOOKUP($B203,INDIRECT("'GRD-"&amp;CF$11&amp;"'!B:R"),15,FALSE),"")</f>
        <v/>
      </c>
      <c r="CG203" s="96">
        <f>IFERROR(VLOOKUP($B203,INDIRECT("'GRD-"&amp;CG$11&amp;"'!B:R"),15,FALSE),"")</f>
        <v/>
      </c>
      <c r="CH203" s="96">
        <f>IFERROR(VLOOKUP($B203,INDIRECT("'GRD-"&amp;CH$11&amp;"'!B:R"),15,FALSE),"")</f>
        <v/>
      </c>
      <c r="CI203" s="96">
        <f>IFERROR(VLOOKUP($B203,INDIRECT("'GRD-"&amp;CI$11&amp;"'!B:R"),15,FALSE),"")</f>
        <v/>
      </c>
      <c r="CJ203" s="96">
        <f>IFERROR(VLOOKUP($B203,INDIRECT("'GRD-"&amp;CJ$11&amp;"'!B:R"),15,FALSE),"")</f>
        <v/>
      </c>
      <c r="CK203" s="96">
        <f>IFERROR(VLOOKUP($B203,INDIRECT("'GRD-"&amp;CK$11&amp;"'!B:R"),15,FALSE),"")</f>
        <v/>
      </c>
      <c r="CL203" s="96">
        <f>IFERROR(VLOOKUP($B203,INDIRECT("'GRD-"&amp;CL$11&amp;"'!B:R"),15,FALSE),"")</f>
        <v/>
      </c>
      <c r="CM203" s="96">
        <f>IFERROR(VLOOKUP($B203,INDIRECT("'GRD-"&amp;CM$11&amp;"'!B:R"),15,FALSE),"")</f>
        <v/>
      </c>
      <c r="CN203" s="96">
        <f>IFERROR(VLOOKUP($B203,INDIRECT("'GRD-"&amp;CN$11&amp;"'!B:R"),15,FALSE),"")</f>
        <v/>
      </c>
      <c r="CO203" s="96">
        <f>IFERROR(VLOOKUP($B203,INDIRECT("'GRD-"&amp;CO$11&amp;"'!B:R"),15,FALSE),"")</f>
        <v/>
      </c>
      <c r="CP203" s="96">
        <f>IFERROR(VLOOKUP($B203,INDIRECT("'GRD-"&amp;CP$11&amp;"'!B:R"),15,FALSE),"")</f>
        <v/>
      </c>
      <c r="CQ203" s="96">
        <f>IFERROR(VLOOKUP($B203,INDIRECT("'GRD-"&amp;CQ$11&amp;"'!B:R"),15,FALSE),"")</f>
        <v/>
      </c>
      <c r="CR203" s="96">
        <f>IFERROR(VLOOKUP($B203,INDIRECT("'GRD-"&amp;CR$11&amp;"'!B:R"),15,FALSE),"")</f>
        <v/>
      </c>
      <c r="CS203" s="96">
        <f>IFERROR(VLOOKUP($B203,INDIRECT("'GRD-"&amp;CS$11&amp;"'!B:R"),15,FALSE),"")</f>
        <v/>
      </c>
      <c r="CT203" s="96">
        <f>IFERROR(VLOOKUP($B203,INDIRECT("'GRD-"&amp;CT$11&amp;"'!B:R"),15,FALSE),"")</f>
        <v/>
      </c>
      <c r="CU203" s="96">
        <f>IFERROR(VLOOKUP($B203,INDIRECT("'GRD-"&amp;CU$11&amp;"'!B:R"),15,FALSE),"")</f>
        <v/>
      </c>
      <c r="CV203" s="96">
        <f>IFERROR(VLOOKUP($B203,INDIRECT("'GRD-"&amp;CV$11&amp;"'!B:R"),15,FALSE),"")</f>
        <v/>
      </c>
      <c r="CW203" s="96">
        <f>IFERROR(VLOOKUP($B203,INDIRECT("'GRD-"&amp;CW$11&amp;"'!B:R"),15,FALSE),"")</f>
        <v/>
      </c>
      <c r="CX203" s="96">
        <f>IFERROR(VLOOKUP($B203,INDIRECT("'GRD-"&amp;CX$11&amp;"'!B:R"),15,FALSE),"")</f>
        <v/>
      </c>
      <c r="CY203" s="96">
        <f>IFERROR(VLOOKUP($B203,INDIRECT("'GRD-"&amp;CY$11&amp;"'!B:R"),15,FALSE),"")</f>
        <v/>
      </c>
      <c r="CZ203" s="96">
        <f>IFERROR(VLOOKUP($B203,INDIRECT("'GRD-"&amp;CZ$11&amp;"'!B:R"),15,FALSE),"")</f>
        <v/>
      </c>
      <c r="DA203" s="96">
        <f>IFERROR(VLOOKUP($B203,INDIRECT("'GRD-"&amp;DA$11&amp;"'!B:R"),15,FALSE),"")</f>
        <v/>
      </c>
      <c r="DB203" s="96">
        <f>IFERROR(VLOOKUP($B203,INDIRECT("'GRD-"&amp;DB$11&amp;"'!B:R"),15,FALSE),"")</f>
        <v/>
      </c>
      <c r="DC203" s="96">
        <f>IFERROR(VLOOKUP($B203,INDIRECT("'GRD-"&amp;DC$11&amp;"'!B:R"),15,FALSE),"")</f>
        <v/>
      </c>
      <c r="DD203" s="96">
        <f>IFERROR(VLOOKUP($B203,INDIRECT("'GRD-"&amp;DD$11&amp;"'!B:R"),15,FALSE),"")</f>
        <v/>
      </c>
      <c r="DE203" s="96">
        <f>IFERROR(VLOOKUP($B203,INDIRECT("'GRD-"&amp;DE$11&amp;"'!B:R"),15,FALSE),"")</f>
        <v/>
      </c>
      <c r="DF203" s="96">
        <f>IFERROR(VLOOKUP($B203,INDIRECT("'GRD-"&amp;DF$11&amp;"'!B:R"),15,FALSE),"")</f>
        <v/>
      </c>
      <c r="DG203" s="96">
        <f>IFERROR(VLOOKUP($B203,INDIRECT("'GRD-"&amp;DG$11&amp;"'!B:R"),15,FALSE),"")</f>
        <v/>
      </c>
      <c r="DH203" s="96">
        <f>IFERROR(VLOOKUP($B203,INDIRECT("'GRD-"&amp;DH$11&amp;"'!B:R"),15,FALSE),"")</f>
        <v/>
      </c>
      <c r="DI203" s="96">
        <f>IFERROR(VLOOKUP($B203,INDIRECT("'GRD-"&amp;DI$11&amp;"'!B:R"),15,FALSE),"")</f>
        <v/>
      </c>
      <c r="DJ203" s="96">
        <f>IFERROR(VLOOKUP($B203,INDIRECT("'GRD-"&amp;DJ$11&amp;"'!B:R"),15,FALSE),"")</f>
        <v/>
      </c>
      <c r="DK203" s="96">
        <f>IFERROR(VLOOKUP($B203,INDIRECT("'GRD-"&amp;DK$11&amp;"'!B:R"),15,FALSE),"")</f>
        <v/>
      </c>
      <c r="DL203" s="96">
        <f>IFERROR(VLOOKUP($B203,INDIRECT("'GRD-"&amp;DL$11&amp;"'!B:R"),15,FALSE),"")</f>
        <v/>
      </c>
      <c r="DM203" s="96">
        <f>IFERROR(VLOOKUP($B203,INDIRECT("'GRD-"&amp;DM$11&amp;"'!B:R"),15,FALSE),"")</f>
        <v/>
      </c>
      <c r="DN203" s="96">
        <f>IFERROR(VLOOKUP($B203,INDIRECT("'GRD-"&amp;DN$11&amp;"'!B:R"),15,FALSE),"")</f>
        <v/>
      </c>
      <c r="DO203" s="96">
        <f>IFERROR(VLOOKUP($B203,INDIRECT("'GRD-"&amp;DO$11&amp;"'!B:R"),15,FALSE),"")</f>
        <v/>
      </c>
      <c r="DP203" s="96">
        <f>IFERROR(VLOOKUP($B203,INDIRECT("'GRD-"&amp;DP$11&amp;"'!B:R"),15,FALSE),"")</f>
        <v/>
      </c>
      <c r="DQ203" s="96">
        <f>IFERROR(VLOOKUP($B203,INDIRECT("'GRD-"&amp;DQ$11&amp;"'!B:R"),15,FALSE),"")</f>
        <v/>
      </c>
      <c r="DR203" s="96">
        <f>IFERROR(VLOOKUP($B203,INDIRECT("'GRD-"&amp;DR$11&amp;"'!B:R"),15,FALSE),"")</f>
        <v/>
      </c>
      <c r="DS203" s="96">
        <f>IFERROR(VLOOKUP($B203,INDIRECT("'GRD-"&amp;DS$11&amp;"'!B:R"),15,FALSE),"")</f>
        <v/>
      </c>
      <c r="DT203" s="96">
        <f>IFERROR(VLOOKUP($B203,INDIRECT("'GRD-"&amp;DT$11&amp;"'!B:R"),15,FALSE),"")</f>
        <v/>
      </c>
      <c r="DU203" s="96">
        <f>IFERROR(VLOOKUP($B203,INDIRECT("'GRD-"&amp;DU$11&amp;"'!B:R"),15,FALSE),"")</f>
        <v/>
      </c>
      <c r="DV203" s="96">
        <f>IFERROR(VLOOKUP($B203,INDIRECT("'GRD-"&amp;DV$11&amp;"'!B:R"),15,FALSE),"")</f>
        <v/>
      </c>
      <c r="DW203" s="96">
        <f>IFERROR(VLOOKUP($B203,INDIRECT("'GRD-"&amp;DW$11&amp;"'!B:R"),15,FALSE),"")</f>
        <v/>
      </c>
      <c r="DX203" s="96">
        <f>IFERROR(VLOOKUP($B203,INDIRECT("'GRD-"&amp;DX$11&amp;"'!B:R"),15,FALSE),"")</f>
        <v/>
      </c>
      <c r="DY203" s="96">
        <f>IFERROR(VLOOKUP($B203,INDIRECT("'GRD-"&amp;DY$11&amp;"'!B:R"),15,FALSE),"")</f>
        <v/>
      </c>
      <c r="DZ203" s="96">
        <f>IFERROR(VLOOKUP($B203,INDIRECT("'GRD-"&amp;DZ$11&amp;"'!B:R"),15,FALSE),"")</f>
        <v/>
      </c>
      <c r="EA203" s="96">
        <f>IFERROR(VLOOKUP($B203,INDIRECT("'GRD-"&amp;EA$11&amp;"'!B:R"),15,FALSE),"")</f>
        <v/>
      </c>
      <c r="EB203" s="96">
        <f>IFERROR(VLOOKUP($B203,INDIRECT("'GRD-"&amp;EB$11&amp;"'!B:R"),15,FALSE),"")</f>
        <v/>
      </c>
      <c r="EC203" s="96">
        <f>IFERROR(VLOOKUP($B203,INDIRECT("'GRD-"&amp;EC$11&amp;"'!B:R"),15,FALSE),"")</f>
        <v/>
      </c>
      <c r="ED203" s="96">
        <f>IFERROR(VLOOKUP($B203,INDIRECT("'GRD-"&amp;ED$11&amp;"'!B:R"),15,FALSE),"")</f>
        <v/>
      </c>
      <c r="EE203" s="96">
        <f>IFERROR(VLOOKUP($B203,INDIRECT("'GRD-"&amp;EE$11&amp;"'!B:R"),15,FALSE),"")</f>
        <v/>
      </c>
      <c r="EF203" s="96">
        <f>IFERROR(VLOOKUP($B203,INDIRECT("'GRD-"&amp;EF$11&amp;"'!B:R"),15,FALSE),"")</f>
        <v/>
      </c>
      <c r="EG203" s="96">
        <f>IFERROR(VLOOKUP($B203,INDIRECT("'GRD-"&amp;EG$11&amp;"'!B:R"),15,FALSE),"")</f>
        <v/>
      </c>
      <c r="EH203" s="96">
        <f>IFERROR(VLOOKUP($B203,INDIRECT("'GRD-"&amp;EH$11&amp;"'!B:R"),15,FALSE),"")</f>
        <v/>
      </c>
      <c r="EI203" s="96">
        <f>IFERROR(VLOOKUP($B203,INDIRECT("'GRD-"&amp;EI$11&amp;"'!B:R"),15,FALSE),"")</f>
        <v/>
      </c>
      <c r="EJ203" s="96">
        <f>IFERROR(VLOOKUP($B203,INDIRECT("'GRD-"&amp;EJ$11&amp;"'!B:R"),15,FALSE),"")</f>
        <v/>
      </c>
      <c r="EK203" s="96">
        <f>IFERROR(VLOOKUP($B203,INDIRECT("'GRD-"&amp;EK$11&amp;"'!B:R"),15,FALSE),"")</f>
        <v/>
      </c>
      <c r="EL203" s="96">
        <f>IFERROR(VLOOKUP($B203,INDIRECT("'GRD-"&amp;EL$11&amp;"'!B:R"),15,FALSE),"")</f>
        <v/>
      </c>
      <c r="EM203" s="96">
        <f>IFERROR(VLOOKUP($B203,INDIRECT("'GRD-"&amp;EM$11&amp;"'!B:R"),15,FALSE),"")</f>
        <v/>
      </c>
      <c r="EN203" s="96">
        <f>IFERROR(VLOOKUP($B203,INDIRECT("'GRD-"&amp;EN$11&amp;"'!B:R"),15,FALSE),"")</f>
        <v/>
      </c>
      <c r="EO203" s="96">
        <f>IFERROR(VLOOKUP($B203,INDIRECT("'GRD-"&amp;EO$11&amp;"'!B:R"),15,FALSE),"")</f>
        <v/>
      </c>
      <c r="EP203" s="96">
        <f>IFERROR(VLOOKUP($B203,INDIRECT("'GRD-"&amp;EP$11&amp;"'!B:R"),15,FALSE),"")</f>
        <v/>
      </c>
      <c r="EQ203" s="96">
        <f>IFERROR(VLOOKUP($B203,INDIRECT("'GRD-"&amp;EQ$11&amp;"'!B:R"),15,FALSE),"")</f>
        <v/>
      </c>
      <c r="ER203" s="96">
        <f>IFERROR(VLOOKUP($B203,INDIRECT("'GRD-"&amp;ER$11&amp;"'!B:R"),15,FALSE),"")</f>
        <v/>
      </c>
      <c r="ES203" s="96">
        <f>IFERROR(VLOOKUP($B203,INDIRECT("'GRD-"&amp;ES$11&amp;"'!B:R"),15,FALSE),"")</f>
        <v/>
      </c>
      <c r="ET203" s="96">
        <f>IFERROR(VLOOKUP($B203,INDIRECT("'GRD-"&amp;ET$11&amp;"'!B:R"),15,FALSE),"")</f>
        <v/>
      </c>
      <c r="EU203" s="96">
        <f>IFERROR(VLOOKUP($B203,INDIRECT("'GRD-"&amp;EU$11&amp;"'!B:R"),15,FALSE),"")</f>
        <v/>
      </c>
      <c r="EV203" s="96">
        <f>IFERROR(VLOOKUP($B203,INDIRECT("'GRD-"&amp;EV$11&amp;"'!B:R"),15,FALSE),"")</f>
        <v/>
      </c>
      <c r="EW203" s="96">
        <f>IFERROR(VLOOKUP($B203,INDIRECT("'GRD-"&amp;EW$11&amp;"'!B:R"),15,FALSE),"")</f>
        <v/>
      </c>
      <c r="EX203" s="96">
        <f>IFERROR(VLOOKUP($B203,INDIRECT("'GRD-"&amp;EX$11&amp;"'!B:R"),15,FALSE),"")</f>
        <v/>
      </c>
      <c r="EY203" s="96">
        <f>IFERROR(VLOOKUP($B203,INDIRECT("'GRD-"&amp;EY$11&amp;"'!B:R"),15,FALSE),"")</f>
        <v/>
      </c>
      <c r="EZ203" s="96">
        <f>IFERROR(VLOOKUP($B203,INDIRECT("'GRD-"&amp;EZ$11&amp;"'!B:R"),15,FALSE),"")</f>
        <v/>
      </c>
      <c r="FA203" s="96">
        <f>IFERROR(VLOOKUP($B203,INDIRECT("'GRD-"&amp;FA$11&amp;"'!B:R"),15,FALSE),"")</f>
        <v/>
      </c>
      <c r="FB203" s="96">
        <f>IFERROR(VLOOKUP($B203,INDIRECT("'GRD-"&amp;FB$11&amp;"'!B:R"),15,FALSE),"")</f>
        <v/>
      </c>
      <c r="FC203" s="96">
        <f>IFERROR(VLOOKUP($B203,INDIRECT("'GRD-"&amp;FC$11&amp;"'!B:R"),15,FALSE),"")</f>
        <v/>
      </c>
      <c r="FD203" s="96">
        <f>IFERROR(VLOOKUP($B203,INDIRECT("'GRD-"&amp;FD$11&amp;"'!B:R"),15,FALSE),"")</f>
        <v/>
      </c>
      <c r="FE203" s="96">
        <f>IFERROR(VLOOKUP($B203,INDIRECT("'GRD-"&amp;FE$11&amp;"'!B:R"),15,FALSE),"")</f>
        <v/>
      </c>
      <c r="FF203" s="96">
        <f>IFERROR(VLOOKUP($B203,INDIRECT("'GRD-"&amp;FF$11&amp;"'!B:R"),15,FALSE),"")</f>
        <v/>
      </c>
      <c r="FG203" s="96">
        <f>IFERROR(VLOOKUP($B203,INDIRECT("'GRD-"&amp;FG$11&amp;"'!B:R"),15,FALSE),"")</f>
        <v/>
      </c>
      <c r="FH203" s="96">
        <f>IFERROR(VLOOKUP($B203,INDIRECT("'GRD-"&amp;FH$11&amp;"'!B:R"),15,FALSE),"")</f>
        <v/>
      </c>
      <c r="FI203" s="96">
        <f>IFERROR(VLOOKUP($B203,INDIRECT("'GRD-"&amp;FI$11&amp;"'!B:R"),15,FALSE),"")</f>
        <v/>
      </c>
      <c r="FJ203" s="96">
        <f>IFERROR(VLOOKUP($B203,INDIRECT("'GRD-"&amp;FJ$11&amp;"'!B:R"),15,FALSE),"")</f>
        <v/>
      </c>
      <c r="FK203" s="96">
        <f>IFERROR(VLOOKUP($B203,INDIRECT("'GRD-"&amp;FK$11&amp;"'!B:R"),15,FALSE),"")</f>
        <v/>
      </c>
      <c r="FL203" s="96">
        <f>IFERROR(VLOOKUP($B203,INDIRECT("'GRD-"&amp;FL$11&amp;"'!B:R"),15,FALSE),"")</f>
        <v/>
      </c>
      <c r="FM203" s="96">
        <f>IFERROR(VLOOKUP($B203,INDIRECT("'GRD-"&amp;FM$11&amp;"'!B:R"),15,FALSE),"")</f>
        <v/>
      </c>
      <c r="FN203" s="96">
        <f>IFERROR(VLOOKUP($B203,INDIRECT("'GRD-"&amp;FN$11&amp;"'!B:R"),15,FALSE),"")</f>
        <v/>
      </c>
      <c r="FO203" s="96">
        <f>IFERROR(VLOOKUP($B203,INDIRECT("'GRD-"&amp;FO$11&amp;"'!B:R"),15,FALSE),"")</f>
        <v/>
      </c>
      <c r="FP203" s="96">
        <f>IFERROR(VLOOKUP($B203,INDIRECT("'GRD-"&amp;FP$11&amp;"'!B:R"),15,FALSE),"")</f>
        <v/>
      </c>
      <c r="FQ203" s="96">
        <f>IFERROR(VLOOKUP($B203,INDIRECT("'GRD-"&amp;FQ$11&amp;"'!B:R"),15,FALSE),"")</f>
        <v/>
      </c>
      <c r="FR203" s="96">
        <f>IFERROR(VLOOKUP($B203,INDIRECT("'GRD-"&amp;FR$11&amp;"'!B:R"),15,FALSE),"")</f>
        <v/>
      </c>
      <c r="FS203" s="96">
        <f>IFERROR(VLOOKUP($B203,INDIRECT("'GRD-"&amp;FS$11&amp;"'!B:R"),15,FALSE),"")</f>
        <v/>
      </c>
      <c r="FT203" s="96">
        <f>IFERROR(VLOOKUP($B203,INDIRECT("'GRD-"&amp;FT$11&amp;"'!B:R"),15,FALSE),"")</f>
        <v/>
      </c>
      <c r="FU203" s="96">
        <f>IFERROR(VLOOKUP($B203,INDIRECT("'GRD-"&amp;FU$11&amp;"'!B:R"),15,FALSE),"")</f>
        <v/>
      </c>
      <c r="FV203" s="96">
        <f>IFERROR(VLOOKUP($B203,INDIRECT("'GRD-"&amp;FV$11&amp;"'!B:R"),15,FALSE),"")</f>
        <v/>
      </c>
    </row>
    <row r="204">
      <c r="B204" s="85" t="n"/>
      <c r="C204" s="93" t="n"/>
      <c r="D204" s="73">
        <f>IF(K204="","",MAX($CA204:$FV204))</f>
        <v/>
      </c>
      <c r="E204" s="74">
        <f t="array" ref="E204">IF($K204="","",OFFSET($A$1,ROW($B204)-1,11+$D204*4,))</f>
        <v/>
      </c>
      <c r="F204" s="74">
        <f t="array" ref="F204">IF($K204="","",OFFSET($A$1,ROW($B204)-1,12+$D204*4,))</f>
        <v/>
      </c>
      <c r="G204" s="118">
        <f t="array" ref="G204">IF($K204="","",OFFSET($A$1,ROW($B204)-1,13+$D204*4,))</f>
        <v/>
      </c>
      <c r="H204" s="81" t="n"/>
      <c r="I204" s="82" t="n"/>
      <c r="J204" s="75">
        <f>IF(I204="A4",H204/8,IF(I204="A3",H204/4,IF(I204="A2",H204/2,IF(I204="A1",H204/1,IF(I204="A0",H204*2,"")))))</f>
        <v/>
      </c>
      <c r="K204" s="68">
        <f t="array" ref="K204">IFERROR(OFFSET($BZ$11,ROW($B204)-11,MATCH(K$10,$CA204:$FV204,0),),"")</f>
        <v/>
      </c>
      <c r="L204" s="85">
        <f>IF(K204="","",IF(VLOOKUP($B204,INDIRECT("'GRD-"&amp;M204&amp;"'!$B:$R"),16,FALSE)="","",VLOOKUP($B204,INDIRECT("'GRD-"&amp;M204&amp;"'!$B:$R"),16,FALSE)))</f>
        <v/>
      </c>
      <c r="M204" s="130">
        <f t="array" ref="M204">IF(K204="","",IFERROR(OFFSET($BZ$11,0,MATCH($K204,$CA204:$FV204,0),),""))</f>
        <v/>
      </c>
      <c r="N204" s="119">
        <f t="array" ref="N204">IF(K204="","",INDIRECT("'GRD-"&amp;M204&amp;"'!$L$7"))</f>
        <v/>
      </c>
      <c r="O204" s="76">
        <f t="array" ref="O204">IFERROR(OFFSET($BZ$11,ROW($B204)-11,MATCH(O$10,$CA204:$FV204,0),),"")</f>
        <v/>
      </c>
      <c r="P204" s="76">
        <f>IF(O204="","",IF(VLOOKUP($B204,INDIRECT("'GRD-"&amp;Q204&amp;"'!$B:$R"),16,FALSE)="","",VLOOKUP($B204,INDIRECT("'GRD-"&amp;Q204&amp;"'!$B:$R"),16,FALSE)))</f>
        <v/>
      </c>
      <c r="Q204" s="132">
        <f t="array" ref="Q204">IF(O204="","",IFERROR(OFFSET($BZ$11,0,MATCH($O204,$CA204:$FV204,0),),""))</f>
        <v/>
      </c>
      <c r="R204" s="121">
        <f t="array" ref="R204">IF(O204="","",INDIRECT("'GRD-"&amp;Q204&amp;"'!$L$7"))</f>
        <v/>
      </c>
      <c r="S204" s="83">
        <f t="array" ref="S204">IFERROR(OFFSET($BZ$11,ROW($B204)-11,MATCH(S$10,$CA204:$FV204,0),),"")</f>
        <v/>
      </c>
      <c r="T204" s="83">
        <f>IF(S204="","",IF(VLOOKUP($B204,INDIRECT("'GRD-"&amp;U204&amp;"'!$B:$R"),16,FALSE)="","",VLOOKUP($B204,INDIRECT("'GRD-"&amp;U204&amp;"'!$B:$R"),16,FALSE)))</f>
        <v/>
      </c>
      <c r="U204" s="128">
        <f t="array" ref="U204">IF(S204="","",IFERROR(OFFSET($BZ$11,0,MATCH($S204,$CA204:$FV204,0),),""))</f>
        <v/>
      </c>
      <c r="V204" s="133">
        <f t="array" ref="V204">IF(S204="","",INDIRECT("'GRD-"&amp;U204&amp;"'!$L$7"))</f>
        <v/>
      </c>
      <c r="W204" s="84">
        <f t="array" ref="W204">IFERROR(OFFSET($BZ$11,ROW($B204)-11,MATCH(W$10,$CA204:$FV204,0),),"")</f>
        <v/>
      </c>
      <c r="X204" s="84">
        <f>IF(W204="","",IF(VLOOKUP($B204,INDIRECT("'GRD-"&amp;Y204&amp;"'!$B:$R"),16,FALSE)="","",VLOOKUP($B204,INDIRECT("'GRD-"&amp;Y204&amp;"'!$B:$R"),16,FALSE)))</f>
        <v/>
      </c>
      <c r="Y204" s="129">
        <f t="array" ref="Y204">IF(W204="","",IFERROR(OFFSET($BZ$11,0,MATCH($W204,$CA204:$FV204,0),),""))</f>
        <v/>
      </c>
      <c r="Z204" s="134">
        <f t="array" ref="Z204">IF(W204="","",INDIRECT("'GRD-"&amp;Y204&amp;"'!$L$7"))</f>
        <v/>
      </c>
      <c r="AA204" s="85">
        <f t="array" ref="AA204">IFERROR(OFFSET($BZ$11,ROW($B204)-11,MATCH(AA$10,$CA204:$FV204,0),),"")</f>
        <v/>
      </c>
      <c r="AB204" s="85">
        <f>IF(AA204="","",IF(VLOOKUP($B204,INDIRECT("'GRD-"&amp;AC204&amp;"'!$B:$R"),16,FALSE)="","",VLOOKUP($B204,INDIRECT("'GRD-"&amp;AC204&amp;"'!$B:$R"),16,FALSE)))</f>
        <v/>
      </c>
      <c r="AC204" s="130">
        <f t="array" ref="AC204">IF(AA204="","",IFERROR(OFFSET($BZ$11,0,MATCH($AA204,$CA204:$FV204,0),),""))</f>
        <v/>
      </c>
      <c r="AD204" s="131">
        <f t="array" ref="AD204">IF(AA204="","",INDIRECT("'GRD-"&amp;AC204&amp;"'!$L$7"))</f>
        <v/>
      </c>
      <c r="AE204" s="76">
        <f t="array" ref="AE204">IFERROR(OFFSET($BZ$11,ROW($B204)-11,MATCH(AE$10,$CA204:$FV204,0),),"")</f>
        <v/>
      </c>
      <c r="AF204" s="76">
        <f>IF(AE204="","",IF(VLOOKUP($B204,INDIRECT("'GRD-"&amp;AG204&amp;"'!$B:$R"),16,FALSE)="","",VLOOKUP($B204,INDIRECT("'GRD-"&amp;AG204&amp;"'!$B:$R"),16,FALSE)))</f>
        <v/>
      </c>
      <c r="AG204" s="132">
        <f t="array" ref="AG204">IF(AE204="","",IFERROR(OFFSET($BZ$11,0,MATCH($AE204,$CA204:$FV204,0),),""))</f>
        <v/>
      </c>
      <c r="AH204" s="121">
        <f t="array" ref="AH204">IF(AE204="","",INDIRECT("'GRD-"&amp;AG204&amp;"'!$L$7"))</f>
        <v/>
      </c>
      <c r="AI204" s="83">
        <f t="array" ref="AI204">IFERROR(OFFSET($BZ$11,ROW($B204)-11,MATCH(AI$10,$CA204:$FV204,0),),"")</f>
        <v/>
      </c>
      <c r="AJ204" s="83">
        <f>IF(AI204="","",IF(VLOOKUP($B204,INDIRECT("'GRD-"&amp;AK204&amp;"'!$B:$R"),16,FALSE)="","",VLOOKUP($B204,INDIRECT("'GRD-"&amp;AK204&amp;"'!$B:$R"),16,FALSE)))</f>
        <v/>
      </c>
      <c r="AK204" s="128">
        <f t="array" ref="AK204">IF(AI204="","",IFERROR(OFFSET($BZ$11,0,MATCH($AI204,$CA204:$FV204,0),),""))</f>
        <v/>
      </c>
      <c r="AL204" s="133">
        <f t="array" ref="AL204">IF(AI204="","",INDIRECT("'GRD-"&amp;AK204&amp;"'!$L$7"))</f>
        <v/>
      </c>
      <c r="AM204" s="84">
        <f t="array" ref="AM204">IFERROR(OFFSET($BZ$11,ROW($B204)-11,MATCH(AM$10,$CA204:$FV204,0),),"")</f>
        <v/>
      </c>
      <c r="AN204" s="84">
        <f>IF(AM204="","",IF(VLOOKUP($B204,INDIRECT("'GRD-"&amp;AO204&amp;"'!$B:$R"),16,FALSE)="","",VLOOKUP($B204,INDIRECT("'GRD-"&amp;AO204&amp;"'!$B:$R"),16,FALSE)))</f>
        <v/>
      </c>
      <c r="AO204" s="129">
        <f t="array" ref="AO204">IF(AM204="","",IFERROR(OFFSET($BZ$11,0,MATCH($AM204,$CA204:$FV204,0),),""))</f>
        <v/>
      </c>
      <c r="AP204" s="134">
        <f t="array" ref="AP204">IF(AM204="","",INDIRECT("'GRD-"&amp;AO204&amp;"'!$L$7"))</f>
        <v/>
      </c>
      <c r="AQ204" s="85">
        <f t="array" ref="AQ204">IFERROR(OFFSET($BZ$11,ROW($B204)-11,MATCH(AQ$10,$CA204:$FV204,0),),"")</f>
        <v/>
      </c>
      <c r="AR204" s="85">
        <f>IF(AQ204="","",IF(VLOOKUP($B204,INDIRECT("'GRD-"&amp;AS204&amp;"'!$B:$R"),16,FALSE)="","",VLOOKUP($B204,INDIRECT("'GRD-"&amp;AS204&amp;"'!$B:$R"),16,FALSE)))</f>
        <v/>
      </c>
      <c r="AS204" s="130">
        <f t="array" ref="AS204">IF(AQ204="","",IFERROR(OFFSET($BZ$11,0,MATCH($AQ204,$CA204:$FV204,0),),""))</f>
        <v/>
      </c>
      <c r="AT204" s="131">
        <f t="array" ref="AT204">IF(AQ204="","",INDIRECT("'GRD-"&amp;AS204&amp;"'!$L$7"))</f>
        <v/>
      </c>
      <c r="AU204" s="76">
        <f t="array" ref="AU204">IFERROR(OFFSET($BZ$11,ROW($B204)-11,MATCH(AU$10,$CA204:$FV204,0),),"")</f>
        <v/>
      </c>
      <c r="AV204" s="76">
        <f>IF(AU204="","",IF(VLOOKUP($B204,INDIRECT("'GRD-"&amp;AW204&amp;"'!$B:$R"),16,FALSE)="","",VLOOKUP($B204,INDIRECT("'GRD-"&amp;AW204&amp;"'!$B:$R"),16,FALSE)))</f>
        <v/>
      </c>
      <c r="AW204" s="132">
        <f t="array" ref="AW204">IF(AU204="","",IFERROR(OFFSET($BZ$11,0,MATCH($AU204,$CA204:$FV204,0),),""))</f>
        <v/>
      </c>
      <c r="AX204" s="121">
        <f t="array" ref="AX204">IF(AU204="","",INDIRECT("'GRD-"&amp;AW204&amp;"'!$L$7"))</f>
        <v/>
      </c>
      <c r="AY204" s="83">
        <f t="array" ref="AY204">IFERROR(OFFSET($BZ$11,ROW($B204)-11,MATCH(AY$10,$CA204:$FV204,0),),"")</f>
        <v/>
      </c>
      <c r="AZ204" s="83">
        <f>IF(AY204="","",IF(VLOOKUP($B204,INDIRECT("'GRD-"&amp;BA204&amp;"'!$B:$R"),16,FALSE)="","",VLOOKUP($B204,INDIRECT("'GRD-"&amp;BA204&amp;"'!$B:$R"),16,FALSE)))</f>
        <v/>
      </c>
      <c r="BA204" s="128">
        <f t="array" ref="BA204">IF(AY204="","",IFERROR(OFFSET($BZ$11,0,MATCH($AY204,$CA204:$FV204,0),),""))</f>
        <v/>
      </c>
      <c r="BB204" s="133">
        <f t="array" ref="BB204">IF(AY204="","",INDIRECT("'GRD-"&amp;BA204&amp;"'!$L$7"))</f>
        <v/>
      </c>
      <c r="BC204" s="84">
        <f t="array" ref="BC204">IFERROR(OFFSET($BZ$11,ROW($B204)-11,MATCH(BC$10,$CA204:$FV204,0),),"")</f>
        <v/>
      </c>
      <c r="BD204" s="84">
        <f>IF(BC204="","",IF(VLOOKUP($B204,INDIRECT("'GRD-"&amp;BE204&amp;"'!$B:$R"),16,FALSE)="","",VLOOKUP($B204,INDIRECT("'GRD-"&amp;BE204&amp;"'!$B:$R"),16,FALSE)))</f>
        <v/>
      </c>
      <c r="BE204" s="129">
        <f t="array" ref="BE204">IF(BC204="","",IFERROR(OFFSET($BZ$11,0,MATCH($BC204,$CA204:$FV204,0),),""))</f>
        <v/>
      </c>
      <c r="BF204" s="134">
        <f t="array" ref="BF204">IF(BC204="","",INDIRECT("'GRD-"&amp;BE204&amp;"'!$L$7"))</f>
        <v/>
      </c>
      <c r="CA204" s="96">
        <f>IFERROR(VLOOKUP($B204,INDIRECT("'GRD-"&amp;CA$11&amp;"'!B:R"),15,FALSE),"")</f>
        <v/>
      </c>
      <c r="CB204" s="96">
        <f>IFERROR(VLOOKUP($B204,INDIRECT("'GRD-"&amp;CB$11&amp;"'!B:R"),15,FALSE),"")</f>
        <v/>
      </c>
      <c r="CC204" s="96">
        <f>IFERROR(VLOOKUP($B204,INDIRECT("'GRD-"&amp;CC$11&amp;"'!B:R"),15,FALSE),"")</f>
        <v/>
      </c>
      <c r="CD204" s="96">
        <f>IFERROR(VLOOKUP($B204,INDIRECT("'GRD-"&amp;CD$11&amp;"'!B:R"),15,FALSE),"")</f>
        <v/>
      </c>
      <c r="CE204" s="96">
        <f>IFERROR(VLOOKUP($B204,INDIRECT("'GRD-"&amp;CE$11&amp;"'!B:R"),15,FALSE),"")</f>
        <v/>
      </c>
      <c r="CF204" s="96">
        <f>IFERROR(VLOOKUP($B204,INDIRECT("'GRD-"&amp;CF$11&amp;"'!B:R"),15,FALSE),"")</f>
        <v/>
      </c>
      <c r="CG204" s="96">
        <f>IFERROR(VLOOKUP($B204,INDIRECT("'GRD-"&amp;CG$11&amp;"'!B:R"),15,FALSE),"")</f>
        <v/>
      </c>
      <c r="CH204" s="96">
        <f>IFERROR(VLOOKUP($B204,INDIRECT("'GRD-"&amp;CH$11&amp;"'!B:R"),15,FALSE),"")</f>
        <v/>
      </c>
      <c r="CI204" s="96">
        <f>IFERROR(VLOOKUP($B204,INDIRECT("'GRD-"&amp;CI$11&amp;"'!B:R"),15,FALSE),"")</f>
        <v/>
      </c>
      <c r="CJ204" s="96">
        <f>IFERROR(VLOOKUP($B204,INDIRECT("'GRD-"&amp;CJ$11&amp;"'!B:R"),15,FALSE),"")</f>
        <v/>
      </c>
      <c r="CK204" s="96">
        <f>IFERROR(VLOOKUP($B204,INDIRECT("'GRD-"&amp;CK$11&amp;"'!B:R"),15,FALSE),"")</f>
        <v/>
      </c>
      <c r="CL204" s="96">
        <f>IFERROR(VLOOKUP($B204,INDIRECT("'GRD-"&amp;CL$11&amp;"'!B:R"),15,FALSE),"")</f>
        <v/>
      </c>
      <c r="CM204" s="96">
        <f>IFERROR(VLOOKUP($B204,INDIRECT("'GRD-"&amp;CM$11&amp;"'!B:R"),15,FALSE),"")</f>
        <v/>
      </c>
      <c r="CN204" s="96">
        <f>IFERROR(VLOOKUP($B204,INDIRECT("'GRD-"&amp;CN$11&amp;"'!B:R"),15,FALSE),"")</f>
        <v/>
      </c>
      <c r="CO204" s="96">
        <f>IFERROR(VLOOKUP($B204,INDIRECT("'GRD-"&amp;CO$11&amp;"'!B:R"),15,FALSE),"")</f>
        <v/>
      </c>
      <c r="CP204" s="96">
        <f>IFERROR(VLOOKUP($B204,INDIRECT("'GRD-"&amp;CP$11&amp;"'!B:R"),15,FALSE),"")</f>
        <v/>
      </c>
      <c r="CQ204" s="96">
        <f>IFERROR(VLOOKUP($B204,INDIRECT("'GRD-"&amp;CQ$11&amp;"'!B:R"),15,FALSE),"")</f>
        <v/>
      </c>
      <c r="CR204" s="96">
        <f>IFERROR(VLOOKUP($B204,INDIRECT("'GRD-"&amp;CR$11&amp;"'!B:R"),15,FALSE),"")</f>
        <v/>
      </c>
      <c r="CS204" s="96">
        <f>IFERROR(VLOOKUP($B204,INDIRECT("'GRD-"&amp;CS$11&amp;"'!B:R"),15,FALSE),"")</f>
        <v/>
      </c>
      <c r="CT204" s="96">
        <f>IFERROR(VLOOKUP($B204,INDIRECT("'GRD-"&amp;CT$11&amp;"'!B:R"),15,FALSE),"")</f>
        <v/>
      </c>
      <c r="CU204" s="96">
        <f>IFERROR(VLOOKUP($B204,INDIRECT("'GRD-"&amp;CU$11&amp;"'!B:R"),15,FALSE),"")</f>
        <v/>
      </c>
      <c r="CV204" s="96">
        <f>IFERROR(VLOOKUP($B204,INDIRECT("'GRD-"&amp;CV$11&amp;"'!B:R"),15,FALSE),"")</f>
        <v/>
      </c>
      <c r="CW204" s="96">
        <f>IFERROR(VLOOKUP($B204,INDIRECT("'GRD-"&amp;CW$11&amp;"'!B:R"),15,FALSE),"")</f>
        <v/>
      </c>
      <c r="CX204" s="96">
        <f>IFERROR(VLOOKUP($B204,INDIRECT("'GRD-"&amp;CX$11&amp;"'!B:R"),15,FALSE),"")</f>
        <v/>
      </c>
      <c r="CY204" s="96">
        <f>IFERROR(VLOOKUP($B204,INDIRECT("'GRD-"&amp;CY$11&amp;"'!B:R"),15,FALSE),"")</f>
        <v/>
      </c>
      <c r="CZ204" s="96">
        <f>IFERROR(VLOOKUP($B204,INDIRECT("'GRD-"&amp;CZ$11&amp;"'!B:R"),15,FALSE),"")</f>
        <v/>
      </c>
      <c r="DA204" s="96">
        <f>IFERROR(VLOOKUP($B204,INDIRECT("'GRD-"&amp;DA$11&amp;"'!B:R"),15,FALSE),"")</f>
        <v/>
      </c>
      <c r="DB204" s="96">
        <f>IFERROR(VLOOKUP($B204,INDIRECT("'GRD-"&amp;DB$11&amp;"'!B:R"),15,FALSE),"")</f>
        <v/>
      </c>
      <c r="DC204" s="96">
        <f>IFERROR(VLOOKUP($B204,INDIRECT("'GRD-"&amp;DC$11&amp;"'!B:R"),15,FALSE),"")</f>
        <v/>
      </c>
      <c r="DD204" s="96">
        <f>IFERROR(VLOOKUP($B204,INDIRECT("'GRD-"&amp;DD$11&amp;"'!B:R"),15,FALSE),"")</f>
        <v/>
      </c>
      <c r="DE204" s="96">
        <f>IFERROR(VLOOKUP($B204,INDIRECT("'GRD-"&amp;DE$11&amp;"'!B:R"),15,FALSE),"")</f>
        <v/>
      </c>
      <c r="DF204" s="96">
        <f>IFERROR(VLOOKUP($B204,INDIRECT("'GRD-"&amp;DF$11&amp;"'!B:R"),15,FALSE),"")</f>
        <v/>
      </c>
      <c r="DG204" s="96">
        <f>IFERROR(VLOOKUP($B204,INDIRECT("'GRD-"&amp;DG$11&amp;"'!B:R"),15,FALSE),"")</f>
        <v/>
      </c>
      <c r="DH204" s="96">
        <f>IFERROR(VLOOKUP($B204,INDIRECT("'GRD-"&amp;DH$11&amp;"'!B:R"),15,FALSE),"")</f>
        <v/>
      </c>
      <c r="DI204" s="96">
        <f>IFERROR(VLOOKUP($B204,INDIRECT("'GRD-"&amp;DI$11&amp;"'!B:R"),15,FALSE),"")</f>
        <v/>
      </c>
      <c r="DJ204" s="96">
        <f>IFERROR(VLOOKUP($B204,INDIRECT("'GRD-"&amp;DJ$11&amp;"'!B:R"),15,FALSE),"")</f>
        <v/>
      </c>
      <c r="DK204" s="96">
        <f>IFERROR(VLOOKUP($B204,INDIRECT("'GRD-"&amp;DK$11&amp;"'!B:R"),15,FALSE),"")</f>
        <v/>
      </c>
      <c r="DL204" s="96">
        <f>IFERROR(VLOOKUP($B204,INDIRECT("'GRD-"&amp;DL$11&amp;"'!B:R"),15,FALSE),"")</f>
        <v/>
      </c>
      <c r="DM204" s="96">
        <f>IFERROR(VLOOKUP($B204,INDIRECT("'GRD-"&amp;DM$11&amp;"'!B:R"),15,FALSE),"")</f>
        <v/>
      </c>
      <c r="DN204" s="96">
        <f>IFERROR(VLOOKUP($B204,INDIRECT("'GRD-"&amp;DN$11&amp;"'!B:R"),15,FALSE),"")</f>
        <v/>
      </c>
      <c r="DO204" s="96">
        <f>IFERROR(VLOOKUP($B204,INDIRECT("'GRD-"&amp;DO$11&amp;"'!B:R"),15,FALSE),"")</f>
        <v/>
      </c>
      <c r="DP204" s="96">
        <f>IFERROR(VLOOKUP($B204,INDIRECT("'GRD-"&amp;DP$11&amp;"'!B:R"),15,FALSE),"")</f>
        <v/>
      </c>
      <c r="DQ204" s="96">
        <f>IFERROR(VLOOKUP($B204,INDIRECT("'GRD-"&amp;DQ$11&amp;"'!B:R"),15,FALSE),"")</f>
        <v/>
      </c>
      <c r="DR204" s="96">
        <f>IFERROR(VLOOKUP($B204,INDIRECT("'GRD-"&amp;DR$11&amp;"'!B:R"),15,FALSE),"")</f>
        <v/>
      </c>
      <c r="DS204" s="96">
        <f>IFERROR(VLOOKUP($B204,INDIRECT("'GRD-"&amp;DS$11&amp;"'!B:R"),15,FALSE),"")</f>
        <v/>
      </c>
      <c r="DT204" s="96">
        <f>IFERROR(VLOOKUP($B204,INDIRECT("'GRD-"&amp;DT$11&amp;"'!B:R"),15,FALSE),"")</f>
        <v/>
      </c>
      <c r="DU204" s="96">
        <f>IFERROR(VLOOKUP($B204,INDIRECT("'GRD-"&amp;DU$11&amp;"'!B:R"),15,FALSE),"")</f>
        <v/>
      </c>
      <c r="DV204" s="96">
        <f>IFERROR(VLOOKUP($B204,INDIRECT("'GRD-"&amp;DV$11&amp;"'!B:R"),15,FALSE),"")</f>
        <v/>
      </c>
      <c r="DW204" s="96">
        <f>IFERROR(VLOOKUP($B204,INDIRECT("'GRD-"&amp;DW$11&amp;"'!B:R"),15,FALSE),"")</f>
        <v/>
      </c>
      <c r="DX204" s="96">
        <f>IFERROR(VLOOKUP($B204,INDIRECT("'GRD-"&amp;DX$11&amp;"'!B:R"),15,FALSE),"")</f>
        <v/>
      </c>
      <c r="DY204" s="96">
        <f>IFERROR(VLOOKUP($B204,INDIRECT("'GRD-"&amp;DY$11&amp;"'!B:R"),15,FALSE),"")</f>
        <v/>
      </c>
      <c r="DZ204" s="96">
        <f>IFERROR(VLOOKUP($B204,INDIRECT("'GRD-"&amp;DZ$11&amp;"'!B:R"),15,FALSE),"")</f>
        <v/>
      </c>
      <c r="EA204" s="96">
        <f>IFERROR(VLOOKUP($B204,INDIRECT("'GRD-"&amp;EA$11&amp;"'!B:R"),15,FALSE),"")</f>
        <v/>
      </c>
      <c r="EB204" s="96">
        <f>IFERROR(VLOOKUP($B204,INDIRECT("'GRD-"&amp;EB$11&amp;"'!B:R"),15,FALSE),"")</f>
        <v/>
      </c>
      <c r="EC204" s="96">
        <f>IFERROR(VLOOKUP($B204,INDIRECT("'GRD-"&amp;EC$11&amp;"'!B:R"),15,FALSE),"")</f>
        <v/>
      </c>
      <c r="ED204" s="96">
        <f>IFERROR(VLOOKUP($B204,INDIRECT("'GRD-"&amp;ED$11&amp;"'!B:R"),15,FALSE),"")</f>
        <v/>
      </c>
      <c r="EE204" s="96">
        <f>IFERROR(VLOOKUP($B204,INDIRECT("'GRD-"&amp;EE$11&amp;"'!B:R"),15,FALSE),"")</f>
        <v/>
      </c>
      <c r="EF204" s="96">
        <f>IFERROR(VLOOKUP($B204,INDIRECT("'GRD-"&amp;EF$11&amp;"'!B:R"),15,FALSE),"")</f>
        <v/>
      </c>
      <c r="EG204" s="96">
        <f>IFERROR(VLOOKUP($B204,INDIRECT("'GRD-"&amp;EG$11&amp;"'!B:R"),15,FALSE),"")</f>
        <v/>
      </c>
      <c r="EH204" s="96">
        <f>IFERROR(VLOOKUP($B204,INDIRECT("'GRD-"&amp;EH$11&amp;"'!B:R"),15,FALSE),"")</f>
        <v/>
      </c>
      <c r="EI204" s="96">
        <f>IFERROR(VLOOKUP($B204,INDIRECT("'GRD-"&amp;EI$11&amp;"'!B:R"),15,FALSE),"")</f>
        <v/>
      </c>
      <c r="EJ204" s="96">
        <f>IFERROR(VLOOKUP($B204,INDIRECT("'GRD-"&amp;EJ$11&amp;"'!B:R"),15,FALSE),"")</f>
        <v/>
      </c>
      <c r="EK204" s="96">
        <f>IFERROR(VLOOKUP($B204,INDIRECT("'GRD-"&amp;EK$11&amp;"'!B:R"),15,FALSE),"")</f>
        <v/>
      </c>
      <c r="EL204" s="96">
        <f>IFERROR(VLOOKUP($B204,INDIRECT("'GRD-"&amp;EL$11&amp;"'!B:R"),15,FALSE),"")</f>
        <v/>
      </c>
      <c r="EM204" s="96">
        <f>IFERROR(VLOOKUP($B204,INDIRECT("'GRD-"&amp;EM$11&amp;"'!B:R"),15,FALSE),"")</f>
        <v/>
      </c>
      <c r="EN204" s="96">
        <f>IFERROR(VLOOKUP($B204,INDIRECT("'GRD-"&amp;EN$11&amp;"'!B:R"),15,FALSE),"")</f>
        <v/>
      </c>
      <c r="EO204" s="96">
        <f>IFERROR(VLOOKUP($B204,INDIRECT("'GRD-"&amp;EO$11&amp;"'!B:R"),15,FALSE),"")</f>
        <v/>
      </c>
      <c r="EP204" s="96">
        <f>IFERROR(VLOOKUP($B204,INDIRECT("'GRD-"&amp;EP$11&amp;"'!B:R"),15,FALSE),"")</f>
        <v/>
      </c>
      <c r="EQ204" s="96">
        <f>IFERROR(VLOOKUP($B204,INDIRECT("'GRD-"&amp;EQ$11&amp;"'!B:R"),15,FALSE),"")</f>
        <v/>
      </c>
      <c r="ER204" s="96">
        <f>IFERROR(VLOOKUP($B204,INDIRECT("'GRD-"&amp;ER$11&amp;"'!B:R"),15,FALSE),"")</f>
        <v/>
      </c>
      <c r="ES204" s="96">
        <f>IFERROR(VLOOKUP($B204,INDIRECT("'GRD-"&amp;ES$11&amp;"'!B:R"),15,FALSE),"")</f>
        <v/>
      </c>
      <c r="ET204" s="96">
        <f>IFERROR(VLOOKUP($B204,INDIRECT("'GRD-"&amp;ET$11&amp;"'!B:R"),15,FALSE),"")</f>
        <v/>
      </c>
      <c r="EU204" s="96">
        <f>IFERROR(VLOOKUP($B204,INDIRECT("'GRD-"&amp;EU$11&amp;"'!B:R"),15,FALSE),"")</f>
        <v/>
      </c>
      <c r="EV204" s="96">
        <f>IFERROR(VLOOKUP($B204,INDIRECT("'GRD-"&amp;EV$11&amp;"'!B:R"),15,FALSE),"")</f>
        <v/>
      </c>
      <c r="EW204" s="96">
        <f>IFERROR(VLOOKUP($B204,INDIRECT("'GRD-"&amp;EW$11&amp;"'!B:R"),15,FALSE),"")</f>
        <v/>
      </c>
      <c r="EX204" s="96">
        <f>IFERROR(VLOOKUP($B204,INDIRECT("'GRD-"&amp;EX$11&amp;"'!B:R"),15,FALSE),"")</f>
        <v/>
      </c>
      <c r="EY204" s="96">
        <f>IFERROR(VLOOKUP($B204,INDIRECT("'GRD-"&amp;EY$11&amp;"'!B:R"),15,FALSE),"")</f>
        <v/>
      </c>
      <c r="EZ204" s="96">
        <f>IFERROR(VLOOKUP($B204,INDIRECT("'GRD-"&amp;EZ$11&amp;"'!B:R"),15,FALSE),"")</f>
        <v/>
      </c>
      <c r="FA204" s="96">
        <f>IFERROR(VLOOKUP($B204,INDIRECT("'GRD-"&amp;FA$11&amp;"'!B:R"),15,FALSE),"")</f>
        <v/>
      </c>
      <c r="FB204" s="96">
        <f>IFERROR(VLOOKUP($B204,INDIRECT("'GRD-"&amp;FB$11&amp;"'!B:R"),15,FALSE),"")</f>
        <v/>
      </c>
      <c r="FC204" s="96">
        <f>IFERROR(VLOOKUP($B204,INDIRECT("'GRD-"&amp;FC$11&amp;"'!B:R"),15,FALSE),"")</f>
        <v/>
      </c>
      <c r="FD204" s="96">
        <f>IFERROR(VLOOKUP($B204,INDIRECT("'GRD-"&amp;FD$11&amp;"'!B:R"),15,FALSE),"")</f>
        <v/>
      </c>
      <c r="FE204" s="96">
        <f>IFERROR(VLOOKUP($B204,INDIRECT("'GRD-"&amp;FE$11&amp;"'!B:R"),15,FALSE),"")</f>
        <v/>
      </c>
      <c r="FF204" s="96">
        <f>IFERROR(VLOOKUP($B204,INDIRECT("'GRD-"&amp;FF$11&amp;"'!B:R"),15,FALSE),"")</f>
        <v/>
      </c>
      <c r="FG204" s="96">
        <f>IFERROR(VLOOKUP($B204,INDIRECT("'GRD-"&amp;FG$11&amp;"'!B:R"),15,FALSE),"")</f>
        <v/>
      </c>
      <c r="FH204" s="96">
        <f>IFERROR(VLOOKUP($B204,INDIRECT("'GRD-"&amp;FH$11&amp;"'!B:R"),15,FALSE),"")</f>
        <v/>
      </c>
      <c r="FI204" s="96">
        <f>IFERROR(VLOOKUP($B204,INDIRECT("'GRD-"&amp;FI$11&amp;"'!B:R"),15,FALSE),"")</f>
        <v/>
      </c>
      <c r="FJ204" s="96">
        <f>IFERROR(VLOOKUP($B204,INDIRECT("'GRD-"&amp;FJ$11&amp;"'!B:R"),15,FALSE),"")</f>
        <v/>
      </c>
      <c r="FK204" s="96">
        <f>IFERROR(VLOOKUP($B204,INDIRECT("'GRD-"&amp;FK$11&amp;"'!B:R"),15,FALSE),"")</f>
        <v/>
      </c>
      <c r="FL204" s="96">
        <f>IFERROR(VLOOKUP($B204,INDIRECT("'GRD-"&amp;FL$11&amp;"'!B:R"),15,FALSE),"")</f>
        <v/>
      </c>
      <c r="FM204" s="96">
        <f>IFERROR(VLOOKUP($B204,INDIRECT("'GRD-"&amp;FM$11&amp;"'!B:R"),15,FALSE),"")</f>
        <v/>
      </c>
      <c r="FN204" s="96">
        <f>IFERROR(VLOOKUP($B204,INDIRECT("'GRD-"&amp;FN$11&amp;"'!B:R"),15,FALSE),"")</f>
        <v/>
      </c>
      <c r="FO204" s="96">
        <f>IFERROR(VLOOKUP($B204,INDIRECT("'GRD-"&amp;FO$11&amp;"'!B:R"),15,FALSE),"")</f>
        <v/>
      </c>
      <c r="FP204" s="96">
        <f>IFERROR(VLOOKUP($B204,INDIRECT("'GRD-"&amp;FP$11&amp;"'!B:R"),15,FALSE),"")</f>
        <v/>
      </c>
      <c r="FQ204" s="96">
        <f>IFERROR(VLOOKUP($B204,INDIRECT("'GRD-"&amp;FQ$11&amp;"'!B:R"),15,FALSE),"")</f>
        <v/>
      </c>
      <c r="FR204" s="96">
        <f>IFERROR(VLOOKUP($B204,INDIRECT("'GRD-"&amp;FR$11&amp;"'!B:R"),15,FALSE),"")</f>
        <v/>
      </c>
      <c r="FS204" s="96">
        <f>IFERROR(VLOOKUP($B204,INDIRECT("'GRD-"&amp;FS$11&amp;"'!B:R"),15,FALSE),"")</f>
        <v/>
      </c>
      <c r="FT204" s="96">
        <f>IFERROR(VLOOKUP($B204,INDIRECT("'GRD-"&amp;FT$11&amp;"'!B:R"),15,FALSE),"")</f>
        <v/>
      </c>
      <c r="FU204" s="96">
        <f>IFERROR(VLOOKUP($B204,INDIRECT("'GRD-"&amp;FU$11&amp;"'!B:R"),15,FALSE),"")</f>
        <v/>
      </c>
      <c r="FV204" s="96">
        <f>IFERROR(VLOOKUP($B204,INDIRECT("'GRD-"&amp;FV$11&amp;"'!B:R"),15,FALSE),"")</f>
        <v/>
      </c>
    </row>
    <row r="205">
      <c r="B205" s="85" t="n"/>
      <c r="C205" s="93" t="n"/>
      <c r="D205" s="73">
        <f>IF(K205="","",MAX($CA205:$FV205))</f>
        <v/>
      </c>
      <c r="E205" s="74">
        <f t="array" ref="E205">IF($K205="","",OFFSET($A$1,ROW($B205)-1,11+$D205*4,))</f>
        <v/>
      </c>
      <c r="F205" s="74">
        <f t="array" ref="F205">IF($K205="","",OFFSET($A$1,ROW($B205)-1,12+$D205*4,))</f>
        <v/>
      </c>
      <c r="G205" s="118">
        <f t="array" ref="G205">IF($K205="","",OFFSET($A$1,ROW($B205)-1,13+$D205*4,))</f>
        <v/>
      </c>
      <c r="H205" s="81" t="n"/>
      <c r="I205" s="82" t="n"/>
      <c r="J205" s="75">
        <f>IF(I205="A4",H205/8,IF(I205="A3",H205/4,IF(I205="A2",H205/2,IF(I205="A1",H205/1,IF(I205="A0",H205*2,"")))))</f>
        <v/>
      </c>
      <c r="K205" s="68">
        <f t="array" ref="K205">IFERROR(OFFSET($BZ$11,ROW($B205)-11,MATCH(K$10,$CA205:$FV205,0),),"")</f>
        <v/>
      </c>
      <c r="L205" s="85">
        <f>IF(K205="","",IF(VLOOKUP($B205,INDIRECT("'GRD-"&amp;M205&amp;"'!$B:$R"),16,FALSE)="","",VLOOKUP($B205,INDIRECT("'GRD-"&amp;M205&amp;"'!$B:$R"),16,FALSE)))</f>
        <v/>
      </c>
      <c r="M205" s="130">
        <f t="array" ref="M205">IF(K205="","",IFERROR(OFFSET($BZ$11,0,MATCH($K205,$CA205:$FV205,0),),""))</f>
        <v/>
      </c>
      <c r="N205" s="119">
        <f t="array" ref="N205">IF(K205="","",INDIRECT("'GRD-"&amp;M205&amp;"'!$L$7"))</f>
        <v/>
      </c>
      <c r="O205" s="76">
        <f t="array" ref="O205">IFERROR(OFFSET($BZ$11,ROW($B205)-11,MATCH(O$10,$CA205:$FV205,0),),"")</f>
        <v/>
      </c>
      <c r="P205" s="76">
        <f>IF(O205="","",IF(VLOOKUP($B205,INDIRECT("'GRD-"&amp;Q205&amp;"'!$B:$R"),16,FALSE)="","",VLOOKUP($B205,INDIRECT("'GRD-"&amp;Q205&amp;"'!$B:$R"),16,FALSE)))</f>
        <v/>
      </c>
      <c r="Q205" s="132">
        <f t="array" ref="Q205">IF(O205="","",IFERROR(OFFSET($BZ$11,0,MATCH($O205,$CA205:$FV205,0),),""))</f>
        <v/>
      </c>
      <c r="R205" s="121">
        <f t="array" ref="R205">IF(O205="","",INDIRECT("'GRD-"&amp;Q205&amp;"'!$L$7"))</f>
        <v/>
      </c>
      <c r="S205" s="83">
        <f t="array" ref="S205">IFERROR(OFFSET($BZ$11,ROW($B205)-11,MATCH(S$10,$CA205:$FV205,0),),"")</f>
        <v/>
      </c>
      <c r="T205" s="83">
        <f>IF(S205="","",IF(VLOOKUP($B205,INDIRECT("'GRD-"&amp;U205&amp;"'!$B:$R"),16,FALSE)="","",VLOOKUP($B205,INDIRECT("'GRD-"&amp;U205&amp;"'!$B:$R"),16,FALSE)))</f>
        <v/>
      </c>
      <c r="U205" s="128">
        <f t="array" ref="U205">IF(S205="","",IFERROR(OFFSET($BZ$11,0,MATCH($S205,$CA205:$FV205,0),),""))</f>
        <v/>
      </c>
      <c r="V205" s="133">
        <f t="array" ref="V205">IF(S205="","",INDIRECT("'GRD-"&amp;U205&amp;"'!$L$7"))</f>
        <v/>
      </c>
      <c r="W205" s="84">
        <f t="array" ref="W205">IFERROR(OFFSET($BZ$11,ROW($B205)-11,MATCH(W$10,$CA205:$FV205,0),),"")</f>
        <v/>
      </c>
      <c r="X205" s="84">
        <f>IF(W205="","",IF(VLOOKUP($B205,INDIRECT("'GRD-"&amp;Y205&amp;"'!$B:$R"),16,FALSE)="","",VLOOKUP($B205,INDIRECT("'GRD-"&amp;Y205&amp;"'!$B:$R"),16,FALSE)))</f>
        <v/>
      </c>
      <c r="Y205" s="129">
        <f t="array" ref="Y205">IF(W205="","",IFERROR(OFFSET($BZ$11,0,MATCH($W205,$CA205:$FV205,0),),""))</f>
        <v/>
      </c>
      <c r="Z205" s="134">
        <f t="array" ref="Z205">IF(W205="","",INDIRECT("'GRD-"&amp;Y205&amp;"'!$L$7"))</f>
        <v/>
      </c>
      <c r="AA205" s="85">
        <f t="array" ref="AA205">IFERROR(OFFSET($BZ$11,ROW($B205)-11,MATCH(AA$10,$CA205:$FV205,0),),"")</f>
        <v/>
      </c>
      <c r="AB205" s="85">
        <f>IF(AA205="","",IF(VLOOKUP($B205,INDIRECT("'GRD-"&amp;AC205&amp;"'!$B:$R"),16,FALSE)="","",VLOOKUP($B205,INDIRECT("'GRD-"&amp;AC205&amp;"'!$B:$R"),16,FALSE)))</f>
        <v/>
      </c>
      <c r="AC205" s="130">
        <f t="array" ref="AC205">IF(AA205="","",IFERROR(OFFSET($BZ$11,0,MATCH($AA205,$CA205:$FV205,0),),""))</f>
        <v/>
      </c>
      <c r="AD205" s="131">
        <f t="array" ref="AD205">IF(AA205="","",INDIRECT("'GRD-"&amp;AC205&amp;"'!$L$7"))</f>
        <v/>
      </c>
      <c r="AE205" s="76">
        <f t="array" ref="AE205">IFERROR(OFFSET($BZ$11,ROW($B205)-11,MATCH(AE$10,$CA205:$FV205,0),),"")</f>
        <v/>
      </c>
      <c r="AF205" s="76">
        <f>IF(AE205="","",IF(VLOOKUP($B205,INDIRECT("'GRD-"&amp;AG205&amp;"'!$B:$R"),16,FALSE)="","",VLOOKUP($B205,INDIRECT("'GRD-"&amp;AG205&amp;"'!$B:$R"),16,FALSE)))</f>
        <v/>
      </c>
      <c r="AG205" s="132">
        <f t="array" ref="AG205">IF(AE205="","",IFERROR(OFFSET($BZ$11,0,MATCH($AE205,$CA205:$FV205,0),),""))</f>
        <v/>
      </c>
      <c r="AH205" s="121">
        <f t="array" ref="AH205">IF(AE205="","",INDIRECT("'GRD-"&amp;AG205&amp;"'!$L$7"))</f>
        <v/>
      </c>
      <c r="AI205" s="83">
        <f t="array" ref="AI205">IFERROR(OFFSET($BZ$11,ROW($B205)-11,MATCH(AI$10,$CA205:$FV205,0),),"")</f>
        <v/>
      </c>
      <c r="AJ205" s="83">
        <f>IF(AI205="","",IF(VLOOKUP($B205,INDIRECT("'GRD-"&amp;AK205&amp;"'!$B:$R"),16,FALSE)="","",VLOOKUP($B205,INDIRECT("'GRD-"&amp;AK205&amp;"'!$B:$R"),16,FALSE)))</f>
        <v/>
      </c>
      <c r="AK205" s="128">
        <f t="array" ref="AK205">IF(AI205="","",IFERROR(OFFSET($BZ$11,0,MATCH($AI205,$CA205:$FV205,0),),""))</f>
        <v/>
      </c>
      <c r="AL205" s="133">
        <f t="array" ref="AL205">IF(AI205="","",INDIRECT("'GRD-"&amp;AK205&amp;"'!$L$7"))</f>
        <v/>
      </c>
      <c r="AM205" s="84">
        <f t="array" ref="AM205">IFERROR(OFFSET($BZ$11,ROW($B205)-11,MATCH(AM$10,$CA205:$FV205,0),),"")</f>
        <v/>
      </c>
      <c r="AN205" s="84">
        <f>IF(AM205="","",IF(VLOOKUP($B205,INDIRECT("'GRD-"&amp;AO205&amp;"'!$B:$R"),16,FALSE)="","",VLOOKUP($B205,INDIRECT("'GRD-"&amp;AO205&amp;"'!$B:$R"),16,FALSE)))</f>
        <v/>
      </c>
      <c r="AO205" s="129">
        <f t="array" ref="AO205">IF(AM205="","",IFERROR(OFFSET($BZ$11,0,MATCH($AM205,$CA205:$FV205,0),),""))</f>
        <v/>
      </c>
      <c r="AP205" s="134">
        <f t="array" ref="AP205">IF(AM205="","",INDIRECT("'GRD-"&amp;AO205&amp;"'!$L$7"))</f>
        <v/>
      </c>
      <c r="AQ205" s="85">
        <f t="array" ref="AQ205">IFERROR(OFFSET($BZ$11,ROW($B205)-11,MATCH(AQ$10,$CA205:$FV205,0),),"")</f>
        <v/>
      </c>
      <c r="AR205" s="85">
        <f>IF(AQ205="","",IF(VLOOKUP($B205,INDIRECT("'GRD-"&amp;AS205&amp;"'!$B:$R"),16,FALSE)="","",VLOOKUP($B205,INDIRECT("'GRD-"&amp;AS205&amp;"'!$B:$R"),16,FALSE)))</f>
        <v/>
      </c>
      <c r="AS205" s="130">
        <f t="array" ref="AS205">IF(AQ205="","",IFERROR(OFFSET($BZ$11,0,MATCH($AQ205,$CA205:$FV205,0),),""))</f>
        <v/>
      </c>
      <c r="AT205" s="131">
        <f t="array" ref="AT205">IF(AQ205="","",INDIRECT("'GRD-"&amp;AS205&amp;"'!$L$7"))</f>
        <v/>
      </c>
      <c r="AU205" s="76">
        <f t="array" ref="AU205">IFERROR(OFFSET($BZ$11,ROW($B205)-11,MATCH(AU$10,$CA205:$FV205,0),),"")</f>
        <v/>
      </c>
      <c r="AV205" s="76">
        <f>IF(AU205="","",IF(VLOOKUP($B205,INDIRECT("'GRD-"&amp;AW205&amp;"'!$B:$R"),16,FALSE)="","",VLOOKUP($B205,INDIRECT("'GRD-"&amp;AW205&amp;"'!$B:$R"),16,FALSE)))</f>
        <v/>
      </c>
      <c r="AW205" s="132">
        <f t="array" ref="AW205">IF(AU205="","",IFERROR(OFFSET($BZ$11,0,MATCH($AU205,$CA205:$FV205,0),),""))</f>
        <v/>
      </c>
      <c r="AX205" s="121">
        <f t="array" ref="AX205">IF(AU205="","",INDIRECT("'GRD-"&amp;AW205&amp;"'!$L$7"))</f>
        <v/>
      </c>
      <c r="AY205" s="83">
        <f t="array" ref="AY205">IFERROR(OFFSET($BZ$11,ROW($B205)-11,MATCH(AY$10,$CA205:$FV205,0),),"")</f>
        <v/>
      </c>
      <c r="AZ205" s="83">
        <f>IF(AY205="","",IF(VLOOKUP($B205,INDIRECT("'GRD-"&amp;BA205&amp;"'!$B:$R"),16,FALSE)="","",VLOOKUP($B205,INDIRECT("'GRD-"&amp;BA205&amp;"'!$B:$R"),16,FALSE)))</f>
        <v/>
      </c>
      <c r="BA205" s="128">
        <f t="array" ref="BA205">IF(AY205="","",IFERROR(OFFSET($BZ$11,0,MATCH($AY205,$CA205:$FV205,0),),""))</f>
        <v/>
      </c>
      <c r="BB205" s="133">
        <f t="array" ref="BB205">IF(AY205="","",INDIRECT("'GRD-"&amp;BA205&amp;"'!$L$7"))</f>
        <v/>
      </c>
      <c r="BC205" s="84">
        <f t="array" ref="BC205">IFERROR(OFFSET($BZ$11,ROW($B205)-11,MATCH(BC$10,$CA205:$FV205,0),),"")</f>
        <v/>
      </c>
      <c r="BD205" s="84">
        <f>IF(BC205="","",IF(VLOOKUP($B205,INDIRECT("'GRD-"&amp;BE205&amp;"'!$B:$R"),16,FALSE)="","",VLOOKUP($B205,INDIRECT("'GRD-"&amp;BE205&amp;"'!$B:$R"),16,FALSE)))</f>
        <v/>
      </c>
      <c r="BE205" s="129">
        <f t="array" ref="BE205">IF(BC205="","",IFERROR(OFFSET($BZ$11,0,MATCH($BC205,$CA205:$FV205,0),),""))</f>
        <v/>
      </c>
      <c r="BF205" s="134">
        <f t="array" ref="BF205">IF(BC205="","",INDIRECT("'GRD-"&amp;BE205&amp;"'!$L$7"))</f>
        <v/>
      </c>
      <c r="CA205" s="96">
        <f>IFERROR(VLOOKUP($B205,INDIRECT("'GRD-"&amp;CA$11&amp;"'!B:R"),15,FALSE),"")</f>
        <v/>
      </c>
      <c r="CB205" s="96">
        <f>IFERROR(VLOOKUP($B205,INDIRECT("'GRD-"&amp;CB$11&amp;"'!B:R"),15,FALSE),"")</f>
        <v/>
      </c>
      <c r="CC205" s="96">
        <f>IFERROR(VLOOKUP($B205,INDIRECT("'GRD-"&amp;CC$11&amp;"'!B:R"),15,FALSE),"")</f>
        <v/>
      </c>
      <c r="CD205" s="96">
        <f>IFERROR(VLOOKUP($B205,INDIRECT("'GRD-"&amp;CD$11&amp;"'!B:R"),15,FALSE),"")</f>
        <v/>
      </c>
      <c r="CE205" s="96">
        <f>IFERROR(VLOOKUP($B205,INDIRECT("'GRD-"&amp;CE$11&amp;"'!B:R"),15,FALSE),"")</f>
        <v/>
      </c>
      <c r="CF205" s="96">
        <f>IFERROR(VLOOKUP($B205,INDIRECT("'GRD-"&amp;CF$11&amp;"'!B:R"),15,FALSE),"")</f>
        <v/>
      </c>
      <c r="CG205" s="96">
        <f>IFERROR(VLOOKUP($B205,INDIRECT("'GRD-"&amp;CG$11&amp;"'!B:R"),15,FALSE),"")</f>
        <v/>
      </c>
      <c r="CH205" s="96">
        <f>IFERROR(VLOOKUP($B205,INDIRECT("'GRD-"&amp;CH$11&amp;"'!B:R"),15,FALSE),"")</f>
        <v/>
      </c>
      <c r="CI205" s="96">
        <f>IFERROR(VLOOKUP($B205,INDIRECT("'GRD-"&amp;CI$11&amp;"'!B:R"),15,FALSE),"")</f>
        <v/>
      </c>
      <c r="CJ205" s="96">
        <f>IFERROR(VLOOKUP($B205,INDIRECT("'GRD-"&amp;CJ$11&amp;"'!B:R"),15,FALSE),"")</f>
        <v/>
      </c>
      <c r="CK205" s="96">
        <f>IFERROR(VLOOKUP($B205,INDIRECT("'GRD-"&amp;CK$11&amp;"'!B:R"),15,FALSE),"")</f>
        <v/>
      </c>
      <c r="CL205" s="96">
        <f>IFERROR(VLOOKUP($B205,INDIRECT("'GRD-"&amp;CL$11&amp;"'!B:R"),15,FALSE),"")</f>
        <v/>
      </c>
      <c r="CM205" s="96">
        <f>IFERROR(VLOOKUP($B205,INDIRECT("'GRD-"&amp;CM$11&amp;"'!B:R"),15,FALSE),"")</f>
        <v/>
      </c>
      <c r="CN205" s="96">
        <f>IFERROR(VLOOKUP($B205,INDIRECT("'GRD-"&amp;CN$11&amp;"'!B:R"),15,FALSE),"")</f>
        <v/>
      </c>
      <c r="CO205" s="96">
        <f>IFERROR(VLOOKUP($B205,INDIRECT("'GRD-"&amp;CO$11&amp;"'!B:R"),15,FALSE),"")</f>
        <v/>
      </c>
      <c r="CP205" s="96">
        <f>IFERROR(VLOOKUP($B205,INDIRECT("'GRD-"&amp;CP$11&amp;"'!B:R"),15,FALSE),"")</f>
        <v/>
      </c>
      <c r="CQ205" s="96">
        <f>IFERROR(VLOOKUP($B205,INDIRECT("'GRD-"&amp;CQ$11&amp;"'!B:R"),15,FALSE),"")</f>
        <v/>
      </c>
      <c r="CR205" s="96">
        <f>IFERROR(VLOOKUP($B205,INDIRECT("'GRD-"&amp;CR$11&amp;"'!B:R"),15,FALSE),"")</f>
        <v/>
      </c>
      <c r="CS205" s="96">
        <f>IFERROR(VLOOKUP($B205,INDIRECT("'GRD-"&amp;CS$11&amp;"'!B:R"),15,FALSE),"")</f>
        <v/>
      </c>
      <c r="CT205" s="96">
        <f>IFERROR(VLOOKUP($B205,INDIRECT("'GRD-"&amp;CT$11&amp;"'!B:R"),15,FALSE),"")</f>
        <v/>
      </c>
      <c r="CU205" s="96">
        <f>IFERROR(VLOOKUP($B205,INDIRECT("'GRD-"&amp;CU$11&amp;"'!B:R"),15,FALSE),"")</f>
        <v/>
      </c>
      <c r="CV205" s="96">
        <f>IFERROR(VLOOKUP($B205,INDIRECT("'GRD-"&amp;CV$11&amp;"'!B:R"),15,FALSE),"")</f>
        <v/>
      </c>
      <c r="CW205" s="96">
        <f>IFERROR(VLOOKUP($B205,INDIRECT("'GRD-"&amp;CW$11&amp;"'!B:R"),15,FALSE),"")</f>
        <v/>
      </c>
      <c r="CX205" s="96">
        <f>IFERROR(VLOOKUP($B205,INDIRECT("'GRD-"&amp;CX$11&amp;"'!B:R"),15,FALSE),"")</f>
        <v/>
      </c>
      <c r="CY205" s="96">
        <f>IFERROR(VLOOKUP($B205,INDIRECT("'GRD-"&amp;CY$11&amp;"'!B:R"),15,FALSE),"")</f>
        <v/>
      </c>
      <c r="CZ205" s="96">
        <f>IFERROR(VLOOKUP($B205,INDIRECT("'GRD-"&amp;CZ$11&amp;"'!B:R"),15,FALSE),"")</f>
        <v/>
      </c>
      <c r="DA205" s="96">
        <f>IFERROR(VLOOKUP($B205,INDIRECT("'GRD-"&amp;DA$11&amp;"'!B:R"),15,FALSE),"")</f>
        <v/>
      </c>
      <c r="DB205" s="96">
        <f>IFERROR(VLOOKUP($B205,INDIRECT("'GRD-"&amp;DB$11&amp;"'!B:R"),15,FALSE),"")</f>
        <v/>
      </c>
      <c r="DC205" s="96">
        <f>IFERROR(VLOOKUP($B205,INDIRECT("'GRD-"&amp;DC$11&amp;"'!B:R"),15,FALSE),"")</f>
        <v/>
      </c>
      <c r="DD205" s="96">
        <f>IFERROR(VLOOKUP($B205,INDIRECT("'GRD-"&amp;DD$11&amp;"'!B:R"),15,FALSE),"")</f>
        <v/>
      </c>
      <c r="DE205" s="96">
        <f>IFERROR(VLOOKUP($B205,INDIRECT("'GRD-"&amp;DE$11&amp;"'!B:R"),15,FALSE),"")</f>
        <v/>
      </c>
      <c r="DF205" s="96">
        <f>IFERROR(VLOOKUP($B205,INDIRECT("'GRD-"&amp;DF$11&amp;"'!B:R"),15,FALSE),"")</f>
        <v/>
      </c>
      <c r="DG205" s="96">
        <f>IFERROR(VLOOKUP($B205,INDIRECT("'GRD-"&amp;DG$11&amp;"'!B:R"),15,FALSE),"")</f>
        <v/>
      </c>
      <c r="DH205" s="96">
        <f>IFERROR(VLOOKUP($B205,INDIRECT("'GRD-"&amp;DH$11&amp;"'!B:R"),15,FALSE),"")</f>
        <v/>
      </c>
      <c r="DI205" s="96">
        <f>IFERROR(VLOOKUP($B205,INDIRECT("'GRD-"&amp;DI$11&amp;"'!B:R"),15,FALSE),"")</f>
        <v/>
      </c>
      <c r="DJ205" s="96">
        <f>IFERROR(VLOOKUP($B205,INDIRECT("'GRD-"&amp;DJ$11&amp;"'!B:R"),15,FALSE),"")</f>
        <v/>
      </c>
      <c r="DK205" s="96">
        <f>IFERROR(VLOOKUP($B205,INDIRECT("'GRD-"&amp;DK$11&amp;"'!B:R"),15,FALSE),"")</f>
        <v/>
      </c>
      <c r="DL205" s="96">
        <f>IFERROR(VLOOKUP($B205,INDIRECT("'GRD-"&amp;DL$11&amp;"'!B:R"),15,FALSE),"")</f>
        <v/>
      </c>
      <c r="DM205" s="96">
        <f>IFERROR(VLOOKUP($B205,INDIRECT("'GRD-"&amp;DM$11&amp;"'!B:R"),15,FALSE),"")</f>
        <v/>
      </c>
      <c r="DN205" s="96">
        <f>IFERROR(VLOOKUP($B205,INDIRECT("'GRD-"&amp;DN$11&amp;"'!B:R"),15,FALSE),"")</f>
        <v/>
      </c>
      <c r="DO205" s="96">
        <f>IFERROR(VLOOKUP($B205,INDIRECT("'GRD-"&amp;DO$11&amp;"'!B:R"),15,FALSE),"")</f>
        <v/>
      </c>
      <c r="DP205" s="96">
        <f>IFERROR(VLOOKUP($B205,INDIRECT("'GRD-"&amp;DP$11&amp;"'!B:R"),15,FALSE),"")</f>
        <v/>
      </c>
      <c r="DQ205" s="96">
        <f>IFERROR(VLOOKUP($B205,INDIRECT("'GRD-"&amp;DQ$11&amp;"'!B:R"),15,FALSE),"")</f>
        <v/>
      </c>
      <c r="DR205" s="96">
        <f>IFERROR(VLOOKUP($B205,INDIRECT("'GRD-"&amp;DR$11&amp;"'!B:R"),15,FALSE),"")</f>
        <v/>
      </c>
      <c r="DS205" s="96">
        <f>IFERROR(VLOOKUP($B205,INDIRECT("'GRD-"&amp;DS$11&amp;"'!B:R"),15,FALSE),"")</f>
        <v/>
      </c>
      <c r="DT205" s="96">
        <f>IFERROR(VLOOKUP($B205,INDIRECT("'GRD-"&amp;DT$11&amp;"'!B:R"),15,FALSE),"")</f>
        <v/>
      </c>
      <c r="DU205" s="96">
        <f>IFERROR(VLOOKUP($B205,INDIRECT("'GRD-"&amp;DU$11&amp;"'!B:R"),15,FALSE),"")</f>
        <v/>
      </c>
      <c r="DV205" s="96">
        <f>IFERROR(VLOOKUP($B205,INDIRECT("'GRD-"&amp;DV$11&amp;"'!B:R"),15,FALSE),"")</f>
        <v/>
      </c>
      <c r="DW205" s="96">
        <f>IFERROR(VLOOKUP($B205,INDIRECT("'GRD-"&amp;DW$11&amp;"'!B:R"),15,FALSE),"")</f>
        <v/>
      </c>
      <c r="DX205" s="96">
        <f>IFERROR(VLOOKUP($B205,INDIRECT("'GRD-"&amp;DX$11&amp;"'!B:R"),15,FALSE),"")</f>
        <v/>
      </c>
      <c r="DY205" s="96">
        <f>IFERROR(VLOOKUP($B205,INDIRECT("'GRD-"&amp;DY$11&amp;"'!B:R"),15,FALSE),"")</f>
        <v/>
      </c>
      <c r="DZ205" s="96">
        <f>IFERROR(VLOOKUP($B205,INDIRECT("'GRD-"&amp;DZ$11&amp;"'!B:R"),15,FALSE),"")</f>
        <v/>
      </c>
      <c r="EA205" s="96">
        <f>IFERROR(VLOOKUP($B205,INDIRECT("'GRD-"&amp;EA$11&amp;"'!B:R"),15,FALSE),"")</f>
        <v/>
      </c>
      <c r="EB205" s="96">
        <f>IFERROR(VLOOKUP($B205,INDIRECT("'GRD-"&amp;EB$11&amp;"'!B:R"),15,FALSE),"")</f>
        <v/>
      </c>
      <c r="EC205" s="96">
        <f>IFERROR(VLOOKUP($B205,INDIRECT("'GRD-"&amp;EC$11&amp;"'!B:R"),15,FALSE),"")</f>
        <v/>
      </c>
      <c r="ED205" s="96">
        <f>IFERROR(VLOOKUP($B205,INDIRECT("'GRD-"&amp;ED$11&amp;"'!B:R"),15,FALSE),"")</f>
        <v/>
      </c>
      <c r="EE205" s="96">
        <f>IFERROR(VLOOKUP($B205,INDIRECT("'GRD-"&amp;EE$11&amp;"'!B:R"),15,FALSE),"")</f>
        <v/>
      </c>
      <c r="EF205" s="96">
        <f>IFERROR(VLOOKUP($B205,INDIRECT("'GRD-"&amp;EF$11&amp;"'!B:R"),15,FALSE),"")</f>
        <v/>
      </c>
      <c r="EG205" s="96">
        <f>IFERROR(VLOOKUP($B205,INDIRECT("'GRD-"&amp;EG$11&amp;"'!B:R"),15,FALSE),"")</f>
        <v/>
      </c>
      <c r="EH205" s="96">
        <f>IFERROR(VLOOKUP($B205,INDIRECT("'GRD-"&amp;EH$11&amp;"'!B:R"),15,FALSE),"")</f>
        <v/>
      </c>
      <c r="EI205" s="96">
        <f>IFERROR(VLOOKUP($B205,INDIRECT("'GRD-"&amp;EI$11&amp;"'!B:R"),15,FALSE),"")</f>
        <v/>
      </c>
      <c r="EJ205" s="96">
        <f>IFERROR(VLOOKUP($B205,INDIRECT("'GRD-"&amp;EJ$11&amp;"'!B:R"),15,FALSE),"")</f>
        <v/>
      </c>
      <c r="EK205" s="96">
        <f>IFERROR(VLOOKUP($B205,INDIRECT("'GRD-"&amp;EK$11&amp;"'!B:R"),15,FALSE),"")</f>
        <v/>
      </c>
      <c r="EL205" s="96">
        <f>IFERROR(VLOOKUP($B205,INDIRECT("'GRD-"&amp;EL$11&amp;"'!B:R"),15,FALSE),"")</f>
        <v/>
      </c>
      <c r="EM205" s="96">
        <f>IFERROR(VLOOKUP($B205,INDIRECT("'GRD-"&amp;EM$11&amp;"'!B:R"),15,FALSE),"")</f>
        <v/>
      </c>
      <c r="EN205" s="96">
        <f>IFERROR(VLOOKUP($B205,INDIRECT("'GRD-"&amp;EN$11&amp;"'!B:R"),15,FALSE),"")</f>
        <v/>
      </c>
      <c r="EO205" s="96">
        <f>IFERROR(VLOOKUP($B205,INDIRECT("'GRD-"&amp;EO$11&amp;"'!B:R"),15,FALSE),"")</f>
        <v/>
      </c>
      <c r="EP205" s="96">
        <f>IFERROR(VLOOKUP($B205,INDIRECT("'GRD-"&amp;EP$11&amp;"'!B:R"),15,FALSE),"")</f>
        <v/>
      </c>
      <c r="EQ205" s="96">
        <f>IFERROR(VLOOKUP($B205,INDIRECT("'GRD-"&amp;EQ$11&amp;"'!B:R"),15,FALSE),"")</f>
        <v/>
      </c>
      <c r="ER205" s="96">
        <f>IFERROR(VLOOKUP($B205,INDIRECT("'GRD-"&amp;ER$11&amp;"'!B:R"),15,FALSE),"")</f>
        <v/>
      </c>
      <c r="ES205" s="96">
        <f>IFERROR(VLOOKUP($B205,INDIRECT("'GRD-"&amp;ES$11&amp;"'!B:R"),15,FALSE),"")</f>
        <v/>
      </c>
      <c r="ET205" s="96">
        <f>IFERROR(VLOOKUP($B205,INDIRECT("'GRD-"&amp;ET$11&amp;"'!B:R"),15,FALSE),"")</f>
        <v/>
      </c>
      <c r="EU205" s="96">
        <f>IFERROR(VLOOKUP($B205,INDIRECT("'GRD-"&amp;EU$11&amp;"'!B:R"),15,FALSE),"")</f>
        <v/>
      </c>
      <c r="EV205" s="96">
        <f>IFERROR(VLOOKUP($B205,INDIRECT("'GRD-"&amp;EV$11&amp;"'!B:R"),15,FALSE),"")</f>
        <v/>
      </c>
      <c r="EW205" s="96">
        <f>IFERROR(VLOOKUP($B205,INDIRECT("'GRD-"&amp;EW$11&amp;"'!B:R"),15,FALSE),"")</f>
        <v/>
      </c>
      <c r="EX205" s="96">
        <f>IFERROR(VLOOKUP($B205,INDIRECT("'GRD-"&amp;EX$11&amp;"'!B:R"),15,FALSE),"")</f>
        <v/>
      </c>
      <c r="EY205" s="96">
        <f>IFERROR(VLOOKUP($B205,INDIRECT("'GRD-"&amp;EY$11&amp;"'!B:R"),15,FALSE),"")</f>
        <v/>
      </c>
      <c r="EZ205" s="96">
        <f>IFERROR(VLOOKUP($B205,INDIRECT("'GRD-"&amp;EZ$11&amp;"'!B:R"),15,FALSE),"")</f>
        <v/>
      </c>
      <c r="FA205" s="96">
        <f>IFERROR(VLOOKUP($B205,INDIRECT("'GRD-"&amp;FA$11&amp;"'!B:R"),15,FALSE),"")</f>
        <v/>
      </c>
      <c r="FB205" s="96">
        <f>IFERROR(VLOOKUP($B205,INDIRECT("'GRD-"&amp;FB$11&amp;"'!B:R"),15,FALSE),"")</f>
        <v/>
      </c>
      <c r="FC205" s="96">
        <f>IFERROR(VLOOKUP($B205,INDIRECT("'GRD-"&amp;FC$11&amp;"'!B:R"),15,FALSE),"")</f>
        <v/>
      </c>
      <c r="FD205" s="96">
        <f>IFERROR(VLOOKUP($B205,INDIRECT("'GRD-"&amp;FD$11&amp;"'!B:R"),15,FALSE),"")</f>
        <v/>
      </c>
      <c r="FE205" s="96">
        <f>IFERROR(VLOOKUP($B205,INDIRECT("'GRD-"&amp;FE$11&amp;"'!B:R"),15,FALSE),"")</f>
        <v/>
      </c>
      <c r="FF205" s="96">
        <f>IFERROR(VLOOKUP($B205,INDIRECT("'GRD-"&amp;FF$11&amp;"'!B:R"),15,FALSE),"")</f>
        <v/>
      </c>
      <c r="FG205" s="96">
        <f>IFERROR(VLOOKUP($B205,INDIRECT("'GRD-"&amp;FG$11&amp;"'!B:R"),15,FALSE),"")</f>
        <v/>
      </c>
      <c r="FH205" s="96">
        <f>IFERROR(VLOOKUP($B205,INDIRECT("'GRD-"&amp;FH$11&amp;"'!B:R"),15,FALSE),"")</f>
        <v/>
      </c>
      <c r="FI205" s="96">
        <f>IFERROR(VLOOKUP($B205,INDIRECT("'GRD-"&amp;FI$11&amp;"'!B:R"),15,FALSE),"")</f>
        <v/>
      </c>
      <c r="FJ205" s="96">
        <f>IFERROR(VLOOKUP($B205,INDIRECT("'GRD-"&amp;FJ$11&amp;"'!B:R"),15,FALSE),"")</f>
        <v/>
      </c>
      <c r="FK205" s="96">
        <f>IFERROR(VLOOKUP($B205,INDIRECT("'GRD-"&amp;FK$11&amp;"'!B:R"),15,FALSE),"")</f>
        <v/>
      </c>
      <c r="FL205" s="96">
        <f>IFERROR(VLOOKUP($B205,INDIRECT("'GRD-"&amp;FL$11&amp;"'!B:R"),15,FALSE),"")</f>
        <v/>
      </c>
      <c r="FM205" s="96">
        <f>IFERROR(VLOOKUP($B205,INDIRECT("'GRD-"&amp;FM$11&amp;"'!B:R"),15,FALSE),"")</f>
        <v/>
      </c>
      <c r="FN205" s="96">
        <f>IFERROR(VLOOKUP($B205,INDIRECT("'GRD-"&amp;FN$11&amp;"'!B:R"),15,FALSE),"")</f>
        <v/>
      </c>
      <c r="FO205" s="96">
        <f>IFERROR(VLOOKUP($B205,INDIRECT("'GRD-"&amp;FO$11&amp;"'!B:R"),15,FALSE),"")</f>
        <v/>
      </c>
      <c r="FP205" s="96">
        <f>IFERROR(VLOOKUP($B205,INDIRECT("'GRD-"&amp;FP$11&amp;"'!B:R"),15,FALSE),"")</f>
        <v/>
      </c>
      <c r="FQ205" s="96">
        <f>IFERROR(VLOOKUP($B205,INDIRECT("'GRD-"&amp;FQ$11&amp;"'!B:R"),15,FALSE),"")</f>
        <v/>
      </c>
      <c r="FR205" s="96">
        <f>IFERROR(VLOOKUP($B205,INDIRECT("'GRD-"&amp;FR$11&amp;"'!B:R"),15,FALSE),"")</f>
        <v/>
      </c>
      <c r="FS205" s="96">
        <f>IFERROR(VLOOKUP($B205,INDIRECT("'GRD-"&amp;FS$11&amp;"'!B:R"),15,FALSE),"")</f>
        <v/>
      </c>
      <c r="FT205" s="96">
        <f>IFERROR(VLOOKUP($B205,INDIRECT("'GRD-"&amp;FT$11&amp;"'!B:R"),15,FALSE),"")</f>
        <v/>
      </c>
      <c r="FU205" s="96">
        <f>IFERROR(VLOOKUP($B205,INDIRECT("'GRD-"&amp;FU$11&amp;"'!B:R"),15,FALSE),"")</f>
        <v/>
      </c>
      <c r="FV205" s="96">
        <f>IFERROR(VLOOKUP($B205,INDIRECT("'GRD-"&amp;FV$11&amp;"'!B:R"),15,FALSE),"")</f>
        <v/>
      </c>
    </row>
    <row r="206">
      <c r="B206" s="85" t="n"/>
      <c r="C206" s="93" t="n"/>
      <c r="D206" s="73">
        <f>IF(K206="","",MAX($CA206:$FV206))</f>
        <v/>
      </c>
      <c r="E206" s="74">
        <f t="array" ref="E206">IF($K206="","",OFFSET($A$1,ROW($B206)-1,11+$D206*4,))</f>
        <v/>
      </c>
      <c r="F206" s="74">
        <f t="array" ref="F206">IF($K206="","",OFFSET($A$1,ROW($B206)-1,12+$D206*4,))</f>
        <v/>
      </c>
      <c r="G206" s="118">
        <f t="array" ref="G206">IF($K206="","",OFFSET($A$1,ROW($B206)-1,13+$D206*4,))</f>
        <v/>
      </c>
      <c r="H206" s="81" t="n"/>
      <c r="I206" s="82" t="n"/>
      <c r="J206" s="75">
        <f>IF(I206="A4",H206/8,IF(I206="A3",H206/4,IF(I206="A2",H206/2,IF(I206="A1",H206/1,IF(I206="A0",H206*2,"")))))</f>
        <v/>
      </c>
      <c r="K206" s="68">
        <f t="array" ref="K206">IFERROR(OFFSET($BZ$11,ROW($B206)-11,MATCH(K$10,$CA206:$FV206,0),),"")</f>
        <v/>
      </c>
      <c r="L206" s="85">
        <f>IF(K206="","",IF(VLOOKUP($B206,INDIRECT("'GRD-"&amp;M206&amp;"'!$B:$R"),16,FALSE)="","",VLOOKUP($B206,INDIRECT("'GRD-"&amp;M206&amp;"'!$B:$R"),16,FALSE)))</f>
        <v/>
      </c>
      <c r="M206" s="130">
        <f t="array" ref="M206">IF(K206="","",IFERROR(OFFSET($BZ$11,0,MATCH($K206,$CA206:$FV206,0),),""))</f>
        <v/>
      </c>
      <c r="N206" s="119">
        <f t="array" ref="N206">IF(K206="","",INDIRECT("'GRD-"&amp;M206&amp;"'!$L$7"))</f>
        <v/>
      </c>
      <c r="O206" s="76">
        <f t="array" ref="O206">IFERROR(OFFSET($BZ$11,ROW($B206)-11,MATCH(O$10,$CA206:$FV206,0),),"")</f>
        <v/>
      </c>
      <c r="P206" s="76">
        <f>IF(O206="","",IF(VLOOKUP($B206,INDIRECT("'GRD-"&amp;Q206&amp;"'!$B:$R"),16,FALSE)="","",VLOOKUP($B206,INDIRECT("'GRD-"&amp;Q206&amp;"'!$B:$R"),16,FALSE)))</f>
        <v/>
      </c>
      <c r="Q206" s="132">
        <f t="array" ref="Q206">IF(O206="","",IFERROR(OFFSET($BZ$11,0,MATCH($O206,$CA206:$FV206,0),),""))</f>
        <v/>
      </c>
      <c r="R206" s="121">
        <f t="array" ref="R206">IF(O206="","",INDIRECT("'GRD-"&amp;Q206&amp;"'!$L$7"))</f>
        <v/>
      </c>
      <c r="S206" s="83">
        <f t="array" ref="S206">IFERROR(OFFSET($BZ$11,ROW($B206)-11,MATCH(S$10,$CA206:$FV206,0),),"")</f>
        <v/>
      </c>
      <c r="T206" s="83">
        <f>IF(S206="","",IF(VLOOKUP($B206,INDIRECT("'GRD-"&amp;U206&amp;"'!$B:$R"),16,FALSE)="","",VLOOKUP($B206,INDIRECT("'GRD-"&amp;U206&amp;"'!$B:$R"),16,FALSE)))</f>
        <v/>
      </c>
      <c r="U206" s="128">
        <f t="array" ref="U206">IF(S206="","",IFERROR(OFFSET($BZ$11,0,MATCH($S206,$CA206:$FV206,0),),""))</f>
        <v/>
      </c>
      <c r="V206" s="133">
        <f t="array" ref="V206">IF(S206="","",INDIRECT("'GRD-"&amp;U206&amp;"'!$L$7"))</f>
        <v/>
      </c>
      <c r="W206" s="84">
        <f t="array" ref="W206">IFERROR(OFFSET($BZ$11,ROW($B206)-11,MATCH(W$10,$CA206:$FV206,0),),"")</f>
        <v/>
      </c>
      <c r="X206" s="84">
        <f>IF(W206="","",IF(VLOOKUP($B206,INDIRECT("'GRD-"&amp;Y206&amp;"'!$B:$R"),16,FALSE)="","",VLOOKUP($B206,INDIRECT("'GRD-"&amp;Y206&amp;"'!$B:$R"),16,FALSE)))</f>
        <v/>
      </c>
      <c r="Y206" s="129">
        <f t="array" ref="Y206">IF(W206="","",IFERROR(OFFSET($BZ$11,0,MATCH($W206,$CA206:$FV206,0),),""))</f>
        <v/>
      </c>
      <c r="Z206" s="134">
        <f t="array" ref="Z206">IF(W206="","",INDIRECT("'GRD-"&amp;Y206&amp;"'!$L$7"))</f>
        <v/>
      </c>
      <c r="AA206" s="85">
        <f t="array" ref="AA206">IFERROR(OFFSET($BZ$11,ROW($B206)-11,MATCH(AA$10,$CA206:$FV206,0),),"")</f>
        <v/>
      </c>
      <c r="AB206" s="85">
        <f>IF(AA206="","",IF(VLOOKUP($B206,INDIRECT("'GRD-"&amp;AC206&amp;"'!$B:$R"),16,FALSE)="","",VLOOKUP($B206,INDIRECT("'GRD-"&amp;AC206&amp;"'!$B:$R"),16,FALSE)))</f>
        <v/>
      </c>
      <c r="AC206" s="130">
        <f t="array" ref="AC206">IF(AA206="","",IFERROR(OFFSET($BZ$11,0,MATCH($AA206,$CA206:$FV206,0),),""))</f>
        <v/>
      </c>
      <c r="AD206" s="131">
        <f t="array" ref="AD206">IF(AA206="","",INDIRECT("'GRD-"&amp;AC206&amp;"'!$L$7"))</f>
        <v/>
      </c>
      <c r="AE206" s="76">
        <f t="array" ref="AE206">IFERROR(OFFSET($BZ$11,ROW($B206)-11,MATCH(AE$10,$CA206:$FV206,0),),"")</f>
        <v/>
      </c>
      <c r="AF206" s="76">
        <f>IF(AE206="","",IF(VLOOKUP($B206,INDIRECT("'GRD-"&amp;AG206&amp;"'!$B:$R"),16,FALSE)="","",VLOOKUP($B206,INDIRECT("'GRD-"&amp;AG206&amp;"'!$B:$R"),16,FALSE)))</f>
        <v/>
      </c>
      <c r="AG206" s="132">
        <f t="array" ref="AG206">IF(AE206="","",IFERROR(OFFSET($BZ$11,0,MATCH($AE206,$CA206:$FV206,0),),""))</f>
        <v/>
      </c>
      <c r="AH206" s="121">
        <f t="array" ref="AH206">IF(AE206="","",INDIRECT("'GRD-"&amp;AG206&amp;"'!$L$7"))</f>
        <v/>
      </c>
      <c r="AI206" s="83">
        <f t="array" ref="AI206">IFERROR(OFFSET($BZ$11,ROW($B206)-11,MATCH(AI$10,$CA206:$FV206,0),),"")</f>
        <v/>
      </c>
      <c r="AJ206" s="83">
        <f>IF(AI206="","",IF(VLOOKUP($B206,INDIRECT("'GRD-"&amp;AK206&amp;"'!$B:$R"),16,FALSE)="","",VLOOKUP($B206,INDIRECT("'GRD-"&amp;AK206&amp;"'!$B:$R"),16,FALSE)))</f>
        <v/>
      </c>
      <c r="AK206" s="128">
        <f t="array" ref="AK206">IF(AI206="","",IFERROR(OFFSET($BZ$11,0,MATCH($AI206,$CA206:$FV206,0),),""))</f>
        <v/>
      </c>
      <c r="AL206" s="133">
        <f t="array" ref="AL206">IF(AI206="","",INDIRECT("'GRD-"&amp;AK206&amp;"'!$L$7"))</f>
        <v/>
      </c>
      <c r="AM206" s="84">
        <f t="array" ref="AM206">IFERROR(OFFSET($BZ$11,ROW($B206)-11,MATCH(AM$10,$CA206:$FV206,0),),"")</f>
        <v/>
      </c>
      <c r="AN206" s="84">
        <f>IF(AM206="","",IF(VLOOKUP($B206,INDIRECT("'GRD-"&amp;AO206&amp;"'!$B:$R"),16,FALSE)="","",VLOOKUP($B206,INDIRECT("'GRD-"&amp;AO206&amp;"'!$B:$R"),16,FALSE)))</f>
        <v/>
      </c>
      <c r="AO206" s="129">
        <f t="array" ref="AO206">IF(AM206="","",IFERROR(OFFSET($BZ$11,0,MATCH($AM206,$CA206:$FV206,0),),""))</f>
        <v/>
      </c>
      <c r="AP206" s="134">
        <f t="array" ref="AP206">IF(AM206="","",INDIRECT("'GRD-"&amp;AO206&amp;"'!$L$7"))</f>
        <v/>
      </c>
      <c r="AQ206" s="85">
        <f t="array" ref="AQ206">IFERROR(OFFSET($BZ$11,ROW($B206)-11,MATCH(AQ$10,$CA206:$FV206,0),),"")</f>
        <v/>
      </c>
      <c r="AR206" s="85">
        <f>IF(AQ206="","",IF(VLOOKUP($B206,INDIRECT("'GRD-"&amp;AS206&amp;"'!$B:$R"),16,FALSE)="","",VLOOKUP($B206,INDIRECT("'GRD-"&amp;AS206&amp;"'!$B:$R"),16,FALSE)))</f>
        <v/>
      </c>
      <c r="AS206" s="130">
        <f t="array" ref="AS206">IF(AQ206="","",IFERROR(OFFSET($BZ$11,0,MATCH($AQ206,$CA206:$FV206,0),),""))</f>
        <v/>
      </c>
      <c r="AT206" s="131">
        <f t="array" ref="AT206">IF(AQ206="","",INDIRECT("'GRD-"&amp;AS206&amp;"'!$L$7"))</f>
        <v/>
      </c>
      <c r="AU206" s="76">
        <f t="array" ref="AU206">IFERROR(OFFSET($BZ$11,ROW($B206)-11,MATCH(AU$10,$CA206:$FV206,0),),"")</f>
        <v/>
      </c>
      <c r="AV206" s="76">
        <f>IF(AU206="","",IF(VLOOKUP($B206,INDIRECT("'GRD-"&amp;AW206&amp;"'!$B:$R"),16,FALSE)="","",VLOOKUP($B206,INDIRECT("'GRD-"&amp;AW206&amp;"'!$B:$R"),16,FALSE)))</f>
        <v/>
      </c>
      <c r="AW206" s="132">
        <f t="array" ref="AW206">IF(AU206="","",IFERROR(OFFSET($BZ$11,0,MATCH($AU206,$CA206:$FV206,0),),""))</f>
        <v/>
      </c>
      <c r="AX206" s="121">
        <f t="array" ref="AX206">IF(AU206="","",INDIRECT("'GRD-"&amp;AW206&amp;"'!$L$7"))</f>
        <v/>
      </c>
      <c r="AY206" s="83">
        <f t="array" ref="AY206">IFERROR(OFFSET($BZ$11,ROW($B206)-11,MATCH(AY$10,$CA206:$FV206,0),),"")</f>
        <v/>
      </c>
      <c r="AZ206" s="83">
        <f>IF(AY206="","",IF(VLOOKUP($B206,INDIRECT("'GRD-"&amp;BA206&amp;"'!$B:$R"),16,FALSE)="","",VLOOKUP($B206,INDIRECT("'GRD-"&amp;BA206&amp;"'!$B:$R"),16,FALSE)))</f>
        <v/>
      </c>
      <c r="BA206" s="128">
        <f t="array" ref="BA206">IF(AY206="","",IFERROR(OFFSET($BZ$11,0,MATCH($AY206,$CA206:$FV206,0),),""))</f>
        <v/>
      </c>
      <c r="BB206" s="133">
        <f t="array" ref="BB206">IF(AY206="","",INDIRECT("'GRD-"&amp;BA206&amp;"'!$L$7"))</f>
        <v/>
      </c>
      <c r="BC206" s="84">
        <f t="array" ref="BC206">IFERROR(OFFSET($BZ$11,ROW($B206)-11,MATCH(BC$10,$CA206:$FV206,0),),"")</f>
        <v/>
      </c>
      <c r="BD206" s="84">
        <f>IF(BC206="","",IF(VLOOKUP($B206,INDIRECT("'GRD-"&amp;BE206&amp;"'!$B:$R"),16,FALSE)="","",VLOOKUP($B206,INDIRECT("'GRD-"&amp;BE206&amp;"'!$B:$R"),16,FALSE)))</f>
        <v/>
      </c>
      <c r="BE206" s="129">
        <f t="array" ref="BE206">IF(BC206="","",IFERROR(OFFSET($BZ$11,0,MATCH($BC206,$CA206:$FV206,0),),""))</f>
        <v/>
      </c>
      <c r="BF206" s="134">
        <f t="array" ref="BF206">IF(BC206="","",INDIRECT("'GRD-"&amp;BE206&amp;"'!$L$7"))</f>
        <v/>
      </c>
      <c r="CA206" s="96">
        <f>IFERROR(VLOOKUP($B206,INDIRECT("'GRD-"&amp;CA$11&amp;"'!B:R"),15,FALSE),"")</f>
        <v/>
      </c>
      <c r="CB206" s="96">
        <f>IFERROR(VLOOKUP($B206,INDIRECT("'GRD-"&amp;CB$11&amp;"'!B:R"),15,FALSE),"")</f>
        <v/>
      </c>
      <c r="CC206" s="96">
        <f>IFERROR(VLOOKUP($B206,INDIRECT("'GRD-"&amp;CC$11&amp;"'!B:R"),15,FALSE),"")</f>
        <v/>
      </c>
      <c r="CD206" s="96">
        <f>IFERROR(VLOOKUP($B206,INDIRECT("'GRD-"&amp;CD$11&amp;"'!B:R"),15,FALSE),"")</f>
        <v/>
      </c>
      <c r="CE206" s="96">
        <f>IFERROR(VLOOKUP($B206,INDIRECT("'GRD-"&amp;CE$11&amp;"'!B:R"),15,FALSE),"")</f>
        <v/>
      </c>
      <c r="CF206" s="96">
        <f>IFERROR(VLOOKUP($B206,INDIRECT("'GRD-"&amp;CF$11&amp;"'!B:R"),15,FALSE),"")</f>
        <v/>
      </c>
      <c r="CG206" s="96">
        <f>IFERROR(VLOOKUP($B206,INDIRECT("'GRD-"&amp;CG$11&amp;"'!B:R"),15,FALSE),"")</f>
        <v/>
      </c>
      <c r="CH206" s="96">
        <f>IFERROR(VLOOKUP($B206,INDIRECT("'GRD-"&amp;CH$11&amp;"'!B:R"),15,FALSE),"")</f>
        <v/>
      </c>
      <c r="CI206" s="96">
        <f>IFERROR(VLOOKUP($B206,INDIRECT("'GRD-"&amp;CI$11&amp;"'!B:R"),15,FALSE),"")</f>
        <v/>
      </c>
      <c r="CJ206" s="96">
        <f>IFERROR(VLOOKUP($B206,INDIRECT("'GRD-"&amp;CJ$11&amp;"'!B:R"),15,FALSE),"")</f>
        <v/>
      </c>
      <c r="CK206" s="96">
        <f>IFERROR(VLOOKUP($B206,INDIRECT("'GRD-"&amp;CK$11&amp;"'!B:R"),15,FALSE),"")</f>
        <v/>
      </c>
      <c r="CL206" s="96">
        <f>IFERROR(VLOOKUP($B206,INDIRECT("'GRD-"&amp;CL$11&amp;"'!B:R"),15,FALSE),"")</f>
        <v/>
      </c>
      <c r="CM206" s="96">
        <f>IFERROR(VLOOKUP($B206,INDIRECT("'GRD-"&amp;CM$11&amp;"'!B:R"),15,FALSE),"")</f>
        <v/>
      </c>
      <c r="CN206" s="96">
        <f>IFERROR(VLOOKUP($B206,INDIRECT("'GRD-"&amp;CN$11&amp;"'!B:R"),15,FALSE),"")</f>
        <v/>
      </c>
      <c r="CO206" s="96">
        <f>IFERROR(VLOOKUP($B206,INDIRECT("'GRD-"&amp;CO$11&amp;"'!B:R"),15,FALSE),"")</f>
        <v/>
      </c>
      <c r="CP206" s="96">
        <f>IFERROR(VLOOKUP($B206,INDIRECT("'GRD-"&amp;CP$11&amp;"'!B:R"),15,FALSE),"")</f>
        <v/>
      </c>
      <c r="CQ206" s="96">
        <f>IFERROR(VLOOKUP($B206,INDIRECT("'GRD-"&amp;CQ$11&amp;"'!B:R"),15,FALSE),"")</f>
        <v/>
      </c>
      <c r="CR206" s="96">
        <f>IFERROR(VLOOKUP($B206,INDIRECT("'GRD-"&amp;CR$11&amp;"'!B:R"),15,FALSE),"")</f>
        <v/>
      </c>
      <c r="CS206" s="96">
        <f>IFERROR(VLOOKUP($B206,INDIRECT("'GRD-"&amp;CS$11&amp;"'!B:R"),15,FALSE),"")</f>
        <v/>
      </c>
      <c r="CT206" s="96">
        <f>IFERROR(VLOOKUP($B206,INDIRECT("'GRD-"&amp;CT$11&amp;"'!B:R"),15,FALSE),"")</f>
        <v/>
      </c>
      <c r="CU206" s="96">
        <f>IFERROR(VLOOKUP($B206,INDIRECT("'GRD-"&amp;CU$11&amp;"'!B:R"),15,FALSE),"")</f>
        <v/>
      </c>
      <c r="CV206" s="96">
        <f>IFERROR(VLOOKUP($B206,INDIRECT("'GRD-"&amp;CV$11&amp;"'!B:R"),15,FALSE),"")</f>
        <v/>
      </c>
      <c r="CW206" s="96">
        <f>IFERROR(VLOOKUP($B206,INDIRECT("'GRD-"&amp;CW$11&amp;"'!B:R"),15,FALSE),"")</f>
        <v/>
      </c>
      <c r="CX206" s="96">
        <f>IFERROR(VLOOKUP($B206,INDIRECT("'GRD-"&amp;CX$11&amp;"'!B:R"),15,FALSE),"")</f>
        <v/>
      </c>
      <c r="CY206" s="96">
        <f>IFERROR(VLOOKUP($B206,INDIRECT("'GRD-"&amp;CY$11&amp;"'!B:R"),15,FALSE),"")</f>
        <v/>
      </c>
      <c r="CZ206" s="96">
        <f>IFERROR(VLOOKUP($B206,INDIRECT("'GRD-"&amp;CZ$11&amp;"'!B:R"),15,FALSE),"")</f>
        <v/>
      </c>
      <c r="DA206" s="96">
        <f>IFERROR(VLOOKUP($B206,INDIRECT("'GRD-"&amp;DA$11&amp;"'!B:R"),15,FALSE),"")</f>
        <v/>
      </c>
      <c r="DB206" s="96">
        <f>IFERROR(VLOOKUP($B206,INDIRECT("'GRD-"&amp;DB$11&amp;"'!B:R"),15,FALSE),"")</f>
        <v/>
      </c>
      <c r="DC206" s="96">
        <f>IFERROR(VLOOKUP($B206,INDIRECT("'GRD-"&amp;DC$11&amp;"'!B:R"),15,FALSE),"")</f>
        <v/>
      </c>
      <c r="DD206" s="96">
        <f>IFERROR(VLOOKUP($B206,INDIRECT("'GRD-"&amp;DD$11&amp;"'!B:R"),15,FALSE),"")</f>
        <v/>
      </c>
      <c r="DE206" s="96">
        <f>IFERROR(VLOOKUP($B206,INDIRECT("'GRD-"&amp;DE$11&amp;"'!B:R"),15,FALSE),"")</f>
        <v/>
      </c>
      <c r="DF206" s="96">
        <f>IFERROR(VLOOKUP($B206,INDIRECT("'GRD-"&amp;DF$11&amp;"'!B:R"),15,FALSE),"")</f>
        <v/>
      </c>
      <c r="DG206" s="96">
        <f>IFERROR(VLOOKUP($B206,INDIRECT("'GRD-"&amp;DG$11&amp;"'!B:R"),15,FALSE),"")</f>
        <v/>
      </c>
      <c r="DH206" s="96">
        <f>IFERROR(VLOOKUP($B206,INDIRECT("'GRD-"&amp;DH$11&amp;"'!B:R"),15,FALSE),"")</f>
        <v/>
      </c>
      <c r="DI206" s="96">
        <f>IFERROR(VLOOKUP($B206,INDIRECT("'GRD-"&amp;DI$11&amp;"'!B:R"),15,FALSE),"")</f>
        <v/>
      </c>
      <c r="DJ206" s="96">
        <f>IFERROR(VLOOKUP($B206,INDIRECT("'GRD-"&amp;DJ$11&amp;"'!B:R"),15,FALSE),"")</f>
        <v/>
      </c>
      <c r="DK206" s="96">
        <f>IFERROR(VLOOKUP($B206,INDIRECT("'GRD-"&amp;DK$11&amp;"'!B:R"),15,FALSE),"")</f>
        <v/>
      </c>
      <c r="DL206" s="96">
        <f>IFERROR(VLOOKUP($B206,INDIRECT("'GRD-"&amp;DL$11&amp;"'!B:R"),15,FALSE),"")</f>
        <v/>
      </c>
      <c r="DM206" s="96">
        <f>IFERROR(VLOOKUP($B206,INDIRECT("'GRD-"&amp;DM$11&amp;"'!B:R"),15,FALSE),"")</f>
        <v/>
      </c>
      <c r="DN206" s="96">
        <f>IFERROR(VLOOKUP($B206,INDIRECT("'GRD-"&amp;DN$11&amp;"'!B:R"),15,FALSE),"")</f>
        <v/>
      </c>
      <c r="DO206" s="96">
        <f>IFERROR(VLOOKUP($B206,INDIRECT("'GRD-"&amp;DO$11&amp;"'!B:R"),15,FALSE),"")</f>
        <v/>
      </c>
      <c r="DP206" s="96">
        <f>IFERROR(VLOOKUP($B206,INDIRECT("'GRD-"&amp;DP$11&amp;"'!B:R"),15,FALSE),"")</f>
        <v/>
      </c>
      <c r="DQ206" s="96">
        <f>IFERROR(VLOOKUP($B206,INDIRECT("'GRD-"&amp;DQ$11&amp;"'!B:R"),15,FALSE),"")</f>
        <v/>
      </c>
      <c r="DR206" s="96">
        <f>IFERROR(VLOOKUP($B206,INDIRECT("'GRD-"&amp;DR$11&amp;"'!B:R"),15,FALSE),"")</f>
        <v/>
      </c>
      <c r="DS206" s="96">
        <f>IFERROR(VLOOKUP($B206,INDIRECT("'GRD-"&amp;DS$11&amp;"'!B:R"),15,FALSE),"")</f>
        <v/>
      </c>
      <c r="DT206" s="96">
        <f>IFERROR(VLOOKUP($B206,INDIRECT("'GRD-"&amp;DT$11&amp;"'!B:R"),15,FALSE),"")</f>
        <v/>
      </c>
      <c r="DU206" s="96">
        <f>IFERROR(VLOOKUP($B206,INDIRECT("'GRD-"&amp;DU$11&amp;"'!B:R"),15,FALSE),"")</f>
        <v/>
      </c>
      <c r="DV206" s="96">
        <f>IFERROR(VLOOKUP($B206,INDIRECT("'GRD-"&amp;DV$11&amp;"'!B:R"),15,FALSE),"")</f>
        <v/>
      </c>
      <c r="DW206" s="96">
        <f>IFERROR(VLOOKUP($B206,INDIRECT("'GRD-"&amp;DW$11&amp;"'!B:R"),15,FALSE),"")</f>
        <v/>
      </c>
      <c r="DX206" s="96">
        <f>IFERROR(VLOOKUP($B206,INDIRECT("'GRD-"&amp;DX$11&amp;"'!B:R"),15,FALSE),"")</f>
        <v/>
      </c>
      <c r="DY206" s="96">
        <f>IFERROR(VLOOKUP($B206,INDIRECT("'GRD-"&amp;DY$11&amp;"'!B:R"),15,FALSE),"")</f>
        <v/>
      </c>
      <c r="DZ206" s="96">
        <f>IFERROR(VLOOKUP($B206,INDIRECT("'GRD-"&amp;DZ$11&amp;"'!B:R"),15,FALSE),"")</f>
        <v/>
      </c>
      <c r="EA206" s="96">
        <f>IFERROR(VLOOKUP($B206,INDIRECT("'GRD-"&amp;EA$11&amp;"'!B:R"),15,FALSE),"")</f>
        <v/>
      </c>
      <c r="EB206" s="96">
        <f>IFERROR(VLOOKUP($B206,INDIRECT("'GRD-"&amp;EB$11&amp;"'!B:R"),15,FALSE),"")</f>
        <v/>
      </c>
      <c r="EC206" s="96">
        <f>IFERROR(VLOOKUP($B206,INDIRECT("'GRD-"&amp;EC$11&amp;"'!B:R"),15,FALSE),"")</f>
        <v/>
      </c>
      <c r="ED206" s="96">
        <f>IFERROR(VLOOKUP($B206,INDIRECT("'GRD-"&amp;ED$11&amp;"'!B:R"),15,FALSE),"")</f>
        <v/>
      </c>
      <c r="EE206" s="96">
        <f>IFERROR(VLOOKUP($B206,INDIRECT("'GRD-"&amp;EE$11&amp;"'!B:R"),15,FALSE),"")</f>
        <v/>
      </c>
      <c r="EF206" s="96">
        <f>IFERROR(VLOOKUP($B206,INDIRECT("'GRD-"&amp;EF$11&amp;"'!B:R"),15,FALSE),"")</f>
        <v/>
      </c>
      <c r="EG206" s="96">
        <f>IFERROR(VLOOKUP($B206,INDIRECT("'GRD-"&amp;EG$11&amp;"'!B:R"),15,FALSE),"")</f>
        <v/>
      </c>
      <c r="EH206" s="96">
        <f>IFERROR(VLOOKUP($B206,INDIRECT("'GRD-"&amp;EH$11&amp;"'!B:R"),15,FALSE),"")</f>
        <v/>
      </c>
      <c r="EI206" s="96">
        <f>IFERROR(VLOOKUP($B206,INDIRECT("'GRD-"&amp;EI$11&amp;"'!B:R"),15,FALSE),"")</f>
        <v/>
      </c>
      <c r="EJ206" s="96">
        <f>IFERROR(VLOOKUP($B206,INDIRECT("'GRD-"&amp;EJ$11&amp;"'!B:R"),15,FALSE),"")</f>
        <v/>
      </c>
      <c r="EK206" s="96">
        <f>IFERROR(VLOOKUP($B206,INDIRECT("'GRD-"&amp;EK$11&amp;"'!B:R"),15,FALSE),"")</f>
        <v/>
      </c>
      <c r="EL206" s="96">
        <f>IFERROR(VLOOKUP($B206,INDIRECT("'GRD-"&amp;EL$11&amp;"'!B:R"),15,FALSE),"")</f>
        <v/>
      </c>
      <c r="EM206" s="96">
        <f>IFERROR(VLOOKUP($B206,INDIRECT("'GRD-"&amp;EM$11&amp;"'!B:R"),15,FALSE),"")</f>
        <v/>
      </c>
      <c r="EN206" s="96">
        <f>IFERROR(VLOOKUP($B206,INDIRECT("'GRD-"&amp;EN$11&amp;"'!B:R"),15,FALSE),"")</f>
        <v/>
      </c>
      <c r="EO206" s="96">
        <f>IFERROR(VLOOKUP($B206,INDIRECT("'GRD-"&amp;EO$11&amp;"'!B:R"),15,FALSE),"")</f>
        <v/>
      </c>
      <c r="EP206" s="96">
        <f>IFERROR(VLOOKUP($B206,INDIRECT("'GRD-"&amp;EP$11&amp;"'!B:R"),15,FALSE),"")</f>
        <v/>
      </c>
      <c r="EQ206" s="96">
        <f>IFERROR(VLOOKUP($B206,INDIRECT("'GRD-"&amp;EQ$11&amp;"'!B:R"),15,FALSE),"")</f>
        <v/>
      </c>
      <c r="ER206" s="96">
        <f>IFERROR(VLOOKUP($B206,INDIRECT("'GRD-"&amp;ER$11&amp;"'!B:R"),15,FALSE),"")</f>
        <v/>
      </c>
      <c r="ES206" s="96">
        <f>IFERROR(VLOOKUP($B206,INDIRECT("'GRD-"&amp;ES$11&amp;"'!B:R"),15,FALSE),"")</f>
        <v/>
      </c>
      <c r="ET206" s="96">
        <f>IFERROR(VLOOKUP($B206,INDIRECT("'GRD-"&amp;ET$11&amp;"'!B:R"),15,FALSE),"")</f>
        <v/>
      </c>
      <c r="EU206" s="96">
        <f>IFERROR(VLOOKUP($B206,INDIRECT("'GRD-"&amp;EU$11&amp;"'!B:R"),15,FALSE),"")</f>
        <v/>
      </c>
      <c r="EV206" s="96">
        <f>IFERROR(VLOOKUP($B206,INDIRECT("'GRD-"&amp;EV$11&amp;"'!B:R"),15,FALSE),"")</f>
        <v/>
      </c>
      <c r="EW206" s="96">
        <f>IFERROR(VLOOKUP($B206,INDIRECT("'GRD-"&amp;EW$11&amp;"'!B:R"),15,FALSE),"")</f>
        <v/>
      </c>
      <c r="EX206" s="96">
        <f>IFERROR(VLOOKUP($B206,INDIRECT("'GRD-"&amp;EX$11&amp;"'!B:R"),15,FALSE),"")</f>
        <v/>
      </c>
      <c r="EY206" s="96">
        <f>IFERROR(VLOOKUP($B206,INDIRECT("'GRD-"&amp;EY$11&amp;"'!B:R"),15,FALSE),"")</f>
        <v/>
      </c>
      <c r="EZ206" s="96">
        <f>IFERROR(VLOOKUP($B206,INDIRECT("'GRD-"&amp;EZ$11&amp;"'!B:R"),15,FALSE),"")</f>
        <v/>
      </c>
      <c r="FA206" s="96">
        <f>IFERROR(VLOOKUP($B206,INDIRECT("'GRD-"&amp;FA$11&amp;"'!B:R"),15,FALSE),"")</f>
        <v/>
      </c>
      <c r="FB206" s="96">
        <f>IFERROR(VLOOKUP($B206,INDIRECT("'GRD-"&amp;FB$11&amp;"'!B:R"),15,FALSE),"")</f>
        <v/>
      </c>
      <c r="FC206" s="96">
        <f>IFERROR(VLOOKUP($B206,INDIRECT("'GRD-"&amp;FC$11&amp;"'!B:R"),15,FALSE),"")</f>
        <v/>
      </c>
      <c r="FD206" s="96">
        <f>IFERROR(VLOOKUP($B206,INDIRECT("'GRD-"&amp;FD$11&amp;"'!B:R"),15,FALSE),"")</f>
        <v/>
      </c>
      <c r="FE206" s="96">
        <f>IFERROR(VLOOKUP($B206,INDIRECT("'GRD-"&amp;FE$11&amp;"'!B:R"),15,FALSE),"")</f>
        <v/>
      </c>
      <c r="FF206" s="96">
        <f>IFERROR(VLOOKUP($B206,INDIRECT("'GRD-"&amp;FF$11&amp;"'!B:R"),15,FALSE),"")</f>
        <v/>
      </c>
      <c r="FG206" s="96">
        <f>IFERROR(VLOOKUP($B206,INDIRECT("'GRD-"&amp;FG$11&amp;"'!B:R"),15,FALSE),"")</f>
        <v/>
      </c>
      <c r="FH206" s="96">
        <f>IFERROR(VLOOKUP($B206,INDIRECT("'GRD-"&amp;FH$11&amp;"'!B:R"),15,FALSE),"")</f>
        <v/>
      </c>
      <c r="FI206" s="96">
        <f>IFERROR(VLOOKUP($B206,INDIRECT("'GRD-"&amp;FI$11&amp;"'!B:R"),15,FALSE),"")</f>
        <v/>
      </c>
      <c r="FJ206" s="96">
        <f>IFERROR(VLOOKUP($B206,INDIRECT("'GRD-"&amp;FJ$11&amp;"'!B:R"),15,FALSE),"")</f>
        <v/>
      </c>
      <c r="FK206" s="96">
        <f>IFERROR(VLOOKUP($B206,INDIRECT("'GRD-"&amp;FK$11&amp;"'!B:R"),15,FALSE),"")</f>
        <v/>
      </c>
      <c r="FL206" s="96">
        <f>IFERROR(VLOOKUP($B206,INDIRECT("'GRD-"&amp;FL$11&amp;"'!B:R"),15,FALSE),"")</f>
        <v/>
      </c>
      <c r="FM206" s="96">
        <f>IFERROR(VLOOKUP($B206,INDIRECT("'GRD-"&amp;FM$11&amp;"'!B:R"),15,FALSE),"")</f>
        <v/>
      </c>
      <c r="FN206" s="96">
        <f>IFERROR(VLOOKUP($B206,INDIRECT("'GRD-"&amp;FN$11&amp;"'!B:R"),15,FALSE),"")</f>
        <v/>
      </c>
      <c r="FO206" s="96">
        <f>IFERROR(VLOOKUP($B206,INDIRECT("'GRD-"&amp;FO$11&amp;"'!B:R"),15,FALSE),"")</f>
        <v/>
      </c>
      <c r="FP206" s="96">
        <f>IFERROR(VLOOKUP($B206,INDIRECT("'GRD-"&amp;FP$11&amp;"'!B:R"),15,FALSE),"")</f>
        <v/>
      </c>
      <c r="FQ206" s="96">
        <f>IFERROR(VLOOKUP($B206,INDIRECT("'GRD-"&amp;FQ$11&amp;"'!B:R"),15,FALSE),"")</f>
        <v/>
      </c>
      <c r="FR206" s="96">
        <f>IFERROR(VLOOKUP($B206,INDIRECT("'GRD-"&amp;FR$11&amp;"'!B:R"),15,FALSE),"")</f>
        <v/>
      </c>
      <c r="FS206" s="96">
        <f>IFERROR(VLOOKUP($B206,INDIRECT("'GRD-"&amp;FS$11&amp;"'!B:R"),15,FALSE),"")</f>
        <v/>
      </c>
      <c r="FT206" s="96">
        <f>IFERROR(VLOOKUP($B206,INDIRECT("'GRD-"&amp;FT$11&amp;"'!B:R"),15,FALSE),"")</f>
        <v/>
      </c>
      <c r="FU206" s="96">
        <f>IFERROR(VLOOKUP($B206,INDIRECT("'GRD-"&amp;FU$11&amp;"'!B:R"),15,FALSE),"")</f>
        <v/>
      </c>
      <c r="FV206" s="96">
        <f>IFERROR(VLOOKUP($B206,INDIRECT("'GRD-"&amp;FV$11&amp;"'!B:R"),15,FALSE),"")</f>
        <v/>
      </c>
    </row>
    <row r="207">
      <c r="B207" s="85" t="n"/>
      <c r="C207" s="93" t="n"/>
      <c r="D207" s="73">
        <f>IF(K207="","",MAX($CA207:$FV207))</f>
        <v/>
      </c>
      <c r="E207" s="74">
        <f t="array" ref="E207">IF($K207="","",OFFSET($A$1,ROW($B207)-1,11+$D207*4,))</f>
        <v/>
      </c>
      <c r="F207" s="74">
        <f t="array" ref="F207">IF($K207="","",OFFSET($A$1,ROW($B207)-1,12+$D207*4,))</f>
        <v/>
      </c>
      <c r="G207" s="118">
        <f t="array" ref="G207">IF($K207="","",OFFSET($A$1,ROW($B207)-1,13+$D207*4,))</f>
        <v/>
      </c>
      <c r="H207" s="81" t="n"/>
      <c r="I207" s="82" t="n"/>
      <c r="J207" s="75">
        <f>IF(I207="A4",H207/8,IF(I207="A3",H207/4,IF(I207="A2",H207/2,IF(I207="A1",H207/1,IF(I207="A0",H207*2,"")))))</f>
        <v/>
      </c>
      <c r="K207" s="68">
        <f t="array" ref="K207">IFERROR(OFFSET($BZ$11,ROW($B207)-11,MATCH(K$10,$CA207:$FV207,0),),"")</f>
        <v/>
      </c>
      <c r="L207" s="85">
        <f>IF(K207="","",IF(VLOOKUP($B207,INDIRECT("'GRD-"&amp;M207&amp;"'!$B:$R"),16,FALSE)="","",VLOOKUP($B207,INDIRECT("'GRD-"&amp;M207&amp;"'!$B:$R"),16,FALSE)))</f>
        <v/>
      </c>
      <c r="M207" s="130">
        <f t="array" ref="M207">IF(K207="","",IFERROR(OFFSET($BZ$11,0,MATCH($K207,$CA207:$FV207,0),),""))</f>
        <v/>
      </c>
      <c r="N207" s="119">
        <f t="array" ref="N207">IF(K207="","",INDIRECT("'GRD-"&amp;M207&amp;"'!$L$7"))</f>
        <v/>
      </c>
      <c r="O207" s="76">
        <f t="array" ref="O207">IFERROR(OFFSET($BZ$11,ROW($B207)-11,MATCH(O$10,$CA207:$FV207,0),),"")</f>
        <v/>
      </c>
      <c r="P207" s="76">
        <f>IF(O207="","",IF(VLOOKUP($B207,INDIRECT("'GRD-"&amp;Q207&amp;"'!$B:$R"),16,FALSE)="","",VLOOKUP($B207,INDIRECT("'GRD-"&amp;Q207&amp;"'!$B:$R"),16,FALSE)))</f>
        <v/>
      </c>
      <c r="Q207" s="132">
        <f t="array" ref="Q207">IF(O207="","",IFERROR(OFFSET($BZ$11,0,MATCH($O207,$CA207:$FV207,0),),""))</f>
        <v/>
      </c>
      <c r="R207" s="121">
        <f t="array" ref="R207">IF(O207="","",INDIRECT("'GRD-"&amp;Q207&amp;"'!$L$7"))</f>
        <v/>
      </c>
      <c r="S207" s="83">
        <f t="array" ref="S207">IFERROR(OFFSET($BZ$11,ROW($B207)-11,MATCH(S$10,$CA207:$FV207,0),),"")</f>
        <v/>
      </c>
      <c r="T207" s="83">
        <f>IF(S207="","",IF(VLOOKUP($B207,INDIRECT("'GRD-"&amp;U207&amp;"'!$B:$R"),16,FALSE)="","",VLOOKUP($B207,INDIRECT("'GRD-"&amp;U207&amp;"'!$B:$R"),16,FALSE)))</f>
        <v/>
      </c>
      <c r="U207" s="128">
        <f t="array" ref="U207">IF(S207="","",IFERROR(OFFSET($BZ$11,0,MATCH($S207,$CA207:$FV207,0),),""))</f>
        <v/>
      </c>
      <c r="V207" s="133">
        <f t="array" ref="V207">IF(S207="","",INDIRECT("'GRD-"&amp;U207&amp;"'!$L$7"))</f>
        <v/>
      </c>
      <c r="W207" s="84">
        <f t="array" ref="W207">IFERROR(OFFSET($BZ$11,ROW($B207)-11,MATCH(W$10,$CA207:$FV207,0),),"")</f>
        <v/>
      </c>
      <c r="X207" s="84">
        <f>IF(W207="","",IF(VLOOKUP($B207,INDIRECT("'GRD-"&amp;Y207&amp;"'!$B:$R"),16,FALSE)="","",VLOOKUP($B207,INDIRECT("'GRD-"&amp;Y207&amp;"'!$B:$R"),16,FALSE)))</f>
        <v/>
      </c>
      <c r="Y207" s="129">
        <f t="array" ref="Y207">IF(W207="","",IFERROR(OFFSET($BZ$11,0,MATCH($W207,$CA207:$FV207,0),),""))</f>
        <v/>
      </c>
      <c r="Z207" s="134">
        <f t="array" ref="Z207">IF(W207="","",INDIRECT("'GRD-"&amp;Y207&amp;"'!$L$7"))</f>
        <v/>
      </c>
      <c r="AA207" s="85">
        <f t="array" ref="AA207">IFERROR(OFFSET($BZ$11,ROW($B207)-11,MATCH(AA$10,$CA207:$FV207,0),),"")</f>
        <v/>
      </c>
      <c r="AB207" s="85">
        <f>IF(AA207="","",IF(VLOOKUP($B207,INDIRECT("'GRD-"&amp;AC207&amp;"'!$B:$R"),16,FALSE)="","",VLOOKUP($B207,INDIRECT("'GRD-"&amp;AC207&amp;"'!$B:$R"),16,FALSE)))</f>
        <v/>
      </c>
      <c r="AC207" s="130">
        <f t="array" ref="AC207">IF(AA207="","",IFERROR(OFFSET($BZ$11,0,MATCH($AA207,$CA207:$FV207,0),),""))</f>
        <v/>
      </c>
      <c r="AD207" s="131">
        <f t="array" ref="AD207">IF(AA207="","",INDIRECT("'GRD-"&amp;AC207&amp;"'!$L$7"))</f>
        <v/>
      </c>
      <c r="AE207" s="76">
        <f t="array" ref="AE207">IFERROR(OFFSET($BZ$11,ROW($B207)-11,MATCH(AE$10,$CA207:$FV207,0),),"")</f>
        <v/>
      </c>
      <c r="AF207" s="76">
        <f>IF(AE207="","",IF(VLOOKUP($B207,INDIRECT("'GRD-"&amp;AG207&amp;"'!$B:$R"),16,FALSE)="","",VLOOKUP($B207,INDIRECT("'GRD-"&amp;AG207&amp;"'!$B:$R"),16,FALSE)))</f>
        <v/>
      </c>
      <c r="AG207" s="132">
        <f t="array" ref="AG207">IF(AE207="","",IFERROR(OFFSET($BZ$11,0,MATCH($AE207,$CA207:$FV207,0),),""))</f>
        <v/>
      </c>
      <c r="AH207" s="121">
        <f t="array" ref="AH207">IF(AE207="","",INDIRECT("'GRD-"&amp;AG207&amp;"'!$L$7"))</f>
        <v/>
      </c>
      <c r="AI207" s="83">
        <f t="array" ref="AI207">IFERROR(OFFSET($BZ$11,ROW($B207)-11,MATCH(AI$10,$CA207:$FV207,0),),"")</f>
        <v/>
      </c>
      <c r="AJ207" s="83">
        <f>IF(AI207="","",IF(VLOOKUP($B207,INDIRECT("'GRD-"&amp;AK207&amp;"'!$B:$R"),16,FALSE)="","",VLOOKUP($B207,INDIRECT("'GRD-"&amp;AK207&amp;"'!$B:$R"),16,FALSE)))</f>
        <v/>
      </c>
      <c r="AK207" s="128">
        <f t="array" ref="AK207">IF(AI207="","",IFERROR(OFFSET($BZ$11,0,MATCH($AI207,$CA207:$FV207,0),),""))</f>
        <v/>
      </c>
      <c r="AL207" s="133">
        <f t="array" ref="AL207">IF(AI207="","",INDIRECT("'GRD-"&amp;AK207&amp;"'!$L$7"))</f>
        <v/>
      </c>
      <c r="AM207" s="84">
        <f t="array" ref="AM207">IFERROR(OFFSET($BZ$11,ROW($B207)-11,MATCH(AM$10,$CA207:$FV207,0),),"")</f>
        <v/>
      </c>
      <c r="AN207" s="84">
        <f>IF(AM207="","",IF(VLOOKUP($B207,INDIRECT("'GRD-"&amp;AO207&amp;"'!$B:$R"),16,FALSE)="","",VLOOKUP($B207,INDIRECT("'GRD-"&amp;AO207&amp;"'!$B:$R"),16,FALSE)))</f>
        <v/>
      </c>
      <c r="AO207" s="129">
        <f t="array" ref="AO207">IF(AM207="","",IFERROR(OFFSET($BZ$11,0,MATCH($AM207,$CA207:$FV207,0),),""))</f>
        <v/>
      </c>
      <c r="AP207" s="134">
        <f t="array" ref="AP207">IF(AM207="","",INDIRECT("'GRD-"&amp;AO207&amp;"'!$L$7"))</f>
        <v/>
      </c>
      <c r="AQ207" s="85">
        <f t="array" ref="AQ207">IFERROR(OFFSET($BZ$11,ROW($B207)-11,MATCH(AQ$10,$CA207:$FV207,0),),"")</f>
        <v/>
      </c>
      <c r="AR207" s="85">
        <f>IF(AQ207="","",IF(VLOOKUP($B207,INDIRECT("'GRD-"&amp;AS207&amp;"'!$B:$R"),16,FALSE)="","",VLOOKUP($B207,INDIRECT("'GRD-"&amp;AS207&amp;"'!$B:$R"),16,FALSE)))</f>
        <v/>
      </c>
      <c r="AS207" s="130">
        <f t="array" ref="AS207">IF(AQ207="","",IFERROR(OFFSET($BZ$11,0,MATCH($AQ207,$CA207:$FV207,0),),""))</f>
        <v/>
      </c>
      <c r="AT207" s="131">
        <f t="array" ref="AT207">IF(AQ207="","",INDIRECT("'GRD-"&amp;AS207&amp;"'!$L$7"))</f>
        <v/>
      </c>
      <c r="AU207" s="76">
        <f t="array" ref="AU207">IFERROR(OFFSET($BZ$11,ROW($B207)-11,MATCH(AU$10,$CA207:$FV207,0),),"")</f>
        <v/>
      </c>
      <c r="AV207" s="76">
        <f>IF(AU207="","",IF(VLOOKUP($B207,INDIRECT("'GRD-"&amp;AW207&amp;"'!$B:$R"),16,FALSE)="","",VLOOKUP($B207,INDIRECT("'GRD-"&amp;AW207&amp;"'!$B:$R"),16,FALSE)))</f>
        <v/>
      </c>
      <c r="AW207" s="132">
        <f t="array" ref="AW207">IF(AU207="","",IFERROR(OFFSET($BZ$11,0,MATCH($AU207,$CA207:$FV207,0),),""))</f>
        <v/>
      </c>
      <c r="AX207" s="121">
        <f t="array" ref="AX207">IF(AU207="","",INDIRECT("'GRD-"&amp;AW207&amp;"'!$L$7"))</f>
        <v/>
      </c>
      <c r="AY207" s="83">
        <f t="array" ref="AY207">IFERROR(OFFSET($BZ$11,ROW($B207)-11,MATCH(AY$10,$CA207:$FV207,0),),"")</f>
        <v/>
      </c>
      <c r="AZ207" s="83">
        <f>IF(AY207="","",IF(VLOOKUP($B207,INDIRECT("'GRD-"&amp;BA207&amp;"'!$B:$R"),16,FALSE)="","",VLOOKUP($B207,INDIRECT("'GRD-"&amp;BA207&amp;"'!$B:$R"),16,FALSE)))</f>
        <v/>
      </c>
      <c r="BA207" s="128">
        <f t="array" ref="BA207">IF(AY207="","",IFERROR(OFFSET($BZ$11,0,MATCH($AY207,$CA207:$FV207,0),),""))</f>
        <v/>
      </c>
      <c r="BB207" s="133">
        <f t="array" ref="BB207">IF(AY207="","",INDIRECT("'GRD-"&amp;BA207&amp;"'!$L$7"))</f>
        <v/>
      </c>
      <c r="BC207" s="84">
        <f t="array" ref="BC207">IFERROR(OFFSET($BZ$11,ROW($B207)-11,MATCH(BC$10,$CA207:$FV207,0),),"")</f>
        <v/>
      </c>
      <c r="BD207" s="84">
        <f>IF(BC207="","",IF(VLOOKUP($B207,INDIRECT("'GRD-"&amp;BE207&amp;"'!$B:$R"),16,FALSE)="","",VLOOKUP($B207,INDIRECT("'GRD-"&amp;BE207&amp;"'!$B:$R"),16,FALSE)))</f>
        <v/>
      </c>
      <c r="BE207" s="129">
        <f t="array" ref="BE207">IF(BC207="","",IFERROR(OFFSET($BZ$11,0,MATCH($BC207,$CA207:$FV207,0),),""))</f>
        <v/>
      </c>
      <c r="BF207" s="134">
        <f t="array" ref="BF207">IF(BC207="","",INDIRECT("'GRD-"&amp;BE207&amp;"'!$L$7"))</f>
        <v/>
      </c>
      <c r="CA207" s="96">
        <f>IFERROR(VLOOKUP($B207,INDIRECT("'GRD-"&amp;CA$11&amp;"'!B:R"),15,FALSE),"")</f>
        <v/>
      </c>
      <c r="CB207" s="96">
        <f>IFERROR(VLOOKUP($B207,INDIRECT("'GRD-"&amp;CB$11&amp;"'!B:R"),15,FALSE),"")</f>
        <v/>
      </c>
      <c r="CC207" s="96">
        <f>IFERROR(VLOOKUP($B207,INDIRECT("'GRD-"&amp;CC$11&amp;"'!B:R"),15,FALSE),"")</f>
        <v/>
      </c>
      <c r="CD207" s="96">
        <f>IFERROR(VLOOKUP($B207,INDIRECT("'GRD-"&amp;CD$11&amp;"'!B:R"),15,FALSE),"")</f>
        <v/>
      </c>
      <c r="CE207" s="96">
        <f>IFERROR(VLOOKUP($B207,INDIRECT("'GRD-"&amp;CE$11&amp;"'!B:R"),15,FALSE),"")</f>
        <v/>
      </c>
      <c r="CF207" s="96">
        <f>IFERROR(VLOOKUP($B207,INDIRECT("'GRD-"&amp;CF$11&amp;"'!B:R"),15,FALSE),"")</f>
        <v/>
      </c>
      <c r="CG207" s="96">
        <f>IFERROR(VLOOKUP($B207,INDIRECT("'GRD-"&amp;CG$11&amp;"'!B:R"),15,FALSE),"")</f>
        <v/>
      </c>
      <c r="CH207" s="96">
        <f>IFERROR(VLOOKUP($B207,INDIRECT("'GRD-"&amp;CH$11&amp;"'!B:R"),15,FALSE),"")</f>
        <v/>
      </c>
      <c r="CI207" s="96">
        <f>IFERROR(VLOOKUP($B207,INDIRECT("'GRD-"&amp;CI$11&amp;"'!B:R"),15,FALSE),"")</f>
        <v/>
      </c>
      <c r="CJ207" s="96">
        <f>IFERROR(VLOOKUP($B207,INDIRECT("'GRD-"&amp;CJ$11&amp;"'!B:R"),15,FALSE),"")</f>
        <v/>
      </c>
      <c r="CK207" s="96">
        <f>IFERROR(VLOOKUP($B207,INDIRECT("'GRD-"&amp;CK$11&amp;"'!B:R"),15,FALSE),"")</f>
        <v/>
      </c>
      <c r="CL207" s="96">
        <f>IFERROR(VLOOKUP($B207,INDIRECT("'GRD-"&amp;CL$11&amp;"'!B:R"),15,FALSE),"")</f>
        <v/>
      </c>
      <c r="CM207" s="96">
        <f>IFERROR(VLOOKUP($B207,INDIRECT("'GRD-"&amp;CM$11&amp;"'!B:R"),15,FALSE),"")</f>
        <v/>
      </c>
      <c r="CN207" s="96">
        <f>IFERROR(VLOOKUP($B207,INDIRECT("'GRD-"&amp;CN$11&amp;"'!B:R"),15,FALSE),"")</f>
        <v/>
      </c>
      <c r="CO207" s="96">
        <f>IFERROR(VLOOKUP($B207,INDIRECT("'GRD-"&amp;CO$11&amp;"'!B:R"),15,FALSE),"")</f>
        <v/>
      </c>
      <c r="CP207" s="96">
        <f>IFERROR(VLOOKUP($B207,INDIRECT("'GRD-"&amp;CP$11&amp;"'!B:R"),15,FALSE),"")</f>
        <v/>
      </c>
      <c r="CQ207" s="96">
        <f>IFERROR(VLOOKUP($B207,INDIRECT("'GRD-"&amp;CQ$11&amp;"'!B:R"),15,FALSE),"")</f>
        <v/>
      </c>
      <c r="CR207" s="96">
        <f>IFERROR(VLOOKUP($B207,INDIRECT("'GRD-"&amp;CR$11&amp;"'!B:R"),15,FALSE),"")</f>
        <v/>
      </c>
      <c r="CS207" s="96">
        <f>IFERROR(VLOOKUP($B207,INDIRECT("'GRD-"&amp;CS$11&amp;"'!B:R"),15,FALSE),"")</f>
        <v/>
      </c>
      <c r="CT207" s="96">
        <f>IFERROR(VLOOKUP($B207,INDIRECT("'GRD-"&amp;CT$11&amp;"'!B:R"),15,FALSE),"")</f>
        <v/>
      </c>
      <c r="CU207" s="96">
        <f>IFERROR(VLOOKUP($B207,INDIRECT("'GRD-"&amp;CU$11&amp;"'!B:R"),15,FALSE),"")</f>
        <v/>
      </c>
      <c r="CV207" s="96">
        <f>IFERROR(VLOOKUP($B207,INDIRECT("'GRD-"&amp;CV$11&amp;"'!B:R"),15,FALSE),"")</f>
        <v/>
      </c>
      <c r="CW207" s="96">
        <f>IFERROR(VLOOKUP($B207,INDIRECT("'GRD-"&amp;CW$11&amp;"'!B:R"),15,FALSE),"")</f>
        <v/>
      </c>
      <c r="CX207" s="96">
        <f>IFERROR(VLOOKUP($B207,INDIRECT("'GRD-"&amp;CX$11&amp;"'!B:R"),15,FALSE),"")</f>
        <v/>
      </c>
      <c r="CY207" s="96">
        <f>IFERROR(VLOOKUP($B207,INDIRECT("'GRD-"&amp;CY$11&amp;"'!B:R"),15,FALSE),"")</f>
        <v/>
      </c>
      <c r="CZ207" s="96">
        <f>IFERROR(VLOOKUP($B207,INDIRECT("'GRD-"&amp;CZ$11&amp;"'!B:R"),15,FALSE),"")</f>
        <v/>
      </c>
      <c r="DA207" s="96">
        <f>IFERROR(VLOOKUP($B207,INDIRECT("'GRD-"&amp;DA$11&amp;"'!B:R"),15,FALSE),"")</f>
        <v/>
      </c>
      <c r="DB207" s="96">
        <f>IFERROR(VLOOKUP($B207,INDIRECT("'GRD-"&amp;DB$11&amp;"'!B:R"),15,FALSE),"")</f>
        <v/>
      </c>
      <c r="DC207" s="96">
        <f>IFERROR(VLOOKUP($B207,INDIRECT("'GRD-"&amp;DC$11&amp;"'!B:R"),15,FALSE),"")</f>
        <v/>
      </c>
      <c r="DD207" s="96">
        <f>IFERROR(VLOOKUP($B207,INDIRECT("'GRD-"&amp;DD$11&amp;"'!B:R"),15,FALSE),"")</f>
        <v/>
      </c>
      <c r="DE207" s="96">
        <f>IFERROR(VLOOKUP($B207,INDIRECT("'GRD-"&amp;DE$11&amp;"'!B:R"),15,FALSE),"")</f>
        <v/>
      </c>
      <c r="DF207" s="96">
        <f>IFERROR(VLOOKUP($B207,INDIRECT("'GRD-"&amp;DF$11&amp;"'!B:R"),15,FALSE),"")</f>
        <v/>
      </c>
      <c r="DG207" s="96">
        <f>IFERROR(VLOOKUP($B207,INDIRECT("'GRD-"&amp;DG$11&amp;"'!B:R"),15,FALSE),"")</f>
        <v/>
      </c>
      <c r="DH207" s="96">
        <f>IFERROR(VLOOKUP($B207,INDIRECT("'GRD-"&amp;DH$11&amp;"'!B:R"),15,FALSE),"")</f>
        <v/>
      </c>
      <c r="DI207" s="96">
        <f>IFERROR(VLOOKUP($B207,INDIRECT("'GRD-"&amp;DI$11&amp;"'!B:R"),15,FALSE),"")</f>
        <v/>
      </c>
      <c r="DJ207" s="96">
        <f>IFERROR(VLOOKUP($B207,INDIRECT("'GRD-"&amp;DJ$11&amp;"'!B:R"),15,FALSE),"")</f>
        <v/>
      </c>
      <c r="DK207" s="96">
        <f>IFERROR(VLOOKUP($B207,INDIRECT("'GRD-"&amp;DK$11&amp;"'!B:R"),15,FALSE),"")</f>
        <v/>
      </c>
      <c r="DL207" s="96">
        <f>IFERROR(VLOOKUP($B207,INDIRECT("'GRD-"&amp;DL$11&amp;"'!B:R"),15,FALSE),"")</f>
        <v/>
      </c>
      <c r="DM207" s="96">
        <f>IFERROR(VLOOKUP($B207,INDIRECT("'GRD-"&amp;DM$11&amp;"'!B:R"),15,FALSE),"")</f>
        <v/>
      </c>
      <c r="DN207" s="96">
        <f>IFERROR(VLOOKUP($B207,INDIRECT("'GRD-"&amp;DN$11&amp;"'!B:R"),15,FALSE),"")</f>
        <v/>
      </c>
      <c r="DO207" s="96">
        <f>IFERROR(VLOOKUP($B207,INDIRECT("'GRD-"&amp;DO$11&amp;"'!B:R"),15,FALSE),"")</f>
        <v/>
      </c>
      <c r="DP207" s="96">
        <f>IFERROR(VLOOKUP($B207,INDIRECT("'GRD-"&amp;DP$11&amp;"'!B:R"),15,FALSE),"")</f>
        <v/>
      </c>
      <c r="DQ207" s="96">
        <f>IFERROR(VLOOKUP($B207,INDIRECT("'GRD-"&amp;DQ$11&amp;"'!B:R"),15,FALSE),"")</f>
        <v/>
      </c>
      <c r="DR207" s="96">
        <f>IFERROR(VLOOKUP($B207,INDIRECT("'GRD-"&amp;DR$11&amp;"'!B:R"),15,FALSE),"")</f>
        <v/>
      </c>
      <c r="DS207" s="96">
        <f>IFERROR(VLOOKUP($B207,INDIRECT("'GRD-"&amp;DS$11&amp;"'!B:R"),15,FALSE),"")</f>
        <v/>
      </c>
      <c r="DT207" s="96">
        <f>IFERROR(VLOOKUP($B207,INDIRECT("'GRD-"&amp;DT$11&amp;"'!B:R"),15,FALSE),"")</f>
        <v/>
      </c>
      <c r="DU207" s="96">
        <f>IFERROR(VLOOKUP($B207,INDIRECT("'GRD-"&amp;DU$11&amp;"'!B:R"),15,FALSE),"")</f>
        <v/>
      </c>
      <c r="DV207" s="96">
        <f>IFERROR(VLOOKUP($B207,INDIRECT("'GRD-"&amp;DV$11&amp;"'!B:R"),15,FALSE),"")</f>
        <v/>
      </c>
      <c r="DW207" s="96">
        <f>IFERROR(VLOOKUP($B207,INDIRECT("'GRD-"&amp;DW$11&amp;"'!B:R"),15,FALSE),"")</f>
        <v/>
      </c>
      <c r="DX207" s="96">
        <f>IFERROR(VLOOKUP($B207,INDIRECT("'GRD-"&amp;DX$11&amp;"'!B:R"),15,FALSE),"")</f>
        <v/>
      </c>
      <c r="DY207" s="96">
        <f>IFERROR(VLOOKUP($B207,INDIRECT("'GRD-"&amp;DY$11&amp;"'!B:R"),15,FALSE),"")</f>
        <v/>
      </c>
      <c r="DZ207" s="96">
        <f>IFERROR(VLOOKUP($B207,INDIRECT("'GRD-"&amp;DZ$11&amp;"'!B:R"),15,FALSE),"")</f>
        <v/>
      </c>
      <c r="EA207" s="96">
        <f>IFERROR(VLOOKUP($B207,INDIRECT("'GRD-"&amp;EA$11&amp;"'!B:R"),15,FALSE),"")</f>
        <v/>
      </c>
      <c r="EB207" s="96">
        <f>IFERROR(VLOOKUP($B207,INDIRECT("'GRD-"&amp;EB$11&amp;"'!B:R"),15,FALSE),"")</f>
        <v/>
      </c>
      <c r="EC207" s="96">
        <f>IFERROR(VLOOKUP($B207,INDIRECT("'GRD-"&amp;EC$11&amp;"'!B:R"),15,FALSE),"")</f>
        <v/>
      </c>
      <c r="ED207" s="96">
        <f>IFERROR(VLOOKUP($B207,INDIRECT("'GRD-"&amp;ED$11&amp;"'!B:R"),15,FALSE),"")</f>
        <v/>
      </c>
      <c r="EE207" s="96">
        <f>IFERROR(VLOOKUP($B207,INDIRECT("'GRD-"&amp;EE$11&amp;"'!B:R"),15,FALSE),"")</f>
        <v/>
      </c>
      <c r="EF207" s="96">
        <f>IFERROR(VLOOKUP($B207,INDIRECT("'GRD-"&amp;EF$11&amp;"'!B:R"),15,FALSE),"")</f>
        <v/>
      </c>
      <c r="EG207" s="96">
        <f>IFERROR(VLOOKUP($B207,INDIRECT("'GRD-"&amp;EG$11&amp;"'!B:R"),15,FALSE),"")</f>
        <v/>
      </c>
      <c r="EH207" s="96">
        <f>IFERROR(VLOOKUP($B207,INDIRECT("'GRD-"&amp;EH$11&amp;"'!B:R"),15,FALSE),"")</f>
        <v/>
      </c>
      <c r="EI207" s="96">
        <f>IFERROR(VLOOKUP($B207,INDIRECT("'GRD-"&amp;EI$11&amp;"'!B:R"),15,FALSE),"")</f>
        <v/>
      </c>
      <c r="EJ207" s="96">
        <f>IFERROR(VLOOKUP($B207,INDIRECT("'GRD-"&amp;EJ$11&amp;"'!B:R"),15,FALSE),"")</f>
        <v/>
      </c>
      <c r="EK207" s="96">
        <f>IFERROR(VLOOKUP($B207,INDIRECT("'GRD-"&amp;EK$11&amp;"'!B:R"),15,FALSE),"")</f>
        <v/>
      </c>
      <c r="EL207" s="96">
        <f>IFERROR(VLOOKUP($B207,INDIRECT("'GRD-"&amp;EL$11&amp;"'!B:R"),15,FALSE),"")</f>
        <v/>
      </c>
      <c r="EM207" s="96">
        <f>IFERROR(VLOOKUP($B207,INDIRECT("'GRD-"&amp;EM$11&amp;"'!B:R"),15,FALSE),"")</f>
        <v/>
      </c>
      <c r="EN207" s="96">
        <f>IFERROR(VLOOKUP($B207,INDIRECT("'GRD-"&amp;EN$11&amp;"'!B:R"),15,FALSE),"")</f>
        <v/>
      </c>
      <c r="EO207" s="96">
        <f>IFERROR(VLOOKUP($B207,INDIRECT("'GRD-"&amp;EO$11&amp;"'!B:R"),15,FALSE),"")</f>
        <v/>
      </c>
      <c r="EP207" s="96">
        <f>IFERROR(VLOOKUP($B207,INDIRECT("'GRD-"&amp;EP$11&amp;"'!B:R"),15,FALSE),"")</f>
        <v/>
      </c>
      <c r="EQ207" s="96">
        <f>IFERROR(VLOOKUP($B207,INDIRECT("'GRD-"&amp;EQ$11&amp;"'!B:R"),15,FALSE),"")</f>
        <v/>
      </c>
      <c r="ER207" s="96">
        <f>IFERROR(VLOOKUP($B207,INDIRECT("'GRD-"&amp;ER$11&amp;"'!B:R"),15,FALSE),"")</f>
        <v/>
      </c>
      <c r="ES207" s="96">
        <f>IFERROR(VLOOKUP($B207,INDIRECT("'GRD-"&amp;ES$11&amp;"'!B:R"),15,FALSE),"")</f>
        <v/>
      </c>
      <c r="ET207" s="96">
        <f>IFERROR(VLOOKUP($B207,INDIRECT("'GRD-"&amp;ET$11&amp;"'!B:R"),15,FALSE),"")</f>
        <v/>
      </c>
      <c r="EU207" s="96">
        <f>IFERROR(VLOOKUP($B207,INDIRECT("'GRD-"&amp;EU$11&amp;"'!B:R"),15,FALSE),"")</f>
        <v/>
      </c>
      <c r="EV207" s="96">
        <f>IFERROR(VLOOKUP($B207,INDIRECT("'GRD-"&amp;EV$11&amp;"'!B:R"),15,FALSE),"")</f>
        <v/>
      </c>
      <c r="EW207" s="96">
        <f>IFERROR(VLOOKUP($B207,INDIRECT("'GRD-"&amp;EW$11&amp;"'!B:R"),15,FALSE),"")</f>
        <v/>
      </c>
      <c r="EX207" s="96">
        <f>IFERROR(VLOOKUP($B207,INDIRECT("'GRD-"&amp;EX$11&amp;"'!B:R"),15,FALSE),"")</f>
        <v/>
      </c>
      <c r="EY207" s="96">
        <f>IFERROR(VLOOKUP($B207,INDIRECT("'GRD-"&amp;EY$11&amp;"'!B:R"),15,FALSE),"")</f>
        <v/>
      </c>
      <c r="EZ207" s="96">
        <f>IFERROR(VLOOKUP($B207,INDIRECT("'GRD-"&amp;EZ$11&amp;"'!B:R"),15,FALSE),"")</f>
        <v/>
      </c>
      <c r="FA207" s="96">
        <f>IFERROR(VLOOKUP($B207,INDIRECT("'GRD-"&amp;FA$11&amp;"'!B:R"),15,FALSE),"")</f>
        <v/>
      </c>
      <c r="FB207" s="96">
        <f>IFERROR(VLOOKUP($B207,INDIRECT("'GRD-"&amp;FB$11&amp;"'!B:R"),15,FALSE),"")</f>
        <v/>
      </c>
      <c r="FC207" s="96">
        <f>IFERROR(VLOOKUP($B207,INDIRECT("'GRD-"&amp;FC$11&amp;"'!B:R"),15,FALSE),"")</f>
        <v/>
      </c>
      <c r="FD207" s="96">
        <f>IFERROR(VLOOKUP($B207,INDIRECT("'GRD-"&amp;FD$11&amp;"'!B:R"),15,FALSE),"")</f>
        <v/>
      </c>
      <c r="FE207" s="96">
        <f>IFERROR(VLOOKUP($B207,INDIRECT("'GRD-"&amp;FE$11&amp;"'!B:R"),15,FALSE),"")</f>
        <v/>
      </c>
      <c r="FF207" s="96">
        <f>IFERROR(VLOOKUP($B207,INDIRECT("'GRD-"&amp;FF$11&amp;"'!B:R"),15,FALSE),"")</f>
        <v/>
      </c>
      <c r="FG207" s="96">
        <f>IFERROR(VLOOKUP($B207,INDIRECT("'GRD-"&amp;FG$11&amp;"'!B:R"),15,FALSE),"")</f>
        <v/>
      </c>
      <c r="FH207" s="96">
        <f>IFERROR(VLOOKUP($B207,INDIRECT("'GRD-"&amp;FH$11&amp;"'!B:R"),15,FALSE),"")</f>
        <v/>
      </c>
      <c r="FI207" s="96">
        <f>IFERROR(VLOOKUP($B207,INDIRECT("'GRD-"&amp;FI$11&amp;"'!B:R"),15,FALSE),"")</f>
        <v/>
      </c>
      <c r="FJ207" s="96">
        <f>IFERROR(VLOOKUP($B207,INDIRECT("'GRD-"&amp;FJ$11&amp;"'!B:R"),15,FALSE),"")</f>
        <v/>
      </c>
      <c r="FK207" s="96">
        <f>IFERROR(VLOOKUP($B207,INDIRECT("'GRD-"&amp;FK$11&amp;"'!B:R"),15,FALSE),"")</f>
        <v/>
      </c>
      <c r="FL207" s="96">
        <f>IFERROR(VLOOKUP($B207,INDIRECT("'GRD-"&amp;FL$11&amp;"'!B:R"),15,FALSE),"")</f>
        <v/>
      </c>
      <c r="FM207" s="96">
        <f>IFERROR(VLOOKUP($B207,INDIRECT("'GRD-"&amp;FM$11&amp;"'!B:R"),15,FALSE),"")</f>
        <v/>
      </c>
      <c r="FN207" s="96">
        <f>IFERROR(VLOOKUP($B207,INDIRECT("'GRD-"&amp;FN$11&amp;"'!B:R"),15,FALSE),"")</f>
        <v/>
      </c>
      <c r="FO207" s="96">
        <f>IFERROR(VLOOKUP($B207,INDIRECT("'GRD-"&amp;FO$11&amp;"'!B:R"),15,FALSE),"")</f>
        <v/>
      </c>
      <c r="FP207" s="96">
        <f>IFERROR(VLOOKUP($B207,INDIRECT("'GRD-"&amp;FP$11&amp;"'!B:R"),15,FALSE),"")</f>
        <v/>
      </c>
      <c r="FQ207" s="96">
        <f>IFERROR(VLOOKUP($B207,INDIRECT("'GRD-"&amp;FQ$11&amp;"'!B:R"),15,FALSE),"")</f>
        <v/>
      </c>
      <c r="FR207" s="96">
        <f>IFERROR(VLOOKUP($B207,INDIRECT("'GRD-"&amp;FR$11&amp;"'!B:R"),15,FALSE),"")</f>
        <v/>
      </c>
      <c r="FS207" s="96">
        <f>IFERROR(VLOOKUP($B207,INDIRECT("'GRD-"&amp;FS$11&amp;"'!B:R"),15,FALSE),"")</f>
        <v/>
      </c>
      <c r="FT207" s="96">
        <f>IFERROR(VLOOKUP($B207,INDIRECT("'GRD-"&amp;FT$11&amp;"'!B:R"),15,FALSE),"")</f>
        <v/>
      </c>
      <c r="FU207" s="96">
        <f>IFERROR(VLOOKUP($B207,INDIRECT("'GRD-"&amp;FU$11&amp;"'!B:R"),15,FALSE),"")</f>
        <v/>
      </c>
      <c r="FV207" s="96">
        <f>IFERROR(VLOOKUP($B207,INDIRECT("'GRD-"&amp;FV$11&amp;"'!B:R"),15,FALSE),"")</f>
        <v/>
      </c>
    </row>
    <row r="208">
      <c r="B208" s="85" t="n"/>
      <c r="C208" s="93" t="n"/>
      <c r="D208" s="73">
        <f>IF(K208="","",MAX($CA208:$FV208))</f>
        <v/>
      </c>
      <c r="E208" s="74">
        <f t="array" ref="E208">IF($K208="","",OFFSET($A$1,ROW($B208)-1,11+$D208*4,))</f>
        <v/>
      </c>
      <c r="F208" s="74">
        <f t="array" ref="F208">IF($K208="","",OFFSET($A$1,ROW($B208)-1,12+$D208*4,))</f>
        <v/>
      </c>
      <c r="G208" s="118">
        <f t="array" ref="G208">IF($K208="","",OFFSET($A$1,ROW($B208)-1,13+$D208*4,))</f>
        <v/>
      </c>
      <c r="H208" s="81" t="n"/>
      <c r="I208" s="82" t="n"/>
      <c r="J208" s="75">
        <f>IF(I208="A4",H208/8,IF(I208="A3",H208/4,IF(I208="A2",H208/2,IF(I208="A1",H208/1,IF(I208="A0",H208*2,"")))))</f>
        <v/>
      </c>
      <c r="K208" s="68">
        <f t="array" ref="K208">IFERROR(OFFSET($BZ$11,ROW($B208)-11,MATCH(K$10,$CA208:$FV208,0),),"")</f>
        <v/>
      </c>
      <c r="L208" s="85">
        <f>IF(K208="","",IF(VLOOKUP($B208,INDIRECT("'GRD-"&amp;M208&amp;"'!$B:$R"),16,FALSE)="","",VLOOKUP($B208,INDIRECT("'GRD-"&amp;M208&amp;"'!$B:$R"),16,FALSE)))</f>
        <v/>
      </c>
      <c r="M208" s="130">
        <f t="array" ref="M208">IF(K208="","",IFERROR(OFFSET($BZ$11,0,MATCH($K208,$CA208:$FV208,0),),""))</f>
        <v/>
      </c>
      <c r="N208" s="119">
        <f t="array" ref="N208">IF(K208="","",INDIRECT("'GRD-"&amp;M208&amp;"'!$L$7"))</f>
        <v/>
      </c>
      <c r="O208" s="76">
        <f t="array" ref="O208">IFERROR(OFFSET($BZ$11,ROW($B208)-11,MATCH(O$10,$CA208:$FV208,0),),"")</f>
        <v/>
      </c>
      <c r="P208" s="76">
        <f>IF(O208="","",IF(VLOOKUP($B208,INDIRECT("'GRD-"&amp;Q208&amp;"'!$B:$R"),16,FALSE)="","",VLOOKUP($B208,INDIRECT("'GRD-"&amp;Q208&amp;"'!$B:$R"),16,FALSE)))</f>
        <v/>
      </c>
      <c r="Q208" s="132">
        <f t="array" ref="Q208">IF(O208="","",IFERROR(OFFSET($BZ$11,0,MATCH($O208,$CA208:$FV208,0),),""))</f>
        <v/>
      </c>
      <c r="R208" s="121">
        <f t="array" ref="R208">IF(O208="","",INDIRECT("'GRD-"&amp;Q208&amp;"'!$L$7"))</f>
        <v/>
      </c>
      <c r="S208" s="83">
        <f t="array" ref="S208">IFERROR(OFFSET($BZ$11,ROW($B208)-11,MATCH(S$10,$CA208:$FV208,0),),"")</f>
        <v/>
      </c>
      <c r="T208" s="83">
        <f>IF(S208="","",IF(VLOOKUP($B208,INDIRECT("'GRD-"&amp;U208&amp;"'!$B:$R"),16,FALSE)="","",VLOOKUP($B208,INDIRECT("'GRD-"&amp;U208&amp;"'!$B:$R"),16,FALSE)))</f>
        <v/>
      </c>
      <c r="U208" s="128">
        <f t="array" ref="U208">IF(S208="","",IFERROR(OFFSET($BZ$11,0,MATCH($S208,$CA208:$FV208,0),),""))</f>
        <v/>
      </c>
      <c r="V208" s="133">
        <f t="array" ref="V208">IF(S208="","",INDIRECT("'GRD-"&amp;U208&amp;"'!$L$7"))</f>
        <v/>
      </c>
      <c r="W208" s="84">
        <f t="array" ref="W208">IFERROR(OFFSET($BZ$11,ROW($B208)-11,MATCH(W$10,$CA208:$FV208,0),),"")</f>
        <v/>
      </c>
      <c r="X208" s="84">
        <f>IF(W208="","",IF(VLOOKUP($B208,INDIRECT("'GRD-"&amp;Y208&amp;"'!$B:$R"),16,FALSE)="","",VLOOKUP($B208,INDIRECT("'GRD-"&amp;Y208&amp;"'!$B:$R"),16,FALSE)))</f>
        <v/>
      </c>
      <c r="Y208" s="129">
        <f t="array" ref="Y208">IF(W208="","",IFERROR(OFFSET($BZ$11,0,MATCH($W208,$CA208:$FV208,0),),""))</f>
        <v/>
      </c>
      <c r="Z208" s="134">
        <f t="array" ref="Z208">IF(W208="","",INDIRECT("'GRD-"&amp;Y208&amp;"'!$L$7"))</f>
        <v/>
      </c>
      <c r="AA208" s="85">
        <f t="array" ref="AA208">IFERROR(OFFSET($BZ$11,ROW($B208)-11,MATCH(AA$10,$CA208:$FV208,0),),"")</f>
        <v/>
      </c>
      <c r="AB208" s="85">
        <f>IF(AA208="","",IF(VLOOKUP($B208,INDIRECT("'GRD-"&amp;AC208&amp;"'!$B:$R"),16,FALSE)="","",VLOOKUP($B208,INDIRECT("'GRD-"&amp;AC208&amp;"'!$B:$R"),16,FALSE)))</f>
        <v/>
      </c>
      <c r="AC208" s="130">
        <f t="array" ref="AC208">IF(AA208="","",IFERROR(OFFSET($BZ$11,0,MATCH($AA208,$CA208:$FV208,0),),""))</f>
        <v/>
      </c>
      <c r="AD208" s="131">
        <f t="array" ref="AD208">IF(AA208="","",INDIRECT("'GRD-"&amp;AC208&amp;"'!$L$7"))</f>
        <v/>
      </c>
      <c r="AE208" s="76">
        <f t="array" ref="AE208">IFERROR(OFFSET($BZ$11,ROW($B208)-11,MATCH(AE$10,$CA208:$FV208,0),),"")</f>
        <v/>
      </c>
      <c r="AF208" s="76">
        <f>IF(AE208="","",IF(VLOOKUP($B208,INDIRECT("'GRD-"&amp;AG208&amp;"'!$B:$R"),16,FALSE)="","",VLOOKUP($B208,INDIRECT("'GRD-"&amp;AG208&amp;"'!$B:$R"),16,FALSE)))</f>
        <v/>
      </c>
      <c r="AG208" s="132">
        <f t="array" ref="AG208">IF(AE208="","",IFERROR(OFFSET($BZ$11,0,MATCH($AE208,$CA208:$FV208,0),),""))</f>
        <v/>
      </c>
      <c r="AH208" s="121">
        <f t="array" ref="AH208">IF(AE208="","",INDIRECT("'GRD-"&amp;AG208&amp;"'!$L$7"))</f>
        <v/>
      </c>
      <c r="AI208" s="83">
        <f t="array" ref="AI208">IFERROR(OFFSET($BZ$11,ROW($B208)-11,MATCH(AI$10,$CA208:$FV208,0),),"")</f>
        <v/>
      </c>
      <c r="AJ208" s="83">
        <f>IF(AI208="","",IF(VLOOKUP($B208,INDIRECT("'GRD-"&amp;AK208&amp;"'!$B:$R"),16,FALSE)="","",VLOOKUP($B208,INDIRECT("'GRD-"&amp;AK208&amp;"'!$B:$R"),16,FALSE)))</f>
        <v/>
      </c>
      <c r="AK208" s="128">
        <f t="array" ref="AK208">IF(AI208="","",IFERROR(OFFSET($BZ$11,0,MATCH($AI208,$CA208:$FV208,0),),""))</f>
        <v/>
      </c>
      <c r="AL208" s="133">
        <f t="array" ref="AL208">IF(AI208="","",INDIRECT("'GRD-"&amp;AK208&amp;"'!$L$7"))</f>
        <v/>
      </c>
      <c r="AM208" s="84">
        <f t="array" ref="AM208">IFERROR(OFFSET($BZ$11,ROW($B208)-11,MATCH(AM$10,$CA208:$FV208,0),),"")</f>
        <v/>
      </c>
      <c r="AN208" s="84">
        <f>IF(AM208="","",IF(VLOOKUP($B208,INDIRECT("'GRD-"&amp;AO208&amp;"'!$B:$R"),16,FALSE)="","",VLOOKUP($B208,INDIRECT("'GRD-"&amp;AO208&amp;"'!$B:$R"),16,FALSE)))</f>
        <v/>
      </c>
      <c r="AO208" s="129">
        <f t="array" ref="AO208">IF(AM208="","",IFERROR(OFFSET($BZ$11,0,MATCH($AM208,$CA208:$FV208,0),),""))</f>
        <v/>
      </c>
      <c r="AP208" s="134">
        <f t="array" ref="AP208">IF(AM208="","",INDIRECT("'GRD-"&amp;AO208&amp;"'!$L$7"))</f>
        <v/>
      </c>
      <c r="AQ208" s="85">
        <f t="array" ref="AQ208">IFERROR(OFFSET($BZ$11,ROW($B208)-11,MATCH(AQ$10,$CA208:$FV208,0),),"")</f>
        <v/>
      </c>
      <c r="AR208" s="85">
        <f>IF(AQ208="","",IF(VLOOKUP($B208,INDIRECT("'GRD-"&amp;AS208&amp;"'!$B:$R"),16,FALSE)="","",VLOOKUP($B208,INDIRECT("'GRD-"&amp;AS208&amp;"'!$B:$R"),16,FALSE)))</f>
        <v/>
      </c>
      <c r="AS208" s="130">
        <f t="array" ref="AS208">IF(AQ208="","",IFERROR(OFFSET($BZ$11,0,MATCH($AQ208,$CA208:$FV208,0),),""))</f>
        <v/>
      </c>
      <c r="AT208" s="131">
        <f t="array" ref="AT208">IF(AQ208="","",INDIRECT("'GRD-"&amp;AS208&amp;"'!$L$7"))</f>
        <v/>
      </c>
      <c r="AU208" s="76">
        <f t="array" ref="AU208">IFERROR(OFFSET($BZ$11,ROW($B208)-11,MATCH(AU$10,$CA208:$FV208,0),),"")</f>
        <v/>
      </c>
      <c r="AV208" s="76">
        <f>IF(AU208="","",IF(VLOOKUP($B208,INDIRECT("'GRD-"&amp;AW208&amp;"'!$B:$R"),16,FALSE)="","",VLOOKUP($B208,INDIRECT("'GRD-"&amp;AW208&amp;"'!$B:$R"),16,FALSE)))</f>
        <v/>
      </c>
      <c r="AW208" s="132">
        <f t="array" ref="AW208">IF(AU208="","",IFERROR(OFFSET($BZ$11,0,MATCH($AU208,$CA208:$FV208,0),),""))</f>
        <v/>
      </c>
      <c r="AX208" s="121">
        <f t="array" ref="AX208">IF(AU208="","",INDIRECT("'GRD-"&amp;AW208&amp;"'!$L$7"))</f>
        <v/>
      </c>
      <c r="AY208" s="83">
        <f t="array" ref="AY208">IFERROR(OFFSET($BZ$11,ROW($B208)-11,MATCH(AY$10,$CA208:$FV208,0),),"")</f>
        <v/>
      </c>
      <c r="AZ208" s="83">
        <f>IF(AY208="","",IF(VLOOKUP($B208,INDIRECT("'GRD-"&amp;BA208&amp;"'!$B:$R"),16,FALSE)="","",VLOOKUP($B208,INDIRECT("'GRD-"&amp;BA208&amp;"'!$B:$R"),16,FALSE)))</f>
        <v/>
      </c>
      <c r="BA208" s="128">
        <f t="array" ref="BA208">IF(AY208="","",IFERROR(OFFSET($BZ$11,0,MATCH($AY208,$CA208:$FV208,0),),""))</f>
        <v/>
      </c>
      <c r="BB208" s="133">
        <f t="array" ref="BB208">IF(AY208="","",INDIRECT("'GRD-"&amp;BA208&amp;"'!$L$7"))</f>
        <v/>
      </c>
      <c r="BC208" s="84">
        <f t="array" ref="BC208">IFERROR(OFFSET($BZ$11,ROW($B208)-11,MATCH(BC$10,$CA208:$FV208,0),),"")</f>
        <v/>
      </c>
      <c r="BD208" s="84">
        <f>IF(BC208="","",IF(VLOOKUP($B208,INDIRECT("'GRD-"&amp;BE208&amp;"'!$B:$R"),16,FALSE)="","",VLOOKUP($B208,INDIRECT("'GRD-"&amp;BE208&amp;"'!$B:$R"),16,FALSE)))</f>
        <v/>
      </c>
      <c r="BE208" s="129">
        <f t="array" ref="BE208">IF(BC208="","",IFERROR(OFFSET($BZ$11,0,MATCH($BC208,$CA208:$FV208,0),),""))</f>
        <v/>
      </c>
      <c r="BF208" s="134">
        <f t="array" ref="BF208">IF(BC208="","",INDIRECT("'GRD-"&amp;BE208&amp;"'!$L$7"))</f>
        <v/>
      </c>
      <c r="CA208" s="96">
        <f>IFERROR(VLOOKUP($B208,INDIRECT("'GRD-"&amp;CA$11&amp;"'!B:R"),15,FALSE),"")</f>
        <v/>
      </c>
      <c r="CB208" s="96">
        <f>IFERROR(VLOOKUP($B208,INDIRECT("'GRD-"&amp;CB$11&amp;"'!B:R"),15,FALSE),"")</f>
        <v/>
      </c>
      <c r="CC208" s="96">
        <f>IFERROR(VLOOKUP($B208,INDIRECT("'GRD-"&amp;CC$11&amp;"'!B:R"),15,FALSE),"")</f>
        <v/>
      </c>
      <c r="CD208" s="96">
        <f>IFERROR(VLOOKUP($B208,INDIRECT("'GRD-"&amp;CD$11&amp;"'!B:R"),15,FALSE),"")</f>
        <v/>
      </c>
      <c r="CE208" s="96">
        <f>IFERROR(VLOOKUP($B208,INDIRECT("'GRD-"&amp;CE$11&amp;"'!B:R"),15,FALSE),"")</f>
        <v/>
      </c>
      <c r="CF208" s="96">
        <f>IFERROR(VLOOKUP($B208,INDIRECT("'GRD-"&amp;CF$11&amp;"'!B:R"),15,FALSE),"")</f>
        <v/>
      </c>
      <c r="CG208" s="96">
        <f>IFERROR(VLOOKUP($B208,INDIRECT("'GRD-"&amp;CG$11&amp;"'!B:R"),15,FALSE),"")</f>
        <v/>
      </c>
      <c r="CH208" s="96">
        <f>IFERROR(VLOOKUP($B208,INDIRECT("'GRD-"&amp;CH$11&amp;"'!B:R"),15,FALSE),"")</f>
        <v/>
      </c>
      <c r="CI208" s="96">
        <f>IFERROR(VLOOKUP($B208,INDIRECT("'GRD-"&amp;CI$11&amp;"'!B:R"),15,FALSE),"")</f>
        <v/>
      </c>
      <c r="CJ208" s="96">
        <f>IFERROR(VLOOKUP($B208,INDIRECT("'GRD-"&amp;CJ$11&amp;"'!B:R"),15,FALSE),"")</f>
        <v/>
      </c>
      <c r="CK208" s="96">
        <f>IFERROR(VLOOKUP($B208,INDIRECT("'GRD-"&amp;CK$11&amp;"'!B:R"),15,FALSE),"")</f>
        <v/>
      </c>
      <c r="CL208" s="96">
        <f>IFERROR(VLOOKUP($B208,INDIRECT("'GRD-"&amp;CL$11&amp;"'!B:R"),15,FALSE),"")</f>
        <v/>
      </c>
      <c r="CM208" s="96">
        <f>IFERROR(VLOOKUP($B208,INDIRECT("'GRD-"&amp;CM$11&amp;"'!B:R"),15,FALSE),"")</f>
        <v/>
      </c>
      <c r="CN208" s="96">
        <f>IFERROR(VLOOKUP($B208,INDIRECT("'GRD-"&amp;CN$11&amp;"'!B:R"),15,FALSE),"")</f>
        <v/>
      </c>
      <c r="CO208" s="96">
        <f>IFERROR(VLOOKUP($B208,INDIRECT("'GRD-"&amp;CO$11&amp;"'!B:R"),15,FALSE),"")</f>
        <v/>
      </c>
      <c r="CP208" s="96">
        <f>IFERROR(VLOOKUP($B208,INDIRECT("'GRD-"&amp;CP$11&amp;"'!B:R"),15,FALSE),"")</f>
        <v/>
      </c>
      <c r="CQ208" s="96">
        <f>IFERROR(VLOOKUP($B208,INDIRECT("'GRD-"&amp;CQ$11&amp;"'!B:R"),15,FALSE),"")</f>
        <v/>
      </c>
      <c r="CR208" s="96">
        <f>IFERROR(VLOOKUP($B208,INDIRECT("'GRD-"&amp;CR$11&amp;"'!B:R"),15,FALSE),"")</f>
        <v/>
      </c>
      <c r="CS208" s="96">
        <f>IFERROR(VLOOKUP($B208,INDIRECT("'GRD-"&amp;CS$11&amp;"'!B:R"),15,FALSE),"")</f>
        <v/>
      </c>
      <c r="CT208" s="96">
        <f>IFERROR(VLOOKUP($B208,INDIRECT("'GRD-"&amp;CT$11&amp;"'!B:R"),15,FALSE),"")</f>
        <v/>
      </c>
      <c r="CU208" s="96">
        <f>IFERROR(VLOOKUP($B208,INDIRECT("'GRD-"&amp;CU$11&amp;"'!B:R"),15,FALSE),"")</f>
        <v/>
      </c>
      <c r="CV208" s="96">
        <f>IFERROR(VLOOKUP($B208,INDIRECT("'GRD-"&amp;CV$11&amp;"'!B:R"),15,FALSE),"")</f>
        <v/>
      </c>
      <c r="CW208" s="96">
        <f>IFERROR(VLOOKUP($B208,INDIRECT("'GRD-"&amp;CW$11&amp;"'!B:R"),15,FALSE),"")</f>
        <v/>
      </c>
      <c r="CX208" s="96">
        <f>IFERROR(VLOOKUP($B208,INDIRECT("'GRD-"&amp;CX$11&amp;"'!B:R"),15,FALSE),"")</f>
        <v/>
      </c>
      <c r="CY208" s="96">
        <f>IFERROR(VLOOKUP($B208,INDIRECT("'GRD-"&amp;CY$11&amp;"'!B:R"),15,FALSE),"")</f>
        <v/>
      </c>
      <c r="CZ208" s="96">
        <f>IFERROR(VLOOKUP($B208,INDIRECT("'GRD-"&amp;CZ$11&amp;"'!B:R"),15,FALSE),"")</f>
        <v/>
      </c>
      <c r="DA208" s="96">
        <f>IFERROR(VLOOKUP($B208,INDIRECT("'GRD-"&amp;DA$11&amp;"'!B:R"),15,FALSE),"")</f>
        <v/>
      </c>
      <c r="DB208" s="96">
        <f>IFERROR(VLOOKUP($B208,INDIRECT("'GRD-"&amp;DB$11&amp;"'!B:R"),15,FALSE),"")</f>
        <v/>
      </c>
      <c r="DC208" s="96">
        <f>IFERROR(VLOOKUP($B208,INDIRECT("'GRD-"&amp;DC$11&amp;"'!B:R"),15,FALSE),"")</f>
        <v/>
      </c>
      <c r="DD208" s="96">
        <f>IFERROR(VLOOKUP($B208,INDIRECT("'GRD-"&amp;DD$11&amp;"'!B:R"),15,FALSE),"")</f>
        <v/>
      </c>
      <c r="DE208" s="96">
        <f>IFERROR(VLOOKUP($B208,INDIRECT("'GRD-"&amp;DE$11&amp;"'!B:R"),15,FALSE),"")</f>
        <v/>
      </c>
      <c r="DF208" s="96">
        <f>IFERROR(VLOOKUP($B208,INDIRECT("'GRD-"&amp;DF$11&amp;"'!B:R"),15,FALSE),"")</f>
        <v/>
      </c>
      <c r="DG208" s="96">
        <f>IFERROR(VLOOKUP($B208,INDIRECT("'GRD-"&amp;DG$11&amp;"'!B:R"),15,FALSE),"")</f>
        <v/>
      </c>
      <c r="DH208" s="96">
        <f>IFERROR(VLOOKUP($B208,INDIRECT("'GRD-"&amp;DH$11&amp;"'!B:R"),15,FALSE),"")</f>
        <v/>
      </c>
      <c r="DI208" s="96">
        <f>IFERROR(VLOOKUP($B208,INDIRECT("'GRD-"&amp;DI$11&amp;"'!B:R"),15,FALSE),"")</f>
        <v/>
      </c>
      <c r="DJ208" s="96">
        <f>IFERROR(VLOOKUP($B208,INDIRECT("'GRD-"&amp;DJ$11&amp;"'!B:R"),15,FALSE),"")</f>
        <v/>
      </c>
      <c r="DK208" s="96">
        <f>IFERROR(VLOOKUP($B208,INDIRECT("'GRD-"&amp;DK$11&amp;"'!B:R"),15,FALSE),"")</f>
        <v/>
      </c>
      <c r="DL208" s="96">
        <f>IFERROR(VLOOKUP($B208,INDIRECT("'GRD-"&amp;DL$11&amp;"'!B:R"),15,FALSE),"")</f>
        <v/>
      </c>
      <c r="DM208" s="96">
        <f>IFERROR(VLOOKUP($B208,INDIRECT("'GRD-"&amp;DM$11&amp;"'!B:R"),15,FALSE),"")</f>
        <v/>
      </c>
      <c r="DN208" s="96">
        <f>IFERROR(VLOOKUP($B208,INDIRECT("'GRD-"&amp;DN$11&amp;"'!B:R"),15,FALSE),"")</f>
        <v/>
      </c>
      <c r="DO208" s="96">
        <f>IFERROR(VLOOKUP($B208,INDIRECT("'GRD-"&amp;DO$11&amp;"'!B:R"),15,FALSE),"")</f>
        <v/>
      </c>
      <c r="DP208" s="96">
        <f>IFERROR(VLOOKUP($B208,INDIRECT("'GRD-"&amp;DP$11&amp;"'!B:R"),15,FALSE),"")</f>
        <v/>
      </c>
      <c r="DQ208" s="96">
        <f>IFERROR(VLOOKUP($B208,INDIRECT("'GRD-"&amp;DQ$11&amp;"'!B:R"),15,FALSE),"")</f>
        <v/>
      </c>
      <c r="DR208" s="96">
        <f>IFERROR(VLOOKUP($B208,INDIRECT("'GRD-"&amp;DR$11&amp;"'!B:R"),15,FALSE),"")</f>
        <v/>
      </c>
      <c r="DS208" s="96">
        <f>IFERROR(VLOOKUP($B208,INDIRECT("'GRD-"&amp;DS$11&amp;"'!B:R"),15,FALSE),"")</f>
        <v/>
      </c>
      <c r="DT208" s="96">
        <f>IFERROR(VLOOKUP($B208,INDIRECT("'GRD-"&amp;DT$11&amp;"'!B:R"),15,FALSE),"")</f>
        <v/>
      </c>
      <c r="DU208" s="96">
        <f>IFERROR(VLOOKUP($B208,INDIRECT("'GRD-"&amp;DU$11&amp;"'!B:R"),15,FALSE),"")</f>
        <v/>
      </c>
      <c r="DV208" s="96">
        <f>IFERROR(VLOOKUP($B208,INDIRECT("'GRD-"&amp;DV$11&amp;"'!B:R"),15,FALSE),"")</f>
        <v/>
      </c>
      <c r="DW208" s="96">
        <f>IFERROR(VLOOKUP($B208,INDIRECT("'GRD-"&amp;DW$11&amp;"'!B:R"),15,FALSE),"")</f>
        <v/>
      </c>
      <c r="DX208" s="96">
        <f>IFERROR(VLOOKUP($B208,INDIRECT("'GRD-"&amp;DX$11&amp;"'!B:R"),15,FALSE),"")</f>
        <v/>
      </c>
      <c r="DY208" s="96">
        <f>IFERROR(VLOOKUP($B208,INDIRECT("'GRD-"&amp;DY$11&amp;"'!B:R"),15,FALSE),"")</f>
        <v/>
      </c>
      <c r="DZ208" s="96">
        <f>IFERROR(VLOOKUP($B208,INDIRECT("'GRD-"&amp;DZ$11&amp;"'!B:R"),15,FALSE),"")</f>
        <v/>
      </c>
      <c r="EA208" s="96">
        <f>IFERROR(VLOOKUP($B208,INDIRECT("'GRD-"&amp;EA$11&amp;"'!B:R"),15,FALSE),"")</f>
        <v/>
      </c>
      <c r="EB208" s="96">
        <f>IFERROR(VLOOKUP($B208,INDIRECT("'GRD-"&amp;EB$11&amp;"'!B:R"),15,FALSE),"")</f>
        <v/>
      </c>
      <c r="EC208" s="96">
        <f>IFERROR(VLOOKUP($B208,INDIRECT("'GRD-"&amp;EC$11&amp;"'!B:R"),15,FALSE),"")</f>
        <v/>
      </c>
      <c r="ED208" s="96">
        <f>IFERROR(VLOOKUP($B208,INDIRECT("'GRD-"&amp;ED$11&amp;"'!B:R"),15,FALSE),"")</f>
        <v/>
      </c>
      <c r="EE208" s="96">
        <f>IFERROR(VLOOKUP($B208,INDIRECT("'GRD-"&amp;EE$11&amp;"'!B:R"),15,FALSE),"")</f>
        <v/>
      </c>
      <c r="EF208" s="96">
        <f>IFERROR(VLOOKUP($B208,INDIRECT("'GRD-"&amp;EF$11&amp;"'!B:R"),15,FALSE),"")</f>
        <v/>
      </c>
      <c r="EG208" s="96">
        <f>IFERROR(VLOOKUP($B208,INDIRECT("'GRD-"&amp;EG$11&amp;"'!B:R"),15,FALSE),"")</f>
        <v/>
      </c>
      <c r="EH208" s="96">
        <f>IFERROR(VLOOKUP($B208,INDIRECT("'GRD-"&amp;EH$11&amp;"'!B:R"),15,FALSE),"")</f>
        <v/>
      </c>
      <c r="EI208" s="96">
        <f>IFERROR(VLOOKUP($B208,INDIRECT("'GRD-"&amp;EI$11&amp;"'!B:R"),15,FALSE),"")</f>
        <v/>
      </c>
      <c r="EJ208" s="96">
        <f>IFERROR(VLOOKUP($B208,INDIRECT("'GRD-"&amp;EJ$11&amp;"'!B:R"),15,FALSE),"")</f>
        <v/>
      </c>
      <c r="EK208" s="96">
        <f>IFERROR(VLOOKUP($B208,INDIRECT("'GRD-"&amp;EK$11&amp;"'!B:R"),15,FALSE),"")</f>
        <v/>
      </c>
      <c r="EL208" s="96">
        <f>IFERROR(VLOOKUP($B208,INDIRECT("'GRD-"&amp;EL$11&amp;"'!B:R"),15,FALSE),"")</f>
        <v/>
      </c>
      <c r="EM208" s="96">
        <f>IFERROR(VLOOKUP($B208,INDIRECT("'GRD-"&amp;EM$11&amp;"'!B:R"),15,FALSE),"")</f>
        <v/>
      </c>
      <c r="EN208" s="96">
        <f>IFERROR(VLOOKUP($B208,INDIRECT("'GRD-"&amp;EN$11&amp;"'!B:R"),15,FALSE),"")</f>
        <v/>
      </c>
      <c r="EO208" s="96">
        <f>IFERROR(VLOOKUP($B208,INDIRECT("'GRD-"&amp;EO$11&amp;"'!B:R"),15,FALSE),"")</f>
        <v/>
      </c>
      <c r="EP208" s="96">
        <f>IFERROR(VLOOKUP($B208,INDIRECT("'GRD-"&amp;EP$11&amp;"'!B:R"),15,FALSE),"")</f>
        <v/>
      </c>
      <c r="EQ208" s="96">
        <f>IFERROR(VLOOKUP($B208,INDIRECT("'GRD-"&amp;EQ$11&amp;"'!B:R"),15,FALSE),"")</f>
        <v/>
      </c>
      <c r="ER208" s="96">
        <f>IFERROR(VLOOKUP($B208,INDIRECT("'GRD-"&amp;ER$11&amp;"'!B:R"),15,FALSE),"")</f>
        <v/>
      </c>
      <c r="ES208" s="96">
        <f>IFERROR(VLOOKUP($B208,INDIRECT("'GRD-"&amp;ES$11&amp;"'!B:R"),15,FALSE),"")</f>
        <v/>
      </c>
      <c r="ET208" s="96">
        <f>IFERROR(VLOOKUP($B208,INDIRECT("'GRD-"&amp;ET$11&amp;"'!B:R"),15,FALSE),"")</f>
        <v/>
      </c>
      <c r="EU208" s="96">
        <f>IFERROR(VLOOKUP($B208,INDIRECT("'GRD-"&amp;EU$11&amp;"'!B:R"),15,FALSE),"")</f>
        <v/>
      </c>
      <c r="EV208" s="96">
        <f>IFERROR(VLOOKUP($B208,INDIRECT("'GRD-"&amp;EV$11&amp;"'!B:R"),15,FALSE),"")</f>
        <v/>
      </c>
      <c r="EW208" s="96">
        <f>IFERROR(VLOOKUP($B208,INDIRECT("'GRD-"&amp;EW$11&amp;"'!B:R"),15,FALSE),"")</f>
        <v/>
      </c>
      <c r="EX208" s="96">
        <f>IFERROR(VLOOKUP($B208,INDIRECT("'GRD-"&amp;EX$11&amp;"'!B:R"),15,FALSE),"")</f>
        <v/>
      </c>
      <c r="EY208" s="96">
        <f>IFERROR(VLOOKUP($B208,INDIRECT("'GRD-"&amp;EY$11&amp;"'!B:R"),15,FALSE),"")</f>
        <v/>
      </c>
      <c r="EZ208" s="96">
        <f>IFERROR(VLOOKUP($B208,INDIRECT("'GRD-"&amp;EZ$11&amp;"'!B:R"),15,FALSE),"")</f>
        <v/>
      </c>
      <c r="FA208" s="96">
        <f>IFERROR(VLOOKUP($B208,INDIRECT("'GRD-"&amp;FA$11&amp;"'!B:R"),15,FALSE),"")</f>
        <v/>
      </c>
      <c r="FB208" s="96">
        <f>IFERROR(VLOOKUP($B208,INDIRECT("'GRD-"&amp;FB$11&amp;"'!B:R"),15,FALSE),"")</f>
        <v/>
      </c>
      <c r="FC208" s="96">
        <f>IFERROR(VLOOKUP($B208,INDIRECT("'GRD-"&amp;FC$11&amp;"'!B:R"),15,FALSE),"")</f>
        <v/>
      </c>
      <c r="FD208" s="96">
        <f>IFERROR(VLOOKUP($B208,INDIRECT("'GRD-"&amp;FD$11&amp;"'!B:R"),15,FALSE),"")</f>
        <v/>
      </c>
      <c r="FE208" s="96">
        <f>IFERROR(VLOOKUP($B208,INDIRECT("'GRD-"&amp;FE$11&amp;"'!B:R"),15,FALSE),"")</f>
        <v/>
      </c>
      <c r="FF208" s="96">
        <f>IFERROR(VLOOKUP($B208,INDIRECT("'GRD-"&amp;FF$11&amp;"'!B:R"),15,FALSE),"")</f>
        <v/>
      </c>
      <c r="FG208" s="96">
        <f>IFERROR(VLOOKUP($B208,INDIRECT("'GRD-"&amp;FG$11&amp;"'!B:R"),15,FALSE),"")</f>
        <v/>
      </c>
      <c r="FH208" s="96">
        <f>IFERROR(VLOOKUP($B208,INDIRECT("'GRD-"&amp;FH$11&amp;"'!B:R"),15,FALSE),"")</f>
        <v/>
      </c>
      <c r="FI208" s="96">
        <f>IFERROR(VLOOKUP($B208,INDIRECT("'GRD-"&amp;FI$11&amp;"'!B:R"),15,FALSE),"")</f>
        <v/>
      </c>
      <c r="FJ208" s="96">
        <f>IFERROR(VLOOKUP($B208,INDIRECT("'GRD-"&amp;FJ$11&amp;"'!B:R"),15,FALSE),"")</f>
        <v/>
      </c>
      <c r="FK208" s="96">
        <f>IFERROR(VLOOKUP($B208,INDIRECT("'GRD-"&amp;FK$11&amp;"'!B:R"),15,FALSE),"")</f>
        <v/>
      </c>
      <c r="FL208" s="96">
        <f>IFERROR(VLOOKUP($B208,INDIRECT("'GRD-"&amp;FL$11&amp;"'!B:R"),15,FALSE),"")</f>
        <v/>
      </c>
      <c r="FM208" s="96">
        <f>IFERROR(VLOOKUP($B208,INDIRECT("'GRD-"&amp;FM$11&amp;"'!B:R"),15,FALSE),"")</f>
        <v/>
      </c>
      <c r="FN208" s="96">
        <f>IFERROR(VLOOKUP($B208,INDIRECT("'GRD-"&amp;FN$11&amp;"'!B:R"),15,FALSE),"")</f>
        <v/>
      </c>
      <c r="FO208" s="96">
        <f>IFERROR(VLOOKUP($B208,INDIRECT("'GRD-"&amp;FO$11&amp;"'!B:R"),15,FALSE),"")</f>
        <v/>
      </c>
      <c r="FP208" s="96">
        <f>IFERROR(VLOOKUP($B208,INDIRECT("'GRD-"&amp;FP$11&amp;"'!B:R"),15,FALSE),"")</f>
        <v/>
      </c>
      <c r="FQ208" s="96">
        <f>IFERROR(VLOOKUP($B208,INDIRECT("'GRD-"&amp;FQ$11&amp;"'!B:R"),15,FALSE),"")</f>
        <v/>
      </c>
      <c r="FR208" s="96">
        <f>IFERROR(VLOOKUP($B208,INDIRECT("'GRD-"&amp;FR$11&amp;"'!B:R"),15,FALSE),"")</f>
        <v/>
      </c>
      <c r="FS208" s="96">
        <f>IFERROR(VLOOKUP($B208,INDIRECT("'GRD-"&amp;FS$11&amp;"'!B:R"),15,FALSE),"")</f>
        <v/>
      </c>
      <c r="FT208" s="96">
        <f>IFERROR(VLOOKUP($B208,INDIRECT("'GRD-"&amp;FT$11&amp;"'!B:R"),15,FALSE),"")</f>
        <v/>
      </c>
      <c r="FU208" s="96">
        <f>IFERROR(VLOOKUP($B208,INDIRECT("'GRD-"&amp;FU$11&amp;"'!B:R"),15,FALSE),"")</f>
        <v/>
      </c>
      <c r="FV208" s="96">
        <f>IFERROR(VLOOKUP($B208,INDIRECT("'GRD-"&amp;FV$11&amp;"'!B:R"),15,FALSE),"")</f>
        <v/>
      </c>
    </row>
    <row r="209">
      <c r="B209" s="85" t="n"/>
      <c r="C209" s="93" t="n"/>
      <c r="D209" s="73">
        <f>IF(K209="","",MAX($CA209:$FV209))</f>
        <v/>
      </c>
      <c r="E209" s="74">
        <f t="array" ref="E209">IF($K209="","",OFFSET($A$1,ROW($B209)-1,11+$D209*4,))</f>
        <v/>
      </c>
      <c r="F209" s="74">
        <f t="array" ref="F209">IF($K209="","",OFFSET($A$1,ROW($B209)-1,12+$D209*4,))</f>
        <v/>
      </c>
      <c r="G209" s="118">
        <f t="array" ref="G209">IF($K209="","",OFFSET($A$1,ROW($B209)-1,13+$D209*4,))</f>
        <v/>
      </c>
      <c r="H209" s="81" t="n"/>
      <c r="I209" s="82" t="n"/>
      <c r="J209" s="75">
        <f>IF(I209="A4",H209/8,IF(I209="A3",H209/4,IF(I209="A2",H209/2,IF(I209="A1",H209/1,IF(I209="A0",H209*2,"")))))</f>
        <v/>
      </c>
      <c r="K209" s="68">
        <f t="array" ref="K209">IFERROR(OFFSET($BZ$11,ROW($B209)-11,MATCH(K$10,$CA209:$FV209,0),),"")</f>
        <v/>
      </c>
      <c r="L209" s="85">
        <f>IF(K209="","",IF(VLOOKUP($B209,INDIRECT("'GRD-"&amp;M209&amp;"'!$B:$R"),16,FALSE)="","",VLOOKUP($B209,INDIRECT("'GRD-"&amp;M209&amp;"'!$B:$R"),16,FALSE)))</f>
        <v/>
      </c>
      <c r="M209" s="130">
        <f t="array" ref="M209">IF(K209="","",IFERROR(OFFSET($BZ$11,0,MATCH($K209,$CA209:$FV209,0),),""))</f>
        <v/>
      </c>
      <c r="N209" s="119">
        <f t="array" ref="N209">IF(K209="","",INDIRECT("'GRD-"&amp;M209&amp;"'!$L$7"))</f>
        <v/>
      </c>
      <c r="O209" s="76">
        <f t="array" ref="O209">IFERROR(OFFSET($BZ$11,ROW($B209)-11,MATCH(O$10,$CA209:$FV209,0),),"")</f>
        <v/>
      </c>
      <c r="P209" s="76">
        <f>IF(O209="","",IF(VLOOKUP($B209,INDIRECT("'GRD-"&amp;Q209&amp;"'!$B:$R"),16,FALSE)="","",VLOOKUP($B209,INDIRECT("'GRD-"&amp;Q209&amp;"'!$B:$R"),16,FALSE)))</f>
        <v/>
      </c>
      <c r="Q209" s="132">
        <f t="array" ref="Q209">IF(O209="","",IFERROR(OFFSET($BZ$11,0,MATCH($O209,$CA209:$FV209,0),),""))</f>
        <v/>
      </c>
      <c r="R209" s="121">
        <f t="array" ref="R209">IF(O209="","",INDIRECT("'GRD-"&amp;Q209&amp;"'!$L$7"))</f>
        <v/>
      </c>
      <c r="S209" s="83">
        <f t="array" ref="S209">IFERROR(OFFSET($BZ$11,ROW($B209)-11,MATCH(S$10,$CA209:$FV209,0),),"")</f>
        <v/>
      </c>
      <c r="T209" s="83">
        <f>IF(S209="","",IF(VLOOKUP($B209,INDIRECT("'GRD-"&amp;U209&amp;"'!$B:$R"),16,FALSE)="","",VLOOKUP($B209,INDIRECT("'GRD-"&amp;U209&amp;"'!$B:$R"),16,FALSE)))</f>
        <v/>
      </c>
      <c r="U209" s="128">
        <f t="array" ref="U209">IF(S209="","",IFERROR(OFFSET($BZ$11,0,MATCH($S209,$CA209:$FV209,0),),""))</f>
        <v/>
      </c>
      <c r="V209" s="133">
        <f t="array" ref="V209">IF(S209="","",INDIRECT("'GRD-"&amp;U209&amp;"'!$L$7"))</f>
        <v/>
      </c>
      <c r="W209" s="84">
        <f t="array" ref="W209">IFERROR(OFFSET($BZ$11,ROW($B209)-11,MATCH(W$10,$CA209:$FV209,0),),"")</f>
        <v/>
      </c>
      <c r="X209" s="84">
        <f>IF(W209="","",IF(VLOOKUP($B209,INDIRECT("'GRD-"&amp;Y209&amp;"'!$B:$R"),16,FALSE)="","",VLOOKUP($B209,INDIRECT("'GRD-"&amp;Y209&amp;"'!$B:$R"),16,FALSE)))</f>
        <v/>
      </c>
      <c r="Y209" s="129">
        <f t="array" ref="Y209">IF(W209="","",IFERROR(OFFSET($BZ$11,0,MATCH($W209,$CA209:$FV209,0),),""))</f>
        <v/>
      </c>
      <c r="Z209" s="134">
        <f t="array" ref="Z209">IF(W209="","",INDIRECT("'GRD-"&amp;Y209&amp;"'!$L$7"))</f>
        <v/>
      </c>
      <c r="AA209" s="85">
        <f t="array" ref="AA209">IFERROR(OFFSET($BZ$11,ROW($B209)-11,MATCH(AA$10,$CA209:$FV209,0),),"")</f>
        <v/>
      </c>
      <c r="AB209" s="85">
        <f>IF(AA209="","",IF(VLOOKUP($B209,INDIRECT("'GRD-"&amp;AC209&amp;"'!$B:$R"),16,FALSE)="","",VLOOKUP($B209,INDIRECT("'GRD-"&amp;AC209&amp;"'!$B:$R"),16,FALSE)))</f>
        <v/>
      </c>
      <c r="AC209" s="130">
        <f t="array" ref="AC209">IF(AA209="","",IFERROR(OFFSET($BZ$11,0,MATCH($AA209,$CA209:$FV209,0),),""))</f>
        <v/>
      </c>
      <c r="AD209" s="131">
        <f t="array" ref="AD209">IF(AA209="","",INDIRECT("'GRD-"&amp;AC209&amp;"'!$L$7"))</f>
        <v/>
      </c>
      <c r="AE209" s="76">
        <f t="array" ref="AE209">IFERROR(OFFSET($BZ$11,ROW($B209)-11,MATCH(AE$10,$CA209:$FV209,0),),"")</f>
        <v/>
      </c>
      <c r="AF209" s="76">
        <f>IF(AE209="","",IF(VLOOKUP($B209,INDIRECT("'GRD-"&amp;AG209&amp;"'!$B:$R"),16,FALSE)="","",VLOOKUP($B209,INDIRECT("'GRD-"&amp;AG209&amp;"'!$B:$R"),16,FALSE)))</f>
        <v/>
      </c>
      <c r="AG209" s="132">
        <f t="array" ref="AG209">IF(AE209="","",IFERROR(OFFSET($BZ$11,0,MATCH($AE209,$CA209:$FV209,0),),""))</f>
        <v/>
      </c>
      <c r="AH209" s="121">
        <f t="array" ref="AH209">IF(AE209="","",INDIRECT("'GRD-"&amp;AG209&amp;"'!$L$7"))</f>
        <v/>
      </c>
      <c r="AI209" s="83">
        <f t="array" ref="AI209">IFERROR(OFFSET($BZ$11,ROW($B209)-11,MATCH(AI$10,$CA209:$FV209,0),),"")</f>
        <v/>
      </c>
      <c r="AJ209" s="83">
        <f>IF(AI209="","",IF(VLOOKUP($B209,INDIRECT("'GRD-"&amp;AK209&amp;"'!$B:$R"),16,FALSE)="","",VLOOKUP($B209,INDIRECT("'GRD-"&amp;AK209&amp;"'!$B:$R"),16,FALSE)))</f>
        <v/>
      </c>
      <c r="AK209" s="128">
        <f t="array" ref="AK209">IF(AI209="","",IFERROR(OFFSET($BZ$11,0,MATCH($AI209,$CA209:$FV209,0),),""))</f>
        <v/>
      </c>
      <c r="AL209" s="133">
        <f t="array" ref="AL209">IF(AI209="","",INDIRECT("'GRD-"&amp;AK209&amp;"'!$L$7"))</f>
        <v/>
      </c>
      <c r="AM209" s="84">
        <f t="array" ref="AM209">IFERROR(OFFSET($BZ$11,ROW($B209)-11,MATCH(AM$10,$CA209:$FV209,0),),"")</f>
        <v/>
      </c>
      <c r="AN209" s="84">
        <f>IF(AM209="","",IF(VLOOKUP($B209,INDIRECT("'GRD-"&amp;AO209&amp;"'!$B:$R"),16,FALSE)="","",VLOOKUP($B209,INDIRECT("'GRD-"&amp;AO209&amp;"'!$B:$R"),16,FALSE)))</f>
        <v/>
      </c>
      <c r="AO209" s="129">
        <f t="array" ref="AO209">IF(AM209="","",IFERROR(OFFSET($BZ$11,0,MATCH($AM209,$CA209:$FV209,0),),""))</f>
        <v/>
      </c>
      <c r="AP209" s="134">
        <f t="array" ref="AP209">IF(AM209="","",INDIRECT("'GRD-"&amp;AO209&amp;"'!$L$7"))</f>
        <v/>
      </c>
      <c r="AQ209" s="85">
        <f t="array" ref="AQ209">IFERROR(OFFSET($BZ$11,ROW($B209)-11,MATCH(AQ$10,$CA209:$FV209,0),),"")</f>
        <v/>
      </c>
      <c r="AR209" s="85">
        <f>IF(AQ209="","",IF(VLOOKUP($B209,INDIRECT("'GRD-"&amp;AS209&amp;"'!$B:$R"),16,FALSE)="","",VLOOKUP($B209,INDIRECT("'GRD-"&amp;AS209&amp;"'!$B:$R"),16,FALSE)))</f>
        <v/>
      </c>
      <c r="AS209" s="130">
        <f t="array" ref="AS209">IF(AQ209="","",IFERROR(OFFSET($BZ$11,0,MATCH($AQ209,$CA209:$FV209,0),),""))</f>
        <v/>
      </c>
      <c r="AT209" s="131">
        <f t="array" ref="AT209">IF(AQ209="","",INDIRECT("'GRD-"&amp;AS209&amp;"'!$L$7"))</f>
        <v/>
      </c>
      <c r="AU209" s="76">
        <f t="array" ref="AU209">IFERROR(OFFSET($BZ$11,ROW($B209)-11,MATCH(AU$10,$CA209:$FV209,0),),"")</f>
        <v/>
      </c>
      <c r="AV209" s="76">
        <f>IF(AU209="","",IF(VLOOKUP($B209,INDIRECT("'GRD-"&amp;AW209&amp;"'!$B:$R"),16,FALSE)="","",VLOOKUP($B209,INDIRECT("'GRD-"&amp;AW209&amp;"'!$B:$R"),16,FALSE)))</f>
        <v/>
      </c>
      <c r="AW209" s="132">
        <f t="array" ref="AW209">IF(AU209="","",IFERROR(OFFSET($BZ$11,0,MATCH($AU209,$CA209:$FV209,0),),""))</f>
        <v/>
      </c>
      <c r="AX209" s="121">
        <f t="array" ref="AX209">IF(AU209="","",INDIRECT("'GRD-"&amp;AW209&amp;"'!$L$7"))</f>
        <v/>
      </c>
      <c r="AY209" s="83">
        <f t="array" ref="AY209">IFERROR(OFFSET($BZ$11,ROW($B209)-11,MATCH(AY$10,$CA209:$FV209,0),),"")</f>
        <v/>
      </c>
      <c r="AZ209" s="83">
        <f>IF(AY209="","",IF(VLOOKUP($B209,INDIRECT("'GRD-"&amp;BA209&amp;"'!$B:$R"),16,FALSE)="","",VLOOKUP($B209,INDIRECT("'GRD-"&amp;BA209&amp;"'!$B:$R"),16,FALSE)))</f>
        <v/>
      </c>
      <c r="BA209" s="128">
        <f t="array" ref="BA209">IF(AY209="","",IFERROR(OFFSET($BZ$11,0,MATCH($AY209,$CA209:$FV209,0),),""))</f>
        <v/>
      </c>
      <c r="BB209" s="133">
        <f t="array" ref="BB209">IF(AY209="","",INDIRECT("'GRD-"&amp;BA209&amp;"'!$L$7"))</f>
        <v/>
      </c>
      <c r="BC209" s="84">
        <f t="array" ref="BC209">IFERROR(OFFSET($BZ$11,ROW($B209)-11,MATCH(BC$10,$CA209:$FV209,0),),"")</f>
        <v/>
      </c>
      <c r="BD209" s="84">
        <f>IF(BC209="","",IF(VLOOKUP($B209,INDIRECT("'GRD-"&amp;BE209&amp;"'!$B:$R"),16,FALSE)="","",VLOOKUP($B209,INDIRECT("'GRD-"&amp;BE209&amp;"'!$B:$R"),16,FALSE)))</f>
        <v/>
      </c>
      <c r="BE209" s="129">
        <f t="array" ref="BE209">IF(BC209="","",IFERROR(OFFSET($BZ$11,0,MATCH($BC209,$CA209:$FV209,0),),""))</f>
        <v/>
      </c>
      <c r="BF209" s="134">
        <f t="array" ref="BF209">IF(BC209="","",INDIRECT("'GRD-"&amp;BE209&amp;"'!$L$7"))</f>
        <v/>
      </c>
      <c r="CA209" s="96">
        <f>IFERROR(VLOOKUP($B209,INDIRECT("'GRD-"&amp;CA$11&amp;"'!B:R"),15,FALSE),"")</f>
        <v/>
      </c>
      <c r="CB209" s="96">
        <f>IFERROR(VLOOKUP($B209,INDIRECT("'GRD-"&amp;CB$11&amp;"'!B:R"),15,FALSE),"")</f>
        <v/>
      </c>
      <c r="CC209" s="96">
        <f>IFERROR(VLOOKUP($B209,INDIRECT("'GRD-"&amp;CC$11&amp;"'!B:R"),15,FALSE),"")</f>
        <v/>
      </c>
      <c r="CD209" s="96">
        <f>IFERROR(VLOOKUP($B209,INDIRECT("'GRD-"&amp;CD$11&amp;"'!B:R"),15,FALSE),"")</f>
        <v/>
      </c>
      <c r="CE209" s="96">
        <f>IFERROR(VLOOKUP($B209,INDIRECT("'GRD-"&amp;CE$11&amp;"'!B:R"),15,FALSE),"")</f>
        <v/>
      </c>
      <c r="CF209" s="96">
        <f>IFERROR(VLOOKUP($B209,INDIRECT("'GRD-"&amp;CF$11&amp;"'!B:R"),15,FALSE),"")</f>
        <v/>
      </c>
      <c r="CG209" s="96">
        <f>IFERROR(VLOOKUP($B209,INDIRECT("'GRD-"&amp;CG$11&amp;"'!B:R"),15,FALSE),"")</f>
        <v/>
      </c>
      <c r="CH209" s="96">
        <f>IFERROR(VLOOKUP($B209,INDIRECT("'GRD-"&amp;CH$11&amp;"'!B:R"),15,FALSE),"")</f>
        <v/>
      </c>
      <c r="CI209" s="96">
        <f>IFERROR(VLOOKUP($B209,INDIRECT("'GRD-"&amp;CI$11&amp;"'!B:R"),15,FALSE),"")</f>
        <v/>
      </c>
      <c r="CJ209" s="96">
        <f>IFERROR(VLOOKUP($B209,INDIRECT("'GRD-"&amp;CJ$11&amp;"'!B:R"),15,FALSE),"")</f>
        <v/>
      </c>
      <c r="CK209" s="96">
        <f>IFERROR(VLOOKUP($B209,INDIRECT("'GRD-"&amp;CK$11&amp;"'!B:R"),15,FALSE),"")</f>
        <v/>
      </c>
      <c r="CL209" s="96">
        <f>IFERROR(VLOOKUP($B209,INDIRECT("'GRD-"&amp;CL$11&amp;"'!B:R"),15,FALSE),"")</f>
        <v/>
      </c>
      <c r="CM209" s="96">
        <f>IFERROR(VLOOKUP($B209,INDIRECT("'GRD-"&amp;CM$11&amp;"'!B:R"),15,FALSE),"")</f>
        <v/>
      </c>
      <c r="CN209" s="96">
        <f>IFERROR(VLOOKUP($B209,INDIRECT("'GRD-"&amp;CN$11&amp;"'!B:R"),15,FALSE),"")</f>
        <v/>
      </c>
      <c r="CO209" s="96">
        <f>IFERROR(VLOOKUP($B209,INDIRECT("'GRD-"&amp;CO$11&amp;"'!B:R"),15,FALSE),"")</f>
        <v/>
      </c>
      <c r="CP209" s="96">
        <f>IFERROR(VLOOKUP($B209,INDIRECT("'GRD-"&amp;CP$11&amp;"'!B:R"),15,FALSE),"")</f>
        <v/>
      </c>
      <c r="CQ209" s="96">
        <f>IFERROR(VLOOKUP($B209,INDIRECT("'GRD-"&amp;CQ$11&amp;"'!B:R"),15,FALSE),"")</f>
        <v/>
      </c>
      <c r="CR209" s="96">
        <f>IFERROR(VLOOKUP($B209,INDIRECT("'GRD-"&amp;CR$11&amp;"'!B:R"),15,FALSE),"")</f>
        <v/>
      </c>
      <c r="CS209" s="96">
        <f>IFERROR(VLOOKUP($B209,INDIRECT("'GRD-"&amp;CS$11&amp;"'!B:R"),15,FALSE),"")</f>
        <v/>
      </c>
      <c r="CT209" s="96">
        <f>IFERROR(VLOOKUP($B209,INDIRECT("'GRD-"&amp;CT$11&amp;"'!B:R"),15,FALSE),"")</f>
        <v/>
      </c>
      <c r="CU209" s="96">
        <f>IFERROR(VLOOKUP($B209,INDIRECT("'GRD-"&amp;CU$11&amp;"'!B:R"),15,FALSE),"")</f>
        <v/>
      </c>
      <c r="CV209" s="96">
        <f>IFERROR(VLOOKUP($B209,INDIRECT("'GRD-"&amp;CV$11&amp;"'!B:R"),15,FALSE),"")</f>
        <v/>
      </c>
      <c r="CW209" s="96">
        <f>IFERROR(VLOOKUP($B209,INDIRECT("'GRD-"&amp;CW$11&amp;"'!B:R"),15,FALSE),"")</f>
        <v/>
      </c>
      <c r="CX209" s="96">
        <f>IFERROR(VLOOKUP($B209,INDIRECT("'GRD-"&amp;CX$11&amp;"'!B:R"),15,FALSE),"")</f>
        <v/>
      </c>
      <c r="CY209" s="96">
        <f>IFERROR(VLOOKUP($B209,INDIRECT("'GRD-"&amp;CY$11&amp;"'!B:R"),15,FALSE),"")</f>
        <v/>
      </c>
      <c r="CZ209" s="96">
        <f>IFERROR(VLOOKUP($B209,INDIRECT("'GRD-"&amp;CZ$11&amp;"'!B:R"),15,FALSE),"")</f>
        <v/>
      </c>
      <c r="DA209" s="96">
        <f>IFERROR(VLOOKUP($B209,INDIRECT("'GRD-"&amp;DA$11&amp;"'!B:R"),15,FALSE),"")</f>
        <v/>
      </c>
      <c r="DB209" s="96">
        <f>IFERROR(VLOOKUP($B209,INDIRECT("'GRD-"&amp;DB$11&amp;"'!B:R"),15,FALSE),"")</f>
        <v/>
      </c>
      <c r="DC209" s="96">
        <f>IFERROR(VLOOKUP($B209,INDIRECT("'GRD-"&amp;DC$11&amp;"'!B:R"),15,FALSE),"")</f>
        <v/>
      </c>
      <c r="DD209" s="96">
        <f>IFERROR(VLOOKUP($B209,INDIRECT("'GRD-"&amp;DD$11&amp;"'!B:R"),15,FALSE),"")</f>
        <v/>
      </c>
      <c r="DE209" s="96">
        <f>IFERROR(VLOOKUP($B209,INDIRECT("'GRD-"&amp;DE$11&amp;"'!B:R"),15,FALSE),"")</f>
        <v/>
      </c>
      <c r="DF209" s="96">
        <f>IFERROR(VLOOKUP($B209,INDIRECT("'GRD-"&amp;DF$11&amp;"'!B:R"),15,FALSE),"")</f>
        <v/>
      </c>
      <c r="DG209" s="96">
        <f>IFERROR(VLOOKUP($B209,INDIRECT("'GRD-"&amp;DG$11&amp;"'!B:R"),15,FALSE),"")</f>
        <v/>
      </c>
      <c r="DH209" s="96">
        <f>IFERROR(VLOOKUP($B209,INDIRECT("'GRD-"&amp;DH$11&amp;"'!B:R"),15,FALSE),"")</f>
        <v/>
      </c>
      <c r="DI209" s="96">
        <f>IFERROR(VLOOKUP($B209,INDIRECT("'GRD-"&amp;DI$11&amp;"'!B:R"),15,FALSE),"")</f>
        <v/>
      </c>
      <c r="DJ209" s="96">
        <f>IFERROR(VLOOKUP($B209,INDIRECT("'GRD-"&amp;DJ$11&amp;"'!B:R"),15,FALSE),"")</f>
        <v/>
      </c>
      <c r="DK209" s="96">
        <f>IFERROR(VLOOKUP($B209,INDIRECT("'GRD-"&amp;DK$11&amp;"'!B:R"),15,FALSE),"")</f>
        <v/>
      </c>
      <c r="DL209" s="96">
        <f>IFERROR(VLOOKUP($B209,INDIRECT("'GRD-"&amp;DL$11&amp;"'!B:R"),15,FALSE),"")</f>
        <v/>
      </c>
      <c r="DM209" s="96">
        <f>IFERROR(VLOOKUP($B209,INDIRECT("'GRD-"&amp;DM$11&amp;"'!B:R"),15,FALSE),"")</f>
        <v/>
      </c>
      <c r="DN209" s="96">
        <f>IFERROR(VLOOKUP($B209,INDIRECT("'GRD-"&amp;DN$11&amp;"'!B:R"),15,FALSE),"")</f>
        <v/>
      </c>
      <c r="DO209" s="96">
        <f>IFERROR(VLOOKUP($B209,INDIRECT("'GRD-"&amp;DO$11&amp;"'!B:R"),15,FALSE),"")</f>
        <v/>
      </c>
      <c r="DP209" s="96">
        <f>IFERROR(VLOOKUP($B209,INDIRECT("'GRD-"&amp;DP$11&amp;"'!B:R"),15,FALSE),"")</f>
        <v/>
      </c>
      <c r="DQ209" s="96">
        <f>IFERROR(VLOOKUP($B209,INDIRECT("'GRD-"&amp;DQ$11&amp;"'!B:R"),15,FALSE),"")</f>
        <v/>
      </c>
      <c r="DR209" s="96">
        <f>IFERROR(VLOOKUP($B209,INDIRECT("'GRD-"&amp;DR$11&amp;"'!B:R"),15,FALSE),"")</f>
        <v/>
      </c>
      <c r="DS209" s="96">
        <f>IFERROR(VLOOKUP($B209,INDIRECT("'GRD-"&amp;DS$11&amp;"'!B:R"),15,FALSE),"")</f>
        <v/>
      </c>
      <c r="DT209" s="96">
        <f>IFERROR(VLOOKUP($B209,INDIRECT("'GRD-"&amp;DT$11&amp;"'!B:R"),15,FALSE),"")</f>
        <v/>
      </c>
      <c r="DU209" s="96">
        <f>IFERROR(VLOOKUP($B209,INDIRECT("'GRD-"&amp;DU$11&amp;"'!B:R"),15,FALSE),"")</f>
        <v/>
      </c>
      <c r="DV209" s="96">
        <f>IFERROR(VLOOKUP($B209,INDIRECT("'GRD-"&amp;DV$11&amp;"'!B:R"),15,FALSE),"")</f>
        <v/>
      </c>
      <c r="DW209" s="96">
        <f>IFERROR(VLOOKUP($B209,INDIRECT("'GRD-"&amp;DW$11&amp;"'!B:R"),15,FALSE),"")</f>
        <v/>
      </c>
      <c r="DX209" s="96">
        <f>IFERROR(VLOOKUP($B209,INDIRECT("'GRD-"&amp;DX$11&amp;"'!B:R"),15,FALSE),"")</f>
        <v/>
      </c>
      <c r="DY209" s="96">
        <f>IFERROR(VLOOKUP($B209,INDIRECT("'GRD-"&amp;DY$11&amp;"'!B:R"),15,FALSE),"")</f>
        <v/>
      </c>
      <c r="DZ209" s="96">
        <f>IFERROR(VLOOKUP($B209,INDIRECT("'GRD-"&amp;DZ$11&amp;"'!B:R"),15,FALSE),"")</f>
        <v/>
      </c>
      <c r="EA209" s="96">
        <f>IFERROR(VLOOKUP($B209,INDIRECT("'GRD-"&amp;EA$11&amp;"'!B:R"),15,FALSE),"")</f>
        <v/>
      </c>
      <c r="EB209" s="96">
        <f>IFERROR(VLOOKUP($B209,INDIRECT("'GRD-"&amp;EB$11&amp;"'!B:R"),15,FALSE),"")</f>
        <v/>
      </c>
      <c r="EC209" s="96">
        <f>IFERROR(VLOOKUP($B209,INDIRECT("'GRD-"&amp;EC$11&amp;"'!B:R"),15,FALSE),"")</f>
        <v/>
      </c>
      <c r="ED209" s="96">
        <f>IFERROR(VLOOKUP($B209,INDIRECT("'GRD-"&amp;ED$11&amp;"'!B:R"),15,FALSE),"")</f>
        <v/>
      </c>
      <c r="EE209" s="96">
        <f>IFERROR(VLOOKUP($B209,INDIRECT("'GRD-"&amp;EE$11&amp;"'!B:R"),15,FALSE),"")</f>
        <v/>
      </c>
      <c r="EF209" s="96">
        <f>IFERROR(VLOOKUP($B209,INDIRECT("'GRD-"&amp;EF$11&amp;"'!B:R"),15,FALSE),"")</f>
        <v/>
      </c>
      <c r="EG209" s="96">
        <f>IFERROR(VLOOKUP($B209,INDIRECT("'GRD-"&amp;EG$11&amp;"'!B:R"),15,FALSE),"")</f>
        <v/>
      </c>
      <c r="EH209" s="96">
        <f>IFERROR(VLOOKUP($B209,INDIRECT("'GRD-"&amp;EH$11&amp;"'!B:R"),15,FALSE),"")</f>
        <v/>
      </c>
      <c r="EI209" s="96">
        <f>IFERROR(VLOOKUP($B209,INDIRECT("'GRD-"&amp;EI$11&amp;"'!B:R"),15,FALSE),"")</f>
        <v/>
      </c>
      <c r="EJ209" s="96">
        <f>IFERROR(VLOOKUP($B209,INDIRECT("'GRD-"&amp;EJ$11&amp;"'!B:R"),15,FALSE),"")</f>
        <v/>
      </c>
      <c r="EK209" s="96">
        <f>IFERROR(VLOOKUP($B209,INDIRECT("'GRD-"&amp;EK$11&amp;"'!B:R"),15,FALSE),"")</f>
        <v/>
      </c>
      <c r="EL209" s="96">
        <f>IFERROR(VLOOKUP($B209,INDIRECT("'GRD-"&amp;EL$11&amp;"'!B:R"),15,FALSE),"")</f>
        <v/>
      </c>
      <c r="EM209" s="96">
        <f>IFERROR(VLOOKUP($B209,INDIRECT("'GRD-"&amp;EM$11&amp;"'!B:R"),15,FALSE),"")</f>
        <v/>
      </c>
      <c r="EN209" s="96">
        <f>IFERROR(VLOOKUP($B209,INDIRECT("'GRD-"&amp;EN$11&amp;"'!B:R"),15,FALSE),"")</f>
        <v/>
      </c>
      <c r="EO209" s="96">
        <f>IFERROR(VLOOKUP($B209,INDIRECT("'GRD-"&amp;EO$11&amp;"'!B:R"),15,FALSE),"")</f>
        <v/>
      </c>
      <c r="EP209" s="96">
        <f>IFERROR(VLOOKUP($B209,INDIRECT("'GRD-"&amp;EP$11&amp;"'!B:R"),15,FALSE),"")</f>
        <v/>
      </c>
      <c r="EQ209" s="96">
        <f>IFERROR(VLOOKUP($B209,INDIRECT("'GRD-"&amp;EQ$11&amp;"'!B:R"),15,FALSE),"")</f>
        <v/>
      </c>
      <c r="ER209" s="96">
        <f>IFERROR(VLOOKUP($B209,INDIRECT("'GRD-"&amp;ER$11&amp;"'!B:R"),15,FALSE),"")</f>
        <v/>
      </c>
      <c r="ES209" s="96">
        <f>IFERROR(VLOOKUP($B209,INDIRECT("'GRD-"&amp;ES$11&amp;"'!B:R"),15,FALSE),"")</f>
        <v/>
      </c>
      <c r="ET209" s="96">
        <f>IFERROR(VLOOKUP($B209,INDIRECT("'GRD-"&amp;ET$11&amp;"'!B:R"),15,FALSE),"")</f>
        <v/>
      </c>
      <c r="EU209" s="96">
        <f>IFERROR(VLOOKUP($B209,INDIRECT("'GRD-"&amp;EU$11&amp;"'!B:R"),15,FALSE),"")</f>
        <v/>
      </c>
      <c r="EV209" s="96">
        <f>IFERROR(VLOOKUP($B209,INDIRECT("'GRD-"&amp;EV$11&amp;"'!B:R"),15,FALSE),"")</f>
        <v/>
      </c>
      <c r="EW209" s="96">
        <f>IFERROR(VLOOKUP($B209,INDIRECT("'GRD-"&amp;EW$11&amp;"'!B:R"),15,FALSE),"")</f>
        <v/>
      </c>
      <c r="EX209" s="96">
        <f>IFERROR(VLOOKUP($B209,INDIRECT("'GRD-"&amp;EX$11&amp;"'!B:R"),15,FALSE),"")</f>
        <v/>
      </c>
      <c r="EY209" s="96">
        <f>IFERROR(VLOOKUP($B209,INDIRECT("'GRD-"&amp;EY$11&amp;"'!B:R"),15,FALSE),"")</f>
        <v/>
      </c>
      <c r="EZ209" s="96">
        <f>IFERROR(VLOOKUP($B209,INDIRECT("'GRD-"&amp;EZ$11&amp;"'!B:R"),15,FALSE),"")</f>
        <v/>
      </c>
      <c r="FA209" s="96">
        <f>IFERROR(VLOOKUP($B209,INDIRECT("'GRD-"&amp;FA$11&amp;"'!B:R"),15,FALSE),"")</f>
        <v/>
      </c>
      <c r="FB209" s="96">
        <f>IFERROR(VLOOKUP($B209,INDIRECT("'GRD-"&amp;FB$11&amp;"'!B:R"),15,FALSE),"")</f>
        <v/>
      </c>
      <c r="FC209" s="96">
        <f>IFERROR(VLOOKUP($B209,INDIRECT("'GRD-"&amp;FC$11&amp;"'!B:R"),15,FALSE),"")</f>
        <v/>
      </c>
      <c r="FD209" s="96">
        <f>IFERROR(VLOOKUP($B209,INDIRECT("'GRD-"&amp;FD$11&amp;"'!B:R"),15,FALSE),"")</f>
        <v/>
      </c>
      <c r="FE209" s="96">
        <f>IFERROR(VLOOKUP($B209,INDIRECT("'GRD-"&amp;FE$11&amp;"'!B:R"),15,FALSE),"")</f>
        <v/>
      </c>
      <c r="FF209" s="96">
        <f>IFERROR(VLOOKUP($B209,INDIRECT("'GRD-"&amp;FF$11&amp;"'!B:R"),15,FALSE),"")</f>
        <v/>
      </c>
      <c r="FG209" s="96">
        <f>IFERROR(VLOOKUP($B209,INDIRECT("'GRD-"&amp;FG$11&amp;"'!B:R"),15,FALSE),"")</f>
        <v/>
      </c>
      <c r="FH209" s="96">
        <f>IFERROR(VLOOKUP($B209,INDIRECT("'GRD-"&amp;FH$11&amp;"'!B:R"),15,FALSE),"")</f>
        <v/>
      </c>
      <c r="FI209" s="96">
        <f>IFERROR(VLOOKUP($B209,INDIRECT("'GRD-"&amp;FI$11&amp;"'!B:R"),15,FALSE),"")</f>
        <v/>
      </c>
      <c r="FJ209" s="96">
        <f>IFERROR(VLOOKUP($B209,INDIRECT("'GRD-"&amp;FJ$11&amp;"'!B:R"),15,FALSE),"")</f>
        <v/>
      </c>
      <c r="FK209" s="96">
        <f>IFERROR(VLOOKUP($B209,INDIRECT("'GRD-"&amp;FK$11&amp;"'!B:R"),15,FALSE),"")</f>
        <v/>
      </c>
      <c r="FL209" s="96">
        <f>IFERROR(VLOOKUP($B209,INDIRECT("'GRD-"&amp;FL$11&amp;"'!B:R"),15,FALSE),"")</f>
        <v/>
      </c>
      <c r="FM209" s="96">
        <f>IFERROR(VLOOKUP($B209,INDIRECT("'GRD-"&amp;FM$11&amp;"'!B:R"),15,FALSE),"")</f>
        <v/>
      </c>
      <c r="FN209" s="96">
        <f>IFERROR(VLOOKUP($B209,INDIRECT("'GRD-"&amp;FN$11&amp;"'!B:R"),15,FALSE),"")</f>
        <v/>
      </c>
      <c r="FO209" s="96">
        <f>IFERROR(VLOOKUP($B209,INDIRECT("'GRD-"&amp;FO$11&amp;"'!B:R"),15,FALSE),"")</f>
        <v/>
      </c>
      <c r="FP209" s="96">
        <f>IFERROR(VLOOKUP($B209,INDIRECT("'GRD-"&amp;FP$11&amp;"'!B:R"),15,FALSE),"")</f>
        <v/>
      </c>
      <c r="FQ209" s="96">
        <f>IFERROR(VLOOKUP($B209,INDIRECT("'GRD-"&amp;FQ$11&amp;"'!B:R"),15,FALSE),"")</f>
        <v/>
      </c>
      <c r="FR209" s="96">
        <f>IFERROR(VLOOKUP($B209,INDIRECT("'GRD-"&amp;FR$11&amp;"'!B:R"),15,FALSE),"")</f>
        <v/>
      </c>
      <c r="FS209" s="96">
        <f>IFERROR(VLOOKUP($B209,INDIRECT("'GRD-"&amp;FS$11&amp;"'!B:R"),15,FALSE),"")</f>
        <v/>
      </c>
      <c r="FT209" s="96">
        <f>IFERROR(VLOOKUP($B209,INDIRECT("'GRD-"&amp;FT$11&amp;"'!B:R"),15,FALSE),"")</f>
        <v/>
      </c>
      <c r="FU209" s="96">
        <f>IFERROR(VLOOKUP($B209,INDIRECT("'GRD-"&amp;FU$11&amp;"'!B:R"),15,FALSE),"")</f>
        <v/>
      </c>
      <c r="FV209" s="96">
        <f>IFERROR(VLOOKUP($B209,INDIRECT("'GRD-"&amp;FV$11&amp;"'!B:R"),15,FALSE),"")</f>
        <v/>
      </c>
    </row>
    <row r="210">
      <c r="B210" s="85" t="n"/>
      <c r="C210" s="93" t="n"/>
      <c r="D210" s="73">
        <f>IF(K210="","",MAX($CA210:$FV210))</f>
        <v/>
      </c>
      <c r="E210" s="74">
        <f t="array" ref="E210">IF($K210="","",OFFSET($A$1,ROW($B210)-1,11+$D210*4,))</f>
        <v/>
      </c>
      <c r="F210" s="74">
        <f t="array" ref="F210">IF($K210="","",OFFSET($A$1,ROW($B210)-1,12+$D210*4,))</f>
        <v/>
      </c>
      <c r="G210" s="118">
        <f t="array" ref="G210">IF($K210="","",OFFSET($A$1,ROW($B210)-1,13+$D210*4,))</f>
        <v/>
      </c>
      <c r="H210" s="81" t="n"/>
      <c r="I210" s="82" t="n"/>
      <c r="J210" s="75">
        <f>IF(I210="A4",H210/8,IF(I210="A3",H210/4,IF(I210="A2",H210/2,IF(I210="A1",H210/1,IF(I210="A0",H210*2,"")))))</f>
        <v/>
      </c>
      <c r="K210" s="68">
        <f t="array" ref="K210">IFERROR(OFFSET($BZ$11,ROW($B210)-11,MATCH(K$10,$CA210:$FV210,0),),"")</f>
        <v/>
      </c>
      <c r="L210" s="85">
        <f>IF(K210="","",IF(VLOOKUP($B210,INDIRECT("'GRD-"&amp;M210&amp;"'!$B:$R"),16,FALSE)="","",VLOOKUP($B210,INDIRECT("'GRD-"&amp;M210&amp;"'!$B:$R"),16,FALSE)))</f>
        <v/>
      </c>
      <c r="M210" s="130">
        <f t="array" ref="M210">IF(K210="","",IFERROR(OFFSET($BZ$11,0,MATCH($K210,$CA210:$FV210,0),),""))</f>
        <v/>
      </c>
      <c r="N210" s="119">
        <f t="array" ref="N210">IF(K210="","",INDIRECT("'GRD-"&amp;M210&amp;"'!$L$7"))</f>
        <v/>
      </c>
      <c r="O210" s="76">
        <f t="array" ref="O210">IFERROR(OFFSET($BZ$11,ROW($B210)-11,MATCH(O$10,$CA210:$FV210,0),),"")</f>
        <v/>
      </c>
      <c r="P210" s="76">
        <f>IF(O210="","",IF(VLOOKUP($B210,INDIRECT("'GRD-"&amp;Q210&amp;"'!$B:$R"),16,FALSE)="","",VLOOKUP($B210,INDIRECT("'GRD-"&amp;Q210&amp;"'!$B:$R"),16,FALSE)))</f>
        <v/>
      </c>
      <c r="Q210" s="132">
        <f t="array" ref="Q210">IF(O210="","",IFERROR(OFFSET($BZ$11,0,MATCH($O210,$CA210:$FV210,0),),""))</f>
        <v/>
      </c>
      <c r="R210" s="121">
        <f t="array" ref="R210">IF(O210="","",INDIRECT("'GRD-"&amp;Q210&amp;"'!$L$7"))</f>
        <v/>
      </c>
      <c r="S210" s="83">
        <f t="array" ref="S210">IFERROR(OFFSET($BZ$11,ROW($B210)-11,MATCH(S$10,$CA210:$FV210,0),),"")</f>
        <v/>
      </c>
      <c r="T210" s="83">
        <f>IF(S210="","",IF(VLOOKUP($B210,INDIRECT("'GRD-"&amp;U210&amp;"'!$B:$R"),16,FALSE)="","",VLOOKUP($B210,INDIRECT("'GRD-"&amp;U210&amp;"'!$B:$R"),16,FALSE)))</f>
        <v/>
      </c>
      <c r="U210" s="128">
        <f t="array" ref="U210">IF(S210="","",IFERROR(OFFSET($BZ$11,0,MATCH($S210,$CA210:$FV210,0),),""))</f>
        <v/>
      </c>
      <c r="V210" s="133">
        <f t="array" ref="V210">IF(S210="","",INDIRECT("'GRD-"&amp;U210&amp;"'!$L$7"))</f>
        <v/>
      </c>
      <c r="W210" s="84">
        <f t="array" ref="W210">IFERROR(OFFSET($BZ$11,ROW($B210)-11,MATCH(W$10,$CA210:$FV210,0),),"")</f>
        <v/>
      </c>
      <c r="X210" s="84">
        <f>IF(W210="","",IF(VLOOKUP($B210,INDIRECT("'GRD-"&amp;Y210&amp;"'!$B:$R"),16,FALSE)="","",VLOOKUP($B210,INDIRECT("'GRD-"&amp;Y210&amp;"'!$B:$R"),16,FALSE)))</f>
        <v/>
      </c>
      <c r="Y210" s="129">
        <f t="array" ref="Y210">IF(W210="","",IFERROR(OFFSET($BZ$11,0,MATCH($W210,$CA210:$FV210,0),),""))</f>
        <v/>
      </c>
      <c r="Z210" s="134">
        <f t="array" ref="Z210">IF(W210="","",INDIRECT("'GRD-"&amp;Y210&amp;"'!$L$7"))</f>
        <v/>
      </c>
      <c r="AA210" s="85">
        <f t="array" ref="AA210">IFERROR(OFFSET($BZ$11,ROW($B210)-11,MATCH(AA$10,$CA210:$FV210,0),),"")</f>
        <v/>
      </c>
      <c r="AB210" s="85">
        <f>IF(AA210="","",IF(VLOOKUP($B210,INDIRECT("'GRD-"&amp;AC210&amp;"'!$B:$R"),16,FALSE)="","",VLOOKUP($B210,INDIRECT("'GRD-"&amp;AC210&amp;"'!$B:$R"),16,FALSE)))</f>
        <v/>
      </c>
      <c r="AC210" s="130">
        <f t="array" ref="AC210">IF(AA210="","",IFERROR(OFFSET($BZ$11,0,MATCH($AA210,$CA210:$FV210,0),),""))</f>
        <v/>
      </c>
      <c r="AD210" s="131">
        <f t="array" ref="AD210">IF(AA210="","",INDIRECT("'GRD-"&amp;AC210&amp;"'!$L$7"))</f>
        <v/>
      </c>
      <c r="AE210" s="76">
        <f t="array" ref="AE210">IFERROR(OFFSET($BZ$11,ROW($B210)-11,MATCH(AE$10,$CA210:$FV210,0),),"")</f>
        <v/>
      </c>
      <c r="AF210" s="76">
        <f>IF(AE210="","",IF(VLOOKUP($B210,INDIRECT("'GRD-"&amp;AG210&amp;"'!$B:$R"),16,FALSE)="","",VLOOKUP($B210,INDIRECT("'GRD-"&amp;AG210&amp;"'!$B:$R"),16,FALSE)))</f>
        <v/>
      </c>
      <c r="AG210" s="132">
        <f t="array" ref="AG210">IF(AE210="","",IFERROR(OFFSET($BZ$11,0,MATCH($AE210,$CA210:$FV210,0),),""))</f>
        <v/>
      </c>
      <c r="AH210" s="121">
        <f t="array" ref="AH210">IF(AE210="","",INDIRECT("'GRD-"&amp;AG210&amp;"'!$L$7"))</f>
        <v/>
      </c>
      <c r="AI210" s="83">
        <f t="array" ref="AI210">IFERROR(OFFSET($BZ$11,ROW($B210)-11,MATCH(AI$10,$CA210:$FV210,0),),"")</f>
        <v/>
      </c>
      <c r="AJ210" s="83">
        <f>IF(AI210="","",IF(VLOOKUP($B210,INDIRECT("'GRD-"&amp;AK210&amp;"'!$B:$R"),16,FALSE)="","",VLOOKUP($B210,INDIRECT("'GRD-"&amp;AK210&amp;"'!$B:$R"),16,FALSE)))</f>
        <v/>
      </c>
      <c r="AK210" s="128">
        <f t="array" ref="AK210">IF(AI210="","",IFERROR(OFFSET($BZ$11,0,MATCH($AI210,$CA210:$FV210,0),),""))</f>
        <v/>
      </c>
      <c r="AL210" s="133">
        <f t="array" ref="AL210">IF(AI210="","",INDIRECT("'GRD-"&amp;AK210&amp;"'!$L$7"))</f>
        <v/>
      </c>
      <c r="AM210" s="84">
        <f t="array" ref="AM210">IFERROR(OFFSET($BZ$11,ROW($B210)-11,MATCH(AM$10,$CA210:$FV210,0),),"")</f>
        <v/>
      </c>
      <c r="AN210" s="84">
        <f>IF(AM210="","",IF(VLOOKUP($B210,INDIRECT("'GRD-"&amp;AO210&amp;"'!$B:$R"),16,FALSE)="","",VLOOKUP($B210,INDIRECT("'GRD-"&amp;AO210&amp;"'!$B:$R"),16,FALSE)))</f>
        <v/>
      </c>
      <c r="AO210" s="129">
        <f t="array" ref="AO210">IF(AM210="","",IFERROR(OFFSET($BZ$11,0,MATCH($AM210,$CA210:$FV210,0),),""))</f>
        <v/>
      </c>
      <c r="AP210" s="134">
        <f t="array" ref="AP210">IF(AM210="","",INDIRECT("'GRD-"&amp;AO210&amp;"'!$L$7"))</f>
        <v/>
      </c>
      <c r="AQ210" s="85">
        <f t="array" ref="AQ210">IFERROR(OFFSET($BZ$11,ROW($B210)-11,MATCH(AQ$10,$CA210:$FV210,0),),"")</f>
        <v/>
      </c>
      <c r="AR210" s="85">
        <f>IF(AQ210="","",IF(VLOOKUP($B210,INDIRECT("'GRD-"&amp;AS210&amp;"'!$B:$R"),16,FALSE)="","",VLOOKUP($B210,INDIRECT("'GRD-"&amp;AS210&amp;"'!$B:$R"),16,FALSE)))</f>
        <v/>
      </c>
      <c r="AS210" s="130">
        <f t="array" ref="AS210">IF(AQ210="","",IFERROR(OFFSET($BZ$11,0,MATCH($AQ210,$CA210:$FV210,0),),""))</f>
        <v/>
      </c>
      <c r="AT210" s="131">
        <f t="array" ref="AT210">IF(AQ210="","",INDIRECT("'GRD-"&amp;AS210&amp;"'!$L$7"))</f>
        <v/>
      </c>
      <c r="AU210" s="76">
        <f t="array" ref="AU210">IFERROR(OFFSET($BZ$11,ROW($B210)-11,MATCH(AU$10,$CA210:$FV210,0),),"")</f>
        <v/>
      </c>
      <c r="AV210" s="76">
        <f>IF(AU210="","",IF(VLOOKUP($B210,INDIRECT("'GRD-"&amp;AW210&amp;"'!$B:$R"),16,FALSE)="","",VLOOKUP($B210,INDIRECT("'GRD-"&amp;AW210&amp;"'!$B:$R"),16,FALSE)))</f>
        <v/>
      </c>
      <c r="AW210" s="132">
        <f t="array" ref="AW210">IF(AU210="","",IFERROR(OFFSET($BZ$11,0,MATCH($AU210,$CA210:$FV210,0),),""))</f>
        <v/>
      </c>
      <c r="AX210" s="121">
        <f t="array" ref="AX210">IF(AU210="","",INDIRECT("'GRD-"&amp;AW210&amp;"'!$L$7"))</f>
        <v/>
      </c>
      <c r="AY210" s="83">
        <f t="array" ref="AY210">IFERROR(OFFSET($BZ$11,ROW($B210)-11,MATCH(AY$10,$CA210:$FV210,0),),"")</f>
        <v/>
      </c>
      <c r="AZ210" s="83">
        <f>IF(AY210="","",IF(VLOOKUP($B210,INDIRECT("'GRD-"&amp;BA210&amp;"'!$B:$R"),16,FALSE)="","",VLOOKUP($B210,INDIRECT("'GRD-"&amp;BA210&amp;"'!$B:$R"),16,FALSE)))</f>
        <v/>
      </c>
      <c r="BA210" s="128">
        <f t="array" ref="BA210">IF(AY210="","",IFERROR(OFFSET($BZ$11,0,MATCH($AY210,$CA210:$FV210,0),),""))</f>
        <v/>
      </c>
      <c r="BB210" s="133">
        <f t="array" ref="BB210">IF(AY210="","",INDIRECT("'GRD-"&amp;BA210&amp;"'!$L$7"))</f>
        <v/>
      </c>
      <c r="BC210" s="84">
        <f t="array" ref="BC210">IFERROR(OFFSET($BZ$11,ROW($B210)-11,MATCH(BC$10,$CA210:$FV210,0),),"")</f>
        <v/>
      </c>
      <c r="BD210" s="84">
        <f>IF(BC210="","",IF(VLOOKUP($B210,INDIRECT("'GRD-"&amp;BE210&amp;"'!$B:$R"),16,FALSE)="","",VLOOKUP($B210,INDIRECT("'GRD-"&amp;BE210&amp;"'!$B:$R"),16,FALSE)))</f>
        <v/>
      </c>
      <c r="BE210" s="129">
        <f t="array" ref="BE210">IF(BC210="","",IFERROR(OFFSET($BZ$11,0,MATCH($BC210,$CA210:$FV210,0),),""))</f>
        <v/>
      </c>
      <c r="BF210" s="134">
        <f t="array" ref="BF210">IF(BC210="","",INDIRECT("'GRD-"&amp;BE210&amp;"'!$L$7"))</f>
        <v/>
      </c>
      <c r="CA210" s="96">
        <f>IFERROR(VLOOKUP($B210,INDIRECT("'GRD-"&amp;CA$11&amp;"'!B:R"),15,FALSE),"")</f>
        <v/>
      </c>
      <c r="CB210" s="96">
        <f>IFERROR(VLOOKUP($B210,INDIRECT("'GRD-"&amp;CB$11&amp;"'!B:R"),15,FALSE),"")</f>
        <v/>
      </c>
      <c r="CC210" s="96">
        <f>IFERROR(VLOOKUP($B210,INDIRECT("'GRD-"&amp;CC$11&amp;"'!B:R"),15,FALSE),"")</f>
        <v/>
      </c>
      <c r="CD210" s="96">
        <f>IFERROR(VLOOKUP($B210,INDIRECT("'GRD-"&amp;CD$11&amp;"'!B:R"),15,FALSE),"")</f>
        <v/>
      </c>
      <c r="CE210" s="96">
        <f>IFERROR(VLOOKUP($B210,INDIRECT("'GRD-"&amp;CE$11&amp;"'!B:R"),15,FALSE),"")</f>
        <v/>
      </c>
      <c r="CF210" s="96">
        <f>IFERROR(VLOOKUP($B210,INDIRECT("'GRD-"&amp;CF$11&amp;"'!B:R"),15,FALSE),"")</f>
        <v/>
      </c>
      <c r="CG210" s="96">
        <f>IFERROR(VLOOKUP($B210,INDIRECT("'GRD-"&amp;CG$11&amp;"'!B:R"),15,FALSE),"")</f>
        <v/>
      </c>
      <c r="CH210" s="96">
        <f>IFERROR(VLOOKUP($B210,INDIRECT("'GRD-"&amp;CH$11&amp;"'!B:R"),15,FALSE),"")</f>
        <v/>
      </c>
      <c r="CI210" s="96">
        <f>IFERROR(VLOOKUP($B210,INDIRECT("'GRD-"&amp;CI$11&amp;"'!B:R"),15,FALSE),"")</f>
        <v/>
      </c>
      <c r="CJ210" s="96">
        <f>IFERROR(VLOOKUP($B210,INDIRECT("'GRD-"&amp;CJ$11&amp;"'!B:R"),15,FALSE),"")</f>
        <v/>
      </c>
      <c r="CK210" s="96">
        <f>IFERROR(VLOOKUP($B210,INDIRECT("'GRD-"&amp;CK$11&amp;"'!B:R"),15,FALSE),"")</f>
        <v/>
      </c>
      <c r="CL210" s="96">
        <f>IFERROR(VLOOKUP($B210,INDIRECT("'GRD-"&amp;CL$11&amp;"'!B:R"),15,FALSE),"")</f>
        <v/>
      </c>
      <c r="CM210" s="96">
        <f>IFERROR(VLOOKUP($B210,INDIRECT("'GRD-"&amp;CM$11&amp;"'!B:R"),15,FALSE),"")</f>
        <v/>
      </c>
      <c r="CN210" s="96">
        <f>IFERROR(VLOOKUP($B210,INDIRECT("'GRD-"&amp;CN$11&amp;"'!B:R"),15,FALSE),"")</f>
        <v/>
      </c>
      <c r="CO210" s="96">
        <f>IFERROR(VLOOKUP($B210,INDIRECT("'GRD-"&amp;CO$11&amp;"'!B:R"),15,FALSE),"")</f>
        <v/>
      </c>
      <c r="CP210" s="96">
        <f>IFERROR(VLOOKUP($B210,INDIRECT("'GRD-"&amp;CP$11&amp;"'!B:R"),15,FALSE),"")</f>
        <v/>
      </c>
      <c r="CQ210" s="96">
        <f>IFERROR(VLOOKUP($B210,INDIRECT("'GRD-"&amp;CQ$11&amp;"'!B:R"),15,FALSE),"")</f>
        <v/>
      </c>
      <c r="CR210" s="96">
        <f>IFERROR(VLOOKUP($B210,INDIRECT("'GRD-"&amp;CR$11&amp;"'!B:R"),15,FALSE),"")</f>
        <v/>
      </c>
      <c r="CS210" s="96">
        <f>IFERROR(VLOOKUP($B210,INDIRECT("'GRD-"&amp;CS$11&amp;"'!B:R"),15,FALSE),"")</f>
        <v/>
      </c>
      <c r="CT210" s="96">
        <f>IFERROR(VLOOKUP($B210,INDIRECT("'GRD-"&amp;CT$11&amp;"'!B:R"),15,FALSE),"")</f>
        <v/>
      </c>
      <c r="CU210" s="96">
        <f>IFERROR(VLOOKUP($B210,INDIRECT("'GRD-"&amp;CU$11&amp;"'!B:R"),15,FALSE),"")</f>
        <v/>
      </c>
      <c r="CV210" s="96">
        <f>IFERROR(VLOOKUP($B210,INDIRECT("'GRD-"&amp;CV$11&amp;"'!B:R"),15,FALSE),"")</f>
        <v/>
      </c>
      <c r="CW210" s="96">
        <f>IFERROR(VLOOKUP($B210,INDIRECT("'GRD-"&amp;CW$11&amp;"'!B:R"),15,FALSE),"")</f>
        <v/>
      </c>
      <c r="CX210" s="96">
        <f>IFERROR(VLOOKUP($B210,INDIRECT("'GRD-"&amp;CX$11&amp;"'!B:R"),15,FALSE),"")</f>
        <v/>
      </c>
      <c r="CY210" s="96">
        <f>IFERROR(VLOOKUP($B210,INDIRECT("'GRD-"&amp;CY$11&amp;"'!B:R"),15,FALSE),"")</f>
        <v/>
      </c>
      <c r="CZ210" s="96">
        <f>IFERROR(VLOOKUP($B210,INDIRECT("'GRD-"&amp;CZ$11&amp;"'!B:R"),15,FALSE),"")</f>
        <v/>
      </c>
      <c r="DA210" s="96">
        <f>IFERROR(VLOOKUP($B210,INDIRECT("'GRD-"&amp;DA$11&amp;"'!B:R"),15,FALSE),"")</f>
        <v/>
      </c>
      <c r="DB210" s="96">
        <f>IFERROR(VLOOKUP($B210,INDIRECT("'GRD-"&amp;DB$11&amp;"'!B:R"),15,FALSE),"")</f>
        <v/>
      </c>
      <c r="DC210" s="96">
        <f>IFERROR(VLOOKUP($B210,INDIRECT("'GRD-"&amp;DC$11&amp;"'!B:R"),15,FALSE),"")</f>
        <v/>
      </c>
      <c r="DD210" s="96">
        <f>IFERROR(VLOOKUP($B210,INDIRECT("'GRD-"&amp;DD$11&amp;"'!B:R"),15,FALSE),"")</f>
        <v/>
      </c>
      <c r="DE210" s="96">
        <f>IFERROR(VLOOKUP($B210,INDIRECT("'GRD-"&amp;DE$11&amp;"'!B:R"),15,FALSE),"")</f>
        <v/>
      </c>
      <c r="DF210" s="96">
        <f>IFERROR(VLOOKUP($B210,INDIRECT("'GRD-"&amp;DF$11&amp;"'!B:R"),15,FALSE),"")</f>
        <v/>
      </c>
      <c r="DG210" s="96">
        <f>IFERROR(VLOOKUP($B210,INDIRECT("'GRD-"&amp;DG$11&amp;"'!B:R"),15,FALSE),"")</f>
        <v/>
      </c>
      <c r="DH210" s="96">
        <f>IFERROR(VLOOKUP($B210,INDIRECT("'GRD-"&amp;DH$11&amp;"'!B:R"),15,FALSE),"")</f>
        <v/>
      </c>
      <c r="DI210" s="96">
        <f>IFERROR(VLOOKUP($B210,INDIRECT("'GRD-"&amp;DI$11&amp;"'!B:R"),15,FALSE),"")</f>
        <v/>
      </c>
      <c r="DJ210" s="96">
        <f>IFERROR(VLOOKUP($B210,INDIRECT("'GRD-"&amp;DJ$11&amp;"'!B:R"),15,FALSE),"")</f>
        <v/>
      </c>
      <c r="DK210" s="96">
        <f>IFERROR(VLOOKUP($B210,INDIRECT("'GRD-"&amp;DK$11&amp;"'!B:R"),15,FALSE),"")</f>
        <v/>
      </c>
      <c r="DL210" s="96">
        <f>IFERROR(VLOOKUP($B210,INDIRECT("'GRD-"&amp;DL$11&amp;"'!B:R"),15,FALSE),"")</f>
        <v/>
      </c>
      <c r="DM210" s="96">
        <f>IFERROR(VLOOKUP($B210,INDIRECT("'GRD-"&amp;DM$11&amp;"'!B:R"),15,FALSE),"")</f>
        <v/>
      </c>
      <c r="DN210" s="96">
        <f>IFERROR(VLOOKUP($B210,INDIRECT("'GRD-"&amp;DN$11&amp;"'!B:R"),15,FALSE),"")</f>
        <v/>
      </c>
      <c r="DO210" s="96">
        <f>IFERROR(VLOOKUP($B210,INDIRECT("'GRD-"&amp;DO$11&amp;"'!B:R"),15,FALSE),"")</f>
        <v/>
      </c>
      <c r="DP210" s="96">
        <f>IFERROR(VLOOKUP($B210,INDIRECT("'GRD-"&amp;DP$11&amp;"'!B:R"),15,FALSE),"")</f>
        <v/>
      </c>
      <c r="DQ210" s="96">
        <f>IFERROR(VLOOKUP($B210,INDIRECT("'GRD-"&amp;DQ$11&amp;"'!B:R"),15,FALSE),"")</f>
        <v/>
      </c>
      <c r="DR210" s="96">
        <f>IFERROR(VLOOKUP($B210,INDIRECT("'GRD-"&amp;DR$11&amp;"'!B:R"),15,FALSE),"")</f>
        <v/>
      </c>
      <c r="DS210" s="96">
        <f>IFERROR(VLOOKUP($B210,INDIRECT("'GRD-"&amp;DS$11&amp;"'!B:R"),15,FALSE),"")</f>
        <v/>
      </c>
      <c r="DT210" s="96">
        <f>IFERROR(VLOOKUP($B210,INDIRECT("'GRD-"&amp;DT$11&amp;"'!B:R"),15,FALSE),"")</f>
        <v/>
      </c>
      <c r="DU210" s="96">
        <f>IFERROR(VLOOKUP($B210,INDIRECT("'GRD-"&amp;DU$11&amp;"'!B:R"),15,FALSE),"")</f>
        <v/>
      </c>
      <c r="DV210" s="96">
        <f>IFERROR(VLOOKUP($B210,INDIRECT("'GRD-"&amp;DV$11&amp;"'!B:R"),15,FALSE),"")</f>
        <v/>
      </c>
      <c r="DW210" s="96">
        <f>IFERROR(VLOOKUP($B210,INDIRECT("'GRD-"&amp;DW$11&amp;"'!B:R"),15,FALSE),"")</f>
        <v/>
      </c>
      <c r="DX210" s="96">
        <f>IFERROR(VLOOKUP($B210,INDIRECT("'GRD-"&amp;DX$11&amp;"'!B:R"),15,FALSE),"")</f>
        <v/>
      </c>
      <c r="DY210" s="96">
        <f>IFERROR(VLOOKUP($B210,INDIRECT("'GRD-"&amp;DY$11&amp;"'!B:R"),15,FALSE),"")</f>
        <v/>
      </c>
      <c r="DZ210" s="96">
        <f>IFERROR(VLOOKUP($B210,INDIRECT("'GRD-"&amp;DZ$11&amp;"'!B:R"),15,FALSE),"")</f>
        <v/>
      </c>
      <c r="EA210" s="96">
        <f>IFERROR(VLOOKUP($B210,INDIRECT("'GRD-"&amp;EA$11&amp;"'!B:R"),15,FALSE),"")</f>
        <v/>
      </c>
      <c r="EB210" s="96">
        <f>IFERROR(VLOOKUP($B210,INDIRECT("'GRD-"&amp;EB$11&amp;"'!B:R"),15,FALSE),"")</f>
        <v/>
      </c>
      <c r="EC210" s="96">
        <f>IFERROR(VLOOKUP($B210,INDIRECT("'GRD-"&amp;EC$11&amp;"'!B:R"),15,FALSE),"")</f>
        <v/>
      </c>
      <c r="ED210" s="96">
        <f>IFERROR(VLOOKUP($B210,INDIRECT("'GRD-"&amp;ED$11&amp;"'!B:R"),15,FALSE),"")</f>
        <v/>
      </c>
      <c r="EE210" s="96">
        <f>IFERROR(VLOOKUP($B210,INDIRECT("'GRD-"&amp;EE$11&amp;"'!B:R"),15,FALSE),"")</f>
        <v/>
      </c>
      <c r="EF210" s="96">
        <f>IFERROR(VLOOKUP($B210,INDIRECT("'GRD-"&amp;EF$11&amp;"'!B:R"),15,FALSE),"")</f>
        <v/>
      </c>
      <c r="EG210" s="96">
        <f>IFERROR(VLOOKUP($B210,INDIRECT("'GRD-"&amp;EG$11&amp;"'!B:R"),15,FALSE),"")</f>
        <v/>
      </c>
      <c r="EH210" s="96">
        <f>IFERROR(VLOOKUP($B210,INDIRECT("'GRD-"&amp;EH$11&amp;"'!B:R"),15,FALSE),"")</f>
        <v/>
      </c>
      <c r="EI210" s="96">
        <f>IFERROR(VLOOKUP($B210,INDIRECT("'GRD-"&amp;EI$11&amp;"'!B:R"),15,FALSE),"")</f>
        <v/>
      </c>
      <c r="EJ210" s="96">
        <f>IFERROR(VLOOKUP($B210,INDIRECT("'GRD-"&amp;EJ$11&amp;"'!B:R"),15,FALSE),"")</f>
        <v/>
      </c>
      <c r="EK210" s="96">
        <f>IFERROR(VLOOKUP($B210,INDIRECT("'GRD-"&amp;EK$11&amp;"'!B:R"),15,FALSE),"")</f>
        <v/>
      </c>
      <c r="EL210" s="96">
        <f>IFERROR(VLOOKUP($B210,INDIRECT("'GRD-"&amp;EL$11&amp;"'!B:R"),15,FALSE),"")</f>
        <v/>
      </c>
      <c r="EM210" s="96">
        <f>IFERROR(VLOOKUP($B210,INDIRECT("'GRD-"&amp;EM$11&amp;"'!B:R"),15,FALSE),"")</f>
        <v/>
      </c>
      <c r="EN210" s="96">
        <f>IFERROR(VLOOKUP($B210,INDIRECT("'GRD-"&amp;EN$11&amp;"'!B:R"),15,FALSE),"")</f>
        <v/>
      </c>
      <c r="EO210" s="96">
        <f>IFERROR(VLOOKUP($B210,INDIRECT("'GRD-"&amp;EO$11&amp;"'!B:R"),15,FALSE),"")</f>
        <v/>
      </c>
      <c r="EP210" s="96">
        <f>IFERROR(VLOOKUP($B210,INDIRECT("'GRD-"&amp;EP$11&amp;"'!B:R"),15,FALSE),"")</f>
        <v/>
      </c>
      <c r="EQ210" s="96">
        <f>IFERROR(VLOOKUP($B210,INDIRECT("'GRD-"&amp;EQ$11&amp;"'!B:R"),15,FALSE),"")</f>
        <v/>
      </c>
      <c r="ER210" s="96">
        <f>IFERROR(VLOOKUP($B210,INDIRECT("'GRD-"&amp;ER$11&amp;"'!B:R"),15,FALSE),"")</f>
        <v/>
      </c>
      <c r="ES210" s="96">
        <f>IFERROR(VLOOKUP($B210,INDIRECT("'GRD-"&amp;ES$11&amp;"'!B:R"),15,FALSE),"")</f>
        <v/>
      </c>
      <c r="ET210" s="96">
        <f>IFERROR(VLOOKUP($B210,INDIRECT("'GRD-"&amp;ET$11&amp;"'!B:R"),15,FALSE),"")</f>
        <v/>
      </c>
      <c r="EU210" s="96">
        <f>IFERROR(VLOOKUP($B210,INDIRECT("'GRD-"&amp;EU$11&amp;"'!B:R"),15,FALSE),"")</f>
        <v/>
      </c>
      <c r="EV210" s="96">
        <f>IFERROR(VLOOKUP($B210,INDIRECT("'GRD-"&amp;EV$11&amp;"'!B:R"),15,FALSE),"")</f>
        <v/>
      </c>
      <c r="EW210" s="96">
        <f>IFERROR(VLOOKUP($B210,INDIRECT("'GRD-"&amp;EW$11&amp;"'!B:R"),15,FALSE),"")</f>
        <v/>
      </c>
      <c r="EX210" s="96">
        <f>IFERROR(VLOOKUP($B210,INDIRECT("'GRD-"&amp;EX$11&amp;"'!B:R"),15,FALSE),"")</f>
        <v/>
      </c>
      <c r="EY210" s="96">
        <f>IFERROR(VLOOKUP($B210,INDIRECT("'GRD-"&amp;EY$11&amp;"'!B:R"),15,FALSE),"")</f>
        <v/>
      </c>
      <c r="EZ210" s="96">
        <f>IFERROR(VLOOKUP($B210,INDIRECT("'GRD-"&amp;EZ$11&amp;"'!B:R"),15,FALSE),"")</f>
        <v/>
      </c>
      <c r="FA210" s="96">
        <f>IFERROR(VLOOKUP($B210,INDIRECT("'GRD-"&amp;FA$11&amp;"'!B:R"),15,FALSE),"")</f>
        <v/>
      </c>
      <c r="FB210" s="96">
        <f>IFERROR(VLOOKUP($B210,INDIRECT("'GRD-"&amp;FB$11&amp;"'!B:R"),15,FALSE),"")</f>
        <v/>
      </c>
      <c r="FC210" s="96">
        <f>IFERROR(VLOOKUP($B210,INDIRECT("'GRD-"&amp;FC$11&amp;"'!B:R"),15,FALSE),"")</f>
        <v/>
      </c>
      <c r="FD210" s="96">
        <f>IFERROR(VLOOKUP($B210,INDIRECT("'GRD-"&amp;FD$11&amp;"'!B:R"),15,FALSE),"")</f>
        <v/>
      </c>
      <c r="FE210" s="96">
        <f>IFERROR(VLOOKUP($B210,INDIRECT("'GRD-"&amp;FE$11&amp;"'!B:R"),15,FALSE),"")</f>
        <v/>
      </c>
      <c r="FF210" s="96">
        <f>IFERROR(VLOOKUP($B210,INDIRECT("'GRD-"&amp;FF$11&amp;"'!B:R"),15,FALSE),"")</f>
        <v/>
      </c>
      <c r="FG210" s="96">
        <f>IFERROR(VLOOKUP($B210,INDIRECT("'GRD-"&amp;FG$11&amp;"'!B:R"),15,FALSE),"")</f>
        <v/>
      </c>
      <c r="FH210" s="96">
        <f>IFERROR(VLOOKUP($B210,INDIRECT("'GRD-"&amp;FH$11&amp;"'!B:R"),15,FALSE),"")</f>
        <v/>
      </c>
      <c r="FI210" s="96">
        <f>IFERROR(VLOOKUP($B210,INDIRECT("'GRD-"&amp;FI$11&amp;"'!B:R"),15,FALSE),"")</f>
        <v/>
      </c>
      <c r="FJ210" s="96">
        <f>IFERROR(VLOOKUP($B210,INDIRECT("'GRD-"&amp;FJ$11&amp;"'!B:R"),15,FALSE),"")</f>
        <v/>
      </c>
      <c r="FK210" s="96">
        <f>IFERROR(VLOOKUP($B210,INDIRECT("'GRD-"&amp;FK$11&amp;"'!B:R"),15,FALSE),"")</f>
        <v/>
      </c>
      <c r="FL210" s="96">
        <f>IFERROR(VLOOKUP($B210,INDIRECT("'GRD-"&amp;FL$11&amp;"'!B:R"),15,FALSE),"")</f>
        <v/>
      </c>
      <c r="FM210" s="96">
        <f>IFERROR(VLOOKUP($B210,INDIRECT("'GRD-"&amp;FM$11&amp;"'!B:R"),15,FALSE),"")</f>
        <v/>
      </c>
      <c r="FN210" s="96">
        <f>IFERROR(VLOOKUP($B210,INDIRECT("'GRD-"&amp;FN$11&amp;"'!B:R"),15,FALSE),"")</f>
        <v/>
      </c>
      <c r="FO210" s="96">
        <f>IFERROR(VLOOKUP($B210,INDIRECT("'GRD-"&amp;FO$11&amp;"'!B:R"),15,FALSE),"")</f>
        <v/>
      </c>
      <c r="FP210" s="96">
        <f>IFERROR(VLOOKUP($B210,INDIRECT("'GRD-"&amp;FP$11&amp;"'!B:R"),15,FALSE),"")</f>
        <v/>
      </c>
      <c r="FQ210" s="96">
        <f>IFERROR(VLOOKUP($B210,INDIRECT("'GRD-"&amp;FQ$11&amp;"'!B:R"),15,FALSE),"")</f>
        <v/>
      </c>
      <c r="FR210" s="96">
        <f>IFERROR(VLOOKUP($B210,INDIRECT("'GRD-"&amp;FR$11&amp;"'!B:R"),15,FALSE),"")</f>
        <v/>
      </c>
      <c r="FS210" s="96">
        <f>IFERROR(VLOOKUP($B210,INDIRECT("'GRD-"&amp;FS$11&amp;"'!B:R"),15,FALSE),"")</f>
        <v/>
      </c>
      <c r="FT210" s="96">
        <f>IFERROR(VLOOKUP($B210,INDIRECT("'GRD-"&amp;FT$11&amp;"'!B:R"),15,FALSE),"")</f>
        <v/>
      </c>
      <c r="FU210" s="96">
        <f>IFERROR(VLOOKUP($B210,INDIRECT("'GRD-"&amp;FU$11&amp;"'!B:R"),15,FALSE),"")</f>
        <v/>
      </c>
      <c r="FV210" s="96">
        <f>IFERROR(VLOOKUP($B210,INDIRECT("'GRD-"&amp;FV$11&amp;"'!B:R"),15,FALSE),"")</f>
        <v/>
      </c>
    </row>
    <row r="211">
      <c r="B211" s="85" t="n"/>
      <c r="C211" s="93" t="n"/>
      <c r="D211" s="73">
        <f>IF(K211="","",MAX($CA211:$FV211))</f>
        <v/>
      </c>
      <c r="E211" s="74">
        <f t="array" ref="E211">IF($K211="","",OFFSET($A$1,ROW($B211)-1,11+$D211*4,))</f>
        <v/>
      </c>
      <c r="F211" s="74">
        <f t="array" ref="F211">IF($K211="","",OFFSET($A$1,ROW($B211)-1,12+$D211*4,))</f>
        <v/>
      </c>
      <c r="G211" s="118">
        <f t="array" ref="G211">IF($K211="","",OFFSET($A$1,ROW($B211)-1,13+$D211*4,))</f>
        <v/>
      </c>
      <c r="H211" s="81" t="n"/>
      <c r="I211" s="82" t="n"/>
      <c r="J211" s="75">
        <f>IF(I211="A4",H211/8,IF(I211="A3",H211/4,IF(I211="A2",H211/2,IF(I211="A1",H211/1,IF(I211="A0",H211*2,"")))))</f>
        <v/>
      </c>
      <c r="K211" s="68">
        <f t="array" ref="K211">IFERROR(OFFSET($BZ$11,ROW($B211)-11,MATCH(K$10,$CA211:$FV211,0),),"")</f>
        <v/>
      </c>
      <c r="L211" s="85">
        <f>IF(K211="","",IF(VLOOKUP($B211,INDIRECT("'GRD-"&amp;M211&amp;"'!$B:$R"),16,FALSE)="","",VLOOKUP($B211,INDIRECT("'GRD-"&amp;M211&amp;"'!$B:$R"),16,FALSE)))</f>
        <v/>
      </c>
      <c r="M211" s="130">
        <f t="array" ref="M211">IF(K211="","",IFERROR(OFFSET($BZ$11,0,MATCH($K211,$CA211:$FV211,0),),""))</f>
        <v/>
      </c>
      <c r="N211" s="119">
        <f t="array" ref="N211">IF(K211="","",INDIRECT("'GRD-"&amp;M211&amp;"'!$L$7"))</f>
        <v/>
      </c>
      <c r="O211" s="76">
        <f t="array" ref="O211">IFERROR(OFFSET($BZ$11,ROW($B211)-11,MATCH(O$10,$CA211:$FV211,0),),"")</f>
        <v/>
      </c>
      <c r="P211" s="76">
        <f>IF(O211="","",IF(VLOOKUP($B211,INDIRECT("'GRD-"&amp;Q211&amp;"'!$B:$R"),16,FALSE)="","",VLOOKUP($B211,INDIRECT("'GRD-"&amp;Q211&amp;"'!$B:$R"),16,FALSE)))</f>
        <v/>
      </c>
      <c r="Q211" s="132">
        <f t="array" ref="Q211">IF(O211="","",IFERROR(OFFSET($BZ$11,0,MATCH($O211,$CA211:$FV211,0),),""))</f>
        <v/>
      </c>
      <c r="R211" s="121">
        <f t="array" ref="R211">IF(O211="","",INDIRECT("'GRD-"&amp;Q211&amp;"'!$L$7"))</f>
        <v/>
      </c>
      <c r="S211" s="83">
        <f t="array" ref="S211">IFERROR(OFFSET($BZ$11,ROW($B211)-11,MATCH(S$10,$CA211:$FV211,0),),"")</f>
        <v/>
      </c>
      <c r="T211" s="83">
        <f>IF(S211="","",IF(VLOOKUP($B211,INDIRECT("'GRD-"&amp;U211&amp;"'!$B:$R"),16,FALSE)="","",VLOOKUP($B211,INDIRECT("'GRD-"&amp;U211&amp;"'!$B:$R"),16,FALSE)))</f>
        <v/>
      </c>
      <c r="U211" s="128">
        <f t="array" ref="U211">IF(S211="","",IFERROR(OFFSET($BZ$11,0,MATCH($S211,$CA211:$FV211,0),),""))</f>
        <v/>
      </c>
      <c r="V211" s="133">
        <f t="array" ref="V211">IF(S211="","",INDIRECT("'GRD-"&amp;U211&amp;"'!$L$7"))</f>
        <v/>
      </c>
      <c r="W211" s="84">
        <f t="array" ref="W211">IFERROR(OFFSET($BZ$11,ROW($B211)-11,MATCH(W$10,$CA211:$FV211,0),),"")</f>
        <v/>
      </c>
      <c r="X211" s="84">
        <f>IF(W211="","",IF(VLOOKUP($B211,INDIRECT("'GRD-"&amp;Y211&amp;"'!$B:$R"),16,FALSE)="","",VLOOKUP($B211,INDIRECT("'GRD-"&amp;Y211&amp;"'!$B:$R"),16,FALSE)))</f>
        <v/>
      </c>
      <c r="Y211" s="129">
        <f t="array" ref="Y211">IF(W211="","",IFERROR(OFFSET($BZ$11,0,MATCH($W211,$CA211:$FV211,0),),""))</f>
        <v/>
      </c>
      <c r="Z211" s="134">
        <f t="array" ref="Z211">IF(W211="","",INDIRECT("'GRD-"&amp;Y211&amp;"'!$L$7"))</f>
        <v/>
      </c>
      <c r="AA211" s="85">
        <f t="array" ref="AA211">IFERROR(OFFSET($BZ$11,ROW($B211)-11,MATCH(AA$10,$CA211:$FV211,0),),"")</f>
        <v/>
      </c>
      <c r="AB211" s="85">
        <f>IF(AA211="","",IF(VLOOKUP($B211,INDIRECT("'GRD-"&amp;AC211&amp;"'!$B:$R"),16,FALSE)="","",VLOOKUP($B211,INDIRECT("'GRD-"&amp;AC211&amp;"'!$B:$R"),16,FALSE)))</f>
        <v/>
      </c>
      <c r="AC211" s="130">
        <f t="array" ref="AC211">IF(AA211="","",IFERROR(OFFSET($BZ$11,0,MATCH($AA211,$CA211:$FV211,0),),""))</f>
        <v/>
      </c>
      <c r="AD211" s="131">
        <f t="array" ref="AD211">IF(AA211="","",INDIRECT("'GRD-"&amp;AC211&amp;"'!$L$7"))</f>
        <v/>
      </c>
      <c r="AE211" s="76">
        <f t="array" ref="AE211">IFERROR(OFFSET($BZ$11,ROW($B211)-11,MATCH(AE$10,$CA211:$FV211,0),),"")</f>
        <v/>
      </c>
      <c r="AF211" s="76">
        <f>IF(AE211="","",IF(VLOOKUP($B211,INDIRECT("'GRD-"&amp;AG211&amp;"'!$B:$R"),16,FALSE)="","",VLOOKUP($B211,INDIRECT("'GRD-"&amp;AG211&amp;"'!$B:$R"),16,FALSE)))</f>
        <v/>
      </c>
      <c r="AG211" s="132">
        <f t="array" ref="AG211">IF(AE211="","",IFERROR(OFFSET($BZ$11,0,MATCH($AE211,$CA211:$FV211,0),),""))</f>
        <v/>
      </c>
      <c r="AH211" s="121">
        <f t="array" ref="AH211">IF(AE211="","",INDIRECT("'GRD-"&amp;AG211&amp;"'!$L$7"))</f>
        <v/>
      </c>
      <c r="AI211" s="83">
        <f t="array" ref="AI211">IFERROR(OFFSET($BZ$11,ROW($B211)-11,MATCH(AI$10,$CA211:$FV211,0),),"")</f>
        <v/>
      </c>
      <c r="AJ211" s="83">
        <f>IF(AI211="","",IF(VLOOKUP($B211,INDIRECT("'GRD-"&amp;AK211&amp;"'!$B:$R"),16,FALSE)="","",VLOOKUP($B211,INDIRECT("'GRD-"&amp;AK211&amp;"'!$B:$R"),16,FALSE)))</f>
        <v/>
      </c>
      <c r="AK211" s="128">
        <f t="array" ref="AK211">IF(AI211="","",IFERROR(OFFSET($BZ$11,0,MATCH($AI211,$CA211:$FV211,0),),""))</f>
        <v/>
      </c>
      <c r="AL211" s="133">
        <f t="array" ref="AL211">IF(AI211="","",INDIRECT("'GRD-"&amp;AK211&amp;"'!$L$7"))</f>
        <v/>
      </c>
      <c r="AM211" s="84">
        <f t="array" ref="AM211">IFERROR(OFFSET($BZ$11,ROW($B211)-11,MATCH(AM$10,$CA211:$FV211,0),),"")</f>
        <v/>
      </c>
      <c r="AN211" s="84">
        <f>IF(AM211="","",IF(VLOOKUP($B211,INDIRECT("'GRD-"&amp;AO211&amp;"'!$B:$R"),16,FALSE)="","",VLOOKUP($B211,INDIRECT("'GRD-"&amp;AO211&amp;"'!$B:$R"),16,FALSE)))</f>
        <v/>
      </c>
      <c r="AO211" s="129">
        <f t="array" ref="AO211">IF(AM211="","",IFERROR(OFFSET($BZ$11,0,MATCH($AM211,$CA211:$FV211,0),),""))</f>
        <v/>
      </c>
      <c r="AP211" s="134">
        <f t="array" ref="AP211">IF(AM211="","",INDIRECT("'GRD-"&amp;AO211&amp;"'!$L$7"))</f>
        <v/>
      </c>
      <c r="AQ211" s="85">
        <f t="array" ref="AQ211">IFERROR(OFFSET($BZ$11,ROW($B211)-11,MATCH(AQ$10,$CA211:$FV211,0),),"")</f>
        <v/>
      </c>
      <c r="AR211" s="85">
        <f>IF(AQ211="","",IF(VLOOKUP($B211,INDIRECT("'GRD-"&amp;AS211&amp;"'!$B:$R"),16,FALSE)="","",VLOOKUP($B211,INDIRECT("'GRD-"&amp;AS211&amp;"'!$B:$R"),16,FALSE)))</f>
        <v/>
      </c>
      <c r="AS211" s="130">
        <f t="array" ref="AS211">IF(AQ211="","",IFERROR(OFFSET($BZ$11,0,MATCH($AQ211,$CA211:$FV211,0),),""))</f>
        <v/>
      </c>
      <c r="AT211" s="131">
        <f t="array" ref="AT211">IF(AQ211="","",INDIRECT("'GRD-"&amp;AS211&amp;"'!$L$7"))</f>
        <v/>
      </c>
      <c r="AU211" s="76">
        <f t="array" ref="AU211">IFERROR(OFFSET($BZ$11,ROW($B211)-11,MATCH(AU$10,$CA211:$FV211,0),),"")</f>
        <v/>
      </c>
      <c r="AV211" s="76">
        <f>IF(AU211="","",IF(VLOOKUP($B211,INDIRECT("'GRD-"&amp;AW211&amp;"'!$B:$R"),16,FALSE)="","",VLOOKUP($B211,INDIRECT("'GRD-"&amp;AW211&amp;"'!$B:$R"),16,FALSE)))</f>
        <v/>
      </c>
      <c r="AW211" s="132">
        <f t="array" ref="AW211">IF(AU211="","",IFERROR(OFFSET($BZ$11,0,MATCH($AU211,$CA211:$FV211,0),),""))</f>
        <v/>
      </c>
      <c r="AX211" s="121">
        <f t="array" ref="AX211">IF(AU211="","",INDIRECT("'GRD-"&amp;AW211&amp;"'!$L$7"))</f>
        <v/>
      </c>
      <c r="AY211" s="83">
        <f t="array" ref="AY211">IFERROR(OFFSET($BZ$11,ROW($B211)-11,MATCH(AY$10,$CA211:$FV211,0),),"")</f>
        <v/>
      </c>
      <c r="AZ211" s="83">
        <f>IF(AY211="","",IF(VLOOKUP($B211,INDIRECT("'GRD-"&amp;BA211&amp;"'!$B:$R"),16,FALSE)="","",VLOOKUP($B211,INDIRECT("'GRD-"&amp;BA211&amp;"'!$B:$R"),16,FALSE)))</f>
        <v/>
      </c>
      <c r="BA211" s="128">
        <f t="array" ref="BA211">IF(AY211="","",IFERROR(OFFSET($BZ$11,0,MATCH($AY211,$CA211:$FV211,0),),""))</f>
        <v/>
      </c>
      <c r="BB211" s="133">
        <f t="array" ref="BB211">IF(AY211="","",INDIRECT("'GRD-"&amp;BA211&amp;"'!$L$7"))</f>
        <v/>
      </c>
      <c r="BC211" s="84">
        <f t="array" ref="BC211">IFERROR(OFFSET($BZ$11,ROW($B211)-11,MATCH(BC$10,$CA211:$FV211,0),),"")</f>
        <v/>
      </c>
      <c r="BD211" s="84">
        <f>IF(BC211="","",IF(VLOOKUP($B211,INDIRECT("'GRD-"&amp;BE211&amp;"'!$B:$R"),16,FALSE)="","",VLOOKUP($B211,INDIRECT("'GRD-"&amp;BE211&amp;"'!$B:$R"),16,FALSE)))</f>
        <v/>
      </c>
      <c r="BE211" s="129">
        <f t="array" ref="BE211">IF(BC211="","",IFERROR(OFFSET($BZ$11,0,MATCH($BC211,$CA211:$FV211,0),),""))</f>
        <v/>
      </c>
      <c r="BF211" s="134">
        <f t="array" ref="BF211">IF(BC211="","",INDIRECT("'GRD-"&amp;BE211&amp;"'!$L$7"))</f>
        <v/>
      </c>
      <c r="CA211" s="96">
        <f>IFERROR(VLOOKUP($B211,INDIRECT("'GRD-"&amp;CA$11&amp;"'!B:R"),15,FALSE),"")</f>
        <v/>
      </c>
      <c r="CB211" s="96">
        <f>IFERROR(VLOOKUP($B211,INDIRECT("'GRD-"&amp;CB$11&amp;"'!B:R"),15,FALSE),"")</f>
        <v/>
      </c>
      <c r="CC211" s="96">
        <f>IFERROR(VLOOKUP($B211,INDIRECT("'GRD-"&amp;CC$11&amp;"'!B:R"),15,FALSE),"")</f>
        <v/>
      </c>
      <c r="CD211" s="96">
        <f>IFERROR(VLOOKUP($B211,INDIRECT("'GRD-"&amp;CD$11&amp;"'!B:R"),15,FALSE),"")</f>
        <v/>
      </c>
      <c r="CE211" s="96">
        <f>IFERROR(VLOOKUP($B211,INDIRECT("'GRD-"&amp;CE$11&amp;"'!B:R"),15,FALSE),"")</f>
        <v/>
      </c>
      <c r="CF211" s="96">
        <f>IFERROR(VLOOKUP($B211,INDIRECT("'GRD-"&amp;CF$11&amp;"'!B:R"),15,FALSE),"")</f>
        <v/>
      </c>
      <c r="CG211" s="96">
        <f>IFERROR(VLOOKUP($B211,INDIRECT("'GRD-"&amp;CG$11&amp;"'!B:R"),15,FALSE),"")</f>
        <v/>
      </c>
      <c r="CH211" s="96">
        <f>IFERROR(VLOOKUP($B211,INDIRECT("'GRD-"&amp;CH$11&amp;"'!B:R"),15,FALSE),"")</f>
        <v/>
      </c>
      <c r="CI211" s="96">
        <f>IFERROR(VLOOKUP($B211,INDIRECT("'GRD-"&amp;CI$11&amp;"'!B:R"),15,FALSE),"")</f>
        <v/>
      </c>
      <c r="CJ211" s="96">
        <f>IFERROR(VLOOKUP($B211,INDIRECT("'GRD-"&amp;CJ$11&amp;"'!B:R"),15,FALSE),"")</f>
        <v/>
      </c>
      <c r="CK211" s="96">
        <f>IFERROR(VLOOKUP($B211,INDIRECT("'GRD-"&amp;CK$11&amp;"'!B:R"),15,FALSE),"")</f>
        <v/>
      </c>
      <c r="CL211" s="96">
        <f>IFERROR(VLOOKUP($B211,INDIRECT("'GRD-"&amp;CL$11&amp;"'!B:R"),15,FALSE),"")</f>
        <v/>
      </c>
      <c r="CM211" s="96">
        <f>IFERROR(VLOOKUP($B211,INDIRECT("'GRD-"&amp;CM$11&amp;"'!B:R"),15,FALSE),"")</f>
        <v/>
      </c>
      <c r="CN211" s="96">
        <f>IFERROR(VLOOKUP($B211,INDIRECT("'GRD-"&amp;CN$11&amp;"'!B:R"),15,FALSE),"")</f>
        <v/>
      </c>
      <c r="CO211" s="96">
        <f>IFERROR(VLOOKUP($B211,INDIRECT("'GRD-"&amp;CO$11&amp;"'!B:R"),15,FALSE),"")</f>
        <v/>
      </c>
      <c r="CP211" s="96">
        <f>IFERROR(VLOOKUP($B211,INDIRECT("'GRD-"&amp;CP$11&amp;"'!B:R"),15,FALSE),"")</f>
        <v/>
      </c>
      <c r="CQ211" s="96">
        <f>IFERROR(VLOOKUP($B211,INDIRECT("'GRD-"&amp;CQ$11&amp;"'!B:R"),15,FALSE),"")</f>
        <v/>
      </c>
      <c r="CR211" s="96">
        <f>IFERROR(VLOOKUP($B211,INDIRECT("'GRD-"&amp;CR$11&amp;"'!B:R"),15,FALSE),"")</f>
        <v/>
      </c>
      <c r="CS211" s="96">
        <f>IFERROR(VLOOKUP($B211,INDIRECT("'GRD-"&amp;CS$11&amp;"'!B:R"),15,FALSE),"")</f>
        <v/>
      </c>
      <c r="CT211" s="96">
        <f>IFERROR(VLOOKUP($B211,INDIRECT("'GRD-"&amp;CT$11&amp;"'!B:R"),15,FALSE),"")</f>
        <v/>
      </c>
      <c r="CU211" s="96">
        <f>IFERROR(VLOOKUP($B211,INDIRECT("'GRD-"&amp;CU$11&amp;"'!B:R"),15,FALSE),"")</f>
        <v/>
      </c>
      <c r="CV211" s="96">
        <f>IFERROR(VLOOKUP($B211,INDIRECT("'GRD-"&amp;CV$11&amp;"'!B:R"),15,FALSE),"")</f>
        <v/>
      </c>
      <c r="CW211" s="96">
        <f>IFERROR(VLOOKUP($B211,INDIRECT("'GRD-"&amp;CW$11&amp;"'!B:R"),15,FALSE),"")</f>
        <v/>
      </c>
      <c r="CX211" s="96">
        <f>IFERROR(VLOOKUP($B211,INDIRECT("'GRD-"&amp;CX$11&amp;"'!B:R"),15,FALSE),"")</f>
        <v/>
      </c>
      <c r="CY211" s="96">
        <f>IFERROR(VLOOKUP($B211,INDIRECT("'GRD-"&amp;CY$11&amp;"'!B:R"),15,FALSE),"")</f>
        <v/>
      </c>
      <c r="CZ211" s="96">
        <f>IFERROR(VLOOKUP($B211,INDIRECT("'GRD-"&amp;CZ$11&amp;"'!B:R"),15,FALSE),"")</f>
        <v/>
      </c>
      <c r="DA211" s="96">
        <f>IFERROR(VLOOKUP($B211,INDIRECT("'GRD-"&amp;DA$11&amp;"'!B:R"),15,FALSE),"")</f>
        <v/>
      </c>
      <c r="DB211" s="96">
        <f>IFERROR(VLOOKUP($B211,INDIRECT("'GRD-"&amp;DB$11&amp;"'!B:R"),15,FALSE),"")</f>
        <v/>
      </c>
      <c r="DC211" s="96">
        <f>IFERROR(VLOOKUP($B211,INDIRECT("'GRD-"&amp;DC$11&amp;"'!B:R"),15,FALSE),"")</f>
        <v/>
      </c>
      <c r="DD211" s="96">
        <f>IFERROR(VLOOKUP($B211,INDIRECT("'GRD-"&amp;DD$11&amp;"'!B:R"),15,FALSE),"")</f>
        <v/>
      </c>
      <c r="DE211" s="96">
        <f>IFERROR(VLOOKUP($B211,INDIRECT("'GRD-"&amp;DE$11&amp;"'!B:R"),15,FALSE),"")</f>
        <v/>
      </c>
      <c r="DF211" s="96">
        <f>IFERROR(VLOOKUP($B211,INDIRECT("'GRD-"&amp;DF$11&amp;"'!B:R"),15,FALSE),"")</f>
        <v/>
      </c>
      <c r="DG211" s="96">
        <f>IFERROR(VLOOKUP($B211,INDIRECT("'GRD-"&amp;DG$11&amp;"'!B:R"),15,FALSE),"")</f>
        <v/>
      </c>
      <c r="DH211" s="96">
        <f>IFERROR(VLOOKUP($B211,INDIRECT("'GRD-"&amp;DH$11&amp;"'!B:R"),15,FALSE),"")</f>
        <v/>
      </c>
      <c r="DI211" s="96">
        <f>IFERROR(VLOOKUP($B211,INDIRECT("'GRD-"&amp;DI$11&amp;"'!B:R"),15,FALSE),"")</f>
        <v/>
      </c>
      <c r="DJ211" s="96">
        <f>IFERROR(VLOOKUP($B211,INDIRECT("'GRD-"&amp;DJ$11&amp;"'!B:R"),15,FALSE),"")</f>
        <v/>
      </c>
      <c r="DK211" s="96">
        <f>IFERROR(VLOOKUP($B211,INDIRECT("'GRD-"&amp;DK$11&amp;"'!B:R"),15,FALSE),"")</f>
        <v/>
      </c>
      <c r="DL211" s="96">
        <f>IFERROR(VLOOKUP($B211,INDIRECT("'GRD-"&amp;DL$11&amp;"'!B:R"),15,FALSE),"")</f>
        <v/>
      </c>
      <c r="DM211" s="96">
        <f>IFERROR(VLOOKUP($B211,INDIRECT("'GRD-"&amp;DM$11&amp;"'!B:R"),15,FALSE),"")</f>
        <v/>
      </c>
      <c r="DN211" s="96">
        <f>IFERROR(VLOOKUP($B211,INDIRECT("'GRD-"&amp;DN$11&amp;"'!B:R"),15,FALSE),"")</f>
        <v/>
      </c>
      <c r="DO211" s="96">
        <f>IFERROR(VLOOKUP($B211,INDIRECT("'GRD-"&amp;DO$11&amp;"'!B:R"),15,FALSE),"")</f>
        <v/>
      </c>
      <c r="DP211" s="96">
        <f>IFERROR(VLOOKUP($B211,INDIRECT("'GRD-"&amp;DP$11&amp;"'!B:R"),15,FALSE),"")</f>
        <v/>
      </c>
      <c r="DQ211" s="96">
        <f>IFERROR(VLOOKUP($B211,INDIRECT("'GRD-"&amp;DQ$11&amp;"'!B:R"),15,FALSE),"")</f>
        <v/>
      </c>
      <c r="DR211" s="96">
        <f>IFERROR(VLOOKUP($B211,INDIRECT("'GRD-"&amp;DR$11&amp;"'!B:R"),15,FALSE),"")</f>
        <v/>
      </c>
      <c r="DS211" s="96">
        <f>IFERROR(VLOOKUP($B211,INDIRECT("'GRD-"&amp;DS$11&amp;"'!B:R"),15,FALSE),"")</f>
        <v/>
      </c>
      <c r="DT211" s="96">
        <f>IFERROR(VLOOKUP($B211,INDIRECT("'GRD-"&amp;DT$11&amp;"'!B:R"),15,FALSE),"")</f>
        <v/>
      </c>
      <c r="DU211" s="96">
        <f>IFERROR(VLOOKUP($B211,INDIRECT("'GRD-"&amp;DU$11&amp;"'!B:R"),15,FALSE),"")</f>
        <v/>
      </c>
      <c r="DV211" s="96">
        <f>IFERROR(VLOOKUP($B211,INDIRECT("'GRD-"&amp;DV$11&amp;"'!B:R"),15,FALSE),"")</f>
        <v/>
      </c>
      <c r="DW211" s="96">
        <f>IFERROR(VLOOKUP($B211,INDIRECT("'GRD-"&amp;DW$11&amp;"'!B:R"),15,FALSE),"")</f>
        <v/>
      </c>
      <c r="DX211" s="96">
        <f>IFERROR(VLOOKUP($B211,INDIRECT("'GRD-"&amp;DX$11&amp;"'!B:R"),15,FALSE),"")</f>
        <v/>
      </c>
      <c r="DY211" s="96">
        <f>IFERROR(VLOOKUP($B211,INDIRECT("'GRD-"&amp;DY$11&amp;"'!B:R"),15,FALSE),"")</f>
        <v/>
      </c>
      <c r="DZ211" s="96">
        <f>IFERROR(VLOOKUP($B211,INDIRECT("'GRD-"&amp;DZ$11&amp;"'!B:R"),15,FALSE),"")</f>
        <v/>
      </c>
      <c r="EA211" s="96">
        <f>IFERROR(VLOOKUP($B211,INDIRECT("'GRD-"&amp;EA$11&amp;"'!B:R"),15,FALSE),"")</f>
        <v/>
      </c>
      <c r="EB211" s="96">
        <f>IFERROR(VLOOKUP($B211,INDIRECT("'GRD-"&amp;EB$11&amp;"'!B:R"),15,FALSE),"")</f>
        <v/>
      </c>
      <c r="EC211" s="96">
        <f>IFERROR(VLOOKUP($B211,INDIRECT("'GRD-"&amp;EC$11&amp;"'!B:R"),15,FALSE),"")</f>
        <v/>
      </c>
      <c r="ED211" s="96">
        <f>IFERROR(VLOOKUP($B211,INDIRECT("'GRD-"&amp;ED$11&amp;"'!B:R"),15,FALSE),"")</f>
        <v/>
      </c>
      <c r="EE211" s="96">
        <f>IFERROR(VLOOKUP($B211,INDIRECT("'GRD-"&amp;EE$11&amp;"'!B:R"),15,FALSE),"")</f>
        <v/>
      </c>
      <c r="EF211" s="96">
        <f>IFERROR(VLOOKUP($B211,INDIRECT("'GRD-"&amp;EF$11&amp;"'!B:R"),15,FALSE),"")</f>
        <v/>
      </c>
      <c r="EG211" s="96">
        <f>IFERROR(VLOOKUP($B211,INDIRECT("'GRD-"&amp;EG$11&amp;"'!B:R"),15,FALSE),"")</f>
        <v/>
      </c>
      <c r="EH211" s="96">
        <f>IFERROR(VLOOKUP($B211,INDIRECT("'GRD-"&amp;EH$11&amp;"'!B:R"),15,FALSE),"")</f>
        <v/>
      </c>
      <c r="EI211" s="96">
        <f>IFERROR(VLOOKUP($B211,INDIRECT("'GRD-"&amp;EI$11&amp;"'!B:R"),15,FALSE),"")</f>
        <v/>
      </c>
      <c r="EJ211" s="96">
        <f>IFERROR(VLOOKUP($B211,INDIRECT("'GRD-"&amp;EJ$11&amp;"'!B:R"),15,FALSE),"")</f>
        <v/>
      </c>
      <c r="EK211" s="96">
        <f>IFERROR(VLOOKUP($B211,INDIRECT("'GRD-"&amp;EK$11&amp;"'!B:R"),15,FALSE),"")</f>
        <v/>
      </c>
      <c r="EL211" s="96">
        <f>IFERROR(VLOOKUP($B211,INDIRECT("'GRD-"&amp;EL$11&amp;"'!B:R"),15,FALSE),"")</f>
        <v/>
      </c>
      <c r="EM211" s="96">
        <f>IFERROR(VLOOKUP($B211,INDIRECT("'GRD-"&amp;EM$11&amp;"'!B:R"),15,FALSE),"")</f>
        <v/>
      </c>
      <c r="EN211" s="96">
        <f>IFERROR(VLOOKUP($B211,INDIRECT("'GRD-"&amp;EN$11&amp;"'!B:R"),15,FALSE),"")</f>
        <v/>
      </c>
      <c r="EO211" s="96">
        <f>IFERROR(VLOOKUP($B211,INDIRECT("'GRD-"&amp;EO$11&amp;"'!B:R"),15,FALSE),"")</f>
        <v/>
      </c>
      <c r="EP211" s="96">
        <f>IFERROR(VLOOKUP($B211,INDIRECT("'GRD-"&amp;EP$11&amp;"'!B:R"),15,FALSE),"")</f>
        <v/>
      </c>
      <c r="EQ211" s="96">
        <f>IFERROR(VLOOKUP($B211,INDIRECT("'GRD-"&amp;EQ$11&amp;"'!B:R"),15,FALSE),"")</f>
        <v/>
      </c>
      <c r="ER211" s="96">
        <f>IFERROR(VLOOKUP($B211,INDIRECT("'GRD-"&amp;ER$11&amp;"'!B:R"),15,FALSE),"")</f>
        <v/>
      </c>
      <c r="ES211" s="96">
        <f>IFERROR(VLOOKUP($B211,INDIRECT("'GRD-"&amp;ES$11&amp;"'!B:R"),15,FALSE),"")</f>
        <v/>
      </c>
      <c r="ET211" s="96">
        <f>IFERROR(VLOOKUP($B211,INDIRECT("'GRD-"&amp;ET$11&amp;"'!B:R"),15,FALSE),"")</f>
        <v/>
      </c>
      <c r="EU211" s="96">
        <f>IFERROR(VLOOKUP($B211,INDIRECT("'GRD-"&amp;EU$11&amp;"'!B:R"),15,FALSE),"")</f>
        <v/>
      </c>
      <c r="EV211" s="96">
        <f>IFERROR(VLOOKUP($B211,INDIRECT("'GRD-"&amp;EV$11&amp;"'!B:R"),15,FALSE),"")</f>
        <v/>
      </c>
      <c r="EW211" s="96">
        <f>IFERROR(VLOOKUP($B211,INDIRECT("'GRD-"&amp;EW$11&amp;"'!B:R"),15,FALSE),"")</f>
        <v/>
      </c>
      <c r="EX211" s="96">
        <f>IFERROR(VLOOKUP($B211,INDIRECT("'GRD-"&amp;EX$11&amp;"'!B:R"),15,FALSE),"")</f>
        <v/>
      </c>
      <c r="EY211" s="96">
        <f>IFERROR(VLOOKUP($B211,INDIRECT("'GRD-"&amp;EY$11&amp;"'!B:R"),15,FALSE),"")</f>
        <v/>
      </c>
      <c r="EZ211" s="96">
        <f>IFERROR(VLOOKUP($B211,INDIRECT("'GRD-"&amp;EZ$11&amp;"'!B:R"),15,FALSE),"")</f>
        <v/>
      </c>
      <c r="FA211" s="96">
        <f>IFERROR(VLOOKUP($B211,INDIRECT("'GRD-"&amp;FA$11&amp;"'!B:R"),15,FALSE),"")</f>
        <v/>
      </c>
      <c r="FB211" s="96">
        <f>IFERROR(VLOOKUP($B211,INDIRECT("'GRD-"&amp;FB$11&amp;"'!B:R"),15,FALSE),"")</f>
        <v/>
      </c>
      <c r="FC211" s="96">
        <f>IFERROR(VLOOKUP($B211,INDIRECT("'GRD-"&amp;FC$11&amp;"'!B:R"),15,FALSE),"")</f>
        <v/>
      </c>
      <c r="FD211" s="96">
        <f>IFERROR(VLOOKUP($B211,INDIRECT("'GRD-"&amp;FD$11&amp;"'!B:R"),15,FALSE),"")</f>
        <v/>
      </c>
      <c r="FE211" s="96">
        <f>IFERROR(VLOOKUP($B211,INDIRECT("'GRD-"&amp;FE$11&amp;"'!B:R"),15,FALSE),"")</f>
        <v/>
      </c>
      <c r="FF211" s="96">
        <f>IFERROR(VLOOKUP($B211,INDIRECT("'GRD-"&amp;FF$11&amp;"'!B:R"),15,FALSE),"")</f>
        <v/>
      </c>
      <c r="FG211" s="96">
        <f>IFERROR(VLOOKUP($B211,INDIRECT("'GRD-"&amp;FG$11&amp;"'!B:R"),15,FALSE),"")</f>
        <v/>
      </c>
      <c r="FH211" s="96">
        <f>IFERROR(VLOOKUP($B211,INDIRECT("'GRD-"&amp;FH$11&amp;"'!B:R"),15,FALSE),"")</f>
        <v/>
      </c>
      <c r="FI211" s="96">
        <f>IFERROR(VLOOKUP($B211,INDIRECT("'GRD-"&amp;FI$11&amp;"'!B:R"),15,FALSE),"")</f>
        <v/>
      </c>
      <c r="FJ211" s="96">
        <f>IFERROR(VLOOKUP($B211,INDIRECT("'GRD-"&amp;FJ$11&amp;"'!B:R"),15,FALSE),"")</f>
        <v/>
      </c>
      <c r="FK211" s="96">
        <f>IFERROR(VLOOKUP($B211,INDIRECT("'GRD-"&amp;FK$11&amp;"'!B:R"),15,FALSE),"")</f>
        <v/>
      </c>
      <c r="FL211" s="96">
        <f>IFERROR(VLOOKUP($B211,INDIRECT("'GRD-"&amp;FL$11&amp;"'!B:R"),15,FALSE),"")</f>
        <v/>
      </c>
      <c r="FM211" s="96">
        <f>IFERROR(VLOOKUP($B211,INDIRECT("'GRD-"&amp;FM$11&amp;"'!B:R"),15,FALSE),"")</f>
        <v/>
      </c>
      <c r="FN211" s="96">
        <f>IFERROR(VLOOKUP($B211,INDIRECT("'GRD-"&amp;FN$11&amp;"'!B:R"),15,FALSE),"")</f>
        <v/>
      </c>
      <c r="FO211" s="96">
        <f>IFERROR(VLOOKUP($B211,INDIRECT("'GRD-"&amp;FO$11&amp;"'!B:R"),15,FALSE),"")</f>
        <v/>
      </c>
      <c r="FP211" s="96">
        <f>IFERROR(VLOOKUP($B211,INDIRECT("'GRD-"&amp;FP$11&amp;"'!B:R"),15,FALSE),"")</f>
        <v/>
      </c>
      <c r="FQ211" s="96">
        <f>IFERROR(VLOOKUP($B211,INDIRECT("'GRD-"&amp;FQ$11&amp;"'!B:R"),15,FALSE),"")</f>
        <v/>
      </c>
      <c r="FR211" s="96">
        <f>IFERROR(VLOOKUP($B211,INDIRECT("'GRD-"&amp;FR$11&amp;"'!B:R"),15,FALSE),"")</f>
        <v/>
      </c>
      <c r="FS211" s="96">
        <f>IFERROR(VLOOKUP($B211,INDIRECT("'GRD-"&amp;FS$11&amp;"'!B:R"),15,FALSE),"")</f>
        <v/>
      </c>
      <c r="FT211" s="96">
        <f>IFERROR(VLOOKUP($B211,INDIRECT("'GRD-"&amp;FT$11&amp;"'!B:R"),15,FALSE),"")</f>
        <v/>
      </c>
      <c r="FU211" s="96">
        <f>IFERROR(VLOOKUP($B211,INDIRECT("'GRD-"&amp;FU$11&amp;"'!B:R"),15,FALSE),"")</f>
        <v/>
      </c>
      <c r="FV211" s="96">
        <f>IFERROR(VLOOKUP($B211,INDIRECT("'GRD-"&amp;FV$11&amp;"'!B:R"),15,FALSE),"")</f>
        <v/>
      </c>
    </row>
    <row r="212">
      <c r="B212" s="85" t="n"/>
      <c r="C212" s="93" t="n"/>
      <c r="D212" s="73">
        <f>IF(K212="","",MAX($CA212:$FV212))</f>
        <v/>
      </c>
      <c r="E212" s="74">
        <f t="array" ref="E212">IF($K212="","",OFFSET($A$1,ROW($B212)-1,11+$D212*4,))</f>
        <v/>
      </c>
      <c r="F212" s="74">
        <f t="array" ref="F212">IF($K212="","",OFFSET($A$1,ROW($B212)-1,12+$D212*4,))</f>
        <v/>
      </c>
      <c r="G212" s="118">
        <f t="array" ref="G212">IF($K212="","",OFFSET($A$1,ROW($B212)-1,13+$D212*4,))</f>
        <v/>
      </c>
      <c r="H212" s="81" t="n"/>
      <c r="I212" s="82" t="n"/>
      <c r="J212" s="75">
        <f>IF(I212="A4",H212/8,IF(I212="A3",H212/4,IF(I212="A2",H212/2,IF(I212="A1",H212/1,IF(I212="A0",H212*2,"")))))</f>
        <v/>
      </c>
      <c r="K212" s="68">
        <f t="array" ref="K212">IFERROR(OFFSET($BZ$11,ROW($B212)-11,MATCH(K$10,$CA212:$FV212,0),),"")</f>
        <v/>
      </c>
      <c r="L212" s="85">
        <f>IF(K212="","",IF(VLOOKUP($B212,INDIRECT("'GRD-"&amp;M212&amp;"'!$B:$R"),16,FALSE)="","",VLOOKUP($B212,INDIRECT("'GRD-"&amp;M212&amp;"'!$B:$R"),16,FALSE)))</f>
        <v/>
      </c>
      <c r="M212" s="130">
        <f t="array" ref="M212">IF(K212="","",IFERROR(OFFSET($BZ$11,0,MATCH($K212,$CA212:$FV212,0),),""))</f>
        <v/>
      </c>
      <c r="N212" s="119">
        <f t="array" ref="N212">IF(K212="","",INDIRECT("'GRD-"&amp;M212&amp;"'!$L$7"))</f>
        <v/>
      </c>
      <c r="O212" s="76">
        <f t="array" ref="O212">IFERROR(OFFSET($BZ$11,ROW($B212)-11,MATCH(O$10,$CA212:$FV212,0),),"")</f>
        <v/>
      </c>
      <c r="P212" s="76">
        <f>IF(O212="","",IF(VLOOKUP($B212,INDIRECT("'GRD-"&amp;Q212&amp;"'!$B:$R"),16,FALSE)="","",VLOOKUP($B212,INDIRECT("'GRD-"&amp;Q212&amp;"'!$B:$R"),16,FALSE)))</f>
        <v/>
      </c>
      <c r="Q212" s="132">
        <f t="array" ref="Q212">IF(O212="","",IFERROR(OFFSET($BZ$11,0,MATCH($O212,$CA212:$FV212,0),),""))</f>
        <v/>
      </c>
      <c r="R212" s="121">
        <f t="array" ref="R212">IF(O212="","",INDIRECT("'GRD-"&amp;Q212&amp;"'!$L$7"))</f>
        <v/>
      </c>
      <c r="S212" s="83">
        <f t="array" ref="S212">IFERROR(OFFSET($BZ$11,ROW($B212)-11,MATCH(S$10,$CA212:$FV212,0),),"")</f>
        <v/>
      </c>
      <c r="T212" s="83">
        <f>IF(S212="","",IF(VLOOKUP($B212,INDIRECT("'GRD-"&amp;U212&amp;"'!$B:$R"),16,FALSE)="","",VLOOKUP($B212,INDIRECT("'GRD-"&amp;U212&amp;"'!$B:$R"),16,FALSE)))</f>
        <v/>
      </c>
      <c r="U212" s="128">
        <f t="array" ref="U212">IF(S212="","",IFERROR(OFFSET($BZ$11,0,MATCH($S212,$CA212:$FV212,0),),""))</f>
        <v/>
      </c>
      <c r="V212" s="133">
        <f t="array" ref="V212">IF(S212="","",INDIRECT("'GRD-"&amp;U212&amp;"'!$L$7"))</f>
        <v/>
      </c>
      <c r="W212" s="84">
        <f t="array" ref="W212">IFERROR(OFFSET($BZ$11,ROW($B212)-11,MATCH(W$10,$CA212:$FV212,0),),"")</f>
        <v/>
      </c>
      <c r="X212" s="84">
        <f>IF(W212="","",IF(VLOOKUP($B212,INDIRECT("'GRD-"&amp;Y212&amp;"'!$B:$R"),16,FALSE)="","",VLOOKUP($B212,INDIRECT("'GRD-"&amp;Y212&amp;"'!$B:$R"),16,FALSE)))</f>
        <v/>
      </c>
      <c r="Y212" s="129">
        <f t="array" ref="Y212">IF(W212="","",IFERROR(OFFSET($BZ$11,0,MATCH($W212,$CA212:$FV212,0),),""))</f>
        <v/>
      </c>
      <c r="Z212" s="134">
        <f t="array" ref="Z212">IF(W212="","",INDIRECT("'GRD-"&amp;Y212&amp;"'!$L$7"))</f>
        <v/>
      </c>
      <c r="AA212" s="85">
        <f t="array" ref="AA212">IFERROR(OFFSET($BZ$11,ROW($B212)-11,MATCH(AA$10,$CA212:$FV212,0),),"")</f>
        <v/>
      </c>
      <c r="AB212" s="85">
        <f>IF(AA212="","",IF(VLOOKUP($B212,INDIRECT("'GRD-"&amp;AC212&amp;"'!$B:$R"),16,FALSE)="","",VLOOKUP($B212,INDIRECT("'GRD-"&amp;AC212&amp;"'!$B:$R"),16,FALSE)))</f>
        <v/>
      </c>
      <c r="AC212" s="130">
        <f t="array" ref="AC212">IF(AA212="","",IFERROR(OFFSET($BZ$11,0,MATCH($AA212,$CA212:$FV212,0),),""))</f>
        <v/>
      </c>
      <c r="AD212" s="131">
        <f t="array" ref="AD212">IF(AA212="","",INDIRECT("'GRD-"&amp;AC212&amp;"'!$L$7"))</f>
        <v/>
      </c>
      <c r="AE212" s="76">
        <f t="array" ref="AE212">IFERROR(OFFSET($BZ$11,ROW($B212)-11,MATCH(AE$10,$CA212:$FV212,0),),"")</f>
        <v/>
      </c>
      <c r="AF212" s="76">
        <f>IF(AE212="","",IF(VLOOKUP($B212,INDIRECT("'GRD-"&amp;AG212&amp;"'!$B:$R"),16,FALSE)="","",VLOOKUP($B212,INDIRECT("'GRD-"&amp;AG212&amp;"'!$B:$R"),16,FALSE)))</f>
        <v/>
      </c>
      <c r="AG212" s="132">
        <f t="array" ref="AG212">IF(AE212="","",IFERROR(OFFSET($BZ$11,0,MATCH($AE212,$CA212:$FV212,0),),""))</f>
        <v/>
      </c>
      <c r="AH212" s="121">
        <f t="array" ref="AH212">IF(AE212="","",INDIRECT("'GRD-"&amp;AG212&amp;"'!$L$7"))</f>
        <v/>
      </c>
      <c r="AI212" s="83">
        <f t="array" ref="AI212">IFERROR(OFFSET($BZ$11,ROW($B212)-11,MATCH(AI$10,$CA212:$FV212,0),),"")</f>
        <v/>
      </c>
      <c r="AJ212" s="83">
        <f>IF(AI212="","",IF(VLOOKUP($B212,INDIRECT("'GRD-"&amp;AK212&amp;"'!$B:$R"),16,FALSE)="","",VLOOKUP($B212,INDIRECT("'GRD-"&amp;AK212&amp;"'!$B:$R"),16,FALSE)))</f>
        <v/>
      </c>
      <c r="AK212" s="128">
        <f t="array" ref="AK212">IF(AI212="","",IFERROR(OFFSET($BZ$11,0,MATCH($AI212,$CA212:$FV212,0),),""))</f>
        <v/>
      </c>
      <c r="AL212" s="133">
        <f t="array" ref="AL212">IF(AI212="","",INDIRECT("'GRD-"&amp;AK212&amp;"'!$L$7"))</f>
        <v/>
      </c>
      <c r="AM212" s="84">
        <f t="array" ref="AM212">IFERROR(OFFSET($BZ$11,ROW($B212)-11,MATCH(AM$10,$CA212:$FV212,0),),"")</f>
        <v/>
      </c>
      <c r="AN212" s="84">
        <f>IF(AM212="","",IF(VLOOKUP($B212,INDIRECT("'GRD-"&amp;AO212&amp;"'!$B:$R"),16,FALSE)="","",VLOOKUP($B212,INDIRECT("'GRD-"&amp;AO212&amp;"'!$B:$R"),16,FALSE)))</f>
        <v/>
      </c>
      <c r="AO212" s="129">
        <f t="array" ref="AO212">IF(AM212="","",IFERROR(OFFSET($BZ$11,0,MATCH($AM212,$CA212:$FV212,0),),""))</f>
        <v/>
      </c>
      <c r="AP212" s="134">
        <f t="array" ref="AP212">IF(AM212="","",INDIRECT("'GRD-"&amp;AO212&amp;"'!$L$7"))</f>
        <v/>
      </c>
      <c r="AQ212" s="85">
        <f t="array" ref="AQ212">IFERROR(OFFSET($BZ$11,ROW($B212)-11,MATCH(AQ$10,$CA212:$FV212,0),),"")</f>
        <v/>
      </c>
      <c r="AR212" s="85">
        <f>IF(AQ212="","",IF(VLOOKUP($B212,INDIRECT("'GRD-"&amp;AS212&amp;"'!$B:$R"),16,FALSE)="","",VLOOKUP($B212,INDIRECT("'GRD-"&amp;AS212&amp;"'!$B:$R"),16,FALSE)))</f>
        <v/>
      </c>
      <c r="AS212" s="130">
        <f t="array" ref="AS212">IF(AQ212="","",IFERROR(OFFSET($BZ$11,0,MATCH($AQ212,$CA212:$FV212,0),),""))</f>
        <v/>
      </c>
      <c r="AT212" s="131">
        <f t="array" ref="AT212">IF(AQ212="","",INDIRECT("'GRD-"&amp;AS212&amp;"'!$L$7"))</f>
        <v/>
      </c>
      <c r="AU212" s="76">
        <f t="array" ref="AU212">IFERROR(OFFSET($BZ$11,ROW($B212)-11,MATCH(AU$10,$CA212:$FV212,0),),"")</f>
        <v/>
      </c>
      <c r="AV212" s="76">
        <f>IF(AU212="","",IF(VLOOKUP($B212,INDIRECT("'GRD-"&amp;AW212&amp;"'!$B:$R"),16,FALSE)="","",VLOOKUP($B212,INDIRECT("'GRD-"&amp;AW212&amp;"'!$B:$R"),16,FALSE)))</f>
        <v/>
      </c>
      <c r="AW212" s="132">
        <f t="array" ref="AW212">IF(AU212="","",IFERROR(OFFSET($BZ$11,0,MATCH($AU212,$CA212:$FV212,0),),""))</f>
        <v/>
      </c>
      <c r="AX212" s="121">
        <f t="array" ref="AX212">IF(AU212="","",INDIRECT("'GRD-"&amp;AW212&amp;"'!$L$7"))</f>
        <v/>
      </c>
      <c r="AY212" s="83">
        <f t="array" ref="AY212">IFERROR(OFFSET($BZ$11,ROW($B212)-11,MATCH(AY$10,$CA212:$FV212,0),),"")</f>
        <v/>
      </c>
      <c r="AZ212" s="83">
        <f>IF(AY212="","",IF(VLOOKUP($B212,INDIRECT("'GRD-"&amp;BA212&amp;"'!$B:$R"),16,FALSE)="","",VLOOKUP($B212,INDIRECT("'GRD-"&amp;BA212&amp;"'!$B:$R"),16,FALSE)))</f>
        <v/>
      </c>
      <c r="BA212" s="128">
        <f t="array" ref="BA212">IF(AY212="","",IFERROR(OFFSET($BZ$11,0,MATCH($AY212,$CA212:$FV212,0),),""))</f>
        <v/>
      </c>
      <c r="BB212" s="133">
        <f t="array" ref="BB212">IF(AY212="","",INDIRECT("'GRD-"&amp;BA212&amp;"'!$L$7"))</f>
        <v/>
      </c>
      <c r="BC212" s="84">
        <f t="array" ref="BC212">IFERROR(OFFSET($BZ$11,ROW($B212)-11,MATCH(BC$10,$CA212:$FV212,0),),"")</f>
        <v/>
      </c>
      <c r="BD212" s="84">
        <f>IF(BC212="","",IF(VLOOKUP($B212,INDIRECT("'GRD-"&amp;BE212&amp;"'!$B:$R"),16,FALSE)="","",VLOOKUP($B212,INDIRECT("'GRD-"&amp;BE212&amp;"'!$B:$R"),16,FALSE)))</f>
        <v/>
      </c>
      <c r="BE212" s="129">
        <f t="array" ref="BE212">IF(BC212="","",IFERROR(OFFSET($BZ$11,0,MATCH($BC212,$CA212:$FV212,0),),""))</f>
        <v/>
      </c>
      <c r="BF212" s="134">
        <f t="array" ref="BF212">IF(BC212="","",INDIRECT("'GRD-"&amp;BE212&amp;"'!$L$7"))</f>
        <v/>
      </c>
      <c r="CA212" s="96">
        <f>IFERROR(VLOOKUP($B212,INDIRECT("'GRD-"&amp;CA$11&amp;"'!B:R"),15,FALSE),"")</f>
        <v/>
      </c>
      <c r="CB212" s="96">
        <f>IFERROR(VLOOKUP($B212,INDIRECT("'GRD-"&amp;CB$11&amp;"'!B:R"),15,FALSE),"")</f>
        <v/>
      </c>
      <c r="CC212" s="96">
        <f>IFERROR(VLOOKUP($B212,INDIRECT("'GRD-"&amp;CC$11&amp;"'!B:R"),15,FALSE),"")</f>
        <v/>
      </c>
      <c r="CD212" s="96">
        <f>IFERROR(VLOOKUP($B212,INDIRECT("'GRD-"&amp;CD$11&amp;"'!B:R"),15,FALSE),"")</f>
        <v/>
      </c>
      <c r="CE212" s="96">
        <f>IFERROR(VLOOKUP($B212,INDIRECT("'GRD-"&amp;CE$11&amp;"'!B:R"),15,FALSE),"")</f>
        <v/>
      </c>
      <c r="CF212" s="96">
        <f>IFERROR(VLOOKUP($B212,INDIRECT("'GRD-"&amp;CF$11&amp;"'!B:R"),15,FALSE),"")</f>
        <v/>
      </c>
      <c r="CG212" s="96">
        <f>IFERROR(VLOOKUP($B212,INDIRECT("'GRD-"&amp;CG$11&amp;"'!B:R"),15,FALSE),"")</f>
        <v/>
      </c>
      <c r="CH212" s="96">
        <f>IFERROR(VLOOKUP($B212,INDIRECT("'GRD-"&amp;CH$11&amp;"'!B:R"),15,FALSE),"")</f>
        <v/>
      </c>
      <c r="CI212" s="96">
        <f>IFERROR(VLOOKUP($B212,INDIRECT("'GRD-"&amp;CI$11&amp;"'!B:R"),15,FALSE),"")</f>
        <v/>
      </c>
      <c r="CJ212" s="96">
        <f>IFERROR(VLOOKUP($B212,INDIRECT("'GRD-"&amp;CJ$11&amp;"'!B:R"),15,FALSE),"")</f>
        <v/>
      </c>
      <c r="CK212" s="96">
        <f>IFERROR(VLOOKUP($B212,INDIRECT("'GRD-"&amp;CK$11&amp;"'!B:R"),15,FALSE),"")</f>
        <v/>
      </c>
      <c r="CL212" s="96">
        <f>IFERROR(VLOOKUP($B212,INDIRECT("'GRD-"&amp;CL$11&amp;"'!B:R"),15,FALSE),"")</f>
        <v/>
      </c>
      <c r="CM212" s="96">
        <f>IFERROR(VLOOKUP($B212,INDIRECT("'GRD-"&amp;CM$11&amp;"'!B:R"),15,FALSE),"")</f>
        <v/>
      </c>
      <c r="CN212" s="96">
        <f>IFERROR(VLOOKUP($B212,INDIRECT("'GRD-"&amp;CN$11&amp;"'!B:R"),15,FALSE),"")</f>
        <v/>
      </c>
      <c r="CO212" s="96">
        <f>IFERROR(VLOOKUP($B212,INDIRECT("'GRD-"&amp;CO$11&amp;"'!B:R"),15,FALSE),"")</f>
        <v/>
      </c>
      <c r="CP212" s="96">
        <f>IFERROR(VLOOKUP($B212,INDIRECT("'GRD-"&amp;CP$11&amp;"'!B:R"),15,FALSE),"")</f>
        <v/>
      </c>
      <c r="CQ212" s="96">
        <f>IFERROR(VLOOKUP($B212,INDIRECT("'GRD-"&amp;CQ$11&amp;"'!B:R"),15,FALSE),"")</f>
        <v/>
      </c>
      <c r="CR212" s="96">
        <f>IFERROR(VLOOKUP($B212,INDIRECT("'GRD-"&amp;CR$11&amp;"'!B:R"),15,FALSE),"")</f>
        <v/>
      </c>
      <c r="CS212" s="96">
        <f>IFERROR(VLOOKUP($B212,INDIRECT("'GRD-"&amp;CS$11&amp;"'!B:R"),15,FALSE),"")</f>
        <v/>
      </c>
      <c r="CT212" s="96">
        <f>IFERROR(VLOOKUP($B212,INDIRECT("'GRD-"&amp;CT$11&amp;"'!B:R"),15,FALSE),"")</f>
        <v/>
      </c>
      <c r="CU212" s="96">
        <f>IFERROR(VLOOKUP($B212,INDIRECT("'GRD-"&amp;CU$11&amp;"'!B:R"),15,FALSE),"")</f>
        <v/>
      </c>
      <c r="CV212" s="96">
        <f>IFERROR(VLOOKUP($B212,INDIRECT("'GRD-"&amp;CV$11&amp;"'!B:R"),15,FALSE),"")</f>
        <v/>
      </c>
      <c r="CW212" s="96">
        <f>IFERROR(VLOOKUP($B212,INDIRECT("'GRD-"&amp;CW$11&amp;"'!B:R"),15,FALSE),"")</f>
        <v/>
      </c>
      <c r="CX212" s="96">
        <f>IFERROR(VLOOKUP($B212,INDIRECT("'GRD-"&amp;CX$11&amp;"'!B:R"),15,FALSE),"")</f>
        <v/>
      </c>
      <c r="CY212" s="96">
        <f>IFERROR(VLOOKUP($B212,INDIRECT("'GRD-"&amp;CY$11&amp;"'!B:R"),15,FALSE),"")</f>
        <v/>
      </c>
      <c r="CZ212" s="96">
        <f>IFERROR(VLOOKUP($B212,INDIRECT("'GRD-"&amp;CZ$11&amp;"'!B:R"),15,FALSE),"")</f>
        <v/>
      </c>
      <c r="DA212" s="96">
        <f>IFERROR(VLOOKUP($B212,INDIRECT("'GRD-"&amp;DA$11&amp;"'!B:R"),15,FALSE),"")</f>
        <v/>
      </c>
      <c r="DB212" s="96">
        <f>IFERROR(VLOOKUP($B212,INDIRECT("'GRD-"&amp;DB$11&amp;"'!B:R"),15,FALSE),"")</f>
        <v/>
      </c>
      <c r="DC212" s="96">
        <f>IFERROR(VLOOKUP($B212,INDIRECT("'GRD-"&amp;DC$11&amp;"'!B:R"),15,FALSE),"")</f>
        <v/>
      </c>
      <c r="DD212" s="96">
        <f>IFERROR(VLOOKUP($B212,INDIRECT("'GRD-"&amp;DD$11&amp;"'!B:R"),15,FALSE),"")</f>
        <v/>
      </c>
      <c r="DE212" s="96">
        <f>IFERROR(VLOOKUP($B212,INDIRECT("'GRD-"&amp;DE$11&amp;"'!B:R"),15,FALSE),"")</f>
        <v/>
      </c>
      <c r="DF212" s="96">
        <f>IFERROR(VLOOKUP($B212,INDIRECT("'GRD-"&amp;DF$11&amp;"'!B:R"),15,FALSE),"")</f>
        <v/>
      </c>
      <c r="DG212" s="96">
        <f>IFERROR(VLOOKUP($B212,INDIRECT("'GRD-"&amp;DG$11&amp;"'!B:R"),15,FALSE),"")</f>
        <v/>
      </c>
      <c r="DH212" s="96">
        <f>IFERROR(VLOOKUP($B212,INDIRECT("'GRD-"&amp;DH$11&amp;"'!B:R"),15,FALSE),"")</f>
        <v/>
      </c>
      <c r="DI212" s="96">
        <f>IFERROR(VLOOKUP($B212,INDIRECT("'GRD-"&amp;DI$11&amp;"'!B:R"),15,FALSE),"")</f>
        <v/>
      </c>
      <c r="DJ212" s="96">
        <f>IFERROR(VLOOKUP($B212,INDIRECT("'GRD-"&amp;DJ$11&amp;"'!B:R"),15,FALSE),"")</f>
        <v/>
      </c>
      <c r="DK212" s="96">
        <f>IFERROR(VLOOKUP($B212,INDIRECT("'GRD-"&amp;DK$11&amp;"'!B:R"),15,FALSE),"")</f>
        <v/>
      </c>
      <c r="DL212" s="96">
        <f>IFERROR(VLOOKUP($B212,INDIRECT("'GRD-"&amp;DL$11&amp;"'!B:R"),15,FALSE),"")</f>
        <v/>
      </c>
      <c r="DM212" s="96">
        <f>IFERROR(VLOOKUP($B212,INDIRECT("'GRD-"&amp;DM$11&amp;"'!B:R"),15,FALSE),"")</f>
        <v/>
      </c>
      <c r="DN212" s="96">
        <f>IFERROR(VLOOKUP($B212,INDIRECT("'GRD-"&amp;DN$11&amp;"'!B:R"),15,FALSE),"")</f>
        <v/>
      </c>
      <c r="DO212" s="96">
        <f>IFERROR(VLOOKUP($B212,INDIRECT("'GRD-"&amp;DO$11&amp;"'!B:R"),15,FALSE),"")</f>
        <v/>
      </c>
      <c r="DP212" s="96">
        <f>IFERROR(VLOOKUP($B212,INDIRECT("'GRD-"&amp;DP$11&amp;"'!B:R"),15,FALSE),"")</f>
        <v/>
      </c>
      <c r="DQ212" s="96">
        <f>IFERROR(VLOOKUP($B212,INDIRECT("'GRD-"&amp;DQ$11&amp;"'!B:R"),15,FALSE),"")</f>
        <v/>
      </c>
      <c r="DR212" s="96">
        <f>IFERROR(VLOOKUP($B212,INDIRECT("'GRD-"&amp;DR$11&amp;"'!B:R"),15,FALSE),"")</f>
        <v/>
      </c>
      <c r="DS212" s="96">
        <f>IFERROR(VLOOKUP($B212,INDIRECT("'GRD-"&amp;DS$11&amp;"'!B:R"),15,FALSE),"")</f>
        <v/>
      </c>
      <c r="DT212" s="96">
        <f>IFERROR(VLOOKUP($B212,INDIRECT("'GRD-"&amp;DT$11&amp;"'!B:R"),15,FALSE),"")</f>
        <v/>
      </c>
      <c r="DU212" s="96">
        <f>IFERROR(VLOOKUP($B212,INDIRECT("'GRD-"&amp;DU$11&amp;"'!B:R"),15,FALSE),"")</f>
        <v/>
      </c>
      <c r="DV212" s="96">
        <f>IFERROR(VLOOKUP($B212,INDIRECT("'GRD-"&amp;DV$11&amp;"'!B:R"),15,FALSE),"")</f>
        <v/>
      </c>
      <c r="DW212" s="96">
        <f>IFERROR(VLOOKUP($B212,INDIRECT("'GRD-"&amp;DW$11&amp;"'!B:R"),15,FALSE),"")</f>
        <v/>
      </c>
      <c r="DX212" s="96">
        <f>IFERROR(VLOOKUP($B212,INDIRECT("'GRD-"&amp;DX$11&amp;"'!B:R"),15,FALSE),"")</f>
        <v/>
      </c>
      <c r="DY212" s="96">
        <f>IFERROR(VLOOKUP($B212,INDIRECT("'GRD-"&amp;DY$11&amp;"'!B:R"),15,FALSE),"")</f>
        <v/>
      </c>
      <c r="DZ212" s="96">
        <f>IFERROR(VLOOKUP($B212,INDIRECT("'GRD-"&amp;DZ$11&amp;"'!B:R"),15,FALSE),"")</f>
        <v/>
      </c>
      <c r="EA212" s="96">
        <f>IFERROR(VLOOKUP($B212,INDIRECT("'GRD-"&amp;EA$11&amp;"'!B:R"),15,FALSE),"")</f>
        <v/>
      </c>
      <c r="EB212" s="96">
        <f>IFERROR(VLOOKUP($B212,INDIRECT("'GRD-"&amp;EB$11&amp;"'!B:R"),15,FALSE),"")</f>
        <v/>
      </c>
      <c r="EC212" s="96">
        <f>IFERROR(VLOOKUP($B212,INDIRECT("'GRD-"&amp;EC$11&amp;"'!B:R"),15,FALSE),"")</f>
        <v/>
      </c>
      <c r="ED212" s="96">
        <f>IFERROR(VLOOKUP($B212,INDIRECT("'GRD-"&amp;ED$11&amp;"'!B:R"),15,FALSE),"")</f>
        <v/>
      </c>
      <c r="EE212" s="96">
        <f>IFERROR(VLOOKUP($B212,INDIRECT("'GRD-"&amp;EE$11&amp;"'!B:R"),15,FALSE),"")</f>
        <v/>
      </c>
      <c r="EF212" s="96">
        <f>IFERROR(VLOOKUP($B212,INDIRECT("'GRD-"&amp;EF$11&amp;"'!B:R"),15,FALSE),"")</f>
        <v/>
      </c>
      <c r="EG212" s="96">
        <f>IFERROR(VLOOKUP($B212,INDIRECT("'GRD-"&amp;EG$11&amp;"'!B:R"),15,FALSE),"")</f>
        <v/>
      </c>
      <c r="EH212" s="96">
        <f>IFERROR(VLOOKUP($B212,INDIRECT("'GRD-"&amp;EH$11&amp;"'!B:R"),15,FALSE),"")</f>
        <v/>
      </c>
      <c r="EI212" s="96">
        <f>IFERROR(VLOOKUP($B212,INDIRECT("'GRD-"&amp;EI$11&amp;"'!B:R"),15,FALSE),"")</f>
        <v/>
      </c>
      <c r="EJ212" s="96">
        <f>IFERROR(VLOOKUP($B212,INDIRECT("'GRD-"&amp;EJ$11&amp;"'!B:R"),15,FALSE),"")</f>
        <v/>
      </c>
      <c r="EK212" s="96">
        <f>IFERROR(VLOOKUP($B212,INDIRECT("'GRD-"&amp;EK$11&amp;"'!B:R"),15,FALSE),"")</f>
        <v/>
      </c>
      <c r="EL212" s="96">
        <f>IFERROR(VLOOKUP($B212,INDIRECT("'GRD-"&amp;EL$11&amp;"'!B:R"),15,FALSE),"")</f>
        <v/>
      </c>
      <c r="EM212" s="96">
        <f>IFERROR(VLOOKUP($B212,INDIRECT("'GRD-"&amp;EM$11&amp;"'!B:R"),15,FALSE),"")</f>
        <v/>
      </c>
      <c r="EN212" s="96">
        <f>IFERROR(VLOOKUP($B212,INDIRECT("'GRD-"&amp;EN$11&amp;"'!B:R"),15,FALSE),"")</f>
        <v/>
      </c>
      <c r="EO212" s="96">
        <f>IFERROR(VLOOKUP($B212,INDIRECT("'GRD-"&amp;EO$11&amp;"'!B:R"),15,FALSE),"")</f>
        <v/>
      </c>
      <c r="EP212" s="96">
        <f>IFERROR(VLOOKUP($B212,INDIRECT("'GRD-"&amp;EP$11&amp;"'!B:R"),15,FALSE),"")</f>
        <v/>
      </c>
      <c r="EQ212" s="96">
        <f>IFERROR(VLOOKUP($B212,INDIRECT("'GRD-"&amp;EQ$11&amp;"'!B:R"),15,FALSE),"")</f>
        <v/>
      </c>
      <c r="ER212" s="96">
        <f>IFERROR(VLOOKUP($B212,INDIRECT("'GRD-"&amp;ER$11&amp;"'!B:R"),15,FALSE),"")</f>
        <v/>
      </c>
      <c r="ES212" s="96">
        <f>IFERROR(VLOOKUP($B212,INDIRECT("'GRD-"&amp;ES$11&amp;"'!B:R"),15,FALSE),"")</f>
        <v/>
      </c>
      <c r="ET212" s="96">
        <f>IFERROR(VLOOKUP($B212,INDIRECT("'GRD-"&amp;ET$11&amp;"'!B:R"),15,FALSE),"")</f>
        <v/>
      </c>
      <c r="EU212" s="96">
        <f>IFERROR(VLOOKUP($B212,INDIRECT("'GRD-"&amp;EU$11&amp;"'!B:R"),15,FALSE),"")</f>
        <v/>
      </c>
      <c r="EV212" s="96">
        <f>IFERROR(VLOOKUP($B212,INDIRECT("'GRD-"&amp;EV$11&amp;"'!B:R"),15,FALSE),"")</f>
        <v/>
      </c>
      <c r="EW212" s="96">
        <f>IFERROR(VLOOKUP($B212,INDIRECT("'GRD-"&amp;EW$11&amp;"'!B:R"),15,FALSE),"")</f>
        <v/>
      </c>
      <c r="EX212" s="96">
        <f>IFERROR(VLOOKUP($B212,INDIRECT("'GRD-"&amp;EX$11&amp;"'!B:R"),15,FALSE),"")</f>
        <v/>
      </c>
      <c r="EY212" s="96">
        <f>IFERROR(VLOOKUP($B212,INDIRECT("'GRD-"&amp;EY$11&amp;"'!B:R"),15,FALSE),"")</f>
        <v/>
      </c>
      <c r="EZ212" s="96">
        <f>IFERROR(VLOOKUP($B212,INDIRECT("'GRD-"&amp;EZ$11&amp;"'!B:R"),15,FALSE),"")</f>
        <v/>
      </c>
      <c r="FA212" s="96">
        <f>IFERROR(VLOOKUP($B212,INDIRECT("'GRD-"&amp;FA$11&amp;"'!B:R"),15,FALSE),"")</f>
        <v/>
      </c>
      <c r="FB212" s="96">
        <f>IFERROR(VLOOKUP($B212,INDIRECT("'GRD-"&amp;FB$11&amp;"'!B:R"),15,FALSE),"")</f>
        <v/>
      </c>
      <c r="FC212" s="96">
        <f>IFERROR(VLOOKUP($B212,INDIRECT("'GRD-"&amp;FC$11&amp;"'!B:R"),15,FALSE),"")</f>
        <v/>
      </c>
      <c r="FD212" s="96">
        <f>IFERROR(VLOOKUP($B212,INDIRECT("'GRD-"&amp;FD$11&amp;"'!B:R"),15,FALSE),"")</f>
        <v/>
      </c>
      <c r="FE212" s="96">
        <f>IFERROR(VLOOKUP($B212,INDIRECT("'GRD-"&amp;FE$11&amp;"'!B:R"),15,FALSE),"")</f>
        <v/>
      </c>
      <c r="FF212" s="96">
        <f>IFERROR(VLOOKUP($B212,INDIRECT("'GRD-"&amp;FF$11&amp;"'!B:R"),15,FALSE),"")</f>
        <v/>
      </c>
      <c r="FG212" s="96">
        <f>IFERROR(VLOOKUP($B212,INDIRECT("'GRD-"&amp;FG$11&amp;"'!B:R"),15,FALSE),"")</f>
        <v/>
      </c>
      <c r="FH212" s="96">
        <f>IFERROR(VLOOKUP($B212,INDIRECT("'GRD-"&amp;FH$11&amp;"'!B:R"),15,FALSE),"")</f>
        <v/>
      </c>
      <c r="FI212" s="96">
        <f>IFERROR(VLOOKUP($B212,INDIRECT("'GRD-"&amp;FI$11&amp;"'!B:R"),15,FALSE),"")</f>
        <v/>
      </c>
      <c r="FJ212" s="96">
        <f>IFERROR(VLOOKUP($B212,INDIRECT("'GRD-"&amp;FJ$11&amp;"'!B:R"),15,FALSE),"")</f>
        <v/>
      </c>
      <c r="FK212" s="96">
        <f>IFERROR(VLOOKUP($B212,INDIRECT("'GRD-"&amp;FK$11&amp;"'!B:R"),15,FALSE),"")</f>
        <v/>
      </c>
      <c r="FL212" s="96">
        <f>IFERROR(VLOOKUP($B212,INDIRECT("'GRD-"&amp;FL$11&amp;"'!B:R"),15,FALSE),"")</f>
        <v/>
      </c>
      <c r="FM212" s="96">
        <f>IFERROR(VLOOKUP($B212,INDIRECT("'GRD-"&amp;FM$11&amp;"'!B:R"),15,FALSE),"")</f>
        <v/>
      </c>
      <c r="FN212" s="96">
        <f>IFERROR(VLOOKUP($B212,INDIRECT("'GRD-"&amp;FN$11&amp;"'!B:R"),15,FALSE),"")</f>
        <v/>
      </c>
      <c r="FO212" s="96">
        <f>IFERROR(VLOOKUP($B212,INDIRECT("'GRD-"&amp;FO$11&amp;"'!B:R"),15,FALSE),"")</f>
        <v/>
      </c>
      <c r="FP212" s="96">
        <f>IFERROR(VLOOKUP($B212,INDIRECT("'GRD-"&amp;FP$11&amp;"'!B:R"),15,FALSE),"")</f>
        <v/>
      </c>
      <c r="FQ212" s="96">
        <f>IFERROR(VLOOKUP($B212,INDIRECT("'GRD-"&amp;FQ$11&amp;"'!B:R"),15,FALSE),"")</f>
        <v/>
      </c>
      <c r="FR212" s="96">
        <f>IFERROR(VLOOKUP($B212,INDIRECT("'GRD-"&amp;FR$11&amp;"'!B:R"),15,FALSE),"")</f>
        <v/>
      </c>
      <c r="FS212" s="96">
        <f>IFERROR(VLOOKUP($B212,INDIRECT("'GRD-"&amp;FS$11&amp;"'!B:R"),15,FALSE),"")</f>
        <v/>
      </c>
      <c r="FT212" s="96">
        <f>IFERROR(VLOOKUP($B212,INDIRECT("'GRD-"&amp;FT$11&amp;"'!B:R"),15,FALSE),"")</f>
        <v/>
      </c>
      <c r="FU212" s="96">
        <f>IFERROR(VLOOKUP($B212,INDIRECT("'GRD-"&amp;FU$11&amp;"'!B:R"),15,FALSE),"")</f>
        <v/>
      </c>
      <c r="FV212" s="96">
        <f>IFERROR(VLOOKUP($B212,INDIRECT("'GRD-"&amp;FV$11&amp;"'!B:R"),15,FALSE),"")</f>
        <v/>
      </c>
    </row>
    <row r="213">
      <c r="B213" s="85" t="n"/>
      <c r="C213" s="93" t="n"/>
      <c r="D213" s="73">
        <f>IF(K213="","",MAX($CA213:$FV213))</f>
        <v/>
      </c>
      <c r="E213" s="74">
        <f t="array" ref="E213">IF($K213="","",OFFSET($A$1,ROW($B213)-1,11+$D213*4,))</f>
        <v/>
      </c>
      <c r="F213" s="74">
        <f t="array" ref="F213">IF($K213="","",OFFSET($A$1,ROW($B213)-1,12+$D213*4,))</f>
        <v/>
      </c>
      <c r="G213" s="118">
        <f t="array" ref="G213">IF($K213="","",OFFSET($A$1,ROW($B213)-1,13+$D213*4,))</f>
        <v/>
      </c>
      <c r="H213" s="81" t="n"/>
      <c r="I213" s="82" t="n"/>
      <c r="J213" s="75">
        <f>IF(I213="A4",H213/8,IF(I213="A3",H213/4,IF(I213="A2",H213/2,IF(I213="A1",H213/1,IF(I213="A0",H213*2,"")))))</f>
        <v/>
      </c>
      <c r="K213" s="68">
        <f t="array" ref="K213">IFERROR(OFFSET($BZ$11,ROW($B213)-11,MATCH(K$10,$CA213:$FV213,0),),"")</f>
        <v/>
      </c>
      <c r="L213" s="85">
        <f>IF(K213="","",IF(VLOOKUP($B213,INDIRECT("'GRD-"&amp;M213&amp;"'!$B:$R"),16,FALSE)="","",VLOOKUP($B213,INDIRECT("'GRD-"&amp;M213&amp;"'!$B:$R"),16,FALSE)))</f>
        <v/>
      </c>
      <c r="M213" s="130">
        <f t="array" ref="M213">IF(K213="","",IFERROR(OFFSET($BZ$11,0,MATCH($K213,$CA213:$FV213,0),),""))</f>
        <v/>
      </c>
      <c r="N213" s="119">
        <f t="array" ref="N213">IF(K213="","",INDIRECT("'GRD-"&amp;M213&amp;"'!$L$7"))</f>
        <v/>
      </c>
      <c r="O213" s="76">
        <f t="array" ref="O213">IFERROR(OFFSET($BZ$11,ROW($B213)-11,MATCH(O$10,$CA213:$FV213,0),),"")</f>
        <v/>
      </c>
      <c r="P213" s="76">
        <f>IF(O213="","",IF(VLOOKUP($B213,INDIRECT("'GRD-"&amp;Q213&amp;"'!$B:$R"),16,FALSE)="","",VLOOKUP($B213,INDIRECT("'GRD-"&amp;Q213&amp;"'!$B:$R"),16,FALSE)))</f>
        <v/>
      </c>
      <c r="Q213" s="132">
        <f t="array" ref="Q213">IF(O213="","",IFERROR(OFFSET($BZ$11,0,MATCH($O213,$CA213:$FV213,0),),""))</f>
        <v/>
      </c>
      <c r="R213" s="121">
        <f t="array" ref="R213">IF(O213="","",INDIRECT("'GRD-"&amp;Q213&amp;"'!$L$7"))</f>
        <v/>
      </c>
      <c r="S213" s="83">
        <f t="array" ref="S213">IFERROR(OFFSET($BZ$11,ROW($B213)-11,MATCH(S$10,$CA213:$FV213,0),),"")</f>
        <v/>
      </c>
      <c r="T213" s="83">
        <f>IF(S213="","",IF(VLOOKUP($B213,INDIRECT("'GRD-"&amp;U213&amp;"'!$B:$R"),16,FALSE)="","",VLOOKUP($B213,INDIRECT("'GRD-"&amp;U213&amp;"'!$B:$R"),16,FALSE)))</f>
        <v/>
      </c>
      <c r="U213" s="128">
        <f t="array" ref="U213">IF(S213="","",IFERROR(OFFSET($BZ$11,0,MATCH($S213,$CA213:$FV213,0),),""))</f>
        <v/>
      </c>
      <c r="V213" s="133">
        <f t="array" ref="V213">IF(S213="","",INDIRECT("'GRD-"&amp;U213&amp;"'!$L$7"))</f>
        <v/>
      </c>
      <c r="W213" s="84">
        <f t="array" ref="W213">IFERROR(OFFSET($BZ$11,ROW($B213)-11,MATCH(W$10,$CA213:$FV213,0),),"")</f>
        <v/>
      </c>
      <c r="X213" s="84">
        <f>IF(W213="","",IF(VLOOKUP($B213,INDIRECT("'GRD-"&amp;Y213&amp;"'!$B:$R"),16,FALSE)="","",VLOOKUP($B213,INDIRECT("'GRD-"&amp;Y213&amp;"'!$B:$R"),16,FALSE)))</f>
        <v/>
      </c>
      <c r="Y213" s="129">
        <f t="array" ref="Y213">IF(W213="","",IFERROR(OFFSET($BZ$11,0,MATCH($W213,$CA213:$FV213,0),),""))</f>
        <v/>
      </c>
      <c r="Z213" s="134">
        <f t="array" ref="Z213">IF(W213="","",INDIRECT("'GRD-"&amp;Y213&amp;"'!$L$7"))</f>
        <v/>
      </c>
      <c r="AA213" s="85">
        <f t="array" ref="AA213">IFERROR(OFFSET($BZ$11,ROW($B213)-11,MATCH(AA$10,$CA213:$FV213,0),),"")</f>
        <v/>
      </c>
      <c r="AB213" s="85">
        <f>IF(AA213="","",IF(VLOOKUP($B213,INDIRECT("'GRD-"&amp;AC213&amp;"'!$B:$R"),16,FALSE)="","",VLOOKUP($B213,INDIRECT("'GRD-"&amp;AC213&amp;"'!$B:$R"),16,FALSE)))</f>
        <v/>
      </c>
      <c r="AC213" s="130">
        <f t="array" ref="AC213">IF(AA213="","",IFERROR(OFFSET($BZ$11,0,MATCH($AA213,$CA213:$FV213,0),),""))</f>
        <v/>
      </c>
      <c r="AD213" s="131">
        <f t="array" ref="AD213">IF(AA213="","",INDIRECT("'GRD-"&amp;AC213&amp;"'!$L$7"))</f>
        <v/>
      </c>
      <c r="AE213" s="76">
        <f t="array" ref="AE213">IFERROR(OFFSET($BZ$11,ROW($B213)-11,MATCH(AE$10,$CA213:$FV213,0),),"")</f>
        <v/>
      </c>
      <c r="AF213" s="76">
        <f>IF(AE213="","",IF(VLOOKUP($B213,INDIRECT("'GRD-"&amp;AG213&amp;"'!$B:$R"),16,FALSE)="","",VLOOKUP($B213,INDIRECT("'GRD-"&amp;AG213&amp;"'!$B:$R"),16,FALSE)))</f>
        <v/>
      </c>
      <c r="AG213" s="132">
        <f t="array" ref="AG213">IF(AE213="","",IFERROR(OFFSET($BZ$11,0,MATCH($AE213,$CA213:$FV213,0),),""))</f>
        <v/>
      </c>
      <c r="AH213" s="121">
        <f t="array" ref="AH213">IF(AE213="","",INDIRECT("'GRD-"&amp;AG213&amp;"'!$L$7"))</f>
        <v/>
      </c>
      <c r="AI213" s="83">
        <f t="array" ref="AI213">IFERROR(OFFSET($BZ$11,ROW($B213)-11,MATCH(AI$10,$CA213:$FV213,0),),"")</f>
        <v/>
      </c>
      <c r="AJ213" s="83">
        <f>IF(AI213="","",IF(VLOOKUP($B213,INDIRECT("'GRD-"&amp;AK213&amp;"'!$B:$R"),16,FALSE)="","",VLOOKUP($B213,INDIRECT("'GRD-"&amp;AK213&amp;"'!$B:$R"),16,FALSE)))</f>
        <v/>
      </c>
      <c r="AK213" s="128">
        <f t="array" ref="AK213">IF(AI213="","",IFERROR(OFFSET($BZ$11,0,MATCH($AI213,$CA213:$FV213,0),),""))</f>
        <v/>
      </c>
      <c r="AL213" s="133">
        <f t="array" ref="AL213">IF(AI213="","",INDIRECT("'GRD-"&amp;AK213&amp;"'!$L$7"))</f>
        <v/>
      </c>
      <c r="AM213" s="84">
        <f t="array" ref="AM213">IFERROR(OFFSET($BZ$11,ROW($B213)-11,MATCH(AM$10,$CA213:$FV213,0),),"")</f>
        <v/>
      </c>
      <c r="AN213" s="84">
        <f>IF(AM213="","",IF(VLOOKUP($B213,INDIRECT("'GRD-"&amp;AO213&amp;"'!$B:$R"),16,FALSE)="","",VLOOKUP($B213,INDIRECT("'GRD-"&amp;AO213&amp;"'!$B:$R"),16,FALSE)))</f>
        <v/>
      </c>
      <c r="AO213" s="129">
        <f t="array" ref="AO213">IF(AM213="","",IFERROR(OFFSET($BZ$11,0,MATCH($AM213,$CA213:$FV213,0),),""))</f>
        <v/>
      </c>
      <c r="AP213" s="134">
        <f t="array" ref="AP213">IF(AM213="","",INDIRECT("'GRD-"&amp;AO213&amp;"'!$L$7"))</f>
        <v/>
      </c>
      <c r="AQ213" s="85">
        <f t="array" ref="AQ213">IFERROR(OFFSET($BZ$11,ROW($B213)-11,MATCH(AQ$10,$CA213:$FV213,0),),"")</f>
        <v/>
      </c>
      <c r="AR213" s="85">
        <f>IF(AQ213="","",IF(VLOOKUP($B213,INDIRECT("'GRD-"&amp;AS213&amp;"'!$B:$R"),16,FALSE)="","",VLOOKUP($B213,INDIRECT("'GRD-"&amp;AS213&amp;"'!$B:$R"),16,FALSE)))</f>
        <v/>
      </c>
      <c r="AS213" s="130">
        <f t="array" ref="AS213">IF(AQ213="","",IFERROR(OFFSET($BZ$11,0,MATCH($AQ213,$CA213:$FV213,0),),""))</f>
        <v/>
      </c>
      <c r="AT213" s="131">
        <f t="array" ref="AT213">IF(AQ213="","",INDIRECT("'GRD-"&amp;AS213&amp;"'!$L$7"))</f>
        <v/>
      </c>
      <c r="AU213" s="76">
        <f t="array" ref="AU213">IFERROR(OFFSET($BZ$11,ROW($B213)-11,MATCH(AU$10,$CA213:$FV213,0),),"")</f>
        <v/>
      </c>
      <c r="AV213" s="76">
        <f>IF(AU213="","",IF(VLOOKUP($B213,INDIRECT("'GRD-"&amp;AW213&amp;"'!$B:$R"),16,FALSE)="","",VLOOKUP($B213,INDIRECT("'GRD-"&amp;AW213&amp;"'!$B:$R"),16,FALSE)))</f>
        <v/>
      </c>
      <c r="AW213" s="132">
        <f t="array" ref="AW213">IF(AU213="","",IFERROR(OFFSET($BZ$11,0,MATCH($AU213,$CA213:$FV213,0),),""))</f>
        <v/>
      </c>
      <c r="AX213" s="121">
        <f t="array" ref="AX213">IF(AU213="","",INDIRECT("'GRD-"&amp;AW213&amp;"'!$L$7"))</f>
        <v/>
      </c>
      <c r="AY213" s="83">
        <f t="array" ref="AY213">IFERROR(OFFSET($BZ$11,ROW($B213)-11,MATCH(AY$10,$CA213:$FV213,0),),"")</f>
        <v/>
      </c>
      <c r="AZ213" s="83">
        <f>IF(AY213="","",IF(VLOOKUP($B213,INDIRECT("'GRD-"&amp;BA213&amp;"'!$B:$R"),16,FALSE)="","",VLOOKUP($B213,INDIRECT("'GRD-"&amp;BA213&amp;"'!$B:$R"),16,FALSE)))</f>
        <v/>
      </c>
      <c r="BA213" s="128">
        <f t="array" ref="BA213">IF(AY213="","",IFERROR(OFFSET($BZ$11,0,MATCH($AY213,$CA213:$FV213,0),),""))</f>
        <v/>
      </c>
      <c r="BB213" s="133">
        <f t="array" ref="BB213">IF(AY213="","",INDIRECT("'GRD-"&amp;BA213&amp;"'!$L$7"))</f>
        <v/>
      </c>
      <c r="BC213" s="84">
        <f t="array" ref="BC213">IFERROR(OFFSET($BZ$11,ROW($B213)-11,MATCH(BC$10,$CA213:$FV213,0),),"")</f>
        <v/>
      </c>
      <c r="BD213" s="84">
        <f>IF(BC213="","",IF(VLOOKUP($B213,INDIRECT("'GRD-"&amp;BE213&amp;"'!$B:$R"),16,FALSE)="","",VLOOKUP($B213,INDIRECT("'GRD-"&amp;BE213&amp;"'!$B:$R"),16,FALSE)))</f>
        <v/>
      </c>
      <c r="BE213" s="129">
        <f t="array" ref="BE213">IF(BC213="","",IFERROR(OFFSET($BZ$11,0,MATCH($BC213,$CA213:$FV213,0),),""))</f>
        <v/>
      </c>
      <c r="BF213" s="134">
        <f t="array" ref="BF213">IF(BC213="","",INDIRECT("'GRD-"&amp;BE213&amp;"'!$L$7"))</f>
        <v/>
      </c>
      <c r="CA213" s="96">
        <f>IFERROR(VLOOKUP($B213,INDIRECT("'GRD-"&amp;CA$11&amp;"'!B:R"),15,FALSE),"")</f>
        <v/>
      </c>
      <c r="CB213" s="96">
        <f>IFERROR(VLOOKUP($B213,INDIRECT("'GRD-"&amp;CB$11&amp;"'!B:R"),15,FALSE),"")</f>
        <v/>
      </c>
      <c r="CC213" s="96">
        <f>IFERROR(VLOOKUP($B213,INDIRECT("'GRD-"&amp;CC$11&amp;"'!B:R"),15,FALSE),"")</f>
        <v/>
      </c>
      <c r="CD213" s="96">
        <f>IFERROR(VLOOKUP($B213,INDIRECT("'GRD-"&amp;CD$11&amp;"'!B:R"),15,FALSE),"")</f>
        <v/>
      </c>
      <c r="CE213" s="96">
        <f>IFERROR(VLOOKUP($B213,INDIRECT("'GRD-"&amp;CE$11&amp;"'!B:R"),15,FALSE),"")</f>
        <v/>
      </c>
      <c r="CF213" s="96">
        <f>IFERROR(VLOOKUP($B213,INDIRECT("'GRD-"&amp;CF$11&amp;"'!B:R"),15,FALSE),"")</f>
        <v/>
      </c>
      <c r="CG213" s="96">
        <f>IFERROR(VLOOKUP($B213,INDIRECT("'GRD-"&amp;CG$11&amp;"'!B:R"),15,FALSE),"")</f>
        <v/>
      </c>
      <c r="CH213" s="96">
        <f>IFERROR(VLOOKUP($B213,INDIRECT("'GRD-"&amp;CH$11&amp;"'!B:R"),15,FALSE),"")</f>
        <v/>
      </c>
      <c r="CI213" s="96">
        <f>IFERROR(VLOOKUP($B213,INDIRECT("'GRD-"&amp;CI$11&amp;"'!B:R"),15,FALSE),"")</f>
        <v/>
      </c>
      <c r="CJ213" s="96">
        <f>IFERROR(VLOOKUP($B213,INDIRECT("'GRD-"&amp;CJ$11&amp;"'!B:R"),15,FALSE),"")</f>
        <v/>
      </c>
      <c r="CK213" s="96">
        <f>IFERROR(VLOOKUP($B213,INDIRECT("'GRD-"&amp;CK$11&amp;"'!B:R"),15,FALSE),"")</f>
        <v/>
      </c>
      <c r="CL213" s="96">
        <f>IFERROR(VLOOKUP($B213,INDIRECT("'GRD-"&amp;CL$11&amp;"'!B:R"),15,FALSE),"")</f>
        <v/>
      </c>
      <c r="CM213" s="96">
        <f>IFERROR(VLOOKUP($B213,INDIRECT("'GRD-"&amp;CM$11&amp;"'!B:R"),15,FALSE),"")</f>
        <v/>
      </c>
      <c r="CN213" s="96">
        <f>IFERROR(VLOOKUP($B213,INDIRECT("'GRD-"&amp;CN$11&amp;"'!B:R"),15,FALSE),"")</f>
        <v/>
      </c>
      <c r="CO213" s="96">
        <f>IFERROR(VLOOKUP($B213,INDIRECT("'GRD-"&amp;CO$11&amp;"'!B:R"),15,FALSE),"")</f>
        <v/>
      </c>
      <c r="CP213" s="96">
        <f>IFERROR(VLOOKUP($B213,INDIRECT("'GRD-"&amp;CP$11&amp;"'!B:R"),15,FALSE),"")</f>
        <v/>
      </c>
      <c r="CQ213" s="96">
        <f>IFERROR(VLOOKUP($B213,INDIRECT("'GRD-"&amp;CQ$11&amp;"'!B:R"),15,FALSE),"")</f>
        <v/>
      </c>
      <c r="CR213" s="96">
        <f>IFERROR(VLOOKUP($B213,INDIRECT("'GRD-"&amp;CR$11&amp;"'!B:R"),15,FALSE),"")</f>
        <v/>
      </c>
      <c r="CS213" s="96">
        <f>IFERROR(VLOOKUP($B213,INDIRECT("'GRD-"&amp;CS$11&amp;"'!B:R"),15,FALSE),"")</f>
        <v/>
      </c>
      <c r="CT213" s="96">
        <f>IFERROR(VLOOKUP($B213,INDIRECT("'GRD-"&amp;CT$11&amp;"'!B:R"),15,FALSE),"")</f>
        <v/>
      </c>
      <c r="CU213" s="96">
        <f>IFERROR(VLOOKUP($B213,INDIRECT("'GRD-"&amp;CU$11&amp;"'!B:R"),15,FALSE),"")</f>
        <v/>
      </c>
      <c r="CV213" s="96">
        <f>IFERROR(VLOOKUP($B213,INDIRECT("'GRD-"&amp;CV$11&amp;"'!B:R"),15,FALSE),"")</f>
        <v/>
      </c>
      <c r="CW213" s="96">
        <f>IFERROR(VLOOKUP($B213,INDIRECT("'GRD-"&amp;CW$11&amp;"'!B:R"),15,FALSE),"")</f>
        <v/>
      </c>
      <c r="CX213" s="96">
        <f>IFERROR(VLOOKUP($B213,INDIRECT("'GRD-"&amp;CX$11&amp;"'!B:R"),15,FALSE),"")</f>
        <v/>
      </c>
      <c r="CY213" s="96">
        <f>IFERROR(VLOOKUP($B213,INDIRECT("'GRD-"&amp;CY$11&amp;"'!B:R"),15,FALSE),"")</f>
        <v/>
      </c>
      <c r="CZ213" s="96">
        <f>IFERROR(VLOOKUP($B213,INDIRECT("'GRD-"&amp;CZ$11&amp;"'!B:R"),15,FALSE),"")</f>
        <v/>
      </c>
      <c r="DA213" s="96">
        <f>IFERROR(VLOOKUP($B213,INDIRECT("'GRD-"&amp;DA$11&amp;"'!B:R"),15,FALSE),"")</f>
        <v/>
      </c>
      <c r="DB213" s="96">
        <f>IFERROR(VLOOKUP($B213,INDIRECT("'GRD-"&amp;DB$11&amp;"'!B:R"),15,FALSE),"")</f>
        <v/>
      </c>
      <c r="DC213" s="96">
        <f>IFERROR(VLOOKUP($B213,INDIRECT("'GRD-"&amp;DC$11&amp;"'!B:R"),15,FALSE),"")</f>
        <v/>
      </c>
      <c r="DD213" s="96">
        <f>IFERROR(VLOOKUP($B213,INDIRECT("'GRD-"&amp;DD$11&amp;"'!B:R"),15,FALSE),"")</f>
        <v/>
      </c>
      <c r="DE213" s="96">
        <f>IFERROR(VLOOKUP($B213,INDIRECT("'GRD-"&amp;DE$11&amp;"'!B:R"),15,FALSE),"")</f>
        <v/>
      </c>
      <c r="DF213" s="96">
        <f>IFERROR(VLOOKUP($B213,INDIRECT("'GRD-"&amp;DF$11&amp;"'!B:R"),15,FALSE),"")</f>
        <v/>
      </c>
      <c r="DG213" s="96">
        <f>IFERROR(VLOOKUP($B213,INDIRECT("'GRD-"&amp;DG$11&amp;"'!B:R"),15,FALSE),"")</f>
        <v/>
      </c>
      <c r="DH213" s="96">
        <f>IFERROR(VLOOKUP($B213,INDIRECT("'GRD-"&amp;DH$11&amp;"'!B:R"),15,FALSE),"")</f>
        <v/>
      </c>
      <c r="DI213" s="96">
        <f>IFERROR(VLOOKUP($B213,INDIRECT("'GRD-"&amp;DI$11&amp;"'!B:R"),15,FALSE),"")</f>
        <v/>
      </c>
      <c r="DJ213" s="96">
        <f>IFERROR(VLOOKUP($B213,INDIRECT("'GRD-"&amp;DJ$11&amp;"'!B:R"),15,FALSE),"")</f>
        <v/>
      </c>
      <c r="DK213" s="96">
        <f>IFERROR(VLOOKUP($B213,INDIRECT("'GRD-"&amp;DK$11&amp;"'!B:R"),15,FALSE),"")</f>
        <v/>
      </c>
      <c r="DL213" s="96">
        <f>IFERROR(VLOOKUP($B213,INDIRECT("'GRD-"&amp;DL$11&amp;"'!B:R"),15,FALSE),"")</f>
        <v/>
      </c>
      <c r="DM213" s="96">
        <f>IFERROR(VLOOKUP($B213,INDIRECT("'GRD-"&amp;DM$11&amp;"'!B:R"),15,FALSE),"")</f>
        <v/>
      </c>
      <c r="DN213" s="96">
        <f>IFERROR(VLOOKUP($B213,INDIRECT("'GRD-"&amp;DN$11&amp;"'!B:R"),15,FALSE),"")</f>
        <v/>
      </c>
      <c r="DO213" s="96">
        <f>IFERROR(VLOOKUP($B213,INDIRECT("'GRD-"&amp;DO$11&amp;"'!B:R"),15,FALSE),"")</f>
        <v/>
      </c>
      <c r="DP213" s="96">
        <f>IFERROR(VLOOKUP($B213,INDIRECT("'GRD-"&amp;DP$11&amp;"'!B:R"),15,FALSE),"")</f>
        <v/>
      </c>
      <c r="DQ213" s="96">
        <f>IFERROR(VLOOKUP($B213,INDIRECT("'GRD-"&amp;DQ$11&amp;"'!B:R"),15,FALSE),"")</f>
        <v/>
      </c>
      <c r="DR213" s="96">
        <f>IFERROR(VLOOKUP($B213,INDIRECT("'GRD-"&amp;DR$11&amp;"'!B:R"),15,FALSE),"")</f>
        <v/>
      </c>
      <c r="DS213" s="96">
        <f>IFERROR(VLOOKUP($B213,INDIRECT("'GRD-"&amp;DS$11&amp;"'!B:R"),15,FALSE),"")</f>
        <v/>
      </c>
      <c r="DT213" s="96">
        <f>IFERROR(VLOOKUP($B213,INDIRECT("'GRD-"&amp;DT$11&amp;"'!B:R"),15,FALSE),"")</f>
        <v/>
      </c>
      <c r="DU213" s="96">
        <f>IFERROR(VLOOKUP($B213,INDIRECT("'GRD-"&amp;DU$11&amp;"'!B:R"),15,FALSE),"")</f>
        <v/>
      </c>
      <c r="DV213" s="96">
        <f>IFERROR(VLOOKUP($B213,INDIRECT("'GRD-"&amp;DV$11&amp;"'!B:R"),15,FALSE),"")</f>
        <v/>
      </c>
      <c r="DW213" s="96">
        <f>IFERROR(VLOOKUP($B213,INDIRECT("'GRD-"&amp;DW$11&amp;"'!B:R"),15,FALSE),"")</f>
        <v/>
      </c>
      <c r="DX213" s="96">
        <f>IFERROR(VLOOKUP($B213,INDIRECT("'GRD-"&amp;DX$11&amp;"'!B:R"),15,FALSE),"")</f>
        <v/>
      </c>
      <c r="DY213" s="96">
        <f>IFERROR(VLOOKUP($B213,INDIRECT("'GRD-"&amp;DY$11&amp;"'!B:R"),15,FALSE),"")</f>
        <v/>
      </c>
      <c r="DZ213" s="96">
        <f>IFERROR(VLOOKUP($B213,INDIRECT("'GRD-"&amp;DZ$11&amp;"'!B:R"),15,FALSE),"")</f>
        <v/>
      </c>
      <c r="EA213" s="96">
        <f>IFERROR(VLOOKUP($B213,INDIRECT("'GRD-"&amp;EA$11&amp;"'!B:R"),15,FALSE),"")</f>
        <v/>
      </c>
      <c r="EB213" s="96">
        <f>IFERROR(VLOOKUP($B213,INDIRECT("'GRD-"&amp;EB$11&amp;"'!B:R"),15,FALSE),"")</f>
        <v/>
      </c>
      <c r="EC213" s="96">
        <f>IFERROR(VLOOKUP($B213,INDIRECT("'GRD-"&amp;EC$11&amp;"'!B:R"),15,FALSE),"")</f>
        <v/>
      </c>
      <c r="ED213" s="96">
        <f>IFERROR(VLOOKUP($B213,INDIRECT("'GRD-"&amp;ED$11&amp;"'!B:R"),15,FALSE),"")</f>
        <v/>
      </c>
      <c r="EE213" s="96">
        <f>IFERROR(VLOOKUP($B213,INDIRECT("'GRD-"&amp;EE$11&amp;"'!B:R"),15,FALSE),"")</f>
        <v/>
      </c>
      <c r="EF213" s="96">
        <f>IFERROR(VLOOKUP($B213,INDIRECT("'GRD-"&amp;EF$11&amp;"'!B:R"),15,FALSE),"")</f>
        <v/>
      </c>
      <c r="EG213" s="96">
        <f>IFERROR(VLOOKUP($B213,INDIRECT("'GRD-"&amp;EG$11&amp;"'!B:R"),15,FALSE),"")</f>
        <v/>
      </c>
      <c r="EH213" s="96">
        <f>IFERROR(VLOOKUP($B213,INDIRECT("'GRD-"&amp;EH$11&amp;"'!B:R"),15,FALSE),"")</f>
        <v/>
      </c>
      <c r="EI213" s="96">
        <f>IFERROR(VLOOKUP($B213,INDIRECT("'GRD-"&amp;EI$11&amp;"'!B:R"),15,FALSE),"")</f>
        <v/>
      </c>
      <c r="EJ213" s="96">
        <f>IFERROR(VLOOKUP($B213,INDIRECT("'GRD-"&amp;EJ$11&amp;"'!B:R"),15,FALSE),"")</f>
        <v/>
      </c>
      <c r="EK213" s="96">
        <f>IFERROR(VLOOKUP($B213,INDIRECT("'GRD-"&amp;EK$11&amp;"'!B:R"),15,FALSE),"")</f>
        <v/>
      </c>
      <c r="EL213" s="96">
        <f>IFERROR(VLOOKUP($B213,INDIRECT("'GRD-"&amp;EL$11&amp;"'!B:R"),15,FALSE),"")</f>
        <v/>
      </c>
      <c r="EM213" s="96">
        <f>IFERROR(VLOOKUP($B213,INDIRECT("'GRD-"&amp;EM$11&amp;"'!B:R"),15,FALSE),"")</f>
        <v/>
      </c>
      <c r="EN213" s="96">
        <f>IFERROR(VLOOKUP($B213,INDIRECT("'GRD-"&amp;EN$11&amp;"'!B:R"),15,FALSE),"")</f>
        <v/>
      </c>
      <c r="EO213" s="96">
        <f>IFERROR(VLOOKUP($B213,INDIRECT("'GRD-"&amp;EO$11&amp;"'!B:R"),15,FALSE),"")</f>
        <v/>
      </c>
      <c r="EP213" s="96">
        <f>IFERROR(VLOOKUP($B213,INDIRECT("'GRD-"&amp;EP$11&amp;"'!B:R"),15,FALSE),"")</f>
        <v/>
      </c>
      <c r="EQ213" s="96">
        <f>IFERROR(VLOOKUP($B213,INDIRECT("'GRD-"&amp;EQ$11&amp;"'!B:R"),15,FALSE),"")</f>
        <v/>
      </c>
      <c r="ER213" s="96">
        <f>IFERROR(VLOOKUP($B213,INDIRECT("'GRD-"&amp;ER$11&amp;"'!B:R"),15,FALSE),"")</f>
        <v/>
      </c>
      <c r="ES213" s="96">
        <f>IFERROR(VLOOKUP($B213,INDIRECT("'GRD-"&amp;ES$11&amp;"'!B:R"),15,FALSE),"")</f>
        <v/>
      </c>
      <c r="ET213" s="96">
        <f>IFERROR(VLOOKUP($B213,INDIRECT("'GRD-"&amp;ET$11&amp;"'!B:R"),15,FALSE),"")</f>
        <v/>
      </c>
      <c r="EU213" s="96">
        <f>IFERROR(VLOOKUP($B213,INDIRECT("'GRD-"&amp;EU$11&amp;"'!B:R"),15,FALSE),"")</f>
        <v/>
      </c>
      <c r="EV213" s="96">
        <f>IFERROR(VLOOKUP($B213,INDIRECT("'GRD-"&amp;EV$11&amp;"'!B:R"),15,FALSE),"")</f>
        <v/>
      </c>
      <c r="EW213" s="96">
        <f>IFERROR(VLOOKUP($B213,INDIRECT("'GRD-"&amp;EW$11&amp;"'!B:R"),15,FALSE),"")</f>
        <v/>
      </c>
      <c r="EX213" s="96">
        <f>IFERROR(VLOOKUP($B213,INDIRECT("'GRD-"&amp;EX$11&amp;"'!B:R"),15,FALSE),"")</f>
        <v/>
      </c>
      <c r="EY213" s="96">
        <f>IFERROR(VLOOKUP($B213,INDIRECT("'GRD-"&amp;EY$11&amp;"'!B:R"),15,FALSE),"")</f>
        <v/>
      </c>
      <c r="EZ213" s="96">
        <f>IFERROR(VLOOKUP($B213,INDIRECT("'GRD-"&amp;EZ$11&amp;"'!B:R"),15,FALSE),"")</f>
        <v/>
      </c>
      <c r="FA213" s="96">
        <f>IFERROR(VLOOKUP($B213,INDIRECT("'GRD-"&amp;FA$11&amp;"'!B:R"),15,FALSE),"")</f>
        <v/>
      </c>
      <c r="FB213" s="96">
        <f>IFERROR(VLOOKUP($B213,INDIRECT("'GRD-"&amp;FB$11&amp;"'!B:R"),15,FALSE),"")</f>
        <v/>
      </c>
      <c r="FC213" s="96">
        <f>IFERROR(VLOOKUP($B213,INDIRECT("'GRD-"&amp;FC$11&amp;"'!B:R"),15,FALSE),"")</f>
        <v/>
      </c>
      <c r="FD213" s="96">
        <f>IFERROR(VLOOKUP($B213,INDIRECT("'GRD-"&amp;FD$11&amp;"'!B:R"),15,FALSE),"")</f>
        <v/>
      </c>
      <c r="FE213" s="96">
        <f>IFERROR(VLOOKUP($B213,INDIRECT("'GRD-"&amp;FE$11&amp;"'!B:R"),15,FALSE),"")</f>
        <v/>
      </c>
      <c r="FF213" s="96">
        <f>IFERROR(VLOOKUP($B213,INDIRECT("'GRD-"&amp;FF$11&amp;"'!B:R"),15,FALSE),"")</f>
        <v/>
      </c>
      <c r="FG213" s="96">
        <f>IFERROR(VLOOKUP($B213,INDIRECT("'GRD-"&amp;FG$11&amp;"'!B:R"),15,FALSE),"")</f>
        <v/>
      </c>
      <c r="FH213" s="96">
        <f>IFERROR(VLOOKUP($B213,INDIRECT("'GRD-"&amp;FH$11&amp;"'!B:R"),15,FALSE),"")</f>
        <v/>
      </c>
      <c r="FI213" s="96">
        <f>IFERROR(VLOOKUP($B213,INDIRECT("'GRD-"&amp;FI$11&amp;"'!B:R"),15,FALSE),"")</f>
        <v/>
      </c>
      <c r="FJ213" s="96">
        <f>IFERROR(VLOOKUP($B213,INDIRECT("'GRD-"&amp;FJ$11&amp;"'!B:R"),15,FALSE),"")</f>
        <v/>
      </c>
      <c r="FK213" s="96">
        <f>IFERROR(VLOOKUP($B213,INDIRECT("'GRD-"&amp;FK$11&amp;"'!B:R"),15,FALSE),"")</f>
        <v/>
      </c>
      <c r="FL213" s="96">
        <f>IFERROR(VLOOKUP($B213,INDIRECT("'GRD-"&amp;FL$11&amp;"'!B:R"),15,FALSE),"")</f>
        <v/>
      </c>
      <c r="FM213" s="96">
        <f>IFERROR(VLOOKUP($B213,INDIRECT("'GRD-"&amp;FM$11&amp;"'!B:R"),15,FALSE),"")</f>
        <v/>
      </c>
      <c r="FN213" s="96">
        <f>IFERROR(VLOOKUP($B213,INDIRECT("'GRD-"&amp;FN$11&amp;"'!B:R"),15,FALSE),"")</f>
        <v/>
      </c>
      <c r="FO213" s="96">
        <f>IFERROR(VLOOKUP($B213,INDIRECT("'GRD-"&amp;FO$11&amp;"'!B:R"),15,FALSE),"")</f>
        <v/>
      </c>
      <c r="FP213" s="96">
        <f>IFERROR(VLOOKUP($B213,INDIRECT("'GRD-"&amp;FP$11&amp;"'!B:R"),15,FALSE),"")</f>
        <v/>
      </c>
      <c r="FQ213" s="96">
        <f>IFERROR(VLOOKUP($B213,INDIRECT("'GRD-"&amp;FQ$11&amp;"'!B:R"),15,FALSE),"")</f>
        <v/>
      </c>
      <c r="FR213" s="96">
        <f>IFERROR(VLOOKUP($B213,INDIRECT("'GRD-"&amp;FR$11&amp;"'!B:R"),15,FALSE),"")</f>
        <v/>
      </c>
      <c r="FS213" s="96">
        <f>IFERROR(VLOOKUP($B213,INDIRECT("'GRD-"&amp;FS$11&amp;"'!B:R"),15,FALSE),"")</f>
        <v/>
      </c>
      <c r="FT213" s="96">
        <f>IFERROR(VLOOKUP($B213,INDIRECT("'GRD-"&amp;FT$11&amp;"'!B:R"),15,FALSE),"")</f>
        <v/>
      </c>
      <c r="FU213" s="96">
        <f>IFERROR(VLOOKUP($B213,INDIRECT("'GRD-"&amp;FU$11&amp;"'!B:R"),15,FALSE),"")</f>
        <v/>
      </c>
      <c r="FV213" s="96">
        <f>IFERROR(VLOOKUP($B213,INDIRECT("'GRD-"&amp;FV$11&amp;"'!B:R"),15,FALSE),"")</f>
        <v/>
      </c>
    </row>
    <row r="214">
      <c r="B214" s="85" t="n"/>
      <c r="C214" s="93" t="n"/>
      <c r="D214" s="73">
        <f>IF(K214="","",MAX($CA214:$FV214))</f>
        <v/>
      </c>
      <c r="E214" s="74">
        <f t="array" ref="E214">IF($K214="","",OFFSET($A$1,ROW($B214)-1,11+$D214*4,))</f>
        <v/>
      </c>
      <c r="F214" s="74">
        <f t="array" ref="F214">IF($K214="","",OFFSET($A$1,ROW($B214)-1,12+$D214*4,))</f>
        <v/>
      </c>
      <c r="G214" s="118">
        <f t="array" ref="G214">IF($K214="","",OFFSET($A$1,ROW($B214)-1,13+$D214*4,))</f>
        <v/>
      </c>
      <c r="H214" s="81" t="n"/>
      <c r="I214" s="82" t="n"/>
      <c r="J214" s="75">
        <f>IF(I214="A4",H214/8,IF(I214="A3",H214/4,IF(I214="A2",H214/2,IF(I214="A1",H214/1,IF(I214="A0",H214*2,"")))))</f>
        <v/>
      </c>
      <c r="K214" s="68">
        <f t="array" ref="K214">IFERROR(OFFSET($BZ$11,ROW($B214)-11,MATCH(K$10,$CA214:$FV214,0),),"")</f>
        <v/>
      </c>
      <c r="L214" s="85">
        <f>IF(K214="","",IF(VLOOKUP($B214,INDIRECT("'GRD-"&amp;M214&amp;"'!$B:$R"),16,FALSE)="","",VLOOKUP($B214,INDIRECT("'GRD-"&amp;M214&amp;"'!$B:$R"),16,FALSE)))</f>
        <v/>
      </c>
      <c r="M214" s="130">
        <f t="array" ref="M214">IF(K214="","",IFERROR(OFFSET($BZ$11,0,MATCH($K214,$CA214:$FV214,0),),""))</f>
        <v/>
      </c>
      <c r="N214" s="119">
        <f t="array" ref="N214">IF(K214="","",INDIRECT("'GRD-"&amp;M214&amp;"'!$L$7"))</f>
        <v/>
      </c>
      <c r="O214" s="76">
        <f t="array" ref="O214">IFERROR(OFFSET($BZ$11,ROW($B214)-11,MATCH(O$10,$CA214:$FV214,0),),"")</f>
        <v/>
      </c>
      <c r="P214" s="76">
        <f>IF(O214="","",IF(VLOOKUP($B214,INDIRECT("'GRD-"&amp;Q214&amp;"'!$B:$R"),16,FALSE)="","",VLOOKUP($B214,INDIRECT("'GRD-"&amp;Q214&amp;"'!$B:$R"),16,FALSE)))</f>
        <v/>
      </c>
      <c r="Q214" s="132">
        <f t="array" ref="Q214">IF(O214="","",IFERROR(OFFSET($BZ$11,0,MATCH($O214,$CA214:$FV214,0),),""))</f>
        <v/>
      </c>
      <c r="R214" s="121">
        <f t="array" ref="R214">IF(O214="","",INDIRECT("'GRD-"&amp;Q214&amp;"'!$L$7"))</f>
        <v/>
      </c>
      <c r="S214" s="83">
        <f t="array" ref="S214">IFERROR(OFFSET($BZ$11,ROW($B214)-11,MATCH(S$10,$CA214:$FV214,0),),"")</f>
        <v/>
      </c>
      <c r="T214" s="83">
        <f>IF(S214="","",IF(VLOOKUP($B214,INDIRECT("'GRD-"&amp;U214&amp;"'!$B:$R"),16,FALSE)="","",VLOOKUP($B214,INDIRECT("'GRD-"&amp;U214&amp;"'!$B:$R"),16,FALSE)))</f>
        <v/>
      </c>
      <c r="U214" s="128">
        <f t="array" ref="U214">IF(S214="","",IFERROR(OFFSET($BZ$11,0,MATCH($S214,$CA214:$FV214,0),),""))</f>
        <v/>
      </c>
      <c r="V214" s="133">
        <f t="array" ref="V214">IF(S214="","",INDIRECT("'GRD-"&amp;U214&amp;"'!$L$7"))</f>
        <v/>
      </c>
      <c r="W214" s="84">
        <f t="array" ref="W214">IFERROR(OFFSET($BZ$11,ROW($B214)-11,MATCH(W$10,$CA214:$FV214,0),),"")</f>
        <v/>
      </c>
      <c r="X214" s="84">
        <f>IF(W214="","",IF(VLOOKUP($B214,INDIRECT("'GRD-"&amp;Y214&amp;"'!$B:$R"),16,FALSE)="","",VLOOKUP($B214,INDIRECT("'GRD-"&amp;Y214&amp;"'!$B:$R"),16,FALSE)))</f>
        <v/>
      </c>
      <c r="Y214" s="129">
        <f t="array" ref="Y214">IF(W214="","",IFERROR(OFFSET($BZ$11,0,MATCH($W214,$CA214:$FV214,0),),""))</f>
        <v/>
      </c>
      <c r="Z214" s="134">
        <f t="array" ref="Z214">IF(W214="","",INDIRECT("'GRD-"&amp;Y214&amp;"'!$L$7"))</f>
        <v/>
      </c>
      <c r="AA214" s="85">
        <f t="array" ref="AA214">IFERROR(OFFSET($BZ$11,ROW($B214)-11,MATCH(AA$10,$CA214:$FV214,0),),"")</f>
        <v/>
      </c>
      <c r="AB214" s="85">
        <f>IF(AA214="","",IF(VLOOKUP($B214,INDIRECT("'GRD-"&amp;AC214&amp;"'!$B:$R"),16,FALSE)="","",VLOOKUP($B214,INDIRECT("'GRD-"&amp;AC214&amp;"'!$B:$R"),16,FALSE)))</f>
        <v/>
      </c>
      <c r="AC214" s="130">
        <f t="array" ref="AC214">IF(AA214="","",IFERROR(OFFSET($BZ$11,0,MATCH($AA214,$CA214:$FV214,0),),""))</f>
        <v/>
      </c>
      <c r="AD214" s="131">
        <f t="array" ref="AD214">IF(AA214="","",INDIRECT("'GRD-"&amp;AC214&amp;"'!$L$7"))</f>
        <v/>
      </c>
      <c r="AE214" s="76">
        <f t="array" ref="AE214">IFERROR(OFFSET($BZ$11,ROW($B214)-11,MATCH(AE$10,$CA214:$FV214,0),),"")</f>
        <v/>
      </c>
      <c r="AF214" s="76">
        <f>IF(AE214="","",IF(VLOOKUP($B214,INDIRECT("'GRD-"&amp;AG214&amp;"'!$B:$R"),16,FALSE)="","",VLOOKUP($B214,INDIRECT("'GRD-"&amp;AG214&amp;"'!$B:$R"),16,FALSE)))</f>
        <v/>
      </c>
      <c r="AG214" s="132">
        <f t="array" ref="AG214">IF(AE214="","",IFERROR(OFFSET($BZ$11,0,MATCH($AE214,$CA214:$FV214,0),),""))</f>
        <v/>
      </c>
      <c r="AH214" s="121">
        <f t="array" ref="AH214">IF(AE214="","",INDIRECT("'GRD-"&amp;AG214&amp;"'!$L$7"))</f>
        <v/>
      </c>
      <c r="AI214" s="83">
        <f t="array" ref="AI214">IFERROR(OFFSET($BZ$11,ROW($B214)-11,MATCH(AI$10,$CA214:$FV214,0),),"")</f>
        <v/>
      </c>
      <c r="AJ214" s="83">
        <f>IF(AI214="","",IF(VLOOKUP($B214,INDIRECT("'GRD-"&amp;AK214&amp;"'!$B:$R"),16,FALSE)="","",VLOOKUP($B214,INDIRECT("'GRD-"&amp;AK214&amp;"'!$B:$R"),16,FALSE)))</f>
        <v/>
      </c>
      <c r="AK214" s="128">
        <f t="array" ref="AK214">IF(AI214="","",IFERROR(OFFSET($BZ$11,0,MATCH($AI214,$CA214:$FV214,0),),""))</f>
        <v/>
      </c>
      <c r="AL214" s="133">
        <f t="array" ref="AL214">IF(AI214="","",INDIRECT("'GRD-"&amp;AK214&amp;"'!$L$7"))</f>
        <v/>
      </c>
      <c r="AM214" s="84">
        <f t="array" ref="AM214">IFERROR(OFFSET($BZ$11,ROW($B214)-11,MATCH(AM$10,$CA214:$FV214,0),),"")</f>
        <v/>
      </c>
      <c r="AN214" s="84">
        <f>IF(AM214="","",IF(VLOOKUP($B214,INDIRECT("'GRD-"&amp;AO214&amp;"'!$B:$R"),16,FALSE)="","",VLOOKUP($B214,INDIRECT("'GRD-"&amp;AO214&amp;"'!$B:$R"),16,FALSE)))</f>
        <v/>
      </c>
      <c r="AO214" s="129">
        <f t="array" ref="AO214">IF(AM214="","",IFERROR(OFFSET($BZ$11,0,MATCH($AM214,$CA214:$FV214,0),),""))</f>
        <v/>
      </c>
      <c r="AP214" s="134">
        <f t="array" ref="AP214">IF(AM214="","",INDIRECT("'GRD-"&amp;AO214&amp;"'!$L$7"))</f>
        <v/>
      </c>
      <c r="AQ214" s="85">
        <f t="array" ref="AQ214">IFERROR(OFFSET($BZ$11,ROW($B214)-11,MATCH(AQ$10,$CA214:$FV214,0),),"")</f>
        <v/>
      </c>
      <c r="AR214" s="85">
        <f>IF(AQ214="","",IF(VLOOKUP($B214,INDIRECT("'GRD-"&amp;AS214&amp;"'!$B:$R"),16,FALSE)="","",VLOOKUP($B214,INDIRECT("'GRD-"&amp;AS214&amp;"'!$B:$R"),16,FALSE)))</f>
        <v/>
      </c>
      <c r="AS214" s="130">
        <f t="array" ref="AS214">IF(AQ214="","",IFERROR(OFFSET($BZ$11,0,MATCH($AQ214,$CA214:$FV214,0),),""))</f>
        <v/>
      </c>
      <c r="AT214" s="131">
        <f t="array" ref="AT214">IF(AQ214="","",INDIRECT("'GRD-"&amp;AS214&amp;"'!$L$7"))</f>
        <v/>
      </c>
      <c r="AU214" s="76">
        <f t="array" ref="AU214">IFERROR(OFFSET($BZ$11,ROW($B214)-11,MATCH(AU$10,$CA214:$FV214,0),),"")</f>
        <v/>
      </c>
      <c r="AV214" s="76">
        <f>IF(AU214="","",IF(VLOOKUP($B214,INDIRECT("'GRD-"&amp;AW214&amp;"'!$B:$R"),16,FALSE)="","",VLOOKUP($B214,INDIRECT("'GRD-"&amp;AW214&amp;"'!$B:$R"),16,FALSE)))</f>
        <v/>
      </c>
      <c r="AW214" s="132">
        <f t="array" ref="AW214">IF(AU214="","",IFERROR(OFFSET($BZ$11,0,MATCH($AU214,$CA214:$FV214,0),),""))</f>
        <v/>
      </c>
      <c r="AX214" s="121">
        <f t="array" ref="AX214">IF(AU214="","",INDIRECT("'GRD-"&amp;AW214&amp;"'!$L$7"))</f>
        <v/>
      </c>
      <c r="AY214" s="83">
        <f t="array" ref="AY214">IFERROR(OFFSET($BZ$11,ROW($B214)-11,MATCH(AY$10,$CA214:$FV214,0),),"")</f>
        <v/>
      </c>
      <c r="AZ214" s="83">
        <f>IF(AY214="","",IF(VLOOKUP($B214,INDIRECT("'GRD-"&amp;BA214&amp;"'!$B:$R"),16,FALSE)="","",VLOOKUP($B214,INDIRECT("'GRD-"&amp;BA214&amp;"'!$B:$R"),16,FALSE)))</f>
        <v/>
      </c>
      <c r="BA214" s="128">
        <f t="array" ref="BA214">IF(AY214="","",IFERROR(OFFSET($BZ$11,0,MATCH($AY214,$CA214:$FV214,0),),""))</f>
        <v/>
      </c>
      <c r="BB214" s="133">
        <f t="array" ref="BB214">IF(AY214="","",INDIRECT("'GRD-"&amp;BA214&amp;"'!$L$7"))</f>
        <v/>
      </c>
      <c r="BC214" s="84">
        <f t="array" ref="BC214">IFERROR(OFFSET($BZ$11,ROW($B214)-11,MATCH(BC$10,$CA214:$FV214,0),),"")</f>
        <v/>
      </c>
      <c r="BD214" s="84">
        <f>IF(BC214="","",IF(VLOOKUP($B214,INDIRECT("'GRD-"&amp;BE214&amp;"'!$B:$R"),16,FALSE)="","",VLOOKUP($B214,INDIRECT("'GRD-"&amp;BE214&amp;"'!$B:$R"),16,FALSE)))</f>
        <v/>
      </c>
      <c r="BE214" s="129">
        <f t="array" ref="BE214">IF(BC214="","",IFERROR(OFFSET($BZ$11,0,MATCH($BC214,$CA214:$FV214,0),),""))</f>
        <v/>
      </c>
      <c r="BF214" s="134">
        <f t="array" ref="BF214">IF(BC214="","",INDIRECT("'GRD-"&amp;BE214&amp;"'!$L$7"))</f>
        <v/>
      </c>
      <c r="CA214" s="96">
        <f>IFERROR(VLOOKUP($B214,INDIRECT("'GRD-"&amp;CA$11&amp;"'!B:R"),15,FALSE),"")</f>
        <v/>
      </c>
      <c r="CB214" s="96">
        <f>IFERROR(VLOOKUP($B214,INDIRECT("'GRD-"&amp;CB$11&amp;"'!B:R"),15,FALSE),"")</f>
        <v/>
      </c>
      <c r="CC214" s="96">
        <f>IFERROR(VLOOKUP($B214,INDIRECT("'GRD-"&amp;CC$11&amp;"'!B:R"),15,FALSE),"")</f>
        <v/>
      </c>
      <c r="CD214" s="96">
        <f>IFERROR(VLOOKUP($B214,INDIRECT("'GRD-"&amp;CD$11&amp;"'!B:R"),15,FALSE),"")</f>
        <v/>
      </c>
      <c r="CE214" s="96">
        <f>IFERROR(VLOOKUP($B214,INDIRECT("'GRD-"&amp;CE$11&amp;"'!B:R"),15,FALSE),"")</f>
        <v/>
      </c>
      <c r="CF214" s="96">
        <f>IFERROR(VLOOKUP($B214,INDIRECT("'GRD-"&amp;CF$11&amp;"'!B:R"),15,FALSE),"")</f>
        <v/>
      </c>
      <c r="CG214" s="96">
        <f>IFERROR(VLOOKUP($B214,INDIRECT("'GRD-"&amp;CG$11&amp;"'!B:R"),15,FALSE),"")</f>
        <v/>
      </c>
      <c r="CH214" s="96">
        <f>IFERROR(VLOOKUP($B214,INDIRECT("'GRD-"&amp;CH$11&amp;"'!B:R"),15,FALSE),"")</f>
        <v/>
      </c>
      <c r="CI214" s="96">
        <f>IFERROR(VLOOKUP($B214,INDIRECT("'GRD-"&amp;CI$11&amp;"'!B:R"),15,FALSE),"")</f>
        <v/>
      </c>
      <c r="CJ214" s="96">
        <f>IFERROR(VLOOKUP($B214,INDIRECT("'GRD-"&amp;CJ$11&amp;"'!B:R"),15,FALSE),"")</f>
        <v/>
      </c>
      <c r="CK214" s="96">
        <f>IFERROR(VLOOKUP($B214,INDIRECT("'GRD-"&amp;CK$11&amp;"'!B:R"),15,FALSE),"")</f>
        <v/>
      </c>
      <c r="CL214" s="96">
        <f>IFERROR(VLOOKUP($B214,INDIRECT("'GRD-"&amp;CL$11&amp;"'!B:R"),15,FALSE),"")</f>
        <v/>
      </c>
      <c r="CM214" s="96">
        <f>IFERROR(VLOOKUP($B214,INDIRECT("'GRD-"&amp;CM$11&amp;"'!B:R"),15,FALSE),"")</f>
        <v/>
      </c>
      <c r="CN214" s="96">
        <f>IFERROR(VLOOKUP($B214,INDIRECT("'GRD-"&amp;CN$11&amp;"'!B:R"),15,FALSE),"")</f>
        <v/>
      </c>
      <c r="CO214" s="96">
        <f>IFERROR(VLOOKUP($B214,INDIRECT("'GRD-"&amp;CO$11&amp;"'!B:R"),15,FALSE),"")</f>
        <v/>
      </c>
      <c r="CP214" s="96">
        <f>IFERROR(VLOOKUP($B214,INDIRECT("'GRD-"&amp;CP$11&amp;"'!B:R"),15,FALSE),"")</f>
        <v/>
      </c>
      <c r="CQ214" s="96">
        <f>IFERROR(VLOOKUP($B214,INDIRECT("'GRD-"&amp;CQ$11&amp;"'!B:R"),15,FALSE),"")</f>
        <v/>
      </c>
      <c r="CR214" s="96">
        <f>IFERROR(VLOOKUP($B214,INDIRECT("'GRD-"&amp;CR$11&amp;"'!B:R"),15,FALSE),"")</f>
        <v/>
      </c>
      <c r="CS214" s="96">
        <f>IFERROR(VLOOKUP($B214,INDIRECT("'GRD-"&amp;CS$11&amp;"'!B:R"),15,FALSE),"")</f>
        <v/>
      </c>
      <c r="CT214" s="96">
        <f>IFERROR(VLOOKUP($B214,INDIRECT("'GRD-"&amp;CT$11&amp;"'!B:R"),15,FALSE),"")</f>
        <v/>
      </c>
      <c r="CU214" s="96">
        <f>IFERROR(VLOOKUP($B214,INDIRECT("'GRD-"&amp;CU$11&amp;"'!B:R"),15,FALSE),"")</f>
        <v/>
      </c>
      <c r="CV214" s="96">
        <f>IFERROR(VLOOKUP($B214,INDIRECT("'GRD-"&amp;CV$11&amp;"'!B:R"),15,FALSE),"")</f>
        <v/>
      </c>
      <c r="CW214" s="96">
        <f>IFERROR(VLOOKUP($B214,INDIRECT("'GRD-"&amp;CW$11&amp;"'!B:R"),15,FALSE),"")</f>
        <v/>
      </c>
      <c r="CX214" s="96">
        <f>IFERROR(VLOOKUP($B214,INDIRECT("'GRD-"&amp;CX$11&amp;"'!B:R"),15,FALSE),"")</f>
        <v/>
      </c>
      <c r="CY214" s="96">
        <f>IFERROR(VLOOKUP($B214,INDIRECT("'GRD-"&amp;CY$11&amp;"'!B:R"),15,FALSE),"")</f>
        <v/>
      </c>
      <c r="CZ214" s="96">
        <f>IFERROR(VLOOKUP($B214,INDIRECT("'GRD-"&amp;CZ$11&amp;"'!B:R"),15,FALSE),"")</f>
        <v/>
      </c>
      <c r="DA214" s="96">
        <f>IFERROR(VLOOKUP($B214,INDIRECT("'GRD-"&amp;DA$11&amp;"'!B:R"),15,FALSE),"")</f>
        <v/>
      </c>
      <c r="DB214" s="96">
        <f>IFERROR(VLOOKUP($B214,INDIRECT("'GRD-"&amp;DB$11&amp;"'!B:R"),15,FALSE),"")</f>
        <v/>
      </c>
      <c r="DC214" s="96">
        <f>IFERROR(VLOOKUP($B214,INDIRECT("'GRD-"&amp;DC$11&amp;"'!B:R"),15,FALSE),"")</f>
        <v/>
      </c>
      <c r="DD214" s="96">
        <f>IFERROR(VLOOKUP($B214,INDIRECT("'GRD-"&amp;DD$11&amp;"'!B:R"),15,FALSE),"")</f>
        <v/>
      </c>
      <c r="DE214" s="96">
        <f>IFERROR(VLOOKUP($B214,INDIRECT("'GRD-"&amp;DE$11&amp;"'!B:R"),15,FALSE),"")</f>
        <v/>
      </c>
      <c r="DF214" s="96">
        <f>IFERROR(VLOOKUP($B214,INDIRECT("'GRD-"&amp;DF$11&amp;"'!B:R"),15,FALSE),"")</f>
        <v/>
      </c>
      <c r="DG214" s="96">
        <f>IFERROR(VLOOKUP($B214,INDIRECT("'GRD-"&amp;DG$11&amp;"'!B:R"),15,FALSE),"")</f>
        <v/>
      </c>
      <c r="DH214" s="96">
        <f>IFERROR(VLOOKUP($B214,INDIRECT("'GRD-"&amp;DH$11&amp;"'!B:R"),15,FALSE),"")</f>
        <v/>
      </c>
      <c r="DI214" s="96">
        <f>IFERROR(VLOOKUP($B214,INDIRECT("'GRD-"&amp;DI$11&amp;"'!B:R"),15,FALSE),"")</f>
        <v/>
      </c>
      <c r="DJ214" s="96">
        <f>IFERROR(VLOOKUP($B214,INDIRECT("'GRD-"&amp;DJ$11&amp;"'!B:R"),15,FALSE),"")</f>
        <v/>
      </c>
      <c r="DK214" s="96">
        <f>IFERROR(VLOOKUP($B214,INDIRECT("'GRD-"&amp;DK$11&amp;"'!B:R"),15,FALSE),"")</f>
        <v/>
      </c>
      <c r="DL214" s="96">
        <f>IFERROR(VLOOKUP($B214,INDIRECT("'GRD-"&amp;DL$11&amp;"'!B:R"),15,FALSE),"")</f>
        <v/>
      </c>
      <c r="DM214" s="96">
        <f>IFERROR(VLOOKUP($B214,INDIRECT("'GRD-"&amp;DM$11&amp;"'!B:R"),15,FALSE),"")</f>
        <v/>
      </c>
      <c r="DN214" s="96">
        <f>IFERROR(VLOOKUP($B214,INDIRECT("'GRD-"&amp;DN$11&amp;"'!B:R"),15,FALSE),"")</f>
        <v/>
      </c>
      <c r="DO214" s="96">
        <f>IFERROR(VLOOKUP($B214,INDIRECT("'GRD-"&amp;DO$11&amp;"'!B:R"),15,FALSE),"")</f>
        <v/>
      </c>
      <c r="DP214" s="96">
        <f>IFERROR(VLOOKUP($B214,INDIRECT("'GRD-"&amp;DP$11&amp;"'!B:R"),15,FALSE),"")</f>
        <v/>
      </c>
      <c r="DQ214" s="96">
        <f>IFERROR(VLOOKUP($B214,INDIRECT("'GRD-"&amp;DQ$11&amp;"'!B:R"),15,FALSE),"")</f>
        <v/>
      </c>
      <c r="DR214" s="96">
        <f>IFERROR(VLOOKUP($B214,INDIRECT("'GRD-"&amp;DR$11&amp;"'!B:R"),15,FALSE),"")</f>
        <v/>
      </c>
      <c r="DS214" s="96">
        <f>IFERROR(VLOOKUP($B214,INDIRECT("'GRD-"&amp;DS$11&amp;"'!B:R"),15,FALSE),"")</f>
        <v/>
      </c>
      <c r="DT214" s="96">
        <f>IFERROR(VLOOKUP($B214,INDIRECT("'GRD-"&amp;DT$11&amp;"'!B:R"),15,FALSE),"")</f>
        <v/>
      </c>
      <c r="DU214" s="96">
        <f>IFERROR(VLOOKUP($B214,INDIRECT("'GRD-"&amp;DU$11&amp;"'!B:R"),15,FALSE),"")</f>
        <v/>
      </c>
      <c r="DV214" s="96">
        <f>IFERROR(VLOOKUP($B214,INDIRECT("'GRD-"&amp;DV$11&amp;"'!B:R"),15,FALSE),"")</f>
        <v/>
      </c>
      <c r="DW214" s="96">
        <f>IFERROR(VLOOKUP($B214,INDIRECT("'GRD-"&amp;DW$11&amp;"'!B:R"),15,FALSE),"")</f>
        <v/>
      </c>
      <c r="DX214" s="96">
        <f>IFERROR(VLOOKUP($B214,INDIRECT("'GRD-"&amp;DX$11&amp;"'!B:R"),15,FALSE),"")</f>
        <v/>
      </c>
      <c r="DY214" s="96">
        <f>IFERROR(VLOOKUP($B214,INDIRECT("'GRD-"&amp;DY$11&amp;"'!B:R"),15,FALSE),"")</f>
        <v/>
      </c>
      <c r="DZ214" s="96">
        <f>IFERROR(VLOOKUP($B214,INDIRECT("'GRD-"&amp;DZ$11&amp;"'!B:R"),15,FALSE),"")</f>
        <v/>
      </c>
      <c r="EA214" s="96">
        <f>IFERROR(VLOOKUP($B214,INDIRECT("'GRD-"&amp;EA$11&amp;"'!B:R"),15,FALSE),"")</f>
        <v/>
      </c>
      <c r="EB214" s="96">
        <f>IFERROR(VLOOKUP($B214,INDIRECT("'GRD-"&amp;EB$11&amp;"'!B:R"),15,FALSE),"")</f>
        <v/>
      </c>
      <c r="EC214" s="96">
        <f>IFERROR(VLOOKUP($B214,INDIRECT("'GRD-"&amp;EC$11&amp;"'!B:R"),15,FALSE),"")</f>
        <v/>
      </c>
      <c r="ED214" s="96">
        <f>IFERROR(VLOOKUP($B214,INDIRECT("'GRD-"&amp;ED$11&amp;"'!B:R"),15,FALSE),"")</f>
        <v/>
      </c>
      <c r="EE214" s="96">
        <f>IFERROR(VLOOKUP($B214,INDIRECT("'GRD-"&amp;EE$11&amp;"'!B:R"),15,FALSE),"")</f>
        <v/>
      </c>
      <c r="EF214" s="96">
        <f>IFERROR(VLOOKUP($B214,INDIRECT("'GRD-"&amp;EF$11&amp;"'!B:R"),15,FALSE),"")</f>
        <v/>
      </c>
      <c r="EG214" s="96">
        <f>IFERROR(VLOOKUP($B214,INDIRECT("'GRD-"&amp;EG$11&amp;"'!B:R"),15,FALSE),"")</f>
        <v/>
      </c>
      <c r="EH214" s="96">
        <f>IFERROR(VLOOKUP($B214,INDIRECT("'GRD-"&amp;EH$11&amp;"'!B:R"),15,FALSE),"")</f>
        <v/>
      </c>
      <c r="EI214" s="96">
        <f>IFERROR(VLOOKUP($B214,INDIRECT("'GRD-"&amp;EI$11&amp;"'!B:R"),15,FALSE),"")</f>
        <v/>
      </c>
      <c r="EJ214" s="96">
        <f>IFERROR(VLOOKUP($B214,INDIRECT("'GRD-"&amp;EJ$11&amp;"'!B:R"),15,FALSE),"")</f>
        <v/>
      </c>
      <c r="EK214" s="96">
        <f>IFERROR(VLOOKUP($B214,INDIRECT("'GRD-"&amp;EK$11&amp;"'!B:R"),15,FALSE),"")</f>
        <v/>
      </c>
      <c r="EL214" s="96">
        <f>IFERROR(VLOOKUP($B214,INDIRECT("'GRD-"&amp;EL$11&amp;"'!B:R"),15,FALSE),"")</f>
        <v/>
      </c>
      <c r="EM214" s="96">
        <f>IFERROR(VLOOKUP($B214,INDIRECT("'GRD-"&amp;EM$11&amp;"'!B:R"),15,FALSE),"")</f>
        <v/>
      </c>
      <c r="EN214" s="96">
        <f>IFERROR(VLOOKUP($B214,INDIRECT("'GRD-"&amp;EN$11&amp;"'!B:R"),15,FALSE),"")</f>
        <v/>
      </c>
      <c r="EO214" s="96">
        <f>IFERROR(VLOOKUP($B214,INDIRECT("'GRD-"&amp;EO$11&amp;"'!B:R"),15,FALSE),"")</f>
        <v/>
      </c>
      <c r="EP214" s="96">
        <f>IFERROR(VLOOKUP($B214,INDIRECT("'GRD-"&amp;EP$11&amp;"'!B:R"),15,FALSE),"")</f>
        <v/>
      </c>
      <c r="EQ214" s="96">
        <f>IFERROR(VLOOKUP($B214,INDIRECT("'GRD-"&amp;EQ$11&amp;"'!B:R"),15,FALSE),"")</f>
        <v/>
      </c>
      <c r="ER214" s="96">
        <f>IFERROR(VLOOKUP($B214,INDIRECT("'GRD-"&amp;ER$11&amp;"'!B:R"),15,FALSE),"")</f>
        <v/>
      </c>
      <c r="ES214" s="96">
        <f>IFERROR(VLOOKUP($B214,INDIRECT("'GRD-"&amp;ES$11&amp;"'!B:R"),15,FALSE),"")</f>
        <v/>
      </c>
      <c r="ET214" s="96">
        <f>IFERROR(VLOOKUP($B214,INDIRECT("'GRD-"&amp;ET$11&amp;"'!B:R"),15,FALSE),"")</f>
        <v/>
      </c>
      <c r="EU214" s="96">
        <f>IFERROR(VLOOKUP($B214,INDIRECT("'GRD-"&amp;EU$11&amp;"'!B:R"),15,FALSE),"")</f>
        <v/>
      </c>
      <c r="EV214" s="96">
        <f>IFERROR(VLOOKUP($B214,INDIRECT("'GRD-"&amp;EV$11&amp;"'!B:R"),15,FALSE),"")</f>
        <v/>
      </c>
      <c r="EW214" s="96">
        <f>IFERROR(VLOOKUP($B214,INDIRECT("'GRD-"&amp;EW$11&amp;"'!B:R"),15,FALSE),"")</f>
        <v/>
      </c>
      <c r="EX214" s="96">
        <f>IFERROR(VLOOKUP($B214,INDIRECT("'GRD-"&amp;EX$11&amp;"'!B:R"),15,FALSE),"")</f>
        <v/>
      </c>
      <c r="EY214" s="96">
        <f>IFERROR(VLOOKUP($B214,INDIRECT("'GRD-"&amp;EY$11&amp;"'!B:R"),15,FALSE),"")</f>
        <v/>
      </c>
      <c r="EZ214" s="96">
        <f>IFERROR(VLOOKUP($B214,INDIRECT("'GRD-"&amp;EZ$11&amp;"'!B:R"),15,FALSE),"")</f>
        <v/>
      </c>
      <c r="FA214" s="96">
        <f>IFERROR(VLOOKUP($B214,INDIRECT("'GRD-"&amp;FA$11&amp;"'!B:R"),15,FALSE),"")</f>
        <v/>
      </c>
      <c r="FB214" s="96">
        <f>IFERROR(VLOOKUP($B214,INDIRECT("'GRD-"&amp;FB$11&amp;"'!B:R"),15,FALSE),"")</f>
        <v/>
      </c>
      <c r="FC214" s="96">
        <f>IFERROR(VLOOKUP($B214,INDIRECT("'GRD-"&amp;FC$11&amp;"'!B:R"),15,FALSE),"")</f>
        <v/>
      </c>
      <c r="FD214" s="96">
        <f>IFERROR(VLOOKUP($B214,INDIRECT("'GRD-"&amp;FD$11&amp;"'!B:R"),15,FALSE),"")</f>
        <v/>
      </c>
      <c r="FE214" s="96">
        <f>IFERROR(VLOOKUP($B214,INDIRECT("'GRD-"&amp;FE$11&amp;"'!B:R"),15,FALSE),"")</f>
        <v/>
      </c>
      <c r="FF214" s="96">
        <f>IFERROR(VLOOKUP($B214,INDIRECT("'GRD-"&amp;FF$11&amp;"'!B:R"),15,FALSE),"")</f>
        <v/>
      </c>
      <c r="FG214" s="96">
        <f>IFERROR(VLOOKUP($B214,INDIRECT("'GRD-"&amp;FG$11&amp;"'!B:R"),15,FALSE),"")</f>
        <v/>
      </c>
      <c r="FH214" s="96">
        <f>IFERROR(VLOOKUP($B214,INDIRECT("'GRD-"&amp;FH$11&amp;"'!B:R"),15,FALSE),"")</f>
        <v/>
      </c>
      <c r="FI214" s="96">
        <f>IFERROR(VLOOKUP($B214,INDIRECT("'GRD-"&amp;FI$11&amp;"'!B:R"),15,FALSE),"")</f>
        <v/>
      </c>
      <c r="FJ214" s="96">
        <f>IFERROR(VLOOKUP($B214,INDIRECT("'GRD-"&amp;FJ$11&amp;"'!B:R"),15,FALSE),"")</f>
        <v/>
      </c>
      <c r="FK214" s="96">
        <f>IFERROR(VLOOKUP($B214,INDIRECT("'GRD-"&amp;FK$11&amp;"'!B:R"),15,FALSE),"")</f>
        <v/>
      </c>
      <c r="FL214" s="96">
        <f>IFERROR(VLOOKUP($B214,INDIRECT("'GRD-"&amp;FL$11&amp;"'!B:R"),15,FALSE),"")</f>
        <v/>
      </c>
      <c r="FM214" s="96">
        <f>IFERROR(VLOOKUP($B214,INDIRECT("'GRD-"&amp;FM$11&amp;"'!B:R"),15,FALSE),"")</f>
        <v/>
      </c>
      <c r="FN214" s="96">
        <f>IFERROR(VLOOKUP($B214,INDIRECT("'GRD-"&amp;FN$11&amp;"'!B:R"),15,FALSE),"")</f>
        <v/>
      </c>
      <c r="FO214" s="96">
        <f>IFERROR(VLOOKUP($B214,INDIRECT("'GRD-"&amp;FO$11&amp;"'!B:R"),15,FALSE),"")</f>
        <v/>
      </c>
      <c r="FP214" s="96">
        <f>IFERROR(VLOOKUP($B214,INDIRECT("'GRD-"&amp;FP$11&amp;"'!B:R"),15,FALSE),"")</f>
        <v/>
      </c>
      <c r="FQ214" s="96">
        <f>IFERROR(VLOOKUP($B214,INDIRECT("'GRD-"&amp;FQ$11&amp;"'!B:R"),15,FALSE),"")</f>
        <v/>
      </c>
      <c r="FR214" s="96">
        <f>IFERROR(VLOOKUP($B214,INDIRECT("'GRD-"&amp;FR$11&amp;"'!B:R"),15,FALSE),"")</f>
        <v/>
      </c>
      <c r="FS214" s="96">
        <f>IFERROR(VLOOKUP($B214,INDIRECT("'GRD-"&amp;FS$11&amp;"'!B:R"),15,FALSE),"")</f>
        <v/>
      </c>
      <c r="FT214" s="96">
        <f>IFERROR(VLOOKUP($B214,INDIRECT("'GRD-"&amp;FT$11&amp;"'!B:R"),15,FALSE),"")</f>
        <v/>
      </c>
      <c r="FU214" s="96">
        <f>IFERROR(VLOOKUP($B214,INDIRECT("'GRD-"&amp;FU$11&amp;"'!B:R"),15,FALSE),"")</f>
        <v/>
      </c>
      <c r="FV214" s="96">
        <f>IFERROR(VLOOKUP($B214,INDIRECT("'GRD-"&amp;FV$11&amp;"'!B:R"),15,FALSE),"")</f>
        <v/>
      </c>
    </row>
    <row r="215">
      <c r="B215" s="85" t="n"/>
      <c r="C215" s="93" t="n"/>
      <c r="D215" s="73">
        <f>IF(K215="","",MAX($CA215:$FV215))</f>
        <v/>
      </c>
      <c r="E215" s="74">
        <f t="array" ref="E215">IF($K215="","",OFFSET($A$1,ROW($B215)-1,11+$D215*4,))</f>
        <v/>
      </c>
      <c r="F215" s="74">
        <f t="array" ref="F215">IF($K215="","",OFFSET($A$1,ROW($B215)-1,12+$D215*4,))</f>
        <v/>
      </c>
      <c r="G215" s="118">
        <f t="array" ref="G215">IF($K215="","",OFFSET($A$1,ROW($B215)-1,13+$D215*4,))</f>
        <v/>
      </c>
      <c r="H215" s="81" t="n"/>
      <c r="I215" s="82" t="n"/>
      <c r="J215" s="75">
        <f>IF(I215="A4",H215/8,IF(I215="A3",H215/4,IF(I215="A2",H215/2,IF(I215="A1",H215/1,IF(I215="A0",H215*2,"")))))</f>
        <v/>
      </c>
      <c r="K215" s="68">
        <f t="array" ref="K215">IFERROR(OFFSET($BZ$11,ROW($B215)-11,MATCH(K$10,$CA215:$FV215,0),),"")</f>
        <v/>
      </c>
      <c r="L215" s="85">
        <f>IF(K215="","",IF(VLOOKUP($B215,INDIRECT("'GRD-"&amp;M215&amp;"'!$B:$R"),16,FALSE)="","",VLOOKUP($B215,INDIRECT("'GRD-"&amp;M215&amp;"'!$B:$R"),16,FALSE)))</f>
        <v/>
      </c>
      <c r="M215" s="130">
        <f t="array" ref="M215">IF(K215="","",IFERROR(OFFSET($BZ$11,0,MATCH($K215,$CA215:$FV215,0),),""))</f>
        <v/>
      </c>
      <c r="N215" s="119">
        <f t="array" ref="N215">IF(K215="","",INDIRECT("'GRD-"&amp;M215&amp;"'!$L$7"))</f>
        <v/>
      </c>
      <c r="O215" s="76">
        <f t="array" ref="O215">IFERROR(OFFSET($BZ$11,ROW($B215)-11,MATCH(O$10,$CA215:$FV215,0),),"")</f>
        <v/>
      </c>
      <c r="P215" s="76">
        <f>IF(O215="","",IF(VLOOKUP($B215,INDIRECT("'GRD-"&amp;Q215&amp;"'!$B:$R"),16,FALSE)="","",VLOOKUP($B215,INDIRECT("'GRD-"&amp;Q215&amp;"'!$B:$R"),16,FALSE)))</f>
        <v/>
      </c>
      <c r="Q215" s="132">
        <f t="array" ref="Q215">IF(O215="","",IFERROR(OFFSET($BZ$11,0,MATCH($O215,$CA215:$FV215,0),),""))</f>
        <v/>
      </c>
      <c r="R215" s="121">
        <f t="array" ref="R215">IF(O215="","",INDIRECT("'GRD-"&amp;Q215&amp;"'!$L$7"))</f>
        <v/>
      </c>
      <c r="S215" s="83">
        <f t="array" ref="S215">IFERROR(OFFSET($BZ$11,ROW($B215)-11,MATCH(S$10,$CA215:$FV215,0),),"")</f>
        <v/>
      </c>
      <c r="T215" s="83">
        <f>IF(S215="","",IF(VLOOKUP($B215,INDIRECT("'GRD-"&amp;U215&amp;"'!$B:$R"),16,FALSE)="","",VLOOKUP($B215,INDIRECT("'GRD-"&amp;U215&amp;"'!$B:$R"),16,FALSE)))</f>
        <v/>
      </c>
      <c r="U215" s="128">
        <f t="array" ref="U215">IF(S215="","",IFERROR(OFFSET($BZ$11,0,MATCH($S215,$CA215:$FV215,0),),""))</f>
        <v/>
      </c>
      <c r="V215" s="133">
        <f t="array" ref="V215">IF(S215="","",INDIRECT("'GRD-"&amp;U215&amp;"'!$L$7"))</f>
        <v/>
      </c>
      <c r="W215" s="84">
        <f t="array" ref="W215">IFERROR(OFFSET($BZ$11,ROW($B215)-11,MATCH(W$10,$CA215:$FV215,0),),"")</f>
        <v/>
      </c>
      <c r="X215" s="84">
        <f>IF(W215="","",IF(VLOOKUP($B215,INDIRECT("'GRD-"&amp;Y215&amp;"'!$B:$R"),16,FALSE)="","",VLOOKUP($B215,INDIRECT("'GRD-"&amp;Y215&amp;"'!$B:$R"),16,FALSE)))</f>
        <v/>
      </c>
      <c r="Y215" s="129">
        <f t="array" ref="Y215">IF(W215="","",IFERROR(OFFSET($BZ$11,0,MATCH($W215,$CA215:$FV215,0),),""))</f>
        <v/>
      </c>
      <c r="Z215" s="134">
        <f t="array" ref="Z215">IF(W215="","",INDIRECT("'GRD-"&amp;Y215&amp;"'!$L$7"))</f>
        <v/>
      </c>
      <c r="AA215" s="85">
        <f t="array" ref="AA215">IFERROR(OFFSET($BZ$11,ROW($B215)-11,MATCH(AA$10,$CA215:$FV215,0),),"")</f>
        <v/>
      </c>
      <c r="AB215" s="85">
        <f>IF(AA215="","",IF(VLOOKUP($B215,INDIRECT("'GRD-"&amp;AC215&amp;"'!$B:$R"),16,FALSE)="","",VLOOKUP($B215,INDIRECT("'GRD-"&amp;AC215&amp;"'!$B:$R"),16,FALSE)))</f>
        <v/>
      </c>
      <c r="AC215" s="130">
        <f t="array" ref="AC215">IF(AA215="","",IFERROR(OFFSET($BZ$11,0,MATCH($AA215,$CA215:$FV215,0),),""))</f>
        <v/>
      </c>
      <c r="AD215" s="131">
        <f t="array" ref="AD215">IF(AA215="","",INDIRECT("'GRD-"&amp;AC215&amp;"'!$L$7"))</f>
        <v/>
      </c>
      <c r="AE215" s="76">
        <f t="array" ref="AE215">IFERROR(OFFSET($BZ$11,ROW($B215)-11,MATCH(AE$10,$CA215:$FV215,0),),"")</f>
        <v/>
      </c>
      <c r="AF215" s="76">
        <f>IF(AE215="","",IF(VLOOKUP($B215,INDIRECT("'GRD-"&amp;AG215&amp;"'!$B:$R"),16,FALSE)="","",VLOOKUP($B215,INDIRECT("'GRD-"&amp;AG215&amp;"'!$B:$R"),16,FALSE)))</f>
        <v/>
      </c>
      <c r="AG215" s="132">
        <f t="array" ref="AG215">IF(AE215="","",IFERROR(OFFSET($BZ$11,0,MATCH($AE215,$CA215:$FV215,0),),""))</f>
        <v/>
      </c>
      <c r="AH215" s="121">
        <f t="array" ref="AH215">IF(AE215="","",INDIRECT("'GRD-"&amp;AG215&amp;"'!$L$7"))</f>
        <v/>
      </c>
      <c r="AI215" s="83">
        <f t="array" ref="AI215">IFERROR(OFFSET($BZ$11,ROW($B215)-11,MATCH(AI$10,$CA215:$FV215,0),),"")</f>
        <v/>
      </c>
      <c r="AJ215" s="83">
        <f>IF(AI215="","",IF(VLOOKUP($B215,INDIRECT("'GRD-"&amp;AK215&amp;"'!$B:$R"),16,FALSE)="","",VLOOKUP($B215,INDIRECT("'GRD-"&amp;AK215&amp;"'!$B:$R"),16,FALSE)))</f>
        <v/>
      </c>
      <c r="AK215" s="128">
        <f t="array" ref="AK215">IF(AI215="","",IFERROR(OFFSET($BZ$11,0,MATCH($AI215,$CA215:$FV215,0),),""))</f>
        <v/>
      </c>
      <c r="AL215" s="133">
        <f t="array" ref="AL215">IF(AI215="","",INDIRECT("'GRD-"&amp;AK215&amp;"'!$L$7"))</f>
        <v/>
      </c>
      <c r="AM215" s="84">
        <f t="array" ref="AM215">IFERROR(OFFSET($BZ$11,ROW($B215)-11,MATCH(AM$10,$CA215:$FV215,0),),"")</f>
        <v/>
      </c>
      <c r="AN215" s="84">
        <f>IF(AM215="","",IF(VLOOKUP($B215,INDIRECT("'GRD-"&amp;AO215&amp;"'!$B:$R"),16,FALSE)="","",VLOOKUP($B215,INDIRECT("'GRD-"&amp;AO215&amp;"'!$B:$R"),16,FALSE)))</f>
        <v/>
      </c>
      <c r="AO215" s="129">
        <f t="array" ref="AO215">IF(AM215="","",IFERROR(OFFSET($BZ$11,0,MATCH($AM215,$CA215:$FV215,0),),""))</f>
        <v/>
      </c>
      <c r="AP215" s="134">
        <f t="array" ref="AP215">IF(AM215="","",INDIRECT("'GRD-"&amp;AO215&amp;"'!$L$7"))</f>
        <v/>
      </c>
      <c r="AQ215" s="85">
        <f t="array" ref="AQ215">IFERROR(OFFSET($BZ$11,ROW($B215)-11,MATCH(AQ$10,$CA215:$FV215,0),),"")</f>
        <v/>
      </c>
      <c r="AR215" s="85">
        <f>IF(AQ215="","",IF(VLOOKUP($B215,INDIRECT("'GRD-"&amp;AS215&amp;"'!$B:$R"),16,FALSE)="","",VLOOKUP($B215,INDIRECT("'GRD-"&amp;AS215&amp;"'!$B:$R"),16,FALSE)))</f>
        <v/>
      </c>
      <c r="AS215" s="130">
        <f t="array" ref="AS215">IF(AQ215="","",IFERROR(OFFSET($BZ$11,0,MATCH($AQ215,$CA215:$FV215,0),),""))</f>
        <v/>
      </c>
      <c r="AT215" s="131">
        <f t="array" ref="AT215">IF(AQ215="","",INDIRECT("'GRD-"&amp;AS215&amp;"'!$L$7"))</f>
        <v/>
      </c>
      <c r="AU215" s="76">
        <f t="array" ref="AU215">IFERROR(OFFSET($BZ$11,ROW($B215)-11,MATCH(AU$10,$CA215:$FV215,0),),"")</f>
        <v/>
      </c>
      <c r="AV215" s="76">
        <f>IF(AU215="","",IF(VLOOKUP($B215,INDIRECT("'GRD-"&amp;AW215&amp;"'!$B:$R"),16,FALSE)="","",VLOOKUP($B215,INDIRECT("'GRD-"&amp;AW215&amp;"'!$B:$R"),16,FALSE)))</f>
        <v/>
      </c>
      <c r="AW215" s="132">
        <f t="array" ref="AW215">IF(AU215="","",IFERROR(OFFSET($BZ$11,0,MATCH($AU215,$CA215:$FV215,0),),""))</f>
        <v/>
      </c>
      <c r="AX215" s="121">
        <f t="array" ref="AX215">IF(AU215="","",INDIRECT("'GRD-"&amp;AW215&amp;"'!$L$7"))</f>
        <v/>
      </c>
      <c r="AY215" s="83">
        <f t="array" ref="AY215">IFERROR(OFFSET($BZ$11,ROW($B215)-11,MATCH(AY$10,$CA215:$FV215,0),),"")</f>
        <v/>
      </c>
      <c r="AZ215" s="83">
        <f>IF(AY215="","",IF(VLOOKUP($B215,INDIRECT("'GRD-"&amp;BA215&amp;"'!$B:$R"),16,FALSE)="","",VLOOKUP($B215,INDIRECT("'GRD-"&amp;BA215&amp;"'!$B:$R"),16,FALSE)))</f>
        <v/>
      </c>
      <c r="BA215" s="128">
        <f t="array" ref="BA215">IF(AY215="","",IFERROR(OFFSET($BZ$11,0,MATCH($AY215,$CA215:$FV215,0),),""))</f>
        <v/>
      </c>
      <c r="BB215" s="133">
        <f t="array" ref="BB215">IF(AY215="","",INDIRECT("'GRD-"&amp;BA215&amp;"'!$L$7"))</f>
        <v/>
      </c>
      <c r="BC215" s="84">
        <f t="array" ref="BC215">IFERROR(OFFSET($BZ$11,ROW($B215)-11,MATCH(BC$10,$CA215:$FV215,0),),"")</f>
        <v/>
      </c>
      <c r="BD215" s="84">
        <f>IF(BC215="","",IF(VLOOKUP($B215,INDIRECT("'GRD-"&amp;BE215&amp;"'!$B:$R"),16,FALSE)="","",VLOOKUP($B215,INDIRECT("'GRD-"&amp;BE215&amp;"'!$B:$R"),16,FALSE)))</f>
        <v/>
      </c>
      <c r="BE215" s="129">
        <f t="array" ref="BE215">IF(BC215="","",IFERROR(OFFSET($BZ$11,0,MATCH($BC215,$CA215:$FV215,0),),""))</f>
        <v/>
      </c>
      <c r="BF215" s="134">
        <f t="array" ref="BF215">IF(BC215="","",INDIRECT("'GRD-"&amp;BE215&amp;"'!$L$7"))</f>
        <v/>
      </c>
      <c r="CA215" s="96">
        <f>IFERROR(VLOOKUP($B215,INDIRECT("'GRD-"&amp;CA$11&amp;"'!B:R"),15,FALSE),"")</f>
        <v/>
      </c>
      <c r="CB215" s="96">
        <f>IFERROR(VLOOKUP($B215,INDIRECT("'GRD-"&amp;CB$11&amp;"'!B:R"),15,FALSE),"")</f>
        <v/>
      </c>
      <c r="CC215" s="96">
        <f>IFERROR(VLOOKUP($B215,INDIRECT("'GRD-"&amp;CC$11&amp;"'!B:R"),15,FALSE),"")</f>
        <v/>
      </c>
      <c r="CD215" s="96">
        <f>IFERROR(VLOOKUP($B215,INDIRECT("'GRD-"&amp;CD$11&amp;"'!B:R"),15,FALSE),"")</f>
        <v/>
      </c>
      <c r="CE215" s="96">
        <f>IFERROR(VLOOKUP($B215,INDIRECT("'GRD-"&amp;CE$11&amp;"'!B:R"),15,FALSE),"")</f>
        <v/>
      </c>
      <c r="CF215" s="96">
        <f>IFERROR(VLOOKUP($B215,INDIRECT("'GRD-"&amp;CF$11&amp;"'!B:R"),15,FALSE),"")</f>
        <v/>
      </c>
      <c r="CG215" s="96">
        <f>IFERROR(VLOOKUP($B215,INDIRECT("'GRD-"&amp;CG$11&amp;"'!B:R"),15,FALSE),"")</f>
        <v/>
      </c>
      <c r="CH215" s="96">
        <f>IFERROR(VLOOKUP($B215,INDIRECT("'GRD-"&amp;CH$11&amp;"'!B:R"),15,FALSE),"")</f>
        <v/>
      </c>
      <c r="CI215" s="96">
        <f>IFERROR(VLOOKUP($B215,INDIRECT("'GRD-"&amp;CI$11&amp;"'!B:R"),15,FALSE),"")</f>
        <v/>
      </c>
      <c r="CJ215" s="96">
        <f>IFERROR(VLOOKUP($B215,INDIRECT("'GRD-"&amp;CJ$11&amp;"'!B:R"),15,FALSE),"")</f>
        <v/>
      </c>
      <c r="CK215" s="96">
        <f>IFERROR(VLOOKUP($B215,INDIRECT("'GRD-"&amp;CK$11&amp;"'!B:R"),15,FALSE),"")</f>
        <v/>
      </c>
      <c r="CL215" s="96">
        <f>IFERROR(VLOOKUP($B215,INDIRECT("'GRD-"&amp;CL$11&amp;"'!B:R"),15,FALSE),"")</f>
        <v/>
      </c>
      <c r="CM215" s="96">
        <f>IFERROR(VLOOKUP($B215,INDIRECT("'GRD-"&amp;CM$11&amp;"'!B:R"),15,FALSE),"")</f>
        <v/>
      </c>
      <c r="CN215" s="96">
        <f>IFERROR(VLOOKUP($B215,INDIRECT("'GRD-"&amp;CN$11&amp;"'!B:R"),15,FALSE),"")</f>
        <v/>
      </c>
      <c r="CO215" s="96">
        <f>IFERROR(VLOOKUP($B215,INDIRECT("'GRD-"&amp;CO$11&amp;"'!B:R"),15,FALSE),"")</f>
        <v/>
      </c>
      <c r="CP215" s="96">
        <f>IFERROR(VLOOKUP($B215,INDIRECT("'GRD-"&amp;CP$11&amp;"'!B:R"),15,FALSE),"")</f>
        <v/>
      </c>
      <c r="CQ215" s="96">
        <f>IFERROR(VLOOKUP($B215,INDIRECT("'GRD-"&amp;CQ$11&amp;"'!B:R"),15,FALSE),"")</f>
        <v/>
      </c>
      <c r="CR215" s="96">
        <f>IFERROR(VLOOKUP($B215,INDIRECT("'GRD-"&amp;CR$11&amp;"'!B:R"),15,FALSE),"")</f>
        <v/>
      </c>
      <c r="CS215" s="96">
        <f>IFERROR(VLOOKUP($B215,INDIRECT("'GRD-"&amp;CS$11&amp;"'!B:R"),15,FALSE),"")</f>
        <v/>
      </c>
      <c r="CT215" s="96">
        <f>IFERROR(VLOOKUP($B215,INDIRECT("'GRD-"&amp;CT$11&amp;"'!B:R"),15,FALSE),"")</f>
        <v/>
      </c>
      <c r="CU215" s="96">
        <f>IFERROR(VLOOKUP($B215,INDIRECT("'GRD-"&amp;CU$11&amp;"'!B:R"),15,FALSE),"")</f>
        <v/>
      </c>
      <c r="CV215" s="96">
        <f>IFERROR(VLOOKUP($B215,INDIRECT("'GRD-"&amp;CV$11&amp;"'!B:R"),15,FALSE),"")</f>
        <v/>
      </c>
      <c r="CW215" s="96">
        <f>IFERROR(VLOOKUP($B215,INDIRECT("'GRD-"&amp;CW$11&amp;"'!B:R"),15,FALSE),"")</f>
        <v/>
      </c>
      <c r="CX215" s="96">
        <f>IFERROR(VLOOKUP($B215,INDIRECT("'GRD-"&amp;CX$11&amp;"'!B:R"),15,FALSE),"")</f>
        <v/>
      </c>
      <c r="CY215" s="96">
        <f>IFERROR(VLOOKUP($B215,INDIRECT("'GRD-"&amp;CY$11&amp;"'!B:R"),15,FALSE),"")</f>
        <v/>
      </c>
      <c r="CZ215" s="96">
        <f>IFERROR(VLOOKUP($B215,INDIRECT("'GRD-"&amp;CZ$11&amp;"'!B:R"),15,FALSE),"")</f>
        <v/>
      </c>
      <c r="DA215" s="96">
        <f>IFERROR(VLOOKUP($B215,INDIRECT("'GRD-"&amp;DA$11&amp;"'!B:R"),15,FALSE),"")</f>
        <v/>
      </c>
      <c r="DB215" s="96">
        <f>IFERROR(VLOOKUP($B215,INDIRECT("'GRD-"&amp;DB$11&amp;"'!B:R"),15,FALSE),"")</f>
        <v/>
      </c>
      <c r="DC215" s="96">
        <f>IFERROR(VLOOKUP($B215,INDIRECT("'GRD-"&amp;DC$11&amp;"'!B:R"),15,FALSE),"")</f>
        <v/>
      </c>
      <c r="DD215" s="96">
        <f>IFERROR(VLOOKUP($B215,INDIRECT("'GRD-"&amp;DD$11&amp;"'!B:R"),15,FALSE),"")</f>
        <v/>
      </c>
      <c r="DE215" s="96">
        <f>IFERROR(VLOOKUP($B215,INDIRECT("'GRD-"&amp;DE$11&amp;"'!B:R"),15,FALSE),"")</f>
        <v/>
      </c>
      <c r="DF215" s="96">
        <f>IFERROR(VLOOKUP($B215,INDIRECT("'GRD-"&amp;DF$11&amp;"'!B:R"),15,FALSE),"")</f>
        <v/>
      </c>
      <c r="DG215" s="96">
        <f>IFERROR(VLOOKUP($B215,INDIRECT("'GRD-"&amp;DG$11&amp;"'!B:R"),15,FALSE),"")</f>
        <v/>
      </c>
      <c r="DH215" s="96">
        <f>IFERROR(VLOOKUP($B215,INDIRECT("'GRD-"&amp;DH$11&amp;"'!B:R"),15,FALSE),"")</f>
        <v/>
      </c>
      <c r="DI215" s="96">
        <f>IFERROR(VLOOKUP($B215,INDIRECT("'GRD-"&amp;DI$11&amp;"'!B:R"),15,FALSE),"")</f>
        <v/>
      </c>
      <c r="DJ215" s="96">
        <f>IFERROR(VLOOKUP($B215,INDIRECT("'GRD-"&amp;DJ$11&amp;"'!B:R"),15,FALSE),"")</f>
        <v/>
      </c>
      <c r="DK215" s="96">
        <f>IFERROR(VLOOKUP($B215,INDIRECT("'GRD-"&amp;DK$11&amp;"'!B:R"),15,FALSE),"")</f>
        <v/>
      </c>
      <c r="DL215" s="96">
        <f>IFERROR(VLOOKUP($B215,INDIRECT("'GRD-"&amp;DL$11&amp;"'!B:R"),15,FALSE),"")</f>
        <v/>
      </c>
      <c r="DM215" s="96">
        <f>IFERROR(VLOOKUP($B215,INDIRECT("'GRD-"&amp;DM$11&amp;"'!B:R"),15,FALSE),"")</f>
        <v/>
      </c>
      <c r="DN215" s="96">
        <f>IFERROR(VLOOKUP($B215,INDIRECT("'GRD-"&amp;DN$11&amp;"'!B:R"),15,FALSE),"")</f>
        <v/>
      </c>
      <c r="DO215" s="96">
        <f>IFERROR(VLOOKUP($B215,INDIRECT("'GRD-"&amp;DO$11&amp;"'!B:R"),15,FALSE),"")</f>
        <v/>
      </c>
      <c r="DP215" s="96">
        <f>IFERROR(VLOOKUP($B215,INDIRECT("'GRD-"&amp;DP$11&amp;"'!B:R"),15,FALSE),"")</f>
        <v/>
      </c>
      <c r="DQ215" s="96">
        <f>IFERROR(VLOOKUP($B215,INDIRECT("'GRD-"&amp;DQ$11&amp;"'!B:R"),15,FALSE),"")</f>
        <v/>
      </c>
      <c r="DR215" s="96">
        <f>IFERROR(VLOOKUP($B215,INDIRECT("'GRD-"&amp;DR$11&amp;"'!B:R"),15,FALSE),"")</f>
        <v/>
      </c>
      <c r="DS215" s="96">
        <f>IFERROR(VLOOKUP($B215,INDIRECT("'GRD-"&amp;DS$11&amp;"'!B:R"),15,FALSE),"")</f>
        <v/>
      </c>
      <c r="DT215" s="96">
        <f>IFERROR(VLOOKUP($B215,INDIRECT("'GRD-"&amp;DT$11&amp;"'!B:R"),15,FALSE),"")</f>
        <v/>
      </c>
      <c r="DU215" s="96">
        <f>IFERROR(VLOOKUP($B215,INDIRECT("'GRD-"&amp;DU$11&amp;"'!B:R"),15,FALSE),"")</f>
        <v/>
      </c>
      <c r="DV215" s="96">
        <f>IFERROR(VLOOKUP($B215,INDIRECT("'GRD-"&amp;DV$11&amp;"'!B:R"),15,FALSE),"")</f>
        <v/>
      </c>
      <c r="DW215" s="96">
        <f>IFERROR(VLOOKUP($B215,INDIRECT("'GRD-"&amp;DW$11&amp;"'!B:R"),15,FALSE),"")</f>
        <v/>
      </c>
      <c r="DX215" s="96">
        <f>IFERROR(VLOOKUP($B215,INDIRECT("'GRD-"&amp;DX$11&amp;"'!B:R"),15,FALSE),"")</f>
        <v/>
      </c>
      <c r="DY215" s="96">
        <f>IFERROR(VLOOKUP($B215,INDIRECT("'GRD-"&amp;DY$11&amp;"'!B:R"),15,FALSE),"")</f>
        <v/>
      </c>
      <c r="DZ215" s="96">
        <f>IFERROR(VLOOKUP($B215,INDIRECT("'GRD-"&amp;DZ$11&amp;"'!B:R"),15,FALSE),"")</f>
        <v/>
      </c>
      <c r="EA215" s="96">
        <f>IFERROR(VLOOKUP($B215,INDIRECT("'GRD-"&amp;EA$11&amp;"'!B:R"),15,FALSE),"")</f>
        <v/>
      </c>
      <c r="EB215" s="96">
        <f>IFERROR(VLOOKUP($B215,INDIRECT("'GRD-"&amp;EB$11&amp;"'!B:R"),15,FALSE),"")</f>
        <v/>
      </c>
      <c r="EC215" s="96">
        <f>IFERROR(VLOOKUP($B215,INDIRECT("'GRD-"&amp;EC$11&amp;"'!B:R"),15,FALSE),"")</f>
        <v/>
      </c>
      <c r="ED215" s="96">
        <f>IFERROR(VLOOKUP($B215,INDIRECT("'GRD-"&amp;ED$11&amp;"'!B:R"),15,FALSE),"")</f>
        <v/>
      </c>
      <c r="EE215" s="96">
        <f>IFERROR(VLOOKUP($B215,INDIRECT("'GRD-"&amp;EE$11&amp;"'!B:R"),15,FALSE),"")</f>
        <v/>
      </c>
      <c r="EF215" s="96">
        <f>IFERROR(VLOOKUP($B215,INDIRECT("'GRD-"&amp;EF$11&amp;"'!B:R"),15,FALSE),"")</f>
        <v/>
      </c>
      <c r="EG215" s="96">
        <f>IFERROR(VLOOKUP($B215,INDIRECT("'GRD-"&amp;EG$11&amp;"'!B:R"),15,FALSE),"")</f>
        <v/>
      </c>
      <c r="EH215" s="96">
        <f>IFERROR(VLOOKUP($B215,INDIRECT("'GRD-"&amp;EH$11&amp;"'!B:R"),15,FALSE),"")</f>
        <v/>
      </c>
      <c r="EI215" s="96">
        <f>IFERROR(VLOOKUP($B215,INDIRECT("'GRD-"&amp;EI$11&amp;"'!B:R"),15,FALSE),"")</f>
        <v/>
      </c>
      <c r="EJ215" s="96">
        <f>IFERROR(VLOOKUP($B215,INDIRECT("'GRD-"&amp;EJ$11&amp;"'!B:R"),15,FALSE),"")</f>
        <v/>
      </c>
      <c r="EK215" s="96">
        <f>IFERROR(VLOOKUP($B215,INDIRECT("'GRD-"&amp;EK$11&amp;"'!B:R"),15,FALSE),"")</f>
        <v/>
      </c>
      <c r="EL215" s="96">
        <f>IFERROR(VLOOKUP($B215,INDIRECT("'GRD-"&amp;EL$11&amp;"'!B:R"),15,FALSE),"")</f>
        <v/>
      </c>
      <c r="EM215" s="96">
        <f>IFERROR(VLOOKUP($B215,INDIRECT("'GRD-"&amp;EM$11&amp;"'!B:R"),15,FALSE),"")</f>
        <v/>
      </c>
      <c r="EN215" s="96">
        <f>IFERROR(VLOOKUP($B215,INDIRECT("'GRD-"&amp;EN$11&amp;"'!B:R"),15,FALSE),"")</f>
        <v/>
      </c>
      <c r="EO215" s="96">
        <f>IFERROR(VLOOKUP($B215,INDIRECT("'GRD-"&amp;EO$11&amp;"'!B:R"),15,FALSE),"")</f>
        <v/>
      </c>
      <c r="EP215" s="96">
        <f>IFERROR(VLOOKUP($B215,INDIRECT("'GRD-"&amp;EP$11&amp;"'!B:R"),15,FALSE),"")</f>
        <v/>
      </c>
      <c r="EQ215" s="96">
        <f>IFERROR(VLOOKUP($B215,INDIRECT("'GRD-"&amp;EQ$11&amp;"'!B:R"),15,FALSE),"")</f>
        <v/>
      </c>
      <c r="ER215" s="96">
        <f>IFERROR(VLOOKUP($B215,INDIRECT("'GRD-"&amp;ER$11&amp;"'!B:R"),15,FALSE),"")</f>
        <v/>
      </c>
      <c r="ES215" s="96">
        <f>IFERROR(VLOOKUP($B215,INDIRECT("'GRD-"&amp;ES$11&amp;"'!B:R"),15,FALSE),"")</f>
        <v/>
      </c>
      <c r="ET215" s="96">
        <f>IFERROR(VLOOKUP($B215,INDIRECT("'GRD-"&amp;ET$11&amp;"'!B:R"),15,FALSE),"")</f>
        <v/>
      </c>
      <c r="EU215" s="96">
        <f>IFERROR(VLOOKUP($B215,INDIRECT("'GRD-"&amp;EU$11&amp;"'!B:R"),15,FALSE),"")</f>
        <v/>
      </c>
      <c r="EV215" s="96">
        <f>IFERROR(VLOOKUP($B215,INDIRECT("'GRD-"&amp;EV$11&amp;"'!B:R"),15,FALSE),"")</f>
        <v/>
      </c>
      <c r="EW215" s="96">
        <f>IFERROR(VLOOKUP($B215,INDIRECT("'GRD-"&amp;EW$11&amp;"'!B:R"),15,FALSE),"")</f>
        <v/>
      </c>
      <c r="EX215" s="96">
        <f>IFERROR(VLOOKUP($B215,INDIRECT("'GRD-"&amp;EX$11&amp;"'!B:R"),15,FALSE),"")</f>
        <v/>
      </c>
      <c r="EY215" s="96">
        <f>IFERROR(VLOOKUP($B215,INDIRECT("'GRD-"&amp;EY$11&amp;"'!B:R"),15,FALSE),"")</f>
        <v/>
      </c>
      <c r="EZ215" s="96">
        <f>IFERROR(VLOOKUP($B215,INDIRECT("'GRD-"&amp;EZ$11&amp;"'!B:R"),15,FALSE),"")</f>
        <v/>
      </c>
      <c r="FA215" s="96">
        <f>IFERROR(VLOOKUP($B215,INDIRECT("'GRD-"&amp;FA$11&amp;"'!B:R"),15,FALSE),"")</f>
        <v/>
      </c>
      <c r="FB215" s="96">
        <f>IFERROR(VLOOKUP($B215,INDIRECT("'GRD-"&amp;FB$11&amp;"'!B:R"),15,FALSE),"")</f>
        <v/>
      </c>
      <c r="FC215" s="96">
        <f>IFERROR(VLOOKUP($B215,INDIRECT("'GRD-"&amp;FC$11&amp;"'!B:R"),15,FALSE),"")</f>
        <v/>
      </c>
      <c r="FD215" s="96">
        <f>IFERROR(VLOOKUP($B215,INDIRECT("'GRD-"&amp;FD$11&amp;"'!B:R"),15,FALSE),"")</f>
        <v/>
      </c>
      <c r="FE215" s="96">
        <f>IFERROR(VLOOKUP($B215,INDIRECT("'GRD-"&amp;FE$11&amp;"'!B:R"),15,FALSE),"")</f>
        <v/>
      </c>
      <c r="FF215" s="96">
        <f>IFERROR(VLOOKUP($B215,INDIRECT("'GRD-"&amp;FF$11&amp;"'!B:R"),15,FALSE),"")</f>
        <v/>
      </c>
      <c r="FG215" s="96">
        <f>IFERROR(VLOOKUP($B215,INDIRECT("'GRD-"&amp;FG$11&amp;"'!B:R"),15,FALSE),"")</f>
        <v/>
      </c>
      <c r="FH215" s="96">
        <f>IFERROR(VLOOKUP($B215,INDIRECT("'GRD-"&amp;FH$11&amp;"'!B:R"),15,FALSE),"")</f>
        <v/>
      </c>
      <c r="FI215" s="96">
        <f>IFERROR(VLOOKUP($B215,INDIRECT("'GRD-"&amp;FI$11&amp;"'!B:R"),15,FALSE),"")</f>
        <v/>
      </c>
      <c r="FJ215" s="96">
        <f>IFERROR(VLOOKUP($B215,INDIRECT("'GRD-"&amp;FJ$11&amp;"'!B:R"),15,FALSE),"")</f>
        <v/>
      </c>
      <c r="FK215" s="96">
        <f>IFERROR(VLOOKUP($B215,INDIRECT("'GRD-"&amp;FK$11&amp;"'!B:R"),15,FALSE),"")</f>
        <v/>
      </c>
      <c r="FL215" s="96">
        <f>IFERROR(VLOOKUP($B215,INDIRECT("'GRD-"&amp;FL$11&amp;"'!B:R"),15,FALSE),"")</f>
        <v/>
      </c>
      <c r="FM215" s="96">
        <f>IFERROR(VLOOKUP($B215,INDIRECT("'GRD-"&amp;FM$11&amp;"'!B:R"),15,FALSE),"")</f>
        <v/>
      </c>
      <c r="FN215" s="96">
        <f>IFERROR(VLOOKUP($B215,INDIRECT("'GRD-"&amp;FN$11&amp;"'!B:R"),15,FALSE),"")</f>
        <v/>
      </c>
      <c r="FO215" s="96">
        <f>IFERROR(VLOOKUP($B215,INDIRECT("'GRD-"&amp;FO$11&amp;"'!B:R"),15,FALSE),"")</f>
        <v/>
      </c>
      <c r="FP215" s="96">
        <f>IFERROR(VLOOKUP($B215,INDIRECT("'GRD-"&amp;FP$11&amp;"'!B:R"),15,FALSE),"")</f>
        <v/>
      </c>
      <c r="FQ215" s="96">
        <f>IFERROR(VLOOKUP($B215,INDIRECT("'GRD-"&amp;FQ$11&amp;"'!B:R"),15,FALSE),"")</f>
        <v/>
      </c>
      <c r="FR215" s="96">
        <f>IFERROR(VLOOKUP($B215,INDIRECT("'GRD-"&amp;FR$11&amp;"'!B:R"),15,FALSE),"")</f>
        <v/>
      </c>
      <c r="FS215" s="96">
        <f>IFERROR(VLOOKUP($B215,INDIRECT("'GRD-"&amp;FS$11&amp;"'!B:R"),15,FALSE),"")</f>
        <v/>
      </c>
      <c r="FT215" s="96">
        <f>IFERROR(VLOOKUP($B215,INDIRECT("'GRD-"&amp;FT$11&amp;"'!B:R"),15,FALSE),"")</f>
        <v/>
      </c>
      <c r="FU215" s="96">
        <f>IFERROR(VLOOKUP($B215,INDIRECT("'GRD-"&amp;FU$11&amp;"'!B:R"),15,FALSE),"")</f>
        <v/>
      </c>
      <c r="FV215" s="96">
        <f>IFERROR(VLOOKUP($B215,INDIRECT("'GRD-"&amp;FV$11&amp;"'!B:R"),15,FALSE),"")</f>
        <v/>
      </c>
    </row>
    <row r="216">
      <c r="B216" s="85" t="n"/>
      <c r="C216" s="93" t="n"/>
      <c r="D216" s="73">
        <f>IF(K216="","",MAX($CA216:$FV216))</f>
        <v/>
      </c>
      <c r="E216" s="74">
        <f t="array" ref="E216">IF($K216="","",OFFSET($A$1,ROW($B216)-1,11+$D216*4,))</f>
        <v/>
      </c>
      <c r="F216" s="74">
        <f t="array" ref="F216">IF($K216="","",OFFSET($A$1,ROW($B216)-1,12+$D216*4,))</f>
        <v/>
      </c>
      <c r="G216" s="118">
        <f t="array" ref="G216">IF($K216="","",OFFSET($A$1,ROW($B216)-1,13+$D216*4,))</f>
        <v/>
      </c>
      <c r="H216" s="81" t="n"/>
      <c r="I216" s="82" t="n"/>
      <c r="J216" s="75">
        <f>IF(I216="A4",H216/8,IF(I216="A3",H216/4,IF(I216="A2",H216/2,IF(I216="A1",H216/1,IF(I216="A0",H216*2,"")))))</f>
        <v/>
      </c>
      <c r="K216" s="68">
        <f t="array" ref="K216">IFERROR(OFFSET($BZ$11,ROW($B216)-11,MATCH(K$10,$CA216:$FV216,0),),"")</f>
        <v/>
      </c>
      <c r="L216" s="85">
        <f>IF(K216="","",IF(VLOOKUP($B216,INDIRECT("'GRD-"&amp;M216&amp;"'!$B:$R"),16,FALSE)="","",VLOOKUP($B216,INDIRECT("'GRD-"&amp;M216&amp;"'!$B:$R"),16,FALSE)))</f>
        <v/>
      </c>
      <c r="M216" s="130">
        <f t="array" ref="M216">IF(K216="","",IFERROR(OFFSET($BZ$11,0,MATCH($K216,$CA216:$FV216,0),),""))</f>
        <v/>
      </c>
      <c r="N216" s="119">
        <f t="array" ref="N216">IF(K216="","",INDIRECT("'GRD-"&amp;M216&amp;"'!$L$7"))</f>
        <v/>
      </c>
      <c r="O216" s="76">
        <f t="array" ref="O216">IFERROR(OFFSET($BZ$11,ROW($B216)-11,MATCH(O$10,$CA216:$FV216,0),),"")</f>
        <v/>
      </c>
      <c r="P216" s="76">
        <f>IF(O216="","",IF(VLOOKUP($B216,INDIRECT("'GRD-"&amp;Q216&amp;"'!$B:$R"),16,FALSE)="","",VLOOKUP($B216,INDIRECT("'GRD-"&amp;Q216&amp;"'!$B:$R"),16,FALSE)))</f>
        <v/>
      </c>
      <c r="Q216" s="132">
        <f t="array" ref="Q216">IF(O216="","",IFERROR(OFFSET($BZ$11,0,MATCH($O216,$CA216:$FV216,0),),""))</f>
        <v/>
      </c>
      <c r="R216" s="121">
        <f t="array" ref="R216">IF(O216="","",INDIRECT("'GRD-"&amp;Q216&amp;"'!$L$7"))</f>
        <v/>
      </c>
      <c r="S216" s="83">
        <f t="array" ref="S216">IFERROR(OFFSET($BZ$11,ROW($B216)-11,MATCH(S$10,$CA216:$FV216,0),),"")</f>
        <v/>
      </c>
      <c r="T216" s="83">
        <f>IF(S216="","",IF(VLOOKUP($B216,INDIRECT("'GRD-"&amp;U216&amp;"'!$B:$R"),16,FALSE)="","",VLOOKUP($B216,INDIRECT("'GRD-"&amp;U216&amp;"'!$B:$R"),16,FALSE)))</f>
        <v/>
      </c>
      <c r="U216" s="128">
        <f t="array" ref="U216">IF(S216="","",IFERROR(OFFSET($BZ$11,0,MATCH($S216,$CA216:$FV216,0),),""))</f>
        <v/>
      </c>
      <c r="V216" s="133">
        <f t="array" ref="V216">IF(S216="","",INDIRECT("'GRD-"&amp;U216&amp;"'!$L$7"))</f>
        <v/>
      </c>
      <c r="W216" s="84">
        <f t="array" ref="W216">IFERROR(OFFSET($BZ$11,ROW($B216)-11,MATCH(W$10,$CA216:$FV216,0),),"")</f>
        <v/>
      </c>
      <c r="X216" s="84">
        <f>IF(W216="","",IF(VLOOKUP($B216,INDIRECT("'GRD-"&amp;Y216&amp;"'!$B:$R"),16,FALSE)="","",VLOOKUP($B216,INDIRECT("'GRD-"&amp;Y216&amp;"'!$B:$R"),16,FALSE)))</f>
        <v/>
      </c>
      <c r="Y216" s="129">
        <f t="array" ref="Y216">IF(W216="","",IFERROR(OFFSET($BZ$11,0,MATCH($W216,$CA216:$FV216,0),),""))</f>
        <v/>
      </c>
      <c r="Z216" s="134">
        <f t="array" ref="Z216">IF(W216="","",INDIRECT("'GRD-"&amp;Y216&amp;"'!$L$7"))</f>
        <v/>
      </c>
      <c r="AA216" s="85">
        <f t="array" ref="AA216">IFERROR(OFFSET($BZ$11,ROW($B216)-11,MATCH(AA$10,$CA216:$FV216,0),),"")</f>
        <v/>
      </c>
      <c r="AB216" s="85">
        <f>IF(AA216="","",IF(VLOOKUP($B216,INDIRECT("'GRD-"&amp;AC216&amp;"'!$B:$R"),16,FALSE)="","",VLOOKUP($B216,INDIRECT("'GRD-"&amp;AC216&amp;"'!$B:$R"),16,FALSE)))</f>
        <v/>
      </c>
      <c r="AC216" s="130">
        <f t="array" ref="AC216">IF(AA216="","",IFERROR(OFFSET($BZ$11,0,MATCH($AA216,$CA216:$FV216,0),),""))</f>
        <v/>
      </c>
      <c r="AD216" s="131">
        <f t="array" ref="AD216">IF(AA216="","",INDIRECT("'GRD-"&amp;AC216&amp;"'!$L$7"))</f>
        <v/>
      </c>
      <c r="AE216" s="76">
        <f t="array" ref="AE216">IFERROR(OFFSET($BZ$11,ROW($B216)-11,MATCH(AE$10,$CA216:$FV216,0),),"")</f>
        <v/>
      </c>
      <c r="AF216" s="76">
        <f>IF(AE216="","",IF(VLOOKUP($B216,INDIRECT("'GRD-"&amp;AG216&amp;"'!$B:$R"),16,FALSE)="","",VLOOKUP($B216,INDIRECT("'GRD-"&amp;AG216&amp;"'!$B:$R"),16,FALSE)))</f>
        <v/>
      </c>
      <c r="AG216" s="132">
        <f t="array" ref="AG216">IF(AE216="","",IFERROR(OFFSET($BZ$11,0,MATCH($AE216,$CA216:$FV216,0),),""))</f>
        <v/>
      </c>
      <c r="AH216" s="121">
        <f t="array" ref="AH216">IF(AE216="","",INDIRECT("'GRD-"&amp;AG216&amp;"'!$L$7"))</f>
        <v/>
      </c>
      <c r="AI216" s="83">
        <f t="array" ref="AI216">IFERROR(OFFSET($BZ$11,ROW($B216)-11,MATCH(AI$10,$CA216:$FV216,0),),"")</f>
        <v/>
      </c>
      <c r="AJ216" s="83">
        <f>IF(AI216="","",IF(VLOOKUP($B216,INDIRECT("'GRD-"&amp;AK216&amp;"'!$B:$R"),16,FALSE)="","",VLOOKUP($B216,INDIRECT("'GRD-"&amp;AK216&amp;"'!$B:$R"),16,FALSE)))</f>
        <v/>
      </c>
      <c r="AK216" s="128">
        <f t="array" ref="AK216">IF(AI216="","",IFERROR(OFFSET($BZ$11,0,MATCH($AI216,$CA216:$FV216,0),),""))</f>
        <v/>
      </c>
      <c r="AL216" s="133">
        <f t="array" ref="AL216">IF(AI216="","",INDIRECT("'GRD-"&amp;AK216&amp;"'!$L$7"))</f>
        <v/>
      </c>
      <c r="AM216" s="84">
        <f t="array" ref="AM216">IFERROR(OFFSET($BZ$11,ROW($B216)-11,MATCH(AM$10,$CA216:$FV216,0),),"")</f>
        <v/>
      </c>
      <c r="AN216" s="84">
        <f>IF(AM216="","",IF(VLOOKUP($B216,INDIRECT("'GRD-"&amp;AO216&amp;"'!$B:$R"),16,FALSE)="","",VLOOKUP($B216,INDIRECT("'GRD-"&amp;AO216&amp;"'!$B:$R"),16,FALSE)))</f>
        <v/>
      </c>
      <c r="AO216" s="129">
        <f t="array" ref="AO216">IF(AM216="","",IFERROR(OFFSET($BZ$11,0,MATCH($AM216,$CA216:$FV216,0),),""))</f>
        <v/>
      </c>
      <c r="AP216" s="134">
        <f t="array" ref="AP216">IF(AM216="","",INDIRECT("'GRD-"&amp;AO216&amp;"'!$L$7"))</f>
        <v/>
      </c>
      <c r="AQ216" s="85">
        <f t="array" ref="AQ216">IFERROR(OFFSET($BZ$11,ROW($B216)-11,MATCH(AQ$10,$CA216:$FV216,0),),"")</f>
        <v/>
      </c>
      <c r="AR216" s="85">
        <f>IF(AQ216="","",IF(VLOOKUP($B216,INDIRECT("'GRD-"&amp;AS216&amp;"'!$B:$R"),16,FALSE)="","",VLOOKUP($B216,INDIRECT("'GRD-"&amp;AS216&amp;"'!$B:$R"),16,FALSE)))</f>
        <v/>
      </c>
      <c r="AS216" s="130">
        <f t="array" ref="AS216">IF(AQ216="","",IFERROR(OFFSET($BZ$11,0,MATCH($AQ216,$CA216:$FV216,0),),""))</f>
        <v/>
      </c>
      <c r="AT216" s="131">
        <f t="array" ref="AT216">IF(AQ216="","",INDIRECT("'GRD-"&amp;AS216&amp;"'!$L$7"))</f>
        <v/>
      </c>
      <c r="AU216" s="76">
        <f t="array" ref="AU216">IFERROR(OFFSET($BZ$11,ROW($B216)-11,MATCH(AU$10,$CA216:$FV216,0),),"")</f>
        <v/>
      </c>
      <c r="AV216" s="76">
        <f>IF(AU216="","",IF(VLOOKUP($B216,INDIRECT("'GRD-"&amp;AW216&amp;"'!$B:$R"),16,FALSE)="","",VLOOKUP($B216,INDIRECT("'GRD-"&amp;AW216&amp;"'!$B:$R"),16,FALSE)))</f>
        <v/>
      </c>
      <c r="AW216" s="132">
        <f t="array" ref="AW216">IF(AU216="","",IFERROR(OFFSET($BZ$11,0,MATCH($AU216,$CA216:$FV216,0),),""))</f>
        <v/>
      </c>
      <c r="AX216" s="121">
        <f t="array" ref="AX216">IF(AU216="","",INDIRECT("'GRD-"&amp;AW216&amp;"'!$L$7"))</f>
        <v/>
      </c>
      <c r="AY216" s="83">
        <f t="array" ref="AY216">IFERROR(OFFSET($BZ$11,ROW($B216)-11,MATCH(AY$10,$CA216:$FV216,0),),"")</f>
        <v/>
      </c>
      <c r="AZ216" s="83">
        <f>IF(AY216="","",IF(VLOOKUP($B216,INDIRECT("'GRD-"&amp;BA216&amp;"'!$B:$R"),16,FALSE)="","",VLOOKUP($B216,INDIRECT("'GRD-"&amp;BA216&amp;"'!$B:$R"),16,FALSE)))</f>
        <v/>
      </c>
      <c r="BA216" s="128">
        <f t="array" ref="BA216">IF(AY216="","",IFERROR(OFFSET($BZ$11,0,MATCH($AY216,$CA216:$FV216,0),),""))</f>
        <v/>
      </c>
      <c r="BB216" s="133">
        <f t="array" ref="BB216">IF(AY216="","",INDIRECT("'GRD-"&amp;BA216&amp;"'!$L$7"))</f>
        <v/>
      </c>
      <c r="BC216" s="84">
        <f t="array" ref="BC216">IFERROR(OFFSET($BZ$11,ROW($B216)-11,MATCH(BC$10,$CA216:$FV216,0),),"")</f>
        <v/>
      </c>
      <c r="BD216" s="84">
        <f>IF(BC216="","",IF(VLOOKUP($B216,INDIRECT("'GRD-"&amp;BE216&amp;"'!$B:$R"),16,FALSE)="","",VLOOKUP($B216,INDIRECT("'GRD-"&amp;BE216&amp;"'!$B:$R"),16,FALSE)))</f>
        <v/>
      </c>
      <c r="BE216" s="129">
        <f t="array" ref="BE216">IF(BC216="","",IFERROR(OFFSET($BZ$11,0,MATCH($BC216,$CA216:$FV216,0),),""))</f>
        <v/>
      </c>
      <c r="BF216" s="134">
        <f t="array" ref="BF216">IF(BC216="","",INDIRECT("'GRD-"&amp;BE216&amp;"'!$L$7"))</f>
        <v/>
      </c>
      <c r="CA216" s="96">
        <f>IFERROR(VLOOKUP($B216,INDIRECT("'GRD-"&amp;CA$11&amp;"'!B:R"),15,FALSE),"")</f>
        <v/>
      </c>
      <c r="CB216" s="96">
        <f>IFERROR(VLOOKUP($B216,INDIRECT("'GRD-"&amp;CB$11&amp;"'!B:R"),15,FALSE),"")</f>
        <v/>
      </c>
      <c r="CC216" s="96">
        <f>IFERROR(VLOOKUP($B216,INDIRECT("'GRD-"&amp;CC$11&amp;"'!B:R"),15,FALSE),"")</f>
        <v/>
      </c>
      <c r="CD216" s="96">
        <f>IFERROR(VLOOKUP($B216,INDIRECT("'GRD-"&amp;CD$11&amp;"'!B:R"),15,FALSE),"")</f>
        <v/>
      </c>
      <c r="CE216" s="96">
        <f>IFERROR(VLOOKUP($B216,INDIRECT("'GRD-"&amp;CE$11&amp;"'!B:R"),15,FALSE),"")</f>
        <v/>
      </c>
      <c r="CF216" s="96">
        <f>IFERROR(VLOOKUP($B216,INDIRECT("'GRD-"&amp;CF$11&amp;"'!B:R"),15,FALSE),"")</f>
        <v/>
      </c>
      <c r="CG216" s="96">
        <f>IFERROR(VLOOKUP($B216,INDIRECT("'GRD-"&amp;CG$11&amp;"'!B:R"),15,FALSE),"")</f>
        <v/>
      </c>
      <c r="CH216" s="96">
        <f>IFERROR(VLOOKUP($B216,INDIRECT("'GRD-"&amp;CH$11&amp;"'!B:R"),15,FALSE),"")</f>
        <v/>
      </c>
      <c r="CI216" s="96">
        <f>IFERROR(VLOOKUP($B216,INDIRECT("'GRD-"&amp;CI$11&amp;"'!B:R"),15,FALSE),"")</f>
        <v/>
      </c>
      <c r="CJ216" s="96">
        <f>IFERROR(VLOOKUP($B216,INDIRECT("'GRD-"&amp;CJ$11&amp;"'!B:R"),15,FALSE),"")</f>
        <v/>
      </c>
      <c r="CK216" s="96">
        <f>IFERROR(VLOOKUP($B216,INDIRECT("'GRD-"&amp;CK$11&amp;"'!B:R"),15,FALSE),"")</f>
        <v/>
      </c>
      <c r="CL216" s="96">
        <f>IFERROR(VLOOKUP($B216,INDIRECT("'GRD-"&amp;CL$11&amp;"'!B:R"),15,FALSE),"")</f>
        <v/>
      </c>
      <c r="CM216" s="96">
        <f>IFERROR(VLOOKUP($B216,INDIRECT("'GRD-"&amp;CM$11&amp;"'!B:R"),15,FALSE),"")</f>
        <v/>
      </c>
      <c r="CN216" s="96">
        <f>IFERROR(VLOOKUP($B216,INDIRECT("'GRD-"&amp;CN$11&amp;"'!B:R"),15,FALSE),"")</f>
        <v/>
      </c>
      <c r="CO216" s="96">
        <f>IFERROR(VLOOKUP($B216,INDIRECT("'GRD-"&amp;CO$11&amp;"'!B:R"),15,FALSE),"")</f>
        <v/>
      </c>
      <c r="CP216" s="96">
        <f>IFERROR(VLOOKUP($B216,INDIRECT("'GRD-"&amp;CP$11&amp;"'!B:R"),15,FALSE),"")</f>
        <v/>
      </c>
      <c r="CQ216" s="96">
        <f>IFERROR(VLOOKUP($B216,INDIRECT("'GRD-"&amp;CQ$11&amp;"'!B:R"),15,FALSE),"")</f>
        <v/>
      </c>
      <c r="CR216" s="96">
        <f>IFERROR(VLOOKUP($B216,INDIRECT("'GRD-"&amp;CR$11&amp;"'!B:R"),15,FALSE),"")</f>
        <v/>
      </c>
      <c r="CS216" s="96">
        <f>IFERROR(VLOOKUP($B216,INDIRECT("'GRD-"&amp;CS$11&amp;"'!B:R"),15,FALSE),"")</f>
        <v/>
      </c>
      <c r="CT216" s="96">
        <f>IFERROR(VLOOKUP($B216,INDIRECT("'GRD-"&amp;CT$11&amp;"'!B:R"),15,FALSE),"")</f>
        <v/>
      </c>
      <c r="CU216" s="96">
        <f>IFERROR(VLOOKUP($B216,INDIRECT("'GRD-"&amp;CU$11&amp;"'!B:R"),15,FALSE),"")</f>
        <v/>
      </c>
      <c r="CV216" s="96">
        <f>IFERROR(VLOOKUP($B216,INDIRECT("'GRD-"&amp;CV$11&amp;"'!B:R"),15,FALSE),"")</f>
        <v/>
      </c>
      <c r="CW216" s="96">
        <f>IFERROR(VLOOKUP($B216,INDIRECT("'GRD-"&amp;CW$11&amp;"'!B:R"),15,FALSE),"")</f>
        <v/>
      </c>
      <c r="CX216" s="96">
        <f>IFERROR(VLOOKUP($B216,INDIRECT("'GRD-"&amp;CX$11&amp;"'!B:R"),15,FALSE),"")</f>
        <v/>
      </c>
      <c r="CY216" s="96">
        <f>IFERROR(VLOOKUP($B216,INDIRECT("'GRD-"&amp;CY$11&amp;"'!B:R"),15,FALSE),"")</f>
        <v/>
      </c>
      <c r="CZ216" s="96">
        <f>IFERROR(VLOOKUP($B216,INDIRECT("'GRD-"&amp;CZ$11&amp;"'!B:R"),15,FALSE),"")</f>
        <v/>
      </c>
      <c r="DA216" s="96">
        <f>IFERROR(VLOOKUP($B216,INDIRECT("'GRD-"&amp;DA$11&amp;"'!B:R"),15,FALSE),"")</f>
        <v/>
      </c>
      <c r="DB216" s="96">
        <f>IFERROR(VLOOKUP($B216,INDIRECT("'GRD-"&amp;DB$11&amp;"'!B:R"),15,FALSE),"")</f>
        <v/>
      </c>
      <c r="DC216" s="96">
        <f>IFERROR(VLOOKUP($B216,INDIRECT("'GRD-"&amp;DC$11&amp;"'!B:R"),15,FALSE),"")</f>
        <v/>
      </c>
      <c r="DD216" s="96">
        <f>IFERROR(VLOOKUP($B216,INDIRECT("'GRD-"&amp;DD$11&amp;"'!B:R"),15,FALSE),"")</f>
        <v/>
      </c>
      <c r="DE216" s="96">
        <f>IFERROR(VLOOKUP($B216,INDIRECT("'GRD-"&amp;DE$11&amp;"'!B:R"),15,FALSE),"")</f>
        <v/>
      </c>
      <c r="DF216" s="96">
        <f>IFERROR(VLOOKUP($B216,INDIRECT("'GRD-"&amp;DF$11&amp;"'!B:R"),15,FALSE),"")</f>
        <v/>
      </c>
      <c r="DG216" s="96">
        <f>IFERROR(VLOOKUP($B216,INDIRECT("'GRD-"&amp;DG$11&amp;"'!B:R"),15,FALSE),"")</f>
        <v/>
      </c>
      <c r="DH216" s="96">
        <f>IFERROR(VLOOKUP($B216,INDIRECT("'GRD-"&amp;DH$11&amp;"'!B:R"),15,FALSE),"")</f>
        <v/>
      </c>
      <c r="DI216" s="96">
        <f>IFERROR(VLOOKUP($B216,INDIRECT("'GRD-"&amp;DI$11&amp;"'!B:R"),15,FALSE),"")</f>
        <v/>
      </c>
      <c r="DJ216" s="96">
        <f>IFERROR(VLOOKUP($B216,INDIRECT("'GRD-"&amp;DJ$11&amp;"'!B:R"),15,FALSE),"")</f>
        <v/>
      </c>
      <c r="DK216" s="96">
        <f>IFERROR(VLOOKUP($B216,INDIRECT("'GRD-"&amp;DK$11&amp;"'!B:R"),15,FALSE),"")</f>
        <v/>
      </c>
      <c r="DL216" s="96">
        <f>IFERROR(VLOOKUP($B216,INDIRECT("'GRD-"&amp;DL$11&amp;"'!B:R"),15,FALSE),"")</f>
        <v/>
      </c>
      <c r="DM216" s="96">
        <f>IFERROR(VLOOKUP($B216,INDIRECT("'GRD-"&amp;DM$11&amp;"'!B:R"),15,FALSE),"")</f>
        <v/>
      </c>
      <c r="DN216" s="96">
        <f>IFERROR(VLOOKUP($B216,INDIRECT("'GRD-"&amp;DN$11&amp;"'!B:R"),15,FALSE),"")</f>
        <v/>
      </c>
      <c r="DO216" s="96">
        <f>IFERROR(VLOOKUP($B216,INDIRECT("'GRD-"&amp;DO$11&amp;"'!B:R"),15,FALSE),"")</f>
        <v/>
      </c>
      <c r="DP216" s="96">
        <f>IFERROR(VLOOKUP($B216,INDIRECT("'GRD-"&amp;DP$11&amp;"'!B:R"),15,FALSE),"")</f>
        <v/>
      </c>
      <c r="DQ216" s="96">
        <f>IFERROR(VLOOKUP($B216,INDIRECT("'GRD-"&amp;DQ$11&amp;"'!B:R"),15,FALSE),"")</f>
        <v/>
      </c>
      <c r="DR216" s="96">
        <f>IFERROR(VLOOKUP($B216,INDIRECT("'GRD-"&amp;DR$11&amp;"'!B:R"),15,FALSE),"")</f>
        <v/>
      </c>
      <c r="DS216" s="96">
        <f>IFERROR(VLOOKUP($B216,INDIRECT("'GRD-"&amp;DS$11&amp;"'!B:R"),15,FALSE),"")</f>
        <v/>
      </c>
      <c r="DT216" s="96">
        <f>IFERROR(VLOOKUP($B216,INDIRECT("'GRD-"&amp;DT$11&amp;"'!B:R"),15,FALSE),"")</f>
        <v/>
      </c>
      <c r="DU216" s="96">
        <f>IFERROR(VLOOKUP($B216,INDIRECT("'GRD-"&amp;DU$11&amp;"'!B:R"),15,FALSE),"")</f>
        <v/>
      </c>
      <c r="DV216" s="96">
        <f>IFERROR(VLOOKUP($B216,INDIRECT("'GRD-"&amp;DV$11&amp;"'!B:R"),15,FALSE),"")</f>
        <v/>
      </c>
      <c r="DW216" s="96">
        <f>IFERROR(VLOOKUP($B216,INDIRECT("'GRD-"&amp;DW$11&amp;"'!B:R"),15,FALSE),"")</f>
        <v/>
      </c>
      <c r="DX216" s="96">
        <f>IFERROR(VLOOKUP($B216,INDIRECT("'GRD-"&amp;DX$11&amp;"'!B:R"),15,FALSE),"")</f>
        <v/>
      </c>
      <c r="DY216" s="96">
        <f>IFERROR(VLOOKUP($B216,INDIRECT("'GRD-"&amp;DY$11&amp;"'!B:R"),15,FALSE),"")</f>
        <v/>
      </c>
      <c r="DZ216" s="96">
        <f>IFERROR(VLOOKUP($B216,INDIRECT("'GRD-"&amp;DZ$11&amp;"'!B:R"),15,FALSE),"")</f>
        <v/>
      </c>
      <c r="EA216" s="96">
        <f>IFERROR(VLOOKUP($B216,INDIRECT("'GRD-"&amp;EA$11&amp;"'!B:R"),15,FALSE),"")</f>
        <v/>
      </c>
      <c r="EB216" s="96">
        <f>IFERROR(VLOOKUP($B216,INDIRECT("'GRD-"&amp;EB$11&amp;"'!B:R"),15,FALSE),"")</f>
        <v/>
      </c>
      <c r="EC216" s="96">
        <f>IFERROR(VLOOKUP($B216,INDIRECT("'GRD-"&amp;EC$11&amp;"'!B:R"),15,FALSE),"")</f>
        <v/>
      </c>
      <c r="ED216" s="96">
        <f>IFERROR(VLOOKUP($B216,INDIRECT("'GRD-"&amp;ED$11&amp;"'!B:R"),15,FALSE),"")</f>
        <v/>
      </c>
      <c r="EE216" s="96">
        <f>IFERROR(VLOOKUP($B216,INDIRECT("'GRD-"&amp;EE$11&amp;"'!B:R"),15,FALSE),"")</f>
        <v/>
      </c>
      <c r="EF216" s="96">
        <f>IFERROR(VLOOKUP($B216,INDIRECT("'GRD-"&amp;EF$11&amp;"'!B:R"),15,FALSE),"")</f>
        <v/>
      </c>
      <c r="EG216" s="96">
        <f>IFERROR(VLOOKUP($B216,INDIRECT("'GRD-"&amp;EG$11&amp;"'!B:R"),15,FALSE),"")</f>
        <v/>
      </c>
      <c r="EH216" s="96">
        <f>IFERROR(VLOOKUP($B216,INDIRECT("'GRD-"&amp;EH$11&amp;"'!B:R"),15,FALSE),"")</f>
        <v/>
      </c>
      <c r="EI216" s="96">
        <f>IFERROR(VLOOKUP($B216,INDIRECT("'GRD-"&amp;EI$11&amp;"'!B:R"),15,FALSE),"")</f>
        <v/>
      </c>
      <c r="EJ216" s="96">
        <f>IFERROR(VLOOKUP($B216,INDIRECT("'GRD-"&amp;EJ$11&amp;"'!B:R"),15,FALSE),"")</f>
        <v/>
      </c>
      <c r="EK216" s="96">
        <f>IFERROR(VLOOKUP($B216,INDIRECT("'GRD-"&amp;EK$11&amp;"'!B:R"),15,FALSE),"")</f>
        <v/>
      </c>
      <c r="EL216" s="96">
        <f>IFERROR(VLOOKUP($B216,INDIRECT("'GRD-"&amp;EL$11&amp;"'!B:R"),15,FALSE),"")</f>
        <v/>
      </c>
      <c r="EM216" s="96">
        <f>IFERROR(VLOOKUP($B216,INDIRECT("'GRD-"&amp;EM$11&amp;"'!B:R"),15,FALSE),"")</f>
        <v/>
      </c>
      <c r="EN216" s="96">
        <f>IFERROR(VLOOKUP($B216,INDIRECT("'GRD-"&amp;EN$11&amp;"'!B:R"),15,FALSE),"")</f>
        <v/>
      </c>
      <c r="EO216" s="96">
        <f>IFERROR(VLOOKUP($B216,INDIRECT("'GRD-"&amp;EO$11&amp;"'!B:R"),15,FALSE),"")</f>
        <v/>
      </c>
      <c r="EP216" s="96">
        <f>IFERROR(VLOOKUP($B216,INDIRECT("'GRD-"&amp;EP$11&amp;"'!B:R"),15,FALSE),"")</f>
        <v/>
      </c>
      <c r="EQ216" s="96">
        <f>IFERROR(VLOOKUP($B216,INDIRECT("'GRD-"&amp;EQ$11&amp;"'!B:R"),15,FALSE),"")</f>
        <v/>
      </c>
      <c r="ER216" s="96">
        <f>IFERROR(VLOOKUP($B216,INDIRECT("'GRD-"&amp;ER$11&amp;"'!B:R"),15,FALSE),"")</f>
        <v/>
      </c>
      <c r="ES216" s="96">
        <f>IFERROR(VLOOKUP($B216,INDIRECT("'GRD-"&amp;ES$11&amp;"'!B:R"),15,FALSE),"")</f>
        <v/>
      </c>
      <c r="ET216" s="96">
        <f>IFERROR(VLOOKUP($B216,INDIRECT("'GRD-"&amp;ET$11&amp;"'!B:R"),15,FALSE),"")</f>
        <v/>
      </c>
      <c r="EU216" s="96">
        <f>IFERROR(VLOOKUP($B216,INDIRECT("'GRD-"&amp;EU$11&amp;"'!B:R"),15,FALSE),"")</f>
        <v/>
      </c>
      <c r="EV216" s="96">
        <f>IFERROR(VLOOKUP($B216,INDIRECT("'GRD-"&amp;EV$11&amp;"'!B:R"),15,FALSE),"")</f>
        <v/>
      </c>
      <c r="EW216" s="96">
        <f>IFERROR(VLOOKUP($B216,INDIRECT("'GRD-"&amp;EW$11&amp;"'!B:R"),15,FALSE),"")</f>
        <v/>
      </c>
      <c r="EX216" s="96">
        <f>IFERROR(VLOOKUP($B216,INDIRECT("'GRD-"&amp;EX$11&amp;"'!B:R"),15,FALSE),"")</f>
        <v/>
      </c>
      <c r="EY216" s="96">
        <f>IFERROR(VLOOKUP($B216,INDIRECT("'GRD-"&amp;EY$11&amp;"'!B:R"),15,FALSE),"")</f>
        <v/>
      </c>
      <c r="EZ216" s="96">
        <f>IFERROR(VLOOKUP($B216,INDIRECT("'GRD-"&amp;EZ$11&amp;"'!B:R"),15,FALSE),"")</f>
        <v/>
      </c>
      <c r="FA216" s="96">
        <f>IFERROR(VLOOKUP($B216,INDIRECT("'GRD-"&amp;FA$11&amp;"'!B:R"),15,FALSE),"")</f>
        <v/>
      </c>
      <c r="FB216" s="96">
        <f>IFERROR(VLOOKUP($B216,INDIRECT("'GRD-"&amp;FB$11&amp;"'!B:R"),15,FALSE),"")</f>
        <v/>
      </c>
      <c r="FC216" s="96">
        <f>IFERROR(VLOOKUP($B216,INDIRECT("'GRD-"&amp;FC$11&amp;"'!B:R"),15,FALSE),"")</f>
        <v/>
      </c>
      <c r="FD216" s="96">
        <f>IFERROR(VLOOKUP($B216,INDIRECT("'GRD-"&amp;FD$11&amp;"'!B:R"),15,FALSE),"")</f>
        <v/>
      </c>
      <c r="FE216" s="96">
        <f>IFERROR(VLOOKUP($B216,INDIRECT("'GRD-"&amp;FE$11&amp;"'!B:R"),15,FALSE),"")</f>
        <v/>
      </c>
      <c r="FF216" s="96">
        <f>IFERROR(VLOOKUP($B216,INDIRECT("'GRD-"&amp;FF$11&amp;"'!B:R"),15,FALSE),"")</f>
        <v/>
      </c>
      <c r="FG216" s="96">
        <f>IFERROR(VLOOKUP($B216,INDIRECT("'GRD-"&amp;FG$11&amp;"'!B:R"),15,FALSE),"")</f>
        <v/>
      </c>
      <c r="FH216" s="96">
        <f>IFERROR(VLOOKUP($B216,INDIRECT("'GRD-"&amp;FH$11&amp;"'!B:R"),15,FALSE),"")</f>
        <v/>
      </c>
      <c r="FI216" s="96">
        <f>IFERROR(VLOOKUP($B216,INDIRECT("'GRD-"&amp;FI$11&amp;"'!B:R"),15,FALSE),"")</f>
        <v/>
      </c>
      <c r="FJ216" s="96">
        <f>IFERROR(VLOOKUP($B216,INDIRECT("'GRD-"&amp;FJ$11&amp;"'!B:R"),15,FALSE),"")</f>
        <v/>
      </c>
      <c r="FK216" s="96">
        <f>IFERROR(VLOOKUP($B216,INDIRECT("'GRD-"&amp;FK$11&amp;"'!B:R"),15,FALSE),"")</f>
        <v/>
      </c>
      <c r="FL216" s="96">
        <f>IFERROR(VLOOKUP($B216,INDIRECT("'GRD-"&amp;FL$11&amp;"'!B:R"),15,FALSE),"")</f>
        <v/>
      </c>
      <c r="FM216" s="96">
        <f>IFERROR(VLOOKUP($B216,INDIRECT("'GRD-"&amp;FM$11&amp;"'!B:R"),15,FALSE),"")</f>
        <v/>
      </c>
      <c r="FN216" s="96">
        <f>IFERROR(VLOOKUP($B216,INDIRECT("'GRD-"&amp;FN$11&amp;"'!B:R"),15,FALSE),"")</f>
        <v/>
      </c>
      <c r="FO216" s="96">
        <f>IFERROR(VLOOKUP($B216,INDIRECT("'GRD-"&amp;FO$11&amp;"'!B:R"),15,FALSE),"")</f>
        <v/>
      </c>
      <c r="FP216" s="96">
        <f>IFERROR(VLOOKUP($B216,INDIRECT("'GRD-"&amp;FP$11&amp;"'!B:R"),15,FALSE),"")</f>
        <v/>
      </c>
      <c r="FQ216" s="96">
        <f>IFERROR(VLOOKUP($B216,INDIRECT("'GRD-"&amp;FQ$11&amp;"'!B:R"),15,FALSE),"")</f>
        <v/>
      </c>
      <c r="FR216" s="96">
        <f>IFERROR(VLOOKUP($B216,INDIRECT("'GRD-"&amp;FR$11&amp;"'!B:R"),15,FALSE),"")</f>
        <v/>
      </c>
      <c r="FS216" s="96">
        <f>IFERROR(VLOOKUP($B216,INDIRECT("'GRD-"&amp;FS$11&amp;"'!B:R"),15,FALSE),"")</f>
        <v/>
      </c>
      <c r="FT216" s="96">
        <f>IFERROR(VLOOKUP($B216,INDIRECT("'GRD-"&amp;FT$11&amp;"'!B:R"),15,FALSE),"")</f>
        <v/>
      </c>
      <c r="FU216" s="96">
        <f>IFERROR(VLOOKUP($B216,INDIRECT("'GRD-"&amp;FU$11&amp;"'!B:R"),15,FALSE),"")</f>
        <v/>
      </c>
      <c r="FV216" s="96">
        <f>IFERROR(VLOOKUP($B216,INDIRECT("'GRD-"&amp;FV$11&amp;"'!B:R"),15,FALSE),"")</f>
        <v/>
      </c>
    </row>
    <row r="217">
      <c r="B217" s="85" t="n"/>
      <c r="C217" s="93" t="n"/>
      <c r="D217" s="73">
        <f>IF(K217="","",MAX($CA217:$FV217))</f>
        <v/>
      </c>
      <c r="E217" s="74">
        <f t="array" ref="E217">IF($K217="","",OFFSET($A$1,ROW($B217)-1,11+$D217*4,))</f>
        <v/>
      </c>
      <c r="F217" s="74">
        <f t="array" ref="F217">IF($K217="","",OFFSET($A$1,ROW($B217)-1,12+$D217*4,))</f>
        <v/>
      </c>
      <c r="G217" s="118">
        <f t="array" ref="G217">IF($K217="","",OFFSET($A$1,ROW($B217)-1,13+$D217*4,))</f>
        <v/>
      </c>
      <c r="H217" s="81" t="n"/>
      <c r="I217" s="82" t="n"/>
      <c r="J217" s="75">
        <f>IF(I217="A4",H217/8,IF(I217="A3",H217/4,IF(I217="A2",H217/2,IF(I217="A1",H217/1,IF(I217="A0",H217*2,"")))))</f>
        <v/>
      </c>
      <c r="K217" s="68">
        <f t="array" ref="K217">IFERROR(OFFSET($BZ$11,ROW($B217)-11,MATCH(K$10,$CA217:$FV217,0),),"")</f>
        <v/>
      </c>
      <c r="L217" s="85">
        <f>IF(K217="","",IF(VLOOKUP($B217,INDIRECT("'GRD-"&amp;M217&amp;"'!$B:$R"),16,FALSE)="","",VLOOKUP($B217,INDIRECT("'GRD-"&amp;M217&amp;"'!$B:$R"),16,FALSE)))</f>
        <v/>
      </c>
      <c r="M217" s="130">
        <f t="array" ref="M217">IF(K217="","",IFERROR(OFFSET($BZ$11,0,MATCH($K217,$CA217:$FV217,0),),""))</f>
        <v/>
      </c>
      <c r="N217" s="119">
        <f t="array" ref="N217">IF(K217="","",INDIRECT("'GRD-"&amp;M217&amp;"'!$L$7"))</f>
        <v/>
      </c>
      <c r="O217" s="76">
        <f t="array" ref="O217">IFERROR(OFFSET($BZ$11,ROW($B217)-11,MATCH(O$10,$CA217:$FV217,0),),"")</f>
        <v/>
      </c>
      <c r="P217" s="76">
        <f>IF(O217="","",IF(VLOOKUP($B217,INDIRECT("'GRD-"&amp;Q217&amp;"'!$B:$R"),16,FALSE)="","",VLOOKUP($B217,INDIRECT("'GRD-"&amp;Q217&amp;"'!$B:$R"),16,FALSE)))</f>
        <v/>
      </c>
      <c r="Q217" s="132">
        <f t="array" ref="Q217">IF(O217="","",IFERROR(OFFSET($BZ$11,0,MATCH($O217,$CA217:$FV217,0),),""))</f>
        <v/>
      </c>
      <c r="R217" s="121">
        <f t="array" ref="R217">IF(O217="","",INDIRECT("'GRD-"&amp;Q217&amp;"'!$L$7"))</f>
        <v/>
      </c>
      <c r="S217" s="83">
        <f t="array" ref="S217">IFERROR(OFFSET($BZ$11,ROW($B217)-11,MATCH(S$10,$CA217:$FV217,0),),"")</f>
        <v/>
      </c>
      <c r="T217" s="83">
        <f>IF(S217="","",IF(VLOOKUP($B217,INDIRECT("'GRD-"&amp;U217&amp;"'!$B:$R"),16,FALSE)="","",VLOOKUP($B217,INDIRECT("'GRD-"&amp;U217&amp;"'!$B:$R"),16,FALSE)))</f>
        <v/>
      </c>
      <c r="U217" s="128">
        <f t="array" ref="U217">IF(S217="","",IFERROR(OFFSET($BZ$11,0,MATCH($S217,$CA217:$FV217,0),),""))</f>
        <v/>
      </c>
      <c r="V217" s="133">
        <f t="array" ref="V217">IF(S217="","",INDIRECT("'GRD-"&amp;U217&amp;"'!$L$7"))</f>
        <v/>
      </c>
      <c r="W217" s="84">
        <f t="array" ref="W217">IFERROR(OFFSET($BZ$11,ROW($B217)-11,MATCH(W$10,$CA217:$FV217,0),),"")</f>
        <v/>
      </c>
      <c r="X217" s="84">
        <f>IF(W217="","",IF(VLOOKUP($B217,INDIRECT("'GRD-"&amp;Y217&amp;"'!$B:$R"),16,FALSE)="","",VLOOKUP($B217,INDIRECT("'GRD-"&amp;Y217&amp;"'!$B:$R"),16,FALSE)))</f>
        <v/>
      </c>
      <c r="Y217" s="129">
        <f t="array" ref="Y217">IF(W217="","",IFERROR(OFFSET($BZ$11,0,MATCH($W217,$CA217:$FV217,0),),""))</f>
        <v/>
      </c>
      <c r="Z217" s="134">
        <f t="array" ref="Z217">IF(W217="","",INDIRECT("'GRD-"&amp;Y217&amp;"'!$L$7"))</f>
        <v/>
      </c>
      <c r="AA217" s="85">
        <f t="array" ref="AA217">IFERROR(OFFSET($BZ$11,ROW($B217)-11,MATCH(AA$10,$CA217:$FV217,0),),"")</f>
        <v/>
      </c>
      <c r="AB217" s="85">
        <f>IF(AA217="","",IF(VLOOKUP($B217,INDIRECT("'GRD-"&amp;AC217&amp;"'!$B:$R"),16,FALSE)="","",VLOOKUP($B217,INDIRECT("'GRD-"&amp;AC217&amp;"'!$B:$R"),16,FALSE)))</f>
        <v/>
      </c>
      <c r="AC217" s="130">
        <f t="array" ref="AC217">IF(AA217="","",IFERROR(OFFSET($BZ$11,0,MATCH($AA217,$CA217:$FV217,0),),""))</f>
        <v/>
      </c>
      <c r="AD217" s="131">
        <f t="array" ref="AD217">IF(AA217="","",INDIRECT("'GRD-"&amp;AC217&amp;"'!$L$7"))</f>
        <v/>
      </c>
      <c r="AE217" s="76">
        <f t="array" ref="AE217">IFERROR(OFFSET($BZ$11,ROW($B217)-11,MATCH(AE$10,$CA217:$FV217,0),),"")</f>
        <v/>
      </c>
      <c r="AF217" s="76">
        <f>IF(AE217="","",IF(VLOOKUP($B217,INDIRECT("'GRD-"&amp;AG217&amp;"'!$B:$R"),16,FALSE)="","",VLOOKUP($B217,INDIRECT("'GRD-"&amp;AG217&amp;"'!$B:$R"),16,FALSE)))</f>
        <v/>
      </c>
      <c r="AG217" s="132">
        <f t="array" ref="AG217">IF(AE217="","",IFERROR(OFFSET($BZ$11,0,MATCH($AE217,$CA217:$FV217,0),),""))</f>
        <v/>
      </c>
      <c r="AH217" s="121">
        <f t="array" ref="AH217">IF(AE217="","",INDIRECT("'GRD-"&amp;AG217&amp;"'!$L$7"))</f>
        <v/>
      </c>
      <c r="AI217" s="83">
        <f t="array" ref="AI217">IFERROR(OFFSET($BZ$11,ROW($B217)-11,MATCH(AI$10,$CA217:$FV217,0),),"")</f>
        <v/>
      </c>
      <c r="AJ217" s="83">
        <f>IF(AI217="","",IF(VLOOKUP($B217,INDIRECT("'GRD-"&amp;AK217&amp;"'!$B:$R"),16,FALSE)="","",VLOOKUP($B217,INDIRECT("'GRD-"&amp;AK217&amp;"'!$B:$R"),16,FALSE)))</f>
        <v/>
      </c>
      <c r="AK217" s="128">
        <f t="array" ref="AK217">IF(AI217="","",IFERROR(OFFSET($BZ$11,0,MATCH($AI217,$CA217:$FV217,0),),""))</f>
        <v/>
      </c>
      <c r="AL217" s="133">
        <f t="array" ref="AL217">IF(AI217="","",INDIRECT("'GRD-"&amp;AK217&amp;"'!$L$7"))</f>
        <v/>
      </c>
      <c r="AM217" s="84">
        <f t="array" ref="AM217">IFERROR(OFFSET($BZ$11,ROW($B217)-11,MATCH(AM$10,$CA217:$FV217,0),),"")</f>
        <v/>
      </c>
      <c r="AN217" s="84">
        <f>IF(AM217="","",IF(VLOOKUP($B217,INDIRECT("'GRD-"&amp;AO217&amp;"'!$B:$R"),16,FALSE)="","",VLOOKUP($B217,INDIRECT("'GRD-"&amp;AO217&amp;"'!$B:$R"),16,FALSE)))</f>
        <v/>
      </c>
      <c r="AO217" s="129">
        <f t="array" ref="AO217">IF(AM217="","",IFERROR(OFFSET($BZ$11,0,MATCH($AM217,$CA217:$FV217,0),),""))</f>
        <v/>
      </c>
      <c r="AP217" s="134">
        <f t="array" ref="AP217">IF(AM217="","",INDIRECT("'GRD-"&amp;AO217&amp;"'!$L$7"))</f>
        <v/>
      </c>
      <c r="AQ217" s="85">
        <f t="array" ref="AQ217">IFERROR(OFFSET($BZ$11,ROW($B217)-11,MATCH(AQ$10,$CA217:$FV217,0),),"")</f>
        <v/>
      </c>
      <c r="AR217" s="85">
        <f>IF(AQ217="","",IF(VLOOKUP($B217,INDIRECT("'GRD-"&amp;AS217&amp;"'!$B:$R"),16,FALSE)="","",VLOOKUP($B217,INDIRECT("'GRD-"&amp;AS217&amp;"'!$B:$R"),16,FALSE)))</f>
        <v/>
      </c>
      <c r="AS217" s="130">
        <f t="array" ref="AS217">IF(AQ217="","",IFERROR(OFFSET($BZ$11,0,MATCH($AQ217,$CA217:$FV217,0),),""))</f>
        <v/>
      </c>
      <c r="AT217" s="131">
        <f t="array" ref="AT217">IF(AQ217="","",INDIRECT("'GRD-"&amp;AS217&amp;"'!$L$7"))</f>
        <v/>
      </c>
      <c r="AU217" s="76">
        <f t="array" ref="AU217">IFERROR(OFFSET($BZ$11,ROW($B217)-11,MATCH(AU$10,$CA217:$FV217,0),),"")</f>
        <v/>
      </c>
      <c r="AV217" s="76">
        <f>IF(AU217="","",IF(VLOOKUP($B217,INDIRECT("'GRD-"&amp;AW217&amp;"'!$B:$R"),16,FALSE)="","",VLOOKUP($B217,INDIRECT("'GRD-"&amp;AW217&amp;"'!$B:$R"),16,FALSE)))</f>
        <v/>
      </c>
      <c r="AW217" s="132">
        <f t="array" ref="AW217">IF(AU217="","",IFERROR(OFFSET($BZ$11,0,MATCH($AU217,$CA217:$FV217,0),),""))</f>
        <v/>
      </c>
      <c r="AX217" s="121">
        <f t="array" ref="AX217">IF(AU217="","",INDIRECT("'GRD-"&amp;AW217&amp;"'!$L$7"))</f>
        <v/>
      </c>
      <c r="AY217" s="83">
        <f t="array" ref="AY217">IFERROR(OFFSET($BZ$11,ROW($B217)-11,MATCH(AY$10,$CA217:$FV217,0),),"")</f>
        <v/>
      </c>
      <c r="AZ217" s="83">
        <f>IF(AY217="","",IF(VLOOKUP($B217,INDIRECT("'GRD-"&amp;BA217&amp;"'!$B:$R"),16,FALSE)="","",VLOOKUP($B217,INDIRECT("'GRD-"&amp;BA217&amp;"'!$B:$R"),16,FALSE)))</f>
        <v/>
      </c>
      <c r="BA217" s="128">
        <f t="array" ref="BA217">IF(AY217="","",IFERROR(OFFSET($BZ$11,0,MATCH($AY217,$CA217:$FV217,0),),""))</f>
        <v/>
      </c>
      <c r="BB217" s="133">
        <f t="array" ref="BB217">IF(AY217="","",INDIRECT("'GRD-"&amp;BA217&amp;"'!$L$7"))</f>
        <v/>
      </c>
      <c r="BC217" s="84">
        <f t="array" ref="BC217">IFERROR(OFFSET($BZ$11,ROW($B217)-11,MATCH(BC$10,$CA217:$FV217,0),),"")</f>
        <v/>
      </c>
      <c r="BD217" s="84">
        <f>IF(BC217="","",IF(VLOOKUP($B217,INDIRECT("'GRD-"&amp;BE217&amp;"'!$B:$R"),16,FALSE)="","",VLOOKUP($B217,INDIRECT("'GRD-"&amp;BE217&amp;"'!$B:$R"),16,FALSE)))</f>
        <v/>
      </c>
      <c r="BE217" s="129">
        <f t="array" ref="BE217">IF(BC217="","",IFERROR(OFFSET($BZ$11,0,MATCH($BC217,$CA217:$FV217,0),),""))</f>
        <v/>
      </c>
      <c r="BF217" s="134">
        <f t="array" ref="BF217">IF(BC217="","",INDIRECT("'GRD-"&amp;BE217&amp;"'!$L$7"))</f>
        <v/>
      </c>
      <c r="CA217" s="96">
        <f>IFERROR(VLOOKUP($B217,INDIRECT("'GRD-"&amp;CA$11&amp;"'!B:R"),15,FALSE),"")</f>
        <v/>
      </c>
      <c r="CB217" s="96">
        <f>IFERROR(VLOOKUP($B217,INDIRECT("'GRD-"&amp;CB$11&amp;"'!B:R"),15,FALSE),"")</f>
        <v/>
      </c>
      <c r="CC217" s="96">
        <f>IFERROR(VLOOKUP($B217,INDIRECT("'GRD-"&amp;CC$11&amp;"'!B:R"),15,FALSE),"")</f>
        <v/>
      </c>
      <c r="CD217" s="96">
        <f>IFERROR(VLOOKUP($B217,INDIRECT("'GRD-"&amp;CD$11&amp;"'!B:R"),15,FALSE),"")</f>
        <v/>
      </c>
      <c r="CE217" s="96">
        <f>IFERROR(VLOOKUP($B217,INDIRECT("'GRD-"&amp;CE$11&amp;"'!B:R"),15,FALSE),"")</f>
        <v/>
      </c>
      <c r="CF217" s="96">
        <f>IFERROR(VLOOKUP($B217,INDIRECT("'GRD-"&amp;CF$11&amp;"'!B:R"),15,FALSE),"")</f>
        <v/>
      </c>
      <c r="CG217" s="96">
        <f>IFERROR(VLOOKUP($B217,INDIRECT("'GRD-"&amp;CG$11&amp;"'!B:R"),15,FALSE),"")</f>
        <v/>
      </c>
      <c r="CH217" s="96">
        <f>IFERROR(VLOOKUP($B217,INDIRECT("'GRD-"&amp;CH$11&amp;"'!B:R"),15,FALSE),"")</f>
        <v/>
      </c>
      <c r="CI217" s="96">
        <f>IFERROR(VLOOKUP($B217,INDIRECT("'GRD-"&amp;CI$11&amp;"'!B:R"),15,FALSE),"")</f>
        <v/>
      </c>
      <c r="CJ217" s="96">
        <f>IFERROR(VLOOKUP($B217,INDIRECT("'GRD-"&amp;CJ$11&amp;"'!B:R"),15,FALSE),"")</f>
        <v/>
      </c>
      <c r="CK217" s="96">
        <f>IFERROR(VLOOKUP($B217,INDIRECT("'GRD-"&amp;CK$11&amp;"'!B:R"),15,FALSE),"")</f>
        <v/>
      </c>
      <c r="CL217" s="96">
        <f>IFERROR(VLOOKUP($B217,INDIRECT("'GRD-"&amp;CL$11&amp;"'!B:R"),15,FALSE),"")</f>
        <v/>
      </c>
      <c r="CM217" s="96">
        <f>IFERROR(VLOOKUP($B217,INDIRECT("'GRD-"&amp;CM$11&amp;"'!B:R"),15,FALSE),"")</f>
        <v/>
      </c>
      <c r="CN217" s="96">
        <f>IFERROR(VLOOKUP($B217,INDIRECT("'GRD-"&amp;CN$11&amp;"'!B:R"),15,FALSE),"")</f>
        <v/>
      </c>
      <c r="CO217" s="96">
        <f>IFERROR(VLOOKUP($B217,INDIRECT("'GRD-"&amp;CO$11&amp;"'!B:R"),15,FALSE),"")</f>
        <v/>
      </c>
      <c r="CP217" s="96">
        <f>IFERROR(VLOOKUP($B217,INDIRECT("'GRD-"&amp;CP$11&amp;"'!B:R"),15,FALSE),"")</f>
        <v/>
      </c>
      <c r="CQ217" s="96">
        <f>IFERROR(VLOOKUP($B217,INDIRECT("'GRD-"&amp;CQ$11&amp;"'!B:R"),15,FALSE),"")</f>
        <v/>
      </c>
      <c r="CR217" s="96">
        <f>IFERROR(VLOOKUP($B217,INDIRECT("'GRD-"&amp;CR$11&amp;"'!B:R"),15,FALSE),"")</f>
        <v/>
      </c>
      <c r="CS217" s="96">
        <f>IFERROR(VLOOKUP($B217,INDIRECT("'GRD-"&amp;CS$11&amp;"'!B:R"),15,FALSE),"")</f>
        <v/>
      </c>
      <c r="CT217" s="96">
        <f>IFERROR(VLOOKUP($B217,INDIRECT("'GRD-"&amp;CT$11&amp;"'!B:R"),15,FALSE),"")</f>
        <v/>
      </c>
      <c r="CU217" s="96">
        <f>IFERROR(VLOOKUP($B217,INDIRECT("'GRD-"&amp;CU$11&amp;"'!B:R"),15,FALSE),"")</f>
        <v/>
      </c>
      <c r="CV217" s="96">
        <f>IFERROR(VLOOKUP($B217,INDIRECT("'GRD-"&amp;CV$11&amp;"'!B:R"),15,FALSE),"")</f>
        <v/>
      </c>
      <c r="CW217" s="96">
        <f>IFERROR(VLOOKUP($B217,INDIRECT("'GRD-"&amp;CW$11&amp;"'!B:R"),15,FALSE),"")</f>
        <v/>
      </c>
      <c r="CX217" s="96">
        <f>IFERROR(VLOOKUP($B217,INDIRECT("'GRD-"&amp;CX$11&amp;"'!B:R"),15,FALSE),"")</f>
        <v/>
      </c>
      <c r="CY217" s="96">
        <f>IFERROR(VLOOKUP($B217,INDIRECT("'GRD-"&amp;CY$11&amp;"'!B:R"),15,FALSE),"")</f>
        <v/>
      </c>
      <c r="CZ217" s="96">
        <f>IFERROR(VLOOKUP($B217,INDIRECT("'GRD-"&amp;CZ$11&amp;"'!B:R"),15,FALSE),"")</f>
        <v/>
      </c>
      <c r="DA217" s="96">
        <f>IFERROR(VLOOKUP($B217,INDIRECT("'GRD-"&amp;DA$11&amp;"'!B:R"),15,FALSE),"")</f>
        <v/>
      </c>
      <c r="DB217" s="96">
        <f>IFERROR(VLOOKUP($B217,INDIRECT("'GRD-"&amp;DB$11&amp;"'!B:R"),15,FALSE),"")</f>
        <v/>
      </c>
      <c r="DC217" s="96">
        <f>IFERROR(VLOOKUP($B217,INDIRECT("'GRD-"&amp;DC$11&amp;"'!B:R"),15,FALSE),"")</f>
        <v/>
      </c>
      <c r="DD217" s="96">
        <f>IFERROR(VLOOKUP($B217,INDIRECT("'GRD-"&amp;DD$11&amp;"'!B:R"),15,FALSE),"")</f>
        <v/>
      </c>
      <c r="DE217" s="96">
        <f>IFERROR(VLOOKUP($B217,INDIRECT("'GRD-"&amp;DE$11&amp;"'!B:R"),15,FALSE),"")</f>
        <v/>
      </c>
      <c r="DF217" s="96">
        <f>IFERROR(VLOOKUP($B217,INDIRECT("'GRD-"&amp;DF$11&amp;"'!B:R"),15,FALSE),"")</f>
        <v/>
      </c>
      <c r="DG217" s="96">
        <f>IFERROR(VLOOKUP($B217,INDIRECT("'GRD-"&amp;DG$11&amp;"'!B:R"),15,FALSE),"")</f>
        <v/>
      </c>
      <c r="DH217" s="96">
        <f>IFERROR(VLOOKUP($B217,INDIRECT("'GRD-"&amp;DH$11&amp;"'!B:R"),15,FALSE),"")</f>
        <v/>
      </c>
      <c r="DI217" s="96">
        <f>IFERROR(VLOOKUP($B217,INDIRECT("'GRD-"&amp;DI$11&amp;"'!B:R"),15,FALSE),"")</f>
        <v/>
      </c>
      <c r="DJ217" s="96">
        <f>IFERROR(VLOOKUP($B217,INDIRECT("'GRD-"&amp;DJ$11&amp;"'!B:R"),15,FALSE),"")</f>
        <v/>
      </c>
      <c r="DK217" s="96">
        <f>IFERROR(VLOOKUP($B217,INDIRECT("'GRD-"&amp;DK$11&amp;"'!B:R"),15,FALSE),"")</f>
        <v/>
      </c>
      <c r="DL217" s="96">
        <f>IFERROR(VLOOKUP($B217,INDIRECT("'GRD-"&amp;DL$11&amp;"'!B:R"),15,FALSE),"")</f>
        <v/>
      </c>
      <c r="DM217" s="96">
        <f>IFERROR(VLOOKUP($B217,INDIRECT("'GRD-"&amp;DM$11&amp;"'!B:R"),15,FALSE),"")</f>
        <v/>
      </c>
      <c r="DN217" s="96">
        <f>IFERROR(VLOOKUP($B217,INDIRECT("'GRD-"&amp;DN$11&amp;"'!B:R"),15,FALSE),"")</f>
        <v/>
      </c>
      <c r="DO217" s="96">
        <f>IFERROR(VLOOKUP($B217,INDIRECT("'GRD-"&amp;DO$11&amp;"'!B:R"),15,FALSE),"")</f>
        <v/>
      </c>
      <c r="DP217" s="96">
        <f>IFERROR(VLOOKUP($B217,INDIRECT("'GRD-"&amp;DP$11&amp;"'!B:R"),15,FALSE),"")</f>
        <v/>
      </c>
      <c r="DQ217" s="96">
        <f>IFERROR(VLOOKUP($B217,INDIRECT("'GRD-"&amp;DQ$11&amp;"'!B:R"),15,FALSE),"")</f>
        <v/>
      </c>
      <c r="DR217" s="96">
        <f>IFERROR(VLOOKUP($B217,INDIRECT("'GRD-"&amp;DR$11&amp;"'!B:R"),15,FALSE),"")</f>
        <v/>
      </c>
      <c r="DS217" s="96">
        <f>IFERROR(VLOOKUP($B217,INDIRECT("'GRD-"&amp;DS$11&amp;"'!B:R"),15,FALSE),"")</f>
        <v/>
      </c>
      <c r="DT217" s="96">
        <f>IFERROR(VLOOKUP($B217,INDIRECT("'GRD-"&amp;DT$11&amp;"'!B:R"),15,FALSE),"")</f>
        <v/>
      </c>
      <c r="DU217" s="96">
        <f>IFERROR(VLOOKUP($B217,INDIRECT("'GRD-"&amp;DU$11&amp;"'!B:R"),15,FALSE),"")</f>
        <v/>
      </c>
      <c r="DV217" s="96">
        <f>IFERROR(VLOOKUP($B217,INDIRECT("'GRD-"&amp;DV$11&amp;"'!B:R"),15,FALSE),"")</f>
        <v/>
      </c>
      <c r="DW217" s="96">
        <f>IFERROR(VLOOKUP($B217,INDIRECT("'GRD-"&amp;DW$11&amp;"'!B:R"),15,FALSE),"")</f>
        <v/>
      </c>
      <c r="DX217" s="96">
        <f>IFERROR(VLOOKUP($B217,INDIRECT("'GRD-"&amp;DX$11&amp;"'!B:R"),15,FALSE),"")</f>
        <v/>
      </c>
      <c r="DY217" s="96">
        <f>IFERROR(VLOOKUP($B217,INDIRECT("'GRD-"&amp;DY$11&amp;"'!B:R"),15,FALSE),"")</f>
        <v/>
      </c>
      <c r="DZ217" s="96">
        <f>IFERROR(VLOOKUP($B217,INDIRECT("'GRD-"&amp;DZ$11&amp;"'!B:R"),15,FALSE),"")</f>
        <v/>
      </c>
      <c r="EA217" s="96">
        <f>IFERROR(VLOOKUP($B217,INDIRECT("'GRD-"&amp;EA$11&amp;"'!B:R"),15,FALSE),"")</f>
        <v/>
      </c>
      <c r="EB217" s="96">
        <f>IFERROR(VLOOKUP($B217,INDIRECT("'GRD-"&amp;EB$11&amp;"'!B:R"),15,FALSE),"")</f>
        <v/>
      </c>
      <c r="EC217" s="96">
        <f>IFERROR(VLOOKUP($B217,INDIRECT("'GRD-"&amp;EC$11&amp;"'!B:R"),15,FALSE),"")</f>
        <v/>
      </c>
      <c r="ED217" s="96">
        <f>IFERROR(VLOOKUP($B217,INDIRECT("'GRD-"&amp;ED$11&amp;"'!B:R"),15,FALSE),"")</f>
        <v/>
      </c>
      <c r="EE217" s="96">
        <f>IFERROR(VLOOKUP($B217,INDIRECT("'GRD-"&amp;EE$11&amp;"'!B:R"),15,FALSE),"")</f>
        <v/>
      </c>
      <c r="EF217" s="96">
        <f>IFERROR(VLOOKUP($B217,INDIRECT("'GRD-"&amp;EF$11&amp;"'!B:R"),15,FALSE),"")</f>
        <v/>
      </c>
      <c r="EG217" s="96">
        <f>IFERROR(VLOOKUP($B217,INDIRECT("'GRD-"&amp;EG$11&amp;"'!B:R"),15,FALSE),"")</f>
        <v/>
      </c>
      <c r="EH217" s="96">
        <f>IFERROR(VLOOKUP($B217,INDIRECT("'GRD-"&amp;EH$11&amp;"'!B:R"),15,FALSE),"")</f>
        <v/>
      </c>
      <c r="EI217" s="96">
        <f>IFERROR(VLOOKUP($B217,INDIRECT("'GRD-"&amp;EI$11&amp;"'!B:R"),15,FALSE),"")</f>
        <v/>
      </c>
      <c r="EJ217" s="96">
        <f>IFERROR(VLOOKUP($B217,INDIRECT("'GRD-"&amp;EJ$11&amp;"'!B:R"),15,FALSE),"")</f>
        <v/>
      </c>
      <c r="EK217" s="96">
        <f>IFERROR(VLOOKUP($B217,INDIRECT("'GRD-"&amp;EK$11&amp;"'!B:R"),15,FALSE),"")</f>
        <v/>
      </c>
      <c r="EL217" s="96">
        <f>IFERROR(VLOOKUP($B217,INDIRECT("'GRD-"&amp;EL$11&amp;"'!B:R"),15,FALSE),"")</f>
        <v/>
      </c>
      <c r="EM217" s="96">
        <f>IFERROR(VLOOKUP($B217,INDIRECT("'GRD-"&amp;EM$11&amp;"'!B:R"),15,FALSE),"")</f>
        <v/>
      </c>
      <c r="EN217" s="96">
        <f>IFERROR(VLOOKUP($B217,INDIRECT("'GRD-"&amp;EN$11&amp;"'!B:R"),15,FALSE),"")</f>
        <v/>
      </c>
      <c r="EO217" s="96">
        <f>IFERROR(VLOOKUP($B217,INDIRECT("'GRD-"&amp;EO$11&amp;"'!B:R"),15,FALSE),"")</f>
        <v/>
      </c>
      <c r="EP217" s="96">
        <f>IFERROR(VLOOKUP($B217,INDIRECT("'GRD-"&amp;EP$11&amp;"'!B:R"),15,FALSE),"")</f>
        <v/>
      </c>
      <c r="EQ217" s="96">
        <f>IFERROR(VLOOKUP($B217,INDIRECT("'GRD-"&amp;EQ$11&amp;"'!B:R"),15,FALSE),"")</f>
        <v/>
      </c>
      <c r="ER217" s="96">
        <f>IFERROR(VLOOKUP($B217,INDIRECT("'GRD-"&amp;ER$11&amp;"'!B:R"),15,FALSE),"")</f>
        <v/>
      </c>
      <c r="ES217" s="96">
        <f>IFERROR(VLOOKUP($B217,INDIRECT("'GRD-"&amp;ES$11&amp;"'!B:R"),15,FALSE),"")</f>
        <v/>
      </c>
      <c r="ET217" s="96">
        <f>IFERROR(VLOOKUP($B217,INDIRECT("'GRD-"&amp;ET$11&amp;"'!B:R"),15,FALSE),"")</f>
        <v/>
      </c>
      <c r="EU217" s="96">
        <f>IFERROR(VLOOKUP($B217,INDIRECT("'GRD-"&amp;EU$11&amp;"'!B:R"),15,FALSE),"")</f>
        <v/>
      </c>
      <c r="EV217" s="96">
        <f>IFERROR(VLOOKUP($B217,INDIRECT("'GRD-"&amp;EV$11&amp;"'!B:R"),15,FALSE),"")</f>
        <v/>
      </c>
      <c r="EW217" s="96">
        <f>IFERROR(VLOOKUP($B217,INDIRECT("'GRD-"&amp;EW$11&amp;"'!B:R"),15,FALSE),"")</f>
        <v/>
      </c>
      <c r="EX217" s="96">
        <f>IFERROR(VLOOKUP($B217,INDIRECT("'GRD-"&amp;EX$11&amp;"'!B:R"),15,FALSE),"")</f>
        <v/>
      </c>
      <c r="EY217" s="96">
        <f>IFERROR(VLOOKUP($B217,INDIRECT("'GRD-"&amp;EY$11&amp;"'!B:R"),15,FALSE),"")</f>
        <v/>
      </c>
      <c r="EZ217" s="96">
        <f>IFERROR(VLOOKUP($B217,INDIRECT("'GRD-"&amp;EZ$11&amp;"'!B:R"),15,FALSE),"")</f>
        <v/>
      </c>
      <c r="FA217" s="96">
        <f>IFERROR(VLOOKUP($B217,INDIRECT("'GRD-"&amp;FA$11&amp;"'!B:R"),15,FALSE),"")</f>
        <v/>
      </c>
      <c r="FB217" s="96">
        <f>IFERROR(VLOOKUP($B217,INDIRECT("'GRD-"&amp;FB$11&amp;"'!B:R"),15,FALSE),"")</f>
        <v/>
      </c>
      <c r="FC217" s="96">
        <f>IFERROR(VLOOKUP($B217,INDIRECT("'GRD-"&amp;FC$11&amp;"'!B:R"),15,FALSE),"")</f>
        <v/>
      </c>
      <c r="FD217" s="96">
        <f>IFERROR(VLOOKUP($B217,INDIRECT("'GRD-"&amp;FD$11&amp;"'!B:R"),15,FALSE),"")</f>
        <v/>
      </c>
      <c r="FE217" s="96">
        <f>IFERROR(VLOOKUP($B217,INDIRECT("'GRD-"&amp;FE$11&amp;"'!B:R"),15,FALSE),"")</f>
        <v/>
      </c>
      <c r="FF217" s="96">
        <f>IFERROR(VLOOKUP($B217,INDIRECT("'GRD-"&amp;FF$11&amp;"'!B:R"),15,FALSE),"")</f>
        <v/>
      </c>
      <c r="FG217" s="96">
        <f>IFERROR(VLOOKUP($B217,INDIRECT("'GRD-"&amp;FG$11&amp;"'!B:R"),15,FALSE),"")</f>
        <v/>
      </c>
      <c r="FH217" s="96">
        <f>IFERROR(VLOOKUP($B217,INDIRECT("'GRD-"&amp;FH$11&amp;"'!B:R"),15,FALSE),"")</f>
        <v/>
      </c>
      <c r="FI217" s="96">
        <f>IFERROR(VLOOKUP($B217,INDIRECT("'GRD-"&amp;FI$11&amp;"'!B:R"),15,FALSE),"")</f>
        <v/>
      </c>
      <c r="FJ217" s="96">
        <f>IFERROR(VLOOKUP($B217,INDIRECT("'GRD-"&amp;FJ$11&amp;"'!B:R"),15,FALSE),"")</f>
        <v/>
      </c>
      <c r="FK217" s="96">
        <f>IFERROR(VLOOKUP($B217,INDIRECT("'GRD-"&amp;FK$11&amp;"'!B:R"),15,FALSE),"")</f>
        <v/>
      </c>
      <c r="FL217" s="96">
        <f>IFERROR(VLOOKUP($B217,INDIRECT("'GRD-"&amp;FL$11&amp;"'!B:R"),15,FALSE),"")</f>
        <v/>
      </c>
      <c r="FM217" s="96">
        <f>IFERROR(VLOOKUP($B217,INDIRECT("'GRD-"&amp;FM$11&amp;"'!B:R"),15,FALSE),"")</f>
        <v/>
      </c>
      <c r="FN217" s="96">
        <f>IFERROR(VLOOKUP($B217,INDIRECT("'GRD-"&amp;FN$11&amp;"'!B:R"),15,FALSE),"")</f>
        <v/>
      </c>
      <c r="FO217" s="96">
        <f>IFERROR(VLOOKUP($B217,INDIRECT("'GRD-"&amp;FO$11&amp;"'!B:R"),15,FALSE),"")</f>
        <v/>
      </c>
      <c r="FP217" s="96">
        <f>IFERROR(VLOOKUP($B217,INDIRECT("'GRD-"&amp;FP$11&amp;"'!B:R"),15,FALSE),"")</f>
        <v/>
      </c>
      <c r="FQ217" s="96">
        <f>IFERROR(VLOOKUP($B217,INDIRECT("'GRD-"&amp;FQ$11&amp;"'!B:R"),15,FALSE),"")</f>
        <v/>
      </c>
      <c r="FR217" s="96">
        <f>IFERROR(VLOOKUP($B217,INDIRECT("'GRD-"&amp;FR$11&amp;"'!B:R"),15,FALSE),"")</f>
        <v/>
      </c>
      <c r="FS217" s="96">
        <f>IFERROR(VLOOKUP($B217,INDIRECT("'GRD-"&amp;FS$11&amp;"'!B:R"),15,FALSE),"")</f>
        <v/>
      </c>
      <c r="FT217" s="96">
        <f>IFERROR(VLOOKUP($B217,INDIRECT("'GRD-"&amp;FT$11&amp;"'!B:R"),15,FALSE),"")</f>
        <v/>
      </c>
      <c r="FU217" s="96">
        <f>IFERROR(VLOOKUP($B217,INDIRECT("'GRD-"&amp;FU$11&amp;"'!B:R"),15,FALSE),"")</f>
        <v/>
      </c>
      <c r="FV217" s="96">
        <f>IFERROR(VLOOKUP($B217,INDIRECT("'GRD-"&amp;FV$11&amp;"'!B:R"),15,FALSE),"")</f>
        <v/>
      </c>
    </row>
    <row r="218">
      <c r="B218" s="85" t="n"/>
      <c r="C218" s="93" t="n"/>
      <c r="D218" s="73">
        <f>IF(K218="","",MAX($CA218:$FV218))</f>
        <v/>
      </c>
      <c r="E218" s="74">
        <f t="array" ref="E218">IF($K218="","",OFFSET($A$1,ROW($B218)-1,11+$D218*4,))</f>
        <v/>
      </c>
      <c r="F218" s="74">
        <f t="array" ref="F218">IF($K218="","",OFFSET($A$1,ROW($B218)-1,12+$D218*4,))</f>
        <v/>
      </c>
      <c r="G218" s="118">
        <f t="array" ref="G218">IF($K218="","",OFFSET($A$1,ROW($B218)-1,13+$D218*4,))</f>
        <v/>
      </c>
      <c r="H218" s="81" t="n"/>
      <c r="I218" s="82" t="n"/>
      <c r="J218" s="75">
        <f>IF(I218="A4",H218/8,IF(I218="A3",H218/4,IF(I218="A2",H218/2,IF(I218="A1",H218/1,IF(I218="A0",H218*2,"")))))</f>
        <v/>
      </c>
      <c r="K218" s="68">
        <f t="array" ref="K218">IFERROR(OFFSET($BZ$11,ROW($B218)-11,MATCH(K$10,$CA218:$FV218,0),),"")</f>
        <v/>
      </c>
      <c r="L218" s="85">
        <f>IF(K218="","",IF(VLOOKUP($B218,INDIRECT("'GRD-"&amp;M218&amp;"'!$B:$R"),16,FALSE)="","",VLOOKUP($B218,INDIRECT("'GRD-"&amp;M218&amp;"'!$B:$R"),16,FALSE)))</f>
        <v/>
      </c>
      <c r="M218" s="130">
        <f t="array" ref="M218">IF(K218="","",IFERROR(OFFSET($BZ$11,0,MATCH($K218,$CA218:$FV218,0),),""))</f>
        <v/>
      </c>
      <c r="N218" s="119">
        <f t="array" ref="N218">IF(K218="","",INDIRECT("'GRD-"&amp;M218&amp;"'!$L$7"))</f>
        <v/>
      </c>
      <c r="O218" s="76">
        <f t="array" ref="O218">IFERROR(OFFSET($BZ$11,ROW($B218)-11,MATCH(O$10,$CA218:$FV218,0),),"")</f>
        <v/>
      </c>
      <c r="P218" s="76">
        <f>IF(O218="","",IF(VLOOKUP($B218,INDIRECT("'GRD-"&amp;Q218&amp;"'!$B:$R"),16,FALSE)="","",VLOOKUP($B218,INDIRECT("'GRD-"&amp;Q218&amp;"'!$B:$R"),16,FALSE)))</f>
        <v/>
      </c>
      <c r="Q218" s="132">
        <f t="array" ref="Q218">IF(O218="","",IFERROR(OFFSET($BZ$11,0,MATCH($O218,$CA218:$FV218,0),),""))</f>
        <v/>
      </c>
      <c r="R218" s="121">
        <f t="array" ref="R218">IF(O218="","",INDIRECT("'GRD-"&amp;Q218&amp;"'!$L$7"))</f>
        <v/>
      </c>
      <c r="S218" s="83">
        <f t="array" ref="S218">IFERROR(OFFSET($BZ$11,ROW($B218)-11,MATCH(S$10,$CA218:$FV218,0),),"")</f>
        <v/>
      </c>
      <c r="T218" s="83">
        <f>IF(S218="","",IF(VLOOKUP($B218,INDIRECT("'GRD-"&amp;U218&amp;"'!$B:$R"),16,FALSE)="","",VLOOKUP($B218,INDIRECT("'GRD-"&amp;U218&amp;"'!$B:$R"),16,FALSE)))</f>
        <v/>
      </c>
      <c r="U218" s="128">
        <f t="array" ref="U218">IF(S218="","",IFERROR(OFFSET($BZ$11,0,MATCH($S218,$CA218:$FV218,0),),""))</f>
        <v/>
      </c>
      <c r="V218" s="133">
        <f t="array" ref="V218">IF(S218="","",INDIRECT("'GRD-"&amp;U218&amp;"'!$L$7"))</f>
        <v/>
      </c>
      <c r="W218" s="84">
        <f t="array" ref="W218">IFERROR(OFFSET($BZ$11,ROW($B218)-11,MATCH(W$10,$CA218:$FV218,0),),"")</f>
        <v/>
      </c>
      <c r="X218" s="84">
        <f>IF(W218="","",IF(VLOOKUP($B218,INDIRECT("'GRD-"&amp;Y218&amp;"'!$B:$R"),16,FALSE)="","",VLOOKUP($B218,INDIRECT("'GRD-"&amp;Y218&amp;"'!$B:$R"),16,FALSE)))</f>
        <v/>
      </c>
      <c r="Y218" s="129">
        <f t="array" ref="Y218">IF(W218="","",IFERROR(OFFSET($BZ$11,0,MATCH($W218,$CA218:$FV218,0),),""))</f>
        <v/>
      </c>
      <c r="Z218" s="134">
        <f t="array" ref="Z218">IF(W218="","",INDIRECT("'GRD-"&amp;Y218&amp;"'!$L$7"))</f>
        <v/>
      </c>
      <c r="AA218" s="85">
        <f t="array" ref="AA218">IFERROR(OFFSET($BZ$11,ROW($B218)-11,MATCH(AA$10,$CA218:$FV218,0),),"")</f>
        <v/>
      </c>
      <c r="AB218" s="85">
        <f>IF(AA218="","",IF(VLOOKUP($B218,INDIRECT("'GRD-"&amp;AC218&amp;"'!$B:$R"),16,FALSE)="","",VLOOKUP($B218,INDIRECT("'GRD-"&amp;AC218&amp;"'!$B:$R"),16,FALSE)))</f>
        <v/>
      </c>
      <c r="AC218" s="130">
        <f t="array" ref="AC218">IF(AA218="","",IFERROR(OFFSET($BZ$11,0,MATCH($AA218,$CA218:$FV218,0),),""))</f>
        <v/>
      </c>
      <c r="AD218" s="131">
        <f t="array" ref="AD218">IF(AA218="","",INDIRECT("'GRD-"&amp;AC218&amp;"'!$L$7"))</f>
        <v/>
      </c>
      <c r="AE218" s="76">
        <f t="array" ref="AE218">IFERROR(OFFSET($BZ$11,ROW($B218)-11,MATCH(AE$10,$CA218:$FV218,0),),"")</f>
        <v/>
      </c>
      <c r="AF218" s="76">
        <f>IF(AE218="","",IF(VLOOKUP($B218,INDIRECT("'GRD-"&amp;AG218&amp;"'!$B:$R"),16,FALSE)="","",VLOOKUP($B218,INDIRECT("'GRD-"&amp;AG218&amp;"'!$B:$R"),16,FALSE)))</f>
        <v/>
      </c>
      <c r="AG218" s="132">
        <f t="array" ref="AG218">IF(AE218="","",IFERROR(OFFSET($BZ$11,0,MATCH($AE218,$CA218:$FV218,0),),""))</f>
        <v/>
      </c>
      <c r="AH218" s="121">
        <f t="array" ref="AH218">IF(AE218="","",INDIRECT("'GRD-"&amp;AG218&amp;"'!$L$7"))</f>
        <v/>
      </c>
      <c r="AI218" s="83">
        <f t="array" ref="AI218">IFERROR(OFFSET($BZ$11,ROW($B218)-11,MATCH(AI$10,$CA218:$FV218,0),),"")</f>
        <v/>
      </c>
      <c r="AJ218" s="83">
        <f>IF(AI218="","",IF(VLOOKUP($B218,INDIRECT("'GRD-"&amp;AK218&amp;"'!$B:$R"),16,FALSE)="","",VLOOKUP($B218,INDIRECT("'GRD-"&amp;AK218&amp;"'!$B:$R"),16,FALSE)))</f>
        <v/>
      </c>
      <c r="AK218" s="128">
        <f t="array" ref="AK218">IF(AI218="","",IFERROR(OFFSET($BZ$11,0,MATCH($AI218,$CA218:$FV218,0),),""))</f>
        <v/>
      </c>
      <c r="AL218" s="133">
        <f t="array" ref="AL218">IF(AI218="","",INDIRECT("'GRD-"&amp;AK218&amp;"'!$L$7"))</f>
        <v/>
      </c>
      <c r="AM218" s="84">
        <f t="array" ref="AM218">IFERROR(OFFSET($BZ$11,ROW($B218)-11,MATCH(AM$10,$CA218:$FV218,0),),"")</f>
        <v/>
      </c>
      <c r="AN218" s="84">
        <f>IF(AM218="","",IF(VLOOKUP($B218,INDIRECT("'GRD-"&amp;AO218&amp;"'!$B:$R"),16,FALSE)="","",VLOOKUP($B218,INDIRECT("'GRD-"&amp;AO218&amp;"'!$B:$R"),16,FALSE)))</f>
        <v/>
      </c>
      <c r="AO218" s="129">
        <f t="array" ref="AO218">IF(AM218="","",IFERROR(OFFSET($BZ$11,0,MATCH($AM218,$CA218:$FV218,0),),""))</f>
        <v/>
      </c>
      <c r="AP218" s="134">
        <f t="array" ref="AP218">IF(AM218="","",INDIRECT("'GRD-"&amp;AO218&amp;"'!$L$7"))</f>
        <v/>
      </c>
      <c r="AQ218" s="85">
        <f t="array" ref="AQ218">IFERROR(OFFSET($BZ$11,ROW($B218)-11,MATCH(AQ$10,$CA218:$FV218,0),),"")</f>
        <v/>
      </c>
      <c r="AR218" s="85">
        <f>IF(AQ218="","",IF(VLOOKUP($B218,INDIRECT("'GRD-"&amp;AS218&amp;"'!$B:$R"),16,FALSE)="","",VLOOKUP($B218,INDIRECT("'GRD-"&amp;AS218&amp;"'!$B:$R"),16,FALSE)))</f>
        <v/>
      </c>
      <c r="AS218" s="130">
        <f t="array" ref="AS218">IF(AQ218="","",IFERROR(OFFSET($BZ$11,0,MATCH($AQ218,$CA218:$FV218,0),),""))</f>
        <v/>
      </c>
      <c r="AT218" s="131">
        <f t="array" ref="AT218">IF(AQ218="","",INDIRECT("'GRD-"&amp;AS218&amp;"'!$L$7"))</f>
        <v/>
      </c>
      <c r="AU218" s="76">
        <f t="array" ref="AU218">IFERROR(OFFSET($BZ$11,ROW($B218)-11,MATCH(AU$10,$CA218:$FV218,0),),"")</f>
        <v/>
      </c>
      <c r="AV218" s="76">
        <f>IF(AU218="","",IF(VLOOKUP($B218,INDIRECT("'GRD-"&amp;AW218&amp;"'!$B:$R"),16,FALSE)="","",VLOOKUP($B218,INDIRECT("'GRD-"&amp;AW218&amp;"'!$B:$R"),16,FALSE)))</f>
        <v/>
      </c>
      <c r="AW218" s="132">
        <f t="array" ref="AW218">IF(AU218="","",IFERROR(OFFSET($BZ$11,0,MATCH($AU218,$CA218:$FV218,0),),""))</f>
        <v/>
      </c>
      <c r="AX218" s="121">
        <f t="array" ref="AX218">IF(AU218="","",INDIRECT("'GRD-"&amp;AW218&amp;"'!$L$7"))</f>
        <v/>
      </c>
      <c r="AY218" s="83">
        <f t="array" ref="AY218">IFERROR(OFFSET($BZ$11,ROW($B218)-11,MATCH(AY$10,$CA218:$FV218,0),),"")</f>
        <v/>
      </c>
      <c r="AZ218" s="83">
        <f>IF(AY218="","",IF(VLOOKUP($B218,INDIRECT("'GRD-"&amp;BA218&amp;"'!$B:$R"),16,FALSE)="","",VLOOKUP($B218,INDIRECT("'GRD-"&amp;BA218&amp;"'!$B:$R"),16,FALSE)))</f>
        <v/>
      </c>
      <c r="BA218" s="128">
        <f t="array" ref="BA218">IF(AY218="","",IFERROR(OFFSET($BZ$11,0,MATCH($AY218,$CA218:$FV218,0),),""))</f>
        <v/>
      </c>
      <c r="BB218" s="133">
        <f t="array" ref="BB218">IF(AY218="","",INDIRECT("'GRD-"&amp;BA218&amp;"'!$L$7"))</f>
        <v/>
      </c>
      <c r="BC218" s="84">
        <f t="array" ref="BC218">IFERROR(OFFSET($BZ$11,ROW($B218)-11,MATCH(BC$10,$CA218:$FV218,0),),"")</f>
        <v/>
      </c>
      <c r="BD218" s="84">
        <f>IF(BC218="","",IF(VLOOKUP($B218,INDIRECT("'GRD-"&amp;BE218&amp;"'!$B:$R"),16,FALSE)="","",VLOOKUP($B218,INDIRECT("'GRD-"&amp;BE218&amp;"'!$B:$R"),16,FALSE)))</f>
        <v/>
      </c>
      <c r="BE218" s="129">
        <f t="array" ref="BE218">IF(BC218="","",IFERROR(OFFSET($BZ$11,0,MATCH($BC218,$CA218:$FV218,0),),""))</f>
        <v/>
      </c>
      <c r="BF218" s="134">
        <f t="array" ref="BF218">IF(BC218="","",INDIRECT("'GRD-"&amp;BE218&amp;"'!$L$7"))</f>
        <v/>
      </c>
      <c r="CA218" s="96">
        <f>IFERROR(VLOOKUP($B218,INDIRECT("'GRD-"&amp;CA$11&amp;"'!B:R"),15,FALSE),"")</f>
        <v/>
      </c>
      <c r="CB218" s="96">
        <f>IFERROR(VLOOKUP($B218,INDIRECT("'GRD-"&amp;CB$11&amp;"'!B:R"),15,FALSE),"")</f>
        <v/>
      </c>
      <c r="CC218" s="96">
        <f>IFERROR(VLOOKUP($B218,INDIRECT("'GRD-"&amp;CC$11&amp;"'!B:R"),15,FALSE),"")</f>
        <v/>
      </c>
      <c r="CD218" s="96">
        <f>IFERROR(VLOOKUP($B218,INDIRECT("'GRD-"&amp;CD$11&amp;"'!B:R"),15,FALSE),"")</f>
        <v/>
      </c>
      <c r="CE218" s="96">
        <f>IFERROR(VLOOKUP($B218,INDIRECT("'GRD-"&amp;CE$11&amp;"'!B:R"),15,FALSE),"")</f>
        <v/>
      </c>
      <c r="CF218" s="96">
        <f>IFERROR(VLOOKUP($B218,INDIRECT("'GRD-"&amp;CF$11&amp;"'!B:R"),15,FALSE),"")</f>
        <v/>
      </c>
      <c r="CG218" s="96">
        <f>IFERROR(VLOOKUP($B218,INDIRECT("'GRD-"&amp;CG$11&amp;"'!B:R"),15,FALSE),"")</f>
        <v/>
      </c>
      <c r="CH218" s="96">
        <f>IFERROR(VLOOKUP($B218,INDIRECT("'GRD-"&amp;CH$11&amp;"'!B:R"),15,FALSE),"")</f>
        <v/>
      </c>
      <c r="CI218" s="96">
        <f>IFERROR(VLOOKUP($B218,INDIRECT("'GRD-"&amp;CI$11&amp;"'!B:R"),15,FALSE),"")</f>
        <v/>
      </c>
      <c r="CJ218" s="96">
        <f>IFERROR(VLOOKUP($B218,INDIRECT("'GRD-"&amp;CJ$11&amp;"'!B:R"),15,FALSE),"")</f>
        <v/>
      </c>
      <c r="CK218" s="96">
        <f>IFERROR(VLOOKUP($B218,INDIRECT("'GRD-"&amp;CK$11&amp;"'!B:R"),15,FALSE),"")</f>
        <v/>
      </c>
      <c r="CL218" s="96">
        <f>IFERROR(VLOOKUP($B218,INDIRECT("'GRD-"&amp;CL$11&amp;"'!B:R"),15,FALSE),"")</f>
        <v/>
      </c>
      <c r="CM218" s="96">
        <f>IFERROR(VLOOKUP($B218,INDIRECT("'GRD-"&amp;CM$11&amp;"'!B:R"),15,FALSE),"")</f>
        <v/>
      </c>
      <c r="CN218" s="96">
        <f>IFERROR(VLOOKUP($B218,INDIRECT("'GRD-"&amp;CN$11&amp;"'!B:R"),15,FALSE),"")</f>
        <v/>
      </c>
      <c r="CO218" s="96">
        <f>IFERROR(VLOOKUP($B218,INDIRECT("'GRD-"&amp;CO$11&amp;"'!B:R"),15,FALSE),"")</f>
        <v/>
      </c>
      <c r="CP218" s="96">
        <f>IFERROR(VLOOKUP($B218,INDIRECT("'GRD-"&amp;CP$11&amp;"'!B:R"),15,FALSE),"")</f>
        <v/>
      </c>
      <c r="CQ218" s="96">
        <f>IFERROR(VLOOKUP($B218,INDIRECT("'GRD-"&amp;CQ$11&amp;"'!B:R"),15,FALSE),"")</f>
        <v/>
      </c>
      <c r="CR218" s="96">
        <f>IFERROR(VLOOKUP($B218,INDIRECT("'GRD-"&amp;CR$11&amp;"'!B:R"),15,FALSE),"")</f>
        <v/>
      </c>
      <c r="CS218" s="96">
        <f>IFERROR(VLOOKUP($B218,INDIRECT("'GRD-"&amp;CS$11&amp;"'!B:R"),15,FALSE),"")</f>
        <v/>
      </c>
      <c r="CT218" s="96">
        <f>IFERROR(VLOOKUP($B218,INDIRECT("'GRD-"&amp;CT$11&amp;"'!B:R"),15,FALSE),"")</f>
        <v/>
      </c>
      <c r="CU218" s="96">
        <f>IFERROR(VLOOKUP($B218,INDIRECT("'GRD-"&amp;CU$11&amp;"'!B:R"),15,FALSE),"")</f>
        <v/>
      </c>
      <c r="CV218" s="96">
        <f>IFERROR(VLOOKUP($B218,INDIRECT("'GRD-"&amp;CV$11&amp;"'!B:R"),15,FALSE),"")</f>
        <v/>
      </c>
      <c r="CW218" s="96">
        <f>IFERROR(VLOOKUP($B218,INDIRECT("'GRD-"&amp;CW$11&amp;"'!B:R"),15,FALSE),"")</f>
        <v/>
      </c>
      <c r="CX218" s="96">
        <f>IFERROR(VLOOKUP($B218,INDIRECT("'GRD-"&amp;CX$11&amp;"'!B:R"),15,FALSE),"")</f>
        <v/>
      </c>
      <c r="CY218" s="96">
        <f>IFERROR(VLOOKUP($B218,INDIRECT("'GRD-"&amp;CY$11&amp;"'!B:R"),15,FALSE),"")</f>
        <v/>
      </c>
      <c r="CZ218" s="96">
        <f>IFERROR(VLOOKUP($B218,INDIRECT("'GRD-"&amp;CZ$11&amp;"'!B:R"),15,FALSE),"")</f>
        <v/>
      </c>
      <c r="DA218" s="96">
        <f>IFERROR(VLOOKUP($B218,INDIRECT("'GRD-"&amp;DA$11&amp;"'!B:R"),15,FALSE),"")</f>
        <v/>
      </c>
      <c r="DB218" s="96">
        <f>IFERROR(VLOOKUP($B218,INDIRECT("'GRD-"&amp;DB$11&amp;"'!B:R"),15,FALSE),"")</f>
        <v/>
      </c>
      <c r="DC218" s="96">
        <f>IFERROR(VLOOKUP($B218,INDIRECT("'GRD-"&amp;DC$11&amp;"'!B:R"),15,FALSE),"")</f>
        <v/>
      </c>
      <c r="DD218" s="96">
        <f>IFERROR(VLOOKUP($B218,INDIRECT("'GRD-"&amp;DD$11&amp;"'!B:R"),15,FALSE),"")</f>
        <v/>
      </c>
      <c r="DE218" s="96">
        <f>IFERROR(VLOOKUP($B218,INDIRECT("'GRD-"&amp;DE$11&amp;"'!B:R"),15,FALSE),"")</f>
        <v/>
      </c>
      <c r="DF218" s="96">
        <f>IFERROR(VLOOKUP($B218,INDIRECT("'GRD-"&amp;DF$11&amp;"'!B:R"),15,FALSE),"")</f>
        <v/>
      </c>
      <c r="DG218" s="96">
        <f>IFERROR(VLOOKUP($B218,INDIRECT("'GRD-"&amp;DG$11&amp;"'!B:R"),15,FALSE),"")</f>
        <v/>
      </c>
      <c r="DH218" s="96">
        <f>IFERROR(VLOOKUP($B218,INDIRECT("'GRD-"&amp;DH$11&amp;"'!B:R"),15,FALSE),"")</f>
        <v/>
      </c>
      <c r="DI218" s="96">
        <f>IFERROR(VLOOKUP($B218,INDIRECT("'GRD-"&amp;DI$11&amp;"'!B:R"),15,FALSE),"")</f>
        <v/>
      </c>
      <c r="DJ218" s="96">
        <f>IFERROR(VLOOKUP($B218,INDIRECT("'GRD-"&amp;DJ$11&amp;"'!B:R"),15,FALSE),"")</f>
        <v/>
      </c>
      <c r="DK218" s="96">
        <f>IFERROR(VLOOKUP($B218,INDIRECT("'GRD-"&amp;DK$11&amp;"'!B:R"),15,FALSE),"")</f>
        <v/>
      </c>
      <c r="DL218" s="96">
        <f>IFERROR(VLOOKUP($B218,INDIRECT("'GRD-"&amp;DL$11&amp;"'!B:R"),15,FALSE),"")</f>
        <v/>
      </c>
      <c r="DM218" s="96">
        <f>IFERROR(VLOOKUP($B218,INDIRECT("'GRD-"&amp;DM$11&amp;"'!B:R"),15,FALSE),"")</f>
        <v/>
      </c>
      <c r="DN218" s="96">
        <f>IFERROR(VLOOKUP($B218,INDIRECT("'GRD-"&amp;DN$11&amp;"'!B:R"),15,FALSE),"")</f>
        <v/>
      </c>
      <c r="DO218" s="96">
        <f>IFERROR(VLOOKUP($B218,INDIRECT("'GRD-"&amp;DO$11&amp;"'!B:R"),15,FALSE),"")</f>
        <v/>
      </c>
      <c r="DP218" s="96">
        <f>IFERROR(VLOOKUP($B218,INDIRECT("'GRD-"&amp;DP$11&amp;"'!B:R"),15,FALSE),"")</f>
        <v/>
      </c>
      <c r="DQ218" s="96">
        <f>IFERROR(VLOOKUP($B218,INDIRECT("'GRD-"&amp;DQ$11&amp;"'!B:R"),15,FALSE),"")</f>
        <v/>
      </c>
      <c r="DR218" s="96">
        <f>IFERROR(VLOOKUP($B218,INDIRECT("'GRD-"&amp;DR$11&amp;"'!B:R"),15,FALSE),"")</f>
        <v/>
      </c>
      <c r="DS218" s="96">
        <f>IFERROR(VLOOKUP($B218,INDIRECT("'GRD-"&amp;DS$11&amp;"'!B:R"),15,FALSE),"")</f>
        <v/>
      </c>
      <c r="DT218" s="96">
        <f>IFERROR(VLOOKUP($B218,INDIRECT("'GRD-"&amp;DT$11&amp;"'!B:R"),15,FALSE),"")</f>
        <v/>
      </c>
      <c r="DU218" s="96">
        <f>IFERROR(VLOOKUP($B218,INDIRECT("'GRD-"&amp;DU$11&amp;"'!B:R"),15,FALSE),"")</f>
        <v/>
      </c>
      <c r="DV218" s="96">
        <f>IFERROR(VLOOKUP($B218,INDIRECT("'GRD-"&amp;DV$11&amp;"'!B:R"),15,FALSE),"")</f>
        <v/>
      </c>
      <c r="DW218" s="96">
        <f>IFERROR(VLOOKUP($B218,INDIRECT("'GRD-"&amp;DW$11&amp;"'!B:R"),15,FALSE),"")</f>
        <v/>
      </c>
      <c r="DX218" s="96">
        <f>IFERROR(VLOOKUP($B218,INDIRECT("'GRD-"&amp;DX$11&amp;"'!B:R"),15,FALSE),"")</f>
        <v/>
      </c>
      <c r="DY218" s="96">
        <f>IFERROR(VLOOKUP($B218,INDIRECT("'GRD-"&amp;DY$11&amp;"'!B:R"),15,FALSE),"")</f>
        <v/>
      </c>
      <c r="DZ218" s="96">
        <f>IFERROR(VLOOKUP($B218,INDIRECT("'GRD-"&amp;DZ$11&amp;"'!B:R"),15,FALSE),"")</f>
        <v/>
      </c>
      <c r="EA218" s="96">
        <f>IFERROR(VLOOKUP($B218,INDIRECT("'GRD-"&amp;EA$11&amp;"'!B:R"),15,FALSE),"")</f>
        <v/>
      </c>
      <c r="EB218" s="96">
        <f>IFERROR(VLOOKUP($B218,INDIRECT("'GRD-"&amp;EB$11&amp;"'!B:R"),15,FALSE),"")</f>
        <v/>
      </c>
      <c r="EC218" s="96">
        <f>IFERROR(VLOOKUP($B218,INDIRECT("'GRD-"&amp;EC$11&amp;"'!B:R"),15,FALSE),"")</f>
        <v/>
      </c>
      <c r="ED218" s="96">
        <f>IFERROR(VLOOKUP($B218,INDIRECT("'GRD-"&amp;ED$11&amp;"'!B:R"),15,FALSE),"")</f>
        <v/>
      </c>
      <c r="EE218" s="96">
        <f>IFERROR(VLOOKUP($B218,INDIRECT("'GRD-"&amp;EE$11&amp;"'!B:R"),15,FALSE),"")</f>
        <v/>
      </c>
      <c r="EF218" s="96">
        <f>IFERROR(VLOOKUP($B218,INDIRECT("'GRD-"&amp;EF$11&amp;"'!B:R"),15,FALSE),"")</f>
        <v/>
      </c>
      <c r="EG218" s="96">
        <f>IFERROR(VLOOKUP($B218,INDIRECT("'GRD-"&amp;EG$11&amp;"'!B:R"),15,FALSE),"")</f>
        <v/>
      </c>
      <c r="EH218" s="96">
        <f>IFERROR(VLOOKUP($B218,INDIRECT("'GRD-"&amp;EH$11&amp;"'!B:R"),15,FALSE),"")</f>
        <v/>
      </c>
      <c r="EI218" s="96">
        <f>IFERROR(VLOOKUP($B218,INDIRECT("'GRD-"&amp;EI$11&amp;"'!B:R"),15,FALSE),"")</f>
        <v/>
      </c>
      <c r="EJ218" s="96">
        <f>IFERROR(VLOOKUP($B218,INDIRECT("'GRD-"&amp;EJ$11&amp;"'!B:R"),15,FALSE),"")</f>
        <v/>
      </c>
      <c r="EK218" s="96">
        <f>IFERROR(VLOOKUP($B218,INDIRECT("'GRD-"&amp;EK$11&amp;"'!B:R"),15,FALSE),"")</f>
        <v/>
      </c>
      <c r="EL218" s="96">
        <f>IFERROR(VLOOKUP($B218,INDIRECT("'GRD-"&amp;EL$11&amp;"'!B:R"),15,FALSE),"")</f>
        <v/>
      </c>
      <c r="EM218" s="96">
        <f>IFERROR(VLOOKUP($B218,INDIRECT("'GRD-"&amp;EM$11&amp;"'!B:R"),15,FALSE),"")</f>
        <v/>
      </c>
      <c r="EN218" s="96">
        <f>IFERROR(VLOOKUP($B218,INDIRECT("'GRD-"&amp;EN$11&amp;"'!B:R"),15,FALSE),"")</f>
        <v/>
      </c>
      <c r="EO218" s="96">
        <f>IFERROR(VLOOKUP($B218,INDIRECT("'GRD-"&amp;EO$11&amp;"'!B:R"),15,FALSE),"")</f>
        <v/>
      </c>
      <c r="EP218" s="96">
        <f>IFERROR(VLOOKUP($B218,INDIRECT("'GRD-"&amp;EP$11&amp;"'!B:R"),15,FALSE),"")</f>
        <v/>
      </c>
      <c r="EQ218" s="96">
        <f>IFERROR(VLOOKUP($B218,INDIRECT("'GRD-"&amp;EQ$11&amp;"'!B:R"),15,FALSE),"")</f>
        <v/>
      </c>
      <c r="ER218" s="96">
        <f>IFERROR(VLOOKUP($B218,INDIRECT("'GRD-"&amp;ER$11&amp;"'!B:R"),15,FALSE),"")</f>
        <v/>
      </c>
      <c r="ES218" s="96">
        <f>IFERROR(VLOOKUP($B218,INDIRECT("'GRD-"&amp;ES$11&amp;"'!B:R"),15,FALSE),"")</f>
        <v/>
      </c>
      <c r="ET218" s="96">
        <f>IFERROR(VLOOKUP($B218,INDIRECT("'GRD-"&amp;ET$11&amp;"'!B:R"),15,FALSE),"")</f>
        <v/>
      </c>
      <c r="EU218" s="96">
        <f>IFERROR(VLOOKUP($B218,INDIRECT("'GRD-"&amp;EU$11&amp;"'!B:R"),15,FALSE),"")</f>
        <v/>
      </c>
      <c r="EV218" s="96">
        <f>IFERROR(VLOOKUP($B218,INDIRECT("'GRD-"&amp;EV$11&amp;"'!B:R"),15,FALSE),"")</f>
        <v/>
      </c>
      <c r="EW218" s="96">
        <f>IFERROR(VLOOKUP($B218,INDIRECT("'GRD-"&amp;EW$11&amp;"'!B:R"),15,FALSE),"")</f>
        <v/>
      </c>
      <c r="EX218" s="96">
        <f>IFERROR(VLOOKUP($B218,INDIRECT("'GRD-"&amp;EX$11&amp;"'!B:R"),15,FALSE),"")</f>
        <v/>
      </c>
      <c r="EY218" s="96">
        <f>IFERROR(VLOOKUP($B218,INDIRECT("'GRD-"&amp;EY$11&amp;"'!B:R"),15,FALSE),"")</f>
        <v/>
      </c>
      <c r="EZ218" s="96">
        <f>IFERROR(VLOOKUP($B218,INDIRECT("'GRD-"&amp;EZ$11&amp;"'!B:R"),15,FALSE),"")</f>
        <v/>
      </c>
      <c r="FA218" s="96">
        <f>IFERROR(VLOOKUP($B218,INDIRECT("'GRD-"&amp;FA$11&amp;"'!B:R"),15,FALSE),"")</f>
        <v/>
      </c>
      <c r="FB218" s="96">
        <f>IFERROR(VLOOKUP($B218,INDIRECT("'GRD-"&amp;FB$11&amp;"'!B:R"),15,FALSE),"")</f>
        <v/>
      </c>
      <c r="FC218" s="96">
        <f>IFERROR(VLOOKUP($B218,INDIRECT("'GRD-"&amp;FC$11&amp;"'!B:R"),15,FALSE),"")</f>
        <v/>
      </c>
      <c r="FD218" s="96">
        <f>IFERROR(VLOOKUP($B218,INDIRECT("'GRD-"&amp;FD$11&amp;"'!B:R"),15,FALSE),"")</f>
        <v/>
      </c>
      <c r="FE218" s="96">
        <f>IFERROR(VLOOKUP($B218,INDIRECT("'GRD-"&amp;FE$11&amp;"'!B:R"),15,FALSE),"")</f>
        <v/>
      </c>
      <c r="FF218" s="96">
        <f>IFERROR(VLOOKUP($B218,INDIRECT("'GRD-"&amp;FF$11&amp;"'!B:R"),15,FALSE),"")</f>
        <v/>
      </c>
      <c r="FG218" s="96">
        <f>IFERROR(VLOOKUP($B218,INDIRECT("'GRD-"&amp;FG$11&amp;"'!B:R"),15,FALSE),"")</f>
        <v/>
      </c>
      <c r="FH218" s="96">
        <f>IFERROR(VLOOKUP($B218,INDIRECT("'GRD-"&amp;FH$11&amp;"'!B:R"),15,FALSE),"")</f>
        <v/>
      </c>
      <c r="FI218" s="96">
        <f>IFERROR(VLOOKUP($B218,INDIRECT("'GRD-"&amp;FI$11&amp;"'!B:R"),15,FALSE),"")</f>
        <v/>
      </c>
      <c r="FJ218" s="96">
        <f>IFERROR(VLOOKUP($B218,INDIRECT("'GRD-"&amp;FJ$11&amp;"'!B:R"),15,FALSE),"")</f>
        <v/>
      </c>
      <c r="FK218" s="96">
        <f>IFERROR(VLOOKUP($B218,INDIRECT("'GRD-"&amp;FK$11&amp;"'!B:R"),15,FALSE),"")</f>
        <v/>
      </c>
      <c r="FL218" s="96">
        <f>IFERROR(VLOOKUP($B218,INDIRECT("'GRD-"&amp;FL$11&amp;"'!B:R"),15,FALSE),"")</f>
        <v/>
      </c>
      <c r="FM218" s="96">
        <f>IFERROR(VLOOKUP($B218,INDIRECT("'GRD-"&amp;FM$11&amp;"'!B:R"),15,FALSE),"")</f>
        <v/>
      </c>
      <c r="FN218" s="96">
        <f>IFERROR(VLOOKUP($B218,INDIRECT("'GRD-"&amp;FN$11&amp;"'!B:R"),15,FALSE),"")</f>
        <v/>
      </c>
      <c r="FO218" s="96">
        <f>IFERROR(VLOOKUP($B218,INDIRECT("'GRD-"&amp;FO$11&amp;"'!B:R"),15,FALSE),"")</f>
        <v/>
      </c>
      <c r="FP218" s="96">
        <f>IFERROR(VLOOKUP($B218,INDIRECT("'GRD-"&amp;FP$11&amp;"'!B:R"),15,FALSE),"")</f>
        <v/>
      </c>
      <c r="FQ218" s="96">
        <f>IFERROR(VLOOKUP($B218,INDIRECT("'GRD-"&amp;FQ$11&amp;"'!B:R"),15,FALSE),"")</f>
        <v/>
      </c>
      <c r="FR218" s="96">
        <f>IFERROR(VLOOKUP($B218,INDIRECT("'GRD-"&amp;FR$11&amp;"'!B:R"),15,FALSE),"")</f>
        <v/>
      </c>
      <c r="FS218" s="96">
        <f>IFERROR(VLOOKUP($B218,INDIRECT("'GRD-"&amp;FS$11&amp;"'!B:R"),15,FALSE),"")</f>
        <v/>
      </c>
      <c r="FT218" s="96">
        <f>IFERROR(VLOOKUP($B218,INDIRECT("'GRD-"&amp;FT$11&amp;"'!B:R"),15,FALSE),"")</f>
        <v/>
      </c>
      <c r="FU218" s="96">
        <f>IFERROR(VLOOKUP($B218,INDIRECT("'GRD-"&amp;FU$11&amp;"'!B:R"),15,FALSE),"")</f>
        <v/>
      </c>
      <c r="FV218" s="96">
        <f>IFERROR(VLOOKUP($B218,INDIRECT("'GRD-"&amp;FV$11&amp;"'!B:R"),15,FALSE),"")</f>
        <v/>
      </c>
    </row>
    <row r="219">
      <c r="B219" s="85" t="n"/>
      <c r="C219" s="93" t="n"/>
      <c r="D219" s="73">
        <f>IF(K219="","",MAX($CA219:$FV219))</f>
        <v/>
      </c>
      <c r="E219" s="74">
        <f t="array" ref="E219">IF($K219="","",OFFSET($A$1,ROW($B219)-1,11+$D219*4,))</f>
        <v/>
      </c>
      <c r="F219" s="74">
        <f t="array" ref="F219">IF($K219="","",OFFSET($A$1,ROW($B219)-1,12+$D219*4,))</f>
        <v/>
      </c>
      <c r="G219" s="118">
        <f t="array" ref="G219">IF($K219="","",OFFSET($A$1,ROW($B219)-1,13+$D219*4,))</f>
        <v/>
      </c>
      <c r="H219" s="81" t="n"/>
      <c r="I219" s="82" t="n"/>
      <c r="J219" s="75">
        <f>IF(I219="A4",H219/8,IF(I219="A3",H219/4,IF(I219="A2",H219/2,IF(I219="A1",H219/1,IF(I219="A0",H219*2,"")))))</f>
        <v/>
      </c>
      <c r="K219" s="68">
        <f t="array" ref="K219">IFERROR(OFFSET($BZ$11,ROW($B219)-11,MATCH(K$10,$CA219:$FV219,0),),"")</f>
        <v/>
      </c>
      <c r="L219" s="85">
        <f>IF(K219="","",IF(VLOOKUP($B219,INDIRECT("'GRD-"&amp;M219&amp;"'!$B:$R"),16,FALSE)="","",VLOOKUP($B219,INDIRECT("'GRD-"&amp;M219&amp;"'!$B:$R"),16,FALSE)))</f>
        <v/>
      </c>
      <c r="M219" s="130">
        <f t="array" ref="M219">IF(K219="","",IFERROR(OFFSET($BZ$11,0,MATCH($K219,$CA219:$FV219,0),),""))</f>
        <v/>
      </c>
      <c r="N219" s="119">
        <f t="array" ref="N219">IF(K219="","",INDIRECT("'GRD-"&amp;M219&amp;"'!$L$7"))</f>
        <v/>
      </c>
      <c r="O219" s="76">
        <f t="array" ref="O219">IFERROR(OFFSET($BZ$11,ROW($B219)-11,MATCH(O$10,$CA219:$FV219,0),),"")</f>
        <v/>
      </c>
      <c r="P219" s="76">
        <f>IF(O219="","",IF(VLOOKUP($B219,INDIRECT("'GRD-"&amp;Q219&amp;"'!$B:$R"),16,FALSE)="","",VLOOKUP($B219,INDIRECT("'GRD-"&amp;Q219&amp;"'!$B:$R"),16,FALSE)))</f>
        <v/>
      </c>
      <c r="Q219" s="132">
        <f t="array" ref="Q219">IF(O219="","",IFERROR(OFFSET($BZ$11,0,MATCH($O219,$CA219:$FV219,0),),""))</f>
        <v/>
      </c>
      <c r="R219" s="121">
        <f t="array" ref="R219">IF(O219="","",INDIRECT("'GRD-"&amp;Q219&amp;"'!$L$7"))</f>
        <v/>
      </c>
      <c r="S219" s="83">
        <f t="array" ref="S219">IFERROR(OFFSET($BZ$11,ROW($B219)-11,MATCH(S$10,$CA219:$FV219,0),),"")</f>
        <v/>
      </c>
      <c r="T219" s="83">
        <f>IF(S219="","",IF(VLOOKUP($B219,INDIRECT("'GRD-"&amp;U219&amp;"'!$B:$R"),16,FALSE)="","",VLOOKUP($B219,INDIRECT("'GRD-"&amp;U219&amp;"'!$B:$R"),16,FALSE)))</f>
        <v/>
      </c>
      <c r="U219" s="128">
        <f t="array" ref="U219">IF(S219="","",IFERROR(OFFSET($BZ$11,0,MATCH($S219,$CA219:$FV219,0),),""))</f>
        <v/>
      </c>
      <c r="V219" s="133">
        <f t="array" ref="V219">IF(S219="","",INDIRECT("'GRD-"&amp;U219&amp;"'!$L$7"))</f>
        <v/>
      </c>
      <c r="W219" s="84">
        <f t="array" ref="W219">IFERROR(OFFSET($BZ$11,ROW($B219)-11,MATCH(W$10,$CA219:$FV219,0),),"")</f>
        <v/>
      </c>
      <c r="X219" s="84">
        <f>IF(W219="","",IF(VLOOKUP($B219,INDIRECT("'GRD-"&amp;Y219&amp;"'!$B:$R"),16,FALSE)="","",VLOOKUP($B219,INDIRECT("'GRD-"&amp;Y219&amp;"'!$B:$R"),16,FALSE)))</f>
        <v/>
      </c>
      <c r="Y219" s="129">
        <f t="array" ref="Y219">IF(W219="","",IFERROR(OFFSET($BZ$11,0,MATCH($W219,$CA219:$FV219,0),),""))</f>
        <v/>
      </c>
      <c r="Z219" s="134">
        <f t="array" ref="Z219">IF(W219="","",INDIRECT("'GRD-"&amp;Y219&amp;"'!$L$7"))</f>
        <v/>
      </c>
      <c r="AA219" s="85">
        <f t="array" ref="AA219">IFERROR(OFFSET($BZ$11,ROW($B219)-11,MATCH(AA$10,$CA219:$FV219,0),),"")</f>
        <v/>
      </c>
      <c r="AB219" s="85">
        <f>IF(AA219="","",IF(VLOOKUP($B219,INDIRECT("'GRD-"&amp;AC219&amp;"'!$B:$R"),16,FALSE)="","",VLOOKUP($B219,INDIRECT("'GRD-"&amp;AC219&amp;"'!$B:$R"),16,FALSE)))</f>
        <v/>
      </c>
      <c r="AC219" s="130">
        <f t="array" ref="AC219">IF(AA219="","",IFERROR(OFFSET($BZ$11,0,MATCH($AA219,$CA219:$FV219,0),),""))</f>
        <v/>
      </c>
      <c r="AD219" s="131">
        <f t="array" ref="AD219">IF(AA219="","",INDIRECT("'GRD-"&amp;AC219&amp;"'!$L$7"))</f>
        <v/>
      </c>
      <c r="AE219" s="76">
        <f t="array" ref="AE219">IFERROR(OFFSET($BZ$11,ROW($B219)-11,MATCH(AE$10,$CA219:$FV219,0),),"")</f>
        <v/>
      </c>
      <c r="AF219" s="76">
        <f>IF(AE219="","",IF(VLOOKUP($B219,INDIRECT("'GRD-"&amp;AG219&amp;"'!$B:$R"),16,FALSE)="","",VLOOKUP($B219,INDIRECT("'GRD-"&amp;AG219&amp;"'!$B:$R"),16,FALSE)))</f>
        <v/>
      </c>
      <c r="AG219" s="132">
        <f t="array" ref="AG219">IF(AE219="","",IFERROR(OFFSET($BZ$11,0,MATCH($AE219,$CA219:$FV219,0),),""))</f>
        <v/>
      </c>
      <c r="AH219" s="121">
        <f t="array" ref="AH219">IF(AE219="","",INDIRECT("'GRD-"&amp;AG219&amp;"'!$L$7"))</f>
        <v/>
      </c>
      <c r="AI219" s="83">
        <f t="array" ref="AI219">IFERROR(OFFSET($BZ$11,ROW($B219)-11,MATCH(AI$10,$CA219:$FV219,0),),"")</f>
        <v/>
      </c>
      <c r="AJ219" s="83">
        <f>IF(AI219="","",IF(VLOOKUP($B219,INDIRECT("'GRD-"&amp;AK219&amp;"'!$B:$R"),16,FALSE)="","",VLOOKUP($B219,INDIRECT("'GRD-"&amp;AK219&amp;"'!$B:$R"),16,FALSE)))</f>
        <v/>
      </c>
      <c r="AK219" s="128">
        <f t="array" ref="AK219">IF(AI219="","",IFERROR(OFFSET($BZ$11,0,MATCH($AI219,$CA219:$FV219,0),),""))</f>
        <v/>
      </c>
      <c r="AL219" s="133">
        <f t="array" ref="AL219">IF(AI219="","",INDIRECT("'GRD-"&amp;AK219&amp;"'!$L$7"))</f>
        <v/>
      </c>
      <c r="AM219" s="84">
        <f t="array" ref="AM219">IFERROR(OFFSET($BZ$11,ROW($B219)-11,MATCH(AM$10,$CA219:$FV219,0),),"")</f>
        <v/>
      </c>
      <c r="AN219" s="84">
        <f>IF(AM219="","",IF(VLOOKUP($B219,INDIRECT("'GRD-"&amp;AO219&amp;"'!$B:$R"),16,FALSE)="","",VLOOKUP($B219,INDIRECT("'GRD-"&amp;AO219&amp;"'!$B:$R"),16,FALSE)))</f>
        <v/>
      </c>
      <c r="AO219" s="129">
        <f t="array" ref="AO219">IF(AM219="","",IFERROR(OFFSET($BZ$11,0,MATCH($AM219,$CA219:$FV219,0),),""))</f>
        <v/>
      </c>
      <c r="AP219" s="134">
        <f t="array" ref="AP219">IF(AM219="","",INDIRECT("'GRD-"&amp;AO219&amp;"'!$L$7"))</f>
        <v/>
      </c>
      <c r="AQ219" s="85">
        <f t="array" ref="AQ219">IFERROR(OFFSET($BZ$11,ROW($B219)-11,MATCH(AQ$10,$CA219:$FV219,0),),"")</f>
        <v/>
      </c>
      <c r="AR219" s="85">
        <f>IF(AQ219="","",IF(VLOOKUP($B219,INDIRECT("'GRD-"&amp;AS219&amp;"'!$B:$R"),16,FALSE)="","",VLOOKUP($B219,INDIRECT("'GRD-"&amp;AS219&amp;"'!$B:$R"),16,FALSE)))</f>
        <v/>
      </c>
      <c r="AS219" s="130">
        <f t="array" ref="AS219">IF(AQ219="","",IFERROR(OFFSET($BZ$11,0,MATCH($AQ219,$CA219:$FV219,0),),""))</f>
        <v/>
      </c>
      <c r="AT219" s="131">
        <f t="array" ref="AT219">IF(AQ219="","",INDIRECT("'GRD-"&amp;AS219&amp;"'!$L$7"))</f>
        <v/>
      </c>
      <c r="AU219" s="76">
        <f t="array" ref="AU219">IFERROR(OFFSET($BZ$11,ROW($B219)-11,MATCH(AU$10,$CA219:$FV219,0),),"")</f>
        <v/>
      </c>
      <c r="AV219" s="76">
        <f>IF(AU219="","",IF(VLOOKUP($B219,INDIRECT("'GRD-"&amp;AW219&amp;"'!$B:$R"),16,FALSE)="","",VLOOKUP($B219,INDIRECT("'GRD-"&amp;AW219&amp;"'!$B:$R"),16,FALSE)))</f>
        <v/>
      </c>
      <c r="AW219" s="132">
        <f t="array" ref="AW219">IF(AU219="","",IFERROR(OFFSET($BZ$11,0,MATCH($AU219,$CA219:$FV219,0),),""))</f>
        <v/>
      </c>
      <c r="AX219" s="121">
        <f t="array" ref="AX219">IF(AU219="","",INDIRECT("'GRD-"&amp;AW219&amp;"'!$L$7"))</f>
        <v/>
      </c>
      <c r="AY219" s="83">
        <f t="array" ref="AY219">IFERROR(OFFSET($BZ$11,ROW($B219)-11,MATCH(AY$10,$CA219:$FV219,0),),"")</f>
        <v/>
      </c>
      <c r="AZ219" s="83">
        <f>IF(AY219="","",IF(VLOOKUP($B219,INDIRECT("'GRD-"&amp;BA219&amp;"'!$B:$R"),16,FALSE)="","",VLOOKUP($B219,INDIRECT("'GRD-"&amp;BA219&amp;"'!$B:$R"),16,FALSE)))</f>
        <v/>
      </c>
      <c r="BA219" s="128">
        <f t="array" ref="BA219">IF(AY219="","",IFERROR(OFFSET($BZ$11,0,MATCH($AY219,$CA219:$FV219,0),),""))</f>
        <v/>
      </c>
      <c r="BB219" s="133">
        <f t="array" ref="BB219">IF(AY219="","",INDIRECT("'GRD-"&amp;BA219&amp;"'!$L$7"))</f>
        <v/>
      </c>
      <c r="BC219" s="84">
        <f t="array" ref="BC219">IFERROR(OFFSET($BZ$11,ROW($B219)-11,MATCH(BC$10,$CA219:$FV219,0),),"")</f>
        <v/>
      </c>
      <c r="BD219" s="84">
        <f>IF(BC219="","",IF(VLOOKUP($B219,INDIRECT("'GRD-"&amp;BE219&amp;"'!$B:$R"),16,FALSE)="","",VLOOKUP($B219,INDIRECT("'GRD-"&amp;BE219&amp;"'!$B:$R"),16,FALSE)))</f>
        <v/>
      </c>
      <c r="BE219" s="129">
        <f t="array" ref="BE219">IF(BC219="","",IFERROR(OFFSET($BZ$11,0,MATCH($BC219,$CA219:$FV219,0),),""))</f>
        <v/>
      </c>
      <c r="BF219" s="134">
        <f t="array" ref="BF219">IF(BC219="","",INDIRECT("'GRD-"&amp;BE219&amp;"'!$L$7"))</f>
        <v/>
      </c>
      <c r="CA219" s="96">
        <f>IFERROR(VLOOKUP($B219,INDIRECT("'GRD-"&amp;CA$11&amp;"'!B:R"),15,FALSE),"")</f>
        <v/>
      </c>
      <c r="CB219" s="96">
        <f>IFERROR(VLOOKUP($B219,INDIRECT("'GRD-"&amp;CB$11&amp;"'!B:R"),15,FALSE),"")</f>
        <v/>
      </c>
      <c r="CC219" s="96">
        <f>IFERROR(VLOOKUP($B219,INDIRECT("'GRD-"&amp;CC$11&amp;"'!B:R"),15,FALSE),"")</f>
        <v/>
      </c>
      <c r="CD219" s="96">
        <f>IFERROR(VLOOKUP($B219,INDIRECT("'GRD-"&amp;CD$11&amp;"'!B:R"),15,FALSE),"")</f>
        <v/>
      </c>
      <c r="CE219" s="96">
        <f>IFERROR(VLOOKUP($B219,INDIRECT("'GRD-"&amp;CE$11&amp;"'!B:R"),15,FALSE),"")</f>
        <v/>
      </c>
      <c r="CF219" s="96">
        <f>IFERROR(VLOOKUP($B219,INDIRECT("'GRD-"&amp;CF$11&amp;"'!B:R"),15,FALSE),"")</f>
        <v/>
      </c>
      <c r="CG219" s="96">
        <f>IFERROR(VLOOKUP($B219,INDIRECT("'GRD-"&amp;CG$11&amp;"'!B:R"),15,FALSE),"")</f>
        <v/>
      </c>
      <c r="CH219" s="96">
        <f>IFERROR(VLOOKUP($B219,INDIRECT("'GRD-"&amp;CH$11&amp;"'!B:R"),15,FALSE),"")</f>
        <v/>
      </c>
      <c r="CI219" s="96">
        <f>IFERROR(VLOOKUP($B219,INDIRECT("'GRD-"&amp;CI$11&amp;"'!B:R"),15,FALSE),"")</f>
        <v/>
      </c>
      <c r="CJ219" s="96">
        <f>IFERROR(VLOOKUP($B219,INDIRECT("'GRD-"&amp;CJ$11&amp;"'!B:R"),15,FALSE),"")</f>
        <v/>
      </c>
      <c r="CK219" s="96">
        <f>IFERROR(VLOOKUP($B219,INDIRECT("'GRD-"&amp;CK$11&amp;"'!B:R"),15,FALSE),"")</f>
        <v/>
      </c>
      <c r="CL219" s="96">
        <f>IFERROR(VLOOKUP($B219,INDIRECT("'GRD-"&amp;CL$11&amp;"'!B:R"),15,FALSE),"")</f>
        <v/>
      </c>
      <c r="CM219" s="96">
        <f>IFERROR(VLOOKUP($B219,INDIRECT("'GRD-"&amp;CM$11&amp;"'!B:R"),15,FALSE),"")</f>
        <v/>
      </c>
      <c r="CN219" s="96">
        <f>IFERROR(VLOOKUP($B219,INDIRECT("'GRD-"&amp;CN$11&amp;"'!B:R"),15,FALSE),"")</f>
        <v/>
      </c>
      <c r="CO219" s="96">
        <f>IFERROR(VLOOKUP($B219,INDIRECT("'GRD-"&amp;CO$11&amp;"'!B:R"),15,FALSE),"")</f>
        <v/>
      </c>
      <c r="CP219" s="96">
        <f>IFERROR(VLOOKUP($B219,INDIRECT("'GRD-"&amp;CP$11&amp;"'!B:R"),15,FALSE),"")</f>
        <v/>
      </c>
      <c r="CQ219" s="96">
        <f>IFERROR(VLOOKUP($B219,INDIRECT("'GRD-"&amp;CQ$11&amp;"'!B:R"),15,FALSE),"")</f>
        <v/>
      </c>
      <c r="CR219" s="96">
        <f>IFERROR(VLOOKUP($B219,INDIRECT("'GRD-"&amp;CR$11&amp;"'!B:R"),15,FALSE),"")</f>
        <v/>
      </c>
      <c r="CS219" s="96">
        <f>IFERROR(VLOOKUP($B219,INDIRECT("'GRD-"&amp;CS$11&amp;"'!B:R"),15,FALSE),"")</f>
        <v/>
      </c>
      <c r="CT219" s="96">
        <f>IFERROR(VLOOKUP($B219,INDIRECT("'GRD-"&amp;CT$11&amp;"'!B:R"),15,FALSE),"")</f>
        <v/>
      </c>
      <c r="CU219" s="96">
        <f>IFERROR(VLOOKUP($B219,INDIRECT("'GRD-"&amp;CU$11&amp;"'!B:R"),15,FALSE),"")</f>
        <v/>
      </c>
      <c r="CV219" s="96">
        <f>IFERROR(VLOOKUP($B219,INDIRECT("'GRD-"&amp;CV$11&amp;"'!B:R"),15,FALSE),"")</f>
        <v/>
      </c>
      <c r="CW219" s="96">
        <f>IFERROR(VLOOKUP($B219,INDIRECT("'GRD-"&amp;CW$11&amp;"'!B:R"),15,FALSE),"")</f>
        <v/>
      </c>
      <c r="CX219" s="96">
        <f>IFERROR(VLOOKUP($B219,INDIRECT("'GRD-"&amp;CX$11&amp;"'!B:R"),15,FALSE),"")</f>
        <v/>
      </c>
      <c r="CY219" s="96">
        <f>IFERROR(VLOOKUP($B219,INDIRECT("'GRD-"&amp;CY$11&amp;"'!B:R"),15,FALSE),"")</f>
        <v/>
      </c>
      <c r="CZ219" s="96">
        <f>IFERROR(VLOOKUP($B219,INDIRECT("'GRD-"&amp;CZ$11&amp;"'!B:R"),15,FALSE),"")</f>
        <v/>
      </c>
      <c r="DA219" s="96">
        <f>IFERROR(VLOOKUP($B219,INDIRECT("'GRD-"&amp;DA$11&amp;"'!B:R"),15,FALSE),"")</f>
        <v/>
      </c>
      <c r="DB219" s="96">
        <f>IFERROR(VLOOKUP($B219,INDIRECT("'GRD-"&amp;DB$11&amp;"'!B:R"),15,FALSE),"")</f>
        <v/>
      </c>
      <c r="DC219" s="96">
        <f>IFERROR(VLOOKUP($B219,INDIRECT("'GRD-"&amp;DC$11&amp;"'!B:R"),15,FALSE),"")</f>
        <v/>
      </c>
      <c r="DD219" s="96">
        <f>IFERROR(VLOOKUP($B219,INDIRECT("'GRD-"&amp;DD$11&amp;"'!B:R"),15,FALSE),"")</f>
        <v/>
      </c>
      <c r="DE219" s="96">
        <f>IFERROR(VLOOKUP($B219,INDIRECT("'GRD-"&amp;DE$11&amp;"'!B:R"),15,FALSE),"")</f>
        <v/>
      </c>
      <c r="DF219" s="96">
        <f>IFERROR(VLOOKUP($B219,INDIRECT("'GRD-"&amp;DF$11&amp;"'!B:R"),15,FALSE),"")</f>
        <v/>
      </c>
      <c r="DG219" s="96">
        <f>IFERROR(VLOOKUP($B219,INDIRECT("'GRD-"&amp;DG$11&amp;"'!B:R"),15,FALSE),"")</f>
        <v/>
      </c>
      <c r="DH219" s="96">
        <f>IFERROR(VLOOKUP($B219,INDIRECT("'GRD-"&amp;DH$11&amp;"'!B:R"),15,FALSE),"")</f>
        <v/>
      </c>
      <c r="DI219" s="96">
        <f>IFERROR(VLOOKUP($B219,INDIRECT("'GRD-"&amp;DI$11&amp;"'!B:R"),15,FALSE),"")</f>
        <v/>
      </c>
      <c r="DJ219" s="96">
        <f>IFERROR(VLOOKUP($B219,INDIRECT("'GRD-"&amp;DJ$11&amp;"'!B:R"),15,FALSE),"")</f>
        <v/>
      </c>
      <c r="DK219" s="96">
        <f>IFERROR(VLOOKUP($B219,INDIRECT("'GRD-"&amp;DK$11&amp;"'!B:R"),15,FALSE),"")</f>
        <v/>
      </c>
      <c r="DL219" s="96">
        <f>IFERROR(VLOOKUP($B219,INDIRECT("'GRD-"&amp;DL$11&amp;"'!B:R"),15,FALSE),"")</f>
        <v/>
      </c>
      <c r="DM219" s="96">
        <f>IFERROR(VLOOKUP($B219,INDIRECT("'GRD-"&amp;DM$11&amp;"'!B:R"),15,FALSE),"")</f>
        <v/>
      </c>
      <c r="DN219" s="96">
        <f>IFERROR(VLOOKUP($B219,INDIRECT("'GRD-"&amp;DN$11&amp;"'!B:R"),15,FALSE),"")</f>
        <v/>
      </c>
      <c r="DO219" s="96">
        <f>IFERROR(VLOOKUP($B219,INDIRECT("'GRD-"&amp;DO$11&amp;"'!B:R"),15,FALSE),"")</f>
        <v/>
      </c>
      <c r="DP219" s="96">
        <f>IFERROR(VLOOKUP($B219,INDIRECT("'GRD-"&amp;DP$11&amp;"'!B:R"),15,FALSE),"")</f>
        <v/>
      </c>
      <c r="DQ219" s="96">
        <f>IFERROR(VLOOKUP($B219,INDIRECT("'GRD-"&amp;DQ$11&amp;"'!B:R"),15,FALSE),"")</f>
        <v/>
      </c>
      <c r="DR219" s="96">
        <f>IFERROR(VLOOKUP($B219,INDIRECT("'GRD-"&amp;DR$11&amp;"'!B:R"),15,FALSE),"")</f>
        <v/>
      </c>
      <c r="DS219" s="96">
        <f>IFERROR(VLOOKUP($B219,INDIRECT("'GRD-"&amp;DS$11&amp;"'!B:R"),15,FALSE),"")</f>
        <v/>
      </c>
      <c r="DT219" s="96">
        <f>IFERROR(VLOOKUP($B219,INDIRECT("'GRD-"&amp;DT$11&amp;"'!B:R"),15,FALSE),"")</f>
        <v/>
      </c>
      <c r="DU219" s="96">
        <f>IFERROR(VLOOKUP($B219,INDIRECT("'GRD-"&amp;DU$11&amp;"'!B:R"),15,FALSE),"")</f>
        <v/>
      </c>
      <c r="DV219" s="96">
        <f>IFERROR(VLOOKUP($B219,INDIRECT("'GRD-"&amp;DV$11&amp;"'!B:R"),15,FALSE),"")</f>
        <v/>
      </c>
      <c r="DW219" s="96">
        <f>IFERROR(VLOOKUP($B219,INDIRECT("'GRD-"&amp;DW$11&amp;"'!B:R"),15,FALSE),"")</f>
        <v/>
      </c>
      <c r="DX219" s="96">
        <f>IFERROR(VLOOKUP($B219,INDIRECT("'GRD-"&amp;DX$11&amp;"'!B:R"),15,FALSE),"")</f>
        <v/>
      </c>
      <c r="DY219" s="96">
        <f>IFERROR(VLOOKUP($B219,INDIRECT("'GRD-"&amp;DY$11&amp;"'!B:R"),15,FALSE),"")</f>
        <v/>
      </c>
      <c r="DZ219" s="96">
        <f>IFERROR(VLOOKUP($B219,INDIRECT("'GRD-"&amp;DZ$11&amp;"'!B:R"),15,FALSE),"")</f>
        <v/>
      </c>
      <c r="EA219" s="96">
        <f>IFERROR(VLOOKUP($B219,INDIRECT("'GRD-"&amp;EA$11&amp;"'!B:R"),15,FALSE),"")</f>
        <v/>
      </c>
      <c r="EB219" s="96">
        <f>IFERROR(VLOOKUP($B219,INDIRECT("'GRD-"&amp;EB$11&amp;"'!B:R"),15,FALSE),"")</f>
        <v/>
      </c>
      <c r="EC219" s="96">
        <f>IFERROR(VLOOKUP($B219,INDIRECT("'GRD-"&amp;EC$11&amp;"'!B:R"),15,FALSE),"")</f>
        <v/>
      </c>
      <c r="ED219" s="96">
        <f>IFERROR(VLOOKUP($B219,INDIRECT("'GRD-"&amp;ED$11&amp;"'!B:R"),15,FALSE),"")</f>
        <v/>
      </c>
      <c r="EE219" s="96">
        <f>IFERROR(VLOOKUP($B219,INDIRECT("'GRD-"&amp;EE$11&amp;"'!B:R"),15,FALSE),"")</f>
        <v/>
      </c>
      <c r="EF219" s="96">
        <f>IFERROR(VLOOKUP($B219,INDIRECT("'GRD-"&amp;EF$11&amp;"'!B:R"),15,FALSE),"")</f>
        <v/>
      </c>
      <c r="EG219" s="96">
        <f>IFERROR(VLOOKUP($B219,INDIRECT("'GRD-"&amp;EG$11&amp;"'!B:R"),15,FALSE),"")</f>
        <v/>
      </c>
      <c r="EH219" s="96">
        <f>IFERROR(VLOOKUP($B219,INDIRECT("'GRD-"&amp;EH$11&amp;"'!B:R"),15,FALSE),"")</f>
        <v/>
      </c>
      <c r="EI219" s="96">
        <f>IFERROR(VLOOKUP($B219,INDIRECT("'GRD-"&amp;EI$11&amp;"'!B:R"),15,FALSE),"")</f>
        <v/>
      </c>
      <c r="EJ219" s="96">
        <f>IFERROR(VLOOKUP($B219,INDIRECT("'GRD-"&amp;EJ$11&amp;"'!B:R"),15,FALSE),"")</f>
        <v/>
      </c>
      <c r="EK219" s="96">
        <f>IFERROR(VLOOKUP($B219,INDIRECT("'GRD-"&amp;EK$11&amp;"'!B:R"),15,FALSE),"")</f>
        <v/>
      </c>
      <c r="EL219" s="96">
        <f>IFERROR(VLOOKUP($B219,INDIRECT("'GRD-"&amp;EL$11&amp;"'!B:R"),15,FALSE),"")</f>
        <v/>
      </c>
      <c r="EM219" s="96">
        <f>IFERROR(VLOOKUP($B219,INDIRECT("'GRD-"&amp;EM$11&amp;"'!B:R"),15,FALSE),"")</f>
        <v/>
      </c>
      <c r="EN219" s="96">
        <f>IFERROR(VLOOKUP($B219,INDIRECT("'GRD-"&amp;EN$11&amp;"'!B:R"),15,FALSE),"")</f>
        <v/>
      </c>
      <c r="EO219" s="96">
        <f>IFERROR(VLOOKUP($B219,INDIRECT("'GRD-"&amp;EO$11&amp;"'!B:R"),15,FALSE),"")</f>
        <v/>
      </c>
      <c r="EP219" s="96">
        <f>IFERROR(VLOOKUP($B219,INDIRECT("'GRD-"&amp;EP$11&amp;"'!B:R"),15,FALSE),"")</f>
        <v/>
      </c>
      <c r="EQ219" s="96">
        <f>IFERROR(VLOOKUP($B219,INDIRECT("'GRD-"&amp;EQ$11&amp;"'!B:R"),15,FALSE),"")</f>
        <v/>
      </c>
      <c r="ER219" s="96">
        <f>IFERROR(VLOOKUP($B219,INDIRECT("'GRD-"&amp;ER$11&amp;"'!B:R"),15,FALSE),"")</f>
        <v/>
      </c>
      <c r="ES219" s="96">
        <f>IFERROR(VLOOKUP($B219,INDIRECT("'GRD-"&amp;ES$11&amp;"'!B:R"),15,FALSE),"")</f>
        <v/>
      </c>
      <c r="ET219" s="96">
        <f>IFERROR(VLOOKUP($B219,INDIRECT("'GRD-"&amp;ET$11&amp;"'!B:R"),15,FALSE),"")</f>
        <v/>
      </c>
      <c r="EU219" s="96">
        <f>IFERROR(VLOOKUP($B219,INDIRECT("'GRD-"&amp;EU$11&amp;"'!B:R"),15,FALSE),"")</f>
        <v/>
      </c>
      <c r="EV219" s="96">
        <f>IFERROR(VLOOKUP($B219,INDIRECT("'GRD-"&amp;EV$11&amp;"'!B:R"),15,FALSE),"")</f>
        <v/>
      </c>
      <c r="EW219" s="96">
        <f>IFERROR(VLOOKUP($B219,INDIRECT("'GRD-"&amp;EW$11&amp;"'!B:R"),15,FALSE),"")</f>
        <v/>
      </c>
      <c r="EX219" s="96">
        <f>IFERROR(VLOOKUP($B219,INDIRECT("'GRD-"&amp;EX$11&amp;"'!B:R"),15,FALSE),"")</f>
        <v/>
      </c>
      <c r="EY219" s="96">
        <f>IFERROR(VLOOKUP($B219,INDIRECT("'GRD-"&amp;EY$11&amp;"'!B:R"),15,FALSE),"")</f>
        <v/>
      </c>
      <c r="EZ219" s="96">
        <f>IFERROR(VLOOKUP($B219,INDIRECT("'GRD-"&amp;EZ$11&amp;"'!B:R"),15,FALSE),"")</f>
        <v/>
      </c>
      <c r="FA219" s="96">
        <f>IFERROR(VLOOKUP($B219,INDIRECT("'GRD-"&amp;FA$11&amp;"'!B:R"),15,FALSE),"")</f>
        <v/>
      </c>
      <c r="FB219" s="96">
        <f>IFERROR(VLOOKUP($B219,INDIRECT("'GRD-"&amp;FB$11&amp;"'!B:R"),15,FALSE),"")</f>
        <v/>
      </c>
      <c r="FC219" s="96">
        <f>IFERROR(VLOOKUP($B219,INDIRECT("'GRD-"&amp;FC$11&amp;"'!B:R"),15,FALSE),"")</f>
        <v/>
      </c>
      <c r="FD219" s="96">
        <f>IFERROR(VLOOKUP($B219,INDIRECT("'GRD-"&amp;FD$11&amp;"'!B:R"),15,FALSE),"")</f>
        <v/>
      </c>
      <c r="FE219" s="96">
        <f>IFERROR(VLOOKUP($B219,INDIRECT("'GRD-"&amp;FE$11&amp;"'!B:R"),15,FALSE),"")</f>
        <v/>
      </c>
      <c r="FF219" s="96">
        <f>IFERROR(VLOOKUP($B219,INDIRECT("'GRD-"&amp;FF$11&amp;"'!B:R"),15,FALSE),"")</f>
        <v/>
      </c>
      <c r="FG219" s="96">
        <f>IFERROR(VLOOKUP($B219,INDIRECT("'GRD-"&amp;FG$11&amp;"'!B:R"),15,FALSE),"")</f>
        <v/>
      </c>
      <c r="FH219" s="96">
        <f>IFERROR(VLOOKUP($B219,INDIRECT("'GRD-"&amp;FH$11&amp;"'!B:R"),15,FALSE),"")</f>
        <v/>
      </c>
      <c r="FI219" s="96">
        <f>IFERROR(VLOOKUP($B219,INDIRECT("'GRD-"&amp;FI$11&amp;"'!B:R"),15,FALSE),"")</f>
        <v/>
      </c>
      <c r="FJ219" s="96">
        <f>IFERROR(VLOOKUP($B219,INDIRECT("'GRD-"&amp;FJ$11&amp;"'!B:R"),15,FALSE),"")</f>
        <v/>
      </c>
      <c r="FK219" s="96">
        <f>IFERROR(VLOOKUP($B219,INDIRECT("'GRD-"&amp;FK$11&amp;"'!B:R"),15,FALSE),"")</f>
        <v/>
      </c>
      <c r="FL219" s="96">
        <f>IFERROR(VLOOKUP($B219,INDIRECT("'GRD-"&amp;FL$11&amp;"'!B:R"),15,FALSE),"")</f>
        <v/>
      </c>
      <c r="FM219" s="96">
        <f>IFERROR(VLOOKUP($B219,INDIRECT("'GRD-"&amp;FM$11&amp;"'!B:R"),15,FALSE),"")</f>
        <v/>
      </c>
      <c r="FN219" s="96">
        <f>IFERROR(VLOOKUP($B219,INDIRECT("'GRD-"&amp;FN$11&amp;"'!B:R"),15,FALSE),"")</f>
        <v/>
      </c>
      <c r="FO219" s="96">
        <f>IFERROR(VLOOKUP($B219,INDIRECT("'GRD-"&amp;FO$11&amp;"'!B:R"),15,FALSE),"")</f>
        <v/>
      </c>
      <c r="FP219" s="96">
        <f>IFERROR(VLOOKUP($B219,INDIRECT("'GRD-"&amp;FP$11&amp;"'!B:R"),15,FALSE),"")</f>
        <v/>
      </c>
      <c r="FQ219" s="96">
        <f>IFERROR(VLOOKUP($B219,INDIRECT("'GRD-"&amp;FQ$11&amp;"'!B:R"),15,FALSE),"")</f>
        <v/>
      </c>
      <c r="FR219" s="96">
        <f>IFERROR(VLOOKUP($B219,INDIRECT("'GRD-"&amp;FR$11&amp;"'!B:R"),15,FALSE),"")</f>
        <v/>
      </c>
      <c r="FS219" s="96">
        <f>IFERROR(VLOOKUP($B219,INDIRECT("'GRD-"&amp;FS$11&amp;"'!B:R"),15,FALSE),"")</f>
        <v/>
      </c>
      <c r="FT219" s="96">
        <f>IFERROR(VLOOKUP($B219,INDIRECT("'GRD-"&amp;FT$11&amp;"'!B:R"),15,FALSE),"")</f>
        <v/>
      </c>
      <c r="FU219" s="96">
        <f>IFERROR(VLOOKUP($B219,INDIRECT("'GRD-"&amp;FU$11&amp;"'!B:R"),15,FALSE),"")</f>
        <v/>
      </c>
      <c r="FV219" s="96">
        <f>IFERROR(VLOOKUP($B219,INDIRECT("'GRD-"&amp;FV$11&amp;"'!B:R"),15,FALSE),"")</f>
        <v/>
      </c>
    </row>
    <row r="220">
      <c r="B220" s="85" t="n"/>
      <c r="C220" s="93" t="n"/>
      <c r="D220" s="73">
        <f>IF(K220="","",MAX($CA220:$FV220))</f>
        <v/>
      </c>
      <c r="E220" s="74">
        <f t="array" ref="E220">IF($K220="","",OFFSET($A$1,ROW($B220)-1,11+$D220*4,))</f>
        <v/>
      </c>
      <c r="F220" s="74">
        <f t="array" ref="F220">IF($K220="","",OFFSET($A$1,ROW($B220)-1,12+$D220*4,))</f>
        <v/>
      </c>
      <c r="G220" s="118">
        <f t="array" ref="G220">IF($K220="","",OFFSET($A$1,ROW($B220)-1,13+$D220*4,))</f>
        <v/>
      </c>
      <c r="H220" s="81" t="n"/>
      <c r="I220" s="82" t="n"/>
      <c r="J220" s="75">
        <f>IF(I220="A4",H220/8,IF(I220="A3",H220/4,IF(I220="A2",H220/2,IF(I220="A1",H220/1,IF(I220="A0",H220*2,"")))))</f>
        <v/>
      </c>
      <c r="K220" s="68">
        <f t="array" ref="K220">IFERROR(OFFSET($BZ$11,ROW($B220)-11,MATCH(K$10,$CA220:$FV220,0),),"")</f>
        <v/>
      </c>
      <c r="L220" s="85">
        <f>IF(K220="","",IF(VLOOKUP($B220,INDIRECT("'GRD-"&amp;M220&amp;"'!$B:$R"),16,FALSE)="","",VLOOKUP($B220,INDIRECT("'GRD-"&amp;M220&amp;"'!$B:$R"),16,FALSE)))</f>
        <v/>
      </c>
      <c r="M220" s="130">
        <f t="array" ref="M220">IF(K220="","",IFERROR(OFFSET($BZ$11,0,MATCH($K220,$CA220:$FV220,0),),""))</f>
        <v/>
      </c>
      <c r="N220" s="119">
        <f t="array" ref="N220">IF(K220="","",INDIRECT("'GRD-"&amp;M220&amp;"'!$L$7"))</f>
        <v/>
      </c>
      <c r="O220" s="76">
        <f t="array" ref="O220">IFERROR(OFFSET($BZ$11,ROW($B220)-11,MATCH(O$10,$CA220:$FV220,0),),"")</f>
        <v/>
      </c>
      <c r="P220" s="76">
        <f>IF(O220="","",IF(VLOOKUP($B220,INDIRECT("'GRD-"&amp;Q220&amp;"'!$B:$R"),16,FALSE)="","",VLOOKUP($B220,INDIRECT("'GRD-"&amp;Q220&amp;"'!$B:$R"),16,FALSE)))</f>
        <v/>
      </c>
      <c r="Q220" s="132">
        <f t="array" ref="Q220">IF(O220="","",IFERROR(OFFSET($BZ$11,0,MATCH($O220,$CA220:$FV220,0),),""))</f>
        <v/>
      </c>
      <c r="R220" s="121">
        <f t="array" ref="R220">IF(O220="","",INDIRECT("'GRD-"&amp;Q220&amp;"'!$L$7"))</f>
        <v/>
      </c>
      <c r="S220" s="83">
        <f t="array" ref="S220">IFERROR(OFFSET($BZ$11,ROW($B220)-11,MATCH(S$10,$CA220:$FV220,0),),"")</f>
        <v/>
      </c>
      <c r="T220" s="83">
        <f>IF(S220="","",IF(VLOOKUP($B220,INDIRECT("'GRD-"&amp;U220&amp;"'!$B:$R"),16,FALSE)="","",VLOOKUP($B220,INDIRECT("'GRD-"&amp;U220&amp;"'!$B:$R"),16,FALSE)))</f>
        <v/>
      </c>
      <c r="U220" s="128">
        <f t="array" ref="U220">IF(S220="","",IFERROR(OFFSET($BZ$11,0,MATCH($S220,$CA220:$FV220,0),),""))</f>
        <v/>
      </c>
      <c r="V220" s="133">
        <f t="array" ref="V220">IF(S220="","",INDIRECT("'GRD-"&amp;U220&amp;"'!$L$7"))</f>
        <v/>
      </c>
      <c r="W220" s="84">
        <f t="array" ref="W220">IFERROR(OFFSET($BZ$11,ROW($B220)-11,MATCH(W$10,$CA220:$FV220,0),),"")</f>
        <v/>
      </c>
      <c r="X220" s="84">
        <f>IF(W220="","",IF(VLOOKUP($B220,INDIRECT("'GRD-"&amp;Y220&amp;"'!$B:$R"),16,FALSE)="","",VLOOKUP($B220,INDIRECT("'GRD-"&amp;Y220&amp;"'!$B:$R"),16,FALSE)))</f>
        <v/>
      </c>
      <c r="Y220" s="129">
        <f t="array" ref="Y220">IF(W220="","",IFERROR(OFFSET($BZ$11,0,MATCH($W220,$CA220:$FV220,0),),""))</f>
        <v/>
      </c>
      <c r="Z220" s="134">
        <f t="array" ref="Z220">IF(W220="","",INDIRECT("'GRD-"&amp;Y220&amp;"'!$L$7"))</f>
        <v/>
      </c>
      <c r="AA220" s="85">
        <f t="array" ref="AA220">IFERROR(OFFSET($BZ$11,ROW($B220)-11,MATCH(AA$10,$CA220:$FV220,0),),"")</f>
        <v/>
      </c>
      <c r="AB220" s="85">
        <f>IF(AA220="","",IF(VLOOKUP($B220,INDIRECT("'GRD-"&amp;AC220&amp;"'!$B:$R"),16,FALSE)="","",VLOOKUP($B220,INDIRECT("'GRD-"&amp;AC220&amp;"'!$B:$R"),16,FALSE)))</f>
        <v/>
      </c>
      <c r="AC220" s="130">
        <f t="array" ref="AC220">IF(AA220="","",IFERROR(OFFSET($BZ$11,0,MATCH($AA220,$CA220:$FV220,0),),""))</f>
        <v/>
      </c>
      <c r="AD220" s="131">
        <f t="array" ref="AD220">IF(AA220="","",INDIRECT("'GRD-"&amp;AC220&amp;"'!$L$7"))</f>
        <v/>
      </c>
      <c r="AE220" s="76">
        <f t="array" ref="AE220">IFERROR(OFFSET($BZ$11,ROW($B220)-11,MATCH(AE$10,$CA220:$FV220,0),),"")</f>
        <v/>
      </c>
      <c r="AF220" s="76">
        <f>IF(AE220="","",IF(VLOOKUP($B220,INDIRECT("'GRD-"&amp;AG220&amp;"'!$B:$R"),16,FALSE)="","",VLOOKUP($B220,INDIRECT("'GRD-"&amp;AG220&amp;"'!$B:$R"),16,FALSE)))</f>
        <v/>
      </c>
      <c r="AG220" s="132">
        <f t="array" ref="AG220">IF(AE220="","",IFERROR(OFFSET($BZ$11,0,MATCH($AE220,$CA220:$FV220,0),),""))</f>
        <v/>
      </c>
      <c r="AH220" s="121">
        <f t="array" ref="AH220">IF(AE220="","",INDIRECT("'GRD-"&amp;AG220&amp;"'!$L$7"))</f>
        <v/>
      </c>
      <c r="AI220" s="83">
        <f t="array" ref="AI220">IFERROR(OFFSET($BZ$11,ROW($B220)-11,MATCH(AI$10,$CA220:$FV220,0),),"")</f>
        <v/>
      </c>
      <c r="AJ220" s="83">
        <f>IF(AI220="","",IF(VLOOKUP($B220,INDIRECT("'GRD-"&amp;AK220&amp;"'!$B:$R"),16,FALSE)="","",VLOOKUP($B220,INDIRECT("'GRD-"&amp;AK220&amp;"'!$B:$R"),16,FALSE)))</f>
        <v/>
      </c>
      <c r="AK220" s="128">
        <f t="array" ref="AK220">IF(AI220="","",IFERROR(OFFSET($BZ$11,0,MATCH($AI220,$CA220:$FV220,0),),""))</f>
        <v/>
      </c>
      <c r="AL220" s="133">
        <f t="array" ref="AL220">IF(AI220="","",INDIRECT("'GRD-"&amp;AK220&amp;"'!$L$7"))</f>
        <v/>
      </c>
      <c r="AM220" s="84">
        <f t="array" ref="AM220">IFERROR(OFFSET($BZ$11,ROW($B220)-11,MATCH(AM$10,$CA220:$FV220,0),),"")</f>
        <v/>
      </c>
      <c r="AN220" s="84">
        <f>IF(AM220="","",IF(VLOOKUP($B220,INDIRECT("'GRD-"&amp;AO220&amp;"'!$B:$R"),16,FALSE)="","",VLOOKUP($B220,INDIRECT("'GRD-"&amp;AO220&amp;"'!$B:$R"),16,FALSE)))</f>
        <v/>
      </c>
      <c r="AO220" s="129">
        <f t="array" ref="AO220">IF(AM220="","",IFERROR(OFFSET($BZ$11,0,MATCH($AM220,$CA220:$FV220,0),),""))</f>
        <v/>
      </c>
      <c r="AP220" s="134">
        <f t="array" ref="AP220">IF(AM220="","",INDIRECT("'GRD-"&amp;AO220&amp;"'!$L$7"))</f>
        <v/>
      </c>
      <c r="AQ220" s="85">
        <f t="array" ref="AQ220">IFERROR(OFFSET($BZ$11,ROW($B220)-11,MATCH(AQ$10,$CA220:$FV220,0),),"")</f>
        <v/>
      </c>
      <c r="AR220" s="85">
        <f>IF(AQ220="","",IF(VLOOKUP($B220,INDIRECT("'GRD-"&amp;AS220&amp;"'!$B:$R"),16,FALSE)="","",VLOOKUP($B220,INDIRECT("'GRD-"&amp;AS220&amp;"'!$B:$R"),16,FALSE)))</f>
        <v/>
      </c>
      <c r="AS220" s="130">
        <f t="array" ref="AS220">IF(AQ220="","",IFERROR(OFFSET($BZ$11,0,MATCH($AQ220,$CA220:$FV220,0),),""))</f>
        <v/>
      </c>
      <c r="AT220" s="131">
        <f t="array" ref="AT220">IF(AQ220="","",INDIRECT("'GRD-"&amp;AS220&amp;"'!$L$7"))</f>
        <v/>
      </c>
      <c r="AU220" s="76">
        <f t="array" ref="AU220">IFERROR(OFFSET($BZ$11,ROW($B220)-11,MATCH(AU$10,$CA220:$FV220,0),),"")</f>
        <v/>
      </c>
      <c r="AV220" s="76">
        <f>IF(AU220="","",IF(VLOOKUP($B220,INDIRECT("'GRD-"&amp;AW220&amp;"'!$B:$R"),16,FALSE)="","",VLOOKUP($B220,INDIRECT("'GRD-"&amp;AW220&amp;"'!$B:$R"),16,FALSE)))</f>
        <v/>
      </c>
      <c r="AW220" s="132">
        <f t="array" ref="AW220">IF(AU220="","",IFERROR(OFFSET($BZ$11,0,MATCH($AU220,$CA220:$FV220,0),),""))</f>
        <v/>
      </c>
      <c r="AX220" s="121">
        <f t="array" ref="AX220">IF(AU220="","",INDIRECT("'GRD-"&amp;AW220&amp;"'!$L$7"))</f>
        <v/>
      </c>
      <c r="AY220" s="83">
        <f t="array" ref="AY220">IFERROR(OFFSET($BZ$11,ROW($B220)-11,MATCH(AY$10,$CA220:$FV220,0),),"")</f>
        <v/>
      </c>
      <c r="AZ220" s="83">
        <f>IF(AY220="","",IF(VLOOKUP($B220,INDIRECT("'GRD-"&amp;BA220&amp;"'!$B:$R"),16,FALSE)="","",VLOOKUP($B220,INDIRECT("'GRD-"&amp;BA220&amp;"'!$B:$R"),16,FALSE)))</f>
        <v/>
      </c>
      <c r="BA220" s="128">
        <f t="array" ref="BA220">IF(AY220="","",IFERROR(OFFSET($BZ$11,0,MATCH($AY220,$CA220:$FV220,0),),""))</f>
        <v/>
      </c>
      <c r="BB220" s="133">
        <f t="array" ref="BB220">IF(AY220="","",INDIRECT("'GRD-"&amp;BA220&amp;"'!$L$7"))</f>
        <v/>
      </c>
      <c r="BC220" s="84">
        <f t="array" ref="BC220">IFERROR(OFFSET($BZ$11,ROW($B220)-11,MATCH(BC$10,$CA220:$FV220,0),),"")</f>
        <v/>
      </c>
      <c r="BD220" s="84">
        <f>IF(BC220="","",IF(VLOOKUP($B220,INDIRECT("'GRD-"&amp;BE220&amp;"'!$B:$R"),16,FALSE)="","",VLOOKUP($B220,INDIRECT("'GRD-"&amp;BE220&amp;"'!$B:$R"),16,FALSE)))</f>
        <v/>
      </c>
      <c r="BE220" s="129">
        <f t="array" ref="BE220">IF(BC220="","",IFERROR(OFFSET($BZ$11,0,MATCH($BC220,$CA220:$FV220,0),),""))</f>
        <v/>
      </c>
      <c r="BF220" s="134">
        <f t="array" ref="BF220">IF(BC220="","",INDIRECT("'GRD-"&amp;BE220&amp;"'!$L$7"))</f>
        <v/>
      </c>
      <c r="CA220" s="96">
        <f>IFERROR(VLOOKUP($B220,INDIRECT("'GRD-"&amp;CA$11&amp;"'!B:R"),15,FALSE),"")</f>
        <v/>
      </c>
      <c r="CB220" s="96">
        <f>IFERROR(VLOOKUP($B220,INDIRECT("'GRD-"&amp;CB$11&amp;"'!B:R"),15,FALSE),"")</f>
        <v/>
      </c>
      <c r="CC220" s="96">
        <f>IFERROR(VLOOKUP($B220,INDIRECT("'GRD-"&amp;CC$11&amp;"'!B:R"),15,FALSE),"")</f>
        <v/>
      </c>
      <c r="CD220" s="96">
        <f>IFERROR(VLOOKUP($B220,INDIRECT("'GRD-"&amp;CD$11&amp;"'!B:R"),15,FALSE),"")</f>
        <v/>
      </c>
      <c r="CE220" s="96">
        <f>IFERROR(VLOOKUP($B220,INDIRECT("'GRD-"&amp;CE$11&amp;"'!B:R"),15,FALSE),"")</f>
        <v/>
      </c>
      <c r="CF220" s="96">
        <f>IFERROR(VLOOKUP($B220,INDIRECT("'GRD-"&amp;CF$11&amp;"'!B:R"),15,FALSE),"")</f>
        <v/>
      </c>
      <c r="CG220" s="96">
        <f>IFERROR(VLOOKUP($B220,INDIRECT("'GRD-"&amp;CG$11&amp;"'!B:R"),15,FALSE),"")</f>
        <v/>
      </c>
      <c r="CH220" s="96">
        <f>IFERROR(VLOOKUP($B220,INDIRECT("'GRD-"&amp;CH$11&amp;"'!B:R"),15,FALSE),"")</f>
        <v/>
      </c>
      <c r="CI220" s="96">
        <f>IFERROR(VLOOKUP($B220,INDIRECT("'GRD-"&amp;CI$11&amp;"'!B:R"),15,FALSE),"")</f>
        <v/>
      </c>
      <c r="CJ220" s="96">
        <f>IFERROR(VLOOKUP($B220,INDIRECT("'GRD-"&amp;CJ$11&amp;"'!B:R"),15,FALSE),"")</f>
        <v/>
      </c>
      <c r="CK220" s="96">
        <f>IFERROR(VLOOKUP($B220,INDIRECT("'GRD-"&amp;CK$11&amp;"'!B:R"),15,FALSE),"")</f>
        <v/>
      </c>
      <c r="CL220" s="96">
        <f>IFERROR(VLOOKUP($B220,INDIRECT("'GRD-"&amp;CL$11&amp;"'!B:R"),15,FALSE),"")</f>
        <v/>
      </c>
      <c r="CM220" s="96">
        <f>IFERROR(VLOOKUP($B220,INDIRECT("'GRD-"&amp;CM$11&amp;"'!B:R"),15,FALSE),"")</f>
        <v/>
      </c>
      <c r="CN220" s="96">
        <f>IFERROR(VLOOKUP($B220,INDIRECT("'GRD-"&amp;CN$11&amp;"'!B:R"),15,FALSE),"")</f>
        <v/>
      </c>
      <c r="CO220" s="96">
        <f>IFERROR(VLOOKUP($B220,INDIRECT("'GRD-"&amp;CO$11&amp;"'!B:R"),15,FALSE),"")</f>
        <v/>
      </c>
      <c r="CP220" s="96">
        <f>IFERROR(VLOOKUP($B220,INDIRECT("'GRD-"&amp;CP$11&amp;"'!B:R"),15,FALSE),"")</f>
        <v/>
      </c>
      <c r="CQ220" s="96">
        <f>IFERROR(VLOOKUP($B220,INDIRECT("'GRD-"&amp;CQ$11&amp;"'!B:R"),15,FALSE),"")</f>
        <v/>
      </c>
      <c r="CR220" s="96">
        <f>IFERROR(VLOOKUP($B220,INDIRECT("'GRD-"&amp;CR$11&amp;"'!B:R"),15,FALSE),"")</f>
        <v/>
      </c>
      <c r="CS220" s="96">
        <f>IFERROR(VLOOKUP($B220,INDIRECT("'GRD-"&amp;CS$11&amp;"'!B:R"),15,FALSE),"")</f>
        <v/>
      </c>
      <c r="CT220" s="96">
        <f>IFERROR(VLOOKUP($B220,INDIRECT("'GRD-"&amp;CT$11&amp;"'!B:R"),15,FALSE),"")</f>
        <v/>
      </c>
      <c r="CU220" s="96">
        <f>IFERROR(VLOOKUP($B220,INDIRECT("'GRD-"&amp;CU$11&amp;"'!B:R"),15,FALSE),"")</f>
        <v/>
      </c>
      <c r="CV220" s="96">
        <f>IFERROR(VLOOKUP($B220,INDIRECT("'GRD-"&amp;CV$11&amp;"'!B:R"),15,FALSE),"")</f>
        <v/>
      </c>
      <c r="CW220" s="96">
        <f>IFERROR(VLOOKUP($B220,INDIRECT("'GRD-"&amp;CW$11&amp;"'!B:R"),15,FALSE),"")</f>
        <v/>
      </c>
      <c r="CX220" s="96">
        <f>IFERROR(VLOOKUP($B220,INDIRECT("'GRD-"&amp;CX$11&amp;"'!B:R"),15,FALSE),"")</f>
        <v/>
      </c>
      <c r="CY220" s="96">
        <f>IFERROR(VLOOKUP($B220,INDIRECT("'GRD-"&amp;CY$11&amp;"'!B:R"),15,FALSE),"")</f>
        <v/>
      </c>
      <c r="CZ220" s="96">
        <f>IFERROR(VLOOKUP($B220,INDIRECT("'GRD-"&amp;CZ$11&amp;"'!B:R"),15,FALSE),"")</f>
        <v/>
      </c>
      <c r="DA220" s="96">
        <f>IFERROR(VLOOKUP($B220,INDIRECT("'GRD-"&amp;DA$11&amp;"'!B:R"),15,FALSE),"")</f>
        <v/>
      </c>
      <c r="DB220" s="96">
        <f>IFERROR(VLOOKUP($B220,INDIRECT("'GRD-"&amp;DB$11&amp;"'!B:R"),15,FALSE),"")</f>
        <v/>
      </c>
      <c r="DC220" s="96">
        <f>IFERROR(VLOOKUP($B220,INDIRECT("'GRD-"&amp;DC$11&amp;"'!B:R"),15,FALSE),"")</f>
        <v/>
      </c>
      <c r="DD220" s="96">
        <f>IFERROR(VLOOKUP($B220,INDIRECT("'GRD-"&amp;DD$11&amp;"'!B:R"),15,FALSE),"")</f>
        <v/>
      </c>
      <c r="DE220" s="96">
        <f>IFERROR(VLOOKUP($B220,INDIRECT("'GRD-"&amp;DE$11&amp;"'!B:R"),15,FALSE),"")</f>
        <v/>
      </c>
      <c r="DF220" s="96">
        <f>IFERROR(VLOOKUP($B220,INDIRECT("'GRD-"&amp;DF$11&amp;"'!B:R"),15,FALSE),"")</f>
        <v/>
      </c>
      <c r="DG220" s="96">
        <f>IFERROR(VLOOKUP($B220,INDIRECT("'GRD-"&amp;DG$11&amp;"'!B:R"),15,FALSE),"")</f>
        <v/>
      </c>
      <c r="DH220" s="96">
        <f>IFERROR(VLOOKUP($B220,INDIRECT("'GRD-"&amp;DH$11&amp;"'!B:R"),15,FALSE),"")</f>
        <v/>
      </c>
      <c r="DI220" s="96">
        <f>IFERROR(VLOOKUP($B220,INDIRECT("'GRD-"&amp;DI$11&amp;"'!B:R"),15,FALSE),"")</f>
        <v/>
      </c>
      <c r="DJ220" s="96">
        <f>IFERROR(VLOOKUP($B220,INDIRECT("'GRD-"&amp;DJ$11&amp;"'!B:R"),15,FALSE),"")</f>
        <v/>
      </c>
      <c r="DK220" s="96">
        <f>IFERROR(VLOOKUP($B220,INDIRECT("'GRD-"&amp;DK$11&amp;"'!B:R"),15,FALSE),"")</f>
        <v/>
      </c>
      <c r="DL220" s="96">
        <f>IFERROR(VLOOKUP($B220,INDIRECT("'GRD-"&amp;DL$11&amp;"'!B:R"),15,FALSE),"")</f>
        <v/>
      </c>
      <c r="DM220" s="96">
        <f>IFERROR(VLOOKUP($B220,INDIRECT("'GRD-"&amp;DM$11&amp;"'!B:R"),15,FALSE),"")</f>
        <v/>
      </c>
      <c r="DN220" s="96">
        <f>IFERROR(VLOOKUP($B220,INDIRECT("'GRD-"&amp;DN$11&amp;"'!B:R"),15,FALSE),"")</f>
        <v/>
      </c>
      <c r="DO220" s="96">
        <f>IFERROR(VLOOKUP($B220,INDIRECT("'GRD-"&amp;DO$11&amp;"'!B:R"),15,FALSE),"")</f>
        <v/>
      </c>
      <c r="DP220" s="96">
        <f>IFERROR(VLOOKUP($B220,INDIRECT("'GRD-"&amp;DP$11&amp;"'!B:R"),15,FALSE),"")</f>
        <v/>
      </c>
      <c r="DQ220" s="96">
        <f>IFERROR(VLOOKUP($B220,INDIRECT("'GRD-"&amp;DQ$11&amp;"'!B:R"),15,FALSE),"")</f>
        <v/>
      </c>
      <c r="DR220" s="96">
        <f>IFERROR(VLOOKUP($B220,INDIRECT("'GRD-"&amp;DR$11&amp;"'!B:R"),15,FALSE),"")</f>
        <v/>
      </c>
      <c r="DS220" s="96">
        <f>IFERROR(VLOOKUP($B220,INDIRECT("'GRD-"&amp;DS$11&amp;"'!B:R"),15,FALSE),"")</f>
        <v/>
      </c>
      <c r="DT220" s="96">
        <f>IFERROR(VLOOKUP($B220,INDIRECT("'GRD-"&amp;DT$11&amp;"'!B:R"),15,FALSE),"")</f>
        <v/>
      </c>
      <c r="DU220" s="96">
        <f>IFERROR(VLOOKUP($B220,INDIRECT("'GRD-"&amp;DU$11&amp;"'!B:R"),15,FALSE),"")</f>
        <v/>
      </c>
      <c r="DV220" s="96">
        <f>IFERROR(VLOOKUP($B220,INDIRECT("'GRD-"&amp;DV$11&amp;"'!B:R"),15,FALSE),"")</f>
        <v/>
      </c>
      <c r="DW220" s="96">
        <f>IFERROR(VLOOKUP($B220,INDIRECT("'GRD-"&amp;DW$11&amp;"'!B:R"),15,FALSE),"")</f>
        <v/>
      </c>
      <c r="DX220" s="96">
        <f>IFERROR(VLOOKUP($B220,INDIRECT("'GRD-"&amp;DX$11&amp;"'!B:R"),15,FALSE),"")</f>
        <v/>
      </c>
      <c r="DY220" s="96">
        <f>IFERROR(VLOOKUP($B220,INDIRECT("'GRD-"&amp;DY$11&amp;"'!B:R"),15,FALSE),"")</f>
        <v/>
      </c>
      <c r="DZ220" s="96">
        <f>IFERROR(VLOOKUP($B220,INDIRECT("'GRD-"&amp;DZ$11&amp;"'!B:R"),15,FALSE),"")</f>
        <v/>
      </c>
      <c r="EA220" s="96">
        <f>IFERROR(VLOOKUP($B220,INDIRECT("'GRD-"&amp;EA$11&amp;"'!B:R"),15,FALSE),"")</f>
        <v/>
      </c>
      <c r="EB220" s="96">
        <f>IFERROR(VLOOKUP($B220,INDIRECT("'GRD-"&amp;EB$11&amp;"'!B:R"),15,FALSE),"")</f>
        <v/>
      </c>
      <c r="EC220" s="96">
        <f>IFERROR(VLOOKUP($B220,INDIRECT("'GRD-"&amp;EC$11&amp;"'!B:R"),15,FALSE),"")</f>
        <v/>
      </c>
      <c r="ED220" s="96">
        <f>IFERROR(VLOOKUP($B220,INDIRECT("'GRD-"&amp;ED$11&amp;"'!B:R"),15,FALSE),"")</f>
        <v/>
      </c>
      <c r="EE220" s="96">
        <f>IFERROR(VLOOKUP($B220,INDIRECT("'GRD-"&amp;EE$11&amp;"'!B:R"),15,FALSE),"")</f>
        <v/>
      </c>
      <c r="EF220" s="96">
        <f>IFERROR(VLOOKUP($B220,INDIRECT("'GRD-"&amp;EF$11&amp;"'!B:R"),15,FALSE),"")</f>
        <v/>
      </c>
      <c r="EG220" s="96">
        <f>IFERROR(VLOOKUP($B220,INDIRECT("'GRD-"&amp;EG$11&amp;"'!B:R"),15,FALSE),"")</f>
        <v/>
      </c>
      <c r="EH220" s="96">
        <f>IFERROR(VLOOKUP($B220,INDIRECT("'GRD-"&amp;EH$11&amp;"'!B:R"),15,FALSE),"")</f>
        <v/>
      </c>
      <c r="EI220" s="96">
        <f>IFERROR(VLOOKUP($B220,INDIRECT("'GRD-"&amp;EI$11&amp;"'!B:R"),15,FALSE),"")</f>
        <v/>
      </c>
      <c r="EJ220" s="96">
        <f>IFERROR(VLOOKUP($B220,INDIRECT("'GRD-"&amp;EJ$11&amp;"'!B:R"),15,FALSE),"")</f>
        <v/>
      </c>
      <c r="EK220" s="96">
        <f>IFERROR(VLOOKUP($B220,INDIRECT("'GRD-"&amp;EK$11&amp;"'!B:R"),15,FALSE),"")</f>
        <v/>
      </c>
      <c r="EL220" s="96">
        <f>IFERROR(VLOOKUP($B220,INDIRECT("'GRD-"&amp;EL$11&amp;"'!B:R"),15,FALSE),"")</f>
        <v/>
      </c>
      <c r="EM220" s="96">
        <f>IFERROR(VLOOKUP($B220,INDIRECT("'GRD-"&amp;EM$11&amp;"'!B:R"),15,FALSE),"")</f>
        <v/>
      </c>
      <c r="EN220" s="96">
        <f>IFERROR(VLOOKUP($B220,INDIRECT("'GRD-"&amp;EN$11&amp;"'!B:R"),15,FALSE),"")</f>
        <v/>
      </c>
      <c r="EO220" s="96">
        <f>IFERROR(VLOOKUP($B220,INDIRECT("'GRD-"&amp;EO$11&amp;"'!B:R"),15,FALSE),"")</f>
        <v/>
      </c>
      <c r="EP220" s="96">
        <f>IFERROR(VLOOKUP($B220,INDIRECT("'GRD-"&amp;EP$11&amp;"'!B:R"),15,FALSE),"")</f>
        <v/>
      </c>
      <c r="EQ220" s="96">
        <f>IFERROR(VLOOKUP($B220,INDIRECT("'GRD-"&amp;EQ$11&amp;"'!B:R"),15,FALSE),"")</f>
        <v/>
      </c>
      <c r="ER220" s="96">
        <f>IFERROR(VLOOKUP($B220,INDIRECT("'GRD-"&amp;ER$11&amp;"'!B:R"),15,FALSE),"")</f>
        <v/>
      </c>
      <c r="ES220" s="96">
        <f>IFERROR(VLOOKUP($B220,INDIRECT("'GRD-"&amp;ES$11&amp;"'!B:R"),15,FALSE),"")</f>
        <v/>
      </c>
      <c r="ET220" s="96">
        <f>IFERROR(VLOOKUP($B220,INDIRECT("'GRD-"&amp;ET$11&amp;"'!B:R"),15,FALSE),"")</f>
        <v/>
      </c>
      <c r="EU220" s="96">
        <f>IFERROR(VLOOKUP($B220,INDIRECT("'GRD-"&amp;EU$11&amp;"'!B:R"),15,FALSE),"")</f>
        <v/>
      </c>
      <c r="EV220" s="96">
        <f>IFERROR(VLOOKUP($B220,INDIRECT("'GRD-"&amp;EV$11&amp;"'!B:R"),15,FALSE),"")</f>
        <v/>
      </c>
      <c r="EW220" s="96">
        <f>IFERROR(VLOOKUP($B220,INDIRECT("'GRD-"&amp;EW$11&amp;"'!B:R"),15,FALSE),"")</f>
        <v/>
      </c>
      <c r="EX220" s="96">
        <f>IFERROR(VLOOKUP($B220,INDIRECT("'GRD-"&amp;EX$11&amp;"'!B:R"),15,FALSE),"")</f>
        <v/>
      </c>
      <c r="EY220" s="96">
        <f>IFERROR(VLOOKUP($B220,INDIRECT("'GRD-"&amp;EY$11&amp;"'!B:R"),15,FALSE),"")</f>
        <v/>
      </c>
      <c r="EZ220" s="96">
        <f>IFERROR(VLOOKUP($B220,INDIRECT("'GRD-"&amp;EZ$11&amp;"'!B:R"),15,FALSE),"")</f>
        <v/>
      </c>
      <c r="FA220" s="96">
        <f>IFERROR(VLOOKUP($B220,INDIRECT("'GRD-"&amp;FA$11&amp;"'!B:R"),15,FALSE),"")</f>
        <v/>
      </c>
      <c r="FB220" s="96">
        <f>IFERROR(VLOOKUP($B220,INDIRECT("'GRD-"&amp;FB$11&amp;"'!B:R"),15,FALSE),"")</f>
        <v/>
      </c>
      <c r="FC220" s="96">
        <f>IFERROR(VLOOKUP($B220,INDIRECT("'GRD-"&amp;FC$11&amp;"'!B:R"),15,FALSE),"")</f>
        <v/>
      </c>
      <c r="FD220" s="96">
        <f>IFERROR(VLOOKUP($B220,INDIRECT("'GRD-"&amp;FD$11&amp;"'!B:R"),15,FALSE),"")</f>
        <v/>
      </c>
      <c r="FE220" s="96">
        <f>IFERROR(VLOOKUP($B220,INDIRECT("'GRD-"&amp;FE$11&amp;"'!B:R"),15,FALSE),"")</f>
        <v/>
      </c>
      <c r="FF220" s="96">
        <f>IFERROR(VLOOKUP($B220,INDIRECT("'GRD-"&amp;FF$11&amp;"'!B:R"),15,FALSE),"")</f>
        <v/>
      </c>
      <c r="FG220" s="96">
        <f>IFERROR(VLOOKUP($B220,INDIRECT("'GRD-"&amp;FG$11&amp;"'!B:R"),15,FALSE),"")</f>
        <v/>
      </c>
      <c r="FH220" s="96">
        <f>IFERROR(VLOOKUP($B220,INDIRECT("'GRD-"&amp;FH$11&amp;"'!B:R"),15,FALSE),"")</f>
        <v/>
      </c>
      <c r="FI220" s="96">
        <f>IFERROR(VLOOKUP($B220,INDIRECT("'GRD-"&amp;FI$11&amp;"'!B:R"),15,FALSE),"")</f>
        <v/>
      </c>
      <c r="FJ220" s="96">
        <f>IFERROR(VLOOKUP($B220,INDIRECT("'GRD-"&amp;FJ$11&amp;"'!B:R"),15,FALSE),"")</f>
        <v/>
      </c>
      <c r="FK220" s="96">
        <f>IFERROR(VLOOKUP($B220,INDIRECT("'GRD-"&amp;FK$11&amp;"'!B:R"),15,FALSE),"")</f>
        <v/>
      </c>
      <c r="FL220" s="96">
        <f>IFERROR(VLOOKUP($B220,INDIRECT("'GRD-"&amp;FL$11&amp;"'!B:R"),15,FALSE),"")</f>
        <v/>
      </c>
      <c r="FM220" s="96">
        <f>IFERROR(VLOOKUP($B220,INDIRECT("'GRD-"&amp;FM$11&amp;"'!B:R"),15,FALSE),"")</f>
        <v/>
      </c>
      <c r="FN220" s="96">
        <f>IFERROR(VLOOKUP($B220,INDIRECT("'GRD-"&amp;FN$11&amp;"'!B:R"),15,FALSE),"")</f>
        <v/>
      </c>
      <c r="FO220" s="96">
        <f>IFERROR(VLOOKUP($B220,INDIRECT("'GRD-"&amp;FO$11&amp;"'!B:R"),15,FALSE),"")</f>
        <v/>
      </c>
      <c r="FP220" s="96">
        <f>IFERROR(VLOOKUP($B220,INDIRECT("'GRD-"&amp;FP$11&amp;"'!B:R"),15,FALSE),"")</f>
        <v/>
      </c>
      <c r="FQ220" s="96">
        <f>IFERROR(VLOOKUP($B220,INDIRECT("'GRD-"&amp;FQ$11&amp;"'!B:R"),15,FALSE),"")</f>
        <v/>
      </c>
      <c r="FR220" s="96">
        <f>IFERROR(VLOOKUP($B220,INDIRECT("'GRD-"&amp;FR$11&amp;"'!B:R"),15,FALSE),"")</f>
        <v/>
      </c>
      <c r="FS220" s="96">
        <f>IFERROR(VLOOKUP($B220,INDIRECT("'GRD-"&amp;FS$11&amp;"'!B:R"),15,FALSE),"")</f>
        <v/>
      </c>
      <c r="FT220" s="96">
        <f>IFERROR(VLOOKUP($B220,INDIRECT("'GRD-"&amp;FT$11&amp;"'!B:R"),15,FALSE),"")</f>
        <v/>
      </c>
      <c r="FU220" s="96">
        <f>IFERROR(VLOOKUP($B220,INDIRECT("'GRD-"&amp;FU$11&amp;"'!B:R"),15,FALSE),"")</f>
        <v/>
      </c>
      <c r="FV220" s="96">
        <f>IFERROR(VLOOKUP($B220,INDIRECT("'GRD-"&amp;FV$11&amp;"'!B:R"),15,FALSE),"")</f>
        <v/>
      </c>
    </row>
    <row r="221">
      <c r="B221" s="85" t="n"/>
      <c r="C221" s="93" t="n"/>
      <c r="D221" s="73">
        <f>IF(K221="","",MAX($CA221:$FV221))</f>
        <v/>
      </c>
      <c r="E221" s="74">
        <f t="array" ref="E221">IF($K221="","",OFFSET($A$1,ROW($B221)-1,11+$D221*4,))</f>
        <v/>
      </c>
      <c r="F221" s="74">
        <f t="array" ref="F221">IF($K221="","",OFFSET($A$1,ROW($B221)-1,12+$D221*4,))</f>
        <v/>
      </c>
      <c r="G221" s="118">
        <f t="array" ref="G221">IF($K221="","",OFFSET($A$1,ROW($B221)-1,13+$D221*4,))</f>
        <v/>
      </c>
      <c r="H221" s="81" t="n"/>
      <c r="I221" s="82" t="n"/>
      <c r="J221" s="75">
        <f>IF(I221="A4",H221/8,IF(I221="A3",H221/4,IF(I221="A2",H221/2,IF(I221="A1",H221/1,IF(I221="A0",H221*2,"")))))</f>
        <v/>
      </c>
      <c r="K221" s="68">
        <f t="array" ref="K221">IFERROR(OFFSET($BZ$11,ROW($B221)-11,MATCH(K$10,$CA221:$FV221,0),),"")</f>
        <v/>
      </c>
      <c r="L221" s="85">
        <f>IF(K221="","",IF(VLOOKUP($B221,INDIRECT("'GRD-"&amp;M221&amp;"'!$B:$R"),16,FALSE)="","",VLOOKUP($B221,INDIRECT("'GRD-"&amp;M221&amp;"'!$B:$R"),16,FALSE)))</f>
        <v/>
      </c>
      <c r="M221" s="130">
        <f t="array" ref="M221">IF(K221="","",IFERROR(OFFSET($BZ$11,0,MATCH($K221,$CA221:$FV221,0),),""))</f>
        <v/>
      </c>
      <c r="N221" s="119">
        <f t="array" ref="N221">IF(K221="","",INDIRECT("'GRD-"&amp;M221&amp;"'!$L$7"))</f>
        <v/>
      </c>
      <c r="O221" s="76">
        <f t="array" ref="O221">IFERROR(OFFSET($BZ$11,ROW($B221)-11,MATCH(O$10,$CA221:$FV221,0),),"")</f>
        <v/>
      </c>
      <c r="P221" s="76">
        <f>IF(O221="","",IF(VLOOKUP($B221,INDIRECT("'GRD-"&amp;Q221&amp;"'!$B:$R"),16,FALSE)="","",VLOOKUP($B221,INDIRECT("'GRD-"&amp;Q221&amp;"'!$B:$R"),16,FALSE)))</f>
        <v/>
      </c>
      <c r="Q221" s="132">
        <f t="array" ref="Q221">IF(O221="","",IFERROR(OFFSET($BZ$11,0,MATCH($O221,$CA221:$FV221,0),),""))</f>
        <v/>
      </c>
      <c r="R221" s="121">
        <f t="array" ref="R221">IF(O221="","",INDIRECT("'GRD-"&amp;Q221&amp;"'!$L$7"))</f>
        <v/>
      </c>
      <c r="S221" s="83">
        <f t="array" ref="S221">IFERROR(OFFSET($BZ$11,ROW($B221)-11,MATCH(S$10,$CA221:$FV221,0),),"")</f>
        <v/>
      </c>
      <c r="T221" s="83">
        <f>IF(S221="","",IF(VLOOKUP($B221,INDIRECT("'GRD-"&amp;U221&amp;"'!$B:$R"),16,FALSE)="","",VLOOKUP($B221,INDIRECT("'GRD-"&amp;U221&amp;"'!$B:$R"),16,FALSE)))</f>
        <v/>
      </c>
      <c r="U221" s="128">
        <f t="array" ref="U221">IF(S221="","",IFERROR(OFFSET($BZ$11,0,MATCH($S221,$CA221:$FV221,0),),""))</f>
        <v/>
      </c>
      <c r="V221" s="133">
        <f t="array" ref="V221">IF(S221="","",INDIRECT("'GRD-"&amp;U221&amp;"'!$L$7"))</f>
        <v/>
      </c>
      <c r="W221" s="84">
        <f t="array" ref="W221">IFERROR(OFFSET($BZ$11,ROW($B221)-11,MATCH(W$10,$CA221:$FV221,0),),"")</f>
        <v/>
      </c>
      <c r="X221" s="84">
        <f>IF(W221="","",IF(VLOOKUP($B221,INDIRECT("'GRD-"&amp;Y221&amp;"'!$B:$R"),16,FALSE)="","",VLOOKUP($B221,INDIRECT("'GRD-"&amp;Y221&amp;"'!$B:$R"),16,FALSE)))</f>
        <v/>
      </c>
      <c r="Y221" s="129">
        <f t="array" ref="Y221">IF(W221="","",IFERROR(OFFSET($BZ$11,0,MATCH($W221,$CA221:$FV221,0),),""))</f>
        <v/>
      </c>
      <c r="Z221" s="134">
        <f t="array" ref="Z221">IF(W221="","",INDIRECT("'GRD-"&amp;Y221&amp;"'!$L$7"))</f>
        <v/>
      </c>
      <c r="AA221" s="85">
        <f t="array" ref="AA221">IFERROR(OFFSET($BZ$11,ROW($B221)-11,MATCH(AA$10,$CA221:$FV221,0),),"")</f>
        <v/>
      </c>
      <c r="AB221" s="85">
        <f>IF(AA221="","",IF(VLOOKUP($B221,INDIRECT("'GRD-"&amp;AC221&amp;"'!$B:$R"),16,FALSE)="","",VLOOKUP($B221,INDIRECT("'GRD-"&amp;AC221&amp;"'!$B:$R"),16,FALSE)))</f>
        <v/>
      </c>
      <c r="AC221" s="130">
        <f t="array" ref="AC221">IF(AA221="","",IFERROR(OFFSET($BZ$11,0,MATCH($AA221,$CA221:$FV221,0),),""))</f>
        <v/>
      </c>
      <c r="AD221" s="131">
        <f t="array" ref="AD221">IF(AA221="","",INDIRECT("'GRD-"&amp;AC221&amp;"'!$L$7"))</f>
        <v/>
      </c>
      <c r="AE221" s="76">
        <f t="array" ref="AE221">IFERROR(OFFSET($BZ$11,ROW($B221)-11,MATCH(AE$10,$CA221:$FV221,0),),"")</f>
        <v/>
      </c>
      <c r="AF221" s="76">
        <f>IF(AE221="","",IF(VLOOKUP($B221,INDIRECT("'GRD-"&amp;AG221&amp;"'!$B:$R"),16,FALSE)="","",VLOOKUP($B221,INDIRECT("'GRD-"&amp;AG221&amp;"'!$B:$R"),16,FALSE)))</f>
        <v/>
      </c>
      <c r="AG221" s="132">
        <f t="array" ref="AG221">IF(AE221="","",IFERROR(OFFSET($BZ$11,0,MATCH($AE221,$CA221:$FV221,0),),""))</f>
        <v/>
      </c>
      <c r="AH221" s="121">
        <f t="array" ref="AH221">IF(AE221="","",INDIRECT("'GRD-"&amp;AG221&amp;"'!$L$7"))</f>
        <v/>
      </c>
      <c r="AI221" s="83">
        <f t="array" ref="AI221">IFERROR(OFFSET($BZ$11,ROW($B221)-11,MATCH(AI$10,$CA221:$FV221,0),),"")</f>
        <v/>
      </c>
      <c r="AJ221" s="83">
        <f>IF(AI221="","",IF(VLOOKUP($B221,INDIRECT("'GRD-"&amp;AK221&amp;"'!$B:$R"),16,FALSE)="","",VLOOKUP($B221,INDIRECT("'GRD-"&amp;AK221&amp;"'!$B:$R"),16,FALSE)))</f>
        <v/>
      </c>
      <c r="AK221" s="128">
        <f t="array" ref="AK221">IF(AI221="","",IFERROR(OFFSET($BZ$11,0,MATCH($AI221,$CA221:$FV221,0),),""))</f>
        <v/>
      </c>
      <c r="AL221" s="133">
        <f t="array" ref="AL221">IF(AI221="","",INDIRECT("'GRD-"&amp;AK221&amp;"'!$L$7"))</f>
        <v/>
      </c>
      <c r="AM221" s="84">
        <f t="array" ref="AM221">IFERROR(OFFSET($BZ$11,ROW($B221)-11,MATCH(AM$10,$CA221:$FV221,0),),"")</f>
        <v/>
      </c>
      <c r="AN221" s="84">
        <f>IF(AM221="","",IF(VLOOKUP($B221,INDIRECT("'GRD-"&amp;AO221&amp;"'!$B:$R"),16,FALSE)="","",VLOOKUP($B221,INDIRECT("'GRD-"&amp;AO221&amp;"'!$B:$R"),16,FALSE)))</f>
        <v/>
      </c>
      <c r="AO221" s="129">
        <f t="array" ref="AO221">IF(AM221="","",IFERROR(OFFSET($BZ$11,0,MATCH($AM221,$CA221:$FV221,0),),""))</f>
        <v/>
      </c>
      <c r="AP221" s="134">
        <f t="array" ref="AP221">IF(AM221="","",INDIRECT("'GRD-"&amp;AO221&amp;"'!$L$7"))</f>
        <v/>
      </c>
      <c r="AQ221" s="85">
        <f t="array" ref="AQ221">IFERROR(OFFSET($BZ$11,ROW($B221)-11,MATCH(AQ$10,$CA221:$FV221,0),),"")</f>
        <v/>
      </c>
      <c r="AR221" s="85">
        <f>IF(AQ221="","",IF(VLOOKUP($B221,INDIRECT("'GRD-"&amp;AS221&amp;"'!$B:$R"),16,FALSE)="","",VLOOKUP($B221,INDIRECT("'GRD-"&amp;AS221&amp;"'!$B:$R"),16,FALSE)))</f>
        <v/>
      </c>
      <c r="AS221" s="130">
        <f t="array" ref="AS221">IF(AQ221="","",IFERROR(OFFSET($BZ$11,0,MATCH($AQ221,$CA221:$FV221,0),),""))</f>
        <v/>
      </c>
      <c r="AT221" s="131">
        <f t="array" ref="AT221">IF(AQ221="","",INDIRECT("'GRD-"&amp;AS221&amp;"'!$L$7"))</f>
        <v/>
      </c>
      <c r="AU221" s="76">
        <f t="array" ref="AU221">IFERROR(OFFSET($BZ$11,ROW($B221)-11,MATCH(AU$10,$CA221:$FV221,0),),"")</f>
        <v/>
      </c>
      <c r="AV221" s="76">
        <f>IF(AU221="","",IF(VLOOKUP($B221,INDIRECT("'GRD-"&amp;AW221&amp;"'!$B:$R"),16,FALSE)="","",VLOOKUP($B221,INDIRECT("'GRD-"&amp;AW221&amp;"'!$B:$R"),16,FALSE)))</f>
        <v/>
      </c>
      <c r="AW221" s="132">
        <f t="array" ref="AW221">IF(AU221="","",IFERROR(OFFSET($BZ$11,0,MATCH($AU221,$CA221:$FV221,0),),""))</f>
        <v/>
      </c>
      <c r="AX221" s="121">
        <f t="array" ref="AX221">IF(AU221="","",INDIRECT("'GRD-"&amp;AW221&amp;"'!$L$7"))</f>
        <v/>
      </c>
      <c r="AY221" s="83">
        <f t="array" ref="AY221">IFERROR(OFFSET($BZ$11,ROW($B221)-11,MATCH(AY$10,$CA221:$FV221,0),),"")</f>
        <v/>
      </c>
      <c r="AZ221" s="83">
        <f>IF(AY221="","",IF(VLOOKUP($B221,INDIRECT("'GRD-"&amp;BA221&amp;"'!$B:$R"),16,FALSE)="","",VLOOKUP($B221,INDIRECT("'GRD-"&amp;BA221&amp;"'!$B:$R"),16,FALSE)))</f>
        <v/>
      </c>
      <c r="BA221" s="128">
        <f t="array" ref="BA221">IF(AY221="","",IFERROR(OFFSET($BZ$11,0,MATCH($AY221,$CA221:$FV221,0),),""))</f>
        <v/>
      </c>
      <c r="BB221" s="133">
        <f t="array" ref="BB221">IF(AY221="","",INDIRECT("'GRD-"&amp;BA221&amp;"'!$L$7"))</f>
        <v/>
      </c>
      <c r="BC221" s="84">
        <f t="array" ref="BC221">IFERROR(OFFSET($BZ$11,ROW($B221)-11,MATCH(BC$10,$CA221:$FV221,0),),"")</f>
        <v/>
      </c>
      <c r="BD221" s="84">
        <f>IF(BC221="","",IF(VLOOKUP($B221,INDIRECT("'GRD-"&amp;BE221&amp;"'!$B:$R"),16,FALSE)="","",VLOOKUP($B221,INDIRECT("'GRD-"&amp;BE221&amp;"'!$B:$R"),16,FALSE)))</f>
        <v/>
      </c>
      <c r="BE221" s="129">
        <f t="array" ref="BE221">IF(BC221="","",IFERROR(OFFSET($BZ$11,0,MATCH($BC221,$CA221:$FV221,0),),""))</f>
        <v/>
      </c>
      <c r="BF221" s="134">
        <f t="array" ref="BF221">IF(BC221="","",INDIRECT("'GRD-"&amp;BE221&amp;"'!$L$7"))</f>
        <v/>
      </c>
      <c r="CA221" s="96">
        <f>IFERROR(VLOOKUP($B221,INDIRECT("'GRD-"&amp;CA$11&amp;"'!B:R"),15,FALSE),"")</f>
        <v/>
      </c>
      <c r="CB221" s="96">
        <f>IFERROR(VLOOKUP($B221,INDIRECT("'GRD-"&amp;CB$11&amp;"'!B:R"),15,FALSE),"")</f>
        <v/>
      </c>
      <c r="CC221" s="96">
        <f>IFERROR(VLOOKUP($B221,INDIRECT("'GRD-"&amp;CC$11&amp;"'!B:R"),15,FALSE),"")</f>
        <v/>
      </c>
      <c r="CD221" s="96">
        <f>IFERROR(VLOOKUP($B221,INDIRECT("'GRD-"&amp;CD$11&amp;"'!B:R"),15,FALSE),"")</f>
        <v/>
      </c>
      <c r="CE221" s="96">
        <f>IFERROR(VLOOKUP($B221,INDIRECT("'GRD-"&amp;CE$11&amp;"'!B:R"),15,FALSE),"")</f>
        <v/>
      </c>
      <c r="CF221" s="96">
        <f>IFERROR(VLOOKUP($B221,INDIRECT("'GRD-"&amp;CF$11&amp;"'!B:R"),15,FALSE),"")</f>
        <v/>
      </c>
      <c r="CG221" s="96">
        <f>IFERROR(VLOOKUP($B221,INDIRECT("'GRD-"&amp;CG$11&amp;"'!B:R"),15,FALSE),"")</f>
        <v/>
      </c>
      <c r="CH221" s="96">
        <f>IFERROR(VLOOKUP($B221,INDIRECT("'GRD-"&amp;CH$11&amp;"'!B:R"),15,FALSE),"")</f>
        <v/>
      </c>
      <c r="CI221" s="96">
        <f>IFERROR(VLOOKUP($B221,INDIRECT("'GRD-"&amp;CI$11&amp;"'!B:R"),15,FALSE),"")</f>
        <v/>
      </c>
      <c r="CJ221" s="96">
        <f>IFERROR(VLOOKUP($B221,INDIRECT("'GRD-"&amp;CJ$11&amp;"'!B:R"),15,FALSE),"")</f>
        <v/>
      </c>
      <c r="CK221" s="96">
        <f>IFERROR(VLOOKUP($B221,INDIRECT("'GRD-"&amp;CK$11&amp;"'!B:R"),15,FALSE),"")</f>
        <v/>
      </c>
      <c r="CL221" s="96">
        <f>IFERROR(VLOOKUP($B221,INDIRECT("'GRD-"&amp;CL$11&amp;"'!B:R"),15,FALSE),"")</f>
        <v/>
      </c>
      <c r="CM221" s="96">
        <f>IFERROR(VLOOKUP($B221,INDIRECT("'GRD-"&amp;CM$11&amp;"'!B:R"),15,FALSE),"")</f>
        <v/>
      </c>
      <c r="CN221" s="96">
        <f>IFERROR(VLOOKUP($B221,INDIRECT("'GRD-"&amp;CN$11&amp;"'!B:R"),15,FALSE),"")</f>
        <v/>
      </c>
      <c r="CO221" s="96">
        <f>IFERROR(VLOOKUP($B221,INDIRECT("'GRD-"&amp;CO$11&amp;"'!B:R"),15,FALSE),"")</f>
        <v/>
      </c>
      <c r="CP221" s="96">
        <f>IFERROR(VLOOKUP($B221,INDIRECT("'GRD-"&amp;CP$11&amp;"'!B:R"),15,FALSE),"")</f>
        <v/>
      </c>
      <c r="CQ221" s="96">
        <f>IFERROR(VLOOKUP($B221,INDIRECT("'GRD-"&amp;CQ$11&amp;"'!B:R"),15,FALSE),"")</f>
        <v/>
      </c>
      <c r="CR221" s="96">
        <f>IFERROR(VLOOKUP($B221,INDIRECT("'GRD-"&amp;CR$11&amp;"'!B:R"),15,FALSE),"")</f>
        <v/>
      </c>
      <c r="CS221" s="96">
        <f>IFERROR(VLOOKUP($B221,INDIRECT("'GRD-"&amp;CS$11&amp;"'!B:R"),15,FALSE),"")</f>
        <v/>
      </c>
      <c r="CT221" s="96">
        <f>IFERROR(VLOOKUP($B221,INDIRECT("'GRD-"&amp;CT$11&amp;"'!B:R"),15,FALSE),"")</f>
        <v/>
      </c>
      <c r="CU221" s="96">
        <f>IFERROR(VLOOKUP($B221,INDIRECT("'GRD-"&amp;CU$11&amp;"'!B:R"),15,FALSE),"")</f>
        <v/>
      </c>
      <c r="CV221" s="96">
        <f>IFERROR(VLOOKUP($B221,INDIRECT("'GRD-"&amp;CV$11&amp;"'!B:R"),15,FALSE),"")</f>
        <v/>
      </c>
      <c r="CW221" s="96">
        <f>IFERROR(VLOOKUP($B221,INDIRECT("'GRD-"&amp;CW$11&amp;"'!B:R"),15,FALSE),"")</f>
        <v/>
      </c>
      <c r="CX221" s="96">
        <f>IFERROR(VLOOKUP($B221,INDIRECT("'GRD-"&amp;CX$11&amp;"'!B:R"),15,FALSE),"")</f>
        <v/>
      </c>
      <c r="CY221" s="96">
        <f>IFERROR(VLOOKUP($B221,INDIRECT("'GRD-"&amp;CY$11&amp;"'!B:R"),15,FALSE),"")</f>
        <v/>
      </c>
      <c r="CZ221" s="96">
        <f>IFERROR(VLOOKUP($B221,INDIRECT("'GRD-"&amp;CZ$11&amp;"'!B:R"),15,FALSE),"")</f>
        <v/>
      </c>
      <c r="DA221" s="96">
        <f>IFERROR(VLOOKUP($B221,INDIRECT("'GRD-"&amp;DA$11&amp;"'!B:R"),15,FALSE),"")</f>
        <v/>
      </c>
      <c r="DB221" s="96">
        <f>IFERROR(VLOOKUP($B221,INDIRECT("'GRD-"&amp;DB$11&amp;"'!B:R"),15,FALSE),"")</f>
        <v/>
      </c>
      <c r="DC221" s="96">
        <f>IFERROR(VLOOKUP($B221,INDIRECT("'GRD-"&amp;DC$11&amp;"'!B:R"),15,FALSE),"")</f>
        <v/>
      </c>
      <c r="DD221" s="96">
        <f>IFERROR(VLOOKUP($B221,INDIRECT("'GRD-"&amp;DD$11&amp;"'!B:R"),15,FALSE),"")</f>
        <v/>
      </c>
      <c r="DE221" s="96">
        <f>IFERROR(VLOOKUP($B221,INDIRECT("'GRD-"&amp;DE$11&amp;"'!B:R"),15,FALSE),"")</f>
        <v/>
      </c>
      <c r="DF221" s="96">
        <f>IFERROR(VLOOKUP($B221,INDIRECT("'GRD-"&amp;DF$11&amp;"'!B:R"),15,FALSE),"")</f>
        <v/>
      </c>
      <c r="DG221" s="96">
        <f>IFERROR(VLOOKUP($B221,INDIRECT("'GRD-"&amp;DG$11&amp;"'!B:R"),15,FALSE),"")</f>
        <v/>
      </c>
      <c r="DH221" s="96">
        <f>IFERROR(VLOOKUP($B221,INDIRECT("'GRD-"&amp;DH$11&amp;"'!B:R"),15,FALSE),"")</f>
        <v/>
      </c>
      <c r="DI221" s="96">
        <f>IFERROR(VLOOKUP($B221,INDIRECT("'GRD-"&amp;DI$11&amp;"'!B:R"),15,FALSE),"")</f>
        <v/>
      </c>
      <c r="DJ221" s="96">
        <f>IFERROR(VLOOKUP($B221,INDIRECT("'GRD-"&amp;DJ$11&amp;"'!B:R"),15,FALSE),"")</f>
        <v/>
      </c>
      <c r="DK221" s="96">
        <f>IFERROR(VLOOKUP($B221,INDIRECT("'GRD-"&amp;DK$11&amp;"'!B:R"),15,FALSE),"")</f>
        <v/>
      </c>
      <c r="DL221" s="96">
        <f>IFERROR(VLOOKUP($B221,INDIRECT("'GRD-"&amp;DL$11&amp;"'!B:R"),15,FALSE),"")</f>
        <v/>
      </c>
      <c r="DM221" s="96">
        <f>IFERROR(VLOOKUP($B221,INDIRECT("'GRD-"&amp;DM$11&amp;"'!B:R"),15,FALSE),"")</f>
        <v/>
      </c>
      <c r="DN221" s="96">
        <f>IFERROR(VLOOKUP($B221,INDIRECT("'GRD-"&amp;DN$11&amp;"'!B:R"),15,FALSE),"")</f>
        <v/>
      </c>
      <c r="DO221" s="96">
        <f>IFERROR(VLOOKUP($B221,INDIRECT("'GRD-"&amp;DO$11&amp;"'!B:R"),15,FALSE),"")</f>
        <v/>
      </c>
      <c r="DP221" s="96">
        <f>IFERROR(VLOOKUP($B221,INDIRECT("'GRD-"&amp;DP$11&amp;"'!B:R"),15,FALSE),"")</f>
        <v/>
      </c>
      <c r="DQ221" s="96">
        <f>IFERROR(VLOOKUP($B221,INDIRECT("'GRD-"&amp;DQ$11&amp;"'!B:R"),15,FALSE),"")</f>
        <v/>
      </c>
      <c r="DR221" s="96">
        <f>IFERROR(VLOOKUP($B221,INDIRECT("'GRD-"&amp;DR$11&amp;"'!B:R"),15,FALSE),"")</f>
        <v/>
      </c>
      <c r="DS221" s="96">
        <f>IFERROR(VLOOKUP($B221,INDIRECT("'GRD-"&amp;DS$11&amp;"'!B:R"),15,FALSE),"")</f>
        <v/>
      </c>
      <c r="DT221" s="96">
        <f>IFERROR(VLOOKUP($B221,INDIRECT("'GRD-"&amp;DT$11&amp;"'!B:R"),15,FALSE),"")</f>
        <v/>
      </c>
      <c r="DU221" s="96">
        <f>IFERROR(VLOOKUP($B221,INDIRECT("'GRD-"&amp;DU$11&amp;"'!B:R"),15,FALSE),"")</f>
        <v/>
      </c>
      <c r="DV221" s="96">
        <f>IFERROR(VLOOKUP($B221,INDIRECT("'GRD-"&amp;DV$11&amp;"'!B:R"),15,FALSE),"")</f>
        <v/>
      </c>
      <c r="DW221" s="96">
        <f>IFERROR(VLOOKUP($B221,INDIRECT("'GRD-"&amp;DW$11&amp;"'!B:R"),15,FALSE),"")</f>
        <v/>
      </c>
      <c r="DX221" s="96">
        <f>IFERROR(VLOOKUP($B221,INDIRECT("'GRD-"&amp;DX$11&amp;"'!B:R"),15,FALSE),"")</f>
        <v/>
      </c>
      <c r="DY221" s="96">
        <f>IFERROR(VLOOKUP($B221,INDIRECT("'GRD-"&amp;DY$11&amp;"'!B:R"),15,FALSE),"")</f>
        <v/>
      </c>
      <c r="DZ221" s="96">
        <f>IFERROR(VLOOKUP($B221,INDIRECT("'GRD-"&amp;DZ$11&amp;"'!B:R"),15,FALSE),"")</f>
        <v/>
      </c>
      <c r="EA221" s="96">
        <f>IFERROR(VLOOKUP($B221,INDIRECT("'GRD-"&amp;EA$11&amp;"'!B:R"),15,FALSE),"")</f>
        <v/>
      </c>
      <c r="EB221" s="96">
        <f>IFERROR(VLOOKUP($B221,INDIRECT("'GRD-"&amp;EB$11&amp;"'!B:R"),15,FALSE),"")</f>
        <v/>
      </c>
      <c r="EC221" s="96">
        <f>IFERROR(VLOOKUP($B221,INDIRECT("'GRD-"&amp;EC$11&amp;"'!B:R"),15,FALSE),"")</f>
        <v/>
      </c>
      <c r="ED221" s="96">
        <f>IFERROR(VLOOKUP($B221,INDIRECT("'GRD-"&amp;ED$11&amp;"'!B:R"),15,FALSE),"")</f>
        <v/>
      </c>
      <c r="EE221" s="96">
        <f>IFERROR(VLOOKUP($B221,INDIRECT("'GRD-"&amp;EE$11&amp;"'!B:R"),15,FALSE),"")</f>
        <v/>
      </c>
      <c r="EF221" s="96">
        <f>IFERROR(VLOOKUP($B221,INDIRECT("'GRD-"&amp;EF$11&amp;"'!B:R"),15,FALSE),"")</f>
        <v/>
      </c>
      <c r="EG221" s="96">
        <f>IFERROR(VLOOKUP($B221,INDIRECT("'GRD-"&amp;EG$11&amp;"'!B:R"),15,FALSE),"")</f>
        <v/>
      </c>
      <c r="EH221" s="96">
        <f>IFERROR(VLOOKUP($B221,INDIRECT("'GRD-"&amp;EH$11&amp;"'!B:R"),15,FALSE),"")</f>
        <v/>
      </c>
      <c r="EI221" s="96">
        <f>IFERROR(VLOOKUP($B221,INDIRECT("'GRD-"&amp;EI$11&amp;"'!B:R"),15,FALSE),"")</f>
        <v/>
      </c>
      <c r="EJ221" s="96">
        <f>IFERROR(VLOOKUP($B221,INDIRECT("'GRD-"&amp;EJ$11&amp;"'!B:R"),15,FALSE),"")</f>
        <v/>
      </c>
      <c r="EK221" s="96">
        <f>IFERROR(VLOOKUP($B221,INDIRECT("'GRD-"&amp;EK$11&amp;"'!B:R"),15,FALSE),"")</f>
        <v/>
      </c>
      <c r="EL221" s="96">
        <f>IFERROR(VLOOKUP($B221,INDIRECT("'GRD-"&amp;EL$11&amp;"'!B:R"),15,FALSE),"")</f>
        <v/>
      </c>
      <c r="EM221" s="96">
        <f>IFERROR(VLOOKUP($B221,INDIRECT("'GRD-"&amp;EM$11&amp;"'!B:R"),15,FALSE),"")</f>
        <v/>
      </c>
      <c r="EN221" s="96">
        <f>IFERROR(VLOOKUP($B221,INDIRECT("'GRD-"&amp;EN$11&amp;"'!B:R"),15,FALSE),"")</f>
        <v/>
      </c>
      <c r="EO221" s="96">
        <f>IFERROR(VLOOKUP($B221,INDIRECT("'GRD-"&amp;EO$11&amp;"'!B:R"),15,FALSE),"")</f>
        <v/>
      </c>
      <c r="EP221" s="96">
        <f>IFERROR(VLOOKUP($B221,INDIRECT("'GRD-"&amp;EP$11&amp;"'!B:R"),15,FALSE),"")</f>
        <v/>
      </c>
      <c r="EQ221" s="96">
        <f>IFERROR(VLOOKUP($B221,INDIRECT("'GRD-"&amp;EQ$11&amp;"'!B:R"),15,FALSE),"")</f>
        <v/>
      </c>
      <c r="ER221" s="96">
        <f>IFERROR(VLOOKUP($B221,INDIRECT("'GRD-"&amp;ER$11&amp;"'!B:R"),15,FALSE),"")</f>
        <v/>
      </c>
      <c r="ES221" s="96">
        <f>IFERROR(VLOOKUP($B221,INDIRECT("'GRD-"&amp;ES$11&amp;"'!B:R"),15,FALSE),"")</f>
        <v/>
      </c>
      <c r="ET221" s="96">
        <f>IFERROR(VLOOKUP($B221,INDIRECT("'GRD-"&amp;ET$11&amp;"'!B:R"),15,FALSE),"")</f>
        <v/>
      </c>
      <c r="EU221" s="96">
        <f>IFERROR(VLOOKUP($B221,INDIRECT("'GRD-"&amp;EU$11&amp;"'!B:R"),15,FALSE),"")</f>
        <v/>
      </c>
      <c r="EV221" s="96">
        <f>IFERROR(VLOOKUP($B221,INDIRECT("'GRD-"&amp;EV$11&amp;"'!B:R"),15,FALSE),"")</f>
        <v/>
      </c>
      <c r="EW221" s="96">
        <f>IFERROR(VLOOKUP($B221,INDIRECT("'GRD-"&amp;EW$11&amp;"'!B:R"),15,FALSE),"")</f>
        <v/>
      </c>
      <c r="EX221" s="96">
        <f>IFERROR(VLOOKUP($B221,INDIRECT("'GRD-"&amp;EX$11&amp;"'!B:R"),15,FALSE),"")</f>
        <v/>
      </c>
      <c r="EY221" s="96">
        <f>IFERROR(VLOOKUP($B221,INDIRECT("'GRD-"&amp;EY$11&amp;"'!B:R"),15,FALSE),"")</f>
        <v/>
      </c>
      <c r="EZ221" s="96">
        <f>IFERROR(VLOOKUP($B221,INDIRECT("'GRD-"&amp;EZ$11&amp;"'!B:R"),15,FALSE),"")</f>
        <v/>
      </c>
      <c r="FA221" s="96">
        <f>IFERROR(VLOOKUP($B221,INDIRECT("'GRD-"&amp;FA$11&amp;"'!B:R"),15,FALSE),"")</f>
        <v/>
      </c>
      <c r="FB221" s="96">
        <f>IFERROR(VLOOKUP($B221,INDIRECT("'GRD-"&amp;FB$11&amp;"'!B:R"),15,FALSE),"")</f>
        <v/>
      </c>
      <c r="FC221" s="96">
        <f>IFERROR(VLOOKUP($B221,INDIRECT("'GRD-"&amp;FC$11&amp;"'!B:R"),15,FALSE),"")</f>
        <v/>
      </c>
      <c r="FD221" s="96">
        <f>IFERROR(VLOOKUP($B221,INDIRECT("'GRD-"&amp;FD$11&amp;"'!B:R"),15,FALSE),"")</f>
        <v/>
      </c>
      <c r="FE221" s="96">
        <f>IFERROR(VLOOKUP($B221,INDIRECT("'GRD-"&amp;FE$11&amp;"'!B:R"),15,FALSE),"")</f>
        <v/>
      </c>
      <c r="FF221" s="96">
        <f>IFERROR(VLOOKUP($B221,INDIRECT("'GRD-"&amp;FF$11&amp;"'!B:R"),15,FALSE),"")</f>
        <v/>
      </c>
      <c r="FG221" s="96">
        <f>IFERROR(VLOOKUP($B221,INDIRECT("'GRD-"&amp;FG$11&amp;"'!B:R"),15,FALSE),"")</f>
        <v/>
      </c>
      <c r="FH221" s="96">
        <f>IFERROR(VLOOKUP($B221,INDIRECT("'GRD-"&amp;FH$11&amp;"'!B:R"),15,FALSE),"")</f>
        <v/>
      </c>
      <c r="FI221" s="96">
        <f>IFERROR(VLOOKUP($B221,INDIRECT("'GRD-"&amp;FI$11&amp;"'!B:R"),15,FALSE),"")</f>
        <v/>
      </c>
      <c r="FJ221" s="96">
        <f>IFERROR(VLOOKUP($B221,INDIRECT("'GRD-"&amp;FJ$11&amp;"'!B:R"),15,FALSE),"")</f>
        <v/>
      </c>
      <c r="FK221" s="96">
        <f>IFERROR(VLOOKUP($B221,INDIRECT("'GRD-"&amp;FK$11&amp;"'!B:R"),15,FALSE),"")</f>
        <v/>
      </c>
      <c r="FL221" s="96">
        <f>IFERROR(VLOOKUP($B221,INDIRECT("'GRD-"&amp;FL$11&amp;"'!B:R"),15,FALSE),"")</f>
        <v/>
      </c>
      <c r="FM221" s="96">
        <f>IFERROR(VLOOKUP($B221,INDIRECT("'GRD-"&amp;FM$11&amp;"'!B:R"),15,FALSE),"")</f>
        <v/>
      </c>
      <c r="FN221" s="96">
        <f>IFERROR(VLOOKUP($B221,INDIRECT("'GRD-"&amp;FN$11&amp;"'!B:R"),15,FALSE),"")</f>
        <v/>
      </c>
      <c r="FO221" s="96">
        <f>IFERROR(VLOOKUP($B221,INDIRECT("'GRD-"&amp;FO$11&amp;"'!B:R"),15,FALSE),"")</f>
        <v/>
      </c>
      <c r="FP221" s="96">
        <f>IFERROR(VLOOKUP($B221,INDIRECT("'GRD-"&amp;FP$11&amp;"'!B:R"),15,FALSE),"")</f>
        <v/>
      </c>
      <c r="FQ221" s="96">
        <f>IFERROR(VLOOKUP($B221,INDIRECT("'GRD-"&amp;FQ$11&amp;"'!B:R"),15,FALSE),"")</f>
        <v/>
      </c>
      <c r="FR221" s="96">
        <f>IFERROR(VLOOKUP($B221,INDIRECT("'GRD-"&amp;FR$11&amp;"'!B:R"),15,FALSE),"")</f>
        <v/>
      </c>
      <c r="FS221" s="96">
        <f>IFERROR(VLOOKUP($B221,INDIRECT("'GRD-"&amp;FS$11&amp;"'!B:R"),15,FALSE),"")</f>
        <v/>
      </c>
      <c r="FT221" s="96">
        <f>IFERROR(VLOOKUP($B221,INDIRECT("'GRD-"&amp;FT$11&amp;"'!B:R"),15,FALSE),"")</f>
        <v/>
      </c>
      <c r="FU221" s="96">
        <f>IFERROR(VLOOKUP($B221,INDIRECT("'GRD-"&amp;FU$11&amp;"'!B:R"),15,FALSE),"")</f>
        <v/>
      </c>
      <c r="FV221" s="96">
        <f>IFERROR(VLOOKUP($B221,INDIRECT("'GRD-"&amp;FV$11&amp;"'!B:R"),15,FALSE),"")</f>
        <v/>
      </c>
    </row>
    <row r="222">
      <c r="B222" s="85" t="n"/>
      <c r="C222" s="93" t="n"/>
      <c r="D222" s="73">
        <f>IF(K222="","",MAX($CA222:$FV222))</f>
        <v/>
      </c>
      <c r="E222" s="74">
        <f t="array" ref="E222">IF($K222="","",OFFSET($A$1,ROW($B222)-1,11+$D222*4,))</f>
        <v/>
      </c>
      <c r="F222" s="74">
        <f t="array" ref="F222">IF($K222="","",OFFSET($A$1,ROW($B222)-1,12+$D222*4,))</f>
        <v/>
      </c>
      <c r="G222" s="118">
        <f t="array" ref="G222">IF($K222="","",OFFSET($A$1,ROW($B222)-1,13+$D222*4,))</f>
        <v/>
      </c>
      <c r="H222" s="81" t="n"/>
      <c r="I222" s="82" t="n"/>
      <c r="J222" s="75">
        <f>IF(I222="A4",H222/8,IF(I222="A3",H222/4,IF(I222="A2",H222/2,IF(I222="A1",H222/1,IF(I222="A0",H222*2,"")))))</f>
        <v/>
      </c>
      <c r="K222" s="68">
        <f t="array" ref="K222">IFERROR(OFFSET($BZ$11,ROW($B222)-11,MATCH(K$10,$CA222:$FV222,0),),"")</f>
        <v/>
      </c>
      <c r="L222" s="85">
        <f>IF(K222="","",IF(VLOOKUP($B222,INDIRECT("'GRD-"&amp;M222&amp;"'!$B:$R"),16,FALSE)="","",VLOOKUP($B222,INDIRECT("'GRD-"&amp;M222&amp;"'!$B:$R"),16,FALSE)))</f>
        <v/>
      </c>
      <c r="M222" s="130">
        <f t="array" ref="M222">IF(K222="","",IFERROR(OFFSET($BZ$11,0,MATCH($K222,$CA222:$FV222,0),),""))</f>
        <v/>
      </c>
      <c r="N222" s="119">
        <f t="array" ref="N222">IF(K222="","",INDIRECT("'GRD-"&amp;M222&amp;"'!$L$7"))</f>
        <v/>
      </c>
      <c r="O222" s="76">
        <f t="array" ref="O222">IFERROR(OFFSET($BZ$11,ROW($B222)-11,MATCH(O$10,$CA222:$FV222,0),),"")</f>
        <v/>
      </c>
      <c r="P222" s="76">
        <f>IF(O222="","",IF(VLOOKUP($B222,INDIRECT("'GRD-"&amp;Q222&amp;"'!$B:$R"),16,FALSE)="","",VLOOKUP($B222,INDIRECT("'GRD-"&amp;Q222&amp;"'!$B:$R"),16,FALSE)))</f>
        <v/>
      </c>
      <c r="Q222" s="132">
        <f t="array" ref="Q222">IF(O222="","",IFERROR(OFFSET($BZ$11,0,MATCH($O222,$CA222:$FV222,0),),""))</f>
        <v/>
      </c>
      <c r="R222" s="121">
        <f t="array" ref="R222">IF(O222="","",INDIRECT("'GRD-"&amp;Q222&amp;"'!$L$7"))</f>
        <v/>
      </c>
      <c r="S222" s="83">
        <f t="array" ref="S222">IFERROR(OFFSET($BZ$11,ROW($B222)-11,MATCH(S$10,$CA222:$FV222,0),),"")</f>
        <v/>
      </c>
      <c r="T222" s="83">
        <f>IF(S222="","",IF(VLOOKUP($B222,INDIRECT("'GRD-"&amp;U222&amp;"'!$B:$R"),16,FALSE)="","",VLOOKUP($B222,INDIRECT("'GRD-"&amp;U222&amp;"'!$B:$R"),16,FALSE)))</f>
        <v/>
      </c>
      <c r="U222" s="128">
        <f t="array" ref="U222">IF(S222="","",IFERROR(OFFSET($BZ$11,0,MATCH($S222,$CA222:$FV222,0),),""))</f>
        <v/>
      </c>
      <c r="V222" s="133">
        <f t="array" ref="V222">IF(S222="","",INDIRECT("'GRD-"&amp;U222&amp;"'!$L$7"))</f>
        <v/>
      </c>
      <c r="W222" s="84">
        <f t="array" ref="W222">IFERROR(OFFSET($BZ$11,ROW($B222)-11,MATCH(W$10,$CA222:$FV222,0),),"")</f>
        <v/>
      </c>
      <c r="X222" s="84">
        <f>IF(W222="","",IF(VLOOKUP($B222,INDIRECT("'GRD-"&amp;Y222&amp;"'!$B:$R"),16,FALSE)="","",VLOOKUP($B222,INDIRECT("'GRD-"&amp;Y222&amp;"'!$B:$R"),16,FALSE)))</f>
        <v/>
      </c>
      <c r="Y222" s="129">
        <f t="array" ref="Y222">IF(W222="","",IFERROR(OFFSET($BZ$11,0,MATCH($W222,$CA222:$FV222,0),),""))</f>
        <v/>
      </c>
      <c r="Z222" s="134">
        <f t="array" ref="Z222">IF(W222="","",INDIRECT("'GRD-"&amp;Y222&amp;"'!$L$7"))</f>
        <v/>
      </c>
      <c r="AA222" s="85">
        <f t="array" ref="AA222">IFERROR(OFFSET($BZ$11,ROW($B222)-11,MATCH(AA$10,$CA222:$FV222,0),),"")</f>
        <v/>
      </c>
      <c r="AB222" s="85">
        <f>IF(AA222="","",IF(VLOOKUP($B222,INDIRECT("'GRD-"&amp;AC222&amp;"'!$B:$R"),16,FALSE)="","",VLOOKUP($B222,INDIRECT("'GRD-"&amp;AC222&amp;"'!$B:$R"),16,FALSE)))</f>
        <v/>
      </c>
      <c r="AC222" s="130">
        <f t="array" ref="AC222">IF(AA222="","",IFERROR(OFFSET($BZ$11,0,MATCH($AA222,$CA222:$FV222,0),),""))</f>
        <v/>
      </c>
      <c r="AD222" s="131">
        <f t="array" ref="AD222">IF(AA222="","",INDIRECT("'GRD-"&amp;AC222&amp;"'!$L$7"))</f>
        <v/>
      </c>
      <c r="AE222" s="76">
        <f t="array" ref="AE222">IFERROR(OFFSET($BZ$11,ROW($B222)-11,MATCH(AE$10,$CA222:$FV222,0),),"")</f>
        <v/>
      </c>
      <c r="AF222" s="76">
        <f>IF(AE222="","",IF(VLOOKUP($B222,INDIRECT("'GRD-"&amp;AG222&amp;"'!$B:$R"),16,FALSE)="","",VLOOKUP($B222,INDIRECT("'GRD-"&amp;AG222&amp;"'!$B:$R"),16,FALSE)))</f>
        <v/>
      </c>
      <c r="AG222" s="132">
        <f t="array" ref="AG222">IF(AE222="","",IFERROR(OFFSET($BZ$11,0,MATCH($AE222,$CA222:$FV222,0),),""))</f>
        <v/>
      </c>
      <c r="AH222" s="121">
        <f t="array" ref="AH222">IF(AE222="","",INDIRECT("'GRD-"&amp;AG222&amp;"'!$L$7"))</f>
        <v/>
      </c>
      <c r="AI222" s="83">
        <f t="array" ref="AI222">IFERROR(OFFSET($BZ$11,ROW($B222)-11,MATCH(AI$10,$CA222:$FV222,0),),"")</f>
        <v/>
      </c>
      <c r="AJ222" s="83">
        <f>IF(AI222="","",IF(VLOOKUP($B222,INDIRECT("'GRD-"&amp;AK222&amp;"'!$B:$R"),16,FALSE)="","",VLOOKUP($B222,INDIRECT("'GRD-"&amp;AK222&amp;"'!$B:$R"),16,FALSE)))</f>
        <v/>
      </c>
      <c r="AK222" s="128">
        <f t="array" ref="AK222">IF(AI222="","",IFERROR(OFFSET($BZ$11,0,MATCH($AI222,$CA222:$FV222,0),),""))</f>
        <v/>
      </c>
      <c r="AL222" s="133">
        <f t="array" ref="AL222">IF(AI222="","",INDIRECT("'GRD-"&amp;AK222&amp;"'!$L$7"))</f>
        <v/>
      </c>
      <c r="AM222" s="84">
        <f t="array" ref="AM222">IFERROR(OFFSET($BZ$11,ROW($B222)-11,MATCH(AM$10,$CA222:$FV222,0),),"")</f>
        <v/>
      </c>
      <c r="AN222" s="84">
        <f>IF(AM222="","",IF(VLOOKUP($B222,INDIRECT("'GRD-"&amp;AO222&amp;"'!$B:$R"),16,FALSE)="","",VLOOKUP($B222,INDIRECT("'GRD-"&amp;AO222&amp;"'!$B:$R"),16,FALSE)))</f>
        <v/>
      </c>
      <c r="AO222" s="129">
        <f t="array" ref="AO222">IF(AM222="","",IFERROR(OFFSET($BZ$11,0,MATCH($AM222,$CA222:$FV222,0),),""))</f>
        <v/>
      </c>
      <c r="AP222" s="134">
        <f t="array" ref="AP222">IF(AM222="","",INDIRECT("'GRD-"&amp;AO222&amp;"'!$L$7"))</f>
        <v/>
      </c>
      <c r="AQ222" s="85">
        <f t="array" ref="AQ222">IFERROR(OFFSET($BZ$11,ROW($B222)-11,MATCH(AQ$10,$CA222:$FV222,0),),"")</f>
        <v/>
      </c>
      <c r="AR222" s="85">
        <f>IF(AQ222="","",IF(VLOOKUP($B222,INDIRECT("'GRD-"&amp;AS222&amp;"'!$B:$R"),16,FALSE)="","",VLOOKUP($B222,INDIRECT("'GRD-"&amp;AS222&amp;"'!$B:$R"),16,FALSE)))</f>
        <v/>
      </c>
      <c r="AS222" s="130">
        <f t="array" ref="AS222">IF(AQ222="","",IFERROR(OFFSET($BZ$11,0,MATCH($AQ222,$CA222:$FV222,0),),""))</f>
        <v/>
      </c>
      <c r="AT222" s="131">
        <f t="array" ref="AT222">IF(AQ222="","",INDIRECT("'GRD-"&amp;AS222&amp;"'!$L$7"))</f>
        <v/>
      </c>
      <c r="AU222" s="76">
        <f t="array" ref="AU222">IFERROR(OFFSET($BZ$11,ROW($B222)-11,MATCH(AU$10,$CA222:$FV222,0),),"")</f>
        <v/>
      </c>
      <c r="AV222" s="76">
        <f>IF(AU222="","",IF(VLOOKUP($B222,INDIRECT("'GRD-"&amp;AW222&amp;"'!$B:$R"),16,FALSE)="","",VLOOKUP($B222,INDIRECT("'GRD-"&amp;AW222&amp;"'!$B:$R"),16,FALSE)))</f>
        <v/>
      </c>
      <c r="AW222" s="132">
        <f t="array" ref="AW222">IF(AU222="","",IFERROR(OFFSET($BZ$11,0,MATCH($AU222,$CA222:$FV222,0),),""))</f>
        <v/>
      </c>
      <c r="AX222" s="121">
        <f t="array" ref="AX222">IF(AU222="","",INDIRECT("'GRD-"&amp;AW222&amp;"'!$L$7"))</f>
        <v/>
      </c>
      <c r="AY222" s="83">
        <f t="array" ref="AY222">IFERROR(OFFSET($BZ$11,ROW($B222)-11,MATCH(AY$10,$CA222:$FV222,0),),"")</f>
        <v/>
      </c>
      <c r="AZ222" s="83">
        <f>IF(AY222="","",IF(VLOOKUP($B222,INDIRECT("'GRD-"&amp;BA222&amp;"'!$B:$R"),16,FALSE)="","",VLOOKUP($B222,INDIRECT("'GRD-"&amp;BA222&amp;"'!$B:$R"),16,FALSE)))</f>
        <v/>
      </c>
      <c r="BA222" s="128">
        <f t="array" ref="BA222">IF(AY222="","",IFERROR(OFFSET($BZ$11,0,MATCH($AY222,$CA222:$FV222,0),),""))</f>
        <v/>
      </c>
      <c r="BB222" s="133">
        <f t="array" ref="BB222">IF(AY222="","",INDIRECT("'GRD-"&amp;BA222&amp;"'!$L$7"))</f>
        <v/>
      </c>
      <c r="BC222" s="84">
        <f t="array" ref="BC222">IFERROR(OFFSET($BZ$11,ROW($B222)-11,MATCH(BC$10,$CA222:$FV222,0),),"")</f>
        <v/>
      </c>
      <c r="BD222" s="84">
        <f>IF(BC222="","",IF(VLOOKUP($B222,INDIRECT("'GRD-"&amp;BE222&amp;"'!$B:$R"),16,FALSE)="","",VLOOKUP($B222,INDIRECT("'GRD-"&amp;BE222&amp;"'!$B:$R"),16,FALSE)))</f>
        <v/>
      </c>
      <c r="BE222" s="129">
        <f t="array" ref="BE222">IF(BC222="","",IFERROR(OFFSET($BZ$11,0,MATCH($BC222,$CA222:$FV222,0),),""))</f>
        <v/>
      </c>
      <c r="BF222" s="134">
        <f t="array" ref="BF222">IF(BC222="","",INDIRECT("'GRD-"&amp;BE222&amp;"'!$L$7"))</f>
        <v/>
      </c>
      <c r="CA222" s="96">
        <f>IFERROR(VLOOKUP($B222,INDIRECT("'GRD-"&amp;CA$11&amp;"'!B:R"),15,FALSE),"")</f>
        <v/>
      </c>
      <c r="CB222" s="96">
        <f>IFERROR(VLOOKUP($B222,INDIRECT("'GRD-"&amp;CB$11&amp;"'!B:R"),15,FALSE),"")</f>
        <v/>
      </c>
      <c r="CC222" s="96">
        <f>IFERROR(VLOOKUP($B222,INDIRECT("'GRD-"&amp;CC$11&amp;"'!B:R"),15,FALSE),"")</f>
        <v/>
      </c>
      <c r="CD222" s="96">
        <f>IFERROR(VLOOKUP($B222,INDIRECT("'GRD-"&amp;CD$11&amp;"'!B:R"),15,FALSE),"")</f>
        <v/>
      </c>
      <c r="CE222" s="96">
        <f>IFERROR(VLOOKUP($B222,INDIRECT("'GRD-"&amp;CE$11&amp;"'!B:R"),15,FALSE),"")</f>
        <v/>
      </c>
      <c r="CF222" s="96">
        <f>IFERROR(VLOOKUP($B222,INDIRECT("'GRD-"&amp;CF$11&amp;"'!B:R"),15,FALSE),"")</f>
        <v/>
      </c>
      <c r="CG222" s="96">
        <f>IFERROR(VLOOKUP($B222,INDIRECT("'GRD-"&amp;CG$11&amp;"'!B:R"),15,FALSE),"")</f>
        <v/>
      </c>
      <c r="CH222" s="96">
        <f>IFERROR(VLOOKUP($B222,INDIRECT("'GRD-"&amp;CH$11&amp;"'!B:R"),15,FALSE),"")</f>
        <v/>
      </c>
      <c r="CI222" s="96">
        <f>IFERROR(VLOOKUP($B222,INDIRECT("'GRD-"&amp;CI$11&amp;"'!B:R"),15,FALSE),"")</f>
        <v/>
      </c>
      <c r="CJ222" s="96">
        <f>IFERROR(VLOOKUP($B222,INDIRECT("'GRD-"&amp;CJ$11&amp;"'!B:R"),15,FALSE),"")</f>
        <v/>
      </c>
      <c r="CK222" s="96">
        <f>IFERROR(VLOOKUP($B222,INDIRECT("'GRD-"&amp;CK$11&amp;"'!B:R"),15,FALSE),"")</f>
        <v/>
      </c>
      <c r="CL222" s="96">
        <f>IFERROR(VLOOKUP($B222,INDIRECT("'GRD-"&amp;CL$11&amp;"'!B:R"),15,FALSE),"")</f>
        <v/>
      </c>
      <c r="CM222" s="96">
        <f>IFERROR(VLOOKUP($B222,INDIRECT("'GRD-"&amp;CM$11&amp;"'!B:R"),15,FALSE),"")</f>
        <v/>
      </c>
      <c r="CN222" s="96">
        <f>IFERROR(VLOOKUP($B222,INDIRECT("'GRD-"&amp;CN$11&amp;"'!B:R"),15,FALSE),"")</f>
        <v/>
      </c>
      <c r="CO222" s="96">
        <f>IFERROR(VLOOKUP($B222,INDIRECT("'GRD-"&amp;CO$11&amp;"'!B:R"),15,FALSE),"")</f>
        <v/>
      </c>
      <c r="CP222" s="96">
        <f>IFERROR(VLOOKUP($B222,INDIRECT("'GRD-"&amp;CP$11&amp;"'!B:R"),15,FALSE),"")</f>
        <v/>
      </c>
      <c r="CQ222" s="96">
        <f>IFERROR(VLOOKUP($B222,INDIRECT("'GRD-"&amp;CQ$11&amp;"'!B:R"),15,FALSE),"")</f>
        <v/>
      </c>
      <c r="CR222" s="96">
        <f>IFERROR(VLOOKUP($B222,INDIRECT("'GRD-"&amp;CR$11&amp;"'!B:R"),15,FALSE),"")</f>
        <v/>
      </c>
      <c r="CS222" s="96">
        <f>IFERROR(VLOOKUP($B222,INDIRECT("'GRD-"&amp;CS$11&amp;"'!B:R"),15,FALSE),"")</f>
        <v/>
      </c>
      <c r="CT222" s="96">
        <f>IFERROR(VLOOKUP($B222,INDIRECT("'GRD-"&amp;CT$11&amp;"'!B:R"),15,FALSE),"")</f>
        <v/>
      </c>
      <c r="CU222" s="96">
        <f>IFERROR(VLOOKUP($B222,INDIRECT("'GRD-"&amp;CU$11&amp;"'!B:R"),15,FALSE),"")</f>
        <v/>
      </c>
      <c r="CV222" s="96">
        <f>IFERROR(VLOOKUP($B222,INDIRECT("'GRD-"&amp;CV$11&amp;"'!B:R"),15,FALSE),"")</f>
        <v/>
      </c>
      <c r="CW222" s="96">
        <f>IFERROR(VLOOKUP($B222,INDIRECT("'GRD-"&amp;CW$11&amp;"'!B:R"),15,FALSE),"")</f>
        <v/>
      </c>
      <c r="CX222" s="96">
        <f>IFERROR(VLOOKUP($B222,INDIRECT("'GRD-"&amp;CX$11&amp;"'!B:R"),15,FALSE),"")</f>
        <v/>
      </c>
      <c r="CY222" s="96">
        <f>IFERROR(VLOOKUP($B222,INDIRECT("'GRD-"&amp;CY$11&amp;"'!B:R"),15,FALSE),"")</f>
        <v/>
      </c>
      <c r="CZ222" s="96">
        <f>IFERROR(VLOOKUP($B222,INDIRECT("'GRD-"&amp;CZ$11&amp;"'!B:R"),15,FALSE),"")</f>
        <v/>
      </c>
      <c r="DA222" s="96">
        <f>IFERROR(VLOOKUP($B222,INDIRECT("'GRD-"&amp;DA$11&amp;"'!B:R"),15,FALSE),"")</f>
        <v/>
      </c>
      <c r="DB222" s="96">
        <f>IFERROR(VLOOKUP($B222,INDIRECT("'GRD-"&amp;DB$11&amp;"'!B:R"),15,FALSE),"")</f>
        <v/>
      </c>
      <c r="DC222" s="96">
        <f>IFERROR(VLOOKUP($B222,INDIRECT("'GRD-"&amp;DC$11&amp;"'!B:R"),15,FALSE),"")</f>
        <v/>
      </c>
      <c r="DD222" s="96">
        <f>IFERROR(VLOOKUP($B222,INDIRECT("'GRD-"&amp;DD$11&amp;"'!B:R"),15,FALSE),"")</f>
        <v/>
      </c>
      <c r="DE222" s="96">
        <f>IFERROR(VLOOKUP($B222,INDIRECT("'GRD-"&amp;DE$11&amp;"'!B:R"),15,FALSE),"")</f>
        <v/>
      </c>
      <c r="DF222" s="96">
        <f>IFERROR(VLOOKUP($B222,INDIRECT("'GRD-"&amp;DF$11&amp;"'!B:R"),15,FALSE),"")</f>
        <v/>
      </c>
      <c r="DG222" s="96">
        <f>IFERROR(VLOOKUP($B222,INDIRECT("'GRD-"&amp;DG$11&amp;"'!B:R"),15,FALSE),"")</f>
        <v/>
      </c>
      <c r="DH222" s="96">
        <f>IFERROR(VLOOKUP($B222,INDIRECT("'GRD-"&amp;DH$11&amp;"'!B:R"),15,FALSE),"")</f>
        <v/>
      </c>
      <c r="DI222" s="96">
        <f>IFERROR(VLOOKUP($B222,INDIRECT("'GRD-"&amp;DI$11&amp;"'!B:R"),15,FALSE),"")</f>
        <v/>
      </c>
      <c r="DJ222" s="96">
        <f>IFERROR(VLOOKUP($B222,INDIRECT("'GRD-"&amp;DJ$11&amp;"'!B:R"),15,FALSE),"")</f>
        <v/>
      </c>
      <c r="DK222" s="96">
        <f>IFERROR(VLOOKUP($B222,INDIRECT("'GRD-"&amp;DK$11&amp;"'!B:R"),15,FALSE),"")</f>
        <v/>
      </c>
      <c r="DL222" s="96">
        <f>IFERROR(VLOOKUP($B222,INDIRECT("'GRD-"&amp;DL$11&amp;"'!B:R"),15,FALSE),"")</f>
        <v/>
      </c>
      <c r="DM222" s="96">
        <f>IFERROR(VLOOKUP($B222,INDIRECT("'GRD-"&amp;DM$11&amp;"'!B:R"),15,FALSE),"")</f>
        <v/>
      </c>
      <c r="DN222" s="96">
        <f>IFERROR(VLOOKUP($B222,INDIRECT("'GRD-"&amp;DN$11&amp;"'!B:R"),15,FALSE),"")</f>
        <v/>
      </c>
      <c r="DO222" s="96">
        <f>IFERROR(VLOOKUP($B222,INDIRECT("'GRD-"&amp;DO$11&amp;"'!B:R"),15,FALSE),"")</f>
        <v/>
      </c>
      <c r="DP222" s="96">
        <f>IFERROR(VLOOKUP($B222,INDIRECT("'GRD-"&amp;DP$11&amp;"'!B:R"),15,FALSE),"")</f>
        <v/>
      </c>
      <c r="DQ222" s="96">
        <f>IFERROR(VLOOKUP($B222,INDIRECT("'GRD-"&amp;DQ$11&amp;"'!B:R"),15,FALSE),"")</f>
        <v/>
      </c>
      <c r="DR222" s="96">
        <f>IFERROR(VLOOKUP($B222,INDIRECT("'GRD-"&amp;DR$11&amp;"'!B:R"),15,FALSE),"")</f>
        <v/>
      </c>
      <c r="DS222" s="96">
        <f>IFERROR(VLOOKUP($B222,INDIRECT("'GRD-"&amp;DS$11&amp;"'!B:R"),15,FALSE),"")</f>
        <v/>
      </c>
      <c r="DT222" s="96">
        <f>IFERROR(VLOOKUP($B222,INDIRECT("'GRD-"&amp;DT$11&amp;"'!B:R"),15,FALSE),"")</f>
        <v/>
      </c>
      <c r="DU222" s="96">
        <f>IFERROR(VLOOKUP($B222,INDIRECT("'GRD-"&amp;DU$11&amp;"'!B:R"),15,FALSE),"")</f>
        <v/>
      </c>
      <c r="DV222" s="96">
        <f>IFERROR(VLOOKUP($B222,INDIRECT("'GRD-"&amp;DV$11&amp;"'!B:R"),15,FALSE),"")</f>
        <v/>
      </c>
      <c r="DW222" s="96">
        <f>IFERROR(VLOOKUP($B222,INDIRECT("'GRD-"&amp;DW$11&amp;"'!B:R"),15,FALSE),"")</f>
        <v/>
      </c>
      <c r="DX222" s="96">
        <f>IFERROR(VLOOKUP($B222,INDIRECT("'GRD-"&amp;DX$11&amp;"'!B:R"),15,FALSE),"")</f>
        <v/>
      </c>
      <c r="DY222" s="96">
        <f>IFERROR(VLOOKUP($B222,INDIRECT("'GRD-"&amp;DY$11&amp;"'!B:R"),15,FALSE),"")</f>
        <v/>
      </c>
      <c r="DZ222" s="96">
        <f>IFERROR(VLOOKUP($B222,INDIRECT("'GRD-"&amp;DZ$11&amp;"'!B:R"),15,FALSE),"")</f>
        <v/>
      </c>
      <c r="EA222" s="96">
        <f>IFERROR(VLOOKUP($B222,INDIRECT("'GRD-"&amp;EA$11&amp;"'!B:R"),15,FALSE),"")</f>
        <v/>
      </c>
      <c r="EB222" s="96">
        <f>IFERROR(VLOOKUP($B222,INDIRECT("'GRD-"&amp;EB$11&amp;"'!B:R"),15,FALSE),"")</f>
        <v/>
      </c>
      <c r="EC222" s="96">
        <f>IFERROR(VLOOKUP($B222,INDIRECT("'GRD-"&amp;EC$11&amp;"'!B:R"),15,FALSE),"")</f>
        <v/>
      </c>
      <c r="ED222" s="96">
        <f>IFERROR(VLOOKUP($B222,INDIRECT("'GRD-"&amp;ED$11&amp;"'!B:R"),15,FALSE),"")</f>
        <v/>
      </c>
      <c r="EE222" s="96">
        <f>IFERROR(VLOOKUP($B222,INDIRECT("'GRD-"&amp;EE$11&amp;"'!B:R"),15,FALSE),"")</f>
        <v/>
      </c>
      <c r="EF222" s="96">
        <f>IFERROR(VLOOKUP($B222,INDIRECT("'GRD-"&amp;EF$11&amp;"'!B:R"),15,FALSE),"")</f>
        <v/>
      </c>
      <c r="EG222" s="96">
        <f>IFERROR(VLOOKUP($B222,INDIRECT("'GRD-"&amp;EG$11&amp;"'!B:R"),15,FALSE),"")</f>
        <v/>
      </c>
      <c r="EH222" s="96">
        <f>IFERROR(VLOOKUP($B222,INDIRECT("'GRD-"&amp;EH$11&amp;"'!B:R"),15,FALSE),"")</f>
        <v/>
      </c>
      <c r="EI222" s="96">
        <f>IFERROR(VLOOKUP($B222,INDIRECT("'GRD-"&amp;EI$11&amp;"'!B:R"),15,FALSE),"")</f>
        <v/>
      </c>
      <c r="EJ222" s="96">
        <f>IFERROR(VLOOKUP($B222,INDIRECT("'GRD-"&amp;EJ$11&amp;"'!B:R"),15,FALSE),"")</f>
        <v/>
      </c>
      <c r="EK222" s="96">
        <f>IFERROR(VLOOKUP($B222,INDIRECT("'GRD-"&amp;EK$11&amp;"'!B:R"),15,FALSE),"")</f>
        <v/>
      </c>
      <c r="EL222" s="96">
        <f>IFERROR(VLOOKUP($B222,INDIRECT("'GRD-"&amp;EL$11&amp;"'!B:R"),15,FALSE),"")</f>
        <v/>
      </c>
      <c r="EM222" s="96">
        <f>IFERROR(VLOOKUP($B222,INDIRECT("'GRD-"&amp;EM$11&amp;"'!B:R"),15,FALSE),"")</f>
        <v/>
      </c>
      <c r="EN222" s="96">
        <f>IFERROR(VLOOKUP($B222,INDIRECT("'GRD-"&amp;EN$11&amp;"'!B:R"),15,FALSE),"")</f>
        <v/>
      </c>
      <c r="EO222" s="96">
        <f>IFERROR(VLOOKUP($B222,INDIRECT("'GRD-"&amp;EO$11&amp;"'!B:R"),15,FALSE),"")</f>
        <v/>
      </c>
      <c r="EP222" s="96">
        <f>IFERROR(VLOOKUP($B222,INDIRECT("'GRD-"&amp;EP$11&amp;"'!B:R"),15,FALSE),"")</f>
        <v/>
      </c>
      <c r="EQ222" s="96">
        <f>IFERROR(VLOOKUP($B222,INDIRECT("'GRD-"&amp;EQ$11&amp;"'!B:R"),15,FALSE),"")</f>
        <v/>
      </c>
      <c r="ER222" s="96">
        <f>IFERROR(VLOOKUP($B222,INDIRECT("'GRD-"&amp;ER$11&amp;"'!B:R"),15,FALSE),"")</f>
        <v/>
      </c>
      <c r="ES222" s="96">
        <f>IFERROR(VLOOKUP($B222,INDIRECT("'GRD-"&amp;ES$11&amp;"'!B:R"),15,FALSE),"")</f>
        <v/>
      </c>
      <c r="ET222" s="96">
        <f>IFERROR(VLOOKUP($B222,INDIRECT("'GRD-"&amp;ET$11&amp;"'!B:R"),15,FALSE),"")</f>
        <v/>
      </c>
      <c r="EU222" s="96">
        <f>IFERROR(VLOOKUP($B222,INDIRECT("'GRD-"&amp;EU$11&amp;"'!B:R"),15,FALSE),"")</f>
        <v/>
      </c>
      <c r="EV222" s="96">
        <f>IFERROR(VLOOKUP($B222,INDIRECT("'GRD-"&amp;EV$11&amp;"'!B:R"),15,FALSE),"")</f>
        <v/>
      </c>
      <c r="EW222" s="96">
        <f>IFERROR(VLOOKUP($B222,INDIRECT("'GRD-"&amp;EW$11&amp;"'!B:R"),15,FALSE),"")</f>
        <v/>
      </c>
      <c r="EX222" s="96">
        <f>IFERROR(VLOOKUP($B222,INDIRECT("'GRD-"&amp;EX$11&amp;"'!B:R"),15,FALSE),"")</f>
        <v/>
      </c>
      <c r="EY222" s="96">
        <f>IFERROR(VLOOKUP($B222,INDIRECT("'GRD-"&amp;EY$11&amp;"'!B:R"),15,FALSE),"")</f>
        <v/>
      </c>
      <c r="EZ222" s="96">
        <f>IFERROR(VLOOKUP($B222,INDIRECT("'GRD-"&amp;EZ$11&amp;"'!B:R"),15,FALSE),"")</f>
        <v/>
      </c>
      <c r="FA222" s="96">
        <f>IFERROR(VLOOKUP($B222,INDIRECT("'GRD-"&amp;FA$11&amp;"'!B:R"),15,FALSE),"")</f>
        <v/>
      </c>
      <c r="FB222" s="96">
        <f>IFERROR(VLOOKUP($B222,INDIRECT("'GRD-"&amp;FB$11&amp;"'!B:R"),15,FALSE),"")</f>
        <v/>
      </c>
      <c r="FC222" s="96">
        <f>IFERROR(VLOOKUP($B222,INDIRECT("'GRD-"&amp;FC$11&amp;"'!B:R"),15,FALSE),"")</f>
        <v/>
      </c>
      <c r="FD222" s="96">
        <f>IFERROR(VLOOKUP($B222,INDIRECT("'GRD-"&amp;FD$11&amp;"'!B:R"),15,FALSE),"")</f>
        <v/>
      </c>
      <c r="FE222" s="96">
        <f>IFERROR(VLOOKUP($B222,INDIRECT("'GRD-"&amp;FE$11&amp;"'!B:R"),15,FALSE),"")</f>
        <v/>
      </c>
      <c r="FF222" s="96">
        <f>IFERROR(VLOOKUP($B222,INDIRECT("'GRD-"&amp;FF$11&amp;"'!B:R"),15,FALSE),"")</f>
        <v/>
      </c>
      <c r="FG222" s="96">
        <f>IFERROR(VLOOKUP($B222,INDIRECT("'GRD-"&amp;FG$11&amp;"'!B:R"),15,FALSE),"")</f>
        <v/>
      </c>
      <c r="FH222" s="96">
        <f>IFERROR(VLOOKUP($B222,INDIRECT("'GRD-"&amp;FH$11&amp;"'!B:R"),15,FALSE),"")</f>
        <v/>
      </c>
      <c r="FI222" s="96">
        <f>IFERROR(VLOOKUP($B222,INDIRECT("'GRD-"&amp;FI$11&amp;"'!B:R"),15,FALSE),"")</f>
        <v/>
      </c>
      <c r="FJ222" s="96">
        <f>IFERROR(VLOOKUP($B222,INDIRECT("'GRD-"&amp;FJ$11&amp;"'!B:R"),15,FALSE),"")</f>
        <v/>
      </c>
      <c r="FK222" s="96">
        <f>IFERROR(VLOOKUP($B222,INDIRECT("'GRD-"&amp;FK$11&amp;"'!B:R"),15,FALSE),"")</f>
        <v/>
      </c>
      <c r="FL222" s="96">
        <f>IFERROR(VLOOKUP($B222,INDIRECT("'GRD-"&amp;FL$11&amp;"'!B:R"),15,FALSE),"")</f>
        <v/>
      </c>
      <c r="FM222" s="96">
        <f>IFERROR(VLOOKUP($B222,INDIRECT("'GRD-"&amp;FM$11&amp;"'!B:R"),15,FALSE),"")</f>
        <v/>
      </c>
      <c r="FN222" s="96">
        <f>IFERROR(VLOOKUP($B222,INDIRECT("'GRD-"&amp;FN$11&amp;"'!B:R"),15,FALSE),"")</f>
        <v/>
      </c>
      <c r="FO222" s="96">
        <f>IFERROR(VLOOKUP($B222,INDIRECT("'GRD-"&amp;FO$11&amp;"'!B:R"),15,FALSE),"")</f>
        <v/>
      </c>
      <c r="FP222" s="96">
        <f>IFERROR(VLOOKUP($B222,INDIRECT("'GRD-"&amp;FP$11&amp;"'!B:R"),15,FALSE),"")</f>
        <v/>
      </c>
      <c r="FQ222" s="96">
        <f>IFERROR(VLOOKUP($B222,INDIRECT("'GRD-"&amp;FQ$11&amp;"'!B:R"),15,FALSE),"")</f>
        <v/>
      </c>
      <c r="FR222" s="96">
        <f>IFERROR(VLOOKUP($B222,INDIRECT("'GRD-"&amp;FR$11&amp;"'!B:R"),15,FALSE),"")</f>
        <v/>
      </c>
      <c r="FS222" s="96">
        <f>IFERROR(VLOOKUP($B222,INDIRECT("'GRD-"&amp;FS$11&amp;"'!B:R"),15,FALSE),"")</f>
        <v/>
      </c>
      <c r="FT222" s="96">
        <f>IFERROR(VLOOKUP($B222,INDIRECT("'GRD-"&amp;FT$11&amp;"'!B:R"),15,FALSE),"")</f>
        <v/>
      </c>
      <c r="FU222" s="96">
        <f>IFERROR(VLOOKUP($B222,INDIRECT("'GRD-"&amp;FU$11&amp;"'!B:R"),15,FALSE),"")</f>
        <v/>
      </c>
      <c r="FV222" s="96">
        <f>IFERROR(VLOOKUP($B222,INDIRECT("'GRD-"&amp;FV$11&amp;"'!B:R"),15,FALSE),"")</f>
        <v/>
      </c>
    </row>
    <row r="223">
      <c r="B223" s="85" t="n"/>
      <c r="C223" s="93" t="n"/>
      <c r="D223" s="73">
        <f>IF(K223="","",MAX($CA223:$FV223))</f>
        <v/>
      </c>
      <c r="E223" s="74">
        <f t="array" ref="E223">IF($K223="","",OFFSET($A$1,ROW($B223)-1,11+$D223*4,))</f>
        <v/>
      </c>
      <c r="F223" s="74">
        <f t="array" ref="F223">IF($K223="","",OFFSET($A$1,ROW($B223)-1,12+$D223*4,))</f>
        <v/>
      </c>
      <c r="G223" s="118">
        <f t="array" ref="G223">IF($K223="","",OFFSET($A$1,ROW($B223)-1,13+$D223*4,))</f>
        <v/>
      </c>
      <c r="H223" s="81" t="n"/>
      <c r="I223" s="82" t="n"/>
      <c r="J223" s="75">
        <f>IF(I223="A4",H223/8,IF(I223="A3",H223/4,IF(I223="A2",H223/2,IF(I223="A1",H223/1,IF(I223="A0",H223*2,"")))))</f>
        <v/>
      </c>
      <c r="K223" s="68">
        <f t="array" ref="K223">IFERROR(OFFSET($BZ$11,ROW($B223)-11,MATCH(K$10,$CA223:$FV223,0),),"")</f>
        <v/>
      </c>
      <c r="L223" s="85">
        <f>IF(K223="","",IF(VLOOKUP($B223,INDIRECT("'GRD-"&amp;M223&amp;"'!$B:$R"),16,FALSE)="","",VLOOKUP($B223,INDIRECT("'GRD-"&amp;M223&amp;"'!$B:$R"),16,FALSE)))</f>
        <v/>
      </c>
      <c r="M223" s="130">
        <f t="array" ref="M223">IF(K223="","",IFERROR(OFFSET($BZ$11,0,MATCH($K223,$CA223:$FV223,0),),""))</f>
        <v/>
      </c>
      <c r="N223" s="119">
        <f t="array" ref="N223">IF(K223="","",INDIRECT("'GRD-"&amp;M223&amp;"'!$L$7"))</f>
        <v/>
      </c>
      <c r="O223" s="76">
        <f t="array" ref="O223">IFERROR(OFFSET($BZ$11,ROW($B223)-11,MATCH(O$10,$CA223:$FV223,0),),"")</f>
        <v/>
      </c>
      <c r="P223" s="76">
        <f>IF(O223="","",IF(VLOOKUP($B223,INDIRECT("'GRD-"&amp;Q223&amp;"'!$B:$R"),16,FALSE)="","",VLOOKUP($B223,INDIRECT("'GRD-"&amp;Q223&amp;"'!$B:$R"),16,FALSE)))</f>
        <v/>
      </c>
      <c r="Q223" s="132">
        <f t="array" ref="Q223">IF(O223="","",IFERROR(OFFSET($BZ$11,0,MATCH($O223,$CA223:$FV223,0),),""))</f>
        <v/>
      </c>
      <c r="R223" s="121">
        <f t="array" ref="R223">IF(O223="","",INDIRECT("'GRD-"&amp;Q223&amp;"'!$L$7"))</f>
        <v/>
      </c>
      <c r="S223" s="83">
        <f t="array" ref="S223">IFERROR(OFFSET($BZ$11,ROW($B223)-11,MATCH(S$10,$CA223:$FV223,0),),"")</f>
        <v/>
      </c>
      <c r="T223" s="83">
        <f>IF(S223="","",IF(VLOOKUP($B223,INDIRECT("'GRD-"&amp;U223&amp;"'!$B:$R"),16,FALSE)="","",VLOOKUP($B223,INDIRECT("'GRD-"&amp;U223&amp;"'!$B:$R"),16,FALSE)))</f>
        <v/>
      </c>
      <c r="U223" s="128">
        <f t="array" ref="U223">IF(S223="","",IFERROR(OFFSET($BZ$11,0,MATCH($S223,$CA223:$FV223,0),),""))</f>
        <v/>
      </c>
      <c r="V223" s="133">
        <f t="array" ref="V223">IF(S223="","",INDIRECT("'GRD-"&amp;U223&amp;"'!$L$7"))</f>
        <v/>
      </c>
      <c r="W223" s="84">
        <f t="array" ref="W223">IFERROR(OFFSET($BZ$11,ROW($B223)-11,MATCH(W$10,$CA223:$FV223,0),),"")</f>
        <v/>
      </c>
      <c r="X223" s="84">
        <f>IF(W223="","",IF(VLOOKUP($B223,INDIRECT("'GRD-"&amp;Y223&amp;"'!$B:$R"),16,FALSE)="","",VLOOKUP($B223,INDIRECT("'GRD-"&amp;Y223&amp;"'!$B:$R"),16,FALSE)))</f>
        <v/>
      </c>
      <c r="Y223" s="129">
        <f t="array" ref="Y223">IF(W223="","",IFERROR(OFFSET($BZ$11,0,MATCH($W223,$CA223:$FV223,0),),""))</f>
        <v/>
      </c>
      <c r="Z223" s="134">
        <f t="array" ref="Z223">IF(W223="","",INDIRECT("'GRD-"&amp;Y223&amp;"'!$L$7"))</f>
        <v/>
      </c>
      <c r="AA223" s="85">
        <f t="array" ref="AA223">IFERROR(OFFSET($BZ$11,ROW($B223)-11,MATCH(AA$10,$CA223:$FV223,0),),"")</f>
        <v/>
      </c>
      <c r="AB223" s="85">
        <f>IF(AA223="","",IF(VLOOKUP($B223,INDIRECT("'GRD-"&amp;AC223&amp;"'!$B:$R"),16,FALSE)="","",VLOOKUP($B223,INDIRECT("'GRD-"&amp;AC223&amp;"'!$B:$R"),16,FALSE)))</f>
        <v/>
      </c>
      <c r="AC223" s="130">
        <f t="array" ref="AC223">IF(AA223="","",IFERROR(OFFSET($BZ$11,0,MATCH($AA223,$CA223:$FV223,0),),""))</f>
        <v/>
      </c>
      <c r="AD223" s="131">
        <f t="array" ref="AD223">IF(AA223="","",INDIRECT("'GRD-"&amp;AC223&amp;"'!$L$7"))</f>
        <v/>
      </c>
      <c r="AE223" s="76">
        <f t="array" ref="AE223">IFERROR(OFFSET($BZ$11,ROW($B223)-11,MATCH(AE$10,$CA223:$FV223,0),),"")</f>
        <v/>
      </c>
      <c r="AF223" s="76">
        <f>IF(AE223="","",IF(VLOOKUP($B223,INDIRECT("'GRD-"&amp;AG223&amp;"'!$B:$R"),16,FALSE)="","",VLOOKUP($B223,INDIRECT("'GRD-"&amp;AG223&amp;"'!$B:$R"),16,FALSE)))</f>
        <v/>
      </c>
      <c r="AG223" s="132">
        <f t="array" ref="AG223">IF(AE223="","",IFERROR(OFFSET($BZ$11,0,MATCH($AE223,$CA223:$FV223,0),),""))</f>
        <v/>
      </c>
      <c r="AH223" s="121">
        <f t="array" ref="AH223">IF(AE223="","",INDIRECT("'GRD-"&amp;AG223&amp;"'!$L$7"))</f>
        <v/>
      </c>
      <c r="AI223" s="83">
        <f t="array" ref="AI223">IFERROR(OFFSET($BZ$11,ROW($B223)-11,MATCH(AI$10,$CA223:$FV223,0),),"")</f>
        <v/>
      </c>
      <c r="AJ223" s="83">
        <f>IF(AI223="","",IF(VLOOKUP($B223,INDIRECT("'GRD-"&amp;AK223&amp;"'!$B:$R"),16,FALSE)="","",VLOOKUP($B223,INDIRECT("'GRD-"&amp;AK223&amp;"'!$B:$R"),16,FALSE)))</f>
        <v/>
      </c>
      <c r="AK223" s="128">
        <f t="array" ref="AK223">IF(AI223="","",IFERROR(OFFSET($BZ$11,0,MATCH($AI223,$CA223:$FV223,0),),""))</f>
        <v/>
      </c>
      <c r="AL223" s="133">
        <f t="array" ref="AL223">IF(AI223="","",INDIRECT("'GRD-"&amp;AK223&amp;"'!$L$7"))</f>
        <v/>
      </c>
      <c r="AM223" s="84">
        <f t="array" ref="AM223">IFERROR(OFFSET($BZ$11,ROW($B223)-11,MATCH(AM$10,$CA223:$FV223,0),),"")</f>
        <v/>
      </c>
      <c r="AN223" s="84">
        <f>IF(AM223="","",IF(VLOOKUP($B223,INDIRECT("'GRD-"&amp;AO223&amp;"'!$B:$R"),16,FALSE)="","",VLOOKUP($B223,INDIRECT("'GRD-"&amp;AO223&amp;"'!$B:$R"),16,FALSE)))</f>
        <v/>
      </c>
      <c r="AO223" s="129">
        <f t="array" ref="AO223">IF(AM223="","",IFERROR(OFFSET($BZ$11,0,MATCH($AM223,$CA223:$FV223,0),),""))</f>
        <v/>
      </c>
      <c r="AP223" s="134">
        <f t="array" ref="AP223">IF(AM223="","",INDIRECT("'GRD-"&amp;AO223&amp;"'!$L$7"))</f>
        <v/>
      </c>
      <c r="AQ223" s="85">
        <f t="array" ref="AQ223">IFERROR(OFFSET($BZ$11,ROW($B223)-11,MATCH(AQ$10,$CA223:$FV223,0),),"")</f>
        <v/>
      </c>
      <c r="AR223" s="85">
        <f>IF(AQ223="","",IF(VLOOKUP($B223,INDIRECT("'GRD-"&amp;AS223&amp;"'!$B:$R"),16,FALSE)="","",VLOOKUP($B223,INDIRECT("'GRD-"&amp;AS223&amp;"'!$B:$R"),16,FALSE)))</f>
        <v/>
      </c>
      <c r="AS223" s="130">
        <f t="array" ref="AS223">IF(AQ223="","",IFERROR(OFFSET($BZ$11,0,MATCH($AQ223,$CA223:$FV223,0),),""))</f>
        <v/>
      </c>
      <c r="AT223" s="131">
        <f t="array" ref="AT223">IF(AQ223="","",INDIRECT("'GRD-"&amp;AS223&amp;"'!$L$7"))</f>
        <v/>
      </c>
      <c r="AU223" s="76">
        <f t="array" ref="AU223">IFERROR(OFFSET($BZ$11,ROW($B223)-11,MATCH(AU$10,$CA223:$FV223,0),),"")</f>
        <v/>
      </c>
      <c r="AV223" s="76">
        <f>IF(AU223="","",IF(VLOOKUP($B223,INDIRECT("'GRD-"&amp;AW223&amp;"'!$B:$R"),16,FALSE)="","",VLOOKUP($B223,INDIRECT("'GRD-"&amp;AW223&amp;"'!$B:$R"),16,FALSE)))</f>
        <v/>
      </c>
      <c r="AW223" s="132">
        <f t="array" ref="AW223">IF(AU223="","",IFERROR(OFFSET($BZ$11,0,MATCH($AU223,$CA223:$FV223,0),),""))</f>
        <v/>
      </c>
      <c r="AX223" s="121">
        <f t="array" ref="AX223">IF(AU223="","",INDIRECT("'GRD-"&amp;AW223&amp;"'!$L$7"))</f>
        <v/>
      </c>
      <c r="AY223" s="83">
        <f t="array" ref="AY223">IFERROR(OFFSET($BZ$11,ROW($B223)-11,MATCH(AY$10,$CA223:$FV223,0),),"")</f>
        <v/>
      </c>
      <c r="AZ223" s="83">
        <f>IF(AY223="","",IF(VLOOKUP($B223,INDIRECT("'GRD-"&amp;BA223&amp;"'!$B:$R"),16,FALSE)="","",VLOOKUP($B223,INDIRECT("'GRD-"&amp;BA223&amp;"'!$B:$R"),16,FALSE)))</f>
        <v/>
      </c>
      <c r="BA223" s="128">
        <f t="array" ref="BA223">IF(AY223="","",IFERROR(OFFSET($BZ$11,0,MATCH($AY223,$CA223:$FV223,0),),""))</f>
        <v/>
      </c>
      <c r="BB223" s="133">
        <f t="array" ref="BB223">IF(AY223="","",INDIRECT("'GRD-"&amp;BA223&amp;"'!$L$7"))</f>
        <v/>
      </c>
      <c r="BC223" s="84">
        <f t="array" ref="BC223">IFERROR(OFFSET($BZ$11,ROW($B223)-11,MATCH(BC$10,$CA223:$FV223,0),),"")</f>
        <v/>
      </c>
      <c r="BD223" s="84">
        <f>IF(BC223="","",IF(VLOOKUP($B223,INDIRECT("'GRD-"&amp;BE223&amp;"'!$B:$R"),16,FALSE)="","",VLOOKUP($B223,INDIRECT("'GRD-"&amp;BE223&amp;"'!$B:$R"),16,FALSE)))</f>
        <v/>
      </c>
      <c r="BE223" s="129">
        <f t="array" ref="BE223">IF(BC223="","",IFERROR(OFFSET($BZ$11,0,MATCH($BC223,$CA223:$FV223,0),),""))</f>
        <v/>
      </c>
      <c r="BF223" s="134">
        <f t="array" ref="BF223">IF(BC223="","",INDIRECT("'GRD-"&amp;BE223&amp;"'!$L$7"))</f>
        <v/>
      </c>
      <c r="CA223" s="96">
        <f>IFERROR(VLOOKUP($B223,INDIRECT("'GRD-"&amp;CA$11&amp;"'!B:R"),15,FALSE),"")</f>
        <v/>
      </c>
      <c r="CB223" s="96">
        <f>IFERROR(VLOOKUP($B223,INDIRECT("'GRD-"&amp;CB$11&amp;"'!B:R"),15,FALSE),"")</f>
        <v/>
      </c>
      <c r="CC223" s="96">
        <f>IFERROR(VLOOKUP($B223,INDIRECT("'GRD-"&amp;CC$11&amp;"'!B:R"),15,FALSE),"")</f>
        <v/>
      </c>
      <c r="CD223" s="96">
        <f>IFERROR(VLOOKUP($B223,INDIRECT("'GRD-"&amp;CD$11&amp;"'!B:R"),15,FALSE),"")</f>
        <v/>
      </c>
      <c r="CE223" s="96">
        <f>IFERROR(VLOOKUP($B223,INDIRECT("'GRD-"&amp;CE$11&amp;"'!B:R"),15,FALSE),"")</f>
        <v/>
      </c>
      <c r="CF223" s="96">
        <f>IFERROR(VLOOKUP($B223,INDIRECT("'GRD-"&amp;CF$11&amp;"'!B:R"),15,FALSE),"")</f>
        <v/>
      </c>
      <c r="CG223" s="96">
        <f>IFERROR(VLOOKUP($B223,INDIRECT("'GRD-"&amp;CG$11&amp;"'!B:R"),15,FALSE),"")</f>
        <v/>
      </c>
      <c r="CH223" s="96">
        <f>IFERROR(VLOOKUP($B223,INDIRECT("'GRD-"&amp;CH$11&amp;"'!B:R"),15,FALSE),"")</f>
        <v/>
      </c>
      <c r="CI223" s="96">
        <f>IFERROR(VLOOKUP($B223,INDIRECT("'GRD-"&amp;CI$11&amp;"'!B:R"),15,FALSE),"")</f>
        <v/>
      </c>
      <c r="CJ223" s="96">
        <f>IFERROR(VLOOKUP($B223,INDIRECT("'GRD-"&amp;CJ$11&amp;"'!B:R"),15,FALSE),"")</f>
        <v/>
      </c>
      <c r="CK223" s="96">
        <f>IFERROR(VLOOKUP($B223,INDIRECT("'GRD-"&amp;CK$11&amp;"'!B:R"),15,FALSE),"")</f>
        <v/>
      </c>
      <c r="CL223" s="96">
        <f>IFERROR(VLOOKUP($B223,INDIRECT("'GRD-"&amp;CL$11&amp;"'!B:R"),15,FALSE),"")</f>
        <v/>
      </c>
      <c r="CM223" s="96">
        <f>IFERROR(VLOOKUP($B223,INDIRECT("'GRD-"&amp;CM$11&amp;"'!B:R"),15,FALSE),"")</f>
        <v/>
      </c>
      <c r="CN223" s="96">
        <f>IFERROR(VLOOKUP($B223,INDIRECT("'GRD-"&amp;CN$11&amp;"'!B:R"),15,FALSE),"")</f>
        <v/>
      </c>
      <c r="CO223" s="96">
        <f>IFERROR(VLOOKUP($B223,INDIRECT("'GRD-"&amp;CO$11&amp;"'!B:R"),15,FALSE),"")</f>
        <v/>
      </c>
      <c r="CP223" s="96">
        <f>IFERROR(VLOOKUP($B223,INDIRECT("'GRD-"&amp;CP$11&amp;"'!B:R"),15,FALSE),"")</f>
        <v/>
      </c>
      <c r="CQ223" s="96">
        <f>IFERROR(VLOOKUP($B223,INDIRECT("'GRD-"&amp;CQ$11&amp;"'!B:R"),15,FALSE),"")</f>
        <v/>
      </c>
      <c r="CR223" s="96">
        <f>IFERROR(VLOOKUP($B223,INDIRECT("'GRD-"&amp;CR$11&amp;"'!B:R"),15,FALSE),"")</f>
        <v/>
      </c>
      <c r="CS223" s="96">
        <f>IFERROR(VLOOKUP($B223,INDIRECT("'GRD-"&amp;CS$11&amp;"'!B:R"),15,FALSE),"")</f>
        <v/>
      </c>
      <c r="CT223" s="96">
        <f>IFERROR(VLOOKUP($B223,INDIRECT("'GRD-"&amp;CT$11&amp;"'!B:R"),15,FALSE),"")</f>
        <v/>
      </c>
      <c r="CU223" s="96">
        <f>IFERROR(VLOOKUP($B223,INDIRECT("'GRD-"&amp;CU$11&amp;"'!B:R"),15,FALSE),"")</f>
        <v/>
      </c>
      <c r="CV223" s="96">
        <f>IFERROR(VLOOKUP($B223,INDIRECT("'GRD-"&amp;CV$11&amp;"'!B:R"),15,FALSE),"")</f>
        <v/>
      </c>
      <c r="CW223" s="96">
        <f>IFERROR(VLOOKUP($B223,INDIRECT("'GRD-"&amp;CW$11&amp;"'!B:R"),15,FALSE),"")</f>
        <v/>
      </c>
      <c r="CX223" s="96">
        <f>IFERROR(VLOOKUP($B223,INDIRECT("'GRD-"&amp;CX$11&amp;"'!B:R"),15,FALSE),"")</f>
        <v/>
      </c>
      <c r="CY223" s="96">
        <f>IFERROR(VLOOKUP($B223,INDIRECT("'GRD-"&amp;CY$11&amp;"'!B:R"),15,FALSE),"")</f>
        <v/>
      </c>
      <c r="CZ223" s="96">
        <f>IFERROR(VLOOKUP($B223,INDIRECT("'GRD-"&amp;CZ$11&amp;"'!B:R"),15,FALSE),"")</f>
        <v/>
      </c>
      <c r="DA223" s="96">
        <f>IFERROR(VLOOKUP($B223,INDIRECT("'GRD-"&amp;DA$11&amp;"'!B:R"),15,FALSE),"")</f>
        <v/>
      </c>
      <c r="DB223" s="96">
        <f>IFERROR(VLOOKUP($B223,INDIRECT("'GRD-"&amp;DB$11&amp;"'!B:R"),15,FALSE),"")</f>
        <v/>
      </c>
      <c r="DC223" s="96">
        <f>IFERROR(VLOOKUP($B223,INDIRECT("'GRD-"&amp;DC$11&amp;"'!B:R"),15,FALSE),"")</f>
        <v/>
      </c>
      <c r="DD223" s="96">
        <f>IFERROR(VLOOKUP($B223,INDIRECT("'GRD-"&amp;DD$11&amp;"'!B:R"),15,FALSE),"")</f>
        <v/>
      </c>
      <c r="DE223" s="96">
        <f>IFERROR(VLOOKUP($B223,INDIRECT("'GRD-"&amp;DE$11&amp;"'!B:R"),15,FALSE),"")</f>
        <v/>
      </c>
      <c r="DF223" s="96">
        <f>IFERROR(VLOOKUP($B223,INDIRECT("'GRD-"&amp;DF$11&amp;"'!B:R"),15,FALSE),"")</f>
        <v/>
      </c>
      <c r="DG223" s="96">
        <f>IFERROR(VLOOKUP($B223,INDIRECT("'GRD-"&amp;DG$11&amp;"'!B:R"),15,FALSE),"")</f>
        <v/>
      </c>
      <c r="DH223" s="96">
        <f>IFERROR(VLOOKUP($B223,INDIRECT("'GRD-"&amp;DH$11&amp;"'!B:R"),15,FALSE),"")</f>
        <v/>
      </c>
      <c r="DI223" s="96">
        <f>IFERROR(VLOOKUP($B223,INDIRECT("'GRD-"&amp;DI$11&amp;"'!B:R"),15,FALSE),"")</f>
        <v/>
      </c>
      <c r="DJ223" s="96">
        <f>IFERROR(VLOOKUP($B223,INDIRECT("'GRD-"&amp;DJ$11&amp;"'!B:R"),15,FALSE),"")</f>
        <v/>
      </c>
      <c r="DK223" s="96">
        <f>IFERROR(VLOOKUP($B223,INDIRECT("'GRD-"&amp;DK$11&amp;"'!B:R"),15,FALSE),"")</f>
        <v/>
      </c>
      <c r="DL223" s="96">
        <f>IFERROR(VLOOKUP($B223,INDIRECT("'GRD-"&amp;DL$11&amp;"'!B:R"),15,FALSE),"")</f>
        <v/>
      </c>
      <c r="DM223" s="96">
        <f>IFERROR(VLOOKUP($B223,INDIRECT("'GRD-"&amp;DM$11&amp;"'!B:R"),15,FALSE),"")</f>
        <v/>
      </c>
      <c r="DN223" s="96">
        <f>IFERROR(VLOOKUP($B223,INDIRECT("'GRD-"&amp;DN$11&amp;"'!B:R"),15,FALSE),"")</f>
        <v/>
      </c>
      <c r="DO223" s="96">
        <f>IFERROR(VLOOKUP($B223,INDIRECT("'GRD-"&amp;DO$11&amp;"'!B:R"),15,FALSE),"")</f>
        <v/>
      </c>
      <c r="DP223" s="96">
        <f>IFERROR(VLOOKUP($B223,INDIRECT("'GRD-"&amp;DP$11&amp;"'!B:R"),15,FALSE),"")</f>
        <v/>
      </c>
      <c r="DQ223" s="96">
        <f>IFERROR(VLOOKUP($B223,INDIRECT("'GRD-"&amp;DQ$11&amp;"'!B:R"),15,FALSE),"")</f>
        <v/>
      </c>
      <c r="DR223" s="96">
        <f>IFERROR(VLOOKUP($B223,INDIRECT("'GRD-"&amp;DR$11&amp;"'!B:R"),15,FALSE),"")</f>
        <v/>
      </c>
      <c r="DS223" s="96">
        <f>IFERROR(VLOOKUP($B223,INDIRECT("'GRD-"&amp;DS$11&amp;"'!B:R"),15,FALSE),"")</f>
        <v/>
      </c>
      <c r="DT223" s="96">
        <f>IFERROR(VLOOKUP($B223,INDIRECT("'GRD-"&amp;DT$11&amp;"'!B:R"),15,FALSE),"")</f>
        <v/>
      </c>
      <c r="DU223" s="96">
        <f>IFERROR(VLOOKUP($B223,INDIRECT("'GRD-"&amp;DU$11&amp;"'!B:R"),15,FALSE),"")</f>
        <v/>
      </c>
      <c r="DV223" s="96">
        <f>IFERROR(VLOOKUP($B223,INDIRECT("'GRD-"&amp;DV$11&amp;"'!B:R"),15,FALSE),"")</f>
        <v/>
      </c>
      <c r="DW223" s="96">
        <f>IFERROR(VLOOKUP($B223,INDIRECT("'GRD-"&amp;DW$11&amp;"'!B:R"),15,FALSE),"")</f>
        <v/>
      </c>
      <c r="DX223" s="96">
        <f>IFERROR(VLOOKUP($B223,INDIRECT("'GRD-"&amp;DX$11&amp;"'!B:R"),15,FALSE),"")</f>
        <v/>
      </c>
      <c r="DY223" s="96">
        <f>IFERROR(VLOOKUP($B223,INDIRECT("'GRD-"&amp;DY$11&amp;"'!B:R"),15,FALSE),"")</f>
        <v/>
      </c>
      <c r="DZ223" s="96">
        <f>IFERROR(VLOOKUP($B223,INDIRECT("'GRD-"&amp;DZ$11&amp;"'!B:R"),15,FALSE),"")</f>
        <v/>
      </c>
      <c r="EA223" s="96">
        <f>IFERROR(VLOOKUP($B223,INDIRECT("'GRD-"&amp;EA$11&amp;"'!B:R"),15,FALSE),"")</f>
        <v/>
      </c>
      <c r="EB223" s="96">
        <f>IFERROR(VLOOKUP($B223,INDIRECT("'GRD-"&amp;EB$11&amp;"'!B:R"),15,FALSE),"")</f>
        <v/>
      </c>
      <c r="EC223" s="96">
        <f>IFERROR(VLOOKUP($B223,INDIRECT("'GRD-"&amp;EC$11&amp;"'!B:R"),15,FALSE),"")</f>
        <v/>
      </c>
      <c r="ED223" s="96">
        <f>IFERROR(VLOOKUP($B223,INDIRECT("'GRD-"&amp;ED$11&amp;"'!B:R"),15,FALSE),"")</f>
        <v/>
      </c>
      <c r="EE223" s="96">
        <f>IFERROR(VLOOKUP($B223,INDIRECT("'GRD-"&amp;EE$11&amp;"'!B:R"),15,FALSE),"")</f>
        <v/>
      </c>
      <c r="EF223" s="96">
        <f>IFERROR(VLOOKUP($B223,INDIRECT("'GRD-"&amp;EF$11&amp;"'!B:R"),15,FALSE),"")</f>
        <v/>
      </c>
      <c r="EG223" s="96">
        <f>IFERROR(VLOOKUP($B223,INDIRECT("'GRD-"&amp;EG$11&amp;"'!B:R"),15,FALSE),"")</f>
        <v/>
      </c>
      <c r="EH223" s="96">
        <f>IFERROR(VLOOKUP($B223,INDIRECT("'GRD-"&amp;EH$11&amp;"'!B:R"),15,FALSE),"")</f>
        <v/>
      </c>
      <c r="EI223" s="96">
        <f>IFERROR(VLOOKUP($B223,INDIRECT("'GRD-"&amp;EI$11&amp;"'!B:R"),15,FALSE),"")</f>
        <v/>
      </c>
      <c r="EJ223" s="96">
        <f>IFERROR(VLOOKUP($B223,INDIRECT("'GRD-"&amp;EJ$11&amp;"'!B:R"),15,FALSE),"")</f>
        <v/>
      </c>
      <c r="EK223" s="96">
        <f>IFERROR(VLOOKUP($B223,INDIRECT("'GRD-"&amp;EK$11&amp;"'!B:R"),15,FALSE),"")</f>
        <v/>
      </c>
      <c r="EL223" s="96">
        <f>IFERROR(VLOOKUP($B223,INDIRECT("'GRD-"&amp;EL$11&amp;"'!B:R"),15,FALSE),"")</f>
        <v/>
      </c>
      <c r="EM223" s="96">
        <f>IFERROR(VLOOKUP($B223,INDIRECT("'GRD-"&amp;EM$11&amp;"'!B:R"),15,FALSE),"")</f>
        <v/>
      </c>
      <c r="EN223" s="96">
        <f>IFERROR(VLOOKUP($B223,INDIRECT("'GRD-"&amp;EN$11&amp;"'!B:R"),15,FALSE),"")</f>
        <v/>
      </c>
      <c r="EO223" s="96">
        <f>IFERROR(VLOOKUP($B223,INDIRECT("'GRD-"&amp;EO$11&amp;"'!B:R"),15,FALSE),"")</f>
        <v/>
      </c>
      <c r="EP223" s="96">
        <f>IFERROR(VLOOKUP($B223,INDIRECT("'GRD-"&amp;EP$11&amp;"'!B:R"),15,FALSE),"")</f>
        <v/>
      </c>
      <c r="EQ223" s="96">
        <f>IFERROR(VLOOKUP($B223,INDIRECT("'GRD-"&amp;EQ$11&amp;"'!B:R"),15,FALSE),"")</f>
        <v/>
      </c>
      <c r="ER223" s="96">
        <f>IFERROR(VLOOKUP($B223,INDIRECT("'GRD-"&amp;ER$11&amp;"'!B:R"),15,FALSE),"")</f>
        <v/>
      </c>
      <c r="ES223" s="96">
        <f>IFERROR(VLOOKUP($B223,INDIRECT("'GRD-"&amp;ES$11&amp;"'!B:R"),15,FALSE),"")</f>
        <v/>
      </c>
      <c r="ET223" s="96">
        <f>IFERROR(VLOOKUP($B223,INDIRECT("'GRD-"&amp;ET$11&amp;"'!B:R"),15,FALSE),"")</f>
        <v/>
      </c>
      <c r="EU223" s="96">
        <f>IFERROR(VLOOKUP($B223,INDIRECT("'GRD-"&amp;EU$11&amp;"'!B:R"),15,FALSE),"")</f>
        <v/>
      </c>
      <c r="EV223" s="96">
        <f>IFERROR(VLOOKUP($B223,INDIRECT("'GRD-"&amp;EV$11&amp;"'!B:R"),15,FALSE),"")</f>
        <v/>
      </c>
      <c r="EW223" s="96">
        <f>IFERROR(VLOOKUP($B223,INDIRECT("'GRD-"&amp;EW$11&amp;"'!B:R"),15,FALSE),"")</f>
        <v/>
      </c>
      <c r="EX223" s="96">
        <f>IFERROR(VLOOKUP($B223,INDIRECT("'GRD-"&amp;EX$11&amp;"'!B:R"),15,FALSE),"")</f>
        <v/>
      </c>
      <c r="EY223" s="96">
        <f>IFERROR(VLOOKUP($B223,INDIRECT("'GRD-"&amp;EY$11&amp;"'!B:R"),15,FALSE),"")</f>
        <v/>
      </c>
      <c r="EZ223" s="96">
        <f>IFERROR(VLOOKUP($B223,INDIRECT("'GRD-"&amp;EZ$11&amp;"'!B:R"),15,FALSE),"")</f>
        <v/>
      </c>
      <c r="FA223" s="96">
        <f>IFERROR(VLOOKUP($B223,INDIRECT("'GRD-"&amp;FA$11&amp;"'!B:R"),15,FALSE),"")</f>
        <v/>
      </c>
      <c r="FB223" s="96">
        <f>IFERROR(VLOOKUP($B223,INDIRECT("'GRD-"&amp;FB$11&amp;"'!B:R"),15,FALSE),"")</f>
        <v/>
      </c>
      <c r="FC223" s="96">
        <f>IFERROR(VLOOKUP($B223,INDIRECT("'GRD-"&amp;FC$11&amp;"'!B:R"),15,FALSE),"")</f>
        <v/>
      </c>
      <c r="FD223" s="96">
        <f>IFERROR(VLOOKUP($B223,INDIRECT("'GRD-"&amp;FD$11&amp;"'!B:R"),15,FALSE),"")</f>
        <v/>
      </c>
      <c r="FE223" s="96">
        <f>IFERROR(VLOOKUP($B223,INDIRECT("'GRD-"&amp;FE$11&amp;"'!B:R"),15,FALSE),"")</f>
        <v/>
      </c>
      <c r="FF223" s="96">
        <f>IFERROR(VLOOKUP($B223,INDIRECT("'GRD-"&amp;FF$11&amp;"'!B:R"),15,FALSE),"")</f>
        <v/>
      </c>
      <c r="FG223" s="96">
        <f>IFERROR(VLOOKUP($B223,INDIRECT("'GRD-"&amp;FG$11&amp;"'!B:R"),15,FALSE),"")</f>
        <v/>
      </c>
      <c r="FH223" s="96">
        <f>IFERROR(VLOOKUP($B223,INDIRECT("'GRD-"&amp;FH$11&amp;"'!B:R"),15,FALSE),"")</f>
        <v/>
      </c>
      <c r="FI223" s="96">
        <f>IFERROR(VLOOKUP($B223,INDIRECT("'GRD-"&amp;FI$11&amp;"'!B:R"),15,FALSE),"")</f>
        <v/>
      </c>
      <c r="FJ223" s="96">
        <f>IFERROR(VLOOKUP($B223,INDIRECT("'GRD-"&amp;FJ$11&amp;"'!B:R"),15,FALSE),"")</f>
        <v/>
      </c>
      <c r="FK223" s="96">
        <f>IFERROR(VLOOKUP($B223,INDIRECT("'GRD-"&amp;FK$11&amp;"'!B:R"),15,FALSE),"")</f>
        <v/>
      </c>
      <c r="FL223" s="96">
        <f>IFERROR(VLOOKUP($B223,INDIRECT("'GRD-"&amp;FL$11&amp;"'!B:R"),15,FALSE),"")</f>
        <v/>
      </c>
      <c r="FM223" s="96">
        <f>IFERROR(VLOOKUP($B223,INDIRECT("'GRD-"&amp;FM$11&amp;"'!B:R"),15,FALSE),"")</f>
        <v/>
      </c>
      <c r="FN223" s="96">
        <f>IFERROR(VLOOKUP($B223,INDIRECT("'GRD-"&amp;FN$11&amp;"'!B:R"),15,FALSE),"")</f>
        <v/>
      </c>
      <c r="FO223" s="96">
        <f>IFERROR(VLOOKUP($B223,INDIRECT("'GRD-"&amp;FO$11&amp;"'!B:R"),15,FALSE),"")</f>
        <v/>
      </c>
      <c r="FP223" s="96">
        <f>IFERROR(VLOOKUP($B223,INDIRECT("'GRD-"&amp;FP$11&amp;"'!B:R"),15,FALSE),"")</f>
        <v/>
      </c>
      <c r="FQ223" s="96">
        <f>IFERROR(VLOOKUP($B223,INDIRECT("'GRD-"&amp;FQ$11&amp;"'!B:R"),15,FALSE),"")</f>
        <v/>
      </c>
      <c r="FR223" s="96">
        <f>IFERROR(VLOOKUP($B223,INDIRECT("'GRD-"&amp;FR$11&amp;"'!B:R"),15,FALSE),"")</f>
        <v/>
      </c>
      <c r="FS223" s="96">
        <f>IFERROR(VLOOKUP($B223,INDIRECT("'GRD-"&amp;FS$11&amp;"'!B:R"),15,FALSE),"")</f>
        <v/>
      </c>
      <c r="FT223" s="96">
        <f>IFERROR(VLOOKUP($B223,INDIRECT("'GRD-"&amp;FT$11&amp;"'!B:R"),15,FALSE),"")</f>
        <v/>
      </c>
      <c r="FU223" s="96">
        <f>IFERROR(VLOOKUP($B223,INDIRECT("'GRD-"&amp;FU$11&amp;"'!B:R"),15,FALSE),"")</f>
        <v/>
      </c>
      <c r="FV223" s="96">
        <f>IFERROR(VLOOKUP($B223,INDIRECT("'GRD-"&amp;FV$11&amp;"'!B:R"),15,FALSE),"")</f>
        <v/>
      </c>
    </row>
    <row r="224">
      <c r="B224" s="85" t="n"/>
      <c r="C224" s="93" t="n"/>
      <c r="D224" s="73">
        <f>IF(K224="","",MAX($CA224:$FV224))</f>
        <v/>
      </c>
      <c r="E224" s="74">
        <f t="array" ref="E224">IF($K224="","",OFFSET($A$1,ROW($B224)-1,11+$D224*4,))</f>
        <v/>
      </c>
      <c r="F224" s="74">
        <f t="array" ref="F224">IF($K224="","",OFFSET($A$1,ROW($B224)-1,12+$D224*4,))</f>
        <v/>
      </c>
      <c r="G224" s="118">
        <f t="array" ref="G224">IF($K224="","",OFFSET($A$1,ROW($B224)-1,13+$D224*4,))</f>
        <v/>
      </c>
      <c r="H224" s="81" t="n"/>
      <c r="I224" s="82" t="n"/>
      <c r="J224" s="75">
        <f>IF(I224="A4",H224/8,IF(I224="A3",H224/4,IF(I224="A2",H224/2,IF(I224="A1",H224/1,IF(I224="A0",H224*2,"")))))</f>
        <v/>
      </c>
      <c r="K224" s="68">
        <f t="array" ref="K224">IFERROR(OFFSET($BZ$11,ROW($B224)-11,MATCH(K$10,$CA224:$FV224,0),),"")</f>
        <v/>
      </c>
      <c r="L224" s="85">
        <f>IF(K224="","",IF(VLOOKUP($B224,INDIRECT("'GRD-"&amp;M224&amp;"'!$B:$R"),16,FALSE)="","",VLOOKUP($B224,INDIRECT("'GRD-"&amp;M224&amp;"'!$B:$R"),16,FALSE)))</f>
        <v/>
      </c>
      <c r="M224" s="130">
        <f t="array" ref="M224">IF(K224="","",IFERROR(OFFSET($BZ$11,0,MATCH($K224,$CA224:$FV224,0),),""))</f>
        <v/>
      </c>
      <c r="N224" s="119">
        <f t="array" ref="N224">IF(K224="","",INDIRECT("'GRD-"&amp;M224&amp;"'!$L$7"))</f>
        <v/>
      </c>
      <c r="O224" s="76">
        <f t="array" ref="O224">IFERROR(OFFSET($BZ$11,ROW($B224)-11,MATCH(O$10,$CA224:$FV224,0),),"")</f>
        <v/>
      </c>
      <c r="P224" s="76">
        <f>IF(O224="","",IF(VLOOKUP($B224,INDIRECT("'GRD-"&amp;Q224&amp;"'!$B:$R"),16,FALSE)="","",VLOOKUP($B224,INDIRECT("'GRD-"&amp;Q224&amp;"'!$B:$R"),16,FALSE)))</f>
        <v/>
      </c>
      <c r="Q224" s="132">
        <f t="array" ref="Q224">IF(O224="","",IFERROR(OFFSET($BZ$11,0,MATCH($O224,$CA224:$FV224,0),),""))</f>
        <v/>
      </c>
      <c r="R224" s="121">
        <f t="array" ref="R224">IF(O224="","",INDIRECT("'GRD-"&amp;Q224&amp;"'!$L$7"))</f>
        <v/>
      </c>
      <c r="S224" s="83">
        <f t="array" ref="S224">IFERROR(OFFSET($BZ$11,ROW($B224)-11,MATCH(S$10,$CA224:$FV224,0),),"")</f>
        <v/>
      </c>
      <c r="T224" s="83">
        <f>IF(S224="","",IF(VLOOKUP($B224,INDIRECT("'GRD-"&amp;U224&amp;"'!$B:$R"),16,FALSE)="","",VLOOKUP($B224,INDIRECT("'GRD-"&amp;U224&amp;"'!$B:$R"),16,FALSE)))</f>
        <v/>
      </c>
      <c r="U224" s="128">
        <f t="array" ref="U224">IF(S224="","",IFERROR(OFFSET($BZ$11,0,MATCH($S224,$CA224:$FV224,0),),""))</f>
        <v/>
      </c>
      <c r="V224" s="133">
        <f t="array" ref="V224">IF(S224="","",INDIRECT("'GRD-"&amp;U224&amp;"'!$L$7"))</f>
        <v/>
      </c>
      <c r="W224" s="84">
        <f t="array" ref="W224">IFERROR(OFFSET($BZ$11,ROW($B224)-11,MATCH(W$10,$CA224:$FV224,0),),"")</f>
        <v/>
      </c>
      <c r="X224" s="84">
        <f>IF(W224="","",IF(VLOOKUP($B224,INDIRECT("'GRD-"&amp;Y224&amp;"'!$B:$R"),16,FALSE)="","",VLOOKUP($B224,INDIRECT("'GRD-"&amp;Y224&amp;"'!$B:$R"),16,FALSE)))</f>
        <v/>
      </c>
      <c r="Y224" s="129">
        <f t="array" ref="Y224">IF(W224="","",IFERROR(OFFSET($BZ$11,0,MATCH($W224,$CA224:$FV224,0),),""))</f>
        <v/>
      </c>
      <c r="Z224" s="134">
        <f t="array" ref="Z224">IF(W224="","",INDIRECT("'GRD-"&amp;Y224&amp;"'!$L$7"))</f>
        <v/>
      </c>
      <c r="AA224" s="85">
        <f t="array" ref="AA224">IFERROR(OFFSET($BZ$11,ROW($B224)-11,MATCH(AA$10,$CA224:$FV224,0),),"")</f>
        <v/>
      </c>
      <c r="AB224" s="85">
        <f>IF(AA224="","",IF(VLOOKUP($B224,INDIRECT("'GRD-"&amp;AC224&amp;"'!$B:$R"),16,FALSE)="","",VLOOKUP($B224,INDIRECT("'GRD-"&amp;AC224&amp;"'!$B:$R"),16,FALSE)))</f>
        <v/>
      </c>
      <c r="AC224" s="130">
        <f t="array" ref="AC224">IF(AA224="","",IFERROR(OFFSET($BZ$11,0,MATCH($AA224,$CA224:$FV224,0),),""))</f>
        <v/>
      </c>
      <c r="AD224" s="131">
        <f t="array" ref="AD224">IF(AA224="","",INDIRECT("'GRD-"&amp;AC224&amp;"'!$L$7"))</f>
        <v/>
      </c>
      <c r="AE224" s="76">
        <f t="array" ref="AE224">IFERROR(OFFSET($BZ$11,ROW($B224)-11,MATCH(AE$10,$CA224:$FV224,0),),"")</f>
        <v/>
      </c>
      <c r="AF224" s="76">
        <f>IF(AE224="","",IF(VLOOKUP($B224,INDIRECT("'GRD-"&amp;AG224&amp;"'!$B:$R"),16,FALSE)="","",VLOOKUP($B224,INDIRECT("'GRD-"&amp;AG224&amp;"'!$B:$R"),16,FALSE)))</f>
        <v/>
      </c>
      <c r="AG224" s="132">
        <f t="array" ref="AG224">IF(AE224="","",IFERROR(OFFSET($BZ$11,0,MATCH($AE224,$CA224:$FV224,0),),""))</f>
        <v/>
      </c>
      <c r="AH224" s="121">
        <f t="array" ref="AH224">IF(AE224="","",INDIRECT("'GRD-"&amp;AG224&amp;"'!$L$7"))</f>
        <v/>
      </c>
      <c r="AI224" s="83">
        <f t="array" ref="AI224">IFERROR(OFFSET($BZ$11,ROW($B224)-11,MATCH(AI$10,$CA224:$FV224,0),),"")</f>
        <v/>
      </c>
      <c r="AJ224" s="83">
        <f>IF(AI224="","",IF(VLOOKUP($B224,INDIRECT("'GRD-"&amp;AK224&amp;"'!$B:$R"),16,FALSE)="","",VLOOKUP($B224,INDIRECT("'GRD-"&amp;AK224&amp;"'!$B:$R"),16,FALSE)))</f>
        <v/>
      </c>
      <c r="AK224" s="128">
        <f t="array" ref="AK224">IF(AI224="","",IFERROR(OFFSET($BZ$11,0,MATCH($AI224,$CA224:$FV224,0),),""))</f>
        <v/>
      </c>
      <c r="AL224" s="133">
        <f t="array" ref="AL224">IF(AI224="","",INDIRECT("'GRD-"&amp;AK224&amp;"'!$L$7"))</f>
        <v/>
      </c>
      <c r="AM224" s="84">
        <f t="array" ref="AM224">IFERROR(OFFSET($BZ$11,ROW($B224)-11,MATCH(AM$10,$CA224:$FV224,0),),"")</f>
        <v/>
      </c>
      <c r="AN224" s="84">
        <f>IF(AM224="","",IF(VLOOKUP($B224,INDIRECT("'GRD-"&amp;AO224&amp;"'!$B:$R"),16,FALSE)="","",VLOOKUP($B224,INDIRECT("'GRD-"&amp;AO224&amp;"'!$B:$R"),16,FALSE)))</f>
        <v/>
      </c>
      <c r="AO224" s="129">
        <f t="array" ref="AO224">IF(AM224="","",IFERROR(OFFSET($BZ$11,0,MATCH($AM224,$CA224:$FV224,0),),""))</f>
        <v/>
      </c>
      <c r="AP224" s="134">
        <f t="array" ref="AP224">IF(AM224="","",INDIRECT("'GRD-"&amp;AO224&amp;"'!$L$7"))</f>
        <v/>
      </c>
      <c r="AQ224" s="85">
        <f t="array" ref="AQ224">IFERROR(OFFSET($BZ$11,ROW($B224)-11,MATCH(AQ$10,$CA224:$FV224,0),),"")</f>
        <v/>
      </c>
      <c r="AR224" s="85">
        <f>IF(AQ224="","",IF(VLOOKUP($B224,INDIRECT("'GRD-"&amp;AS224&amp;"'!$B:$R"),16,FALSE)="","",VLOOKUP($B224,INDIRECT("'GRD-"&amp;AS224&amp;"'!$B:$R"),16,FALSE)))</f>
        <v/>
      </c>
      <c r="AS224" s="130">
        <f t="array" ref="AS224">IF(AQ224="","",IFERROR(OFFSET($BZ$11,0,MATCH($AQ224,$CA224:$FV224,0),),""))</f>
        <v/>
      </c>
      <c r="AT224" s="131">
        <f t="array" ref="AT224">IF(AQ224="","",INDIRECT("'GRD-"&amp;AS224&amp;"'!$L$7"))</f>
        <v/>
      </c>
      <c r="AU224" s="76">
        <f t="array" ref="AU224">IFERROR(OFFSET($BZ$11,ROW($B224)-11,MATCH(AU$10,$CA224:$FV224,0),),"")</f>
        <v/>
      </c>
      <c r="AV224" s="76">
        <f>IF(AU224="","",IF(VLOOKUP($B224,INDIRECT("'GRD-"&amp;AW224&amp;"'!$B:$R"),16,FALSE)="","",VLOOKUP($B224,INDIRECT("'GRD-"&amp;AW224&amp;"'!$B:$R"),16,FALSE)))</f>
        <v/>
      </c>
      <c r="AW224" s="132">
        <f t="array" ref="AW224">IF(AU224="","",IFERROR(OFFSET($BZ$11,0,MATCH($AU224,$CA224:$FV224,0),),""))</f>
        <v/>
      </c>
      <c r="AX224" s="121">
        <f t="array" ref="AX224">IF(AU224="","",INDIRECT("'GRD-"&amp;AW224&amp;"'!$L$7"))</f>
        <v/>
      </c>
      <c r="AY224" s="83">
        <f t="array" ref="AY224">IFERROR(OFFSET($BZ$11,ROW($B224)-11,MATCH(AY$10,$CA224:$FV224,0),),"")</f>
        <v/>
      </c>
      <c r="AZ224" s="83">
        <f>IF(AY224="","",IF(VLOOKUP($B224,INDIRECT("'GRD-"&amp;BA224&amp;"'!$B:$R"),16,FALSE)="","",VLOOKUP($B224,INDIRECT("'GRD-"&amp;BA224&amp;"'!$B:$R"),16,FALSE)))</f>
        <v/>
      </c>
      <c r="BA224" s="128">
        <f t="array" ref="BA224">IF(AY224="","",IFERROR(OFFSET($BZ$11,0,MATCH($AY224,$CA224:$FV224,0),),""))</f>
        <v/>
      </c>
      <c r="BB224" s="133">
        <f t="array" ref="BB224">IF(AY224="","",INDIRECT("'GRD-"&amp;BA224&amp;"'!$L$7"))</f>
        <v/>
      </c>
      <c r="BC224" s="84">
        <f t="array" ref="BC224">IFERROR(OFFSET($BZ$11,ROW($B224)-11,MATCH(BC$10,$CA224:$FV224,0),),"")</f>
        <v/>
      </c>
      <c r="BD224" s="84">
        <f>IF(BC224="","",IF(VLOOKUP($B224,INDIRECT("'GRD-"&amp;BE224&amp;"'!$B:$R"),16,FALSE)="","",VLOOKUP($B224,INDIRECT("'GRD-"&amp;BE224&amp;"'!$B:$R"),16,FALSE)))</f>
        <v/>
      </c>
      <c r="BE224" s="129">
        <f t="array" ref="BE224">IF(BC224="","",IFERROR(OFFSET($BZ$11,0,MATCH($BC224,$CA224:$FV224,0),),""))</f>
        <v/>
      </c>
      <c r="BF224" s="134">
        <f t="array" ref="BF224">IF(BC224="","",INDIRECT("'GRD-"&amp;BE224&amp;"'!$L$7"))</f>
        <v/>
      </c>
      <c r="CA224" s="96">
        <f>IFERROR(VLOOKUP($B224,INDIRECT("'GRD-"&amp;CA$11&amp;"'!B:R"),15,FALSE),"")</f>
        <v/>
      </c>
      <c r="CB224" s="96">
        <f>IFERROR(VLOOKUP($B224,INDIRECT("'GRD-"&amp;CB$11&amp;"'!B:R"),15,FALSE),"")</f>
        <v/>
      </c>
      <c r="CC224" s="96">
        <f>IFERROR(VLOOKUP($B224,INDIRECT("'GRD-"&amp;CC$11&amp;"'!B:R"),15,FALSE),"")</f>
        <v/>
      </c>
      <c r="CD224" s="96">
        <f>IFERROR(VLOOKUP($B224,INDIRECT("'GRD-"&amp;CD$11&amp;"'!B:R"),15,FALSE),"")</f>
        <v/>
      </c>
      <c r="CE224" s="96">
        <f>IFERROR(VLOOKUP($B224,INDIRECT("'GRD-"&amp;CE$11&amp;"'!B:R"),15,FALSE),"")</f>
        <v/>
      </c>
      <c r="CF224" s="96">
        <f>IFERROR(VLOOKUP($B224,INDIRECT("'GRD-"&amp;CF$11&amp;"'!B:R"),15,FALSE),"")</f>
        <v/>
      </c>
      <c r="CG224" s="96">
        <f>IFERROR(VLOOKUP($B224,INDIRECT("'GRD-"&amp;CG$11&amp;"'!B:R"),15,FALSE),"")</f>
        <v/>
      </c>
      <c r="CH224" s="96">
        <f>IFERROR(VLOOKUP($B224,INDIRECT("'GRD-"&amp;CH$11&amp;"'!B:R"),15,FALSE),"")</f>
        <v/>
      </c>
      <c r="CI224" s="96">
        <f>IFERROR(VLOOKUP($B224,INDIRECT("'GRD-"&amp;CI$11&amp;"'!B:R"),15,FALSE),"")</f>
        <v/>
      </c>
      <c r="CJ224" s="96">
        <f>IFERROR(VLOOKUP($B224,INDIRECT("'GRD-"&amp;CJ$11&amp;"'!B:R"),15,FALSE),"")</f>
        <v/>
      </c>
      <c r="CK224" s="96">
        <f>IFERROR(VLOOKUP($B224,INDIRECT("'GRD-"&amp;CK$11&amp;"'!B:R"),15,FALSE),"")</f>
        <v/>
      </c>
      <c r="CL224" s="96">
        <f>IFERROR(VLOOKUP($B224,INDIRECT("'GRD-"&amp;CL$11&amp;"'!B:R"),15,FALSE),"")</f>
        <v/>
      </c>
      <c r="CM224" s="96">
        <f>IFERROR(VLOOKUP($B224,INDIRECT("'GRD-"&amp;CM$11&amp;"'!B:R"),15,FALSE),"")</f>
        <v/>
      </c>
      <c r="CN224" s="96">
        <f>IFERROR(VLOOKUP($B224,INDIRECT("'GRD-"&amp;CN$11&amp;"'!B:R"),15,FALSE),"")</f>
        <v/>
      </c>
      <c r="CO224" s="96">
        <f>IFERROR(VLOOKUP($B224,INDIRECT("'GRD-"&amp;CO$11&amp;"'!B:R"),15,FALSE),"")</f>
        <v/>
      </c>
      <c r="CP224" s="96">
        <f>IFERROR(VLOOKUP($B224,INDIRECT("'GRD-"&amp;CP$11&amp;"'!B:R"),15,FALSE),"")</f>
        <v/>
      </c>
      <c r="CQ224" s="96">
        <f>IFERROR(VLOOKUP($B224,INDIRECT("'GRD-"&amp;CQ$11&amp;"'!B:R"),15,FALSE),"")</f>
        <v/>
      </c>
      <c r="CR224" s="96">
        <f>IFERROR(VLOOKUP($B224,INDIRECT("'GRD-"&amp;CR$11&amp;"'!B:R"),15,FALSE),"")</f>
        <v/>
      </c>
      <c r="CS224" s="96">
        <f>IFERROR(VLOOKUP($B224,INDIRECT("'GRD-"&amp;CS$11&amp;"'!B:R"),15,FALSE),"")</f>
        <v/>
      </c>
      <c r="CT224" s="96">
        <f>IFERROR(VLOOKUP($B224,INDIRECT("'GRD-"&amp;CT$11&amp;"'!B:R"),15,FALSE),"")</f>
        <v/>
      </c>
      <c r="CU224" s="96">
        <f>IFERROR(VLOOKUP($B224,INDIRECT("'GRD-"&amp;CU$11&amp;"'!B:R"),15,FALSE),"")</f>
        <v/>
      </c>
      <c r="CV224" s="96">
        <f>IFERROR(VLOOKUP($B224,INDIRECT("'GRD-"&amp;CV$11&amp;"'!B:R"),15,FALSE),"")</f>
        <v/>
      </c>
      <c r="CW224" s="96">
        <f>IFERROR(VLOOKUP($B224,INDIRECT("'GRD-"&amp;CW$11&amp;"'!B:R"),15,FALSE),"")</f>
        <v/>
      </c>
      <c r="CX224" s="96">
        <f>IFERROR(VLOOKUP($B224,INDIRECT("'GRD-"&amp;CX$11&amp;"'!B:R"),15,FALSE),"")</f>
        <v/>
      </c>
      <c r="CY224" s="96">
        <f>IFERROR(VLOOKUP($B224,INDIRECT("'GRD-"&amp;CY$11&amp;"'!B:R"),15,FALSE),"")</f>
        <v/>
      </c>
      <c r="CZ224" s="96">
        <f>IFERROR(VLOOKUP($B224,INDIRECT("'GRD-"&amp;CZ$11&amp;"'!B:R"),15,FALSE),"")</f>
        <v/>
      </c>
      <c r="DA224" s="96">
        <f>IFERROR(VLOOKUP($B224,INDIRECT("'GRD-"&amp;DA$11&amp;"'!B:R"),15,FALSE),"")</f>
        <v/>
      </c>
      <c r="DB224" s="96">
        <f>IFERROR(VLOOKUP($B224,INDIRECT("'GRD-"&amp;DB$11&amp;"'!B:R"),15,FALSE),"")</f>
        <v/>
      </c>
      <c r="DC224" s="96">
        <f>IFERROR(VLOOKUP($B224,INDIRECT("'GRD-"&amp;DC$11&amp;"'!B:R"),15,FALSE),"")</f>
        <v/>
      </c>
      <c r="DD224" s="96">
        <f>IFERROR(VLOOKUP($B224,INDIRECT("'GRD-"&amp;DD$11&amp;"'!B:R"),15,FALSE),"")</f>
        <v/>
      </c>
      <c r="DE224" s="96">
        <f>IFERROR(VLOOKUP($B224,INDIRECT("'GRD-"&amp;DE$11&amp;"'!B:R"),15,FALSE),"")</f>
        <v/>
      </c>
      <c r="DF224" s="96">
        <f>IFERROR(VLOOKUP($B224,INDIRECT("'GRD-"&amp;DF$11&amp;"'!B:R"),15,FALSE),"")</f>
        <v/>
      </c>
      <c r="DG224" s="96">
        <f>IFERROR(VLOOKUP($B224,INDIRECT("'GRD-"&amp;DG$11&amp;"'!B:R"),15,FALSE),"")</f>
        <v/>
      </c>
      <c r="DH224" s="96">
        <f>IFERROR(VLOOKUP($B224,INDIRECT("'GRD-"&amp;DH$11&amp;"'!B:R"),15,FALSE),"")</f>
        <v/>
      </c>
      <c r="DI224" s="96">
        <f>IFERROR(VLOOKUP($B224,INDIRECT("'GRD-"&amp;DI$11&amp;"'!B:R"),15,FALSE),"")</f>
        <v/>
      </c>
      <c r="DJ224" s="96">
        <f>IFERROR(VLOOKUP($B224,INDIRECT("'GRD-"&amp;DJ$11&amp;"'!B:R"),15,FALSE),"")</f>
        <v/>
      </c>
      <c r="DK224" s="96">
        <f>IFERROR(VLOOKUP($B224,INDIRECT("'GRD-"&amp;DK$11&amp;"'!B:R"),15,FALSE),"")</f>
        <v/>
      </c>
      <c r="DL224" s="96">
        <f>IFERROR(VLOOKUP($B224,INDIRECT("'GRD-"&amp;DL$11&amp;"'!B:R"),15,FALSE),"")</f>
        <v/>
      </c>
      <c r="DM224" s="96">
        <f>IFERROR(VLOOKUP($B224,INDIRECT("'GRD-"&amp;DM$11&amp;"'!B:R"),15,FALSE),"")</f>
        <v/>
      </c>
      <c r="DN224" s="96">
        <f>IFERROR(VLOOKUP($B224,INDIRECT("'GRD-"&amp;DN$11&amp;"'!B:R"),15,FALSE),"")</f>
        <v/>
      </c>
      <c r="DO224" s="96">
        <f>IFERROR(VLOOKUP($B224,INDIRECT("'GRD-"&amp;DO$11&amp;"'!B:R"),15,FALSE),"")</f>
        <v/>
      </c>
      <c r="DP224" s="96">
        <f>IFERROR(VLOOKUP($B224,INDIRECT("'GRD-"&amp;DP$11&amp;"'!B:R"),15,FALSE),"")</f>
        <v/>
      </c>
      <c r="DQ224" s="96">
        <f>IFERROR(VLOOKUP($B224,INDIRECT("'GRD-"&amp;DQ$11&amp;"'!B:R"),15,FALSE),"")</f>
        <v/>
      </c>
      <c r="DR224" s="96">
        <f>IFERROR(VLOOKUP($B224,INDIRECT("'GRD-"&amp;DR$11&amp;"'!B:R"),15,FALSE),"")</f>
        <v/>
      </c>
      <c r="DS224" s="96">
        <f>IFERROR(VLOOKUP($B224,INDIRECT("'GRD-"&amp;DS$11&amp;"'!B:R"),15,FALSE),"")</f>
        <v/>
      </c>
      <c r="DT224" s="96">
        <f>IFERROR(VLOOKUP($B224,INDIRECT("'GRD-"&amp;DT$11&amp;"'!B:R"),15,FALSE),"")</f>
        <v/>
      </c>
      <c r="DU224" s="96">
        <f>IFERROR(VLOOKUP($B224,INDIRECT("'GRD-"&amp;DU$11&amp;"'!B:R"),15,FALSE),"")</f>
        <v/>
      </c>
      <c r="DV224" s="96">
        <f>IFERROR(VLOOKUP($B224,INDIRECT("'GRD-"&amp;DV$11&amp;"'!B:R"),15,FALSE),"")</f>
        <v/>
      </c>
      <c r="DW224" s="96">
        <f>IFERROR(VLOOKUP($B224,INDIRECT("'GRD-"&amp;DW$11&amp;"'!B:R"),15,FALSE),"")</f>
        <v/>
      </c>
      <c r="DX224" s="96">
        <f>IFERROR(VLOOKUP($B224,INDIRECT("'GRD-"&amp;DX$11&amp;"'!B:R"),15,FALSE),"")</f>
        <v/>
      </c>
      <c r="DY224" s="96">
        <f>IFERROR(VLOOKUP($B224,INDIRECT("'GRD-"&amp;DY$11&amp;"'!B:R"),15,FALSE),"")</f>
        <v/>
      </c>
      <c r="DZ224" s="96">
        <f>IFERROR(VLOOKUP($B224,INDIRECT("'GRD-"&amp;DZ$11&amp;"'!B:R"),15,FALSE),"")</f>
        <v/>
      </c>
      <c r="EA224" s="96">
        <f>IFERROR(VLOOKUP($B224,INDIRECT("'GRD-"&amp;EA$11&amp;"'!B:R"),15,FALSE),"")</f>
        <v/>
      </c>
      <c r="EB224" s="96">
        <f>IFERROR(VLOOKUP($B224,INDIRECT("'GRD-"&amp;EB$11&amp;"'!B:R"),15,FALSE),"")</f>
        <v/>
      </c>
      <c r="EC224" s="96">
        <f>IFERROR(VLOOKUP($B224,INDIRECT("'GRD-"&amp;EC$11&amp;"'!B:R"),15,FALSE),"")</f>
        <v/>
      </c>
      <c r="ED224" s="96">
        <f>IFERROR(VLOOKUP($B224,INDIRECT("'GRD-"&amp;ED$11&amp;"'!B:R"),15,FALSE),"")</f>
        <v/>
      </c>
      <c r="EE224" s="96">
        <f>IFERROR(VLOOKUP($B224,INDIRECT("'GRD-"&amp;EE$11&amp;"'!B:R"),15,FALSE),"")</f>
        <v/>
      </c>
      <c r="EF224" s="96">
        <f>IFERROR(VLOOKUP($B224,INDIRECT("'GRD-"&amp;EF$11&amp;"'!B:R"),15,FALSE),"")</f>
        <v/>
      </c>
      <c r="EG224" s="96">
        <f>IFERROR(VLOOKUP($B224,INDIRECT("'GRD-"&amp;EG$11&amp;"'!B:R"),15,FALSE),"")</f>
        <v/>
      </c>
      <c r="EH224" s="96">
        <f>IFERROR(VLOOKUP($B224,INDIRECT("'GRD-"&amp;EH$11&amp;"'!B:R"),15,FALSE),"")</f>
        <v/>
      </c>
      <c r="EI224" s="96">
        <f>IFERROR(VLOOKUP($B224,INDIRECT("'GRD-"&amp;EI$11&amp;"'!B:R"),15,FALSE),"")</f>
        <v/>
      </c>
      <c r="EJ224" s="96">
        <f>IFERROR(VLOOKUP($B224,INDIRECT("'GRD-"&amp;EJ$11&amp;"'!B:R"),15,FALSE),"")</f>
        <v/>
      </c>
      <c r="EK224" s="96">
        <f>IFERROR(VLOOKUP($B224,INDIRECT("'GRD-"&amp;EK$11&amp;"'!B:R"),15,FALSE),"")</f>
        <v/>
      </c>
      <c r="EL224" s="96">
        <f>IFERROR(VLOOKUP($B224,INDIRECT("'GRD-"&amp;EL$11&amp;"'!B:R"),15,FALSE),"")</f>
        <v/>
      </c>
      <c r="EM224" s="96">
        <f>IFERROR(VLOOKUP($B224,INDIRECT("'GRD-"&amp;EM$11&amp;"'!B:R"),15,FALSE),"")</f>
        <v/>
      </c>
      <c r="EN224" s="96">
        <f>IFERROR(VLOOKUP($B224,INDIRECT("'GRD-"&amp;EN$11&amp;"'!B:R"),15,FALSE),"")</f>
        <v/>
      </c>
      <c r="EO224" s="96">
        <f>IFERROR(VLOOKUP($B224,INDIRECT("'GRD-"&amp;EO$11&amp;"'!B:R"),15,FALSE),"")</f>
        <v/>
      </c>
      <c r="EP224" s="96">
        <f>IFERROR(VLOOKUP($B224,INDIRECT("'GRD-"&amp;EP$11&amp;"'!B:R"),15,FALSE),"")</f>
        <v/>
      </c>
      <c r="EQ224" s="96">
        <f>IFERROR(VLOOKUP($B224,INDIRECT("'GRD-"&amp;EQ$11&amp;"'!B:R"),15,FALSE),"")</f>
        <v/>
      </c>
      <c r="ER224" s="96">
        <f>IFERROR(VLOOKUP($B224,INDIRECT("'GRD-"&amp;ER$11&amp;"'!B:R"),15,FALSE),"")</f>
        <v/>
      </c>
      <c r="ES224" s="96">
        <f>IFERROR(VLOOKUP($B224,INDIRECT("'GRD-"&amp;ES$11&amp;"'!B:R"),15,FALSE),"")</f>
        <v/>
      </c>
      <c r="ET224" s="96">
        <f>IFERROR(VLOOKUP($B224,INDIRECT("'GRD-"&amp;ET$11&amp;"'!B:R"),15,FALSE),"")</f>
        <v/>
      </c>
      <c r="EU224" s="96">
        <f>IFERROR(VLOOKUP($B224,INDIRECT("'GRD-"&amp;EU$11&amp;"'!B:R"),15,FALSE),"")</f>
        <v/>
      </c>
      <c r="EV224" s="96">
        <f>IFERROR(VLOOKUP($B224,INDIRECT("'GRD-"&amp;EV$11&amp;"'!B:R"),15,FALSE),"")</f>
        <v/>
      </c>
      <c r="EW224" s="96">
        <f>IFERROR(VLOOKUP($B224,INDIRECT("'GRD-"&amp;EW$11&amp;"'!B:R"),15,FALSE),"")</f>
        <v/>
      </c>
      <c r="EX224" s="96">
        <f>IFERROR(VLOOKUP($B224,INDIRECT("'GRD-"&amp;EX$11&amp;"'!B:R"),15,FALSE),"")</f>
        <v/>
      </c>
      <c r="EY224" s="96">
        <f>IFERROR(VLOOKUP($B224,INDIRECT("'GRD-"&amp;EY$11&amp;"'!B:R"),15,FALSE),"")</f>
        <v/>
      </c>
      <c r="EZ224" s="96">
        <f>IFERROR(VLOOKUP($B224,INDIRECT("'GRD-"&amp;EZ$11&amp;"'!B:R"),15,FALSE),"")</f>
        <v/>
      </c>
      <c r="FA224" s="96">
        <f>IFERROR(VLOOKUP($B224,INDIRECT("'GRD-"&amp;FA$11&amp;"'!B:R"),15,FALSE),"")</f>
        <v/>
      </c>
      <c r="FB224" s="96">
        <f>IFERROR(VLOOKUP($B224,INDIRECT("'GRD-"&amp;FB$11&amp;"'!B:R"),15,FALSE),"")</f>
        <v/>
      </c>
      <c r="FC224" s="96">
        <f>IFERROR(VLOOKUP($B224,INDIRECT("'GRD-"&amp;FC$11&amp;"'!B:R"),15,FALSE),"")</f>
        <v/>
      </c>
      <c r="FD224" s="96">
        <f>IFERROR(VLOOKUP($B224,INDIRECT("'GRD-"&amp;FD$11&amp;"'!B:R"),15,FALSE),"")</f>
        <v/>
      </c>
      <c r="FE224" s="96">
        <f>IFERROR(VLOOKUP($B224,INDIRECT("'GRD-"&amp;FE$11&amp;"'!B:R"),15,FALSE),"")</f>
        <v/>
      </c>
      <c r="FF224" s="96">
        <f>IFERROR(VLOOKUP($B224,INDIRECT("'GRD-"&amp;FF$11&amp;"'!B:R"),15,FALSE),"")</f>
        <v/>
      </c>
      <c r="FG224" s="96">
        <f>IFERROR(VLOOKUP($B224,INDIRECT("'GRD-"&amp;FG$11&amp;"'!B:R"),15,FALSE),"")</f>
        <v/>
      </c>
      <c r="FH224" s="96">
        <f>IFERROR(VLOOKUP($B224,INDIRECT("'GRD-"&amp;FH$11&amp;"'!B:R"),15,FALSE),"")</f>
        <v/>
      </c>
      <c r="FI224" s="96">
        <f>IFERROR(VLOOKUP($B224,INDIRECT("'GRD-"&amp;FI$11&amp;"'!B:R"),15,FALSE),"")</f>
        <v/>
      </c>
      <c r="FJ224" s="96">
        <f>IFERROR(VLOOKUP($B224,INDIRECT("'GRD-"&amp;FJ$11&amp;"'!B:R"),15,FALSE),"")</f>
        <v/>
      </c>
      <c r="FK224" s="96">
        <f>IFERROR(VLOOKUP($B224,INDIRECT("'GRD-"&amp;FK$11&amp;"'!B:R"),15,FALSE),"")</f>
        <v/>
      </c>
      <c r="FL224" s="96">
        <f>IFERROR(VLOOKUP($B224,INDIRECT("'GRD-"&amp;FL$11&amp;"'!B:R"),15,FALSE),"")</f>
        <v/>
      </c>
      <c r="FM224" s="96">
        <f>IFERROR(VLOOKUP($B224,INDIRECT("'GRD-"&amp;FM$11&amp;"'!B:R"),15,FALSE),"")</f>
        <v/>
      </c>
      <c r="FN224" s="96">
        <f>IFERROR(VLOOKUP($B224,INDIRECT("'GRD-"&amp;FN$11&amp;"'!B:R"),15,FALSE),"")</f>
        <v/>
      </c>
      <c r="FO224" s="96">
        <f>IFERROR(VLOOKUP($B224,INDIRECT("'GRD-"&amp;FO$11&amp;"'!B:R"),15,FALSE),"")</f>
        <v/>
      </c>
      <c r="FP224" s="96">
        <f>IFERROR(VLOOKUP($B224,INDIRECT("'GRD-"&amp;FP$11&amp;"'!B:R"),15,FALSE),"")</f>
        <v/>
      </c>
      <c r="FQ224" s="96">
        <f>IFERROR(VLOOKUP($B224,INDIRECT("'GRD-"&amp;FQ$11&amp;"'!B:R"),15,FALSE),"")</f>
        <v/>
      </c>
      <c r="FR224" s="96">
        <f>IFERROR(VLOOKUP($B224,INDIRECT("'GRD-"&amp;FR$11&amp;"'!B:R"),15,FALSE),"")</f>
        <v/>
      </c>
      <c r="FS224" s="96">
        <f>IFERROR(VLOOKUP($B224,INDIRECT("'GRD-"&amp;FS$11&amp;"'!B:R"),15,FALSE),"")</f>
        <v/>
      </c>
      <c r="FT224" s="96">
        <f>IFERROR(VLOOKUP($B224,INDIRECT("'GRD-"&amp;FT$11&amp;"'!B:R"),15,FALSE),"")</f>
        <v/>
      </c>
      <c r="FU224" s="96">
        <f>IFERROR(VLOOKUP($B224,INDIRECT("'GRD-"&amp;FU$11&amp;"'!B:R"),15,FALSE),"")</f>
        <v/>
      </c>
      <c r="FV224" s="96">
        <f>IFERROR(VLOOKUP($B224,INDIRECT("'GRD-"&amp;FV$11&amp;"'!B:R"),15,FALSE),"")</f>
        <v/>
      </c>
    </row>
    <row r="225">
      <c r="B225" s="85" t="n"/>
      <c r="C225" s="93" t="n"/>
      <c r="D225" s="73">
        <f>IF(K225="","",MAX($CA225:$FV225))</f>
        <v/>
      </c>
      <c r="E225" s="74">
        <f t="array" ref="E225">IF($K225="","",OFFSET($A$1,ROW($B225)-1,11+$D225*4,))</f>
        <v/>
      </c>
      <c r="F225" s="74">
        <f t="array" ref="F225">IF($K225="","",OFFSET($A$1,ROW($B225)-1,12+$D225*4,))</f>
        <v/>
      </c>
      <c r="G225" s="118">
        <f t="array" ref="G225">IF($K225="","",OFFSET($A$1,ROW($B225)-1,13+$D225*4,))</f>
        <v/>
      </c>
      <c r="H225" s="81" t="n"/>
      <c r="I225" s="82" t="n"/>
      <c r="J225" s="75">
        <f>IF(I225="A4",H225/8,IF(I225="A3",H225/4,IF(I225="A2",H225/2,IF(I225="A1",H225/1,IF(I225="A0",H225*2,"")))))</f>
        <v/>
      </c>
      <c r="K225" s="68">
        <f t="array" ref="K225">IFERROR(OFFSET($BZ$11,ROW($B225)-11,MATCH(K$10,$CA225:$FV225,0),),"")</f>
        <v/>
      </c>
      <c r="L225" s="85">
        <f>IF(K225="","",IF(VLOOKUP($B225,INDIRECT("'GRD-"&amp;M225&amp;"'!$B:$R"),16,FALSE)="","",VLOOKUP($B225,INDIRECT("'GRD-"&amp;M225&amp;"'!$B:$R"),16,FALSE)))</f>
        <v/>
      </c>
      <c r="M225" s="130">
        <f t="array" ref="M225">IF(K225="","",IFERROR(OFFSET($BZ$11,0,MATCH($K225,$CA225:$FV225,0),),""))</f>
        <v/>
      </c>
      <c r="N225" s="119">
        <f t="array" ref="N225">IF(K225="","",INDIRECT("'GRD-"&amp;M225&amp;"'!$L$7"))</f>
        <v/>
      </c>
      <c r="O225" s="76">
        <f t="array" ref="O225">IFERROR(OFFSET($BZ$11,ROW($B225)-11,MATCH(O$10,$CA225:$FV225,0),),"")</f>
        <v/>
      </c>
      <c r="P225" s="76">
        <f>IF(O225="","",IF(VLOOKUP($B225,INDIRECT("'GRD-"&amp;Q225&amp;"'!$B:$R"),16,FALSE)="","",VLOOKUP($B225,INDIRECT("'GRD-"&amp;Q225&amp;"'!$B:$R"),16,FALSE)))</f>
        <v/>
      </c>
      <c r="Q225" s="132">
        <f t="array" ref="Q225">IF(O225="","",IFERROR(OFFSET($BZ$11,0,MATCH($O225,$CA225:$FV225,0),),""))</f>
        <v/>
      </c>
      <c r="R225" s="121">
        <f t="array" ref="R225">IF(O225="","",INDIRECT("'GRD-"&amp;Q225&amp;"'!$L$7"))</f>
        <v/>
      </c>
      <c r="S225" s="83">
        <f t="array" ref="S225">IFERROR(OFFSET($BZ$11,ROW($B225)-11,MATCH(S$10,$CA225:$FV225,0),),"")</f>
        <v/>
      </c>
      <c r="T225" s="83">
        <f>IF(S225="","",IF(VLOOKUP($B225,INDIRECT("'GRD-"&amp;U225&amp;"'!$B:$R"),16,FALSE)="","",VLOOKUP($B225,INDIRECT("'GRD-"&amp;U225&amp;"'!$B:$R"),16,FALSE)))</f>
        <v/>
      </c>
      <c r="U225" s="128">
        <f t="array" ref="U225">IF(S225="","",IFERROR(OFFSET($BZ$11,0,MATCH($S225,$CA225:$FV225,0),),""))</f>
        <v/>
      </c>
      <c r="V225" s="133">
        <f t="array" ref="V225">IF(S225="","",INDIRECT("'GRD-"&amp;U225&amp;"'!$L$7"))</f>
        <v/>
      </c>
      <c r="W225" s="84">
        <f t="array" ref="W225">IFERROR(OFFSET($BZ$11,ROW($B225)-11,MATCH(W$10,$CA225:$FV225,0),),"")</f>
        <v/>
      </c>
      <c r="X225" s="84">
        <f>IF(W225="","",IF(VLOOKUP($B225,INDIRECT("'GRD-"&amp;Y225&amp;"'!$B:$R"),16,FALSE)="","",VLOOKUP($B225,INDIRECT("'GRD-"&amp;Y225&amp;"'!$B:$R"),16,FALSE)))</f>
        <v/>
      </c>
      <c r="Y225" s="129">
        <f t="array" ref="Y225">IF(W225="","",IFERROR(OFFSET($BZ$11,0,MATCH($W225,$CA225:$FV225,0),),""))</f>
        <v/>
      </c>
      <c r="Z225" s="134">
        <f t="array" ref="Z225">IF(W225="","",INDIRECT("'GRD-"&amp;Y225&amp;"'!$L$7"))</f>
        <v/>
      </c>
      <c r="AA225" s="85">
        <f t="array" ref="AA225">IFERROR(OFFSET($BZ$11,ROW($B225)-11,MATCH(AA$10,$CA225:$FV225,0),),"")</f>
        <v/>
      </c>
      <c r="AB225" s="85">
        <f>IF(AA225="","",IF(VLOOKUP($B225,INDIRECT("'GRD-"&amp;AC225&amp;"'!$B:$R"),16,FALSE)="","",VLOOKUP($B225,INDIRECT("'GRD-"&amp;AC225&amp;"'!$B:$R"),16,FALSE)))</f>
        <v/>
      </c>
      <c r="AC225" s="130">
        <f t="array" ref="AC225">IF(AA225="","",IFERROR(OFFSET($BZ$11,0,MATCH($AA225,$CA225:$FV225,0),),""))</f>
        <v/>
      </c>
      <c r="AD225" s="131">
        <f t="array" ref="AD225">IF(AA225="","",INDIRECT("'GRD-"&amp;AC225&amp;"'!$L$7"))</f>
        <v/>
      </c>
      <c r="AE225" s="76">
        <f t="array" ref="AE225">IFERROR(OFFSET($BZ$11,ROW($B225)-11,MATCH(AE$10,$CA225:$FV225,0),),"")</f>
        <v/>
      </c>
      <c r="AF225" s="76">
        <f>IF(AE225="","",IF(VLOOKUP($B225,INDIRECT("'GRD-"&amp;AG225&amp;"'!$B:$R"),16,FALSE)="","",VLOOKUP($B225,INDIRECT("'GRD-"&amp;AG225&amp;"'!$B:$R"),16,FALSE)))</f>
        <v/>
      </c>
      <c r="AG225" s="132">
        <f t="array" ref="AG225">IF(AE225="","",IFERROR(OFFSET($BZ$11,0,MATCH($AE225,$CA225:$FV225,0),),""))</f>
        <v/>
      </c>
      <c r="AH225" s="121">
        <f t="array" ref="AH225">IF(AE225="","",INDIRECT("'GRD-"&amp;AG225&amp;"'!$L$7"))</f>
        <v/>
      </c>
      <c r="AI225" s="83">
        <f t="array" ref="AI225">IFERROR(OFFSET($BZ$11,ROW($B225)-11,MATCH(AI$10,$CA225:$FV225,0),),"")</f>
        <v/>
      </c>
      <c r="AJ225" s="83">
        <f>IF(AI225="","",IF(VLOOKUP($B225,INDIRECT("'GRD-"&amp;AK225&amp;"'!$B:$R"),16,FALSE)="","",VLOOKUP($B225,INDIRECT("'GRD-"&amp;AK225&amp;"'!$B:$R"),16,FALSE)))</f>
        <v/>
      </c>
      <c r="AK225" s="128">
        <f t="array" ref="AK225">IF(AI225="","",IFERROR(OFFSET($BZ$11,0,MATCH($AI225,$CA225:$FV225,0),),""))</f>
        <v/>
      </c>
      <c r="AL225" s="133">
        <f t="array" ref="AL225">IF(AI225="","",INDIRECT("'GRD-"&amp;AK225&amp;"'!$L$7"))</f>
        <v/>
      </c>
      <c r="AM225" s="84">
        <f t="array" ref="AM225">IFERROR(OFFSET($BZ$11,ROW($B225)-11,MATCH(AM$10,$CA225:$FV225,0),),"")</f>
        <v/>
      </c>
      <c r="AN225" s="84">
        <f>IF(AM225="","",IF(VLOOKUP($B225,INDIRECT("'GRD-"&amp;AO225&amp;"'!$B:$R"),16,FALSE)="","",VLOOKUP($B225,INDIRECT("'GRD-"&amp;AO225&amp;"'!$B:$R"),16,FALSE)))</f>
        <v/>
      </c>
      <c r="AO225" s="129">
        <f t="array" ref="AO225">IF(AM225="","",IFERROR(OFFSET($BZ$11,0,MATCH($AM225,$CA225:$FV225,0),),""))</f>
        <v/>
      </c>
      <c r="AP225" s="134">
        <f t="array" ref="AP225">IF(AM225="","",INDIRECT("'GRD-"&amp;AO225&amp;"'!$L$7"))</f>
        <v/>
      </c>
      <c r="AQ225" s="85">
        <f t="array" ref="AQ225">IFERROR(OFFSET($BZ$11,ROW($B225)-11,MATCH(AQ$10,$CA225:$FV225,0),),"")</f>
        <v/>
      </c>
      <c r="AR225" s="85">
        <f>IF(AQ225="","",IF(VLOOKUP($B225,INDIRECT("'GRD-"&amp;AS225&amp;"'!$B:$R"),16,FALSE)="","",VLOOKUP($B225,INDIRECT("'GRD-"&amp;AS225&amp;"'!$B:$R"),16,FALSE)))</f>
        <v/>
      </c>
      <c r="AS225" s="130">
        <f t="array" ref="AS225">IF(AQ225="","",IFERROR(OFFSET($BZ$11,0,MATCH($AQ225,$CA225:$FV225,0),),""))</f>
        <v/>
      </c>
      <c r="AT225" s="131">
        <f t="array" ref="AT225">IF(AQ225="","",INDIRECT("'GRD-"&amp;AS225&amp;"'!$L$7"))</f>
        <v/>
      </c>
      <c r="AU225" s="76">
        <f t="array" ref="AU225">IFERROR(OFFSET($BZ$11,ROW($B225)-11,MATCH(AU$10,$CA225:$FV225,0),),"")</f>
        <v/>
      </c>
      <c r="AV225" s="76">
        <f>IF(AU225="","",IF(VLOOKUP($B225,INDIRECT("'GRD-"&amp;AW225&amp;"'!$B:$R"),16,FALSE)="","",VLOOKUP($B225,INDIRECT("'GRD-"&amp;AW225&amp;"'!$B:$R"),16,FALSE)))</f>
        <v/>
      </c>
      <c r="AW225" s="132">
        <f t="array" ref="AW225">IF(AU225="","",IFERROR(OFFSET($BZ$11,0,MATCH($AU225,$CA225:$FV225,0),),""))</f>
        <v/>
      </c>
      <c r="AX225" s="121">
        <f t="array" ref="AX225">IF(AU225="","",INDIRECT("'GRD-"&amp;AW225&amp;"'!$L$7"))</f>
        <v/>
      </c>
      <c r="AY225" s="83">
        <f t="array" ref="AY225">IFERROR(OFFSET($BZ$11,ROW($B225)-11,MATCH(AY$10,$CA225:$FV225,0),),"")</f>
        <v/>
      </c>
      <c r="AZ225" s="83">
        <f>IF(AY225="","",IF(VLOOKUP($B225,INDIRECT("'GRD-"&amp;BA225&amp;"'!$B:$R"),16,FALSE)="","",VLOOKUP($B225,INDIRECT("'GRD-"&amp;BA225&amp;"'!$B:$R"),16,FALSE)))</f>
        <v/>
      </c>
      <c r="BA225" s="128">
        <f t="array" ref="BA225">IF(AY225="","",IFERROR(OFFSET($BZ$11,0,MATCH($AY225,$CA225:$FV225,0),),""))</f>
        <v/>
      </c>
      <c r="BB225" s="133">
        <f t="array" ref="BB225">IF(AY225="","",INDIRECT("'GRD-"&amp;BA225&amp;"'!$L$7"))</f>
        <v/>
      </c>
      <c r="BC225" s="84">
        <f t="array" ref="BC225">IFERROR(OFFSET($BZ$11,ROW($B225)-11,MATCH(BC$10,$CA225:$FV225,0),),"")</f>
        <v/>
      </c>
      <c r="BD225" s="84">
        <f>IF(BC225="","",IF(VLOOKUP($B225,INDIRECT("'GRD-"&amp;BE225&amp;"'!$B:$R"),16,FALSE)="","",VLOOKUP($B225,INDIRECT("'GRD-"&amp;BE225&amp;"'!$B:$R"),16,FALSE)))</f>
        <v/>
      </c>
      <c r="BE225" s="129">
        <f t="array" ref="BE225">IF(BC225="","",IFERROR(OFFSET($BZ$11,0,MATCH($BC225,$CA225:$FV225,0),),""))</f>
        <v/>
      </c>
      <c r="BF225" s="134">
        <f t="array" ref="BF225">IF(BC225="","",INDIRECT("'GRD-"&amp;BE225&amp;"'!$L$7"))</f>
        <v/>
      </c>
      <c r="CA225" s="96">
        <f>IFERROR(VLOOKUP($B225,INDIRECT("'GRD-"&amp;CA$11&amp;"'!B:R"),15,FALSE),"")</f>
        <v/>
      </c>
      <c r="CB225" s="96">
        <f>IFERROR(VLOOKUP($B225,INDIRECT("'GRD-"&amp;CB$11&amp;"'!B:R"),15,FALSE),"")</f>
        <v/>
      </c>
      <c r="CC225" s="96">
        <f>IFERROR(VLOOKUP($B225,INDIRECT("'GRD-"&amp;CC$11&amp;"'!B:R"),15,FALSE),"")</f>
        <v/>
      </c>
      <c r="CD225" s="96">
        <f>IFERROR(VLOOKUP($B225,INDIRECT("'GRD-"&amp;CD$11&amp;"'!B:R"),15,FALSE),"")</f>
        <v/>
      </c>
      <c r="CE225" s="96">
        <f>IFERROR(VLOOKUP($B225,INDIRECT("'GRD-"&amp;CE$11&amp;"'!B:R"),15,FALSE),"")</f>
        <v/>
      </c>
      <c r="CF225" s="96">
        <f>IFERROR(VLOOKUP($B225,INDIRECT("'GRD-"&amp;CF$11&amp;"'!B:R"),15,FALSE),"")</f>
        <v/>
      </c>
      <c r="CG225" s="96">
        <f>IFERROR(VLOOKUP($B225,INDIRECT("'GRD-"&amp;CG$11&amp;"'!B:R"),15,FALSE),"")</f>
        <v/>
      </c>
      <c r="CH225" s="96">
        <f>IFERROR(VLOOKUP($B225,INDIRECT("'GRD-"&amp;CH$11&amp;"'!B:R"),15,FALSE),"")</f>
        <v/>
      </c>
      <c r="CI225" s="96">
        <f>IFERROR(VLOOKUP($B225,INDIRECT("'GRD-"&amp;CI$11&amp;"'!B:R"),15,FALSE),"")</f>
        <v/>
      </c>
      <c r="CJ225" s="96">
        <f>IFERROR(VLOOKUP($B225,INDIRECT("'GRD-"&amp;CJ$11&amp;"'!B:R"),15,FALSE),"")</f>
        <v/>
      </c>
      <c r="CK225" s="96">
        <f>IFERROR(VLOOKUP($B225,INDIRECT("'GRD-"&amp;CK$11&amp;"'!B:R"),15,FALSE),"")</f>
        <v/>
      </c>
      <c r="CL225" s="96">
        <f>IFERROR(VLOOKUP($B225,INDIRECT("'GRD-"&amp;CL$11&amp;"'!B:R"),15,FALSE),"")</f>
        <v/>
      </c>
      <c r="CM225" s="96">
        <f>IFERROR(VLOOKUP($B225,INDIRECT("'GRD-"&amp;CM$11&amp;"'!B:R"),15,FALSE),"")</f>
        <v/>
      </c>
      <c r="CN225" s="96">
        <f>IFERROR(VLOOKUP($B225,INDIRECT("'GRD-"&amp;CN$11&amp;"'!B:R"),15,FALSE),"")</f>
        <v/>
      </c>
      <c r="CO225" s="96">
        <f>IFERROR(VLOOKUP($B225,INDIRECT("'GRD-"&amp;CO$11&amp;"'!B:R"),15,FALSE),"")</f>
        <v/>
      </c>
      <c r="CP225" s="96">
        <f>IFERROR(VLOOKUP($B225,INDIRECT("'GRD-"&amp;CP$11&amp;"'!B:R"),15,FALSE),"")</f>
        <v/>
      </c>
      <c r="CQ225" s="96">
        <f>IFERROR(VLOOKUP($B225,INDIRECT("'GRD-"&amp;CQ$11&amp;"'!B:R"),15,FALSE),"")</f>
        <v/>
      </c>
      <c r="CR225" s="96">
        <f>IFERROR(VLOOKUP($B225,INDIRECT("'GRD-"&amp;CR$11&amp;"'!B:R"),15,FALSE),"")</f>
        <v/>
      </c>
      <c r="CS225" s="96">
        <f>IFERROR(VLOOKUP($B225,INDIRECT("'GRD-"&amp;CS$11&amp;"'!B:R"),15,FALSE),"")</f>
        <v/>
      </c>
      <c r="CT225" s="96">
        <f>IFERROR(VLOOKUP($B225,INDIRECT("'GRD-"&amp;CT$11&amp;"'!B:R"),15,FALSE),"")</f>
        <v/>
      </c>
      <c r="CU225" s="96">
        <f>IFERROR(VLOOKUP($B225,INDIRECT("'GRD-"&amp;CU$11&amp;"'!B:R"),15,FALSE),"")</f>
        <v/>
      </c>
      <c r="CV225" s="96">
        <f>IFERROR(VLOOKUP($B225,INDIRECT("'GRD-"&amp;CV$11&amp;"'!B:R"),15,FALSE),"")</f>
        <v/>
      </c>
      <c r="CW225" s="96">
        <f>IFERROR(VLOOKUP($B225,INDIRECT("'GRD-"&amp;CW$11&amp;"'!B:R"),15,FALSE),"")</f>
        <v/>
      </c>
      <c r="CX225" s="96">
        <f>IFERROR(VLOOKUP($B225,INDIRECT("'GRD-"&amp;CX$11&amp;"'!B:R"),15,FALSE),"")</f>
        <v/>
      </c>
      <c r="CY225" s="96">
        <f>IFERROR(VLOOKUP($B225,INDIRECT("'GRD-"&amp;CY$11&amp;"'!B:R"),15,FALSE),"")</f>
        <v/>
      </c>
      <c r="CZ225" s="96">
        <f>IFERROR(VLOOKUP($B225,INDIRECT("'GRD-"&amp;CZ$11&amp;"'!B:R"),15,FALSE),"")</f>
        <v/>
      </c>
      <c r="DA225" s="96">
        <f>IFERROR(VLOOKUP($B225,INDIRECT("'GRD-"&amp;DA$11&amp;"'!B:R"),15,FALSE),"")</f>
        <v/>
      </c>
      <c r="DB225" s="96">
        <f>IFERROR(VLOOKUP($B225,INDIRECT("'GRD-"&amp;DB$11&amp;"'!B:R"),15,FALSE),"")</f>
        <v/>
      </c>
      <c r="DC225" s="96">
        <f>IFERROR(VLOOKUP($B225,INDIRECT("'GRD-"&amp;DC$11&amp;"'!B:R"),15,FALSE),"")</f>
        <v/>
      </c>
      <c r="DD225" s="96">
        <f>IFERROR(VLOOKUP($B225,INDIRECT("'GRD-"&amp;DD$11&amp;"'!B:R"),15,FALSE),"")</f>
        <v/>
      </c>
      <c r="DE225" s="96">
        <f>IFERROR(VLOOKUP($B225,INDIRECT("'GRD-"&amp;DE$11&amp;"'!B:R"),15,FALSE),"")</f>
        <v/>
      </c>
      <c r="DF225" s="96">
        <f>IFERROR(VLOOKUP($B225,INDIRECT("'GRD-"&amp;DF$11&amp;"'!B:R"),15,FALSE),"")</f>
        <v/>
      </c>
      <c r="DG225" s="96">
        <f>IFERROR(VLOOKUP($B225,INDIRECT("'GRD-"&amp;DG$11&amp;"'!B:R"),15,FALSE),"")</f>
        <v/>
      </c>
      <c r="DH225" s="96">
        <f>IFERROR(VLOOKUP($B225,INDIRECT("'GRD-"&amp;DH$11&amp;"'!B:R"),15,FALSE),"")</f>
        <v/>
      </c>
      <c r="DI225" s="96">
        <f>IFERROR(VLOOKUP($B225,INDIRECT("'GRD-"&amp;DI$11&amp;"'!B:R"),15,FALSE),"")</f>
        <v/>
      </c>
      <c r="DJ225" s="96">
        <f>IFERROR(VLOOKUP($B225,INDIRECT("'GRD-"&amp;DJ$11&amp;"'!B:R"),15,FALSE),"")</f>
        <v/>
      </c>
      <c r="DK225" s="96">
        <f>IFERROR(VLOOKUP($B225,INDIRECT("'GRD-"&amp;DK$11&amp;"'!B:R"),15,FALSE),"")</f>
        <v/>
      </c>
      <c r="DL225" s="96">
        <f>IFERROR(VLOOKUP($B225,INDIRECT("'GRD-"&amp;DL$11&amp;"'!B:R"),15,FALSE),"")</f>
        <v/>
      </c>
      <c r="DM225" s="96">
        <f>IFERROR(VLOOKUP($B225,INDIRECT("'GRD-"&amp;DM$11&amp;"'!B:R"),15,FALSE),"")</f>
        <v/>
      </c>
      <c r="DN225" s="96">
        <f>IFERROR(VLOOKUP($B225,INDIRECT("'GRD-"&amp;DN$11&amp;"'!B:R"),15,FALSE),"")</f>
        <v/>
      </c>
      <c r="DO225" s="96">
        <f>IFERROR(VLOOKUP($B225,INDIRECT("'GRD-"&amp;DO$11&amp;"'!B:R"),15,FALSE),"")</f>
        <v/>
      </c>
      <c r="DP225" s="96">
        <f>IFERROR(VLOOKUP($B225,INDIRECT("'GRD-"&amp;DP$11&amp;"'!B:R"),15,FALSE),"")</f>
        <v/>
      </c>
      <c r="DQ225" s="96">
        <f>IFERROR(VLOOKUP($B225,INDIRECT("'GRD-"&amp;DQ$11&amp;"'!B:R"),15,FALSE),"")</f>
        <v/>
      </c>
      <c r="DR225" s="96">
        <f>IFERROR(VLOOKUP($B225,INDIRECT("'GRD-"&amp;DR$11&amp;"'!B:R"),15,FALSE),"")</f>
        <v/>
      </c>
      <c r="DS225" s="96">
        <f>IFERROR(VLOOKUP($B225,INDIRECT("'GRD-"&amp;DS$11&amp;"'!B:R"),15,FALSE),"")</f>
        <v/>
      </c>
      <c r="DT225" s="96">
        <f>IFERROR(VLOOKUP($B225,INDIRECT("'GRD-"&amp;DT$11&amp;"'!B:R"),15,FALSE),"")</f>
        <v/>
      </c>
      <c r="DU225" s="96">
        <f>IFERROR(VLOOKUP($B225,INDIRECT("'GRD-"&amp;DU$11&amp;"'!B:R"),15,FALSE),"")</f>
        <v/>
      </c>
      <c r="DV225" s="96">
        <f>IFERROR(VLOOKUP($B225,INDIRECT("'GRD-"&amp;DV$11&amp;"'!B:R"),15,FALSE),"")</f>
        <v/>
      </c>
      <c r="DW225" s="96">
        <f>IFERROR(VLOOKUP($B225,INDIRECT("'GRD-"&amp;DW$11&amp;"'!B:R"),15,FALSE),"")</f>
        <v/>
      </c>
      <c r="DX225" s="96">
        <f>IFERROR(VLOOKUP($B225,INDIRECT("'GRD-"&amp;DX$11&amp;"'!B:R"),15,FALSE),"")</f>
        <v/>
      </c>
      <c r="DY225" s="96">
        <f>IFERROR(VLOOKUP($B225,INDIRECT("'GRD-"&amp;DY$11&amp;"'!B:R"),15,FALSE),"")</f>
        <v/>
      </c>
      <c r="DZ225" s="96">
        <f>IFERROR(VLOOKUP($B225,INDIRECT("'GRD-"&amp;DZ$11&amp;"'!B:R"),15,FALSE),"")</f>
        <v/>
      </c>
      <c r="EA225" s="96">
        <f>IFERROR(VLOOKUP($B225,INDIRECT("'GRD-"&amp;EA$11&amp;"'!B:R"),15,FALSE),"")</f>
        <v/>
      </c>
      <c r="EB225" s="96">
        <f>IFERROR(VLOOKUP($B225,INDIRECT("'GRD-"&amp;EB$11&amp;"'!B:R"),15,FALSE),"")</f>
        <v/>
      </c>
      <c r="EC225" s="96">
        <f>IFERROR(VLOOKUP($B225,INDIRECT("'GRD-"&amp;EC$11&amp;"'!B:R"),15,FALSE),"")</f>
        <v/>
      </c>
      <c r="ED225" s="96">
        <f>IFERROR(VLOOKUP($B225,INDIRECT("'GRD-"&amp;ED$11&amp;"'!B:R"),15,FALSE),"")</f>
        <v/>
      </c>
      <c r="EE225" s="96">
        <f>IFERROR(VLOOKUP($B225,INDIRECT("'GRD-"&amp;EE$11&amp;"'!B:R"),15,FALSE),"")</f>
        <v/>
      </c>
      <c r="EF225" s="96">
        <f>IFERROR(VLOOKUP($B225,INDIRECT("'GRD-"&amp;EF$11&amp;"'!B:R"),15,FALSE),"")</f>
        <v/>
      </c>
      <c r="EG225" s="96">
        <f>IFERROR(VLOOKUP($B225,INDIRECT("'GRD-"&amp;EG$11&amp;"'!B:R"),15,FALSE),"")</f>
        <v/>
      </c>
      <c r="EH225" s="96">
        <f>IFERROR(VLOOKUP($B225,INDIRECT("'GRD-"&amp;EH$11&amp;"'!B:R"),15,FALSE),"")</f>
        <v/>
      </c>
      <c r="EI225" s="96">
        <f>IFERROR(VLOOKUP($B225,INDIRECT("'GRD-"&amp;EI$11&amp;"'!B:R"),15,FALSE),"")</f>
        <v/>
      </c>
      <c r="EJ225" s="96">
        <f>IFERROR(VLOOKUP($B225,INDIRECT("'GRD-"&amp;EJ$11&amp;"'!B:R"),15,FALSE),"")</f>
        <v/>
      </c>
      <c r="EK225" s="96">
        <f>IFERROR(VLOOKUP($B225,INDIRECT("'GRD-"&amp;EK$11&amp;"'!B:R"),15,FALSE),"")</f>
        <v/>
      </c>
      <c r="EL225" s="96">
        <f>IFERROR(VLOOKUP($B225,INDIRECT("'GRD-"&amp;EL$11&amp;"'!B:R"),15,FALSE),"")</f>
        <v/>
      </c>
      <c r="EM225" s="96">
        <f>IFERROR(VLOOKUP($B225,INDIRECT("'GRD-"&amp;EM$11&amp;"'!B:R"),15,FALSE),"")</f>
        <v/>
      </c>
      <c r="EN225" s="96">
        <f>IFERROR(VLOOKUP($B225,INDIRECT("'GRD-"&amp;EN$11&amp;"'!B:R"),15,FALSE),"")</f>
        <v/>
      </c>
      <c r="EO225" s="96">
        <f>IFERROR(VLOOKUP($B225,INDIRECT("'GRD-"&amp;EO$11&amp;"'!B:R"),15,FALSE),"")</f>
        <v/>
      </c>
      <c r="EP225" s="96">
        <f>IFERROR(VLOOKUP($B225,INDIRECT("'GRD-"&amp;EP$11&amp;"'!B:R"),15,FALSE),"")</f>
        <v/>
      </c>
      <c r="EQ225" s="96">
        <f>IFERROR(VLOOKUP($B225,INDIRECT("'GRD-"&amp;EQ$11&amp;"'!B:R"),15,FALSE),"")</f>
        <v/>
      </c>
      <c r="ER225" s="96">
        <f>IFERROR(VLOOKUP($B225,INDIRECT("'GRD-"&amp;ER$11&amp;"'!B:R"),15,FALSE),"")</f>
        <v/>
      </c>
      <c r="ES225" s="96">
        <f>IFERROR(VLOOKUP($B225,INDIRECT("'GRD-"&amp;ES$11&amp;"'!B:R"),15,FALSE),"")</f>
        <v/>
      </c>
      <c r="ET225" s="96">
        <f>IFERROR(VLOOKUP($B225,INDIRECT("'GRD-"&amp;ET$11&amp;"'!B:R"),15,FALSE),"")</f>
        <v/>
      </c>
      <c r="EU225" s="96">
        <f>IFERROR(VLOOKUP($B225,INDIRECT("'GRD-"&amp;EU$11&amp;"'!B:R"),15,FALSE),"")</f>
        <v/>
      </c>
      <c r="EV225" s="96">
        <f>IFERROR(VLOOKUP($B225,INDIRECT("'GRD-"&amp;EV$11&amp;"'!B:R"),15,FALSE),"")</f>
        <v/>
      </c>
      <c r="EW225" s="96">
        <f>IFERROR(VLOOKUP($B225,INDIRECT("'GRD-"&amp;EW$11&amp;"'!B:R"),15,FALSE),"")</f>
        <v/>
      </c>
      <c r="EX225" s="96">
        <f>IFERROR(VLOOKUP($B225,INDIRECT("'GRD-"&amp;EX$11&amp;"'!B:R"),15,FALSE),"")</f>
        <v/>
      </c>
      <c r="EY225" s="96">
        <f>IFERROR(VLOOKUP($B225,INDIRECT("'GRD-"&amp;EY$11&amp;"'!B:R"),15,FALSE),"")</f>
        <v/>
      </c>
      <c r="EZ225" s="96">
        <f>IFERROR(VLOOKUP($B225,INDIRECT("'GRD-"&amp;EZ$11&amp;"'!B:R"),15,FALSE),"")</f>
        <v/>
      </c>
      <c r="FA225" s="96">
        <f>IFERROR(VLOOKUP($B225,INDIRECT("'GRD-"&amp;FA$11&amp;"'!B:R"),15,FALSE),"")</f>
        <v/>
      </c>
      <c r="FB225" s="96">
        <f>IFERROR(VLOOKUP($B225,INDIRECT("'GRD-"&amp;FB$11&amp;"'!B:R"),15,FALSE),"")</f>
        <v/>
      </c>
      <c r="FC225" s="96">
        <f>IFERROR(VLOOKUP($B225,INDIRECT("'GRD-"&amp;FC$11&amp;"'!B:R"),15,FALSE),"")</f>
        <v/>
      </c>
      <c r="FD225" s="96">
        <f>IFERROR(VLOOKUP($B225,INDIRECT("'GRD-"&amp;FD$11&amp;"'!B:R"),15,FALSE),"")</f>
        <v/>
      </c>
      <c r="FE225" s="96">
        <f>IFERROR(VLOOKUP($B225,INDIRECT("'GRD-"&amp;FE$11&amp;"'!B:R"),15,FALSE),"")</f>
        <v/>
      </c>
      <c r="FF225" s="96">
        <f>IFERROR(VLOOKUP($B225,INDIRECT("'GRD-"&amp;FF$11&amp;"'!B:R"),15,FALSE),"")</f>
        <v/>
      </c>
      <c r="FG225" s="96">
        <f>IFERROR(VLOOKUP($B225,INDIRECT("'GRD-"&amp;FG$11&amp;"'!B:R"),15,FALSE),"")</f>
        <v/>
      </c>
      <c r="FH225" s="96">
        <f>IFERROR(VLOOKUP($B225,INDIRECT("'GRD-"&amp;FH$11&amp;"'!B:R"),15,FALSE),"")</f>
        <v/>
      </c>
      <c r="FI225" s="96">
        <f>IFERROR(VLOOKUP($B225,INDIRECT("'GRD-"&amp;FI$11&amp;"'!B:R"),15,FALSE),"")</f>
        <v/>
      </c>
      <c r="FJ225" s="96">
        <f>IFERROR(VLOOKUP($B225,INDIRECT("'GRD-"&amp;FJ$11&amp;"'!B:R"),15,FALSE),"")</f>
        <v/>
      </c>
      <c r="FK225" s="96">
        <f>IFERROR(VLOOKUP($B225,INDIRECT("'GRD-"&amp;FK$11&amp;"'!B:R"),15,FALSE),"")</f>
        <v/>
      </c>
      <c r="FL225" s="96">
        <f>IFERROR(VLOOKUP($B225,INDIRECT("'GRD-"&amp;FL$11&amp;"'!B:R"),15,FALSE),"")</f>
        <v/>
      </c>
      <c r="FM225" s="96">
        <f>IFERROR(VLOOKUP($B225,INDIRECT("'GRD-"&amp;FM$11&amp;"'!B:R"),15,FALSE),"")</f>
        <v/>
      </c>
      <c r="FN225" s="96">
        <f>IFERROR(VLOOKUP($B225,INDIRECT("'GRD-"&amp;FN$11&amp;"'!B:R"),15,FALSE),"")</f>
        <v/>
      </c>
      <c r="FO225" s="96">
        <f>IFERROR(VLOOKUP($B225,INDIRECT("'GRD-"&amp;FO$11&amp;"'!B:R"),15,FALSE),"")</f>
        <v/>
      </c>
      <c r="FP225" s="96">
        <f>IFERROR(VLOOKUP($B225,INDIRECT("'GRD-"&amp;FP$11&amp;"'!B:R"),15,FALSE),"")</f>
        <v/>
      </c>
      <c r="FQ225" s="96">
        <f>IFERROR(VLOOKUP($B225,INDIRECT("'GRD-"&amp;FQ$11&amp;"'!B:R"),15,FALSE),"")</f>
        <v/>
      </c>
      <c r="FR225" s="96">
        <f>IFERROR(VLOOKUP($B225,INDIRECT("'GRD-"&amp;FR$11&amp;"'!B:R"),15,FALSE),"")</f>
        <v/>
      </c>
      <c r="FS225" s="96">
        <f>IFERROR(VLOOKUP($B225,INDIRECT("'GRD-"&amp;FS$11&amp;"'!B:R"),15,FALSE),"")</f>
        <v/>
      </c>
      <c r="FT225" s="96">
        <f>IFERROR(VLOOKUP($B225,INDIRECT("'GRD-"&amp;FT$11&amp;"'!B:R"),15,FALSE),"")</f>
        <v/>
      </c>
      <c r="FU225" s="96">
        <f>IFERROR(VLOOKUP($B225,INDIRECT("'GRD-"&amp;FU$11&amp;"'!B:R"),15,FALSE),"")</f>
        <v/>
      </c>
      <c r="FV225" s="96">
        <f>IFERROR(VLOOKUP($B225,INDIRECT("'GRD-"&amp;FV$11&amp;"'!B:R"),15,FALSE),"")</f>
        <v/>
      </c>
    </row>
    <row r="226">
      <c r="B226" s="85" t="n"/>
      <c r="C226" s="93" t="n"/>
      <c r="D226" s="73">
        <f>IF(K226="","",MAX($CA226:$FV226))</f>
        <v/>
      </c>
      <c r="E226" s="74">
        <f t="array" ref="E226">IF($K226="","",OFFSET($A$1,ROW($B226)-1,11+$D226*4,))</f>
        <v/>
      </c>
      <c r="F226" s="74">
        <f t="array" ref="F226">IF($K226="","",OFFSET($A$1,ROW($B226)-1,12+$D226*4,))</f>
        <v/>
      </c>
      <c r="G226" s="118">
        <f t="array" ref="G226">IF($K226="","",OFFSET($A$1,ROW($B226)-1,13+$D226*4,))</f>
        <v/>
      </c>
      <c r="H226" s="81" t="n"/>
      <c r="I226" s="82" t="n"/>
      <c r="J226" s="75">
        <f>IF(I226="A4",H226/8,IF(I226="A3",H226/4,IF(I226="A2",H226/2,IF(I226="A1",H226/1,IF(I226="A0",H226*2,"")))))</f>
        <v/>
      </c>
      <c r="K226" s="68">
        <f t="array" ref="K226">IFERROR(OFFSET($BZ$11,ROW($B226)-11,MATCH(K$10,$CA226:$FV226,0),),"")</f>
        <v/>
      </c>
      <c r="L226" s="85">
        <f>IF(K226="","",IF(VLOOKUP($B226,INDIRECT("'GRD-"&amp;M226&amp;"'!$B:$R"),16,FALSE)="","",VLOOKUP($B226,INDIRECT("'GRD-"&amp;M226&amp;"'!$B:$R"),16,FALSE)))</f>
        <v/>
      </c>
      <c r="M226" s="130">
        <f t="array" ref="M226">IF(K226="","",IFERROR(OFFSET($BZ$11,0,MATCH($K226,$CA226:$FV226,0),),""))</f>
        <v/>
      </c>
      <c r="N226" s="119">
        <f t="array" ref="N226">IF(K226="","",INDIRECT("'GRD-"&amp;M226&amp;"'!$L$7"))</f>
        <v/>
      </c>
      <c r="O226" s="76">
        <f t="array" ref="O226">IFERROR(OFFSET($BZ$11,ROW($B226)-11,MATCH(O$10,$CA226:$FV226,0),),"")</f>
        <v/>
      </c>
      <c r="P226" s="76">
        <f>IF(O226="","",IF(VLOOKUP($B226,INDIRECT("'GRD-"&amp;Q226&amp;"'!$B:$R"),16,FALSE)="","",VLOOKUP($B226,INDIRECT("'GRD-"&amp;Q226&amp;"'!$B:$R"),16,FALSE)))</f>
        <v/>
      </c>
      <c r="Q226" s="132">
        <f t="array" ref="Q226">IF(O226="","",IFERROR(OFFSET($BZ$11,0,MATCH($O226,$CA226:$FV226,0),),""))</f>
        <v/>
      </c>
      <c r="R226" s="121">
        <f t="array" ref="R226">IF(O226="","",INDIRECT("'GRD-"&amp;Q226&amp;"'!$L$7"))</f>
        <v/>
      </c>
      <c r="S226" s="83">
        <f t="array" ref="S226">IFERROR(OFFSET($BZ$11,ROW($B226)-11,MATCH(S$10,$CA226:$FV226,0),),"")</f>
        <v/>
      </c>
      <c r="T226" s="83">
        <f>IF(S226="","",IF(VLOOKUP($B226,INDIRECT("'GRD-"&amp;U226&amp;"'!$B:$R"),16,FALSE)="","",VLOOKUP($B226,INDIRECT("'GRD-"&amp;U226&amp;"'!$B:$R"),16,FALSE)))</f>
        <v/>
      </c>
      <c r="U226" s="128">
        <f t="array" ref="U226">IF(S226="","",IFERROR(OFFSET($BZ$11,0,MATCH($S226,$CA226:$FV226,0),),""))</f>
        <v/>
      </c>
      <c r="V226" s="133">
        <f t="array" ref="V226">IF(S226="","",INDIRECT("'GRD-"&amp;U226&amp;"'!$L$7"))</f>
        <v/>
      </c>
      <c r="W226" s="84">
        <f t="array" ref="W226">IFERROR(OFFSET($BZ$11,ROW($B226)-11,MATCH(W$10,$CA226:$FV226,0),),"")</f>
        <v/>
      </c>
      <c r="X226" s="84">
        <f>IF(W226="","",IF(VLOOKUP($B226,INDIRECT("'GRD-"&amp;Y226&amp;"'!$B:$R"),16,FALSE)="","",VLOOKUP($B226,INDIRECT("'GRD-"&amp;Y226&amp;"'!$B:$R"),16,FALSE)))</f>
        <v/>
      </c>
      <c r="Y226" s="129">
        <f t="array" ref="Y226">IF(W226="","",IFERROR(OFFSET($BZ$11,0,MATCH($W226,$CA226:$FV226,0),),""))</f>
        <v/>
      </c>
      <c r="Z226" s="134">
        <f t="array" ref="Z226">IF(W226="","",INDIRECT("'GRD-"&amp;Y226&amp;"'!$L$7"))</f>
        <v/>
      </c>
      <c r="AA226" s="85">
        <f t="array" ref="AA226">IFERROR(OFFSET($BZ$11,ROW($B226)-11,MATCH(AA$10,$CA226:$FV226,0),),"")</f>
        <v/>
      </c>
      <c r="AB226" s="85">
        <f>IF(AA226="","",IF(VLOOKUP($B226,INDIRECT("'GRD-"&amp;AC226&amp;"'!$B:$R"),16,FALSE)="","",VLOOKUP($B226,INDIRECT("'GRD-"&amp;AC226&amp;"'!$B:$R"),16,FALSE)))</f>
        <v/>
      </c>
      <c r="AC226" s="130">
        <f t="array" ref="AC226">IF(AA226="","",IFERROR(OFFSET($BZ$11,0,MATCH($AA226,$CA226:$FV226,0),),""))</f>
        <v/>
      </c>
      <c r="AD226" s="131">
        <f t="array" ref="AD226">IF(AA226="","",INDIRECT("'GRD-"&amp;AC226&amp;"'!$L$7"))</f>
        <v/>
      </c>
      <c r="AE226" s="76">
        <f t="array" ref="AE226">IFERROR(OFFSET($BZ$11,ROW($B226)-11,MATCH(AE$10,$CA226:$FV226,0),),"")</f>
        <v/>
      </c>
      <c r="AF226" s="76">
        <f>IF(AE226="","",IF(VLOOKUP($B226,INDIRECT("'GRD-"&amp;AG226&amp;"'!$B:$R"),16,FALSE)="","",VLOOKUP($B226,INDIRECT("'GRD-"&amp;AG226&amp;"'!$B:$R"),16,FALSE)))</f>
        <v/>
      </c>
      <c r="AG226" s="132">
        <f t="array" ref="AG226">IF(AE226="","",IFERROR(OFFSET($BZ$11,0,MATCH($AE226,$CA226:$FV226,0),),""))</f>
        <v/>
      </c>
      <c r="AH226" s="121">
        <f t="array" ref="AH226">IF(AE226="","",INDIRECT("'GRD-"&amp;AG226&amp;"'!$L$7"))</f>
        <v/>
      </c>
      <c r="AI226" s="83">
        <f t="array" ref="AI226">IFERROR(OFFSET($BZ$11,ROW($B226)-11,MATCH(AI$10,$CA226:$FV226,0),),"")</f>
        <v/>
      </c>
      <c r="AJ226" s="83">
        <f>IF(AI226="","",IF(VLOOKUP($B226,INDIRECT("'GRD-"&amp;AK226&amp;"'!$B:$R"),16,FALSE)="","",VLOOKUP($B226,INDIRECT("'GRD-"&amp;AK226&amp;"'!$B:$R"),16,FALSE)))</f>
        <v/>
      </c>
      <c r="AK226" s="128">
        <f t="array" ref="AK226">IF(AI226="","",IFERROR(OFFSET($BZ$11,0,MATCH($AI226,$CA226:$FV226,0),),""))</f>
        <v/>
      </c>
      <c r="AL226" s="133">
        <f t="array" ref="AL226">IF(AI226="","",INDIRECT("'GRD-"&amp;AK226&amp;"'!$L$7"))</f>
        <v/>
      </c>
      <c r="AM226" s="84">
        <f t="array" ref="AM226">IFERROR(OFFSET($BZ$11,ROW($B226)-11,MATCH(AM$10,$CA226:$FV226,0),),"")</f>
        <v/>
      </c>
      <c r="AN226" s="84">
        <f>IF(AM226="","",IF(VLOOKUP($B226,INDIRECT("'GRD-"&amp;AO226&amp;"'!$B:$R"),16,FALSE)="","",VLOOKUP($B226,INDIRECT("'GRD-"&amp;AO226&amp;"'!$B:$R"),16,FALSE)))</f>
        <v/>
      </c>
      <c r="AO226" s="129">
        <f t="array" ref="AO226">IF(AM226="","",IFERROR(OFFSET($BZ$11,0,MATCH($AM226,$CA226:$FV226,0),),""))</f>
        <v/>
      </c>
      <c r="AP226" s="134">
        <f t="array" ref="AP226">IF(AM226="","",INDIRECT("'GRD-"&amp;AO226&amp;"'!$L$7"))</f>
        <v/>
      </c>
      <c r="AQ226" s="85">
        <f t="array" ref="AQ226">IFERROR(OFFSET($BZ$11,ROW($B226)-11,MATCH(AQ$10,$CA226:$FV226,0),),"")</f>
        <v/>
      </c>
      <c r="AR226" s="85">
        <f>IF(AQ226="","",IF(VLOOKUP($B226,INDIRECT("'GRD-"&amp;AS226&amp;"'!$B:$R"),16,FALSE)="","",VLOOKUP($B226,INDIRECT("'GRD-"&amp;AS226&amp;"'!$B:$R"),16,FALSE)))</f>
        <v/>
      </c>
      <c r="AS226" s="130">
        <f t="array" ref="AS226">IF(AQ226="","",IFERROR(OFFSET($BZ$11,0,MATCH($AQ226,$CA226:$FV226,0),),""))</f>
        <v/>
      </c>
      <c r="AT226" s="131">
        <f t="array" ref="AT226">IF(AQ226="","",INDIRECT("'GRD-"&amp;AS226&amp;"'!$L$7"))</f>
        <v/>
      </c>
      <c r="AU226" s="76">
        <f t="array" ref="AU226">IFERROR(OFFSET($BZ$11,ROW($B226)-11,MATCH(AU$10,$CA226:$FV226,0),),"")</f>
        <v/>
      </c>
      <c r="AV226" s="76">
        <f>IF(AU226="","",IF(VLOOKUP($B226,INDIRECT("'GRD-"&amp;AW226&amp;"'!$B:$R"),16,FALSE)="","",VLOOKUP($B226,INDIRECT("'GRD-"&amp;AW226&amp;"'!$B:$R"),16,FALSE)))</f>
        <v/>
      </c>
      <c r="AW226" s="132">
        <f t="array" ref="AW226">IF(AU226="","",IFERROR(OFFSET($BZ$11,0,MATCH($AU226,$CA226:$FV226,0),),""))</f>
        <v/>
      </c>
      <c r="AX226" s="121">
        <f t="array" ref="AX226">IF(AU226="","",INDIRECT("'GRD-"&amp;AW226&amp;"'!$L$7"))</f>
        <v/>
      </c>
      <c r="AY226" s="83">
        <f t="array" ref="AY226">IFERROR(OFFSET($BZ$11,ROW($B226)-11,MATCH(AY$10,$CA226:$FV226,0),),"")</f>
        <v/>
      </c>
      <c r="AZ226" s="83">
        <f>IF(AY226="","",IF(VLOOKUP($B226,INDIRECT("'GRD-"&amp;BA226&amp;"'!$B:$R"),16,FALSE)="","",VLOOKUP($B226,INDIRECT("'GRD-"&amp;BA226&amp;"'!$B:$R"),16,FALSE)))</f>
        <v/>
      </c>
      <c r="BA226" s="128">
        <f t="array" ref="BA226">IF(AY226="","",IFERROR(OFFSET($BZ$11,0,MATCH($AY226,$CA226:$FV226,0),),""))</f>
        <v/>
      </c>
      <c r="BB226" s="133">
        <f t="array" ref="BB226">IF(AY226="","",INDIRECT("'GRD-"&amp;BA226&amp;"'!$L$7"))</f>
        <v/>
      </c>
      <c r="BC226" s="84">
        <f t="array" ref="BC226">IFERROR(OFFSET($BZ$11,ROW($B226)-11,MATCH(BC$10,$CA226:$FV226,0),),"")</f>
        <v/>
      </c>
      <c r="BD226" s="84">
        <f>IF(BC226="","",IF(VLOOKUP($B226,INDIRECT("'GRD-"&amp;BE226&amp;"'!$B:$R"),16,FALSE)="","",VLOOKUP($B226,INDIRECT("'GRD-"&amp;BE226&amp;"'!$B:$R"),16,FALSE)))</f>
        <v/>
      </c>
      <c r="BE226" s="129">
        <f t="array" ref="BE226">IF(BC226="","",IFERROR(OFFSET($BZ$11,0,MATCH($BC226,$CA226:$FV226,0),),""))</f>
        <v/>
      </c>
      <c r="BF226" s="134">
        <f t="array" ref="BF226">IF(BC226="","",INDIRECT("'GRD-"&amp;BE226&amp;"'!$L$7"))</f>
        <v/>
      </c>
      <c r="CA226" s="96">
        <f>IFERROR(VLOOKUP($B226,INDIRECT("'GRD-"&amp;CA$11&amp;"'!B:R"),15,FALSE),"")</f>
        <v/>
      </c>
      <c r="CB226" s="96">
        <f>IFERROR(VLOOKUP($B226,INDIRECT("'GRD-"&amp;CB$11&amp;"'!B:R"),15,FALSE),"")</f>
        <v/>
      </c>
      <c r="CC226" s="96">
        <f>IFERROR(VLOOKUP($B226,INDIRECT("'GRD-"&amp;CC$11&amp;"'!B:R"),15,FALSE),"")</f>
        <v/>
      </c>
      <c r="CD226" s="96">
        <f>IFERROR(VLOOKUP($B226,INDIRECT("'GRD-"&amp;CD$11&amp;"'!B:R"),15,FALSE),"")</f>
        <v/>
      </c>
      <c r="CE226" s="96">
        <f>IFERROR(VLOOKUP($B226,INDIRECT("'GRD-"&amp;CE$11&amp;"'!B:R"),15,FALSE),"")</f>
        <v/>
      </c>
      <c r="CF226" s="96">
        <f>IFERROR(VLOOKUP($B226,INDIRECT("'GRD-"&amp;CF$11&amp;"'!B:R"),15,FALSE),"")</f>
        <v/>
      </c>
      <c r="CG226" s="96">
        <f>IFERROR(VLOOKUP($B226,INDIRECT("'GRD-"&amp;CG$11&amp;"'!B:R"),15,FALSE),"")</f>
        <v/>
      </c>
      <c r="CH226" s="96">
        <f>IFERROR(VLOOKUP($B226,INDIRECT("'GRD-"&amp;CH$11&amp;"'!B:R"),15,FALSE),"")</f>
        <v/>
      </c>
      <c r="CI226" s="96">
        <f>IFERROR(VLOOKUP($B226,INDIRECT("'GRD-"&amp;CI$11&amp;"'!B:R"),15,FALSE),"")</f>
        <v/>
      </c>
      <c r="CJ226" s="96">
        <f>IFERROR(VLOOKUP($B226,INDIRECT("'GRD-"&amp;CJ$11&amp;"'!B:R"),15,FALSE),"")</f>
        <v/>
      </c>
      <c r="CK226" s="96">
        <f>IFERROR(VLOOKUP($B226,INDIRECT("'GRD-"&amp;CK$11&amp;"'!B:R"),15,FALSE),"")</f>
        <v/>
      </c>
      <c r="CL226" s="96">
        <f>IFERROR(VLOOKUP($B226,INDIRECT("'GRD-"&amp;CL$11&amp;"'!B:R"),15,FALSE),"")</f>
        <v/>
      </c>
      <c r="CM226" s="96">
        <f>IFERROR(VLOOKUP($B226,INDIRECT("'GRD-"&amp;CM$11&amp;"'!B:R"),15,FALSE),"")</f>
        <v/>
      </c>
      <c r="CN226" s="96">
        <f>IFERROR(VLOOKUP($B226,INDIRECT("'GRD-"&amp;CN$11&amp;"'!B:R"),15,FALSE),"")</f>
        <v/>
      </c>
      <c r="CO226" s="96">
        <f>IFERROR(VLOOKUP($B226,INDIRECT("'GRD-"&amp;CO$11&amp;"'!B:R"),15,FALSE),"")</f>
        <v/>
      </c>
      <c r="CP226" s="96">
        <f>IFERROR(VLOOKUP($B226,INDIRECT("'GRD-"&amp;CP$11&amp;"'!B:R"),15,FALSE),"")</f>
        <v/>
      </c>
      <c r="CQ226" s="96">
        <f>IFERROR(VLOOKUP($B226,INDIRECT("'GRD-"&amp;CQ$11&amp;"'!B:R"),15,FALSE),"")</f>
        <v/>
      </c>
      <c r="CR226" s="96">
        <f>IFERROR(VLOOKUP($B226,INDIRECT("'GRD-"&amp;CR$11&amp;"'!B:R"),15,FALSE),"")</f>
        <v/>
      </c>
      <c r="CS226" s="96">
        <f>IFERROR(VLOOKUP($B226,INDIRECT("'GRD-"&amp;CS$11&amp;"'!B:R"),15,FALSE),"")</f>
        <v/>
      </c>
      <c r="CT226" s="96">
        <f>IFERROR(VLOOKUP($B226,INDIRECT("'GRD-"&amp;CT$11&amp;"'!B:R"),15,FALSE),"")</f>
        <v/>
      </c>
      <c r="CU226" s="96">
        <f>IFERROR(VLOOKUP($B226,INDIRECT("'GRD-"&amp;CU$11&amp;"'!B:R"),15,FALSE),"")</f>
        <v/>
      </c>
      <c r="CV226" s="96">
        <f>IFERROR(VLOOKUP($B226,INDIRECT("'GRD-"&amp;CV$11&amp;"'!B:R"),15,FALSE),"")</f>
        <v/>
      </c>
      <c r="CW226" s="96">
        <f>IFERROR(VLOOKUP($B226,INDIRECT("'GRD-"&amp;CW$11&amp;"'!B:R"),15,FALSE),"")</f>
        <v/>
      </c>
      <c r="CX226" s="96">
        <f>IFERROR(VLOOKUP($B226,INDIRECT("'GRD-"&amp;CX$11&amp;"'!B:R"),15,FALSE),"")</f>
        <v/>
      </c>
      <c r="CY226" s="96">
        <f>IFERROR(VLOOKUP($B226,INDIRECT("'GRD-"&amp;CY$11&amp;"'!B:R"),15,FALSE),"")</f>
        <v/>
      </c>
      <c r="CZ226" s="96">
        <f>IFERROR(VLOOKUP($B226,INDIRECT("'GRD-"&amp;CZ$11&amp;"'!B:R"),15,FALSE),"")</f>
        <v/>
      </c>
      <c r="DA226" s="96">
        <f>IFERROR(VLOOKUP($B226,INDIRECT("'GRD-"&amp;DA$11&amp;"'!B:R"),15,FALSE),"")</f>
        <v/>
      </c>
      <c r="DB226" s="96">
        <f>IFERROR(VLOOKUP($B226,INDIRECT("'GRD-"&amp;DB$11&amp;"'!B:R"),15,FALSE),"")</f>
        <v/>
      </c>
      <c r="DC226" s="96">
        <f>IFERROR(VLOOKUP($B226,INDIRECT("'GRD-"&amp;DC$11&amp;"'!B:R"),15,FALSE),"")</f>
        <v/>
      </c>
      <c r="DD226" s="96">
        <f>IFERROR(VLOOKUP($B226,INDIRECT("'GRD-"&amp;DD$11&amp;"'!B:R"),15,FALSE),"")</f>
        <v/>
      </c>
      <c r="DE226" s="96">
        <f>IFERROR(VLOOKUP($B226,INDIRECT("'GRD-"&amp;DE$11&amp;"'!B:R"),15,FALSE),"")</f>
        <v/>
      </c>
      <c r="DF226" s="96">
        <f>IFERROR(VLOOKUP($B226,INDIRECT("'GRD-"&amp;DF$11&amp;"'!B:R"),15,FALSE),"")</f>
        <v/>
      </c>
      <c r="DG226" s="96">
        <f>IFERROR(VLOOKUP($B226,INDIRECT("'GRD-"&amp;DG$11&amp;"'!B:R"),15,FALSE),"")</f>
        <v/>
      </c>
      <c r="DH226" s="96">
        <f>IFERROR(VLOOKUP($B226,INDIRECT("'GRD-"&amp;DH$11&amp;"'!B:R"),15,FALSE),"")</f>
        <v/>
      </c>
      <c r="DI226" s="96">
        <f>IFERROR(VLOOKUP($B226,INDIRECT("'GRD-"&amp;DI$11&amp;"'!B:R"),15,FALSE),"")</f>
        <v/>
      </c>
      <c r="DJ226" s="96">
        <f>IFERROR(VLOOKUP($B226,INDIRECT("'GRD-"&amp;DJ$11&amp;"'!B:R"),15,FALSE),"")</f>
        <v/>
      </c>
      <c r="DK226" s="96">
        <f>IFERROR(VLOOKUP($B226,INDIRECT("'GRD-"&amp;DK$11&amp;"'!B:R"),15,FALSE),"")</f>
        <v/>
      </c>
      <c r="DL226" s="96">
        <f>IFERROR(VLOOKUP($B226,INDIRECT("'GRD-"&amp;DL$11&amp;"'!B:R"),15,FALSE),"")</f>
        <v/>
      </c>
      <c r="DM226" s="96">
        <f>IFERROR(VLOOKUP($B226,INDIRECT("'GRD-"&amp;DM$11&amp;"'!B:R"),15,FALSE),"")</f>
        <v/>
      </c>
      <c r="DN226" s="96">
        <f>IFERROR(VLOOKUP($B226,INDIRECT("'GRD-"&amp;DN$11&amp;"'!B:R"),15,FALSE),"")</f>
        <v/>
      </c>
      <c r="DO226" s="96">
        <f>IFERROR(VLOOKUP($B226,INDIRECT("'GRD-"&amp;DO$11&amp;"'!B:R"),15,FALSE),"")</f>
        <v/>
      </c>
      <c r="DP226" s="96">
        <f>IFERROR(VLOOKUP($B226,INDIRECT("'GRD-"&amp;DP$11&amp;"'!B:R"),15,FALSE),"")</f>
        <v/>
      </c>
      <c r="DQ226" s="96">
        <f>IFERROR(VLOOKUP($B226,INDIRECT("'GRD-"&amp;DQ$11&amp;"'!B:R"),15,FALSE),"")</f>
        <v/>
      </c>
      <c r="DR226" s="96">
        <f>IFERROR(VLOOKUP($B226,INDIRECT("'GRD-"&amp;DR$11&amp;"'!B:R"),15,FALSE),"")</f>
        <v/>
      </c>
      <c r="DS226" s="96">
        <f>IFERROR(VLOOKUP($B226,INDIRECT("'GRD-"&amp;DS$11&amp;"'!B:R"),15,FALSE),"")</f>
        <v/>
      </c>
      <c r="DT226" s="96">
        <f>IFERROR(VLOOKUP($B226,INDIRECT("'GRD-"&amp;DT$11&amp;"'!B:R"),15,FALSE),"")</f>
        <v/>
      </c>
      <c r="DU226" s="96">
        <f>IFERROR(VLOOKUP($B226,INDIRECT("'GRD-"&amp;DU$11&amp;"'!B:R"),15,FALSE),"")</f>
        <v/>
      </c>
      <c r="DV226" s="96">
        <f>IFERROR(VLOOKUP($B226,INDIRECT("'GRD-"&amp;DV$11&amp;"'!B:R"),15,FALSE),"")</f>
        <v/>
      </c>
      <c r="DW226" s="96">
        <f>IFERROR(VLOOKUP($B226,INDIRECT("'GRD-"&amp;DW$11&amp;"'!B:R"),15,FALSE),"")</f>
        <v/>
      </c>
      <c r="DX226" s="96">
        <f>IFERROR(VLOOKUP($B226,INDIRECT("'GRD-"&amp;DX$11&amp;"'!B:R"),15,FALSE),"")</f>
        <v/>
      </c>
      <c r="DY226" s="96">
        <f>IFERROR(VLOOKUP($B226,INDIRECT("'GRD-"&amp;DY$11&amp;"'!B:R"),15,FALSE),"")</f>
        <v/>
      </c>
      <c r="DZ226" s="96">
        <f>IFERROR(VLOOKUP($B226,INDIRECT("'GRD-"&amp;DZ$11&amp;"'!B:R"),15,FALSE),"")</f>
        <v/>
      </c>
      <c r="EA226" s="96">
        <f>IFERROR(VLOOKUP($B226,INDIRECT("'GRD-"&amp;EA$11&amp;"'!B:R"),15,FALSE),"")</f>
        <v/>
      </c>
      <c r="EB226" s="96">
        <f>IFERROR(VLOOKUP($B226,INDIRECT("'GRD-"&amp;EB$11&amp;"'!B:R"),15,FALSE),"")</f>
        <v/>
      </c>
      <c r="EC226" s="96">
        <f>IFERROR(VLOOKUP($B226,INDIRECT("'GRD-"&amp;EC$11&amp;"'!B:R"),15,FALSE),"")</f>
        <v/>
      </c>
      <c r="ED226" s="96">
        <f>IFERROR(VLOOKUP($B226,INDIRECT("'GRD-"&amp;ED$11&amp;"'!B:R"),15,FALSE),"")</f>
        <v/>
      </c>
      <c r="EE226" s="96">
        <f>IFERROR(VLOOKUP($B226,INDIRECT("'GRD-"&amp;EE$11&amp;"'!B:R"),15,FALSE),"")</f>
        <v/>
      </c>
      <c r="EF226" s="96">
        <f>IFERROR(VLOOKUP($B226,INDIRECT("'GRD-"&amp;EF$11&amp;"'!B:R"),15,FALSE),"")</f>
        <v/>
      </c>
      <c r="EG226" s="96">
        <f>IFERROR(VLOOKUP($B226,INDIRECT("'GRD-"&amp;EG$11&amp;"'!B:R"),15,FALSE),"")</f>
        <v/>
      </c>
      <c r="EH226" s="96">
        <f>IFERROR(VLOOKUP($B226,INDIRECT("'GRD-"&amp;EH$11&amp;"'!B:R"),15,FALSE),"")</f>
        <v/>
      </c>
      <c r="EI226" s="96">
        <f>IFERROR(VLOOKUP($B226,INDIRECT("'GRD-"&amp;EI$11&amp;"'!B:R"),15,FALSE),"")</f>
        <v/>
      </c>
      <c r="EJ226" s="96">
        <f>IFERROR(VLOOKUP($B226,INDIRECT("'GRD-"&amp;EJ$11&amp;"'!B:R"),15,FALSE),"")</f>
        <v/>
      </c>
      <c r="EK226" s="96">
        <f>IFERROR(VLOOKUP($B226,INDIRECT("'GRD-"&amp;EK$11&amp;"'!B:R"),15,FALSE),"")</f>
        <v/>
      </c>
      <c r="EL226" s="96">
        <f>IFERROR(VLOOKUP($B226,INDIRECT("'GRD-"&amp;EL$11&amp;"'!B:R"),15,FALSE),"")</f>
        <v/>
      </c>
      <c r="EM226" s="96">
        <f>IFERROR(VLOOKUP($B226,INDIRECT("'GRD-"&amp;EM$11&amp;"'!B:R"),15,FALSE),"")</f>
        <v/>
      </c>
      <c r="EN226" s="96">
        <f>IFERROR(VLOOKUP($B226,INDIRECT("'GRD-"&amp;EN$11&amp;"'!B:R"),15,FALSE),"")</f>
        <v/>
      </c>
      <c r="EO226" s="96">
        <f>IFERROR(VLOOKUP($B226,INDIRECT("'GRD-"&amp;EO$11&amp;"'!B:R"),15,FALSE),"")</f>
        <v/>
      </c>
      <c r="EP226" s="96">
        <f>IFERROR(VLOOKUP($B226,INDIRECT("'GRD-"&amp;EP$11&amp;"'!B:R"),15,FALSE),"")</f>
        <v/>
      </c>
      <c r="EQ226" s="96">
        <f>IFERROR(VLOOKUP($B226,INDIRECT("'GRD-"&amp;EQ$11&amp;"'!B:R"),15,FALSE),"")</f>
        <v/>
      </c>
      <c r="ER226" s="96">
        <f>IFERROR(VLOOKUP($B226,INDIRECT("'GRD-"&amp;ER$11&amp;"'!B:R"),15,FALSE),"")</f>
        <v/>
      </c>
      <c r="ES226" s="96">
        <f>IFERROR(VLOOKUP($B226,INDIRECT("'GRD-"&amp;ES$11&amp;"'!B:R"),15,FALSE),"")</f>
        <v/>
      </c>
      <c r="ET226" s="96">
        <f>IFERROR(VLOOKUP($B226,INDIRECT("'GRD-"&amp;ET$11&amp;"'!B:R"),15,FALSE),"")</f>
        <v/>
      </c>
      <c r="EU226" s="96">
        <f>IFERROR(VLOOKUP($B226,INDIRECT("'GRD-"&amp;EU$11&amp;"'!B:R"),15,FALSE),"")</f>
        <v/>
      </c>
      <c r="EV226" s="96">
        <f>IFERROR(VLOOKUP($B226,INDIRECT("'GRD-"&amp;EV$11&amp;"'!B:R"),15,FALSE),"")</f>
        <v/>
      </c>
      <c r="EW226" s="96">
        <f>IFERROR(VLOOKUP($B226,INDIRECT("'GRD-"&amp;EW$11&amp;"'!B:R"),15,FALSE),"")</f>
        <v/>
      </c>
      <c r="EX226" s="96">
        <f>IFERROR(VLOOKUP($B226,INDIRECT("'GRD-"&amp;EX$11&amp;"'!B:R"),15,FALSE),"")</f>
        <v/>
      </c>
      <c r="EY226" s="96">
        <f>IFERROR(VLOOKUP($B226,INDIRECT("'GRD-"&amp;EY$11&amp;"'!B:R"),15,FALSE),"")</f>
        <v/>
      </c>
      <c r="EZ226" s="96">
        <f>IFERROR(VLOOKUP($B226,INDIRECT("'GRD-"&amp;EZ$11&amp;"'!B:R"),15,FALSE),"")</f>
        <v/>
      </c>
      <c r="FA226" s="96">
        <f>IFERROR(VLOOKUP($B226,INDIRECT("'GRD-"&amp;FA$11&amp;"'!B:R"),15,FALSE),"")</f>
        <v/>
      </c>
      <c r="FB226" s="96">
        <f>IFERROR(VLOOKUP($B226,INDIRECT("'GRD-"&amp;FB$11&amp;"'!B:R"),15,FALSE),"")</f>
        <v/>
      </c>
      <c r="FC226" s="96">
        <f>IFERROR(VLOOKUP($B226,INDIRECT("'GRD-"&amp;FC$11&amp;"'!B:R"),15,FALSE),"")</f>
        <v/>
      </c>
      <c r="FD226" s="96">
        <f>IFERROR(VLOOKUP($B226,INDIRECT("'GRD-"&amp;FD$11&amp;"'!B:R"),15,FALSE),"")</f>
        <v/>
      </c>
      <c r="FE226" s="96">
        <f>IFERROR(VLOOKUP($B226,INDIRECT("'GRD-"&amp;FE$11&amp;"'!B:R"),15,FALSE),"")</f>
        <v/>
      </c>
      <c r="FF226" s="96">
        <f>IFERROR(VLOOKUP($B226,INDIRECT("'GRD-"&amp;FF$11&amp;"'!B:R"),15,FALSE),"")</f>
        <v/>
      </c>
      <c r="FG226" s="96">
        <f>IFERROR(VLOOKUP($B226,INDIRECT("'GRD-"&amp;FG$11&amp;"'!B:R"),15,FALSE),"")</f>
        <v/>
      </c>
      <c r="FH226" s="96">
        <f>IFERROR(VLOOKUP($B226,INDIRECT("'GRD-"&amp;FH$11&amp;"'!B:R"),15,FALSE),"")</f>
        <v/>
      </c>
      <c r="FI226" s="96">
        <f>IFERROR(VLOOKUP($B226,INDIRECT("'GRD-"&amp;FI$11&amp;"'!B:R"),15,FALSE),"")</f>
        <v/>
      </c>
      <c r="FJ226" s="96">
        <f>IFERROR(VLOOKUP($B226,INDIRECT("'GRD-"&amp;FJ$11&amp;"'!B:R"),15,FALSE),"")</f>
        <v/>
      </c>
      <c r="FK226" s="96">
        <f>IFERROR(VLOOKUP($B226,INDIRECT("'GRD-"&amp;FK$11&amp;"'!B:R"),15,FALSE),"")</f>
        <v/>
      </c>
      <c r="FL226" s="96">
        <f>IFERROR(VLOOKUP($B226,INDIRECT("'GRD-"&amp;FL$11&amp;"'!B:R"),15,FALSE),"")</f>
        <v/>
      </c>
      <c r="FM226" s="96">
        <f>IFERROR(VLOOKUP($B226,INDIRECT("'GRD-"&amp;FM$11&amp;"'!B:R"),15,FALSE),"")</f>
        <v/>
      </c>
      <c r="FN226" s="96">
        <f>IFERROR(VLOOKUP($B226,INDIRECT("'GRD-"&amp;FN$11&amp;"'!B:R"),15,FALSE),"")</f>
        <v/>
      </c>
      <c r="FO226" s="96">
        <f>IFERROR(VLOOKUP($B226,INDIRECT("'GRD-"&amp;FO$11&amp;"'!B:R"),15,FALSE),"")</f>
        <v/>
      </c>
      <c r="FP226" s="96">
        <f>IFERROR(VLOOKUP($B226,INDIRECT("'GRD-"&amp;FP$11&amp;"'!B:R"),15,FALSE),"")</f>
        <v/>
      </c>
      <c r="FQ226" s="96">
        <f>IFERROR(VLOOKUP($B226,INDIRECT("'GRD-"&amp;FQ$11&amp;"'!B:R"),15,FALSE),"")</f>
        <v/>
      </c>
      <c r="FR226" s="96">
        <f>IFERROR(VLOOKUP($B226,INDIRECT("'GRD-"&amp;FR$11&amp;"'!B:R"),15,FALSE),"")</f>
        <v/>
      </c>
      <c r="FS226" s="96">
        <f>IFERROR(VLOOKUP($B226,INDIRECT("'GRD-"&amp;FS$11&amp;"'!B:R"),15,FALSE),"")</f>
        <v/>
      </c>
      <c r="FT226" s="96">
        <f>IFERROR(VLOOKUP($B226,INDIRECT("'GRD-"&amp;FT$11&amp;"'!B:R"),15,FALSE),"")</f>
        <v/>
      </c>
      <c r="FU226" s="96">
        <f>IFERROR(VLOOKUP($B226,INDIRECT("'GRD-"&amp;FU$11&amp;"'!B:R"),15,FALSE),"")</f>
        <v/>
      </c>
      <c r="FV226" s="96">
        <f>IFERROR(VLOOKUP($B226,INDIRECT("'GRD-"&amp;FV$11&amp;"'!B:R"),15,FALSE),"")</f>
        <v/>
      </c>
    </row>
    <row r="227">
      <c r="B227" s="85" t="n"/>
      <c r="C227" s="93" t="n"/>
      <c r="D227" s="73">
        <f>IF(K227="","",MAX($CA227:$FV227))</f>
        <v/>
      </c>
      <c r="E227" s="74">
        <f t="array" ref="E227">IF($K227="","",OFFSET($A$1,ROW($B227)-1,11+$D227*4,))</f>
        <v/>
      </c>
      <c r="F227" s="74">
        <f t="array" ref="F227">IF($K227="","",OFFSET($A$1,ROW($B227)-1,12+$D227*4,))</f>
        <v/>
      </c>
      <c r="G227" s="118">
        <f t="array" ref="G227">IF($K227="","",OFFSET($A$1,ROW($B227)-1,13+$D227*4,))</f>
        <v/>
      </c>
      <c r="H227" s="81" t="n"/>
      <c r="I227" s="82" t="n"/>
      <c r="J227" s="75">
        <f>IF(I227="A4",H227/8,IF(I227="A3",H227/4,IF(I227="A2",H227/2,IF(I227="A1",H227/1,IF(I227="A0",H227*2,"")))))</f>
        <v/>
      </c>
      <c r="K227" s="68">
        <f t="array" ref="K227">IFERROR(OFFSET($BZ$11,ROW($B227)-11,MATCH(K$10,$CA227:$FV227,0),),"")</f>
        <v/>
      </c>
      <c r="L227" s="85">
        <f>IF(K227="","",IF(VLOOKUP($B227,INDIRECT("'GRD-"&amp;M227&amp;"'!$B:$R"),16,FALSE)="","",VLOOKUP($B227,INDIRECT("'GRD-"&amp;M227&amp;"'!$B:$R"),16,FALSE)))</f>
        <v/>
      </c>
      <c r="M227" s="130">
        <f t="array" ref="M227">IF(K227="","",IFERROR(OFFSET($BZ$11,0,MATCH($K227,$CA227:$FV227,0),),""))</f>
        <v/>
      </c>
      <c r="N227" s="119">
        <f t="array" ref="N227">IF(K227="","",INDIRECT("'GRD-"&amp;M227&amp;"'!$L$7"))</f>
        <v/>
      </c>
      <c r="O227" s="76">
        <f t="array" ref="O227">IFERROR(OFFSET($BZ$11,ROW($B227)-11,MATCH(O$10,$CA227:$FV227,0),),"")</f>
        <v/>
      </c>
      <c r="P227" s="76">
        <f>IF(O227="","",IF(VLOOKUP($B227,INDIRECT("'GRD-"&amp;Q227&amp;"'!$B:$R"),16,FALSE)="","",VLOOKUP($B227,INDIRECT("'GRD-"&amp;Q227&amp;"'!$B:$R"),16,FALSE)))</f>
        <v/>
      </c>
      <c r="Q227" s="132">
        <f t="array" ref="Q227">IF(O227="","",IFERROR(OFFSET($BZ$11,0,MATCH($O227,$CA227:$FV227,0),),""))</f>
        <v/>
      </c>
      <c r="R227" s="121">
        <f t="array" ref="R227">IF(O227="","",INDIRECT("'GRD-"&amp;Q227&amp;"'!$L$7"))</f>
        <v/>
      </c>
      <c r="S227" s="83">
        <f t="array" ref="S227">IFERROR(OFFSET($BZ$11,ROW($B227)-11,MATCH(S$10,$CA227:$FV227,0),),"")</f>
        <v/>
      </c>
      <c r="T227" s="83">
        <f>IF(S227="","",IF(VLOOKUP($B227,INDIRECT("'GRD-"&amp;U227&amp;"'!$B:$R"),16,FALSE)="","",VLOOKUP($B227,INDIRECT("'GRD-"&amp;U227&amp;"'!$B:$R"),16,FALSE)))</f>
        <v/>
      </c>
      <c r="U227" s="128">
        <f t="array" ref="U227">IF(S227="","",IFERROR(OFFSET($BZ$11,0,MATCH($S227,$CA227:$FV227,0),),""))</f>
        <v/>
      </c>
      <c r="V227" s="133">
        <f t="array" ref="V227">IF(S227="","",INDIRECT("'GRD-"&amp;U227&amp;"'!$L$7"))</f>
        <v/>
      </c>
      <c r="W227" s="84">
        <f t="array" ref="W227">IFERROR(OFFSET($BZ$11,ROW($B227)-11,MATCH(W$10,$CA227:$FV227,0),),"")</f>
        <v/>
      </c>
      <c r="X227" s="84">
        <f>IF(W227="","",IF(VLOOKUP($B227,INDIRECT("'GRD-"&amp;Y227&amp;"'!$B:$R"),16,FALSE)="","",VLOOKUP($B227,INDIRECT("'GRD-"&amp;Y227&amp;"'!$B:$R"),16,FALSE)))</f>
        <v/>
      </c>
      <c r="Y227" s="129">
        <f t="array" ref="Y227">IF(W227="","",IFERROR(OFFSET($BZ$11,0,MATCH($W227,$CA227:$FV227,0),),""))</f>
        <v/>
      </c>
      <c r="Z227" s="134">
        <f t="array" ref="Z227">IF(W227="","",INDIRECT("'GRD-"&amp;Y227&amp;"'!$L$7"))</f>
        <v/>
      </c>
      <c r="AA227" s="85">
        <f t="array" ref="AA227">IFERROR(OFFSET($BZ$11,ROW($B227)-11,MATCH(AA$10,$CA227:$FV227,0),),"")</f>
        <v/>
      </c>
      <c r="AB227" s="85">
        <f>IF(AA227="","",IF(VLOOKUP($B227,INDIRECT("'GRD-"&amp;AC227&amp;"'!$B:$R"),16,FALSE)="","",VLOOKUP($B227,INDIRECT("'GRD-"&amp;AC227&amp;"'!$B:$R"),16,FALSE)))</f>
        <v/>
      </c>
      <c r="AC227" s="130">
        <f t="array" ref="AC227">IF(AA227="","",IFERROR(OFFSET($BZ$11,0,MATCH($AA227,$CA227:$FV227,0),),""))</f>
        <v/>
      </c>
      <c r="AD227" s="131">
        <f t="array" ref="AD227">IF(AA227="","",INDIRECT("'GRD-"&amp;AC227&amp;"'!$L$7"))</f>
        <v/>
      </c>
      <c r="AE227" s="76">
        <f t="array" ref="AE227">IFERROR(OFFSET($BZ$11,ROW($B227)-11,MATCH(AE$10,$CA227:$FV227,0),),"")</f>
        <v/>
      </c>
      <c r="AF227" s="76">
        <f>IF(AE227="","",IF(VLOOKUP($B227,INDIRECT("'GRD-"&amp;AG227&amp;"'!$B:$R"),16,FALSE)="","",VLOOKUP($B227,INDIRECT("'GRD-"&amp;AG227&amp;"'!$B:$R"),16,FALSE)))</f>
        <v/>
      </c>
      <c r="AG227" s="132">
        <f t="array" ref="AG227">IF(AE227="","",IFERROR(OFFSET($BZ$11,0,MATCH($AE227,$CA227:$FV227,0),),""))</f>
        <v/>
      </c>
      <c r="AH227" s="121">
        <f t="array" ref="AH227">IF(AE227="","",INDIRECT("'GRD-"&amp;AG227&amp;"'!$L$7"))</f>
        <v/>
      </c>
      <c r="AI227" s="83">
        <f t="array" ref="AI227">IFERROR(OFFSET($BZ$11,ROW($B227)-11,MATCH(AI$10,$CA227:$FV227,0),),"")</f>
        <v/>
      </c>
      <c r="AJ227" s="83">
        <f>IF(AI227="","",IF(VLOOKUP($B227,INDIRECT("'GRD-"&amp;AK227&amp;"'!$B:$R"),16,FALSE)="","",VLOOKUP($B227,INDIRECT("'GRD-"&amp;AK227&amp;"'!$B:$R"),16,FALSE)))</f>
        <v/>
      </c>
      <c r="AK227" s="128">
        <f t="array" ref="AK227">IF(AI227="","",IFERROR(OFFSET($BZ$11,0,MATCH($AI227,$CA227:$FV227,0),),""))</f>
        <v/>
      </c>
      <c r="AL227" s="133">
        <f t="array" ref="AL227">IF(AI227="","",INDIRECT("'GRD-"&amp;AK227&amp;"'!$L$7"))</f>
        <v/>
      </c>
      <c r="AM227" s="84">
        <f t="array" ref="AM227">IFERROR(OFFSET($BZ$11,ROW($B227)-11,MATCH(AM$10,$CA227:$FV227,0),),"")</f>
        <v/>
      </c>
      <c r="AN227" s="84">
        <f>IF(AM227="","",IF(VLOOKUP($B227,INDIRECT("'GRD-"&amp;AO227&amp;"'!$B:$R"),16,FALSE)="","",VLOOKUP($B227,INDIRECT("'GRD-"&amp;AO227&amp;"'!$B:$R"),16,FALSE)))</f>
        <v/>
      </c>
      <c r="AO227" s="129">
        <f t="array" ref="AO227">IF(AM227="","",IFERROR(OFFSET($BZ$11,0,MATCH($AM227,$CA227:$FV227,0),),""))</f>
        <v/>
      </c>
      <c r="AP227" s="134">
        <f t="array" ref="AP227">IF(AM227="","",INDIRECT("'GRD-"&amp;AO227&amp;"'!$L$7"))</f>
        <v/>
      </c>
      <c r="AQ227" s="85">
        <f t="array" ref="AQ227">IFERROR(OFFSET($BZ$11,ROW($B227)-11,MATCH(AQ$10,$CA227:$FV227,0),),"")</f>
        <v/>
      </c>
      <c r="AR227" s="85">
        <f>IF(AQ227="","",IF(VLOOKUP($B227,INDIRECT("'GRD-"&amp;AS227&amp;"'!$B:$R"),16,FALSE)="","",VLOOKUP($B227,INDIRECT("'GRD-"&amp;AS227&amp;"'!$B:$R"),16,FALSE)))</f>
        <v/>
      </c>
      <c r="AS227" s="130">
        <f t="array" ref="AS227">IF(AQ227="","",IFERROR(OFFSET($BZ$11,0,MATCH($AQ227,$CA227:$FV227,0),),""))</f>
        <v/>
      </c>
      <c r="AT227" s="131">
        <f t="array" ref="AT227">IF(AQ227="","",INDIRECT("'GRD-"&amp;AS227&amp;"'!$L$7"))</f>
        <v/>
      </c>
      <c r="AU227" s="76">
        <f t="array" ref="AU227">IFERROR(OFFSET($BZ$11,ROW($B227)-11,MATCH(AU$10,$CA227:$FV227,0),),"")</f>
        <v/>
      </c>
      <c r="AV227" s="76">
        <f>IF(AU227="","",IF(VLOOKUP($B227,INDIRECT("'GRD-"&amp;AW227&amp;"'!$B:$R"),16,FALSE)="","",VLOOKUP($B227,INDIRECT("'GRD-"&amp;AW227&amp;"'!$B:$R"),16,FALSE)))</f>
        <v/>
      </c>
      <c r="AW227" s="132">
        <f t="array" ref="AW227">IF(AU227="","",IFERROR(OFFSET($BZ$11,0,MATCH($AU227,$CA227:$FV227,0),),""))</f>
        <v/>
      </c>
      <c r="AX227" s="121">
        <f t="array" ref="AX227">IF(AU227="","",INDIRECT("'GRD-"&amp;AW227&amp;"'!$L$7"))</f>
        <v/>
      </c>
      <c r="AY227" s="83">
        <f t="array" ref="AY227">IFERROR(OFFSET($BZ$11,ROW($B227)-11,MATCH(AY$10,$CA227:$FV227,0),),"")</f>
        <v/>
      </c>
      <c r="AZ227" s="83">
        <f>IF(AY227="","",IF(VLOOKUP($B227,INDIRECT("'GRD-"&amp;BA227&amp;"'!$B:$R"),16,FALSE)="","",VLOOKUP($B227,INDIRECT("'GRD-"&amp;BA227&amp;"'!$B:$R"),16,FALSE)))</f>
        <v/>
      </c>
      <c r="BA227" s="128">
        <f t="array" ref="BA227">IF(AY227="","",IFERROR(OFFSET($BZ$11,0,MATCH($AY227,$CA227:$FV227,0),),""))</f>
        <v/>
      </c>
      <c r="BB227" s="133">
        <f t="array" ref="BB227">IF(AY227="","",INDIRECT("'GRD-"&amp;BA227&amp;"'!$L$7"))</f>
        <v/>
      </c>
      <c r="BC227" s="84">
        <f t="array" ref="BC227">IFERROR(OFFSET($BZ$11,ROW($B227)-11,MATCH(BC$10,$CA227:$FV227,0),),"")</f>
        <v/>
      </c>
      <c r="BD227" s="84">
        <f>IF(BC227="","",IF(VLOOKUP($B227,INDIRECT("'GRD-"&amp;BE227&amp;"'!$B:$R"),16,FALSE)="","",VLOOKUP($B227,INDIRECT("'GRD-"&amp;BE227&amp;"'!$B:$R"),16,FALSE)))</f>
        <v/>
      </c>
      <c r="BE227" s="129">
        <f t="array" ref="BE227">IF(BC227="","",IFERROR(OFFSET($BZ$11,0,MATCH($BC227,$CA227:$FV227,0),),""))</f>
        <v/>
      </c>
      <c r="BF227" s="134">
        <f t="array" ref="BF227">IF(BC227="","",INDIRECT("'GRD-"&amp;BE227&amp;"'!$L$7"))</f>
        <v/>
      </c>
      <c r="CA227" s="96">
        <f>IFERROR(VLOOKUP($B227,INDIRECT("'GRD-"&amp;CA$11&amp;"'!B:R"),15,FALSE),"")</f>
        <v/>
      </c>
      <c r="CB227" s="96">
        <f>IFERROR(VLOOKUP($B227,INDIRECT("'GRD-"&amp;CB$11&amp;"'!B:R"),15,FALSE),"")</f>
        <v/>
      </c>
      <c r="CC227" s="96">
        <f>IFERROR(VLOOKUP($B227,INDIRECT("'GRD-"&amp;CC$11&amp;"'!B:R"),15,FALSE),"")</f>
        <v/>
      </c>
      <c r="CD227" s="96">
        <f>IFERROR(VLOOKUP($B227,INDIRECT("'GRD-"&amp;CD$11&amp;"'!B:R"),15,FALSE),"")</f>
        <v/>
      </c>
      <c r="CE227" s="96">
        <f>IFERROR(VLOOKUP($B227,INDIRECT("'GRD-"&amp;CE$11&amp;"'!B:R"),15,FALSE),"")</f>
        <v/>
      </c>
      <c r="CF227" s="96">
        <f>IFERROR(VLOOKUP($B227,INDIRECT("'GRD-"&amp;CF$11&amp;"'!B:R"),15,FALSE),"")</f>
        <v/>
      </c>
      <c r="CG227" s="96">
        <f>IFERROR(VLOOKUP($B227,INDIRECT("'GRD-"&amp;CG$11&amp;"'!B:R"),15,FALSE),"")</f>
        <v/>
      </c>
      <c r="CH227" s="96">
        <f>IFERROR(VLOOKUP($B227,INDIRECT("'GRD-"&amp;CH$11&amp;"'!B:R"),15,FALSE),"")</f>
        <v/>
      </c>
      <c r="CI227" s="96">
        <f>IFERROR(VLOOKUP($B227,INDIRECT("'GRD-"&amp;CI$11&amp;"'!B:R"),15,FALSE),"")</f>
        <v/>
      </c>
      <c r="CJ227" s="96">
        <f>IFERROR(VLOOKUP($B227,INDIRECT("'GRD-"&amp;CJ$11&amp;"'!B:R"),15,FALSE),"")</f>
        <v/>
      </c>
      <c r="CK227" s="96">
        <f>IFERROR(VLOOKUP($B227,INDIRECT("'GRD-"&amp;CK$11&amp;"'!B:R"),15,FALSE),"")</f>
        <v/>
      </c>
      <c r="CL227" s="96">
        <f>IFERROR(VLOOKUP($B227,INDIRECT("'GRD-"&amp;CL$11&amp;"'!B:R"),15,FALSE),"")</f>
        <v/>
      </c>
      <c r="CM227" s="96">
        <f>IFERROR(VLOOKUP($B227,INDIRECT("'GRD-"&amp;CM$11&amp;"'!B:R"),15,FALSE),"")</f>
        <v/>
      </c>
      <c r="CN227" s="96">
        <f>IFERROR(VLOOKUP($B227,INDIRECT("'GRD-"&amp;CN$11&amp;"'!B:R"),15,FALSE),"")</f>
        <v/>
      </c>
      <c r="CO227" s="96">
        <f>IFERROR(VLOOKUP($B227,INDIRECT("'GRD-"&amp;CO$11&amp;"'!B:R"),15,FALSE),"")</f>
        <v/>
      </c>
      <c r="CP227" s="96">
        <f>IFERROR(VLOOKUP($B227,INDIRECT("'GRD-"&amp;CP$11&amp;"'!B:R"),15,FALSE),"")</f>
        <v/>
      </c>
      <c r="CQ227" s="96">
        <f>IFERROR(VLOOKUP($B227,INDIRECT("'GRD-"&amp;CQ$11&amp;"'!B:R"),15,FALSE),"")</f>
        <v/>
      </c>
      <c r="CR227" s="96">
        <f>IFERROR(VLOOKUP($B227,INDIRECT("'GRD-"&amp;CR$11&amp;"'!B:R"),15,FALSE),"")</f>
        <v/>
      </c>
      <c r="CS227" s="96">
        <f>IFERROR(VLOOKUP($B227,INDIRECT("'GRD-"&amp;CS$11&amp;"'!B:R"),15,FALSE),"")</f>
        <v/>
      </c>
      <c r="CT227" s="96">
        <f>IFERROR(VLOOKUP($B227,INDIRECT("'GRD-"&amp;CT$11&amp;"'!B:R"),15,FALSE),"")</f>
        <v/>
      </c>
      <c r="CU227" s="96">
        <f>IFERROR(VLOOKUP($B227,INDIRECT("'GRD-"&amp;CU$11&amp;"'!B:R"),15,FALSE),"")</f>
        <v/>
      </c>
      <c r="CV227" s="96">
        <f>IFERROR(VLOOKUP($B227,INDIRECT("'GRD-"&amp;CV$11&amp;"'!B:R"),15,FALSE),"")</f>
        <v/>
      </c>
      <c r="CW227" s="96">
        <f>IFERROR(VLOOKUP($B227,INDIRECT("'GRD-"&amp;CW$11&amp;"'!B:R"),15,FALSE),"")</f>
        <v/>
      </c>
      <c r="CX227" s="96">
        <f>IFERROR(VLOOKUP($B227,INDIRECT("'GRD-"&amp;CX$11&amp;"'!B:R"),15,FALSE),"")</f>
        <v/>
      </c>
      <c r="CY227" s="96">
        <f>IFERROR(VLOOKUP($B227,INDIRECT("'GRD-"&amp;CY$11&amp;"'!B:R"),15,FALSE),"")</f>
        <v/>
      </c>
      <c r="CZ227" s="96">
        <f>IFERROR(VLOOKUP($B227,INDIRECT("'GRD-"&amp;CZ$11&amp;"'!B:R"),15,FALSE),"")</f>
        <v/>
      </c>
      <c r="DA227" s="96">
        <f>IFERROR(VLOOKUP($B227,INDIRECT("'GRD-"&amp;DA$11&amp;"'!B:R"),15,FALSE),"")</f>
        <v/>
      </c>
      <c r="DB227" s="96">
        <f>IFERROR(VLOOKUP($B227,INDIRECT("'GRD-"&amp;DB$11&amp;"'!B:R"),15,FALSE),"")</f>
        <v/>
      </c>
      <c r="DC227" s="96">
        <f>IFERROR(VLOOKUP($B227,INDIRECT("'GRD-"&amp;DC$11&amp;"'!B:R"),15,FALSE),"")</f>
        <v/>
      </c>
      <c r="DD227" s="96">
        <f>IFERROR(VLOOKUP($B227,INDIRECT("'GRD-"&amp;DD$11&amp;"'!B:R"),15,FALSE),"")</f>
        <v/>
      </c>
      <c r="DE227" s="96">
        <f>IFERROR(VLOOKUP($B227,INDIRECT("'GRD-"&amp;DE$11&amp;"'!B:R"),15,FALSE),"")</f>
        <v/>
      </c>
      <c r="DF227" s="96">
        <f>IFERROR(VLOOKUP($B227,INDIRECT("'GRD-"&amp;DF$11&amp;"'!B:R"),15,FALSE),"")</f>
        <v/>
      </c>
      <c r="DG227" s="96">
        <f>IFERROR(VLOOKUP($B227,INDIRECT("'GRD-"&amp;DG$11&amp;"'!B:R"),15,FALSE),"")</f>
        <v/>
      </c>
      <c r="DH227" s="96">
        <f>IFERROR(VLOOKUP($B227,INDIRECT("'GRD-"&amp;DH$11&amp;"'!B:R"),15,FALSE),"")</f>
        <v/>
      </c>
      <c r="DI227" s="96">
        <f>IFERROR(VLOOKUP($B227,INDIRECT("'GRD-"&amp;DI$11&amp;"'!B:R"),15,FALSE),"")</f>
        <v/>
      </c>
      <c r="DJ227" s="96">
        <f>IFERROR(VLOOKUP($B227,INDIRECT("'GRD-"&amp;DJ$11&amp;"'!B:R"),15,FALSE),"")</f>
        <v/>
      </c>
      <c r="DK227" s="96">
        <f>IFERROR(VLOOKUP($B227,INDIRECT("'GRD-"&amp;DK$11&amp;"'!B:R"),15,FALSE),"")</f>
        <v/>
      </c>
      <c r="DL227" s="96">
        <f>IFERROR(VLOOKUP($B227,INDIRECT("'GRD-"&amp;DL$11&amp;"'!B:R"),15,FALSE),"")</f>
        <v/>
      </c>
      <c r="DM227" s="96">
        <f>IFERROR(VLOOKUP($B227,INDIRECT("'GRD-"&amp;DM$11&amp;"'!B:R"),15,FALSE),"")</f>
        <v/>
      </c>
      <c r="DN227" s="96">
        <f>IFERROR(VLOOKUP($B227,INDIRECT("'GRD-"&amp;DN$11&amp;"'!B:R"),15,FALSE),"")</f>
        <v/>
      </c>
      <c r="DO227" s="96">
        <f>IFERROR(VLOOKUP($B227,INDIRECT("'GRD-"&amp;DO$11&amp;"'!B:R"),15,FALSE),"")</f>
        <v/>
      </c>
      <c r="DP227" s="96">
        <f>IFERROR(VLOOKUP($B227,INDIRECT("'GRD-"&amp;DP$11&amp;"'!B:R"),15,FALSE),"")</f>
        <v/>
      </c>
      <c r="DQ227" s="96">
        <f>IFERROR(VLOOKUP($B227,INDIRECT("'GRD-"&amp;DQ$11&amp;"'!B:R"),15,FALSE),"")</f>
        <v/>
      </c>
      <c r="DR227" s="96">
        <f>IFERROR(VLOOKUP($B227,INDIRECT("'GRD-"&amp;DR$11&amp;"'!B:R"),15,FALSE),"")</f>
        <v/>
      </c>
      <c r="DS227" s="96">
        <f>IFERROR(VLOOKUP($B227,INDIRECT("'GRD-"&amp;DS$11&amp;"'!B:R"),15,FALSE),"")</f>
        <v/>
      </c>
      <c r="DT227" s="96">
        <f>IFERROR(VLOOKUP($B227,INDIRECT("'GRD-"&amp;DT$11&amp;"'!B:R"),15,FALSE),"")</f>
        <v/>
      </c>
      <c r="DU227" s="96">
        <f>IFERROR(VLOOKUP($B227,INDIRECT("'GRD-"&amp;DU$11&amp;"'!B:R"),15,FALSE),"")</f>
        <v/>
      </c>
      <c r="DV227" s="96">
        <f>IFERROR(VLOOKUP($B227,INDIRECT("'GRD-"&amp;DV$11&amp;"'!B:R"),15,FALSE),"")</f>
        <v/>
      </c>
      <c r="DW227" s="96">
        <f>IFERROR(VLOOKUP($B227,INDIRECT("'GRD-"&amp;DW$11&amp;"'!B:R"),15,FALSE),"")</f>
        <v/>
      </c>
      <c r="DX227" s="96">
        <f>IFERROR(VLOOKUP($B227,INDIRECT("'GRD-"&amp;DX$11&amp;"'!B:R"),15,FALSE),"")</f>
        <v/>
      </c>
      <c r="DY227" s="96">
        <f>IFERROR(VLOOKUP($B227,INDIRECT("'GRD-"&amp;DY$11&amp;"'!B:R"),15,FALSE),"")</f>
        <v/>
      </c>
      <c r="DZ227" s="96">
        <f>IFERROR(VLOOKUP($B227,INDIRECT("'GRD-"&amp;DZ$11&amp;"'!B:R"),15,FALSE),"")</f>
        <v/>
      </c>
      <c r="EA227" s="96">
        <f>IFERROR(VLOOKUP($B227,INDIRECT("'GRD-"&amp;EA$11&amp;"'!B:R"),15,FALSE),"")</f>
        <v/>
      </c>
      <c r="EB227" s="96">
        <f>IFERROR(VLOOKUP($B227,INDIRECT("'GRD-"&amp;EB$11&amp;"'!B:R"),15,FALSE),"")</f>
        <v/>
      </c>
      <c r="EC227" s="96">
        <f>IFERROR(VLOOKUP($B227,INDIRECT("'GRD-"&amp;EC$11&amp;"'!B:R"),15,FALSE),"")</f>
        <v/>
      </c>
      <c r="ED227" s="96">
        <f>IFERROR(VLOOKUP($B227,INDIRECT("'GRD-"&amp;ED$11&amp;"'!B:R"),15,FALSE),"")</f>
        <v/>
      </c>
      <c r="EE227" s="96">
        <f>IFERROR(VLOOKUP($B227,INDIRECT("'GRD-"&amp;EE$11&amp;"'!B:R"),15,FALSE),"")</f>
        <v/>
      </c>
      <c r="EF227" s="96">
        <f>IFERROR(VLOOKUP($B227,INDIRECT("'GRD-"&amp;EF$11&amp;"'!B:R"),15,FALSE),"")</f>
        <v/>
      </c>
      <c r="EG227" s="96">
        <f>IFERROR(VLOOKUP($B227,INDIRECT("'GRD-"&amp;EG$11&amp;"'!B:R"),15,FALSE),"")</f>
        <v/>
      </c>
      <c r="EH227" s="96">
        <f>IFERROR(VLOOKUP($B227,INDIRECT("'GRD-"&amp;EH$11&amp;"'!B:R"),15,FALSE),"")</f>
        <v/>
      </c>
      <c r="EI227" s="96">
        <f>IFERROR(VLOOKUP($B227,INDIRECT("'GRD-"&amp;EI$11&amp;"'!B:R"),15,FALSE),"")</f>
        <v/>
      </c>
      <c r="EJ227" s="96">
        <f>IFERROR(VLOOKUP($B227,INDIRECT("'GRD-"&amp;EJ$11&amp;"'!B:R"),15,FALSE),"")</f>
        <v/>
      </c>
      <c r="EK227" s="96">
        <f>IFERROR(VLOOKUP($B227,INDIRECT("'GRD-"&amp;EK$11&amp;"'!B:R"),15,FALSE),"")</f>
        <v/>
      </c>
      <c r="EL227" s="96">
        <f>IFERROR(VLOOKUP($B227,INDIRECT("'GRD-"&amp;EL$11&amp;"'!B:R"),15,FALSE),"")</f>
        <v/>
      </c>
      <c r="EM227" s="96">
        <f>IFERROR(VLOOKUP($B227,INDIRECT("'GRD-"&amp;EM$11&amp;"'!B:R"),15,FALSE),"")</f>
        <v/>
      </c>
      <c r="EN227" s="96">
        <f>IFERROR(VLOOKUP($B227,INDIRECT("'GRD-"&amp;EN$11&amp;"'!B:R"),15,FALSE),"")</f>
        <v/>
      </c>
      <c r="EO227" s="96">
        <f>IFERROR(VLOOKUP($B227,INDIRECT("'GRD-"&amp;EO$11&amp;"'!B:R"),15,FALSE),"")</f>
        <v/>
      </c>
      <c r="EP227" s="96">
        <f>IFERROR(VLOOKUP($B227,INDIRECT("'GRD-"&amp;EP$11&amp;"'!B:R"),15,FALSE),"")</f>
        <v/>
      </c>
      <c r="EQ227" s="96">
        <f>IFERROR(VLOOKUP($B227,INDIRECT("'GRD-"&amp;EQ$11&amp;"'!B:R"),15,FALSE),"")</f>
        <v/>
      </c>
      <c r="ER227" s="96">
        <f>IFERROR(VLOOKUP($B227,INDIRECT("'GRD-"&amp;ER$11&amp;"'!B:R"),15,FALSE),"")</f>
        <v/>
      </c>
      <c r="ES227" s="96">
        <f>IFERROR(VLOOKUP($B227,INDIRECT("'GRD-"&amp;ES$11&amp;"'!B:R"),15,FALSE),"")</f>
        <v/>
      </c>
      <c r="ET227" s="96">
        <f>IFERROR(VLOOKUP($B227,INDIRECT("'GRD-"&amp;ET$11&amp;"'!B:R"),15,FALSE),"")</f>
        <v/>
      </c>
      <c r="EU227" s="96">
        <f>IFERROR(VLOOKUP($B227,INDIRECT("'GRD-"&amp;EU$11&amp;"'!B:R"),15,FALSE),"")</f>
        <v/>
      </c>
      <c r="EV227" s="96">
        <f>IFERROR(VLOOKUP($B227,INDIRECT("'GRD-"&amp;EV$11&amp;"'!B:R"),15,FALSE),"")</f>
        <v/>
      </c>
      <c r="EW227" s="96">
        <f>IFERROR(VLOOKUP($B227,INDIRECT("'GRD-"&amp;EW$11&amp;"'!B:R"),15,FALSE),"")</f>
        <v/>
      </c>
      <c r="EX227" s="96">
        <f>IFERROR(VLOOKUP($B227,INDIRECT("'GRD-"&amp;EX$11&amp;"'!B:R"),15,FALSE),"")</f>
        <v/>
      </c>
      <c r="EY227" s="96">
        <f>IFERROR(VLOOKUP($B227,INDIRECT("'GRD-"&amp;EY$11&amp;"'!B:R"),15,FALSE),"")</f>
        <v/>
      </c>
      <c r="EZ227" s="96">
        <f>IFERROR(VLOOKUP($B227,INDIRECT("'GRD-"&amp;EZ$11&amp;"'!B:R"),15,FALSE),"")</f>
        <v/>
      </c>
      <c r="FA227" s="96">
        <f>IFERROR(VLOOKUP($B227,INDIRECT("'GRD-"&amp;FA$11&amp;"'!B:R"),15,FALSE),"")</f>
        <v/>
      </c>
      <c r="FB227" s="96">
        <f>IFERROR(VLOOKUP($B227,INDIRECT("'GRD-"&amp;FB$11&amp;"'!B:R"),15,FALSE),"")</f>
        <v/>
      </c>
      <c r="FC227" s="96">
        <f>IFERROR(VLOOKUP($B227,INDIRECT("'GRD-"&amp;FC$11&amp;"'!B:R"),15,FALSE),"")</f>
        <v/>
      </c>
      <c r="FD227" s="96">
        <f>IFERROR(VLOOKUP($B227,INDIRECT("'GRD-"&amp;FD$11&amp;"'!B:R"),15,FALSE),"")</f>
        <v/>
      </c>
      <c r="FE227" s="96">
        <f>IFERROR(VLOOKUP($B227,INDIRECT("'GRD-"&amp;FE$11&amp;"'!B:R"),15,FALSE),"")</f>
        <v/>
      </c>
      <c r="FF227" s="96">
        <f>IFERROR(VLOOKUP($B227,INDIRECT("'GRD-"&amp;FF$11&amp;"'!B:R"),15,FALSE),"")</f>
        <v/>
      </c>
      <c r="FG227" s="96">
        <f>IFERROR(VLOOKUP($B227,INDIRECT("'GRD-"&amp;FG$11&amp;"'!B:R"),15,FALSE),"")</f>
        <v/>
      </c>
      <c r="FH227" s="96">
        <f>IFERROR(VLOOKUP($B227,INDIRECT("'GRD-"&amp;FH$11&amp;"'!B:R"),15,FALSE),"")</f>
        <v/>
      </c>
      <c r="FI227" s="96">
        <f>IFERROR(VLOOKUP($B227,INDIRECT("'GRD-"&amp;FI$11&amp;"'!B:R"),15,FALSE),"")</f>
        <v/>
      </c>
      <c r="FJ227" s="96">
        <f>IFERROR(VLOOKUP($B227,INDIRECT("'GRD-"&amp;FJ$11&amp;"'!B:R"),15,FALSE),"")</f>
        <v/>
      </c>
      <c r="FK227" s="96">
        <f>IFERROR(VLOOKUP($B227,INDIRECT("'GRD-"&amp;FK$11&amp;"'!B:R"),15,FALSE),"")</f>
        <v/>
      </c>
      <c r="FL227" s="96">
        <f>IFERROR(VLOOKUP($B227,INDIRECT("'GRD-"&amp;FL$11&amp;"'!B:R"),15,FALSE),"")</f>
        <v/>
      </c>
      <c r="FM227" s="96">
        <f>IFERROR(VLOOKUP($B227,INDIRECT("'GRD-"&amp;FM$11&amp;"'!B:R"),15,FALSE),"")</f>
        <v/>
      </c>
      <c r="FN227" s="96">
        <f>IFERROR(VLOOKUP($B227,INDIRECT("'GRD-"&amp;FN$11&amp;"'!B:R"),15,FALSE),"")</f>
        <v/>
      </c>
      <c r="FO227" s="96">
        <f>IFERROR(VLOOKUP($B227,INDIRECT("'GRD-"&amp;FO$11&amp;"'!B:R"),15,FALSE),"")</f>
        <v/>
      </c>
      <c r="FP227" s="96">
        <f>IFERROR(VLOOKUP($B227,INDIRECT("'GRD-"&amp;FP$11&amp;"'!B:R"),15,FALSE),"")</f>
        <v/>
      </c>
      <c r="FQ227" s="96">
        <f>IFERROR(VLOOKUP($B227,INDIRECT("'GRD-"&amp;FQ$11&amp;"'!B:R"),15,FALSE),"")</f>
        <v/>
      </c>
      <c r="FR227" s="96">
        <f>IFERROR(VLOOKUP($B227,INDIRECT("'GRD-"&amp;FR$11&amp;"'!B:R"),15,FALSE),"")</f>
        <v/>
      </c>
      <c r="FS227" s="96">
        <f>IFERROR(VLOOKUP($B227,INDIRECT("'GRD-"&amp;FS$11&amp;"'!B:R"),15,FALSE),"")</f>
        <v/>
      </c>
      <c r="FT227" s="96">
        <f>IFERROR(VLOOKUP($B227,INDIRECT("'GRD-"&amp;FT$11&amp;"'!B:R"),15,FALSE),"")</f>
        <v/>
      </c>
      <c r="FU227" s="96">
        <f>IFERROR(VLOOKUP($B227,INDIRECT("'GRD-"&amp;FU$11&amp;"'!B:R"),15,FALSE),"")</f>
        <v/>
      </c>
      <c r="FV227" s="96">
        <f>IFERROR(VLOOKUP($B227,INDIRECT("'GRD-"&amp;FV$11&amp;"'!B:R"),15,FALSE),"")</f>
        <v/>
      </c>
    </row>
    <row r="228">
      <c r="B228" s="85" t="n"/>
      <c r="C228" s="93" t="n"/>
      <c r="D228" s="73">
        <f>IF(K228="","",MAX($CA228:$FV228))</f>
        <v/>
      </c>
      <c r="E228" s="74">
        <f t="array" ref="E228">IF($K228="","",OFFSET($A$1,ROW($B228)-1,11+$D228*4,))</f>
        <v/>
      </c>
      <c r="F228" s="74">
        <f t="array" ref="F228">IF($K228="","",OFFSET($A$1,ROW($B228)-1,12+$D228*4,))</f>
        <v/>
      </c>
      <c r="G228" s="118">
        <f t="array" ref="G228">IF($K228="","",OFFSET($A$1,ROW($B228)-1,13+$D228*4,))</f>
        <v/>
      </c>
      <c r="H228" s="81" t="n"/>
      <c r="I228" s="82" t="n"/>
      <c r="J228" s="75">
        <f>IF(I228="A4",H228/8,IF(I228="A3",H228/4,IF(I228="A2",H228/2,IF(I228="A1",H228/1,IF(I228="A0",H228*2,"")))))</f>
        <v/>
      </c>
      <c r="K228" s="68">
        <f t="array" ref="K228">IFERROR(OFFSET($BZ$11,ROW($B228)-11,MATCH(K$10,$CA228:$FV228,0),),"")</f>
        <v/>
      </c>
      <c r="L228" s="85">
        <f>IF(K228="","",IF(VLOOKUP($B228,INDIRECT("'GRD-"&amp;M228&amp;"'!$B:$R"),16,FALSE)="","",VLOOKUP($B228,INDIRECT("'GRD-"&amp;M228&amp;"'!$B:$R"),16,FALSE)))</f>
        <v/>
      </c>
      <c r="M228" s="130">
        <f t="array" ref="M228">IF(K228="","",IFERROR(OFFSET($BZ$11,0,MATCH($K228,$CA228:$FV228,0),),""))</f>
        <v/>
      </c>
      <c r="N228" s="119">
        <f t="array" ref="N228">IF(K228="","",INDIRECT("'GRD-"&amp;M228&amp;"'!$L$7"))</f>
        <v/>
      </c>
      <c r="O228" s="76">
        <f t="array" ref="O228">IFERROR(OFFSET($BZ$11,ROW($B228)-11,MATCH(O$10,$CA228:$FV228,0),),"")</f>
        <v/>
      </c>
      <c r="P228" s="76">
        <f>IF(O228="","",IF(VLOOKUP($B228,INDIRECT("'GRD-"&amp;Q228&amp;"'!$B:$R"),16,FALSE)="","",VLOOKUP($B228,INDIRECT("'GRD-"&amp;Q228&amp;"'!$B:$R"),16,FALSE)))</f>
        <v/>
      </c>
      <c r="Q228" s="132">
        <f t="array" ref="Q228">IF(O228="","",IFERROR(OFFSET($BZ$11,0,MATCH($O228,$CA228:$FV228,0),),""))</f>
        <v/>
      </c>
      <c r="R228" s="121">
        <f t="array" ref="R228">IF(O228="","",INDIRECT("'GRD-"&amp;Q228&amp;"'!$L$7"))</f>
        <v/>
      </c>
      <c r="S228" s="83">
        <f t="array" ref="S228">IFERROR(OFFSET($BZ$11,ROW($B228)-11,MATCH(S$10,$CA228:$FV228,0),),"")</f>
        <v/>
      </c>
      <c r="T228" s="83">
        <f>IF(S228="","",IF(VLOOKUP($B228,INDIRECT("'GRD-"&amp;U228&amp;"'!$B:$R"),16,FALSE)="","",VLOOKUP($B228,INDIRECT("'GRD-"&amp;U228&amp;"'!$B:$R"),16,FALSE)))</f>
        <v/>
      </c>
      <c r="U228" s="128">
        <f t="array" ref="U228">IF(S228="","",IFERROR(OFFSET($BZ$11,0,MATCH($S228,$CA228:$FV228,0),),""))</f>
        <v/>
      </c>
      <c r="V228" s="133">
        <f t="array" ref="V228">IF(S228="","",INDIRECT("'GRD-"&amp;U228&amp;"'!$L$7"))</f>
        <v/>
      </c>
      <c r="W228" s="84">
        <f t="array" ref="W228">IFERROR(OFFSET($BZ$11,ROW($B228)-11,MATCH(W$10,$CA228:$FV228,0),),"")</f>
        <v/>
      </c>
      <c r="X228" s="84">
        <f>IF(W228="","",IF(VLOOKUP($B228,INDIRECT("'GRD-"&amp;Y228&amp;"'!$B:$R"),16,FALSE)="","",VLOOKUP($B228,INDIRECT("'GRD-"&amp;Y228&amp;"'!$B:$R"),16,FALSE)))</f>
        <v/>
      </c>
      <c r="Y228" s="129">
        <f t="array" ref="Y228">IF(W228="","",IFERROR(OFFSET($BZ$11,0,MATCH($W228,$CA228:$FV228,0),),""))</f>
        <v/>
      </c>
      <c r="Z228" s="134">
        <f t="array" ref="Z228">IF(W228="","",INDIRECT("'GRD-"&amp;Y228&amp;"'!$L$7"))</f>
        <v/>
      </c>
      <c r="AA228" s="85">
        <f t="array" ref="AA228">IFERROR(OFFSET($BZ$11,ROW($B228)-11,MATCH(AA$10,$CA228:$FV228,0),),"")</f>
        <v/>
      </c>
      <c r="AB228" s="85">
        <f>IF(AA228="","",IF(VLOOKUP($B228,INDIRECT("'GRD-"&amp;AC228&amp;"'!$B:$R"),16,FALSE)="","",VLOOKUP($B228,INDIRECT("'GRD-"&amp;AC228&amp;"'!$B:$R"),16,FALSE)))</f>
        <v/>
      </c>
      <c r="AC228" s="130">
        <f t="array" ref="AC228">IF(AA228="","",IFERROR(OFFSET($BZ$11,0,MATCH($AA228,$CA228:$FV228,0),),""))</f>
        <v/>
      </c>
      <c r="AD228" s="131">
        <f t="array" ref="AD228">IF(AA228="","",INDIRECT("'GRD-"&amp;AC228&amp;"'!$L$7"))</f>
        <v/>
      </c>
      <c r="AE228" s="76">
        <f t="array" ref="AE228">IFERROR(OFFSET($BZ$11,ROW($B228)-11,MATCH(AE$10,$CA228:$FV228,0),),"")</f>
        <v/>
      </c>
      <c r="AF228" s="76">
        <f>IF(AE228="","",IF(VLOOKUP($B228,INDIRECT("'GRD-"&amp;AG228&amp;"'!$B:$R"),16,FALSE)="","",VLOOKUP($B228,INDIRECT("'GRD-"&amp;AG228&amp;"'!$B:$R"),16,FALSE)))</f>
        <v/>
      </c>
      <c r="AG228" s="132">
        <f t="array" ref="AG228">IF(AE228="","",IFERROR(OFFSET($BZ$11,0,MATCH($AE228,$CA228:$FV228,0),),""))</f>
        <v/>
      </c>
      <c r="AH228" s="121">
        <f t="array" ref="AH228">IF(AE228="","",INDIRECT("'GRD-"&amp;AG228&amp;"'!$L$7"))</f>
        <v/>
      </c>
      <c r="AI228" s="83">
        <f t="array" ref="AI228">IFERROR(OFFSET($BZ$11,ROW($B228)-11,MATCH(AI$10,$CA228:$FV228,0),),"")</f>
        <v/>
      </c>
      <c r="AJ228" s="83">
        <f>IF(AI228="","",IF(VLOOKUP($B228,INDIRECT("'GRD-"&amp;AK228&amp;"'!$B:$R"),16,FALSE)="","",VLOOKUP($B228,INDIRECT("'GRD-"&amp;AK228&amp;"'!$B:$R"),16,FALSE)))</f>
        <v/>
      </c>
      <c r="AK228" s="128">
        <f t="array" ref="AK228">IF(AI228="","",IFERROR(OFFSET($BZ$11,0,MATCH($AI228,$CA228:$FV228,0),),""))</f>
        <v/>
      </c>
      <c r="AL228" s="133">
        <f t="array" ref="AL228">IF(AI228="","",INDIRECT("'GRD-"&amp;AK228&amp;"'!$L$7"))</f>
        <v/>
      </c>
      <c r="AM228" s="84">
        <f t="array" ref="AM228">IFERROR(OFFSET($BZ$11,ROW($B228)-11,MATCH(AM$10,$CA228:$FV228,0),),"")</f>
        <v/>
      </c>
      <c r="AN228" s="84">
        <f>IF(AM228="","",IF(VLOOKUP($B228,INDIRECT("'GRD-"&amp;AO228&amp;"'!$B:$R"),16,FALSE)="","",VLOOKUP($B228,INDIRECT("'GRD-"&amp;AO228&amp;"'!$B:$R"),16,FALSE)))</f>
        <v/>
      </c>
      <c r="AO228" s="129">
        <f t="array" ref="AO228">IF(AM228="","",IFERROR(OFFSET($BZ$11,0,MATCH($AM228,$CA228:$FV228,0),),""))</f>
        <v/>
      </c>
      <c r="AP228" s="134">
        <f t="array" ref="AP228">IF(AM228="","",INDIRECT("'GRD-"&amp;AO228&amp;"'!$L$7"))</f>
        <v/>
      </c>
      <c r="AQ228" s="85">
        <f t="array" ref="AQ228">IFERROR(OFFSET($BZ$11,ROW($B228)-11,MATCH(AQ$10,$CA228:$FV228,0),),"")</f>
        <v/>
      </c>
      <c r="AR228" s="85">
        <f>IF(AQ228="","",IF(VLOOKUP($B228,INDIRECT("'GRD-"&amp;AS228&amp;"'!$B:$R"),16,FALSE)="","",VLOOKUP($B228,INDIRECT("'GRD-"&amp;AS228&amp;"'!$B:$R"),16,FALSE)))</f>
        <v/>
      </c>
      <c r="AS228" s="130">
        <f t="array" ref="AS228">IF(AQ228="","",IFERROR(OFFSET($BZ$11,0,MATCH($AQ228,$CA228:$FV228,0),),""))</f>
        <v/>
      </c>
      <c r="AT228" s="131">
        <f t="array" ref="AT228">IF(AQ228="","",INDIRECT("'GRD-"&amp;AS228&amp;"'!$L$7"))</f>
        <v/>
      </c>
      <c r="AU228" s="76">
        <f t="array" ref="AU228">IFERROR(OFFSET($BZ$11,ROW($B228)-11,MATCH(AU$10,$CA228:$FV228,0),),"")</f>
        <v/>
      </c>
      <c r="AV228" s="76">
        <f>IF(AU228="","",IF(VLOOKUP($B228,INDIRECT("'GRD-"&amp;AW228&amp;"'!$B:$R"),16,FALSE)="","",VLOOKUP($B228,INDIRECT("'GRD-"&amp;AW228&amp;"'!$B:$R"),16,FALSE)))</f>
        <v/>
      </c>
      <c r="AW228" s="132">
        <f t="array" ref="AW228">IF(AU228="","",IFERROR(OFFSET($BZ$11,0,MATCH($AU228,$CA228:$FV228,0),),""))</f>
        <v/>
      </c>
      <c r="AX228" s="121">
        <f t="array" ref="AX228">IF(AU228="","",INDIRECT("'GRD-"&amp;AW228&amp;"'!$L$7"))</f>
        <v/>
      </c>
      <c r="AY228" s="83">
        <f t="array" ref="AY228">IFERROR(OFFSET($BZ$11,ROW($B228)-11,MATCH(AY$10,$CA228:$FV228,0),),"")</f>
        <v/>
      </c>
      <c r="AZ228" s="83">
        <f>IF(AY228="","",IF(VLOOKUP($B228,INDIRECT("'GRD-"&amp;BA228&amp;"'!$B:$R"),16,FALSE)="","",VLOOKUP($B228,INDIRECT("'GRD-"&amp;BA228&amp;"'!$B:$R"),16,FALSE)))</f>
        <v/>
      </c>
      <c r="BA228" s="128">
        <f t="array" ref="BA228">IF(AY228="","",IFERROR(OFFSET($BZ$11,0,MATCH($AY228,$CA228:$FV228,0),),""))</f>
        <v/>
      </c>
      <c r="BB228" s="133">
        <f t="array" ref="BB228">IF(AY228="","",INDIRECT("'GRD-"&amp;BA228&amp;"'!$L$7"))</f>
        <v/>
      </c>
      <c r="BC228" s="84">
        <f t="array" ref="BC228">IFERROR(OFFSET($BZ$11,ROW($B228)-11,MATCH(BC$10,$CA228:$FV228,0),),"")</f>
        <v/>
      </c>
      <c r="BD228" s="84">
        <f>IF(BC228="","",IF(VLOOKUP($B228,INDIRECT("'GRD-"&amp;BE228&amp;"'!$B:$R"),16,FALSE)="","",VLOOKUP($B228,INDIRECT("'GRD-"&amp;BE228&amp;"'!$B:$R"),16,FALSE)))</f>
        <v/>
      </c>
      <c r="BE228" s="129">
        <f t="array" ref="BE228">IF(BC228="","",IFERROR(OFFSET($BZ$11,0,MATCH($BC228,$CA228:$FV228,0),),""))</f>
        <v/>
      </c>
      <c r="BF228" s="134">
        <f t="array" ref="BF228">IF(BC228="","",INDIRECT("'GRD-"&amp;BE228&amp;"'!$L$7"))</f>
        <v/>
      </c>
      <c r="CA228" s="96">
        <f>IFERROR(VLOOKUP($B228,INDIRECT("'GRD-"&amp;CA$11&amp;"'!B:R"),15,FALSE),"")</f>
        <v/>
      </c>
      <c r="CB228" s="96">
        <f>IFERROR(VLOOKUP($B228,INDIRECT("'GRD-"&amp;CB$11&amp;"'!B:R"),15,FALSE),"")</f>
        <v/>
      </c>
      <c r="CC228" s="96">
        <f>IFERROR(VLOOKUP($B228,INDIRECT("'GRD-"&amp;CC$11&amp;"'!B:R"),15,FALSE),"")</f>
        <v/>
      </c>
      <c r="CD228" s="96">
        <f>IFERROR(VLOOKUP($B228,INDIRECT("'GRD-"&amp;CD$11&amp;"'!B:R"),15,FALSE),"")</f>
        <v/>
      </c>
      <c r="CE228" s="96">
        <f>IFERROR(VLOOKUP($B228,INDIRECT("'GRD-"&amp;CE$11&amp;"'!B:R"),15,FALSE),"")</f>
        <v/>
      </c>
      <c r="CF228" s="96">
        <f>IFERROR(VLOOKUP($B228,INDIRECT("'GRD-"&amp;CF$11&amp;"'!B:R"),15,FALSE),"")</f>
        <v/>
      </c>
      <c r="CG228" s="96">
        <f>IFERROR(VLOOKUP($B228,INDIRECT("'GRD-"&amp;CG$11&amp;"'!B:R"),15,FALSE),"")</f>
        <v/>
      </c>
      <c r="CH228" s="96">
        <f>IFERROR(VLOOKUP($B228,INDIRECT("'GRD-"&amp;CH$11&amp;"'!B:R"),15,FALSE),"")</f>
        <v/>
      </c>
      <c r="CI228" s="96">
        <f>IFERROR(VLOOKUP($B228,INDIRECT("'GRD-"&amp;CI$11&amp;"'!B:R"),15,FALSE),"")</f>
        <v/>
      </c>
      <c r="CJ228" s="96">
        <f>IFERROR(VLOOKUP($B228,INDIRECT("'GRD-"&amp;CJ$11&amp;"'!B:R"),15,FALSE),"")</f>
        <v/>
      </c>
      <c r="CK228" s="96">
        <f>IFERROR(VLOOKUP($B228,INDIRECT("'GRD-"&amp;CK$11&amp;"'!B:R"),15,FALSE),"")</f>
        <v/>
      </c>
      <c r="CL228" s="96">
        <f>IFERROR(VLOOKUP($B228,INDIRECT("'GRD-"&amp;CL$11&amp;"'!B:R"),15,FALSE),"")</f>
        <v/>
      </c>
      <c r="CM228" s="96">
        <f>IFERROR(VLOOKUP($B228,INDIRECT("'GRD-"&amp;CM$11&amp;"'!B:R"),15,FALSE),"")</f>
        <v/>
      </c>
      <c r="CN228" s="96">
        <f>IFERROR(VLOOKUP($B228,INDIRECT("'GRD-"&amp;CN$11&amp;"'!B:R"),15,FALSE),"")</f>
        <v/>
      </c>
      <c r="CO228" s="96">
        <f>IFERROR(VLOOKUP($B228,INDIRECT("'GRD-"&amp;CO$11&amp;"'!B:R"),15,FALSE),"")</f>
        <v/>
      </c>
      <c r="CP228" s="96">
        <f>IFERROR(VLOOKUP($B228,INDIRECT("'GRD-"&amp;CP$11&amp;"'!B:R"),15,FALSE),"")</f>
        <v/>
      </c>
      <c r="CQ228" s="96">
        <f>IFERROR(VLOOKUP($B228,INDIRECT("'GRD-"&amp;CQ$11&amp;"'!B:R"),15,FALSE),"")</f>
        <v/>
      </c>
      <c r="CR228" s="96">
        <f>IFERROR(VLOOKUP($B228,INDIRECT("'GRD-"&amp;CR$11&amp;"'!B:R"),15,FALSE),"")</f>
        <v/>
      </c>
      <c r="CS228" s="96">
        <f>IFERROR(VLOOKUP($B228,INDIRECT("'GRD-"&amp;CS$11&amp;"'!B:R"),15,FALSE),"")</f>
        <v/>
      </c>
      <c r="CT228" s="96">
        <f>IFERROR(VLOOKUP($B228,INDIRECT("'GRD-"&amp;CT$11&amp;"'!B:R"),15,FALSE),"")</f>
        <v/>
      </c>
      <c r="CU228" s="96">
        <f>IFERROR(VLOOKUP($B228,INDIRECT("'GRD-"&amp;CU$11&amp;"'!B:R"),15,FALSE),"")</f>
        <v/>
      </c>
      <c r="CV228" s="96">
        <f>IFERROR(VLOOKUP($B228,INDIRECT("'GRD-"&amp;CV$11&amp;"'!B:R"),15,FALSE),"")</f>
        <v/>
      </c>
      <c r="CW228" s="96">
        <f>IFERROR(VLOOKUP($B228,INDIRECT("'GRD-"&amp;CW$11&amp;"'!B:R"),15,FALSE),"")</f>
        <v/>
      </c>
      <c r="CX228" s="96">
        <f>IFERROR(VLOOKUP($B228,INDIRECT("'GRD-"&amp;CX$11&amp;"'!B:R"),15,FALSE),"")</f>
        <v/>
      </c>
      <c r="CY228" s="96">
        <f>IFERROR(VLOOKUP($B228,INDIRECT("'GRD-"&amp;CY$11&amp;"'!B:R"),15,FALSE),"")</f>
        <v/>
      </c>
      <c r="CZ228" s="96">
        <f>IFERROR(VLOOKUP($B228,INDIRECT("'GRD-"&amp;CZ$11&amp;"'!B:R"),15,FALSE),"")</f>
        <v/>
      </c>
      <c r="DA228" s="96">
        <f>IFERROR(VLOOKUP($B228,INDIRECT("'GRD-"&amp;DA$11&amp;"'!B:R"),15,FALSE),"")</f>
        <v/>
      </c>
      <c r="DB228" s="96">
        <f>IFERROR(VLOOKUP($B228,INDIRECT("'GRD-"&amp;DB$11&amp;"'!B:R"),15,FALSE),"")</f>
        <v/>
      </c>
      <c r="DC228" s="96">
        <f>IFERROR(VLOOKUP($B228,INDIRECT("'GRD-"&amp;DC$11&amp;"'!B:R"),15,FALSE),"")</f>
        <v/>
      </c>
      <c r="DD228" s="96">
        <f>IFERROR(VLOOKUP($B228,INDIRECT("'GRD-"&amp;DD$11&amp;"'!B:R"),15,FALSE),"")</f>
        <v/>
      </c>
      <c r="DE228" s="96">
        <f>IFERROR(VLOOKUP($B228,INDIRECT("'GRD-"&amp;DE$11&amp;"'!B:R"),15,FALSE),"")</f>
        <v/>
      </c>
      <c r="DF228" s="96">
        <f>IFERROR(VLOOKUP($B228,INDIRECT("'GRD-"&amp;DF$11&amp;"'!B:R"),15,FALSE),"")</f>
        <v/>
      </c>
      <c r="DG228" s="96">
        <f>IFERROR(VLOOKUP($B228,INDIRECT("'GRD-"&amp;DG$11&amp;"'!B:R"),15,FALSE),"")</f>
        <v/>
      </c>
      <c r="DH228" s="96">
        <f>IFERROR(VLOOKUP($B228,INDIRECT("'GRD-"&amp;DH$11&amp;"'!B:R"),15,FALSE),"")</f>
        <v/>
      </c>
      <c r="DI228" s="96">
        <f>IFERROR(VLOOKUP($B228,INDIRECT("'GRD-"&amp;DI$11&amp;"'!B:R"),15,FALSE),"")</f>
        <v/>
      </c>
      <c r="DJ228" s="96">
        <f>IFERROR(VLOOKUP($B228,INDIRECT("'GRD-"&amp;DJ$11&amp;"'!B:R"),15,FALSE),"")</f>
        <v/>
      </c>
      <c r="DK228" s="96">
        <f>IFERROR(VLOOKUP($B228,INDIRECT("'GRD-"&amp;DK$11&amp;"'!B:R"),15,FALSE),"")</f>
        <v/>
      </c>
      <c r="DL228" s="96">
        <f>IFERROR(VLOOKUP($B228,INDIRECT("'GRD-"&amp;DL$11&amp;"'!B:R"),15,FALSE),"")</f>
        <v/>
      </c>
      <c r="DM228" s="96">
        <f>IFERROR(VLOOKUP($B228,INDIRECT("'GRD-"&amp;DM$11&amp;"'!B:R"),15,FALSE),"")</f>
        <v/>
      </c>
      <c r="DN228" s="96">
        <f>IFERROR(VLOOKUP($B228,INDIRECT("'GRD-"&amp;DN$11&amp;"'!B:R"),15,FALSE),"")</f>
        <v/>
      </c>
      <c r="DO228" s="96">
        <f>IFERROR(VLOOKUP($B228,INDIRECT("'GRD-"&amp;DO$11&amp;"'!B:R"),15,FALSE),"")</f>
        <v/>
      </c>
      <c r="DP228" s="96">
        <f>IFERROR(VLOOKUP($B228,INDIRECT("'GRD-"&amp;DP$11&amp;"'!B:R"),15,FALSE),"")</f>
        <v/>
      </c>
      <c r="DQ228" s="96">
        <f>IFERROR(VLOOKUP($B228,INDIRECT("'GRD-"&amp;DQ$11&amp;"'!B:R"),15,FALSE),"")</f>
        <v/>
      </c>
      <c r="DR228" s="96">
        <f>IFERROR(VLOOKUP($B228,INDIRECT("'GRD-"&amp;DR$11&amp;"'!B:R"),15,FALSE),"")</f>
        <v/>
      </c>
      <c r="DS228" s="96">
        <f>IFERROR(VLOOKUP($B228,INDIRECT("'GRD-"&amp;DS$11&amp;"'!B:R"),15,FALSE),"")</f>
        <v/>
      </c>
      <c r="DT228" s="96">
        <f>IFERROR(VLOOKUP($B228,INDIRECT("'GRD-"&amp;DT$11&amp;"'!B:R"),15,FALSE),"")</f>
        <v/>
      </c>
      <c r="DU228" s="96">
        <f>IFERROR(VLOOKUP($B228,INDIRECT("'GRD-"&amp;DU$11&amp;"'!B:R"),15,FALSE),"")</f>
        <v/>
      </c>
      <c r="DV228" s="96">
        <f>IFERROR(VLOOKUP($B228,INDIRECT("'GRD-"&amp;DV$11&amp;"'!B:R"),15,FALSE),"")</f>
        <v/>
      </c>
      <c r="DW228" s="96">
        <f>IFERROR(VLOOKUP($B228,INDIRECT("'GRD-"&amp;DW$11&amp;"'!B:R"),15,FALSE),"")</f>
        <v/>
      </c>
      <c r="DX228" s="96">
        <f>IFERROR(VLOOKUP($B228,INDIRECT("'GRD-"&amp;DX$11&amp;"'!B:R"),15,FALSE),"")</f>
        <v/>
      </c>
      <c r="DY228" s="96">
        <f>IFERROR(VLOOKUP($B228,INDIRECT("'GRD-"&amp;DY$11&amp;"'!B:R"),15,FALSE),"")</f>
        <v/>
      </c>
      <c r="DZ228" s="96">
        <f>IFERROR(VLOOKUP($B228,INDIRECT("'GRD-"&amp;DZ$11&amp;"'!B:R"),15,FALSE),"")</f>
        <v/>
      </c>
      <c r="EA228" s="96">
        <f>IFERROR(VLOOKUP($B228,INDIRECT("'GRD-"&amp;EA$11&amp;"'!B:R"),15,FALSE),"")</f>
        <v/>
      </c>
      <c r="EB228" s="96">
        <f>IFERROR(VLOOKUP($B228,INDIRECT("'GRD-"&amp;EB$11&amp;"'!B:R"),15,FALSE),"")</f>
        <v/>
      </c>
      <c r="EC228" s="96">
        <f>IFERROR(VLOOKUP($B228,INDIRECT("'GRD-"&amp;EC$11&amp;"'!B:R"),15,FALSE),"")</f>
        <v/>
      </c>
      <c r="ED228" s="96">
        <f>IFERROR(VLOOKUP($B228,INDIRECT("'GRD-"&amp;ED$11&amp;"'!B:R"),15,FALSE),"")</f>
        <v/>
      </c>
      <c r="EE228" s="96">
        <f>IFERROR(VLOOKUP($B228,INDIRECT("'GRD-"&amp;EE$11&amp;"'!B:R"),15,FALSE),"")</f>
        <v/>
      </c>
      <c r="EF228" s="96">
        <f>IFERROR(VLOOKUP($B228,INDIRECT("'GRD-"&amp;EF$11&amp;"'!B:R"),15,FALSE),"")</f>
        <v/>
      </c>
      <c r="EG228" s="96">
        <f>IFERROR(VLOOKUP($B228,INDIRECT("'GRD-"&amp;EG$11&amp;"'!B:R"),15,FALSE),"")</f>
        <v/>
      </c>
      <c r="EH228" s="96">
        <f>IFERROR(VLOOKUP($B228,INDIRECT("'GRD-"&amp;EH$11&amp;"'!B:R"),15,FALSE),"")</f>
        <v/>
      </c>
      <c r="EI228" s="96">
        <f>IFERROR(VLOOKUP($B228,INDIRECT("'GRD-"&amp;EI$11&amp;"'!B:R"),15,FALSE),"")</f>
        <v/>
      </c>
      <c r="EJ228" s="96">
        <f>IFERROR(VLOOKUP($B228,INDIRECT("'GRD-"&amp;EJ$11&amp;"'!B:R"),15,FALSE),"")</f>
        <v/>
      </c>
      <c r="EK228" s="96">
        <f>IFERROR(VLOOKUP($B228,INDIRECT("'GRD-"&amp;EK$11&amp;"'!B:R"),15,FALSE),"")</f>
        <v/>
      </c>
      <c r="EL228" s="96">
        <f>IFERROR(VLOOKUP($B228,INDIRECT("'GRD-"&amp;EL$11&amp;"'!B:R"),15,FALSE),"")</f>
        <v/>
      </c>
      <c r="EM228" s="96">
        <f>IFERROR(VLOOKUP($B228,INDIRECT("'GRD-"&amp;EM$11&amp;"'!B:R"),15,FALSE),"")</f>
        <v/>
      </c>
      <c r="EN228" s="96">
        <f>IFERROR(VLOOKUP($B228,INDIRECT("'GRD-"&amp;EN$11&amp;"'!B:R"),15,FALSE),"")</f>
        <v/>
      </c>
      <c r="EO228" s="96">
        <f>IFERROR(VLOOKUP($B228,INDIRECT("'GRD-"&amp;EO$11&amp;"'!B:R"),15,FALSE),"")</f>
        <v/>
      </c>
      <c r="EP228" s="96">
        <f>IFERROR(VLOOKUP($B228,INDIRECT("'GRD-"&amp;EP$11&amp;"'!B:R"),15,FALSE),"")</f>
        <v/>
      </c>
      <c r="EQ228" s="96">
        <f>IFERROR(VLOOKUP($B228,INDIRECT("'GRD-"&amp;EQ$11&amp;"'!B:R"),15,FALSE),"")</f>
        <v/>
      </c>
      <c r="ER228" s="96">
        <f>IFERROR(VLOOKUP($B228,INDIRECT("'GRD-"&amp;ER$11&amp;"'!B:R"),15,FALSE),"")</f>
        <v/>
      </c>
      <c r="ES228" s="96">
        <f>IFERROR(VLOOKUP($B228,INDIRECT("'GRD-"&amp;ES$11&amp;"'!B:R"),15,FALSE),"")</f>
        <v/>
      </c>
      <c r="ET228" s="96">
        <f>IFERROR(VLOOKUP($B228,INDIRECT("'GRD-"&amp;ET$11&amp;"'!B:R"),15,FALSE),"")</f>
        <v/>
      </c>
      <c r="EU228" s="96">
        <f>IFERROR(VLOOKUP($B228,INDIRECT("'GRD-"&amp;EU$11&amp;"'!B:R"),15,FALSE),"")</f>
        <v/>
      </c>
      <c r="EV228" s="96">
        <f>IFERROR(VLOOKUP($B228,INDIRECT("'GRD-"&amp;EV$11&amp;"'!B:R"),15,FALSE),"")</f>
        <v/>
      </c>
      <c r="EW228" s="96">
        <f>IFERROR(VLOOKUP($B228,INDIRECT("'GRD-"&amp;EW$11&amp;"'!B:R"),15,FALSE),"")</f>
        <v/>
      </c>
      <c r="EX228" s="96">
        <f>IFERROR(VLOOKUP($B228,INDIRECT("'GRD-"&amp;EX$11&amp;"'!B:R"),15,FALSE),"")</f>
        <v/>
      </c>
      <c r="EY228" s="96">
        <f>IFERROR(VLOOKUP($B228,INDIRECT("'GRD-"&amp;EY$11&amp;"'!B:R"),15,FALSE),"")</f>
        <v/>
      </c>
      <c r="EZ228" s="96">
        <f>IFERROR(VLOOKUP($B228,INDIRECT("'GRD-"&amp;EZ$11&amp;"'!B:R"),15,FALSE),"")</f>
        <v/>
      </c>
      <c r="FA228" s="96">
        <f>IFERROR(VLOOKUP($B228,INDIRECT("'GRD-"&amp;FA$11&amp;"'!B:R"),15,FALSE),"")</f>
        <v/>
      </c>
      <c r="FB228" s="96">
        <f>IFERROR(VLOOKUP($B228,INDIRECT("'GRD-"&amp;FB$11&amp;"'!B:R"),15,FALSE),"")</f>
        <v/>
      </c>
      <c r="FC228" s="96">
        <f>IFERROR(VLOOKUP($B228,INDIRECT("'GRD-"&amp;FC$11&amp;"'!B:R"),15,FALSE),"")</f>
        <v/>
      </c>
      <c r="FD228" s="96">
        <f>IFERROR(VLOOKUP($B228,INDIRECT("'GRD-"&amp;FD$11&amp;"'!B:R"),15,FALSE),"")</f>
        <v/>
      </c>
      <c r="FE228" s="96">
        <f>IFERROR(VLOOKUP($B228,INDIRECT("'GRD-"&amp;FE$11&amp;"'!B:R"),15,FALSE),"")</f>
        <v/>
      </c>
      <c r="FF228" s="96">
        <f>IFERROR(VLOOKUP($B228,INDIRECT("'GRD-"&amp;FF$11&amp;"'!B:R"),15,FALSE),"")</f>
        <v/>
      </c>
      <c r="FG228" s="96">
        <f>IFERROR(VLOOKUP($B228,INDIRECT("'GRD-"&amp;FG$11&amp;"'!B:R"),15,FALSE),"")</f>
        <v/>
      </c>
      <c r="FH228" s="96">
        <f>IFERROR(VLOOKUP($B228,INDIRECT("'GRD-"&amp;FH$11&amp;"'!B:R"),15,FALSE),"")</f>
        <v/>
      </c>
      <c r="FI228" s="96">
        <f>IFERROR(VLOOKUP($B228,INDIRECT("'GRD-"&amp;FI$11&amp;"'!B:R"),15,FALSE),"")</f>
        <v/>
      </c>
      <c r="FJ228" s="96">
        <f>IFERROR(VLOOKUP($B228,INDIRECT("'GRD-"&amp;FJ$11&amp;"'!B:R"),15,FALSE),"")</f>
        <v/>
      </c>
      <c r="FK228" s="96">
        <f>IFERROR(VLOOKUP($B228,INDIRECT("'GRD-"&amp;FK$11&amp;"'!B:R"),15,FALSE),"")</f>
        <v/>
      </c>
      <c r="FL228" s="96">
        <f>IFERROR(VLOOKUP($B228,INDIRECT("'GRD-"&amp;FL$11&amp;"'!B:R"),15,FALSE),"")</f>
        <v/>
      </c>
      <c r="FM228" s="96">
        <f>IFERROR(VLOOKUP($B228,INDIRECT("'GRD-"&amp;FM$11&amp;"'!B:R"),15,FALSE),"")</f>
        <v/>
      </c>
      <c r="FN228" s="96">
        <f>IFERROR(VLOOKUP($B228,INDIRECT("'GRD-"&amp;FN$11&amp;"'!B:R"),15,FALSE),"")</f>
        <v/>
      </c>
      <c r="FO228" s="96">
        <f>IFERROR(VLOOKUP($B228,INDIRECT("'GRD-"&amp;FO$11&amp;"'!B:R"),15,FALSE),"")</f>
        <v/>
      </c>
      <c r="FP228" s="96">
        <f>IFERROR(VLOOKUP($B228,INDIRECT("'GRD-"&amp;FP$11&amp;"'!B:R"),15,FALSE),"")</f>
        <v/>
      </c>
      <c r="FQ228" s="96">
        <f>IFERROR(VLOOKUP($B228,INDIRECT("'GRD-"&amp;FQ$11&amp;"'!B:R"),15,FALSE),"")</f>
        <v/>
      </c>
      <c r="FR228" s="96">
        <f>IFERROR(VLOOKUP($B228,INDIRECT("'GRD-"&amp;FR$11&amp;"'!B:R"),15,FALSE),"")</f>
        <v/>
      </c>
      <c r="FS228" s="96">
        <f>IFERROR(VLOOKUP($B228,INDIRECT("'GRD-"&amp;FS$11&amp;"'!B:R"),15,FALSE),"")</f>
        <v/>
      </c>
      <c r="FT228" s="96">
        <f>IFERROR(VLOOKUP($B228,INDIRECT("'GRD-"&amp;FT$11&amp;"'!B:R"),15,FALSE),"")</f>
        <v/>
      </c>
      <c r="FU228" s="96">
        <f>IFERROR(VLOOKUP($B228,INDIRECT("'GRD-"&amp;FU$11&amp;"'!B:R"),15,FALSE),"")</f>
        <v/>
      </c>
      <c r="FV228" s="96">
        <f>IFERROR(VLOOKUP($B228,INDIRECT("'GRD-"&amp;FV$11&amp;"'!B:R"),15,FALSE),"")</f>
        <v/>
      </c>
    </row>
    <row r="229">
      <c r="B229" s="85" t="n"/>
      <c r="C229" s="93" t="n"/>
      <c r="D229" s="73">
        <f>IF(K229="","",MAX($CA229:$FV229))</f>
        <v/>
      </c>
      <c r="E229" s="74">
        <f t="array" ref="E229">IF($K229="","",OFFSET($A$1,ROW($B229)-1,11+$D229*4,))</f>
        <v/>
      </c>
      <c r="F229" s="74">
        <f t="array" ref="F229">IF($K229="","",OFFSET($A$1,ROW($B229)-1,12+$D229*4,))</f>
        <v/>
      </c>
      <c r="G229" s="118">
        <f t="array" ref="G229">IF($K229="","",OFFSET($A$1,ROW($B229)-1,13+$D229*4,))</f>
        <v/>
      </c>
      <c r="H229" s="81" t="n"/>
      <c r="I229" s="82" t="n"/>
      <c r="J229" s="75">
        <f>IF(I229="A4",H229/8,IF(I229="A3",H229/4,IF(I229="A2",H229/2,IF(I229="A1",H229/1,IF(I229="A0",H229*2,"")))))</f>
        <v/>
      </c>
      <c r="K229" s="68">
        <f t="array" ref="K229">IFERROR(OFFSET($BZ$11,ROW($B229)-11,MATCH(K$10,$CA229:$FV229,0),),"")</f>
        <v/>
      </c>
      <c r="L229" s="85">
        <f>IF(K229="","",IF(VLOOKUP($B229,INDIRECT("'GRD-"&amp;M229&amp;"'!$B:$R"),16,FALSE)="","",VLOOKUP($B229,INDIRECT("'GRD-"&amp;M229&amp;"'!$B:$R"),16,FALSE)))</f>
        <v/>
      </c>
      <c r="M229" s="130">
        <f t="array" ref="M229">IF(K229="","",IFERROR(OFFSET($BZ$11,0,MATCH($K229,$CA229:$FV229,0),),""))</f>
        <v/>
      </c>
      <c r="N229" s="119">
        <f t="array" ref="N229">IF(K229="","",INDIRECT("'GRD-"&amp;M229&amp;"'!$L$7"))</f>
        <v/>
      </c>
      <c r="O229" s="76">
        <f t="array" ref="O229">IFERROR(OFFSET($BZ$11,ROW($B229)-11,MATCH(O$10,$CA229:$FV229,0),),"")</f>
        <v/>
      </c>
      <c r="P229" s="76">
        <f>IF(O229="","",IF(VLOOKUP($B229,INDIRECT("'GRD-"&amp;Q229&amp;"'!$B:$R"),16,FALSE)="","",VLOOKUP($B229,INDIRECT("'GRD-"&amp;Q229&amp;"'!$B:$R"),16,FALSE)))</f>
        <v/>
      </c>
      <c r="Q229" s="132">
        <f t="array" ref="Q229">IF(O229="","",IFERROR(OFFSET($BZ$11,0,MATCH($O229,$CA229:$FV229,0),),""))</f>
        <v/>
      </c>
      <c r="R229" s="121">
        <f t="array" ref="R229">IF(O229="","",INDIRECT("'GRD-"&amp;Q229&amp;"'!$L$7"))</f>
        <v/>
      </c>
      <c r="S229" s="83">
        <f t="array" ref="S229">IFERROR(OFFSET($BZ$11,ROW($B229)-11,MATCH(S$10,$CA229:$FV229,0),),"")</f>
        <v/>
      </c>
      <c r="T229" s="83">
        <f>IF(S229="","",IF(VLOOKUP($B229,INDIRECT("'GRD-"&amp;U229&amp;"'!$B:$R"),16,FALSE)="","",VLOOKUP($B229,INDIRECT("'GRD-"&amp;U229&amp;"'!$B:$R"),16,FALSE)))</f>
        <v/>
      </c>
      <c r="U229" s="128">
        <f t="array" ref="U229">IF(S229="","",IFERROR(OFFSET($BZ$11,0,MATCH($S229,$CA229:$FV229,0),),""))</f>
        <v/>
      </c>
      <c r="V229" s="133">
        <f t="array" ref="V229">IF(S229="","",INDIRECT("'GRD-"&amp;U229&amp;"'!$L$7"))</f>
        <v/>
      </c>
      <c r="W229" s="84">
        <f t="array" ref="W229">IFERROR(OFFSET($BZ$11,ROW($B229)-11,MATCH(W$10,$CA229:$FV229,0),),"")</f>
        <v/>
      </c>
      <c r="X229" s="84">
        <f>IF(W229="","",IF(VLOOKUP($B229,INDIRECT("'GRD-"&amp;Y229&amp;"'!$B:$R"),16,FALSE)="","",VLOOKUP($B229,INDIRECT("'GRD-"&amp;Y229&amp;"'!$B:$R"),16,FALSE)))</f>
        <v/>
      </c>
      <c r="Y229" s="129">
        <f t="array" ref="Y229">IF(W229="","",IFERROR(OFFSET($BZ$11,0,MATCH($W229,$CA229:$FV229,0),),""))</f>
        <v/>
      </c>
      <c r="Z229" s="134">
        <f t="array" ref="Z229">IF(W229="","",INDIRECT("'GRD-"&amp;Y229&amp;"'!$L$7"))</f>
        <v/>
      </c>
      <c r="AA229" s="85">
        <f t="array" ref="AA229">IFERROR(OFFSET($BZ$11,ROW($B229)-11,MATCH(AA$10,$CA229:$FV229,0),),"")</f>
        <v/>
      </c>
      <c r="AB229" s="85">
        <f>IF(AA229="","",IF(VLOOKUP($B229,INDIRECT("'GRD-"&amp;AC229&amp;"'!$B:$R"),16,FALSE)="","",VLOOKUP($B229,INDIRECT("'GRD-"&amp;AC229&amp;"'!$B:$R"),16,FALSE)))</f>
        <v/>
      </c>
      <c r="AC229" s="130">
        <f t="array" ref="AC229">IF(AA229="","",IFERROR(OFFSET($BZ$11,0,MATCH($AA229,$CA229:$FV229,0),),""))</f>
        <v/>
      </c>
      <c r="AD229" s="131">
        <f t="array" ref="AD229">IF(AA229="","",INDIRECT("'GRD-"&amp;AC229&amp;"'!$L$7"))</f>
        <v/>
      </c>
      <c r="AE229" s="76">
        <f t="array" ref="AE229">IFERROR(OFFSET($BZ$11,ROW($B229)-11,MATCH(AE$10,$CA229:$FV229,0),),"")</f>
        <v/>
      </c>
      <c r="AF229" s="76">
        <f>IF(AE229="","",IF(VLOOKUP($B229,INDIRECT("'GRD-"&amp;AG229&amp;"'!$B:$R"),16,FALSE)="","",VLOOKUP($B229,INDIRECT("'GRD-"&amp;AG229&amp;"'!$B:$R"),16,FALSE)))</f>
        <v/>
      </c>
      <c r="AG229" s="132">
        <f t="array" ref="AG229">IF(AE229="","",IFERROR(OFFSET($BZ$11,0,MATCH($AE229,$CA229:$FV229,0),),""))</f>
        <v/>
      </c>
      <c r="AH229" s="121">
        <f t="array" ref="AH229">IF(AE229="","",INDIRECT("'GRD-"&amp;AG229&amp;"'!$L$7"))</f>
        <v/>
      </c>
      <c r="AI229" s="83">
        <f t="array" ref="AI229">IFERROR(OFFSET($BZ$11,ROW($B229)-11,MATCH(AI$10,$CA229:$FV229,0),),"")</f>
        <v/>
      </c>
      <c r="AJ229" s="83">
        <f>IF(AI229="","",IF(VLOOKUP($B229,INDIRECT("'GRD-"&amp;AK229&amp;"'!$B:$R"),16,FALSE)="","",VLOOKUP($B229,INDIRECT("'GRD-"&amp;AK229&amp;"'!$B:$R"),16,FALSE)))</f>
        <v/>
      </c>
      <c r="AK229" s="128">
        <f t="array" ref="AK229">IF(AI229="","",IFERROR(OFFSET($BZ$11,0,MATCH($AI229,$CA229:$FV229,0),),""))</f>
        <v/>
      </c>
      <c r="AL229" s="133">
        <f t="array" ref="AL229">IF(AI229="","",INDIRECT("'GRD-"&amp;AK229&amp;"'!$L$7"))</f>
        <v/>
      </c>
      <c r="AM229" s="84">
        <f t="array" ref="AM229">IFERROR(OFFSET($BZ$11,ROW($B229)-11,MATCH(AM$10,$CA229:$FV229,0),),"")</f>
        <v/>
      </c>
      <c r="AN229" s="84">
        <f>IF(AM229="","",IF(VLOOKUP($B229,INDIRECT("'GRD-"&amp;AO229&amp;"'!$B:$R"),16,FALSE)="","",VLOOKUP($B229,INDIRECT("'GRD-"&amp;AO229&amp;"'!$B:$R"),16,FALSE)))</f>
        <v/>
      </c>
      <c r="AO229" s="129">
        <f t="array" ref="AO229">IF(AM229="","",IFERROR(OFFSET($BZ$11,0,MATCH($AM229,$CA229:$FV229,0),),""))</f>
        <v/>
      </c>
      <c r="AP229" s="134">
        <f t="array" ref="AP229">IF(AM229="","",INDIRECT("'GRD-"&amp;AO229&amp;"'!$L$7"))</f>
        <v/>
      </c>
      <c r="AQ229" s="85">
        <f t="array" ref="AQ229">IFERROR(OFFSET($BZ$11,ROW($B229)-11,MATCH(AQ$10,$CA229:$FV229,0),),"")</f>
        <v/>
      </c>
      <c r="AR229" s="85">
        <f>IF(AQ229="","",IF(VLOOKUP($B229,INDIRECT("'GRD-"&amp;AS229&amp;"'!$B:$R"),16,FALSE)="","",VLOOKUP($B229,INDIRECT("'GRD-"&amp;AS229&amp;"'!$B:$R"),16,FALSE)))</f>
        <v/>
      </c>
      <c r="AS229" s="130">
        <f t="array" ref="AS229">IF(AQ229="","",IFERROR(OFFSET($BZ$11,0,MATCH($AQ229,$CA229:$FV229,0),),""))</f>
        <v/>
      </c>
      <c r="AT229" s="131">
        <f t="array" ref="AT229">IF(AQ229="","",INDIRECT("'GRD-"&amp;AS229&amp;"'!$L$7"))</f>
        <v/>
      </c>
      <c r="AU229" s="76">
        <f t="array" ref="AU229">IFERROR(OFFSET($BZ$11,ROW($B229)-11,MATCH(AU$10,$CA229:$FV229,0),),"")</f>
        <v/>
      </c>
      <c r="AV229" s="76">
        <f>IF(AU229="","",IF(VLOOKUP($B229,INDIRECT("'GRD-"&amp;AW229&amp;"'!$B:$R"),16,FALSE)="","",VLOOKUP($B229,INDIRECT("'GRD-"&amp;AW229&amp;"'!$B:$R"),16,FALSE)))</f>
        <v/>
      </c>
      <c r="AW229" s="132">
        <f t="array" ref="AW229">IF(AU229="","",IFERROR(OFFSET($BZ$11,0,MATCH($AU229,$CA229:$FV229,0),),""))</f>
        <v/>
      </c>
      <c r="AX229" s="121">
        <f t="array" ref="AX229">IF(AU229="","",INDIRECT("'GRD-"&amp;AW229&amp;"'!$L$7"))</f>
        <v/>
      </c>
      <c r="AY229" s="83">
        <f t="array" ref="AY229">IFERROR(OFFSET($BZ$11,ROW($B229)-11,MATCH(AY$10,$CA229:$FV229,0),),"")</f>
        <v/>
      </c>
      <c r="AZ229" s="83">
        <f>IF(AY229="","",IF(VLOOKUP($B229,INDIRECT("'GRD-"&amp;BA229&amp;"'!$B:$R"),16,FALSE)="","",VLOOKUP($B229,INDIRECT("'GRD-"&amp;BA229&amp;"'!$B:$R"),16,FALSE)))</f>
        <v/>
      </c>
      <c r="BA229" s="128">
        <f t="array" ref="BA229">IF(AY229="","",IFERROR(OFFSET($BZ$11,0,MATCH($AY229,$CA229:$FV229,0),),""))</f>
        <v/>
      </c>
      <c r="BB229" s="133">
        <f t="array" ref="BB229">IF(AY229="","",INDIRECT("'GRD-"&amp;BA229&amp;"'!$L$7"))</f>
        <v/>
      </c>
      <c r="BC229" s="84">
        <f t="array" ref="BC229">IFERROR(OFFSET($BZ$11,ROW($B229)-11,MATCH(BC$10,$CA229:$FV229,0),),"")</f>
        <v/>
      </c>
      <c r="BD229" s="84">
        <f>IF(BC229="","",IF(VLOOKUP($B229,INDIRECT("'GRD-"&amp;BE229&amp;"'!$B:$R"),16,FALSE)="","",VLOOKUP($B229,INDIRECT("'GRD-"&amp;BE229&amp;"'!$B:$R"),16,FALSE)))</f>
        <v/>
      </c>
      <c r="BE229" s="129">
        <f t="array" ref="BE229">IF(BC229="","",IFERROR(OFFSET($BZ$11,0,MATCH($BC229,$CA229:$FV229,0),),""))</f>
        <v/>
      </c>
      <c r="BF229" s="134">
        <f t="array" ref="BF229">IF(BC229="","",INDIRECT("'GRD-"&amp;BE229&amp;"'!$L$7"))</f>
        <v/>
      </c>
      <c r="CA229" s="96">
        <f>IFERROR(VLOOKUP($B229,INDIRECT("'GRD-"&amp;CA$11&amp;"'!B:R"),15,FALSE),"")</f>
        <v/>
      </c>
      <c r="CB229" s="96">
        <f>IFERROR(VLOOKUP($B229,INDIRECT("'GRD-"&amp;CB$11&amp;"'!B:R"),15,FALSE),"")</f>
        <v/>
      </c>
      <c r="CC229" s="96">
        <f>IFERROR(VLOOKUP($B229,INDIRECT("'GRD-"&amp;CC$11&amp;"'!B:R"),15,FALSE),"")</f>
        <v/>
      </c>
      <c r="CD229" s="96">
        <f>IFERROR(VLOOKUP($B229,INDIRECT("'GRD-"&amp;CD$11&amp;"'!B:R"),15,FALSE),"")</f>
        <v/>
      </c>
      <c r="CE229" s="96">
        <f>IFERROR(VLOOKUP($B229,INDIRECT("'GRD-"&amp;CE$11&amp;"'!B:R"),15,FALSE),"")</f>
        <v/>
      </c>
      <c r="CF229" s="96">
        <f>IFERROR(VLOOKUP($B229,INDIRECT("'GRD-"&amp;CF$11&amp;"'!B:R"),15,FALSE),"")</f>
        <v/>
      </c>
      <c r="CG229" s="96">
        <f>IFERROR(VLOOKUP($B229,INDIRECT("'GRD-"&amp;CG$11&amp;"'!B:R"),15,FALSE),"")</f>
        <v/>
      </c>
      <c r="CH229" s="96">
        <f>IFERROR(VLOOKUP($B229,INDIRECT("'GRD-"&amp;CH$11&amp;"'!B:R"),15,FALSE),"")</f>
        <v/>
      </c>
      <c r="CI229" s="96">
        <f>IFERROR(VLOOKUP($B229,INDIRECT("'GRD-"&amp;CI$11&amp;"'!B:R"),15,FALSE),"")</f>
        <v/>
      </c>
      <c r="CJ229" s="96">
        <f>IFERROR(VLOOKUP($B229,INDIRECT("'GRD-"&amp;CJ$11&amp;"'!B:R"),15,FALSE),"")</f>
        <v/>
      </c>
      <c r="CK229" s="96">
        <f>IFERROR(VLOOKUP($B229,INDIRECT("'GRD-"&amp;CK$11&amp;"'!B:R"),15,FALSE),"")</f>
        <v/>
      </c>
      <c r="CL229" s="96">
        <f>IFERROR(VLOOKUP($B229,INDIRECT("'GRD-"&amp;CL$11&amp;"'!B:R"),15,FALSE),"")</f>
        <v/>
      </c>
      <c r="CM229" s="96">
        <f>IFERROR(VLOOKUP($B229,INDIRECT("'GRD-"&amp;CM$11&amp;"'!B:R"),15,FALSE),"")</f>
        <v/>
      </c>
      <c r="CN229" s="96">
        <f>IFERROR(VLOOKUP($B229,INDIRECT("'GRD-"&amp;CN$11&amp;"'!B:R"),15,FALSE),"")</f>
        <v/>
      </c>
      <c r="CO229" s="96">
        <f>IFERROR(VLOOKUP($B229,INDIRECT("'GRD-"&amp;CO$11&amp;"'!B:R"),15,FALSE),"")</f>
        <v/>
      </c>
      <c r="CP229" s="96">
        <f>IFERROR(VLOOKUP($B229,INDIRECT("'GRD-"&amp;CP$11&amp;"'!B:R"),15,FALSE),"")</f>
        <v/>
      </c>
      <c r="CQ229" s="96">
        <f>IFERROR(VLOOKUP($B229,INDIRECT("'GRD-"&amp;CQ$11&amp;"'!B:R"),15,FALSE),"")</f>
        <v/>
      </c>
      <c r="CR229" s="96">
        <f>IFERROR(VLOOKUP($B229,INDIRECT("'GRD-"&amp;CR$11&amp;"'!B:R"),15,FALSE),"")</f>
        <v/>
      </c>
      <c r="CS229" s="96">
        <f>IFERROR(VLOOKUP($B229,INDIRECT("'GRD-"&amp;CS$11&amp;"'!B:R"),15,FALSE),"")</f>
        <v/>
      </c>
      <c r="CT229" s="96">
        <f>IFERROR(VLOOKUP($B229,INDIRECT("'GRD-"&amp;CT$11&amp;"'!B:R"),15,FALSE),"")</f>
        <v/>
      </c>
      <c r="CU229" s="96">
        <f>IFERROR(VLOOKUP($B229,INDIRECT("'GRD-"&amp;CU$11&amp;"'!B:R"),15,FALSE),"")</f>
        <v/>
      </c>
      <c r="CV229" s="96">
        <f>IFERROR(VLOOKUP($B229,INDIRECT("'GRD-"&amp;CV$11&amp;"'!B:R"),15,FALSE),"")</f>
        <v/>
      </c>
      <c r="CW229" s="96">
        <f>IFERROR(VLOOKUP($B229,INDIRECT("'GRD-"&amp;CW$11&amp;"'!B:R"),15,FALSE),"")</f>
        <v/>
      </c>
      <c r="CX229" s="96">
        <f>IFERROR(VLOOKUP($B229,INDIRECT("'GRD-"&amp;CX$11&amp;"'!B:R"),15,FALSE),"")</f>
        <v/>
      </c>
      <c r="CY229" s="96">
        <f>IFERROR(VLOOKUP($B229,INDIRECT("'GRD-"&amp;CY$11&amp;"'!B:R"),15,FALSE),"")</f>
        <v/>
      </c>
      <c r="CZ229" s="96">
        <f>IFERROR(VLOOKUP($B229,INDIRECT("'GRD-"&amp;CZ$11&amp;"'!B:R"),15,FALSE),"")</f>
        <v/>
      </c>
      <c r="DA229" s="96">
        <f>IFERROR(VLOOKUP($B229,INDIRECT("'GRD-"&amp;DA$11&amp;"'!B:R"),15,FALSE),"")</f>
        <v/>
      </c>
      <c r="DB229" s="96">
        <f>IFERROR(VLOOKUP($B229,INDIRECT("'GRD-"&amp;DB$11&amp;"'!B:R"),15,FALSE),"")</f>
        <v/>
      </c>
      <c r="DC229" s="96">
        <f>IFERROR(VLOOKUP($B229,INDIRECT("'GRD-"&amp;DC$11&amp;"'!B:R"),15,FALSE),"")</f>
        <v/>
      </c>
      <c r="DD229" s="96">
        <f>IFERROR(VLOOKUP($B229,INDIRECT("'GRD-"&amp;DD$11&amp;"'!B:R"),15,FALSE),"")</f>
        <v/>
      </c>
      <c r="DE229" s="96">
        <f>IFERROR(VLOOKUP($B229,INDIRECT("'GRD-"&amp;DE$11&amp;"'!B:R"),15,FALSE),"")</f>
        <v/>
      </c>
      <c r="DF229" s="96">
        <f>IFERROR(VLOOKUP($B229,INDIRECT("'GRD-"&amp;DF$11&amp;"'!B:R"),15,FALSE),"")</f>
        <v/>
      </c>
      <c r="DG229" s="96">
        <f>IFERROR(VLOOKUP($B229,INDIRECT("'GRD-"&amp;DG$11&amp;"'!B:R"),15,FALSE),"")</f>
        <v/>
      </c>
      <c r="DH229" s="96">
        <f>IFERROR(VLOOKUP($B229,INDIRECT("'GRD-"&amp;DH$11&amp;"'!B:R"),15,FALSE),"")</f>
        <v/>
      </c>
      <c r="DI229" s="96">
        <f>IFERROR(VLOOKUP($B229,INDIRECT("'GRD-"&amp;DI$11&amp;"'!B:R"),15,FALSE),"")</f>
        <v/>
      </c>
      <c r="DJ229" s="96">
        <f>IFERROR(VLOOKUP($B229,INDIRECT("'GRD-"&amp;DJ$11&amp;"'!B:R"),15,FALSE),"")</f>
        <v/>
      </c>
      <c r="DK229" s="96">
        <f>IFERROR(VLOOKUP($B229,INDIRECT("'GRD-"&amp;DK$11&amp;"'!B:R"),15,FALSE),"")</f>
        <v/>
      </c>
      <c r="DL229" s="96">
        <f>IFERROR(VLOOKUP($B229,INDIRECT("'GRD-"&amp;DL$11&amp;"'!B:R"),15,FALSE),"")</f>
        <v/>
      </c>
      <c r="DM229" s="96">
        <f>IFERROR(VLOOKUP($B229,INDIRECT("'GRD-"&amp;DM$11&amp;"'!B:R"),15,FALSE),"")</f>
        <v/>
      </c>
      <c r="DN229" s="96">
        <f>IFERROR(VLOOKUP($B229,INDIRECT("'GRD-"&amp;DN$11&amp;"'!B:R"),15,FALSE),"")</f>
        <v/>
      </c>
      <c r="DO229" s="96">
        <f>IFERROR(VLOOKUP($B229,INDIRECT("'GRD-"&amp;DO$11&amp;"'!B:R"),15,FALSE),"")</f>
        <v/>
      </c>
      <c r="DP229" s="96">
        <f>IFERROR(VLOOKUP($B229,INDIRECT("'GRD-"&amp;DP$11&amp;"'!B:R"),15,FALSE),"")</f>
        <v/>
      </c>
      <c r="DQ229" s="96">
        <f>IFERROR(VLOOKUP($B229,INDIRECT("'GRD-"&amp;DQ$11&amp;"'!B:R"),15,FALSE),"")</f>
        <v/>
      </c>
      <c r="DR229" s="96">
        <f>IFERROR(VLOOKUP($B229,INDIRECT("'GRD-"&amp;DR$11&amp;"'!B:R"),15,FALSE),"")</f>
        <v/>
      </c>
      <c r="DS229" s="96">
        <f>IFERROR(VLOOKUP($B229,INDIRECT("'GRD-"&amp;DS$11&amp;"'!B:R"),15,FALSE),"")</f>
        <v/>
      </c>
      <c r="DT229" s="96">
        <f>IFERROR(VLOOKUP($B229,INDIRECT("'GRD-"&amp;DT$11&amp;"'!B:R"),15,FALSE),"")</f>
        <v/>
      </c>
      <c r="DU229" s="96">
        <f>IFERROR(VLOOKUP($B229,INDIRECT("'GRD-"&amp;DU$11&amp;"'!B:R"),15,FALSE),"")</f>
        <v/>
      </c>
      <c r="DV229" s="96">
        <f>IFERROR(VLOOKUP($B229,INDIRECT("'GRD-"&amp;DV$11&amp;"'!B:R"),15,FALSE),"")</f>
        <v/>
      </c>
      <c r="DW229" s="96">
        <f>IFERROR(VLOOKUP($B229,INDIRECT("'GRD-"&amp;DW$11&amp;"'!B:R"),15,FALSE),"")</f>
        <v/>
      </c>
      <c r="DX229" s="96">
        <f>IFERROR(VLOOKUP($B229,INDIRECT("'GRD-"&amp;DX$11&amp;"'!B:R"),15,FALSE),"")</f>
        <v/>
      </c>
      <c r="DY229" s="96">
        <f>IFERROR(VLOOKUP($B229,INDIRECT("'GRD-"&amp;DY$11&amp;"'!B:R"),15,FALSE),"")</f>
        <v/>
      </c>
      <c r="DZ229" s="96">
        <f>IFERROR(VLOOKUP($B229,INDIRECT("'GRD-"&amp;DZ$11&amp;"'!B:R"),15,FALSE),"")</f>
        <v/>
      </c>
      <c r="EA229" s="96">
        <f>IFERROR(VLOOKUP($B229,INDIRECT("'GRD-"&amp;EA$11&amp;"'!B:R"),15,FALSE),"")</f>
        <v/>
      </c>
      <c r="EB229" s="96">
        <f>IFERROR(VLOOKUP($B229,INDIRECT("'GRD-"&amp;EB$11&amp;"'!B:R"),15,FALSE),"")</f>
        <v/>
      </c>
      <c r="EC229" s="96">
        <f>IFERROR(VLOOKUP($B229,INDIRECT("'GRD-"&amp;EC$11&amp;"'!B:R"),15,FALSE),"")</f>
        <v/>
      </c>
      <c r="ED229" s="96">
        <f>IFERROR(VLOOKUP($B229,INDIRECT("'GRD-"&amp;ED$11&amp;"'!B:R"),15,FALSE),"")</f>
        <v/>
      </c>
      <c r="EE229" s="96">
        <f>IFERROR(VLOOKUP($B229,INDIRECT("'GRD-"&amp;EE$11&amp;"'!B:R"),15,FALSE),"")</f>
        <v/>
      </c>
      <c r="EF229" s="96">
        <f>IFERROR(VLOOKUP($B229,INDIRECT("'GRD-"&amp;EF$11&amp;"'!B:R"),15,FALSE),"")</f>
        <v/>
      </c>
      <c r="EG229" s="96">
        <f>IFERROR(VLOOKUP($B229,INDIRECT("'GRD-"&amp;EG$11&amp;"'!B:R"),15,FALSE),"")</f>
        <v/>
      </c>
      <c r="EH229" s="96">
        <f>IFERROR(VLOOKUP($B229,INDIRECT("'GRD-"&amp;EH$11&amp;"'!B:R"),15,FALSE),"")</f>
        <v/>
      </c>
      <c r="EI229" s="96">
        <f>IFERROR(VLOOKUP($B229,INDIRECT("'GRD-"&amp;EI$11&amp;"'!B:R"),15,FALSE),"")</f>
        <v/>
      </c>
      <c r="EJ229" s="96">
        <f>IFERROR(VLOOKUP($B229,INDIRECT("'GRD-"&amp;EJ$11&amp;"'!B:R"),15,FALSE),"")</f>
        <v/>
      </c>
      <c r="EK229" s="96">
        <f>IFERROR(VLOOKUP($B229,INDIRECT("'GRD-"&amp;EK$11&amp;"'!B:R"),15,FALSE),"")</f>
        <v/>
      </c>
      <c r="EL229" s="96">
        <f>IFERROR(VLOOKUP($B229,INDIRECT("'GRD-"&amp;EL$11&amp;"'!B:R"),15,FALSE),"")</f>
        <v/>
      </c>
      <c r="EM229" s="96">
        <f>IFERROR(VLOOKUP($B229,INDIRECT("'GRD-"&amp;EM$11&amp;"'!B:R"),15,FALSE),"")</f>
        <v/>
      </c>
      <c r="EN229" s="96">
        <f>IFERROR(VLOOKUP($B229,INDIRECT("'GRD-"&amp;EN$11&amp;"'!B:R"),15,FALSE),"")</f>
        <v/>
      </c>
      <c r="EO229" s="96">
        <f>IFERROR(VLOOKUP($B229,INDIRECT("'GRD-"&amp;EO$11&amp;"'!B:R"),15,FALSE),"")</f>
        <v/>
      </c>
      <c r="EP229" s="96">
        <f>IFERROR(VLOOKUP($B229,INDIRECT("'GRD-"&amp;EP$11&amp;"'!B:R"),15,FALSE),"")</f>
        <v/>
      </c>
      <c r="EQ229" s="96">
        <f>IFERROR(VLOOKUP($B229,INDIRECT("'GRD-"&amp;EQ$11&amp;"'!B:R"),15,FALSE),"")</f>
        <v/>
      </c>
      <c r="ER229" s="96">
        <f>IFERROR(VLOOKUP($B229,INDIRECT("'GRD-"&amp;ER$11&amp;"'!B:R"),15,FALSE),"")</f>
        <v/>
      </c>
      <c r="ES229" s="96">
        <f>IFERROR(VLOOKUP($B229,INDIRECT("'GRD-"&amp;ES$11&amp;"'!B:R"),15,FALSE),"")</f>
        <v/>
      </c>
      <c r="ET229" s="96">
        <f>IFERROR(VLOOKUP($B229,INDIRECT("'GRD-"&amp;ET$11&amp;"'!B:R"),15,FALSE),"")</f>
        <v/>
      </c>
      <c r="EU229" s="96">
        <f>IFERROR(VLOOKUP($B229,INDIRECT("'GRD-"&amp;EU$11&amp;"'!B:R"),15,FALSE),"")</f>
        <v/>
      </c>
      <c r="EV229" s="96">
        <f>IFERROR(VLOOKUP($B229,INDIRECT("'GRD-"&amp;EV$11&amp;"'!B:R"),15,FALSE),"")</f>
        <v/>
      </c>
      <c r="EW229" s="96">
        <f>IFERROR(VLOOKUP($B229,INDIRECT("'GRD-"&amp;EW$11&amp;"'!B:R"),15,FALSE),"")</f>
        <v/>
      </c>
      <c r="EX229" s="96">
        <f>IFERROR(VLOOKUP($B229,INDIRECT("'GRD-"&amp;EX$11&amp;"'!B:R"),15,FALSE),"")</f>
        <v/>
      </c>
      <c r="EY229" s="96">
        <f>IFERROR(VLOOKUP($B229,INDIRECT("'GRD-"&amp;EY$11&amp;"'!B:R"),15,FALSE),"")</f>
        <v/>
      </c>
      <c r="EZ229" s="96">
        <f>IFERROR(VLOOKUP($B229,INDIRECT("'GRD-"&amp;EZ$11&amp;"'!B:R"),15,FALSE),"")</f>
        <v/>
      </c>
      <c r="FA229" s="96">
        <f>IFERROR(VLOOKUP($B229,INDIRECT("'GRD-"&amp;FA$11&amp;"'!B:R"),15,FALSE),"")</f>
        <v/>
      </c>
      <c r="FB229" s="96">
        <f>IFERROR(VLOOKUP($B229,INDIRECT("'GRD-"&amp;FB$11&amp;"'!B:R"),15,FALSE),"")</f>
        <v/>
      </c>
      <c r="FC229" s="96">
        <f>IFERROR(VLOOKUP($B229,INDIRECT("'GRD-"&amp;FC$11&amp;"'!B:R"),15,FALSE),"")</f>
        <v/>
      </c>
      <c r="FD229" s="96">
        <f>IFERROR(VLOOKUP($B229,INDIRECT("'GRD-"&amp;FD$11&amp;"'!B:R"),15,FALSE),"")</f>
        <v/>
      </c>
      <c r="FE229" s="96">
        <f>IFERROR(VLOOKUP($B229,INDIRECT("'GRD-"&amp;FE$11&amp;"'!B:R"),15,FALSE),"")</f>
        <v/>
      </c>
      <c r="FF229" s="96">
        <f>IFERROR(VLOOKUP($B229,INDIRECT("'GRD-"&amp;FF$11&amp;"'!B:R"),15,FALSE),"")</f>
        <v/>
      </c>
      <c r="FG229" s="96">
        <f>IFERROR(VLOOKUP($B229,INDIRECT("'GRD-"&amp;FG$11&amp;"'!B:R"),15,FALSE),"")</f>
        <v/>
      </c>
      <c r="FH229" s="96">
        <f>IFERROR(VLOOKUP($B229,INDIRECT("'GRD-"&amp;FH$11&amp;"'!B:R"),15,FALSE),"")</f>
        <v/>
      </c>
      <c r="FI229" s="96">
        <f>IFERROR(VLOOKUP($B229,INDIRECT("'GRD-"&amp;FI$11&amp;"'!B:R"),15,FALSE),"")</f>
        <v/>
      </c>
      <c r="FJ229" s="96">
        <f>IFERROR(VLOOKUP($B229,INDIRECT("'GRD-"&amp;FJ$11&amp;"'!B:R"),15,FALSE),"")</f>
        <v/>
      </c>
      <c r="FK229" s="96">
        <f>IFERROR(VLOOKUP($B229,INDIRECT("'GRD-"&amp;FK$11&amp;"'!B:R"),15,FALSE),"")</f>
        <v/>
      </c>
      <c r="FL229" s="96">
        <f>IFERROR(VLOOKUP($B229,INDIRECT("'GRD-"&amp;FL$11&amp;"'!B:R"),15,FALSE),"")</f>
        <v/>
      </c>
      <c r="FM229" s="96">
        <f>IFERROR(VLOOKUP($B229,INDIRECT("'GRD-"&amp;FM$11&amp;"'!B:R"),15,FALSE),"")</f>
        <v/>
      </c>
      <c r="FN229" s="96">
        <f>IFERROR(VLOOKUP($B229,INDIRECT("'GRD-"&amp;FN$11&amp;"'!B:R"),15,FALSE),"")</f>
        <v/>
      </c>
      <c r="FO229" s="96">
        <f>IFERROR(VLOOKUP($B229,INDIRECT("'GRD-"&amp;FO$11&amp;"'!B:R"),15,FALSE),"")</f>
        <v/>
      </c>
      <c r="FP229" s="96">
        <f>IFERROR(VLOOKUP($B229,INDIRECT("'GRD-"&amp;FP$11&amp;"'!B:R"),15,FALSE),"")</f>
        <v/>
      </c>
      <c r="FQ229" s="96">
        <f>IFERROR(VLOOKUP($B229,INDIRECT("'GRD-"&amp;FQ$11&amp;"'!B:R"),15,FALSE),"")</f>
        <v/>
      </c>
      <c r="FR229" s="96">
        <f>IFERROR(VLOOKUP($B229,INDIRECT("'GRD-"&amp;FR$11&amp;"'!B:R"),15,FALSE),"")</f>
        <v/>
      </c>
      <c r="FS229" s="96">
        <f>IFERROR(VLOOKUP($B229,INDIRECT("'GRD-"&amp;FS$11&amp;"'!B:R"),15,FALSE),"")</f>
        <v/>
      </c>
      <c r="FT229" s="96">
        <f>IFERROR(VLOOKUP($B229,INDIRECT("'GRD-"&amp;FT$11&amp;"'!B:R"),15,FALSE),"")</f>
        <v/>
      </c>
      <c r="FU229" s="96">
        <f>IFERROR(VLOOKUP($B229,INDIRECT("'GRD-"&amp;FU$11&amp;"'!B:R"),15,FALSE),"")</f>
        <v/>
      </c>
      <c r="FV229" s="96">
        <f>IFERROR(VLOOKUP($B229,INDIRECT("'GRD-"&amp;FV$11&amp;"'!B:R"),15,FALSE),"")</f>
        <v/>
      </c>
    </row>
    <row r="230">
      <c r="B230" s="85" t="n"/>
      <c r="C230" s="93" t="n"/>
      <c r="D230" s="73">
        <f>IF(K230="","",MAX($CA230:$FV230))</f>
        <v/>
      </c>
      <c r="E230" s="74">
        <f t="array" ref="E230">IF($K230="","",OFFSET($A$1,ROW($B230)-1,11+$D230*4,))</f>
        <v/>
      </c>
      <c r="F230" s="74">
        <f t="array" ref="F230">IF($K230="","",OFFSET($A$1,ROW($B230)-1,12+$D230*4,))</f>
        <v/>
      </c>
      <c r="G230" s="118">
        <f t="array" ref="G230">IF($K230="","",OFFSET($A$1,ROW($B230)-1,13+$D230*4,))</f>
        <v/>
      </c>
      <c r="H230" s="81" t="n"/>
      <c r="I230" s="82" t="n"/>
      <c r="J230" s="75">
        <f>IF(I230="A4",H230/8,IF(I230="A3",H230/4,IF(I230="A2",H230/2,IF(I230="A1",H230/1,IF(I230="A0",H230*2,"")))))</f>
        <v/>
      </c>
      <c r="K230" s="68">
        <f t="array" ref="K230">IFERROR(OFFSET($BZ$11,ROW($B230)-11,MATCH(K$10,$CA230:$FV230,0),),"")</f>
        <v/>
      </c>
      <c r="L230" s="85">
        <f>IF(K230="","",IF(VLOOKUP($B230,INDIRECT("'GRD-"&amp;M230&amp;"'!$B:$R"),16,FALSE)="","",VLOOKUP($B230,INDIRECT("'GRD-"&amp;M230&amp;"'!$B:$R"),16,FALSE)))</f>
        <v/>
      </c>
      <c r="M230" s="130">
        <f t="array" ref="M230">IF(K230="","",IFERROR(OFFSET($BZ$11,0,MATCH($K230,$CA230:$FV230,0),),""))</f>
        <v/>
      </c>
      <c r="N230" s="119">
        <f t="array" ref="N230">IF(K230="","",INDIRECT("'GRD-"&amp;M230&amp;"'!$L$7"))</f>
        <v/>
      </c>
      <c r="O230" s="76">
        <f t="array" ref="O230">IFERROR(OFFSET($BZ$11,ROW($B230)-11,MATCH(O$10,$CA230:$FV230,0),),"")</f>
        <v/>
      </c>
      <c r="P230" s="76">
        <f>IF(O230="","",IF(VLOOKUP($B230,INDIRECT("'GRD-"&amp;Q230&amp;"'!$B:$R"),16,FALSE)="","",VLOOKUP($B230,INDIRECT("'GRD-"&amp;Q230&amp;"'!$B:$R"),16,FALSE)))</f>
        <v/>
      </c>
      <c r="Q230" s="132">
        <f t="array" ref="Q230">IF(O230="","",IFERROR(OFFSET($BZ$11,0,MATCH($O230,$CA230:$FV230,0),),""))</f>
        <v/>
      </c>
      <c r="R230" s="121">
        <f t="array" ref="R230">IF(O230="","",INDIRECT("'GRD-"&amp;Q230&amp;"'!$L$7"))</f>
        <v/>
      </c>
      <c r="S230" s="83">
        <f t="array" ref="S230">IFERROR(OFFSET($BZ$11,ROW($B230)-11,MATCH(S$10,$CA230:$FV230,0),),"")</f>
        <v/>
      </c>
      <c r="T230" s="83">
        <f>IF(S230="","",IF(VLOOKUP($B230,INDIRECT("'GRD-"&amp;U230&amp;"'!$B:$R"),16,FALSE)="","",VLOOKUP($B230,INDIRECT("'GRD-"&amp;U230&amp;"'!$B:$R"),16,FALSE)))</f>
        <v/>
      </c>
      <c r="U230" s="128">
        <f t="array" ref="U230">IF(S230="","",IFERROR(OFFSET($BZ$11,0,MATCH($S230,$CA230:$FV230,0),),""))</f>
        <v/>
      </c>
      <c r="V230" s="133">
        <f t="array" ref="V230">IF(S230="","",INDIRECT("'GRD-"&amp;U230&amp;"'!$L$7"))</f>
        <v/>
      </c>
      <c r="W230" s="84">
        <f t="array" ref="W230">IFERROR(OFFSET($BZ$11,ROW($B230)-11,MATCH(W$10,$CA230:$FV230,0),),"")</f>
        <v/>
      </c>
      <c r="X230" s="84">
        <f>IF(W230="","",IF(VLOOKUP($B230,INDIRECT("'GRD-"&amp;Y230&amp;"'!$B:$R"),16,FALSE)="","",VLOOKUP($B230,INDIRECT("'GRD-"&amp;Y230&amp;"'!$B:$R"),16,FALSE)))</f>
        <v/>
      </c>
      <c r="Y230" s="129">
        <f t="array" ref="Y230">IF(W230="","",IFERROR(OFFSET($BZ$11,0,MATCH($W230,$CA230:$FV230,0),),""))</f>
        <v/>
      </c>
      <c r="Z230" s="134">
        <f t="array" ref="Z230">IF(W230="","",INDIRECT("'GRD-"&amp;Y230&amp;"'!$L$7"))</f>
        <v/>
      </c>
      <c r="AA230" s="85">
        <f t="array" ref="AA230">IFERROR(OFFSET($BZ$11,ROW($B230)-11,MATCH(AA$10,$CA230:$FV230,0),),"")</f>
        <v/>
      </c>
      <c r="AB230" s="85">
        <f>IF(AA230="","",IF(VLOOKUP($B230,INDIRECT("'GRD-"&amp;AC230&amp;"'!$B:$R"),16,FALSE)="","",VLOOKUP($B230,INDIRECT("'GRD-"&amp;AC230&amp;"'!$B:$R"),16,FALSE)))</f>
        <v/>
      </c>
      <c r="AC230" s="130">
        <f t="array" ref="AC230">IF(AA230="","",IFERROR(OFFSET($BZ$11,0,MATCH($AA230,$CA230:$FV230,0),),""))</f>
        <v/>
      </c>
      <c r="AD230" s="131">
        <f t="array" ref="AD230">IF(AA230="","",INDIRECT("'GRD-"&amp;AC230&amp;"'!$L$7"))</f>
        <v/>
      </c>
      <c r="AE230" s="76">
        <f t="array" ref="AE230">IFERROR(OFFSET($BZ$11,ROW($B230)-11,MATCH(AE$10,$CA230:$FV230,0),),"")</f>
        <v/>
      </c>
      <c r="AF230" s="76">
        <f>IF(AE230="","",IF(VLOOKUP($B230,INDIRECT("'GRD-"&amp;AG230&amp;"'!$B:$R"),16,FALSE)="","",VLOOKUP($B230,INDIRECT("'GRD-"&amp;AG230&amp;"'!$B:$R"),16,FALSE)))</f>
        <v/>
      </c>
      <c r="AG230" s="132">
        <f t="array" ref="AG230">IF(AE230="","",IFERROR(OFFSET($BZ$11,0,MATCH($AE230,$CA230:$FV230,0),),""))</f>
        <v/>
      </c>
      <c r="AH230" s="121">
        <f t="array" ref="AH230">IF(AE230="","",INDIRECT("'GRD-"&amp;AG230&amp;"'!$L$7"))</f>
        <v/>
      </c>
      <c r="AI230" s="83">
        <f t="array" ref="AI230">IFERROR(OFFSET($BZ$11,ROW($B230)-11,MATCH(AI$10,$CA230:$FV230,0),),"")</f>
        <v/>
      </c>
      <c r="AJ230" s="83">
        <f>IF(AI230="","",IF(VLOOKUP($B230,INDIRECT("'GRD-"&amp;AK230&amp;"'!$B:$R"),16,FALSE)="","",VLOOKUP($B230,INDIRECT("'GRD-"&amp;AK230&amp;"'!$B:$R"),16,FALSE)))</f>
        <v/>
      </c>
      <c r="AK230" s="128">
        <f t="array" ref="AK230">IF(AI230="","",IFERROR(OFFSET($BZ$11,0,MATCH($AI230,$CA230:$FV230,0),),""))</f>
        <v/>
      </c>
      <c r="AL230" s="133">
        <f t="array" ref="AL230">IF(AI230="","",INDIRECT("'GRD-"&amp;AK230&amp;"'!$L$7"))</f>
        <v/>
      </c>
      <c r="AM230" s="84">
        <f t="array" ref="AM230">IFERROR(OFFSET($BZ$11,ROW($B230)-11,MATCH(AM$10,$CA230:$FV230,0),),"")</f>
        <v/>
      </c>
      <c r="AN230" s="84">
        <f>IF(AM230="","",IF(VLOOKUP($B230,INDIRECT("'GRD-"&amp;AO230&amp;"'!$B:$R"),16,FALSE)="","",VLOOKUP($B230,INDIRECT("'GRD-"&amp;AO230&amp;"'!$B:$R"),16,FALSE)))</f>
        <v/>
      </c>
      <c r="AO230" s="129">
        <f t="array" ref="AO230">IF(AM230="","",IFERROR(OFFSET($BZ$11,0,MATCH($AM230,$CA230:$FV230,0),),""))</f>
        <v/>
      </c>
      <c r="AP230" s="134">
        <f t="array" ref="AP230">IF(AM230="","",INDIRECT("'GRD-"&amp;AO230&amp;"'!$L$7"))</f>
        <v/>
      </c>
      <c r="AQ230" s="85">
        <f t="array" ref="AQ230">IFERROR(OFFSET($BZ$11,ROW($B230)-11,MATCH(AQ$10,$CA230:$FV230,0),),"")</f>
        <v/>
      </c>
      <c r="AR230" s="85">
        <f>IF(AQ230="","",IF(VLOOKUP($B230,INDIRECT("'GRD-"&amp;AS230&amp;"'!$B:$R"),16,FALSE)="","",VLOOKUP($B230,INDIRECT("'GRD-"&amp;AS230&amp;"'!$B:$R"),16,FALSE)))</f>
        <v/>
      </c>
      <c r="AS230" s="130">
        <f t="array" ref="AS230">IF(AQ230="","",IFERROR(OFFSET($BZ$11,0,MATCH($AQ230,$CA230:$FV230,0),),""))</f>
        <v/>
      </c>
      <c r="AT230" s="131">
        <f t="array" ref="AT230">IF(AQ230="","",INDIRECT("'GRD-"&amp;AS230&amp;"'!$L$7"))</f>
        <v/>
      </c>
      <c r="AU230" s="76">
        <f t="array" ref="AU230">IFERROR(OFFSET($BZ$11,ROW($B230)-11,MATCH(AU$10,$CA230:$FV230,0),),"")</f>
        <v/>
      </c>
      <c r="AV230" s="76">
        <f>IF(AU230="","",IF(VLOOKUP($B230,INDIRECT("'GRD-"&amp;AW230&amp;"'!$B:$R"),16,FALSE)="","",VLOOKUP($B230,INDIRECT("'GRD-"&amp;AW230&amp;"'!$B:$R"),16,FALSE)))</f>
        <v/>
      </c>
      <c r="AW230" s="132">
        <f t="array" ref="AW230">IF(AU230="","",IFERROR(OFFSET($BZ$11,0,MATCH($AU230,$CA230:$FV230,0),),""))</f>
        <v/>
      </c>
      <c r="AX230" s="121">
        <f t="array" ref="AX230">IF(AU230="","",INDIRECT("'GRD-"&amp;AW230&amp;"'!$L$7"))</f>
        <v/>
      </c>
      <c r="AY230" s="83">
        <f t="array" ref="AY230">IFERROR(OFFSET($BZ$11,ROW($B230)-11,MATCH(AY$10,$CA230:$FV230,0),),"")</f>
        <v/>
      </c>
      <c r="AZ230" s="83">
        <f>IF(AY230="","",IF(VLOOKUP($B230,INDIRECT("'GRD-"&amp;BA230&amp;"'!$B:$R"),16,FALSE)="","",VLOOKUP($B230,INDIRECT("'GRD-"&amp;BA230&amp;"'!$B:$R"),16,FALSE)))</f>
        <v/>
      </c>
      <c r="BA230" s="128">
        <f t="array" ref="BA230">IF(AY230="","",IFERROR(OFFSET($BZ$11,0,MATCH($AY230,$CA230:$FV230,0),),""))</f>
        <v/>
      </c>
      <c r="BB230" s="133">
        <f t="array" ref="BB230">IF(AY230="","",INDIRECT("'GRD-"&amp;BA230&amp;"'!$L$7"))</f>
        <v/>
      </c>
      <c r="BC230" s="84">
        <f t="array" ref="BC230">IFERROR(OFFSET($BZ$11,ROW($B230)-11,MATCH(BC$10,$CA230:$FV230,0),),"")</f>
        <v/>
      </c>
      <c r="BD230" s="84">
        <f>IF(BC230="","",IF(VLOOKUP($B230,INDIRECT("'GRD-"&amp;BE230&amp;"'!$B:$R"),16,FALSE)="","",VLOOKUP($B230,INDIRECT("'GRD-"&amp;BE230&amp;"'!$B:$R"),16,FALSE)))</f>
        <v/>
      </c>
      <c r="BE230" s="129">
        <f t="array" ref="BE230">IF(BC230="","",IFERROR(OFFSET($BZ$11,0,MATCH($BC230,$CA230:$FV230,0),),""))</f>
        <v/>
      </c>
      <c r="BF230" s="134">
        <f t="array" ref="BF230">IF(BC230="","",INDIRECT("'GRD-"&amp;BE230&amp;"'!$L$7"))</f>
        <v/>
      </c>
      <c r="CA230" s="96">
        <f>IFERROR(VLOOKUP($B230,INDIRECT("'GRD-"&amp;CA$11&amp;"'!B:R"),15,FALSE),"")</f>
        <v/>
      </c>
      <c r="CB230" s="96">
        <f>IFERROR(VLOOKUP($B230,INDIRECT("'GRD-"&amp;CB$11&amp;"'!B:R"),15,FALSE),"")</f>
        <v/>
      </c>
      <c r="CC230" s="96">
        <f>IFERROR(VLOOKUP($B230,INDIRECT("'GRD-"&amp;CC$11&amp;"'!B:R"),15,FALSE),"")</f>
        <v/>
      </c>
      <c r="CD230" s="96">
        <f>IFERROR(VLOOKUP($B230,INDIRECT("'GRD-"&amp;CD$11&amp;"'!B:R"),15,FALSE),"")</f>
        <v/>
      </c>
      <c r="CE230" s="96">
        <f>IFERROR(VLOOKUP($B230,INDIRECT("'GRD-"&amp;CE$11&amp;"'!B:R"),15,FALSE),"")</f>
        <v/>
      </c>
      <c r="CF230" s="96">
        <f>IFERROR(VLOOKUP($B230,INDIRECT("'GRD-"&amp;CF$11&amp;"'!B:R"),15,FALSE),"")</f>
        <v/>
      </c>
      <c r="CG230" s="96">
        <f>IFERROR(VLOOKUP($B230,INDIRECT("'GRD-"&amp;CG$11&amp;"'!B:R"),15,FALSE),"")</f>
        <v/>
      </c>
      <c r="CH230" s="96">
        <f>IFERROR(VLOOKUP($B230,INDIRECT("'GRD-"&amp;CH$11&amp;"'!B:R"),15,FALSE),"")</f>
        <v/>
      </c>
      <c r="CI230" s="96">
        <f>IFERROR(VLOOKUP($B230,INDIRECT("'GRD-"&amp;CI$11&amp;"'!B:R"),15,FALSE),"")</f>
        <v/>
      </c>
      <c r="CJ230" s="96">
        <f>IFERROR(VLOOKUP($B230,INDIRECT("'GRD-"&amp;CJ$11&amp;"'!B:R"),15,FALSE),"")</f>
        <v/>
      </c>
      <c r="CK230" s="96">
        <f>IFERROR(VLOOKUP($B230,INDIRECT("'GRD-"&amp;CK$11&amp;"'!B:R"),15,FALSE),"")</f>
        <v/>
      </c>
      <c r="CL230" s="96">
        <f>IFERROR(VLOOKUP($B230,INDIRECT("'GRD-"&amp;CL$11&amp;"'!B:R"),15,FALSE),"")</f>
        <v/>
      </c>
      <c r="CM230" s="96">
        <f>IFERROR(VLOOKUP($B230,INDIRECT("'GRD-"&amp;CM$11&amp;"'!B:R"),15,FALSE),"")</f>
        <v/>
      </c>
      <c r="CN230" s="96">
        <f>IFERROR(VLOOKUP($B230,INDIRECT("'GRD-"&amp;CN$11&amp;"'!B:R"),15,FALSE),"")</f>
        <v/>
      </c>
      <c r="CO230" s="96">
        <f>IFERROR(VLOOKUP($B230,INDIRECT("'GRD-"&amp;CO$11&amp;"'!B:R"),15,FALSE),"")</f>
        <v/>
      </c>
      <c r="CP230" s="96">
        <f>IFERROR(VLOOKUP($B230,INDIRECT("'GRD-"&amp;CP$11&amp;"'!B:R"),15,FALSE),"")</f>
        <v/>
      </c>
      <c r="CQ230" s="96">
        <f>IFERROR(VLOOKUP($B230,INDIRECT("'GRD-"&amp;CQ$11&amp;"'!B:R"),15,FALSE),"")</f>
        <v/>
      </c>
      <c r="CR230" s="96">
        <f>IFERROR(VLOOKUP($B230,INDIRECT("'GRD-"&amp;CR$11&amp;"'!B:R"),15,FALSE),"")</f>
        <v/>
      </c>
      <c r="CS230" s="96">
        <f>IFERROR(VLOOKUP($B230,INDIRECT("'GRD-"&amp;CS$11&amp;"'!B:R"),15,FALSE),"")</f>
        <v/>
      </c>
      <c r="CT230" s="96">
        <f>IFERROR(VLOOKUP($B230,INDIRECT("'GRD-"&amp;CT$11&amp;"'!B:R"),15,FALSE),"")</f>
        <v/>
      </c>
      <c r="CU230" s="96">
        <f>IFERROR(VLOOKUP($B230,INDIRECT("'GRD-"&amp;CU$11&amp;"'!B:R"),15,FALSE),"")</f>
        <v/>
      </c>
      <c r="CV230" s="96">
        <f>IFERROR(VLOOKUP($B230,INDIRECT("'GRD-"&amp;CV$11&amp;"'!B:R"),15,FALSE),"")</f>
        <v/>
      </c>
      <c r="CW230" s="96">
        <f>IFERROR(VLOOKUP($B230,INDIRECT("'GRD-"&amp;CW$11&amp;"'!B:R"),15,FALSE),"")</f>
        <v/>
      </c>
      <c r="CX230" s="96">
        <f>IFERROR(VLOOKUP($B230,INDIRECT("'GRD-"&amp;CX$11&amp;"'!B:R"),15,FALSE),"")</f>
        <v/>
      </c>
      <c r="CY230" s="96">
        <f>IFERROR(VLOOKUP($B230,INDIRECT("'GRD-"&amp;CY$11&amp;"'!B:R"),15,FALSE),"")</f>
        <v/>
      </c>
      <c r="CZ230" s="96">
        <f>IFERROR(VLOOKUP($B230,INDIRECT("'GRD-"&amp;CZ$11&amp;"'!B:R"),15,FALSE),"")</f>
        <v/>
      </c>
      <c r="DA230" s="96">
        <f>IFERROR(VLOOKUP($B230,INDIRECT("'GRD-"&amp;DA$11&amp;"'!B:R"),15,FALSE),"")</f>
        <v/>
      </c>
      <c r="DB230" s="96">
        <f>IFERROR(VLOOKUP($B230,INDIRECT("'GRD-"&amp;DB$11&amp;"'!B:R"),15,FALSE),"")</f>
        <v/>
      </c>
      <c r="DC230" s="96">
        <f>IFERROR(VLOOKUP($B230,INDIRECT("'GRD-"&amp;DC$11&amp;"'!B:R"),15,FALSE),"")</f>
        <v/>
      </c>
      <c r="DD230" s="96">
        <f>IFERROR(VLOOKUP($B230,INDIRECT("'GRD-"&amp;DD$11&amp;"'!B:R"),15,FALSE),"")</f>
        <v/>
      </c>
      <c r="DE230" s="96">
        <f>IFERROR(VLOOKUP($B230,INDIRECT("'GRD-"&amp;DE$11&amp;"'!B:R"),15,FALSE),"")</f>
        <v/>
      </c>
      <c r="DF230" s="96">
        <f>IFERROR(VLOOKUP($B230,INDIRECT("'GRD-"&amp;DF$11&amp;"'!B:R"),15,FALSE),"")</f>
        <v/>
      </c>
      <c r="DG230" s="96">
        <f>IFERROR(VLOOKUP($B230,INDIRECT("'GRD-"&amp;DG$11&amp;"'!B:R"),15,FALSE),"")</f>
        <v/>
      </c>
      <c r="DH230" s="96">
        <f>IFERROR(VLOOKUP($B230,INDIRECT("'GRD-"&amp;DH$11&amp;"'!B:R"),15,FALSE),"")</f>
        <v/>
      </c>
      <c r="DI230" s="96">
        <f>IFERROR(VLOOKUP($B230,INDIRECT("'GRD-"&amp;DI$11&amp;"'!B:R"),15,FALSE),"")</f>
        <v/>
      </c>
      <c r="DJ230" s="96">
        <f>IFERROR(VLOOKUP($B230,INDIRECT("'GRD-"&amp;DJ$11&amp;"'!B:R"),15,FALSE),"")</f>
        <v/>
      </c>
      <c r="DK230" s="96">
        <f>IFERROR(VLOOKUP($B230,INDIRECT("'GRD-"&amp;DK$11&amp;"'!B:R"),15,FALSE),"")</f>
        <v/>
      </c>
      <c r="DL230" s="96">
        <f>IFERROR(VLOOKUP($B230,INDIRECT("'GRD-"&amp;DL$11&amp;"'!B:R"),15,FALSE),"")</f>
        <v/>
      </c>
      <c r="DM230" s="96">
        <f>IFERROR(VLOOKUP($B230,INDIRECT("'GRD-"&amp;DM$11&amp;"'!B:R"),15,FALSE),"")</f>
        <v/>
      </c>
      <c r="DN230" s="96">
        <f>IFERROR(VLOOKUP($B230,INDIRECT("'GRD-"&amp;DN$11&amp;"'!B:R"),15,FALSE),"")</f>
        <v/>
      </c>
      <c r="DO230" s="96">
        <f>IFERROR(VLOOKUP($B230,INDIRECT("'GRD-"&amp;DO$11&amp;"'!B:R"),15,FALSE),"")</f>
        <v/>
      </c>
      <c r="DP230" s="96">
        <f>IFERROR(VLOOKUP($B230,INDIRECT("'GRD-"&amp;DP$11&amp;"'!B:R"),15,FALSE),"")</f>
        <v/>
      </c>
      <c r="DQ230" s="96">
        <f>IFERROR(VLOOKUP($B230,INDIRECT("'GRD-"&amp;DQ$11&amp;"'!B:R"),15,FALSE),"")</f>
        <v/>
      </c>
      <c r="DR230" s="96">
        <f>IFERROR(VLOOKUP($B230,INDIRECT("'GRD-"&amp;DR$11&amp;"'!B:R"),15,FALSE),"")</f>
        <v/>
      </c>
      <c r="DS230" s="96">
        <f>IFERROR(VLOOKUP($B230,INDIRECT("'GRD-"&amp;DS$11&amp;"'!B:R"),15,FALSE),"")</f>
        <v/>
      </c>
      <c r="DT230" s="96">
        <f>IFERROR(VLOOKUP($B230,INDIRECT("'GRD-"&amp;DT$11&amp;"'!B:R"),15,FALSE),"")</f>
        <v/>
      </c>
      <c r="DU230" s="96">
        <f>IFERROR(VLOOKUP($B230,INDIRECT("'GRD-"&amp;DU$11&amp;"'!B:R"),15,FALSE),"")</f>
        <v/>
      </c>
      <c r="DV230" s="96">
        <f>IFERROR(VLOOKUP($B230,INDIRECT("'GRD-"&amp;DV$11&amp;"'!B:R"),15,FALSE),"")</f>
        <v/>
      </c>
      <c r="DW230" s="96">
        <f>IFERROR(VLOOKUP($B230,INDIRECT("'GRD-"&amp;DW$11&amp;"'!B:R"),15,FALSE),"")</f>
        <v/>
      </c>
      <c r="DX230" s="96">
        <f>IFERROR(VLOOKUP($B230,INDIRECT("'GRD-"&amp;DX$11&amp;"'!B:R"),15,FALSE),"")</f>
        <v/>
      </c>
      <c r="DY230" s="96">
        <f>IFERROR(VLOOKUP($B230,INDIRECT("'GRD-"&amp;DY$11&amp;"'!B:R"),15,FALSE),"")</f>
        <v/>
      </c>
      <c r="DZ230" s="96">
        <f>IFERROR(VLOOKUP($B230,INDIRECT("'GRD-"&amp;DZ$11&amp;"'!B:R"),15,FALSE),"")</f>
        <v/>
      </c>
      <c r="EA230" s="96">
        <f>IFERROR(VLOOKUP($B230,INDIRECT("'GRD-"&amp;EA$11&amp;"'!B:R"),15,FALSE),"")</f>
        <v/>
      </c>
      <c r="EB230" s="96">
        <f>IFERROR(VLOOKUP($B230,INDIRECT("'GRD-"&amp;EB$11&amp;"'!B:R"),15,FALSE),"")</f>
        <v/>
      </c>
      <c r="EC230" s="96">
        <f>IFERROR(VLOOKUP($B230,INDIRECT("'GRD-"&amp;EC$11&amp;"'!B:R"),15,FALSE),"")</f>
        <v/>
      </c>
      <c r="ED230" s="96">
        <f>IFERROR(VLOOKUP($B230,INDIRECT("'GRD-"&amp;ED$11&amp;"'!B:R"),15,FALSE),"")</f>
        <v/>
      </c>
      <c r="EE230" s="96">
        <f>IFERROR(VLOOKUP($B230,INDIRECT("'GRD-"&amp;EE$11&amp;"'!B:R"),15,FALSE),"")</f>
        <v/>
      </c>
      <c r="EF230" s="96">
        <f>IFERROR(VLOOKUP($B230,INDIRECT("'GRD-"&amp;EF$11&amp;"'!B:R"),15,FALSE),"")</f>
        <v/>
      </c>
      <c r="EG230" s="96">
        <f>IFERROR(VLOOKUP($B230,INDIRECT("'GRD-"&amp;EG$11&amp;"'!B:R"),15,FALSE),"")</f>
        <v/>
      </c>
      <c r="EH230" s="96">
        <f>IFERROR(VLOOKUP($B230,INDIRECT("'GRD-"&amp;EH$11&amp;"'!B:R"),15,FALSE),"")</f>
        <v/>
      </c>
      <c r="EI230" s="96">
        <f>IFERROR(VLOOKUP($B230,INDIRECT("'GRD-"&amp;EI$11&amp;"'!B:R"),15,FALSE),"")</f>
        <v/>
      </c>
      <c r="EJ230" s="96">
        <f>IFERROR(VLOOKUP($B230,INDIRECT("'GRD-"&amp;EJ$11&amp;"'!B:R"),15,FALSE),"")</f>
        <v/>
      </c>
      <c r="EK230" s="96">
        <f>IFERROR(VLOOKUP($B230,INDIRECT("'GRD-"&amp;EK$11&amp;"'!B:R"),15,FALSE),"")</f>
        <v/>
      </c>
      <c r="EL230" s="96">
        <f>IFERROR(VLOOKUP($B230,INDIRECT("'GRD-"&amp;EL$11&amp;"'!B:R"),15,FALSE),"")</f>
        <v/>
      </c>
      <c r="EM230" s="96">
        <f>IFERROR(VLOOKUP($B230,INDIRECT("'GRD-"&amp;EM$11&amp;"'!B:R"),15,FALSE),"")</f>
        <v/>
      </c>
      <c r="EN230" s="96">
        <f>IFERROR(VLOOKUP($B230,INDIRECT("'GRD-"&amp;EN$11&amp;"'!B:R"),15,FALSE),"")</f>
        <v/>
      </c>
      <c r="EO230" s="96">
        <f>IFERROR(VLOOKUP($B230,INDIRECT("'GRD-"&amp;EO$11&amp;"'!B:R"),15,FALSE),"")</f>
        <v/>
      </c>
      <c r="EP230" s="96">
        <f>IFERROR(VLOOKUP($B230,INDIRECT("'GRD-"&amp;EP$11&amp;"'!B:R"),15,FALSE),"")</f>
        <v/>
      </c>
      <c r="EQ230" s="96">
        <f>IFERROR(VLOOKUP($B230,INDIRECT("'GRD-"&amp;EQ$11&amp;"'!B:R"),15,FALSE),"")</f>
        <v/>
      </c>
      <c r="ER230" s="96">
        <f>IFERROR(VLOOKUP($B230,INDIRECT("'GRD-"&amp;ER$11&amp;"'!B:R"),15,FALSE),"")</f>
        <v/>
      </c>
      <c r="ES230" s="96">
        <f>IFERROR(VLOOKUP($B230,INDIRECT("'GRD-"&amp;ES$11&amp;"'!B:R"),15,FALSE),"")</f>
        <v/>
      </c>
      <c r="ET230" s="96">
        <f>IFERROR(VLOOKUP($B230,INDIRECT("'GRD-"&amp;ET$11&amp;"'!B:R"),15,FALSE),"")</f>
        <v/>
      </c>
      <c r="EU230" s="96">
        <f>IFERROR(VLOOKUP($B230,INDIRECT("'GRD-"&amp;EU$11&amp;"'!B:R"),15,FALSE),"")</f>
        <v/>
      </c>
      <c r="EV230" s="96">
        <f>IFERROR(VLOOKUP($B230,INDIRECT("'GRD-"&amp;EV$11&amp;"'!B:R"),15,FALSE),"")</f>
        <v/>
      </c>
      <c r="EW230" s="96">
        <f>IFERROR(VLOOKUP($B230,INDIRECT("'GRD-"&amp;EW$11&amp;"'!B:R"),15,FALSE),"")</f>
        <v/>
      </c>
      <c r="EX230" s="96">
        <f>IFERROR(VLOOKUP($B230,INDIRECT("'GRD-"&amp;EX$11&amp;"'!B:R"),15,FALSE),"")</f>
        <v/>
      </c>
      <c r="EY230" s="96">
        <f>IFERROR(VLOOKUP($B230,INDIRECT("'GRD-"&amp;EY$11&amp;"'!B:R"),15,FALSE),"")</f>
        <v/>
      </c>
      <c r="EZ230" s="96">
        <f>IFERROR(VLOOKUP($B230,INDIRECT("'GRD-"&amp;EZ$11&amp;"'!B:R"),15,FALSE),"")</f>
        <v/>
      </c>
      <c r="FA230" s="96">
        <f>IFERROR(VLOOKUP($B230,INDIRECT("'GRD-"&amp;FA$11&amp;"'!B:R"),15,FALSE),"")</f>
        <v/>
      </c>
      <c r="FB230" s="96">
        <f>IFERROR(VLOOKUP($B230,INDIRECT("'GRD-"&amp;FB$11&amp;"'!B:R"),15,FALSE),"")</f>
        <v/>
      </c>
      <c r="FC230" s="96">
        <f>IFERROR(VLOOKUP($B230,INDIRECT("'GRD-"&amp;FC$11&amp;"'!B:R"),15,FALSE),"")</f>
        <v/>
      </c>
      <c r="FD230" s="96">
        <f>IFERROR(VLOOKUP($B230,INDIRECT("'GRD-"&amp;FD$11&amp;"'!B:R"),15,FALSE),"")</f>
        <v/>
      </c>
      <c r="FE230" s="96">
        <f>IFERROR(VLOOKUP($B230,INDIRECT("'GRD-"&amp;FE$11&amp;"'!B:R"),15,FALSE),"")</f>
        <v/>
      </c>
      <c r="FF230" s="96">
        <f>IFERROR(VLOOKUP($B230,INDIRECT("'GRD-"&amp;FF$11&amp;"'!B:R"),15,FALSE),"")</f>
        <v/>
      </c>
      <c r="FG230" s="96">
        <f>IFERROR(VLOOKUP($B230,INDIRECT("'GRD-"&amp;FG$11&amp;"'!B:R"),15,FALSE),"")</f>
        <v/>
      </c>
      <c r="FH230" s="96">
        <f>IFERROR(VLOOKUP($B230,INDIRECT("'GRD-"&amp;FH$11&amp;"'!B:R"),15,FALSE),"")</f>
        <v/>
      </c>
      <c r="FI230" s="96">
        <f>IFERROR(VLOOKUP($B230,INDIRECT("'GRD-"&amp;FI$11&amp;"'!B:R"),15,FALSE),"")</f>
        <v/>
      </c>
      <c r="FJ230" s="96">
        <f>IFERROR(VLOOKUP($B230,INDIRECT("'GRD-"&amp;FJ$11&amp;"'!B:R"),15,FALSE),"")</f>
        <v/>
      </c>
      <c r="FK230" s="96">
        <f>IFERROR(VLOOKUP($B230,INDIRECT("'GRD-"&amp;FK$11&amp;"'!B:R"),15,FALSE),"")</f>
        <v/>
      </c>
      <c r="FL230" s="96">
        <f>IFERROR(VLOOKUP($B230,INDIRECT("'GRD-"&amp;FL$11&amp;"'!B:R"),15,FALSE),"")</f>
        <v/>
      </c>
      <c r="FM230" s="96">
        <f>IFERROR(VLOOKUP($B230,INDIRECT("'GRD-"&amp;FM$11&amp;"'!B:R"),15,FALSE),"")</f>
        <v/>
      </c>
      <c r="FN230" s="96">
        <f>IFERROR(VLOOKUP($B230,INDIRECT("'GRD-"&amp;FN$11&amp;"'!B:R"),15,FALSE),"")</f>
        <v/>
      </c>
      <c r="FO230" s="96">
        <f>IFERROR(VLOOKUP($B230,INDIRECT("'GRD-"&amp;FO$11&amp;"'!B:R"),15,FALSE),"")</f>
        <v/>
      </c>
      <c r="FP230" s="96">
        <f>IFERROR(VLOOKUP($B230,INDIRECT("'GRD-"&amp;FP$11&amp;"'!B:R"),15,FALSE),"")</f>
        <v/>
      </c>
      <c r="FQ230" s="96">
        <f>IFERROR(VLOOKUP($B230,INDIRECT("'GRD-"&amp;FQ$11&amp;"'!B:R"),15,FALSE),"")</f>
        <v/>
      </c>
      <c r="FR230" s="96">
        <f>IFERROR(VLOOKUP($B230,INDIRECT("'GRD-"&amp;FR$11&amp;"'!B:R"),15,FALSE),"")</f>
        <v/>
      </c>
      <c r="FS230" s="96">
        <f>IFERROR(VLOOKUP($B230,INDIRECT("'GRD-"&amp;FS$11&amp;"'!B:R"),15,FALSE),"")</f>
        <v/>
      </c>
      <c r="FT230" s="96">
        <f>IFERROR(VLOOKUP($B230,INDIRECT("'GRD-"&amp;FT$11&amp;"'!B:R"),15,FALSE),"")</f>
        <v/>
      </c>
      <c r="FU230" s="96">
        <f>IFERROR(VLOOKUP($B230,INDIRECT("'GRD-"&amp;FU$11&amp;"'!B:R"),15,FALSE),"")</f>
        <v/>
      </c>
      <c r="FV230" s="96">
        <f>IFERROR(VLOOKUP($B230,INDIRECT("'GRD-"&amp;FV$11&amp;"'!B:R"),15,FALSE),"")</f>
        <v/>
      </c>
    </row>
    <row r="231">
      <c r="B231" s="85" t="n"/>
      <c r="C231" s="93" t="n"/>
      <c r="D231" s="73">
        <f>IF(K231="","",MAX($CA231:$FV231))</f>
        <v/>
      </c>
      <c r="E231" s="74">
        <f t="array" ref="E231">IF($K231="","",OFFSET($A$1,ROW($B231)-1,11+$D231*4,))</f>
        <v/>
      </c>
      <c r="F231" s="74">
        <f t="array" ref="F231">IF($K231="","",OFFSET($A$1,ROW($B231)-1,12+$D231*4,))</f>
        <v/>
      </c>
      <c r="G231" s="118">
        <f t="array" ref="G231">IF($K231="","",OFFSET($A$1,ROW($B231)-1,13+$D231*4,))</f>
        <v/>
      </c>
      <c r="H231" s="81" t="n"/>
      <c r="I231" s="82" t="n"/>
      <c r="J231" s="75">
        <f>IF(I231="A4",H231/8,IF(I231="A3",H231/4,IF(I231="A2",H231/2,IF(I231="A1",H231/1,IF(I231="A0",H231*2,"")))))</f>
        <v/>
      </c>
      <c r="K231" s="68">
        <f t="array" ref="K231">IFERROR(OFFSET($BZ$11,ROW($B231)-11,MATCH(K$10,$CA231:$FV231,0),),"")</f>
        <v/>
      </c>
      <c r="L231" s="85">
        <f>IF(K231="","",IF(VLOOKUP($B231,INDIRECT("'GRD-"&amp;M231&amp;"'!$B:$R"),16,FALSE)="","",VLOOKUP($B231,INDIRECT("'GRD-"&amp;M231&amp;"'!$B:$R"),16,FALSE)))</f>
        <v/>
      </c>
      <c r="M231" s="130">
        <f t="array" ref="M231">IF(K231="","",IFERROR(OFFSET($BZ$11,0,MATCH($K231,$CA231:$FV231,0),),""))</f>
        <v/>
      </c>
      <c r="N231" s="119">
        <f t="array" ref="N231">IF(K231="","",INDIRECT("'GRD-"&amp;M231&amp;"'!$L$7"))</f>
        <v/>
      </c>
      <c r="O231" s="76">
        <f t="array" ref="O231">IFERROR(OFFSET($BZ$11,ROW($B231)-11,MATCH(O$10,$CA231:$FV231,0),),"")</f>
        <v/>
      </c>
      <c r="P231" s="76">
        <f>IF(O231="","",IF(VLOOKUP($B231,INDIRECT("'GRD-"&amp;Q231&amp;"'!$B:$R"),16,FALSE)="","",VLOOKUP($B231,INDIRECT("'GRD-"&amp;Q231&amp;"'!$B:$R"),16,FALSE)))</f>
        <v/>
      </c>
      <c r="Q231" s="132">
        <f t="array" ref="Q231">IF(O231="","",IFERROR(OFFSET($BZ$11,0,MATCH($O231,$CA231:$FV231,0),),""))</f>
        <v/>
      </c>
      <c r="R231" s="121">
        <f t="array" ref="R231">IF(O231="","",INDIRECT("'GRD-"&amp;Q231&amp;"'!$L$7"))</f>
        <v/>
      </c>
      <c r="S231" s="83">
        <f t="array" ref="S231">IFERROR(OFFSET($BZ$11,ROW($B231)-11,MATCH(S$10,$CA231:$FV231,0),),"")</f>
        <v/>
      </c>
      <c r="T231" s="83">
        <f>IF(S231="","",IF(VLOOKUP($B231,INDIRECT("'GRD-"&amp;U231&amp;"'!$B:$R"),16,FALSE)="","",VLOOKUP($B231,INDIRECT("'GRD-"&amp;U231&amp;"'!$B:$R"),16,FALSE)))</f>
        <v/>
      </c>
      <c r="U231" s="128">
        <f t="array" ref="U231">IF(S231="","",IFERROR(OFFSET($BZ$11,0,MATCH($S231,$CA231:$FV231,0),),""))</f>
        <v/>
      </c>
      <c r="V231" s="133">
        <f t="array" ref="V231">IF(S231="","",INDIRECT("'GRD-"&amp;U231&amp;"'!$L$7"))</f>
        <v/>
      </c>
      <c r="W231" s="84">
        <f t="array" ref="W231">IFERROR(OFFSET($BZ$11,ROW($B231)-11,MATCH(W$10,$CA231:$FV231,0),),"")</f>
        <v/>
      </c>
      <c r="X231" s="84">
        <f>IF(W231="","",IF(VLOOKUP($B231,INDIRECT("'GRD-"&amp;Y231&amp;"'!$B:$R"),16,FALSE)="","",VLOOKUP($B231,INDIRECT("'GRD-"&amp;Y231&amp;"'!$B:$R"),16,FALSE)))</f>
        <v/>
      </c>
      <c r="Y231" s="129">
        <f t="array" ref="Y231">IF(W231="","",IFERROR(OFFSET($BZ$11,0,MATCH($W231,$CA231:$FV231,0),),""))</f>
        <v/>
      </c>
      <c r="Z231" s="134">
        <f t="array" ref="Z231">IF(W231="","",INDIRECT("'GRD-"&amp;Y231&amp;"'!$L$7"))</f>
        <v/>
      </c>
      <c r="AA231" s="85">
        <f t="array" ref="AA231">IFERROR(OFFSET($BZ$11,ROW($B231)-11,MATCH(AA$10,$CA231:$FV231,0),),"")</f>
        <v/>
      </c>
      <c r="AB231" s="85">
        <f>IF(AA231="","",IF(VLOOKUP($B231,INDIRECT("'GRD-"&amp;AC231&amp;"'!$B:$R"),16,FALSE)="","",VLOOKUP($B231,INDIRECT("'GRD-"&amp;AC231&amp;"'!$B:$R"),16,FALSE)))</f>
        <v/>
      </c>
      <c r="AC231" s="130">
        <f t="array" ref="AC231">IF(AA231="","",IFERROR(OFFSET($BZ$11,0,MATCH($AA231,$CA231:$FV231,0),),""))</f>
        <v/>
      </c>
      <c r="AD231" s="131">
        <f t="array" ref="AD231">IF(AA231="","",INDIRECT("'GRD-"&amp;AC231&amp;"'!$L$7"))</f>
        <v/>
      </c>
      <c r="AE231" s="76">
        <f t="array" ref="AE231">IFERROR(OFFSET($BZ$11,ROW($B231)-11,MATCH(AE$10,$CA231:$FV231,0),),"")</f>
        <v/>
      </c>
      <c r="AF231" s="76">
        <f>IF(AE231="","",IF(VLOOKUP($B231,INDIRECT("'GRD-"&amp;AG231&amp;"'!$B:$R"),16,FALSE)="","",VLOOKUP($B231,INDIRECT("'GRD-"&amp;AG231&amp;"'!$B:$R"),16,FALSE)))</f>
        <v/>
      </c>
      <c r="AG231" s="132">
        <f t="array" ref="AG231">IF(AE231="","",IFERROR(OFFSET($BZ$11,0,MATCH($AE231,$CA231:$FV231,0),),""))</f>
        <v/>
      </c>
      <c r="AH231" s="121">
        <f t="array" ref="AH231">IF(AE231="","",INDIRECT("'GRD-"&amp;AG231&amp;"'!$L$7"))</f>
        <v/>
      </c>
      <c r="AI231" s="83">
        <f t="array" ref="AI231">IFERROR(OFFSET($BZ$11,ROW($B231)-11,MATCH(AI$10,$CA231:$FV231,0),),"")</f>
        <v/>
      </c>
      <c r="AJ231" s="83">
        <f>IF(AI231="","",IF(VLOOKUP($B231,INDIRECT("'GRD-"&amp;AK231&amp;"'!$B:$R"),16,FALSE)="","",VLOOKUP($B231,INDIRECT("'GRD-"&amp;AK231&amp;"'!$B:$R"),16,FALSE)))</f>
        <v/>
      </c>
      <c r="AK231" s="128">
        <f t="array" ref="AK231">IF(AI231="","",IFERROR(OFFSET($BZ$11,0,MATCH($AI231,$CA231:$FV231,0),),""))</f>
        <v/>
      </c>
      <c r="AL231" s="133">
        <f t="array" ref="AL231">IF(AI231="","",INDIRECT("'GRD-"&amp;AK231&amp;"'!$L$7"))</f>
        <v/>
      </c>
      <c r="AM231" s="84">
        <f t="array" ref="AM231">IFERROR(OFFSET($BZ$11,ROW($B231)-11,MATCH(AM$10,$CA231:$FV231,0),),"")</f>
        <v/>
      </c>
      <c r="AN231" s="84">
        <f>IF(AM231="","",IF(VLOOKUP($B231,INDIRECT("'GRD-"&amp;AO231&amp;"'!$B:$R"),16,FALSE)="","",VLOOKUP($B231,INDIRECT("'GRD-"&amp;AO231&amp;"'!$B:$R"),16,FALSE)))</f>
        <v/>
      </c>
      <c r="AO231" s="129">
        <f t="array" ref="AO231">IF(AM231="","",IFERROR(OFFSET($BZ$11,0,MATCH($AM231,$CA231:$FV231,0),),""))</f>
        <v/>
      </c>
      <c r="AP231" s="134">
        <f t="array" ref="AP231">IF(AM231="","",INDIRECT("'GRD-"&amp;AO231&amp;"'!$L$7"))</f>
        <v/>
      </c>
      <c r="AQ231" s="85">
        <f t="array" ref="AQ231">IFERROR(OFFSET($BZ$11,ROW($B231)-11,MATCH(AQ$10,$CA231:$FV231,0),),"")</f>
        <v/>
      </c>
      <c r="AR231" s="85">
        <f>IF(AQ231="","",IF(VLOOKUP($B231,INDIRECT("'GRD-"&amp;AS231&amp;"'!$B:$R"),16,FALSE)="","",VLOOKUP($B231,INDIRECT("'GRD-"&amp;AS231&amp;"'!$B:$R"),16,FALSE)))</f>
        <v/>
      </c>
      <c r="AS231" s="130">
        <f t="array" ref="AS231">IF(AQ231="","",IFERROR(OFFSET($BZ$11,0,MATCH($AQ231,$CA231:$FV231,0),),""))</f>
        <v/>
      </c>
      <c r="AT231" s="131">
        <f t="array" ref="AT231">IF(AQ231="","",INDIRECT("'GRD-"&amp;AS231&amp;"'!$L$7"))</f>
        <v/>
      </c>
      <c r="AU231" s="76">
        <f t="array" ref="AU231">IFERROR(OFFSET($BZ$11,ROW($B231)-11,MATCH(AU$10,$CA231:$FV231,0),),"")</f>
        <v/>
      </c>
      <c r="AV231" s="76">
        <f>IF(AU231="","",IF(VLOOKUP($B231,INDIRECT("'GRD-"&amp;AW231&amp;"'!$B:$R"),16,FALSE)="","",VLOOKUP($B231,INDIRECT("'GRD-"&amp;AW231&amp;"'!$B:$R"),16,FALSE)))</f>
        <v/>
      </c>
      <c r="AW231" s="132">
        <f t="array" ref="AW231">IF(AU231="","",IFERROR(OFFSET($BZ$11,0,MATCH($AU231,$CA231:$FV231,0),),""))</f>
        <v/>
      </c>
      <c r="AX231" s="121">
        <f t="array" ref="AX231">IF(AU231="","",INDIRECT("'GRD-"&amp;AW231&amp;"'!$L$7"))</f>
        <v/>
      </c>
      <c r="AY231" s="83">
        <f t="array" ref="AY231">IFERROR(OFFSET($BZ$11,ROW($B231)-11,MATCH(AY$10,$CA231:$FV231,0),),"")</f>
        <v/>
      </c>
      <c r="AZ231" s="83">
        <f>IF(AY231="","",IF(VLOOKUP($B231,INDIRECT("'GRD-"&amp;BA231&amp;"'!$B:$R"),16,FALSE)="","",VLOOKUP($B231,INDIRECT("'GRD-"&amp;BA231&amp;"'!$B:$R"),16,FALSE)))</f>
        <v/>
      </c>
      <c r="BA231" s="128">
        <f t="array" ref="BA231">IF(AY231="","",IFERROR(OFFSET($BZ$11,0,MATCH($AY231,$CA231:$FV231,0),),""))</f>
        <v/>
      </c>
      <c r="BB231" s="133">
        <f t="array" ref="BB231">IF(AY231="","",INDIRECT("'GRD-"&amp;BA231&amp;"'!$L$7"))</f>
        <v/>
      </c>
      <c r="BC231" s="84">
        <f t="array" ref="BC231">IFERROR(OFFSET($BZ$11,ROW($B231)-11,MATCH(BC$10,$CA231:$FV231,0),),"")</f>
        <v/>
      </c>
      <c r="BD231" s="84">
        <f>IF(BC231="","",IF(VLOOKUP($B231,INDIRECT("'GRD-"&amp;BE231&amp;"'!$B:$R"),16,FALSE)="","",VLOOKUP($B231,INDIRECT("'GRD-"&amp;BE231&amp;"'!$B:$R"),16,FALSE)))</f>
        <v/>
      </c>
      <c r="BE231" s="129">
        <f t="array" ref="BE231">IF(BC231="","",IFERROR(OFFSET($BZ$11,0,MATCH($BC231,$CA231:$FV231,0),),""))</f>
        <v/>
      </c>
      <c r="BF231" s="134">
        <f t="array" ref="BF231">IF(BC231="","",INDIRECT("'GRD-"&amp;BE231&amp;"'!$L$7"))</f>
        <v/>
      </c>
      <c r="CA231" s="96">
        <f>IFERROR(VLOOKUP($B231,INDIRECT("'GRD-"&amp;CA$11&amp;"'!B:R"),15,FALSE),"")</f>
        <v/>
      </c>
      <c r="CB231" s="96">
        <f>IFERROR(VLOOKUP($B231,INDIRECT("'GRD-"&amp;CB$11&amp;"'!B:R"),15,FALSE),"")</f>
        <v/>
      </c>
      <c r="CC231" s="96">
        <f>IFERROR(VLOOKUP($B231,INDIRECT("'GRD-"&amp;CC$11&amp;"'!B:R"),15,FALSE),"")</f>
        <v/>
      </c>
      <c r="CD231" s="96">
        <f>IFERROR(VLOOKUP($B231,INDIRECT("'GRD-"&amp;CD$11&amp;"'!B:R"),15,FALSE),"")</f>
        <v/>
      </c>
      <c r="CE231" s="96">
        <f>IFERROR(VLOOKUP($B231,INDIRECT("'GRD-"&amp;CE$11&amp;"'!B:R"),15,FALSE),"")</f>
        <v/>
      </c>
      <c r="CF231" s="96">
        <f>IFERROR(VLOOKUP($B231,INDIRECT("'GRD-"&amp;CF$11&amp;"'!B:R"),15,FALSE),"")</f>
        <v/>
      </c>
      <c r="CG231" s="96">
        <f>IFERROR(VLOOKUP($B231,INDIRECT("'GRD-"&amp;CG$11&amp;"'!B:R"),15,FALSE),"")</f>
        <v/>
      </c>
      <c r="CH231" s="96">
        <f>IFERROR(VLOOKUP($B231,INDIRECT("'GRD-"&amp;CH$11&amp;"'!B:R"),15,FALSE),"")</f>
        <v/>
      </c>
      <c r="CI231" s="96">
        <f>IFERROR(VLOOKUP($B231,INDIRECT("'GRD-"&amp;CI$11&amp;"'!B:R"),15,FALSE),"")</f>
        <v/>
      </c>
      <c r="CJ231" s="96">
        <f>IFERROR(VLOOKUP($B231,INDIRECT("'GRD-"&amp;CJ$11&amp;"'!B:R"),15,FALSE),"")</f>
        <v/>
      </c>
      <c r="CK231" s="96">
        <f>IFERROR(VLOOKUP($B231,INDIRECT("'GRD-"&amp;CK$11&amp;"'!B:R"),15,FALSE),"")</f>
        <v/>
      </c>
      <c r="CL231" s="96">
        <f>IFERROR(VLOOKUP($B231,INDIRECT("'GRD-"&amp;CL$11&amp;"'!B:R"),15,FALSE),"")</f>
        <v/>
      </c>
      <c r="CM231" s="96">
        <f>IFERROR(VLOOKUP($B231,INDIRECT("'GRD-"&amp;CM$11&amp;"'!B:R"),15,FALSE),"")</f>
        <v/>
      </c>
      <c r="CN231" s="96">
        <f>IFERROR(VLOOKUP($B231,INDIRECT("'GRD-"&amp;CN$11&amp;"'!B:R"),15,FALSE),"")</f>
        <v/>
      </c>
      <c r="CO231" s="96">
        <f>IFERROR(VLOOKUP($B231,INDIRECT("'GRD-"&amp;CO$11&amp;"'!B:R"),15,FALSE),"")</f>
        <v/>
      </c>
      <c r="CP231" s="96">
        <f>IFERROR(VLOOKUP($B231,INDIRECT("'GRD-"&amp;CP$11&amp;"'!B:R"),15,FALSE),"")</f>
        <v/>
      </c>
      <c r="CQ231" s="96">
        <f>IFERROR(VLOOKUP($B231,INDIRECT("'GRD-"&amp;CQ$11&amp;"'!B:R"),15,FALSE),"")</f>
        <v/>
      </c>
      <c r="CR231" s="96">
        <f>IFERROR(VLOOKUP($B231,INDIRECT("'GRD-"&amp;CR$11&amp;"'!B:R"),15,FALSE),"")</f>
        <v/>
      </c>
      <c r="CS231" s="96">
        <f>IFERROR(VLOOKUP($B231,INDIRECT("'GRD-"&amp;CS$11&amp;"'!B:R"),15,FALSE),"")</f>
        <v/>
      </c>
      <c r="CT231" s="96">
        <f>IFERROR(VLOOKUP($B231,INDIRECT("'GRD-"&amp;CT$11&amp;"'!B:R"),15,FALSE),"")</f>
        <v/>
      </c>
      <c r="CU231" s="96">
        <f>IFERROR(VLOOKUP($B231,INDIRECT("'GRD-"&amp;CU$11&amp;"'!B:R"),15,FALSE),"")</f>
        <v/>
      </c>
      <c r="CV231" s="96">
        <f>IFERROR(VLOOKUP($B231,INDIRECT("'GRD-"&amp;CV$11&amp;"'!B:R"),15,FALSE),"")</f>
        <v/>
      </c>
      <c r="CW231" s="96">
        <f>IFERROR(VLOOKUP($B231,INDIRECT("'GRD-"&amp;CW$11&amp;"'!B:R"),15,FALSE),"")</f>
        <v/>
      </c>
      <c r="CX231" s="96">
        <f>IFERROR(VLOOKUP($B231,INDIRECT("'GRD-"&amp;CX$11&amp;"'!B:R"),15,FALSE),"")</f>
        <v/>
      </c>
      <c r="CY231" s="96">
        <f>IFERROR(VLOOKUP($B231,INDIRECT("'GRD-"&amp;CY$11&amp;"'!B:R"),15,FALSE),"")</f>
        <v/>
      </c>
      <c r="CZ231" s="96">
        <f>IFERROR(VLOOKUP($B231,INDIRECT("'GRD-"&amp;CZ$11&amp;"'!B:R"),15,FALSE),"")</f>
        <v/>
      </c>
      <c r="DA231" s="96">
        <f>IFERROR(VLOOKUP($B231,INDIRECT("'GRD-"&amp;DA$11&amp;"'!B:R"),15,FALSE),"")</f>
        <v/>
      </c>
      <c r="DB231" s="96">
        <f>IFERROR(VLOOKUP($B231,INDIRECT("'GRD-"&amp;DB$11&amp;"'!B:R"),15,FALSE),"")</f>
        <v/>
      </c>
      <c r="DC231" s="96">
        <f>IFERROR(VLOOKUP($B231,INDIRECT("'GRD-"&amp;DC$11&amp;"'!B:R"),15,FALSE),"")</f>
        <v/>
      </c>
      <c r="DD231" s="96">
        <f>IFERROR(VLOOKUP($B231,INDIRECT("'GRD-"&amp;DD$11&amp;"'!B:R"),15,FALSE),"")</f>
        <v/>
      </c>
      <c r="DE231" s="96">
        <f>IFERROR(VLOOKUP($B231,INDIRECT("'GRD-"&amp;DE$11&amp;"'!B:R"),15,FALSE),"")</f>
        <v/>
      </c>
      <c r="DF231" s="96">
        <f>IFERROR(VLOOKUP($B231,INDIRECT("'GRD-"&amp;DF$11&amp;"'!B:R"),15,FALSE),"")</f>
        <v/>
      </c>
      <c r="DG231" s="96">
        <f>IFERROR(VLOOKUP($B231,INDIRECT("'GRD-"&amp;DG$11&amp;"'!B:R"),15,FALSE),"")</f>
        <v/>
      </c>
      <c r="DH231" s="96">
        <f>IFERROR(VLOOKUP($B231,INDIRECT("'GRD-"&amp;DH$11&amp;"'!B:R"),15,FALSE),"")</f>
        <v/>
      </c>
      <c r="DI231" s="96">
        <f>IFERROR(VLOOKUP($B231,INDIRECT("'GRD-"&amp;DI$11&amp;"'!B:R"),15,FALSE),"")</f>
        <v/>
      </c>
      <c r="DJ231" s="96">
        <f>IFERROR(VLOOKUP($B231,INDIRECT("'GRD-"&amp;DJ$11&amp;"'!B:R"),15,FALSE),"")</f>
        <v/>
      </c>
      <c r="DK231" s="96">
        <f>IFERROR(VLOOKUP($B231,INDIRECT("'GRD-"&amp;DK$11&amp;"'!B:R"),15,FALSE),"")</f>
        <v/>
      </c>
      <c r="DL231" s="96">
        <f>IFERROR(VLOOKUP($B231,INDIRECT("'GRD-"&amp;DL$11&amp;"'!B:R"),15,FALSE),"")</f>
        <v/>
      </c>
      <c r="DM231" s="96">
        <f>IFERROR(VLOOKUP($B231,INDIRECT("'GRD-"&amp;DM$11&amp;"'!B:R"),15,FALSE),"")</f>
        <v/>
      </c>
      <c r="DN231" s="96">
        <f>IFERROR(VLOOKUP($B231,INDIRECT("'GRD-"&amp;DN$11&amp;"'!B:R"),15,FALSE),"")</f>
        <v/>
      </c>
      <c r="DO231" s="96">
        <f>IFERROR(VLOOKUP($B231,INDIRECT("'GRD-"&amp;DO$11&amp;"'!B:R"),15,FALSE),"")</f>
        <v/>
      </c>
      <c r="DP231" s="96">
        <f>IFERROR(VLOOKUP($B231,INDIRECT("'GRD-"&amp;DP$11&amp;"'!B:R"),15,FALSE),"")</f>
        <v/>
      </c>
      <c r="DQ231" s="96">
        <f>IFERROR(VLOOKUP($B231,INDIRECT("'GRD-"&amp;DQ$11&amp;"'!B:R"),15,FALSE),"")</f>
        <v/>
      </c>
      <c r="DR231" s="96">
        <f>IFERROR(VLOOKUP($B231,INDIRECT("'GRD-"&amp;DR$11&amp;"'!B:R"),15,FALSE),"")</f>
        <v/>
      </c>
      <c r="DS231" s="96">
        <f>IFERROR(VLOOKUP($B231,INDIRECT("'GRD-"&amp;DS$11&amp;"'!B:R"),15,FALSE),"")</f>
        <v/>
      </c>
      <c r="DT231" s="96">
        <f>IFERROR(VLOOKUP($B231,INDIRECT("'GRD-"&amp;DT$11&amp;"'!B:R"),15,FALSE),"")</f>
        <v/>
      </c>
      <c r="DU231" s="96">
        <f>IFERROR(VLOOKUP($B231,INDIRECT("'GRD-"&amp;DU$11&amp;"'!B:R"),15,FALSE),"")</f>
        <v/>
      </c>
      <c r="DV231" s="96">
        <f>IFERROR(VLOOKUP($B231,INDIRECT("'GRD-"&amp;DV$11&amp;"'!B:R"),15,FALSE),"")</f>
        <v/>
      </c>
      <c r="DW231" s="96">
        <f>IFERROR(VLOOKUP($B231,INDIRECT("'GRD-"&amp;DW$11&amp;"'!B:R"),15,FALSE),"")</f>
        <v/>
      </c>
      <c r="DX231" s="96">
        <f>IFERROR(VLOOKUP($B231,INDIRECT("'GRD-"&amp;DX$11&amp;"'!B:R"),15,FALSE),"")</f>
        <v/>
      </c>
      <c r="DY231" s="96">
        <f>IFERROR(VLOOKUP($B231,INDIRECT("'GRD-"&amp;DY$11&amp;"'!B:R"),15,FALSE),"")</f>
        <v/>
      </c>
      <c r="DZ231" s="96">
        <f>IFERROR(VLOOKUP($B231,INDIRECT("'GRD-"&amp;DZ$11&amp;"'!B:R"),15,FALSE),"")</f>
        <v/>
      </c>
      <c r="EA231" s="96">
        <f>IFERROR(VLOOKUP($B231,INDIRECT("'GRD-"&amp;EA$11&amp;"'!B:R"),15,FALSE),"")</f>
        <v/>
      </c>
      <c r="EB231" s="96">
        <f>IFERROR(VLOOKUP($B231,INDIRECT("'GRD-"&amp;EB$11&amp;"'!B:R"),15,FALSE),"")</f>
        <v/>
      </c>
      <c r="EC231" s="96">
        <f>IFERROR(VLOOKUP($B231,INDIRECT("'GRD-"&amp;EC$11&amp;"'!B:R"),15,FALSE),"")</f>
        <v/>
      </c>
      <c r="ED231" s="96">
        <f>IFERROR(VLOOKUP($B231,INDIRECT("'GRD-"&amp;ED$11&amp;"'!B:R"),15,FALSE),"")</f>
        <v/>
      </c>
      <c r="EE231" s="96">
        <f>IFERROR(VLOOKUP($B231,INDIRECT("'GRD-"&amp;EE$11&amp;"'!B:R"),15,FALSE),"")</f>
        <v/>
      </c>
      <c r="EF231" s="96">
        <f>IFERROR(VLOOKUP($B231,INDIRECT("'GRD-"&amp;EF$11&amp;"'!B:R"),15,FALSE),"")</f>
        <v/>
      </c>
      <c r="EG231" s="96">
        <f>IFERROR(VLOOKUP($B231,INDIRECT("'GRD-"&amp;EG$11&amp;"'!B:R"),15,FALSE),"")</f>
        <v/>
      </c>
      <c r="EH231" s="96">
        <f>IFERROR(VLOOKUP($B231,INDIRECT("'GRD-"&amp;EH$11&amp;"'!B:R"),15,FALSE),"")</f>
        <v/>
      </c>
      <c r="EI231" s="96">
        <f>IFERROR(VLOOKUP($B231,INDIRECT("'GRD-"&amp;EI$11&amp;"'!B:R"),15,FALSE),"")</f>
        <v/>
      </c>
      <c r="EJ231" s="96">
        <f>IFERROR(VLOOKUP($B231,INDIRECT("'GRD-"&amp;EJ$11&amp;"'!B:R"),15,FALSE),"")</f>
        <v/>
      </c>
      <c r="EK231" s="96">
        <f>IFERROR(VLOOKUP($B231,INDIRECT("'GRD-"&amp;EK$11&amp;"'!B:R"),15,FALSE),"")</f>
        <v/>
      </c>
      <c r="EL231" s="96">
        <f>IFERROR(VLOOKUP($B231,INDIRECT("'GRD-"&amp;EL$11&amp;"'!B:R"),15,FALSE),"")</f>
        <v/>
      </c>
      <c r="EM231" s="96">
        <f>IFERROR(VLOOKUP($B231,INDIRECT("'GRD-"&amp;EM$11&amp;"'!B:R"),15,FALSE),"")</f>
        <v/>
      </c>
      <c r="EN231" s="96">
        <f>IFERROR(VLOOKUP($B231,INDIRECT("'GRD-"&amp;EN$11&amp;"'!B:R"),15,FALSE),"")</f>
        <v/>
      </c>
      <c r="EO231" s="96">
        <f>IFERROR(VLOOKUP($B231,INDIRECT("'GRD-"&amp;EO$11&amp;"'!B:R"),15,FALSE),"")</f>
        <v/>
      </c>
      <c r="EP231" s="96">
        <f>IFERROR(VLOOKUP($B231,INDIRECT("'GRD-"&amp;EP$11&amp;"'!B:R"),15,FALSE),"")</f>
        <v/>
      </c>
      <c r="EQ231" s="96">
        <f>IFERROR(VLOOKUP($B231,INDIRECT("'GRD-"&amp;EQ$11&amp;"'!B:R"),15,FALSE),"")</f>
        <v/>
      </c>
      <c r="ER231" s="96">
        <f>IFERROR(VLOOKUP($B231,INDIRECT("'GRD-"&amp;ER$11&amp;"'!B:R"),15,FALSE),"")</f>
        <v/>
      </c>
      <c r="ES231" s="96">
        <f>IFERROR(VLOOKUP($B231,INDIRECT("'GRD-"&amp;ES$11&amp;"'!B:R"),15,FALSE),"")</f>
        <v/>
      </c>
      <c r="ET231" s="96">
        <f>IFERROR(VLOOKUP($B231,INDIRECT("'GRD-"&amp;ET$11&amp;"'!B:R"),15,FALSE),"")</f>
        <v/>
      </c>
      <c r="EU231" s="96">
        <f>IFERROR(VLOOKUP($B231,INDIRECT("'GRD-"&amp;EU$11&amp;"'!B:R"),15,FALSE),"")</f>
        <v/>
      </c>
      <c r="EV231" s="96">
        <f>IFERROR(VLOOKUP($B231,INDIRECT("'GRD-"&amp;EV$11&amp;"'!B:R"),15,FALSE),"")</f>
        <v/>
      </c>
      <c r="EW231" s="96">
        <f>IFERROR(VLOOKUP($B231,INDIRECT("'GRD-"&amp;EW$11&amp;"'!B:R"),15,FALSE),"")</f>
        <v/>
      </c>
      <c r="EX231" s="96">
        <f>IFERROR(VLOOKUP($B231,INDIRECT("'GRD-"&amp;EX$11&amp;"'!B:R"),15,FALSE),"")</f>
        <v/>
      </c>
      <c r="EY231" s="96">
        <f>IFERROR(VLOOKUP($B231,INDIRECT("'GRD-"&amp;EY$11&amp;"'!B:R"),15,FALSE),"")</f>
        <v/>
      </c>
      <c r="EZ231" s="96">
        <f>IFERROR(VLOOKUP($B231,INDIRECT("'GRD-"&amp;EZ$11&amp;"'!B:R"),15,FALSE),"")</f>
        <v/>
      </c>
      <c r="FA231" s="96">
        <f>IFERROR(VLOOKUP($B231,INDIRECT("'GRD-"&amp;FA$11&amp;"'!B:R"),15,FALSE),"")</f>
        <v/>
      </c>
      <c r="FB231" s="96">
        <f>IFERROR(VLOOKUP($B231,INDIRECT("'GRD-"&amp;FB$11&amp;"'!B:R"),15,FALSE),"")</f>
        <v/>
      </c>
      <c r="FC231" s="96">
        <f>IFERROR(VLOOKUP($B231,INDIRECT("'GRD-"&amp;FC$11&amp;"'!B:R"),15,FALSE),"")</f>
        <v/>
      </c>
      <c r="FD231" s="96">
        <f>IFERROR(VLOOKUP($B231,INDIRECT("'GRD-"&amp;FD$11&amp;"'!B:R"),15,FALSE),"")</f>
        <v/>
      </c>
      <c r="FE231" s="96">
        <f>IFERROR(VLOOKUP($B231,INDIRECT("'GRD-"&amp;FE$11&amp;"'!B:R"),15,FALSE),"")</f>
        <v/>
      </c>
      <c r="FF231" s="96">
        <f>IFERROR(VLOOKUP($B231,INDIRECT("'GRD-"&amp;FF$11&amp;"'!B:R"),15,FALSE),"")</f>
        <v/>
      </c>
      <c r="FG231" s="96">
        <f>IFERROR(VLOOKUP($B231,INDIRECT("'GRD-"&amp;FG$11&amp;"'!B:R"),15,FALSE),"")</f>
        <v/>
      </c>
      <c r="FH231" s="96">
        <f>IFERROR(VLOOKUP($B231,INDIRECT("'GRD-"&amp;FH$11&amp;"'!B:R"),15,FALSE),"")</f>
        <v/>
      </c>
      <c r="FI231" s="96">
        <f>IFERROR(VLOOKUP($B231,INDIRECT("'GRD-"&amp;FI$11&amp;"'!B:R"),15,FALSE),"")</f>
        <v/>
      </c>
      <c r="FJ231" s="96">
        <f>IFERROR(VLOOKUP($B231,INDIRECT("'GRD-"&amp;FJ$11&amp;"'!B:R"),15,FALSE),"")</f>
        <v/>
      </c>
      <c r="FK231" s="96">
        <f>IFERROR(VLOOKUP($B231,INDIRECT("'GRD-"&amp;FK$11&amp;"'!B:R"),15,FALSE),"")</f>
        <v/>
      </c>
      <c r="FL231" s="96">
        <f>IFERROR(VLOOKUP($B231,INDIRECT("'GRD-"&amp;FL$11&amp;"'!B:R"),15,FALSE),"")</f>
        <v/>
      </c>
      <c r="FM231" s="96">
        <f>IFERROR(VLOOKUP($B231,INDIRECT("'GRD-"&amp;FM$11&amp;"'!B:R"),15,FALSE),"")</f>
        <v/>
      </c>
      <c r="FN231" s="96">
        <f>IFERROR(VLOOKUP($B231,INDIRECT("'GRD-"&amp;FN$11&amp;"'!B:R"),15,FALSE),"")</f>
        <v/>
      </c>
      <c r="FO231" s="96">
        <f>IFERROR(VLOOKUP($B231,INDIRECT("'GRD-"&amp;FO$11&amp;"'!B:R"),15,FALSE),"")</f>
        <v/>
      </c>
      <c r="FP231" s="96">
        <f>IFERROR(VLOOKUP($B231,INDIRECT("'GRD-"&amp;FP$11&amp;"'!B:R"),15,FALSE),"")</f>
        <v/>
      </c>
      <c r="FQ231" s="96">
        <f>IFERROR(VLOOKUP($B231,INDIRECT("'GRD-"&amp;FQ$11&amp;"'!B:R"),15,FALSE),"")</f>
        <v/>
      </c>
      <c r="FR231" s="96">
        <f>IFERROR(VLOOKUP($B231,INDIRECT("'GRD-"&amp;FR$11&amp;"'!B:R"),15,FALSE),"")</f>
        <v/>
      </c>
      <c r="FS231" s="96">
        <f>IFERROR(VLOOKUP($B231,INDIRECT("'GRD-"&amp;FS$11&amp;"'!B:R"),15,FALSE),"")</f>
        <v/>
      </c>
      <c r="FT231" s="96">
        <f>IFERROR(VLOOKUP($B231,INDIRECT("'GRD-"&amp;FT$11&amp;"'!B:R"),15,FALSE),"")</f>
        <v/>
      </c>
      <c r="FU231" s="96">
        <f>IFERROR(VLOOKUP($B231,INDIRECT("'GRD-"&amp;FU$11&amp;"'!B:R"),15,FALSE),"")</f>
        <v/>
      </c>
      <c r="FV231" s="96">
        <f>IFERROR(VLOOKUP($B231,INDIRECT("'GRD-"&amp;FV$11&amp;"'!B:R"),15,FALSE),"")</f>
        <v/>
      </c>
    </row>
    <row r="232">
      <c r="B232" s="85" t="n"/>
      <c r="C232" s="93" t="n"/>
      <c r="D232" s="73">
        <f>IF(K232="","",MAX($CA232:$FV232))</f>
        <v/>
      </c>
      <c r="E232" s="74">
        <f t="array" ref="E232">IF($K232="","",OFFSET($A$1,ROW($B232)-1,11+$D232*4,))</f>
        <v/>
      </c>
      <c r="F232" s="74">
        <f t="array" ref="F232">IF($K232="","",OFFSET($A$1,ROW($B232)-1,12+$D232*4,))</f>
        <v/>
      </c>
      <c r="G232" s="118">
        <f t="array" ref="G232">IF($K232="","",OFFSET($A$1,ROW($B232)-1,13+$D232*4,))</f>
        <v/>
      </c>
      <c r="H232" s="81" t="n"/>
      <c r="I232" s="82" t="n"/>
      <c r="J232" s="75">
        <f>IF(I232="A4",H232/8,IF(I232="A3",H232/4,IF(I232="A2",H232/2,IF(I232="A1",H232/1,IF(I232="A0",H232*2,"")))))</f>
        <v/>
      </c>
      <c r="K232" s="68">
        <f t="array" ref="K232">IFERROR(OFFSET($BZ$11,ROW($B232)-11,MATCH(K$10,$CA232:$FV232,0),),"")</f>
        <v/>
      </c>
      <c r="L232" s="85">
        <f>IF(K232="","",IF(VLOOKUP($B232,INDIRECT("'GRD-"&amp;M232&amp;"'!$B:$R"),16,FALSE)="","",VLOOKUP($B232,INDIRECT("'GRD-"&amp;M232&amp;"'!$B:$R"),16,FALSE)))</f>
        <v/>
      </c>
      <c r="M232" s="130">
        <f t="array" ref="M232">IF(K232="","",IFERROR(OFFSET($BZ$11,0,MATCH($K232,$CA232:$FV232,0),),""))</f>
        <v/>
      </c>
      <c r="N232" s="119">
        <f t="array" ref="N232">IF(K232="","",INDIRECT("'GRD-"&amp;M232&amp;"'!$L$7"))</f>
        <v/>
      </c>
      <c r="O232" s="76">
        <f t="array" ref="O232">IFERROR(OFFSET($BZ$11,ROW($B232)-11,MATCH(O$10,$CA232:$FV232,0),),"")</f>
        <v/>
      </c>
      <c r="P232" s="76">
        <f>IF(O232="","",IF(VLOOKUP($B232,INDIRECT("'GRD-"&amp;Q232&amp;"'!$B:$R"),16,FALSE)="","",VLOOKUP($B232,INDIRECT("'GRD-"&amp;Q232&amp;"'!$B:$R"),16,FALSE)))</f>
        <v/>
      </c>
      <c r="Q232" s="132">
        <f t="array" ref="Q232">IF(O232="","",IFERROR(OFFSET($BZ$11,0,MATCH($O232,$CA232:$FV232,0),),""))</f>
        <v/>
      </c>
      <c r="R232" s="121">
        <f t="array" ref="R232">IF(O232="","",INDIRECT("'GRD-"&amp;Q232&amp;"'!$L$7"))</f>
        <v/>
      </c>
      <c r="S232" s="83">
        <f t="array" ref="S232">IFERROR(OFFSET($BZ$11,ROW($B232)-11,MATCH(S$10,$CA232:$FV232,0),),"")</f>
        <v/>
      </c>
      <c r="T232" s="83">
        <f>IF(S232="","",IF(VLOOKUP($B232,INDIRECT("'GRD-"&amp;U232&amp;"'!$B:$R"),16,FALSE)="","",VLOOKUP($B232,INDIRECT("'GRD-"&amp;U232&amp;"'!$B:$R"),16,FALSE)))</f>
        <v/>
      </c>
      <c r="U232" s="128">
        <f t="array" ref="U232">IF(S232="","",IFERROR(OFFSET($BZ$11,0,MATCH($S232,$CA232:$FV232,0),),""))</f>
        <v/>
      </c>
      <c r="V232" s="133">
        <f t="array" ref="V232">IF(S232="","",INDIRECT("'GRD-"&amp;U232&amp;"'!$L$7"))</f>
        <v/>
      </c>
      <c r="W232" s="84">
        <f t="array" ref="W232">IFERROR(OFFSET($BZ$11,ROW($B232)-11,MATCH(W$10,$CA232:$FV232,0),),"")</f>
        <v/>
      </c>
      <c r="X232" s="84">
        <f>IF(W232="","",IF(VLOOKUP($B232,INDIRECT("'GRD-"&amp;Y232&amp;"'!$B:$R"),16,FALSE)="","",VLOOKUP($B232,INDIRECT("'GRD-"&amp;Y232&amp;"'!$B:$R"),16,FALSE)))</f>
        <v/>
      </c>
      <c r="Y232" s="129">
        <f t="array" ref="Y232">IF(W232="","",IFERROR(OFFSET($BZ$11,0,MATCH($W232,$CA232:$FV232,0),),""))</f>
        <v/>
      </c>
      <c r="Z232" s="134">
        <f t="array" ref="Z232">IF(W232="","",INDIRECT("'GRD-"&amp;Y232&amp;"'!$L$7"))</f>
        <v/>
      </c>
      <c r="AA232" s="85">
        <f t="array" ref="AA232">IFERROR(OFFSET($BZ$11,ROW($B232)-11,MATCH(AA$10,$CA232:$FV232,0),),"")</f>
        <v/>
      </c>
      <c r="AB232" s="85">
        <f>IF(AA232="","",IF(VLOOKUP($B232,INDIRECT("'GRD-"&amp;AC232&amp;"'!$B:$R"),16,FALSE)="","",VLOOKUP($B232,INDIRECT("'GRD-"&amp;AC232&amp;"'!$B:$R"),16,FALSE)))</f>
        <v/>
      </c>
      <c r="AC232" s="130">
        <f t="array" ref="AC232">IF(AA232="","",IFERROR(OFFSET($BZ$11,0,MATCH($AA232,$CA232:$FV232,0),),""))</f>
        <v/>
      </c>
      <c r="AD232" s="131">
        <f t="array" ref="AD232">IF(AA232="","",INDIRECT("'GRD-"&amp;AC232&amp;"'!$L$7"))</f>
        <v/>
      </c>
      <c r="AE232" s="76">
        <f t="array" ref="AE232">IFERROR(OFFSET($BZ$11,ROW($B232)-11,MATCH(AE$10,$CA232:$FV232,0),),"")</f>
        <v/>
      </c>
      <c r="AF232" s="76">
        <f>IF(AE232="","",IF(VLOOKUP($B232,INDIRECT("'GRD-"&amp;AG232&amp;"'!$B:$R"),16,FALSE)="","",VLOOKUP($B232,INDIRECT("'GRD-"&amp;AG232&amp;"'!$B:$R"),16,FALSE)))</f>
        <v/>
      </c>
      <c r="AG232" s="132">
        <f t="array" ref="AG232">IF(AE232="","",IFERROR(OFFSET($BZ$11,0,MATCH($AE232,$CA232:$FV232,0),),""))</f>
        <v/>
      </c>
      <c r="AH232" s="121">
        <f t="array" ref="AH232">IF(AE232="","",INDIRECT("'GRD-"&amp;AG232&amp;"'!$L$7"))</f>
        <v/>
      </c>
      <c r="AI232" s="83">
        <f t="array" ref="AI232">IFERROR(OFFSET($BZ$11,ROW($B232)-11,MATCH(AI$10,$CA232:$FV232,0),),"")</f>
        <v/>
      </c>
      <c r="AJ232" s="83">
        <f>IF(AI232="","",IF(VLOOKUP($B232,INDIRECT("'GRD-"&amp;AK232&amp;"'!$B:$R"),16,FALSE)="","",VLOOKUP($B232,INDIRECT("'GRD-"&amp;AK232&amp;"'!$B:$R"),16,FALSE)))</f>
        <v/>
      </c>
      <c r="AK232" s="128">
        <f t="array" ref="AK232">IF(AI232="","",IFERROR(OFFSET($BZ$11,0,MATCH($AI232,$CA232:$FV232,0),),""))</f>
        <v/>
      </c>
      <c r="AL232" s="133">
        <f t="array" ref="AL232">IF(AI232="","",INDIRECT("'GRD-"&amp;AK232&amp;"'!$L$7"))</f>
        <v/>
      </c>
      <c r="AM232" s="84">
        <f t="array" ref="AM232">IFERROR(OFFSET($BZ$11,ROW($B232)-11,MATCH(AM$10,$CA232:$FV232,0),),"")</f>
        <v/>
      </c>
      <c r="AN232" s="84">
        <f>IF(AM232="","",IF(VLOOKUP($B232,INDIRECT("'GRD-"&amp;AO232&amp;"'!$B:$R"),16,FALSE)="","",VLOOKUP($B232,INDIRECT("'GRD-"&amp;AO232&amp;"'!$B:$R"),16,FALSE)))</f>
        <v/>
      </c>
      <c r="AO232" s="129">
        <f t="array" ref="AO232">IF(AM232="","",IFERROR(OFFSET($BZ$11,0,MATCH($AM232,$CA232:$FV232,0),),""))</f>
        <v/>
      </c>
      <c r="AP232" s="134">
        <f t="array" ref="AP232">IF(AM232="","",INDIRECT("'GRD-"&amp;AO232&amp;"'!$L$7"))</f>
        <v/>
      </c>
      <c r="AQ232" s="85">
        <f t="array" ref="AQ232">IFERROR(OFFSET($BZ$11,ROW($B232)-11,MATCH(AQ$10,$CA232:$FV232,0),),"")</f>
        <v/>
      </c>
      <c r="AR232" s="85">
        <f>IF(AQ232="","",IF(VLOOKUP($B232,INDIRECT("'GRD-"&amp;AS232&amp;"'!$B:$R"),16,FALSE)="","",VLOOKUP($B232,INDIRECT("'GRD-"&amp;AS232&amp;"'!$B:$R"),16,FALSE)))</f>
        <v/>
      </c>
      <c r="AS232" s="130">
        <f t="array" ref="AS232">IF(AQ232="","",IFERROR(OFFSET($BZ$11,0,MATCH($AQ232,$CA232:$FV232,0),),""))</f>
        <v/>
      </c>
      <c r="AT232" s="131">
        <f t="array" ref="AT232">IF(AQ232="","",INDIRECT("'GRD-"&amp;AS232&amp;"'!$L$7"))</f>
        <v/>
      </c>
      <c r="AU232" s="76">
        <f t="array" ref="AU232">IFERROR(OFFSET($BZ$11,ROW($B232)-11,MATCH(AU$10,$CA232:$FV232,0),),"")</f>
        <v/>
      </c>
      <c r="AV232" s="76">
        <f>IF(AU232="","",IF(VLOOKUP($B232,INDIRECT("'GRD-"&amp;AW232&amp;"'!$B:$R"),16,FALSE)="","",VLOOKUP($B232,INDIRECT("'GRD-"&amp;AW232&amp;"'!$B:$R"),16,FALSE)))</f>
        <v/>
      </c>
      <c r="AW232" s="132">
        <f t="array" ref="AW232">IF(AU232="","",IFERROR(OFFSET($BZ$11,0,MATCH($AU232,$CA232:$FV232,0),),""))</f>
        <v/>
      </c>
      <c r="AX232" s="121">
        <f t="array" ref="AX232">IF(AU232="","",INDIRECT("'GRD-"&amp;AW232&amp;"'!$L$7"))</f>
        <v/>
      </c>
      <c r="AY232" s="83">
        <f t="array" ref="AY232">IFERROR(OFFSET($BZ$11,ROW($B232)-11,MATCH(AY$10,$CA232:$FV232,0),),"")</f>
        <v/>
      </c>
      <c r="AZ232" s="83">
        <f>IF(AY232="","",IF(VLOOKUP($B232,INDIRECT("'GRD-"&amp;BA232&amp;"'!$B:$R"),16,FALSE)="","",VLOOKUP($B232,INDIRECT("'GRD-"&amp;BA232&amp;"'!$B:$R"),16,FALSE)))</f>
        <v/>
      </c>
      <c r="BA232" s="128">
        <f t="array" ref="BA232">IF(AY232="","",IFERROR(OFFSET($BZ$11,0,MATCH($AY232,$CA232:$FV232,0),),""))</f>
        <v/>
      </c>
      <c r="BB232" s="133">
        <f t="array" ref="BB232">IF(AY232="","",INDIRECT("'GRD-"&amp;BA232&amp;"'!$L$7"))</f>
        <v/>
      </c>
      <c r="BC232" s="84">
        <f t="array" ref="BC232">IFERROR(OFFSET($BZ$11,ROW($B232)-11,MATCH(BC$10,$CA232:$FV232,0),),"")</f>
        <v/>
      </c>
      <c r="BD232" s="84">
        <f>IF(BC232="","",IF(VLOOKUP($B232,INDIRECT("'GRD-"&amp;BE232&amp;"'!$B:$R"),16,FALSE)="","",VLOOKUP($B232,INDIRECT("'GRD-"&amp;BE232&amp;"'!$B:$R"),16,FALSE)))</f>
        <v/>
      </c>
      <c r="BE232" s="129">
        <f t="array" ref="BE232">IF(BC232="","",IFERROR(OFFSET($BZ$11,0,MATCH($BC232,$CA232:$FV232,0),),""))</f>
        <v/>
      </c>
      <c r="BF232" s="134">
        <f t="array" ref="BF232">IF(BC232="","",INDIRECT("'GRD-"&amp;BE232&amp;"'!$L$7"))</f>
        <v/>
      </c>
      <c r="CA232" s="96">
        <f>IFERROR(VLOOKUP($B232,INDIRECT("'GRD-"&amp;CA$11&amp;"'!B:R"),15,FALSE),"")</f>
        <v/>
      </c>
      <c r="CB232" s="96">
        <f>IFERROR(VLOOKUP($B232,INDIRECT("'GRD-"&amp;CB$11&amp;"'!B:R"),15,FALSE),"")</f>
        <v/>
      </c>
      <c r="CC232" s="96">
        <f>IFERROR(VLOOKUP($B232,INDIRECT("'GRD-"&amp;CC$11&amp;"'!B:R"),15,FALSE),"")</f>
        <v/>
      </c>
      <c r="CD232" s="96">
        <f>IFERROR(VLOOKUP($B232,INDIRECT("'GRD-"&amp;CD$11&amp;"'!B:R"),15,FALSE),"")</f>
        <v/>
      </c>
      <c r="CE232" s="96">
        <f>IFERROR(VLOOKUP($B232,INDIRECT("'GRD-"&amp;CE$11&amp;"'!B:R"),15,FALSE),"")</f>
        <v/>
      </c>
      <c r="CF232" s="96">
        <f>IFERROR(VLOOKUP($B232,INDIRECT("'GRD-"&amp;CF$11&amp;"'!B:R"),15,FALSE),"")</f>
        <v/>
      </c>
      <c r="CG232" s="96">
        <f>IFERROR(VLOOKUP($B232,INDIRECT("'GRD-"&amp;CG$11&amp;"'!B:R"),15,FALSE),"")</f>
        <v/>
      </c>
      <c r="CH232" s="96">
        <f>IFERROR(VLOOKUP($B232,INDIRECT("'GRD-"&amp;CH$11&amp;"'!B:R"),15,FALSE),"")</f>
        <v/>
      </c>
      <c r="CI232" s="96">
        <f>IFERROR(VLOOKUP($B232,INDIRECT("'GRD-"&amp;CI$11&amp;"'!B:R"),15,FALSE),"")</f>
        <v/>
      </c>
      <c r="CJ232" s="96">
        <f>IFERROR(VLOOKUP($B232,INDIRECT("'GRD-"&amp;CJ$11&amp;"'!B:R"),15,FALSE),"")</f>
        <v/>
      </c>
      <c r="CK232" s="96">
        <f>IFERROR(VLOOKUP($B232,INDIRECT("'GRD-"&amp;CK$11&amp;"'!B:R"),15,FALSE),"")</f>
        <v/>
      </c>
      <c r="CL232" s="96">
        <f>IFERROR(VLOOKUP($B232,INDIRECT("'GRD-"&amp;CL$11&amp;"'!B:R"),15,FALSE),"")</f>
        <v/>
      </c>
      <c r="CM232" s="96">
        <f>IFERROR(VLOOKUP($B232,INDIRECT("'GRD-"&amp;CM$11&amp;"'!B:R"),15,FALSE),"")</f>
        <v/>
      </c>
      <c r="CN232" s="96">
        <f>IFERROR(VLOOKUP($B232,INDIRECT("'GRD-"&amp;CN$11&amp;"'!B:R"),15,FALSE),"")</f>
        <v/>
      </c>
      <c r="CO232" s="96">
        <f>IFERROR(VLOOKUP($B232,INDIRECT("'GRD-"&amp;CO$11&amp;"'!B:R"),15,FALSE),"")</f>
        <v/>
      </c>
      <c r="CP232" s="96">
        <f>IFERROR(VLOOKUP($B232,INDIRECT("'GRD-"&amp;CP$11&amp;"'!B:R"),15,FALSE),"")</f>
        <v/>
      </c>
      <c r="CQ232" s="96">
        <f>IFERROR(VLOOKUP($B232,INDIRECT("'GRD-"&amp;CQ$11&amp;"'!B:R"),15,FALSE),"")</f>
        <v/>
      </c>
      <c r="CR232" s="96">
        <f>IFERROR(VLOOKUP($B232,INDIRECT("'GRD-"&amp;CR$11&amp;"'!B:R"),15,FALSE),"")</f>
        <v/>
      </c>
      <c r="CS232" s="96">
        <f>IFERROR(VLOOKUP($B232,INDIRECT("'GRD-"&amp;CS$11&amp;"'!B:R"),15,FALSE),"")</f>
        <v/>
      </c>
      <c r="CT232" s="96">
        <f>IFERROR(VLOOKUP($B232,INDIRECT("'GRD-"&amp;CT$11&amp;"'!B:R"),15,FALSE),"")</f>
        <v/>
      </c>
      <c r="CU232" s="96">
        <f>IFERROR(VLOOKUP($B232,INDIRECT("'GRD-"&amp;CU$11&amp;"'!B:R"),15,FALSE),"")</f>
        <v/>
      </c>
      <c r="CV232" s="96">
        <f>IFERROR(VLOOKUP($B232,INDIRECT("'GRD-"&amp;CV$11&amp;"'!B:R"),15,FALSE),"")</f>
        <v/>
      </c>
      <c r="CW232" s="96">
        <f>IFERROR(VLOOKUP($B232,INDIRECT("'GRD-"&amp;CW$11&amp;"'!B:R"),15,FALSE),"")</f>
        <v/>
      </c>
      <c r="CX232" s="96">
        <f>IFERROR(VLOOKUP($B232,INDIRECT("'GRD-"&amp;CX$11&amp;"'!B:R"),15,FALSE),"")</f>
        <v/>
      </c>
      <c r="CY232" s="96">
        <f>IFERROR(VLOOKUP($B232,INDIRECT("'GRD-"&amp;CY$11&amp;"'!B:R"),15,FALSE),"")</f>
        <v/>
      </c>
      <c r="CZ232" s="96">
        <f>IFERROR(VLOOKUP($B232,INDIRECT("'GRD-"&amp;CZ$11&amp;"'!B:R"),15,FALSE),"")</f>
        <v/>
      </c>
      <c r="DA232" s="96">
        <f>IFERROR(VLOOKUP($B232,INDIRECT("'GRD-"&amp;DA$11&amp;"'!B:R"),15,FALSE),"")</f>
        <v/>
      </c>
      <c r="DB232" s="96">
        <f>IFERROR(VLOOKUP($B232,INDIRECT("'GRD-"&amp;DB$11&amp;"'!B:R"),15,FALSE),"")</f>
        <v/>
      </c>
      <c r="DC232" s="96">
        <f>IFERROR(VLOOKUP($B232,INDIRECT("'GRD-"&amp;DC$11&amp;"'!B:R"),15,FALSE),"")</f>
        <v/>
      </c>
      <c r="DD232" s="96">
        <f>IFERROR(VLOOKUP($B232,INDIRECT("'GRD-"&amp;DD$11&amp;"'!B:R"),15,FALSE),"")</f>
        <v/>
      </c>
      <c r="DE232" s="96">
        <f>IFERROR(VLOOKUP($B232,INDIRECT("'GRD-"&amp;DE$11&amp;"'!B:R"),15,FALSE),"")</f>
        <v/>
      </c>
      <c r="DF232" s="96">
        <f>IFERROR(VLOOKUP($B232,INDIRECT("'GRD-"&amp;DF$11&amp;"'!B:R"),15,FALSE),"")</f>
        <v/>
      </c>
      <c r="DG232" s="96">
        <f>IFERROR(VLOOKUP($B232,INDIRECT("'GRD-"&amp;DG$11&amp;"'!B:R"),15,FALSE),"")</f>
        <v/>
      </c>
      <c r="DH232" s="96">
        <f>IFERROR(VLOOKUP($B232,INDIRECT("'GRD-"&amp;DH$11&amp;"'!B:R"),15,FALSE),"")</f>
        <v/>
      </c>
      <c r="DI232" s="96">
        <f>IFERROR(VLOOKUP($B232,INDIRECT("'GRD-"&amp;DI$11&amp;"'!B:R"),15,FALSE),"")</f>
        <v/>
      </c>
      <c r="DJ232" s="96">
        <f>IFERROR(VLOOKUP($B232,INDIRECT("'GRD-"&amp;DJ$11&amp;"'!B:R"),15,FALSE),"")</f>
        <v/>
      </c>
      <c r="DK232" s="96">
        <f>IFERROR(VLOOKUP($B232,INDIRECT("'GRD-"&amp;DK$11&amp;"'!B:R"),15,FALSE),"")</f>
        <v/>
      </c>
      <c r="DL232" s="96">
        <f>IFERROR(VLOOKUP($B232,INDIRECT("'GRD-"&amp;DL$11&amp;"'!B:R"),15,FALSE),"")</f>
        <v/>
      </c>
      <c r="DM232" s="96">
        <f>IFERROR(VLOOKUP($B232,INDIRECT("'GRD-"&amp;DM$11&amp;"'!B:R"),15,FALSE),"")</f>
        <v/>
      </c>
      <c r="DN232" s="96">
        <f>IFERROR(VLOOKUP($B232,INDIRECT("'GRD-"&amp;DN$11&amp;"'!B:R"),15,FALSE),"")</f>
        <v/>
      </c>
      <c r="DO232" s="96">
        <f>IFERROR(VLOOKUP($B232,INDIRECT("'GRD-"&amp;DO$11&amp;"'!B:R"),15,FALSE),"")</f>
        <v/>
      </c>
      <c r="DP232" s="96">
        <f>IFERROR(VLOOKUP($B232,INDIRECT("'GRD-"&amp;DP$11&amp;"'!B:R"),15,FALSE),"")</f>
        <v/>
      </c>
      <c r="DQ232" s="96">
        <f>IFERROR(VLOOKUP($B232,INDIRECT("'GRD-"&amp;DQ$11&amp;"'!B:R"),15,FALSE),"")</f>
        <v/>
      </c>
      <c r="DR232" s="96">
        <f>IFERROR(VLOOKUP($B232,INDIRECT("'GRD-"&amp;DR$11&amp;"'!B:R"),15,FALSE),"")</f>
        <v/>
      </c>
      <c r="DS232" s="96">
        <f>IFERROR(VLOOKUP($B232,INDIRECT("'GRD-"&amp;DS$11&amp;"'!B:R"),15,FALSE),"")</f>
        <v/>
      </c>
      <c r="DT232" s="96">
        <f>IFERROR(VLOOKUP($B232,INDIRECT("'GRD-"&amp;DT$11&amp;"'!B:R"),15,FALSE),"")</f>
        <v/>
      </c>
      <c r="DU232" s="96">
        <f>IFERROR(VLOOKUP($B232,INDIRECT("'GRD-"&amp;DU$11&amp;"'!B:R"),15,FALSE),"")</f>
        <v/>
      </c>
      <c r="DV232" s="96">
        <f>IFERROR(VLOOKUP($B232,INDIRECT("'GRD-"&amp;DV$11&amp;"'!B:R"),15,FALSE),"")</f>
        <v/>
      </c>
      <c r="DW232" s="96">
        <f>IFERROR(VLOOKUP($B232,INDIRECT("'GRD-"&amp;DW$11&amp;"'!B:R"),15,FALSE),"")</f>
        <v/>
      </c>
      <c r="DX232" s="96">
        <f>IFERROR(VLOOKUP($B232,INDIRECT("'GRD-"&amp;DX$11&amp;"'!B:R"),15,FALSE),"")</f>
        <v/>
      </c>
      <c r="DY232" s="96">
        <f>IFERROR(VLOOKUP($B232,INDIRECT("'GRD-"&amp;DY$11&amp;"'!B:R"),15,FALSE),"")</f>
        <v/>
      </c>
      <c r="DZ232" s="96">
        <f>IFERROR(VLOOKUP($B232,INDIRECT("'GRD-"&amp;DZ$11&amp;"'!B:R"),15,FALSE),"")</f>
        <v/>
      </c>
      <c r="EA232" s="96">
        <f>IFERROR(VLOOKUP($B232,INDIRECT("'GRD-"&amp;EA$11&amp;"'!B:R"),15,FALSE),"")</f>
        <v/>
      </c>
      <c r="EB232" s="96">
        <f>IFERROR(VLOOKUP($B232,INDIRECT("'GRD-"&amp;EB$11&amp;"'!B:R"),15,FALSE),"")</f>
        <v/>
      </c>
      <c r="EC232" s="96">
        <f>IFERROR(VLOOKUP($B232,INDIRECT("'GRD-"&amp;EC$11&amp;"'!B:R"),15,FALSE),"")</f>
        <v/>
      </c>
      <c r="ED232" s="96">
        <f>IFERROR(VLOOKUP($B232,INDIRECT("'GRD-"&amp;ED$11&amp;"'!B:R"),15,FALSE),"")</f>
        <v/>
      </c>
      <c r="EE232" s="96">
        <f>IFERROR(VLOOKUP($B232,INDIRECT("'GRD-"&amp;EE$11&amp;"'!B:R"),15,FALSE),"")</f>
        <v/>
      </c>
      <c r="EF232" s="96">
        <f>IFERROR(VLOOKUP($B232,INDIRECT("'GRD-"&amp;EF$11&amp;"'!B:R"),15,FALSE),"")</f>
        <v/>
      </c>
      <c r="EG232" s="96">
        <f>IFERROR(VLOOKUP($B232,INDIRECT("'GRD-"&amp;EG$11&amp;"'!B:R"),15,FALSE),"")</f>
        <v/>
      </c>
      <c r="EH232" s="96">
        <f>IFERROR(VLOOKUP($B232,INDIRECT("'GRD-"&amp;EH$11&amp;"'!B:R"),15,FALSE),"")</f>
        <v/>
      </c>
      <c r="EI232" s="96">
        <f>IFERROR(VLOOKUP($B232,INDIRECT("'GRD-"&amp;EI$11&amp;"'!B:R"),15,FALSE),"")</f>
        <v/>
      </c>
      <c r="EJ232" s="96">
        <f>IFERROR(VLOOKUP($B232,INDIRECT("'GRD-"&amp;EJ$11&amp;"'!B:R"),15,FALSE),"")</f>
        <v/>
      </c>
      <c r="EK232" s="96">
        <f>IFERROR(VLOOKUP($B232,INDIRECT("'GRD-"&amp;EK$11&amp;"'!B:R"),15,FALSE),"")</f>
        <v/>
      </c>
      <c r="EL232" s="96">
        <f>IFERROR(VLOOKUP($B232,INDIRECT("'GRD-"&amp;EL$11&amp;"'!B:R"),15,FALSE),"")</f>
        <v/>
      </c>
      <c r="EM232" s="96">
        <f>IFERROR(VLOOKUP($B232,INDIRECT("'GRD-"&amp;EM$11&amp;"'!B:R"),15,FALSE),"")</f>
        <v/>
      </c>
      <c r="EN232" s="96">
        <f>IFERROR(VLOOKUP($B232,INDIRECT("'GRD-"&amp;EN$11&amp;"'!B:R"),15,FALSE),"")</f>
        <v/>
      </c>
      <c r="EO232" s="96">
        <f>IFERROR(VLOOKUP($B232,INDIRECT("'GRD-"&amp;EO$11&amp;"'!B:R"),15,FALSE),"")</f>
        <v/>
      </c>
      <c r="EP232" s="96">
        <f>IFERROR(VLOOKUP($B232,INDIRECT("'GRD-"&amp;EP$11&amp;"'!B:R"),15,FALSE),"")</f>
        <v/>
      </c>
      <c r="EQ232" s="96">
        <f>IFERROR(VLOOKUP($B232,INDIRECT("'GRD-"&amp;EQ$11&amp;"'!B:R"),15,FALSE),"")</f>
        <v/>
      </c>
      <c r="ER232" s="96">
        <f>IFERROR(VLOOKUP($B232,INDIRECT("'GRD-"&amp;ER$11&amp;"'!B:R"),15,FALSE),"")</f>
        <v/>
      </c>
      <c r="ES232" s="96">
        <f>IFERROR(VLOOKUP($B232,INDIRECT("'GRD-"&amp;ES$11&amp;"'!B:R"),15,FALSE),"")</f>
        <v/>
      </c>
      <c r="ET232" s="96">
        <f>IFERROR(VLOOKUP($B232,INDIRECT("'GRD-"&amp;ET$11&amp;"'!B:R"),15,FALSE),"")</f>
        <v/>
      </c>
      <c r="EU232" s="96">
        <f>IFERROR(VLOOKUP($B232,INDIRECT("'GRD-"&amp;EU$11&amp;"'!B:R"),15,FALSE),"")</f>
        <v/>
      </c>
      <c r="EV232" s="96">
        <f>IFERROR(VLOOKUP($B232,INDIRECT("'GRD-"&amp;EV$11&amp;"'!B:R"),15,FALSE),"")</f>
        <v/>
      </c>
      <c r="EW232" s="96">
        <f>IFERROR(VLOOKUP($B232,INDIRECT("'GRD-"&amp;EW$11&amp;"'!B:R"),15,FALSE),"")</f>
        <v/>
      </c>
      <c r="EX232" s="96">
        <f>IFERROR(VLOOKUP($B232,INDIRECT("'GRD-"&amp;EX$11&amp;"'!B:R"),15,FALSE),"")</f>
        <v/>
      </c>
      <c r="EY232" s="96">
        <f>IFERROR(VLOOKUP($B232,INDIRECT("'GRD-"&amp;EY$11&amp;"'!B:R"),15,FALSE),"")</f>
        <v/>
      </c>
      <c r="EZ232" s="96">
        <f>IFERROR(VLOOKUP($B232,INDIRECT("'GRD-"&amp;EZ$11&amp;"'!B:R"),15,FALSE),"")</f>
        <v/>
      </c>
      <c r="FA232" s="96">
        <f>IFERROR(VLOOKUP($B232,INDIRECT("'GRD-"&amp;FA$11&amp;"'!B:R"),15,FALSE),"")</f>
        <v/>
      </c>
      <c r="FB232" s="96">
        <f>IFERROR(VLOOKUP($B232,INDIRECT("'GRD-"&amp;FB$11&amp;"'!B:R"),15,FALSE),"")</f>
        <v/>
      </c>
      <c r="FC232" s="96">
        <f>IFERROR(VLOOKUP($B232,INDIRECT("'GRD-"&amp;FC$11&amp;"'!B:R"),15,FALSE),"")</f>
        <v/>
      </c>
      <c r="FD232" s="96">
        <f>IFERROR(VLOOKUP($B232,INDIRECT("'GRD-"&amp;FD$11&amp;"'!B:R"),15,FALSE),"")</f>
        <v/>
      </c>
      <c r="FE232" s="96">
        <f>IFERROR(VLOOKUP($B232,INDIRECT("'GRD-"&amp;FE$11&amp;"'!B:R"),15,FALSE),"")</f>
        <v/>
      </c>
      <c r="FF232" s="96">
        <f>IFERROR(VLOOKUP($B232,INDIRECT("'GRD-"&amp;FF$11&amp;"'!B:R"),15,FALSE),"")</f>
        <v/>
      </c>
      <c r="FG232" s="96">
        <f>IFERROR(VLOOKUP($B232,INDIRECT("'GRD-"&amp;FG$11&amp;"'!B:R"),15,FALSE),"")</f>
        <v/>
      </c>
      <c r="FH232" s="96">
        <f>IFERROR(VLOOKUP($B232,INDIRECT("'GRD-"&amp;FH$11&amp;"'!B:R"),15,FALSE),"")</f>
        <v/>
      </c>
      <c r="FI232" s="96">
        <f>IFERROR(VLOOKUP($B232,INDIRECT("'GRD-"&amp;FI$11&amp;"'!B:R"),15,FALSE),"")</f>
        <v/>
      </c>
      <c r="FJ232" s="96">
        <f>IFERROR(VLOOKUP($B232,INDIRECT("'GRD-"&amp;FJ$11&amp;"'!B:R"),15,FALSE),"")</f>
        <v/>
      </c>
      <c r="FK232" s="96">
        <f>IFERROR(VLOOKUP($B232,INDIRECT("'GRD-"&amp;FK$11&amp;"'!B:R"),15,FALSE),"")</f>
        <v/>
      </c>
      <c r="FL232" s="96">
        <f>IFERROR(VLOOKUP($B232,INDIRECT("'GRD-"&amp;FL$11&amp;"'!B:R"),15,FALSE),"")</f>
        <v/>
      </c>
      <c r="FM232" s="96">
        <f>IFERROR(VLOOKUP($B232,INDIRECT("'GRD-"&amp;FM$11&amp;"'!B:R"),15,FALSE),"")</f>
        <v/>
      </c>
      <c r="FN232" s="96">
        <f>IFERROR(VLOOKUP($B232,INDIRECT("'GRD-"&amp;FN$11&amp;"'!B:R"),15,FALSE),"")</f>
        <v/>
      </c>
      <c r="FO232" s="96">
        <f>IFERROR(VLOOKUP($B232,INDIRECT("'GRD-"&amp;FO$11&amp;"'!B:R"),15,FALSE),"")</f>
        <v/>
      </c>
      <c r="FP232" s="96">
        <f>IFERROR(VLOOKUP($B232,INDIRECT("'GRD-"&amp;FP$11&amp;"'!B:R"),15,FALSE),"")</f>
        <v/>
      </c>
      <c r="FQ232" s="96">
        <f>IFERROR(VLOOKUP($B232,INDIRECT("'GRD-"&amp;FQ$11&amp;"'!B:R"),15,FALSE),"")</f>
        <v/>
      </c>
      <c r="FR232" s="96">
        <f>IFERROR(VLOOKUP($B232,INDIRECT("'GRD-"&amp;FR$11&amp;"'!B:R"),15,FALSE),"")</f>
        <v/>
      </c>
      <c r="FS232" s="96">
        <f>IFERROR(VLOOKUP($B232,INDIRECT("'GRD-"&amp;FS$11&amp;"'!B:R"),15,FALSE),"")</f>
        <v/>
      </c>
      <c r="FT232" s="96">
        <f>IFERROR(VLOOKUP($B232,INDIRECT("'GRD-"&amp;FT$11&amp;"'!B:R"),15,FALSE),"")</f>
        <v/>
      </c>
      <c r="FU232" s="96">
        <f>IFERROR(VLOOKUP($B232,INDIRECT("'GRD-"&amp;FU$11&amp;"'!B:R"),15,FALSE),"")</f>
        <v/>
      </c>
      <c r="FV232" s="96">
        <f>IFERROR(VLOOKUP($B232,INDIRECT("'GRD-"&amp;FV$11&amp;"'!B:R"),15,FALSE),"")</f>
        <v/>
      </c>
    </row>
    <row r="233">
      <c r="B233" s="85" t="n"/>
      <c r="C233" s="93" t="n"/>
      <c r="D233" s="73">
        <f>IF(K233="","",MAX($CA233:$FV233))</f>
        <v/>
      </c>
      <c r="E233" s="74">
        <f t="array" ref="E233">IF($K233="","",OFFSET($A$1,ROW($B233)-1,11+$D233*4,))</f>
        <v/>
      </c>
      <c r="F233" s="74">
        <f t="array" ref="F233">IF($K233="","",OFFSET($A$1,ROW($B233)-1,12+$D233*4,))</f>
        <v/>
      </c>
      <c r="G233" s="118">
        <f t="array" ref="G233">IF($K233="","",OFFSET($A$1,ROW($B233)-1,13+$D233*4,))</f>
        <v/>
      </c>
      <c r="H233" s="81" t="n"/>
      <c r="I233" s="82" t="n"/>
      <c r="J233" s="75">
        <f>IF(I233="A4",H233/8,IF(I233="A3",H233/4,IF(I233="A2",H233/2,IF(I233="A1",H233/1,IF(I233="A0",H233*2,"")))))</f>
        <v/>
      </c>
      <c r="K233" s="68">
        <f t="array" ref="K233">IFERROR(OFFSET($BZ$11,ROW($B233)-11,MATCH(K$10,$CA233:$FV233,0),),"")</f>
        <v/>
      </c>
      <c r="L233" s="85">
        <f>IF(K233="","",IF(VLOOKUP($B233,INDIRECT("'GRD-"&amp;M233&amp;"'!$B:$R"),16,FALSE)="","",VLOOKUP($B233,INDIRECT("'GRD-"&amp;M233&amp;"'!$B:$R"),16,FALSE)))</f>
        <v/>
      </c>
      <c r="M233" s="130">
        <f t="array" ref="M233">IF(K233="","",IFERROR(OFFSET($BZ$11,0,MATCH($K233,$CA233:$FV233,0),),""))</f>
        <v/>
      </c>
      <c r="N233" s="119">
        <f t="array" ref="N233">IF(K233="","",INDIRECT("'GRD-"&amp;M233&amp;"'!$L$7"))</f>
        <v/>
      </c>
      <c r="O233" s="76">
        <f t="array" ref="O233">IFERROR(OFFSET($BZ$11,ROW($B233)-11,MATCH(O$10,$CA233:$FV233,0),),"")</f>
        <v/>
      </c>
      <c r="P233" s="76">
        <f>IF(O233="","",IF(VLOOKUP($B233,INDIRECT("'GRD-"&amp;Q233&amp;"'!$B:$R"),16,FALSE)="","",VLOOKUP($B233,INDIRECT("'GRD-"&amp;Q233&amp;"'!$B:$R"),16,FALSE)))</f>
        <v/>
      </c>
      <c r="Q233" s="132">
        <f t="array" ref="Q233">IF(O233="","",IFERROR(OFFSET($BZ$11,0,MATCH($O233,$CA233:$FV233,0),),""))</f>
        <v/>
      </c>
      <c r="R233" s="121">
        <f t="array" ref="R233">IF(O233="","",INDIRECT("'GRD-"&amp;Q233&amp;"'!$L$7"))</f>
        <v/>
      </c>
      <c r="S233" s="83">
        <f t="array" ref="S233">IFERROR(OFFSET($BZ$11,ROW($B233)-11,MATCH(S$10,$CA233:$FV233,0),),"")</f>
        <v/>
      </c>
      <c r="T233" s="83">
        <f>IF(S233="","",IF(VLOOKUP($B233,INDIRECT("'GRD-"&amp;U233&amp;"'!$B:$R"),16,FALSE)="","",VLOOKUP($B233,INDIRECT("'GRD-"&amp;U233&amp;"'!$B:$R"),16,FALSE)))</f>
        <v/>
      </c>
      <c r="U233" s="128">
        <f t="array" ref="U233">IF(S233="","",IFERROR(OFFSET($BZ$11,0,MATCH($S233,$CA233:$FV233,0),),""))</f>
        <v/>
      </c>
      <c r="V233" s="133">
        <f t="array" ref="V233">IF(S233="","",INDIRECT("'GRD-"&amp;U233&amp;"'!$L$7"))</f>
        <v/>
      </c>
      <c r="W233" s="84">
        <f t="array" ref="W233">IFERROR(OFFSET($BZ$11,ROW($B233)-11,MATCH(W$10,$CA233:$FV233,0),),"")</f>
        <v/>
      </c>
      <c r="X233" s="84">
        <f>IF(W233="","",IF(VLOOKUP($B233,INDIRECT("'GRD-"&amp;Y233&amp;"'!$B:$R"),16,FALSE)="","",VLOOKUP($B233,INDIRECT("'GRD-"&amp;Y233&amp;"'!$B:$R"),16,FALSE)))</f>
        <v/>
      </c>
      <c r="Y233" s="129">
        <f t="array" ref="Y233">IF(W233="","",IFERROR(OFFSET($BZ$11,0,MATCH($W233,$CA233:$FV233,0),),""))</f>
        <v/>
      </c>
      <c r="Z233" s="134">
        <f t="array" ref="Z233">IF(W233="","",INDIRECT("'GRD-"&amp;Y233&amp;"'!$L$7"))</f>
        <v/>
      </c>
      <c r="AA233" s="85">
        <f t="array" ref="AA233">IFERROR(OFFSET($BZ$11,ROW($B233)-11,MATCH(AA$10,$CA233:$FV233,0),),"")</f>
        <v/>
      </c>
      <c r="AB233" s="85">
        <f>IF(AA233="","",IF(VLOOKUP($B233,INDIRECT("'GRD-"&amp;AC233&amp;"'!$B:$R"),16,FALSE)="","",VLOOKUP($B233,INDIRECT("'GRD-"&amp;AC233&amp;"'!$B:$R"),16,FALSE)))</f>
        <v/>
      </c>
      <c r="AC233" s="130">
        <f t="array" ref="AC233">IF(AA233="","",IFERROR(OFFSET($BZ$11,0,MATCH($AA233,$CA233:$FV233,0),),""))</f>
        <v/>
      </c>
      <c r="AD233" s="131">
        <f t="array" ref="AD233">IF(AA233="","",INDIRECT("'GRD-"&amp;AC233&amp;"'!$L$7"))</f>
        <v/>
      </c>
      <c r="AE233" s="76">
        <f t="array" ref="AE233">IFERROR(OFFSET($BZ$11,ROW($B233)-11,MATCH(AE$10,$CA233:$FV233,0),),"")</f>
        <v/>
      </c>
      <c r="AF233" s="76">
        <f>IF(AE233="","",IF(VLOOKUP($B233,INDIRECT("'GRD-"&amp;AG233&amp;"'!$B:$R"),16,FALSE)="","",VLOOKUP($B233,INDIRECT("'GRD-"&amp;AG233&amp;"'!$B:$R"),16,FALSE)))</f>
        <v/>
      </c>
      <c r="AG233" s="132">
        <f t="array" ref="AG233">IF(AE233="","",IFERROR(OFFSET($BZ$11,0,MATCH($AE233,$CA233:$FV233,0),),""))</f>
        <v/>
      </c>
      <c r="AH233" s="121">
        <f t="array" ref="AH233">IF(AE233="","",INDIRECT("'GRD-"&amp;AG233&amp;"'!$L$7"))</f>
        <v/>
      </c>
      <c r="AI233" s="83">
        <f t="array" ref="AI233">IFERROR(OFFSET($BZ$11,ROW($B233)-11,MATCH(AI$10,$CA233:$FV233,0),),"")</f>
        <v/>
      </c>
      <c r="AJ233" s="83">
        <f>IF(AI233="","",IF(VLOOKUP($B233,INDIRECT("'GRD-"&amp;AK233&amp;"'!$B:$R"),16,FALSE)="","",VLOOKUP($B233,INDIRECT("'GRD-"&amp;AK233&amp;"'!$B:$R"),16,FALSE)))</f>
        <v/>
      </c>
      <c r="AK233" s="128">
        <f t="array" ref="AK233">IF(AI233="","",IFERROR(OFFSET($BZ$11,0,MATCH($AI233,$CA233:$FV233,0),),""))</f>
        <v/>
      </c>
      <c r="AL233" s="133">
        <f t="array" ref="AL233">IF(AI233="","",INDIRECT("'GRD-"&amp;AK233&amp;"'!$L$7"))</f>
        <v/>
      </c>
      <c r="AM233" s="84">
        <f t="array" ref="AM233">IFERROR(OFFSET($BZ$11,ROW($B233)-11,MATCH(AM$10,$CA233:$FV233,0),),"")</f>
        <v/>
      </c>
      <c r="AN233" s="84">
        <f>IF(AM233="","",IF(VLOOKUP($B233,INDIRECT("'GRD-"&amp;AO233&amp;"'!$B:$R"),16,FALSE)="","",VLOOKUP($B233,INDIRECT("'GRD-"&amp;AO233&amp;"'!$B:$R"),16,FALSE)))</f>
        <v/>
      </c>
      <c r="AO233" s="129">
        <f t="array" ref="AO233">IF(AM233="","",IFERROR(OFFSET($BZ$11,0,MATCH($AM233,$CA233:$FV233,0),),""))</f>
        <v/>
      </c>
      <c r="AP233" s="134">
        <f t="array" ref="AP233">IF(AM233="","",INDIRECT("'GRD-"&amp;AO233&amp;"'!$L$7"))</f>
        <v/>
      </c>
      <c r="AQ233" s="85">
        <f t="array" ref="AQ233">IFERROR(OFFSET($BZ$11,ROW($B233)-11,MATCH(AQ$10,$CA233:$FV233,0),),"")</f>
        <v/>
      </c>
      <c r="AR233" s="85">
        <f>IF(AQ233="","",IF(VLOOKUP($B233,INDIRECT("'GRD-"&amp;AS233&amp;"'!$B:$R"),16,FALSE)="","",VLOOKUP($B233,INDIRECT("'GRD-"&amp;AS233&amp;"'!$B:$R"),16,FALSE)))</f>
        <v/>
      </c>
      <c r="AS233" s="130">
        <f t="array" ref="AS233">IF(AQ233="","",IFERROR(OFFSET($BZ$11,0,MATCH($AQ233,$CA233:$FV233,0),),""))</f>
        <v/>
      </c>
      <c r="AT233" s="131">
        <f t="array" ref="AT233">IF(AQ233="","",INDIRECT("'GRD-"&amp;AS233&amp;"'!$L$7"))</f>
        <v/>
      </c>
      <c r="AU233" s="76">
        <f t="array" ref="AU233">IFERROR(OFFSET($BZ$11,ROW($B233)-11,MATCH(AU$10,$CA233:$FV233,0),),"")</f>
        <v/>
      </c>
      <c r="AV233" s="76">
        <f>IF(AU233="","",IF(VLOOKUP($B233,INDIRECT("'GRD-"&amp;AW233&amp;"'!$B:$R"),16,FALSE)="","",VLOOKUP($B233,INDIRECT("'GRD-"&amp;AW233&amp;"'!$B:$R"),16,FALSE)))</f>
        <v/>
      </c>
      <c r="AW233" s="132">
        <f t="array" ref="AW233">IF(AU233="","",IFERROR(OFFSET($BZ$11,0,MATCH($AU233,$CA233:$FV233,0),),""))</f>
        <v/>
      </c>
      <c r="AX233" s="121">
        <f t="array" ref="AX233">IF(AU233="","",INDIRECT("'GRD-"&amp;AW233&amp;"'!$L$7"))</f>
        <v/>
      </c>
      <c r="AY233" s="83">
        <f t="array" ref="AY233">IFERROR(OFFSET($BZ$11,ROW($B233)-11,MATCH(AY$10,$CA233:$FV233,0),),"")</f>
        <v/>
      </c>
      <c r="AZ233" s="83">
        <f>IF(AY233="","",IF(VLOOKUP($B233,INDIRECT("'GRD-"&amp;BA233&amp;"'!$B:$R"),16,FALSE)="","",VLOOKUP($B233,INDIRECT("'GRD-"&amp;BA233&amp;"'!$B:$R"),16,FALSE)))</f>
        <v/>
      </c>
      <c r="BA233" s="128">
        <f t="array" ref="BA233">IF(AY233="","",IFERROR(OFFSET($BZ$11,0,MATCH($AY233,$CA233:$FV233,0),),""))</f>
        <v/>
      </c>
      <c r="BB233" s="133">
        <f t="array" ref="BB233">IF(AY233="","",INDIRECT("'GRD-"&amp;BA233&amp;"'!$L$7"))</f>
        <v/>
      </c>
      <c r="BC233" s="84">
        <f t="array" ref="BC233">IFERROR(OFFSET($BZ$11,ROW($B233)-11,MATCH(BC$10,$CA233:$FV233,0),),"")</f>
        <v/>
      </c>
      <c r="BD233" s="84">
        <f>IF(BC233="","",IF(VLOOKUP($B233,INDIRECT("'GRD-"&amp;BE233&amp;"'!$B:$R"),16,FALSE)="","",VLOOKUP($B233,INDIRECT("'GRD-"&amp;BE233&amp;"'!$B:$R"),16,FALSE)))</f>
        <v/>
      </c>
      <c r="BE233" s="129">
        <f t="array" ref="BE233">IF(BC233="","",IFERROR(OFFSET($BZ$11,0,MATCH($BC233,$CA233:$FV233,0),),""))</f>
        <v/>
      </c>
      <c r="BF233" s="134">
        <f t="array" ref="BF233">IF(BC233="","",INDIRECT("'GRD-"&amp;BE233&amp;"'!$L$7"))</f>
        <v/>
      </c>
      <c r="CA233" s="96">
        <f>IFERROR(VLOOKUP($B233,INDIRECT("'GRD-"&amp;CA$11&amp;"'!B:R"),15,FALSE),"")</f>
        <v/>
      </c>
      <c r="CB233" s="96">
        <f>IFERROR(VLOOKUP($B233,INDIRECT("'GRD-"&amp;CB$11&amp;"'!B:R"),15,FALSE),"")</f>
        <v/>
      </c>
      <c r="CC233" s="96">
        <f>IFERROR(VLOOKUP($B233,INDIRECT("'GRD-"&amp;CC$11&amp;"'!B:R"),15,FALSE),"")</f>
        <v/>
      </c>
      <c r="CD233" s="96">
        <f>IFERROR(VLOOKUP($B233,INDIRECT("'GRD-"&amp;CD$11&amp;"'!B:R"),15,FALSE),"")</f>
        <v/>
      </c>
      <c r="CE233" s="96">
        <f>IFERROR(VLOOKUP($B233,INDIRECT("'GRD-"&amp;CE$11&amp;"'!B:R"),15,FALSE),"")</f>
        <v/>
      </c>
      <c r="CF233" s="96">
        <f>IFERROR(VLOOKUP($B233,INDIRECT("'GRD-"&amp;CF$11&amp;"'!B:R"),15,FALSE),"")</f>
        <v/>
      </c>
      <c r="CG233" s="96">
        <f>IFERROR(VLOOKUP($B233,INDIRECT("'GRD-"&amp;CG$11&amp;"'!B:R"),15,FALSE),"")</f>
        <v/>
      </c>
      <c r="CH233" s="96">
        <f>IFERROR(VLOOKUP($B233,INDIRECT("'GRD-"&amp;CH$11&amp;"'!B:R"),15,FALSE),"")</f>
        <v/>
      </c>
      <c r="CI233" s="96">
        <f>IFERROR(VLOOKUP($B233,INDIRECT("'GRD-"&amp;CI$11&amp;"'!B:R"),15,FALSE),"")</f>
        <v/>
      </c>
      <c r="CJ233" s="96">
        <f>IFERROR(VLOOKUP($B233,INDIRECT("'GRD-"&amp;CJ$11&amp;"'!B:R"),15,FALSE),"")</f>
        <v/>
      </c>
      <c r="CK233" s="96">
        <f>IFERROR(VLOOKUP($B233,INDIRECT("'GRD-"&amp;CK$11&amp;"'!B:R"),15,FALSE),"")</f>
        <v/>
      </c>
      <c r="CL233" s="96">
        <f>IFERROR(VLOOKUP($B233,INDIRECT("'GRD-"&amp;CL$11&amp;"'!B:R"),15,FALSE),"")</f>
        <v/>
      </c>
      <c r="CM233" s="96">
        <f>IFERROR(VLOOKUP($B233,INDIRECT("'GRD-"&amp;CM$11&amp;"'!B:R"),15,FALSE),"")</f>
        <v/>
      </c>
      <c r="CN233" s="96">
        <f>IFERROR(VLOOKUP($B233,INDIRECT("'GRD-"&amp;CN$11&amp;"'!B:R"),15,FALSE),"")</f>
        <v/>
      </c>
      <c r="CO233" s="96">
        <f>IFERROR(VLOOKUP($B233,INDIRECT("'GRD-"&amp;CO$11&amp;"'!B:R"),15,FALSE),"")</f>
        <v/>
      </c>
      <c r="CP233" s="96">
        <f>IFERROR(VLOOKUP($B233,INDIRECT("'GRD-"&amp;CP$11&amp;"'!B:R"),15,FALSE),"")</f>
        <v/>
      </c>
      <c r="CQ233" s="96">
        <f>IFERROR(VLOOKUP($B233,INDIRECT("'GRD-"&amp;CQ$11&amp;"'!B:R"),15,FALSE),"")</f>
        <v/>
      </c>
      <c r="CR233" s="96">
        <f>IFERROR(VLOOKUP($B233,INDIRECT("'GRD-"&amp;CR$11&amp;"'!B:R"),15,FALSE),"")</f>
        <v/>
      </c>
      <c r="CS233" s="96">
        <f>IFERROR(VLOOKUP($B233,INDIRECT("'GRD-"&amp;CS$11&amp;"'!B:R"),15,FALSE),"")</f>
        <v/>
      </c>
      <c r="CT233" s="96">
        <f>IFERROR(VLOOKUP($B233,INDIRECT("'GRD-"&amp;CT$11&amp;"'!B:R"),15,FALSE),"")</f>
        <v/>
      </c>
      <c r="CU233" s="96">
        <f>IFERROR(VLOOKUP($B233,INDIRECT("'GRD-"&amp;CU$11&amp;"'!B:R"),15,FALSE),"")</f>
        <v/>
      </c>
      <c r="CV233" s="96">
        <f>IFERROR(VLOOKUP($B233,INDIRECT("'GRD-"&amp;CV$11&amp;"'!B:R"),15,FALSE),"")</f>
        <v/>
      </c>
      <c r="CW233" s="96">
        <f>IFERROR(VLOOKUP($B233,INDIRECT("'GRD-"&amp;CW$11&amp;"'!B:R"),15,FALSE),"")</f>
        <v/>
      </c>
      <c r="CX233" s="96">
        <f>IFERROR(VLOOKUP($B233,INDIRECT("'GRD-"&amp;CX$11&amp;"'!B:R"),15,FALSE),"")</f>
        <v/>
      </c>
      <c r="CY233" s="96">
        <f>IFERROR(VLOOKUP($B233,INDIRECT("'GRD-"&amp;CY$11&amp;"'!B:R"),15,FALSE),"")</f>
        <v/>
      </c>
      <c r="CZ233" s="96">
        <f>IFERROR(VLOOKUP($B233,INDIRECT("'GRD-"&amp;CZ$11&amp;"'!B:R"),15,FALSE),"")</f>
        <v/>
      </c>
      <c r="DA233" s="96">
        <f>IFERROR(VLOOKUP($B233,INDIRECT("'GRD-"&amp;DA$11&amp;"'!B:R"),15,FALSE),"")</f>
        <v/>
      </c>
      <c r="DB233" s="96">
        <f>IFERROR(VLOOKUP($B233,INDIRECT("'GRD-"&amp;DB$11&amp;"'!B:R"),15,FALSE),"")</f>
        <v/>
      </c>
      <c r="DC233" s="96">
        <f>IFERROR(VLOOKUP($B233,INDIRECT("'GRD-"&amp;DC$11&amp;"'!B:R"),15,FALSE),"")</f>
        <v/>
      </c>
      <c r="DD233" s="96">
        <f>IFERROR(VLOOKUP($B233,INDIRECT("'GRD-"&amp;DD$11&amp;"'!B:R"),15,FALSE),"")</f>
        <v/>
      </c>
      <c r="DE233" s="96">
        <f>IFERROR(VLOOKUP($B233,INDIRECT("'GRD-"&amp;DE$11&amp;"'!B:R"),15,FALSE),"")</f>
        <v/>
      </c>
      <c r="DF233" s="96">
        <f>IFERROR(VLOOKUP($B233,INDIRECT("'GRD-"&amp;DF$11&amp;"'!B:R"),15,FALSE),"")</f>
        <v/>
      </c>
      <c r="DG233" s="96">
        <f>IFERROR(VLOOKUP($B233,INDIRECT("'GRD-"&amp;DG$11&amp;"'!B:R"),15,FALSE),"")</f>
        <v/>
      </c>
      <c r="DH233" s="96">
        <f>IFERROR(VLOOKUP($B233,INDIRECT("'GRD-"&amp;DH$11&amp;"'!B:R"),15,FALSE),"")</f>
        <v/>
      </c>
      <c r="DI233" s="96">
        <f>IFERROR(VLOOKUP($B233,INDIRECT("'GRD-"&amp;DI$11&amp;"'!B:R"),15,FALSE),"")</f>
        <v/>
      </c>
      <c r="DJ233" s="96">
        <f>IFERROR(VLOOKUP($B233,INDIRECT("'GRD-"&amp;DJ$11&amp;"'!B:R"),15,FALSE),"")</f>
        <v/>
      </c>
      <c r="DK233" s="96">
        <f>IFERROR(VLOOKUP($B233,INDIRECT("'GRD-"&amp;DK$11&amp;"'!B:R"),15,FALSE),"")</f>
        <v/>
      </c>
      <c r="DL233" s="96">
        <f>IFERROR(VLOOKUP($B233,INDIRECT("'GRD-"&amp;DL$11&amp;"'!B:R"),15,FALSE),"")</f>
        <v/>
      </c>
      <c r="DM233" s="96">
        <f>IFERROR(VLOOKUP($B233,INDIRECT("'GRD-"&amp;DM$11&amp;"'!B:R"),15,FALSE),"")</f>
        <v/>
      </c>
      <c r="DN233" s="96">
        <f>IFERROR(VLOOKUP($B233,INDIRECT("'GRD-"&amp;DN$11&amp;"'!B:R"),15,FALSE),"")</f>
        <v/>
      </c>
      <c r="DO233" s="96">
        <f>IFERROR(VLOOKUP($B233,INDIRECT("'GRD-"&amp;DO$11&amp;"'!B:R"),15,FALSE),"")</f>
        <v/>
      </c>
      <c r="DP233" s="96">
        <f>IFERROR(VLOOKUP($B233,INDIRECT("'GRD-"&amp;DP$11&amp;"'!B:R"),15,FALSE),"")</f>
        <v/>
      </c>
      <c r="DQ233" s="96">
        <f>IFERROR(VLOOKUP($B233,INDIRECT("'GRD-"&amp;DQ$11&amp;"'!B:R"),15,FALSE),"")</f>
        <v/>
      </c>
      <c r="DR233" s="96">
        <f>IFERROR(VLOOKUP($B233,INDIRECT("'GRD-"&amp;DR$11&amp;"'!B:R"),15,FALSE),"")</f>
        <v/>
      </c>
      <c r="DS233" s="96">
        <f>IFERROR(VLOOKUP($B233,INDIRECT("'GRD-"&amp;DS$11&amp;"'!B:R"),15,FALSE),"")</f>
        <v/>
      </c>
      <c r="DT233" s="96">
        <f>IFERROR(VLOOKUP($B233,INDIRECT("'GRD-"&amp;DT$11&amp;"'!B:R"),15,FALSE),"")</f>
        <v/>
      </c>
      <c r="DU233" s="96">
        <f>IFERROR(VLOOKUP($B233,INDIRECT("'GRD-"&amp;DU$11&amp;"'!B:R"),15,FALSE),"")</f>
        <v/>
      </c>
      <c r="DV233" s="96">
        <f>IFERROR(VLOOKUP($B233,INDIRECT("'GRD-"&amp;DV$11&amp;"'!B:R"),15,FALSE),"")</f>
        <v/>
      </c>
      <c r="DW233" s="96">
        <f>IFERROR(VLOOKUP($B233,INDIRECT("'GRD-"&amp;DW$11&amp;"'!B:R"),15,FALSE),"")</f>
        <v/>
      </c>
      <c r="DX233" s="96">
        <f>IFERROR(VLOOKUP($B233,INDIRECT("'GRD-"&amp;DX$11&amp;"'!B:R"),15,FALSE),"")</f>
        <v/>
      </c>
      <c r="DY233" s="96">
        <f>IFERROR(VLOOKUP($B233,INDIRECT("'GRD-"&amp;DY$11&amp;"'!B:R"),15,FALSE),"")</f>
        <v/>
      </c>
      <c r="DZ233" s="96">
        <f>IFERROR(VLOOKUP($B233,INDIRECT("'GRD-"&amp;DZ$11&amp;"'!B:R"),15,FALSE),"")</f>
        <v/>
      </c>
      <c r="EA233" s="96">
        <f>IFERROR(VLOOKUP($B233,INDIRECT("'GRD-"&amp;EA$11&amp;"'!B:R"),15,FALSE),"")</f>
        <v/>
      </c>
      <c r="EB233" s="96">
        <f>IFERROR(VLOOKUP($B233,INDIRECT("'GRD-"&amp;EB$11&amp;"'!B:R"),15,FALSE),"")</f>
        <v/>
      </c>
      <c r="EC233" s="96">
        <f>IFERROR(VLOOKUP($B233,INDIRECT("'GRD-"&amp;EC$11&amp;"'!B:R"),15,FALSE),"")</f>
        <v/>
      </c>
      <c r="ED233" s="96">
        <f>IFERROR(VLOOKUP($B233,INDIRECT("'GRD-"&amp;ED$11&amp;"'!B:R"),15,FALSE),"")</f>
        <v/>
      </c>
      <c r="EE233" s="96">
        <f>IFERROR(VLOOKUP($B233,INDIRECT("'GRD-"&amp;EE$11&amp;"'!B:R"),15,FALSE),"")</f>
        <v/>
      </c>
      <c r="EF233" s="96">
        <f>IFERROR(VLOOKUP($B233,INDIRECT("'GRD-"&amp;EF$11&amp;"'!B:R"),15,FALSE),"")</f>
        <v/>
      </c>
      <c r="EG233" s="96">
        <f>IFERROR(VLOOKUP($B233,INDIRECT("'GRD-"&amp;EG$11&amp;"'!B:R"),15,FALSE),"")</f>
        <v/>
      </c>
      <c r="EH233" s="96">
        <f>IFERROR(VLOOKUP($B233,INDIRECT("'GRD-"&amp;EH$11&amp;"'!B:R"),15,FALSE),"")</f>
        <v/>
      </c>
      <c r="EI233" s="96">
        <f>IFERROR(VLOOKUP($B233,INDIRECT("'GRD-"&amp;EI$11&amp;"'!B:R"),15,FALSE),"")</f>
        <v/>
      </c>
      <c r="EJ233" s="96">
        <f>IFERROR(VLOOKUP($B233,INDIRECT("'GRD-"&amp;EJ$11&amp;"'!B:R"),15,FALSE),"")</f>
        <v/>
      </c>
      <c r="EK233" s="96">
        <f>IFERROR(VLOOKUP($B233,INDIRECT("'GRD-"&amp;EK$11&amp;"'!B:R"),15,FALSE),"")</f>
        <v/>
      </c>
      <c r="EL233" s="96">
        <f>IFERROR(VLOOKUP($B233,INDIRECT("'GRD-"&amp;EL$11&amp;"'!B:R"),15,FALSE),"")</f>
        <v/>
      </c>
      <c r="EM233" s="96">
        <f>IFERROR(VLOOKUP($B233,INDIRECT("'GRD-"&amp;EM$11&amp;"'!B:R"),15,FALSE),"")</f>
        <v/>
      </c>
      <c r="EN233" s="96">
        <f>IFERROR(VLOOKUP($B233,INDIRECT("'GRD-"&amp;EN$11&amp;"'!B:R"),15,FALSE),"")</f>
        <v/>
      </c>
      <c r="EO233" s="96">
        <f>IFERROR(VLOOKUP($B233,INDIRECT("'GRD-"&amp;EO$11&amp;"'!B:R"),15,FALSE),"")</f>
        <v/>
      </c>
      <c r="EP233" s="96">
        <f>IFERROR(VLOOKUP($B233,INDIRECT("'GRD-"&amp;EP$11&amp;"'!B:R"),15,FALSE),"")</f>
        <v/>
      </c>
      <c r="EQ233" s="96">
        <f>IFERROR(VLOOKUP($B233,INDIRECT("'GRD-"&amp;EQ$11&amp;"'!B:R"),15,FALSE),"")</f>
        <v/>
      </c>
      <c r="ER233" s="96">
        <f>IFERROR(VLOOKUP($B233,INDIRECT("'GRD-"&amp;ER$11&amp;"'!B:R"),15,FALSE),"")</f>
        <v/>
      </c>
      <c r="ES233" s="96">
        <f>IFERROR(VLOOKUP($B233,INDIRECT("'GRD-"&amp;ES$11&amp;"'!B:R"),15,FALSE),"")</f>
        <v/>
      </c>
      <c r="ET233" s="96">
        <f>IFERROR(VLOOKUP($B233,INDIRECT("'GRD-"&amp;ET$11&amp;"'!B:R"),15,FALSE),"")</f>
        <v/>
      </c>
      <c r="EU233" s="96">
        <f>IFERROR(VLOOKUP($B233,INDIRECT("'GRD-"&amp;EU$11&amp;"'!B:R"),15,FALSE),"")</f>
        <v/>
      </c>
      <c r="EV233" s="96">
        <f>IFERROR(VLOOKUP($B233,INDIRECT("'GRD-"&amp;EV$11&amp;"'!B:R"),15,FALSE),"")</f>
        <v/>
      </c>
      <c r="EW233" s="96">
        <f>IFERROR(VLOOKUP($B233,INDIRECT("'GRD-"&amp;EW$11&amp;"'!B:R"),15,FALSE),"")</f>
        <v/>
      </c>
      <c r="EX233" s="96">
        <f>IFERROR(VLOOKUP($B233,INDIRECT("'GRD-"&amp;EX$11&amp;"'!B:R"),15,FALSE),"")</f>
        <v/>
      </c>
      <c r="EY233" s="96">
        <f>IFERROR(VLOOKUP($B233,INDIRECT("'GRD-"&amp;EY$11&amp;"'!B:R"),15,FALSE),"")</f>
        <v/>
      </c>
      <c r="EZ233" s="96">
        <f>IFERROR(VLOOKUP($B233,INDIRECT("'GRD-"&amp;EZ$11&amp;"'!B:R"),15,FALSE),"")</f>
        <v/>
      </c>
      <c r="FA233" s="96">
        <f>IFERROR(VLOOKUP($B233,INDIRECT("'GRD-"&amp;FA$11&amp;"'!B:R"),15,FALSE),"")</f>
        <v/>
      </c>
      <c r="FB233" s="96">
        <f>IFERROR(VLOOKUP($B233,INDIRECT("'GRD-"&amp;FB$11&amp;"'!B:R"),15,FALSE),"")</f>
        <v/>
      </c>
      <c r="FC233" s="96">
        <f>IFERROR(VLOOKUP($B233,INDIRECT("'GRD-"&amp;FC$11&amp;"'!B:R"),15,FALSE),"")</f>
        <v/>
      </c>
      <c r="FD233" s="96">
        <f>IFERROR(VLOOKUP($B233,INDIRECT("'GRD-"&amp;FD$11&amp;"'!B:R"),15,FALSE),"")</f>
        <v/>
      </c>
      <c r="FE233" s="96">
        <f>IFERROR(VLOOKUP($B233,INDIRECT("'GRD-"&amp;FE$11&amp;"'!B:R"),15,FALSE),"")</f>
        <v/>
      </c>
      <c r="FF233" s="96">
        <f>IFERROR(VLOOKUP($B233,INDIRECT("'GRD-"&amp;FF$11&amp;"'!B:R"),15,FALSE),"")</f>
        <v/>
      </c>
      <c r="FG233" s="96">
        <f>IFERROR(VLOOKUP($B233,INDIRECT("'GRD-"&amp;FG$11&amp;"'!B:R"),15,FALSE),"")</f>
        <v/>
      </c>
      <c r="FH233" s="96">
        <f>IFERROR(VLOOKUP($B233,INDIRECT("'GRD-"&amp;FH$11&amp;"'!B:R"),15,FALSE),"")</f>
        <v/>
      </c>
      <c r="FI233" s="96">
        <f>IFERROR(VLOOKUP($B233,INDIRECT("'GRD-"&amp;FI$11&amp;"'!B:R"),15,FALSE),"")</f>
        <v/>
      </c>
      <c r="FJ233" s="96">
        <f>IFERROR(VLOOKUP($B233,INDIRECT("'GRD-"&amp;FJ$11&amp;"'!B:R"),15,FALSE),"")</f>
        <v/>
      </c>
      <c r="FK233" s="96">
        <f>IFERROR(VLOOKUP($B233,INDIRECT("'GRD-"&amp;FK$11&amp;"'!B:R"),15,FALSE),"")</f>
        <v/>
      </c>
      <c r="FL233" s="96">
        <f>IFERROR(VLOOKUP($B233,INDIRECT("'GRD-"&amp;FL$11&amp;"'!B:R"),15,FALSE),"")</f>
        <v/>
      </c>
      <c r="FM233" s="96">
        <f>IFERROR(VLOOKUP($B233,INDIRECT("'GRD-"&amp;FM$11&amp;"'!B:R"),15,FALSE),"")</f>
        <v/>
      </c>
      <c r="FN233" s="96">
        <f>IFERROR(VLOOKUP($B233,INDIRECT("'GRD-"&amp;FN$11&amp;"'!B:R"),15,FALSE),"")</f>
        <v/>
      </c>
      <c r="FO233" s="96">
        <f>IFERROR(VLOOKUP($B233,INDIRECT("'GRD-"&amp;FO$11&amp;"'!B:R"),15,FALSE),"")</f>
        <v/>
      </c>
      <c r="FP233" s="96">
        <f>IFERROR(VLOOKUP($B233,INDIRECT("'GRD-"&amp;FP$11&amp;"'!B:R"),15,FALSE),"")</f>
        <v/>
      </c>
      <c r="FQ233" s="96">
        <f>IFERROR(VLOOKUP($B233,INDIRECT("'GRD-"&amp;FQ$11&amp;"'!B:R"),15,FALSE),"")</f>
        <v/>
      </c>
      <c r="FR233" s="96">
        <f>IFERROR(VLOOKUP($B233,INDIRECT("'GRD-"&amp;FR$11&amp;"'!B:R"),15,FALSE),"")</f>
        <v/>
      </c>
      <c r="FS233" s="96">
        <f>IFERROR(VLOOKUP($B233,INDIRECT("'GRD-"&amp;FS$11&amp;"'!B:R"),15,FALSE),"")</f>
        <v/>
      </c>
      <c r="FT233" s="96">
        <f>IFERROR(VLOOKUP($B233,INDIRECT("'GRD-"&amp;FT$11&amp;"'!B:R"),15,FALSE),"")</f>
        <v/>
      </c>
      <c r="FU233" s="96">
        <f>IFERROR(VLOOKUP($B233,INDIRECT("'GRD-"&amp;FU$11&amp;"'!B:R"),15,FALSE),"")</f>
        <v/>
      </c>
      <c r="FV233" s="96">
        <f>IFERROR(VLOOKUP($B233,INDIRECT("'GRD-"&amp;FV$11&amp;"'!B:R"),15,FALSE),"")</f>
        <v/>
      </c>
    </row>
    <row r="234">
      <c r="B234" s="85" t="n"/>
      <c r="C234" s="93" t="n"/>
      <c r="D234" s="73">
        <f>IF(K234="","",MAX($CA234:$FV234))</f>
        <v/>
      </c>
      <c r="E234" s="74">
        <f t="array" ref="E234">IF($K234="","",OFFSET($A$1,ROW($B234)-1,11+$D234*4,))</f>
        <v/>
      </c>
      <c r="F234" s="74">
        <f t="array" ref="F234">IF($K234="","",OFFSET($A$1,ROW($B234)-1,12+$D234*4,))</f>
        <v/>
      </c>
      <c r="G234" s="118">
        <f t="array" ref="G234">IF($K234="","",OFFSET($A$1,ROW($B234)-1,13+$D234*4,))</f>
        <v/>
      </c>
      <c r="H234" s="81" t="n"/>
      <c r="I234" s="82" t="n"/>
      <c r="J234" s="75">
        <f>IF(I234="A4",H234/8,IF(I234="A3",H234/4,IF(I234="A2",H234/2,IF(I234="A1",H234/1,IF(I234="A0",H234*2,"")))))</f>
        <v/>
      </c>
      <c r="K234" s="68">
        <f t="array" ref="K234">IFERROR(OFFSET($BZ$11,ROW($B234)-11,MATCH(K$10,$CA234:$FV234,0),),"")</f>
        <v/>
      </c>
      <c r="L234" s="85">
        <f>IF(K234="","",IF(VLOOKUP($B234,INDIRECT("'GRD-"&amp;M234&amp;"'!$B:$R"),16,FALSE)="","",VLOOKUP($B234,INDIRECT("'GRD-"&amp;M234&amp;"'!$B:$R"),16,FALSE)))</f>
        <v/>
      </c>
      <c r="M234" s="130">
        <f t="array" ref="M234">IF(K234="","",IFERROR(OFFSET($BZ$11,0,MATCH($K234,$CA234:$FV234,0),),""))</f>
        <v/>
      </c>
      <c r="N234" s="119">
        <f t="array" ref="N234">IF(K234="","",INDIRECT("'GRD-"&amp;M234&amp;"'!$L$7"))</f>
        <v/>
      </c>
      <c r="O234" s="76">
        <f t="array" ref="O234">IFERROR(OFFSET($BZ$11,ROW($B234)-11,MATCH(O$10,$CA234:$FV234,0),),"")</f>
        <v/>
      </c>
      <c r="P234" s="76">
        <f>IF(O234="","",IF(VLOOKUP($B234,INDIRECT("'GRD-"&amp;Q234&amp;"'!$B:$R"),16,FALSE)="","",VLOOKUP($B234,INDIRECT("'GRD-"&amp;Q234&amp;"'!$B:$R"),16,FALSE)))</f>
        <v/>
      </c>
      <c r="Q234" s="132">
        <f t="array" ref="Q234">IF(O234="","",IFERROR(OFFSET($BZ$11,0,MATCH($O234,$CA234:$FV234,0),),""))</f>
        <v/>
      </c>
      <c r="R234" s="121">
        <f t="array" ref="R234">IF(O234="","",INDIRECT("'GRD-"&amp;Q234&amp;"'!$L$7"))</f>
        <v/>
      </c>
      <c r="S234" s="83">
        <f t="array" ref="S234">IFERROR(OFFSET($BZ$11,ROW($B234)-11,MATCH(S$10,$CA234:$FV234,0),),"")</f>
        <v/>
      </c>
      <c r="T234" s="83">
        <f>IF(S234="","",IF(VLOOKUP($B234,INDIRECT("'GRD-"&amp;U234&amp;"'!$B:$R"),16,FALSE)="","",VLOOKUP($B234,INDIRECT("'GRD-"&amp;U234&amp;"'!$B:$R"),16,FALSE)))</f>
        <v/>
      </c>
      <c r="U234" s="128">
        <f t="array" ref="U234">IF(S234="","",IFERROR(OFFSET($BZ$11,0,MATCH($S234,$CA234:$FV234,0),),""))</f>
        <v/>
      </c>
      <c r="V234" s="133">
        <f t="array" ref="V234">IF(S234="","",INDIRECT("'GRD-"&amp;U234&amp;"'!$L$7"))</f>
        <v/>
      </c>
      <c r="W234" s="84">
        <f t="array" ref="W234">IFERROR(OFFSET($BZ$11,ROW($B234)-11,MATCH(W$10,$CA234:$FV234,0),),"")</f>
        <v/>
      </c>
      <c r="X234" s="84">
        <f>IF(W234="","",IF(VLOOKUP($B234,INDIRECT("'GRD-"&amp;Y234&amp;"'!$B:$R"),16,FALSE)="","",VLOOKUP($B234,INDIRECT("'GRD-"&amp;Y234&amp;"'!$B:$R"),16,FALSE)))</f>
        <v/>
      </c>
      <c r="Y234" s="129">
        <f t="array" ref="Y234">IF(W234="","",IFERROR(OFFSET($BZ$11,0,MATCH($W234,$CA234:$FV234,0),),""))</f>
        <v/>
      </c>
      <c r="Z234" s="134">
        <f t="array" ref="Z234">IF(W234="","",INDIRECT("'GRD-"&amp;Y234&amp;"'!$L$7"))</f>
        <v/>
      </c>
      <c r="AA234" s="85">
        <f t="array" ref="AA234">IFERROR(OFFSET($BZ$11,ROW($B234)-11,MATCH(AA$10,$CA234:$FV234,0),),"")</f>
        <v/>
      </c>
      <c r="AB234" s="85">
        <f>IF(AA234="","",IF(VLOOKUP($B234,INDIRECT("'GRD-"&amp;AC234&amp;"'!$B:$R"),16,FALSE)="","",VLOOKUP($B234,INDIRECT("'GRD-"&amp;AC234&amp;"'!$B:$R"),16,FALSE)))</f>
        <v/>
      </c>
      <c r="AC234" s="130">
        <f t="array" ref="AC234">IF(AA234="","",IFERROR(OFFSET($BZ$11,0,MATCH($AA234,$CA234:$FV234,0),),""))</f>
        <v/>
      </c>
      <c r="AD234" s="131">
        <f t="array" ref="AD234">IF(AA234="","",INDIRECT("'GRD-"&amp;AC234&amp;"'!$L$7"))</f>
        <v/>
      </c>
      <c r="AE234" s="76">
        <f t="array" ref="AE234">IFERROR(OFFSET($BZ$11,ROW($B234)-11,MATCH(AE$10,$CA234:$FV234,0),),"")</f>
        <v/>
      </c>
      <c r="AF234" s="76">
        <f>IF(AE234="","",IF(VLOOKUP($B234,INDIRECT("'GRD-"&amp;AG234&amp;"'!$B:$R"),16,FALSE)="","",VLOOKUP($B234,INDIRECT("'GRD-"&amp;AG234&amp;"'!$B:$R"),16,FALSE)))</f>
        <v/>
      </c>
      <c r="AG234" s="132">
        <f t="array" ref="AG234">IF(AE234="","",IFERROR(OFFSET($BZ$11,0,MATCH($AE234,$CA234:$FV234,0),),""))</f>
        <v/>
      </c>
      <c r="AH234" s="121">
        <f t="array" ref="AH234">IF(AE234="","",INDIRECT("'GRD-"&amp;AG234&amp;"'!$L$7"))</f>
        <v/>
      </c>
      <c r="AI234" s="83">
        <f t="array" ref="AI234">IFERROR(OFFSET($BZ$11,ROW($B234)-11,MATCH(AI$10,$CA234:$FV234,0),),"")</f>
        <v/>
      </c>
      <c r="AJ234" s="83">
        <f>IF(AI234="","",IF(VLOOKUP($B234,INDIRECT("'GRD-"&amp;AK234&amp;"'!$B:$R"),16,FALSE)="","",VLOOKUP($B234,INDIRECT("'GRD-"&amp;AK234&amp;"'!$B:$R"),16,FALSE)))</f>
        <v/>
      </c>
      <c r="AK234" s="128">
        <f t="array" ref="AK234">IF(AI234="","",IFERROR(OFFSET($BZ$11,0,MATCH($AI234,$CA234:$FV234,0),),""))</f>
        <v/>
      </c>
      <c r="AL234" s="133">
        <f t="array" ref="AL234">IF(AI234="","",INDIRECT("'GRD-"&amp;AK234&amp;"'!$L$7"))</f>
        <v/>
      </c>
      <c r="AM234" s="84">
        <f t="array" ref="AM234">IFERROR(OFFSET($BZ$11,ROW($B234)-11,MATCH(AM$10,$CA234:$FV234,0),),"")</f>
        <v/>
      </c>
      <c r="AN234" s="84">
        <f>IF(AM234="","",IF(VLOOKUP($B234,INDIRECT("'GRD-"&amp;AO234&amp;"'!$B:$R"),16,FALSE)="","",VLOOKUP($B234,INDIRECT("'GRD-"&amp;AO234&amp;"'!$B:$R"),16,FALSE)))</f>
        <v/>
      </c>
      <c r="AO234" s="129">
        <f t="array" ref="AO234">IF(AM234="","",IFERROR(OFFSET($BZ$11,0,MATCH($AM234,$CA234:$FV234,0),),""))</f>
        <v/>
      </c>
      <c r="AP234" s="134">
        <f t="array" ref="AP234">IF(AM234="","",INDIRECT("'GRD-"&amp;AO234&amp;"'!$L$7"))</f>
        <v/>
      </c>
      <c r="AQ234" s="85">
        <f t="array" ref="AQ234">IFERROR(OFFSET($BZ$11,ROW($B234)-11,MATCH(AQ$10,$CA234:$FV234,0),),"")</f>
        <v/>
      </c>
      <c r="AR234" s="85">
        <f>IF(AQ234="","",IF(VLOOKUP($B234,INDIRECT("'GRD-"&amp;AS234&amp;"'!$B:$R"),16,FALSE)="","",VLOOKUP($B234,INDIRECT("'GRD-"&amp;AS234&amp;"'!$B:$R"),16,FALSE)))</f>
        <v/>
      </c>
      <c r="AS234" s="130">
        <f t="array" ref="AS234">IF(AQ234="","",IFERROR(OFFSET($BZ$11,0,MATCH($AQ234,$CA234:$FV234,0),),""))</f>
        <v/>
      </c>
      <c r="AT234" s="131">
        <f t="array" ref="AT234">IF(AQ234="","",INDIRECT("'GRD-"&amp;AS234&amp;"'!$L$7"))</f>
        <v/>
      </c>
      <c r="AU234" s="76">
        <f t="array" ref="AU234">IFERROR(OFFSET($BZ$11,ROW($B234)-11,MATCH(AU$10,$CA234:$FV234,0),),"")</f>
        <v/>
      </c>
      <c r="AV234" s="76">
        <f>IF(AU234="","",IF(VLOOKUP($B234,INDIRECT("'GRD-"&amp;AW234&amp;"'!$B:$R"),16,FALSE)="","",VLOOKUP($B234,INDIRECT("'GRD-"&amp;AW234&amp;"'!$B:$R"),16,FALSE)))</f>
        <v/>
      </c>
      <c r="AW234" s="132">
        <f t="array" ref="AW234">IF(AU234="","",IFERROR(OFFSET($BZ$11,0,MATCH($AU234,$CA234:$FV234,0),),""))</f>
        <v/>
      </c>
      <c r="AX234" s="121">
        <f t="array" ref="AX234">IF(AU234="","",INDIRECT("'GRD-"&amp;AW234&amp;"'!$L$7"))</f>
        <v/>
      </c>
      <c r="AY234" s="83">
        <f t="array" ref="AY234">IFERROR(OFFSET($BZ$11,ROW($B234)-11,MATCH(AY$10,$CA234:$FV234,0),),"")</f>
        <v/>
      </c>
      <c r="AZ234" s="83">
        <f>IF(AY234="","",IF(VLOOKUP($B234,INDIRECT("'GRD-"&amp;BA234&amp;"'!$B:$R"),16,FALSE)="","",VLOOKUP($B234,INDIRECT("'GRD-"&amp;BA234&amp;"'!$B:$R"),16,FALSE)))</f>
        <v/>
      </c>
      <c r="BA234" s="128">
        <f t="array" ref="BA234">IF(AY234="","",IFERROR(OFFSET($BZ$11,0,MATCH($AY234,$CA234:$FV234,0),),""))</f>
        <v/>
      </c>
      <c r="BB234" s="133">
        <f t="array" ref="BB234">IF(AY234="","",INDIRECT("'GRD-"&amp;BA234&amp;"'!$L$7"))</f>
        <v/>
      </c>
      <c r="BC234" s="84">
        <f t="array" ref="BC234">IFERROR(OFFSET($BZ$11,ROW($B234)-11,MATCH(BC$10,$CA234:$FV234,0),),"")</f>
        <v/>
      </c>
      <c r="BD234" s="84">
        <f>IF(BC234="","",IF(VLOOKUP($B234,INDIRECT("'GRD-"&amp;BE234&amp;"'!$B:$R"),16,FALSE)="","",VLOOKUP($B234,INDIRECT("'GRD-"&amp;BE234&amp;"'!$B:$R"),16,FALSE)))</f>
        <v/>
      </c>
      <c r="BE234" s="129">
        <f t="array" ref="BE234">IF(BC234="","",IFERROR(OFFSET($BZ$11,0,MATCH($BC234,$CA234:$FV234,0),),""))</f>
        <v/>
      </c>
      <c r="BF234" s="134">
        <f t="array" ref="BF234">IF(BC234="","",INDIRECT("'GRD-"&amp;BE234&amp;"'!$L$7"))</f>
        <v/>
      </c>
      <c r="CA234" s="96">
        <f>IFERROR(VLOOKUP($B234,INDIRECT("'GRD-"&amp;CA$11&amp;"'!B:R"),15,FALSE),"")</f>
        <v/>
      </c>
      <c r="CB234" s="96">
        <f>IFERROR(VLOOKUP($B234,INDIRECT("'GRD-"&amp;CB$11&amp;"'!B:R"),15,FALSE),"")</f>
        <v/>
      </c>
      <c r="CC234" s="96">
        <f>IFERROR(VLOOKUP($B234,INDIRECT("'GRD-"&amp;CC$11&amp;"'!B:R"),15,FALSE),"")</f>
        <v/>
      </c>
      <c r="CD234" s="96">
        <f>IFERROR(VLOOKUP($B234,INDIRECT("'GRD-"&amp;CD$11&amp;"'!B:R"),15,FALSE),"")</f>
        <v/>
      </c>
      <c r="CE234" s="96">
        <f>IFERROR(VLOOKUP($B234,INDIRECT("'GRD-"&amp;CE$11&amp;"'!B:R"),15,FALSE),"")</f>
        <v/>
      </c>
      <c r="CF234" s="96">
        <f>IFERROR(VLOOKUP($B234,INDIRECT("'GRD-"&amp;CF$11&amp;"'!B:R"),15,FALSE),"")</f>
        <v/>
      </c>
      <c r="CG234" s="96">
        <f>IFERROR(VLOOKUP($B234,INDIRECT("'GRD-"&amp;CG$11&amp;"'!B:R"),15,FALSE),"")</f>
        <v/>
      </c>
      <c r="CH234" s="96">
        <f>IFERROR(VLOOKUP($B234,INDIRECT("'GRD-"&amp;CH$11&amp;"'!B:R"),15,FALSE),"")</f>
        <v/>
      </c>
      <c r="CI234" s="96">
        <f>IFERROR(VLOOKUP($B234,INDIRECT("'GRD-"&amp;CI$11&amp;"'!B:R"),15,FALSE),"")</f>
        <v/>
      </c>
      <c r="CJ234" s="96">
        <f>IFERROR(VLOOKUP($B234,INDIRECT("'GRD-"&amp;CJ$11&amp;"'!B:R"),15,FALSE),"")</f>
        <v/>
      </c>
      <c r="CK234" s="96">
        <f>IFERROR(VLOOKUP($B234,INDIRECT("'GRD-"&amp;CK$11&amp;"'!B:R"),15,FALSE),"")</f>
        <v/>
      </c>
      <c r="CL234" s="96">
        <f>IFERROR(VLOOKUP($B234,INDIRECT("'GRD-"&amp;CL$11&amp;"'!B:R"),15,FALSE),"")</f>
        <v/>
      </c>
      <c r="CM234" s="96">
        <f>IFERROR(VLOOKUP($B234,INDIRECT("'GRD-"&amp;CM$11&amp;"'!B:R"),15,FALSE),"")</f>
        <v/>
      </c>
      <c r="CN234" s="96">
        <f>IFERROR(VLOOKUP($B234,INDIRECT("'GRD-"&amp;CN$11&amp;"'!B:R"),15,FALSE),"")</f>
        <v/>
      </c>
      <c r="CO234" s="96">
        <f>IFERROR(VLOOKUP($B234,INDIRECT("'GRD-"&amp;CO$11&amp;"'!B:R"),15,FALSE),"")</f>
        <v/>
      </c>
      <c r="CP234" s="96">
        <f>IFERROR(VLOOKUP($B234,INDIRECT("'GRD-"&amp;CP$11&amp;"'!B:R"),15,FALSE),"")</f>
        <v/>
      </c>
      <c r="CQ234" s="96">
        <f>IFERROR(VLOOKUP($B234,INDIRECT("'GRD-"&amp;CQ$11&amp;"'!B:R"),15,FALSE),"")</f>
        <v/>
      </c>
      <c r="CR234" s="96">
        <f>IFERROR(VLOOKUP($B234,INDIRECT("'GRD-"&amp;CR$11&amp;"'!B:R"),15,FALSE),"")</f>
        <v/>
      </c>
      <c r="CS234" s="96">
        <f>IFERROR(VLOOKUP($B234,INDIRECT("'GRD-"&amp;CS$11&amp;"'!B:R"),15,FALSE),"")</f>
        <v/>
      </c>
      <c r="CT234" s="96">
        <f>IFERROR(VLOOKUP($B234,INDIRECT("'GRD-"&amp;CT$11&amp;"'!B:R"),15,FALSE),"")</f>
        <v/>
      </c>
      <c r="CU234" s="96">
        <f>IFERROR(VLOOKUP($B234,INDIRECT("'GRD-"&amp;CU$11&amp;"'!B:R"),15,FALSE),"")</f>
        <v/>
      </c>
      <c r="CV234" s="96">
        <f>IFERROR(VLOOKUP($B234,INDIRECT("'GRD-"&amp;CV$11&amp;"'!B:R"),15,FALSE),"")</f>
        <v/>
      </c>
      <c r="CW234" s="96">
        <f>IFERROR(VLOOKUP($B234,INDIRECT("'GRD-"&amp;CW$11&amp;"'!B:R"),15,FALSE),"")</f>
        <v/>
      </c>
      <c r="CX234" s="96">
        <f>IFERROR(VLOOKUP($B234,INDIRECT("'GRD-"&amp;CX$11&amp;"'!B:R"),15,FALSE),"")</f>
        <v/>
      </c>
      <c r="CY234" s="96">
        <f>IFERROR(VLOOKUP($B234,INDIRECT("'GRD-"&amp;CY$11&amp;"'!B:R"),15,FALSE),"")</f>
        <v/>
      </c>
      <c r="CZ234" s="96">
        <f>IFERROR(VLOOKUP($B234,INDIRECT("'GRD-"&amp;CZ$11&amp;"'!B:R"),15,FALSE),"")</f>
        <v/>
      </c>
      <c r="DA234" s="96">
        <f>IFERROR(VLOOKUP($B234,INDIRECT("'GRD-"&amp;DA$11&amp;"'!B:R"),15,FALSE),"")</f>
        <v/>
      </c>
      <c r="DB234" s="96">
        <f>IFERROR(VLOOKUP($B234,INDIRECT("'GRD-"&amp;DB$11&amp;"'!B:R"),15,FALSE),"")</f>
        <v/>
      </c>
      <c r="DC234" s="96">
        <f>IFERROR(VLOOKUP($B234,INDIRECT("'GRD-"&amp;DC$11&amp;"'!B:R"),15,FALSE),"")</f>
        <v/>
      </c>
      <c r="DD234" s="96">
        <f>IFERROR(VLOOKUP($B234,INDIRECT("'GRD-"&amp;DD$11&amp;"'!B:R"),15,FALSE),"")</f>
        <v/>
      </c>
      <c r="DE234" s="96">
        <f>IFERROR(VLOOKUP($B234,INDIRECT("'GRD-"&amp;DE$11&amp;"'!B:R"),15,FALSE),"")</f>
        <v/>
      </c>
      <c r="DF234" s="96">
        <f>IFERROR(VLOOKUP($B234,INDIRECT("'GRD-"&amp;DF$11&amp;"'!B:R"),15,FALSE),"")</f>
        <v/>
      </c>
      <c r="DG234" s="96">
        <f>IFERROR(VLOOKUP($B234,INDIRECT("'GRD-"&amp;DG$11&amp;"'!B:R"),15,FALSE),"")</f>
        <v/>
      </c>
      <c r="DH234" s="96">
        <f>IFERROR(VLOOKUP($B234,INDIRECT("'GRD-"&amp;DH$11&amp;"'!B:R"),15,FALSE),"")</f>
        <v/>
      </c>
      <c r="DI234" s="96">
        <f>IFERROR(VLOOKUP($B234,INDIRECT("'GRD-"&amp;DI$11&amp;"'!B:R"),15,FALSE),"")</f>
        <v/>
      </c>
      <c r="DJ234" s="96">
        <f>IFERROR(VLOOKUP($B234,INDIRECT("'GRD-"&amp;DJ$11&amp;"'!B:R"),15,FALSE),"")</f>
        <v/>
      </c>
      <c r="DK234" s="96">
        <f>IFERROR(VLOOKUP($B234,INDIRECT("'GRD-"&amp;DK$11&amp;"'!B:R"),15,FALSE),"")</f>
        <v/>
      </c>
      <c r="DL234" s="96">
        <f>IFERROR(VLOOKUP($B234,INDIRECT("'GRD-"&amp;DL$11&amp;"'!B:R"),15,FALSE),"")</f>
        <v/>
      </c>
      <c r="DM234" s="96">
        <f>IFERROR(VLOOKUP($B234,INDIRECT("'GRD-"&amp;DM$11&amp;"'!B:R"),15,FALSE),"")</f>
        <v/>
      </c>
      <c r="DN234" s="96">
        <f>IFERROR(VLOOKUP($B234,INDIRECT("'GRD-"&amp;DN$11&amp;"'!B:R"),15,FALSE),"")</f>
        <v/>
      </c>
      <c r="DO234" s="96">
        <f>IFERROR(VLOOKUP($B234,INDIRECT("'GRD-"&amp;DO$11&amp;"'!B:R"),15,FALSE),"")</f>
        <v/>
      </c>
      <c r="DP234" s="96">
        <f>IFERROR(VLOOKUP($B234,INDIRECT("'GRD-"&amp;DP$11&amp;"'!B:R"),15,FALSE),"")</f>
        <v/>
      </c>
      <c r="DQ234" s="96">
        <f>IFERROR(VLOOKUP($B234,INDIRECT("'GRD-"&amp;DQ$11&amp;"'!B:R"),15,FALSE),"")</f>
        <v/>
      </c>
      <c r="DR234" s="96">
        <f>IFERROR(VLOOKUP($B234,INDIRECT("'GRD-"&amp;DR$11&amp;"'!B:R"),15,FALSE),"")</f>
        <v/>
      </c>
      <c r="DS234" s="96">
        <f>IFERROR(VLOOKUP($B234,INDIRECT("'GRD-"&amp;DS$11&amp;"'!B:R"),15,FALSE),"")</f>
        <v/>
      </c>
      <c r="DT234" s="96">
        <f>IFERROR(VLOOKUP($B234,INDIRECT("'GRD-"&amp;DT$11&amp;"'!B:R"),15,FALSE),"")</f>
        <v/>
      </c>
      <c r="DU234" s="96">
        <f>IFERROR(VLOOKUP($B234,INDIRECT("'GRD-"&amp;DU$11&amp;"'!B:R"),15,FALSE),"")</f>
        <v/>
      </c>
      <c r="DV234" s="96">
        <f>IFERROR(VLOOKUP($B234,INDIRECT("'GRD-"&amp;DV$11&amp;"'!B:R"),15,FALSE),"")</f>
        <v/>
      </c>
      <c r="DW234" s="96">
        <f>IFERROR(VLOOKUP($B234,INDIRECT("'GRD-"&amp;DW$11&amp;"'!B:R"),15,FALSE),"")</f>
        <v/>
      </c>
      <c r="DX234" s="96">
        <f>IFERROR(VLOOKUP($B234,INDIRECT("'GRD-"&amp;DX$11&amp;"'!B:R"),15,FALSE),"")</f>
        <v/>
      </c>
      <c r="DY234" s="96">
        <f>IFERROR(VLOOKUP($B234,INDIRECT("'GRD-"&amp;DY$11&amp;"'!B:R"),15,FALSE),"")</f>
        <v/>
      </c>
      <c r="DZ234" s="96">
        <f>IFERROR(VLOOKUP($B234,INDIRECT("'GRD-"&amp;DZ$11&amp;"'!B:R"),15,FALSE),"")</f>
        <v/>
      </c>
      <c r="EA234" s="96">
        <f>IFERROR(VLOOKUP($B234,INDIRECT("'GRD-"&amp;EA$11&amp;"'!B:R"),15,FALSE),"")</f>
        <v/>
      </c>
      <c r="EB234" s="96">
        <f>IFERROR(VLOOKUP($B234,INDIRECT("'GRD-"&amp;EB$11&amp;"'!B:R"),15,FALSE),"")</f>
        <v/>
      </c>
      <c r="EC234" s="96">
        <f>IFERROR(VLOOKUP($B234,INDIRECT("'GRD-"&amp;EC$11&amp;"'!B:R"),15,FALSE),"")</f>
        <v/>
      </c>
      <c r="ED234" s="96">
        <f>IFERROR(VLOOKUP($B234,INDIRECT("'GRD-"&amp;ED$11&amp;"'!B:R"),15,FALSE),"")</f>
        <v/>
      </c>
      <c r="EE234" s="96">
        <f>IFERROR(VLOOKUP($B234,INDIRECT("'GRD-"&amp;EE$11&amp;"'!B:R"),15,FALSE),"")</f>
        <v/>
      </c>
      <c r="EF234" s="96">
        <f>IFERROR(VLOOKUP($B234,INDIRECT("'GRD-"&amp;EF$11&amp;"'!B:R"),15,FALSE),"")</f>
        <v/>
      </c>
      <c r="EG234" s="96">
        <f>IFERROR(VLOOKUP($B234,INDIRECT("'GRD-"&amp;EG$11&amp;"'!B:R"),15,FALSE),"")</f>
        <v/>
      </c>
      <c r="EH234" s="96">
        <f>IFERROR(VLOOKUP($B234,INDIRECT("'GRD-"&amp;EH$11&amp;"'!B:R"),15,FALSE),"")</f>
        <v/>
      </c>
      <c r="EI234" s="96">
        <f>IFERROR(VLOOKUP($B234,INDIRECT("'GRD-"&amp;EI$11&amp;"'!B:R"),15,FALSE),"")</f>
        <v/>
      </c>
      <c r="EJ234" s="96">
        <f>IFERROR(VLOOKUP($B234,INDIRECT("'GRD-"&amp;EJ$11&amp;"'!B:R"),15,FALSE),"")</f>
        <v/>
      </c>
      <c r="EK234" s="96">
        <f>IFERROR(VLOOKUP($B234,INDIRECT("'GRD-"&amp;EK$11&amp;"'!B:R"),15,FALSE),"")</f>
        <v/>
      </c>
      <c r="EL234" s="96">
        <f>IFERROR(VLOOKUP($B234,INDIRECT("'GRD-"&amp;EL$11&amp;"'!B:R"),15,FALSE),"")</f>
        <v/>
      </c>
      <c r="EM234" s="96">
        <f>IFERROR(VLOOKUP($B234,INDIRECT("'GRD-"&amp;EM$11&amp;"'!B:R"),15,FALSE),"")</f>
        <v/>
      </c>
      <c r="EN234" s="96">
        <f>IFERROR(VLOOKUP($B234,INDIRECT("'GRD-"&amp;EN$11&amp;"'!B:R"),15,FALSE),"")</f>
        <v/>
      </c>
      <c r="EO234" s="96">
        <f>IFERROR(VLOOKUP($B234,INDIRECT("'GRD-"&amp;EO$11&amp;"'!B:R"),15,FALSE),"")</f>
        <v/>
      </c>
      <c r="EP234" s="96">
        <f>IFERROR(VLOOKUP($B234,INDIRECT("'GRD-"&amp;EP$11&amp;"'!B:R"),15,FALSE),"")</f>
        <v/>
      </c>
      <c r="EQ234" s="96">
        <f>IFERROR(VLOOKUP($B234,INDIRECT("'GRD-"&amp;EQ$11&amp;"'!B:R"),15,FALSE),"")</f>
        <v/>
      </c>
      <c r="ER234" s="96">
        <f>IFERROR(VLOOKUP($B234,INDIRECT("'GRD-"&amp;ER$11&amp;"'!B:R"),15,FALSE),"")</f>
        <v/>
      </c>
      <c r="ES234" s="96">
        <f>IFERROR(VLOOKUP($B234,INDIRECT("'GRD-"&amp;ES$11&amp;"'!B:R"),15,FALSE),"")</f>
        <v/>
      </c>
      <c r="ET234" s="96">
        <f>IFERROR(VLOOKUP($B234,INDIRECT("'GRD-"&amp;ET$11&amp;"'!B:R"),15,FALSE),"")</f>
        <v/>
      </c>
      <c r="EU234" s="96">
        <f>IFERROR(VLOOKUP($B234,INDIRECT("'GRD-"&amp;EU$11&amp;"'!B:R"),15,FALSE),"")</f>
        <v/>
      </c>
      <c r="EV234" s="96">
        <f>IFERROR(VLOOKUP($B234,INDIRECT("'GRD-"&amp;EV$11&amp;"'!B:R"),15,FALSE),"")</f>
        <v/>
      </c>
      <c r="EW234" s="96">
        <f>IFERROR(VLOOKUP($B234,INDIRECT("'GRD-"&amp;EW$11&amp;"'!B:R"),15,FALSE),"")</f>
        <v/>
      </c>
      <c r="EX234" s="96">
        <f>IFERROR(VLOOKUP($B234,INDIRECT("'GRD-"&amp;EX$11&amp;"'!B:R"),15,FALSE),"")</f>
        <v/>
      </c>
      <c r="EY234" s="96">
        <f>IFERROR(VLOOKUP($B234,INDIRECT("'GRD-"&amp;EY$11&amp;"'!B:R"),15,FALSE),"")</f>
        <v/>
      </c>
      <c r="EZ234" s="96">
        <f>IFERROR(VLOOKUP($B234,INDIRECT("'GRD-"&amp;EZ$11&amp;"'!B:R"),15,FALSE),"")</f>
        <v/>
      </c>
      <c r="FA234" s="96">
        <f>IFERROR(VLOOKUP($B234,INDIRECT("'GRD-"&amp;FA$11&amp;"'!B:R"),15,FALSE),"")</f>
        <v/>
      </c>
      <c r="FB234" s="96">
        <f>IFERROR(VLOOKUP($B234,INDIRECT("'GRD-"&amp;FB$11&amp;"'!B:R"),15,FALSE),"")</f>
        <v/>
      </c>
      <c r="FC234" s="96">
        <f>IFERROR(VLOOKUP($B234,INDIRECT("'GRD-"&amp;FC$11&amp;"'!B:R"),15,FALSE),"")</f>
        <v/>
      </c>
      <c r="FD234" s="96">
        <f>IFERROR(VLOOKUP($B234,INDIRECT("'GRD-"&amp;FD$11&amp;"'!B:R"),15,FALSE),"")</f>
        <v/>
      </c>
      <c r="FE234" s="96">
        <f>IFERROR(VLOOKUP($B234,INDIRECT("'GRD-"&amp;FE$11&amp;"'!B:R"),15,FALSE),"")</f>
        <v/>
      </c>
      <c r="FF234" s="96">
        <f>IFERROR(VLOOKUP($B234,INDIRECT("'GRD-"&amp;FF$11&amp;"'!B:R"),15,FALSE),"")</f>
        <v/>
      </c>
      <c r="FG234" s="96">
        <f>IFERROR(VLOOKUP($B234,INDIRECT("'GRD-"&amp;FG$11&amp;"'!B:R"),15,FALSE),"")</f>
        <v/>
      </c>
      <c r="FH234" s="96">
        <f>IFERROR(VLOOKUP($B234,INDIRECT("'GRD-"&amp;FH$11&amp;"'!B:R"),15,FALSE),"")</f>
        <v/>
      </c>
      <c r="FI234" s="96">
        <f>IFERROR(VLOOKUP($B234,INDIRECT("'GRD-"&amp;FI$11&amp;"'!B:R"),15,FALSE),"")</f>
        <v/>
      </c>
      <c r="FJ234" s="96">
        <f>IFERROR(VLOOKUP($B234,INDIRECT("'GRD-"&amp;FJ$11&amp;"'!B:R"),15,FALSE),"")</f>
        <v/>
      </c>
      <c r="FK234" s="96">
        <f>IFERROR(VLOOKUP($B234,INDIRECT("'GRD-"&amp;FK$11&amp;"'!B:R"),15,FALSE),"")</f>
        <v/>
      </c>
      <c r="FL234" s="96">
        <f>IFERROR(VLOOKUP($B234,INDIRECT("'GRD-"&amp;FL$11&amp;"'!B:R"),15,FALSE),"")</f>
        <v/>
      </c>
      <c r="FM234" s="96">
        <f>IFERROR(VLOOKUP($B234,INDIRECT("'GRD-"&amp;FM$11&amp;"'!B:R"),15,FALSE),"")</f>
        <v/>
      </c>
      <c r="FN234" s="96">
        <f>IFERROR(VLOOKUP($B234,INDIRECT("'GRD-"&amp;FN$11&amp;"'!B:R"),15,FALSE),"")</f>
        <v/>
      </c>
      <c r="FO234" s="96">
        <f>IFERROR(VLOOKUP($B234,INDIRECT("'GRD-"&amp;FO$11&amp;"'!B:R"),15,FALSE),"")</f>
        <v/>
      </c>
      <c r="FP234" s="96">
        <f>IFERROR(VLOOKUP($B234,INDIRECT("'GRD-"&amp;FP$11&amp;"'!B:R"),15,FALSE),"")</f>
        <v/>
      </c>
      <c r="FQ234" s="96">
        <f>IFERROR(VLOOKUP($B234,INDIRECT("'GRD-"&amp;FQ$11&amp;"'!B:R"),15,FALSE),"")</f>
        <v/>
      </c>
      <c r="FR234" s="96">
        <f>IFERROR(VLOOKUP($B234,INDIRECT("'GRD-"&amp;FR$11&amp;"'!B:R"),15,FALSE),"")</f>
        <v/>
      </c>
      <c r="FS234" s="96">
        <f>IFERROR(VLOOKUP($B234,INDIRECT("'GRD-"&amp;FS$11&amp;"'!B:R"),15,FALSE),"")</f>
        <v/>
      </c>
      <c r="FT234" s="96">
        <f>IFERROR(VLOOKUP($B234,INDIRECT("'GRD-"&amp;FT$11&amp;"'!B:R"),15,FALSE),"")</f>
        <v/>
      </c>
      <c r="FU234" s="96">
        <f>IFERROR(VLOOKUP($B234,INDIRECT("'GRD-"&amp;FU$11&amp;"'!B:R"),15,FALSE),"")</f>
        <v/>
      </c>
      <c r="FV234" s="96">
        <f>IFERROR(VLOOKUP($B234,INDIRECT("'GRD-"&amp;FV$11&amp;"'!B:R"),15,FALSE),"")</f>
        <v/>
      </c>
    </row>
    <row r="235">
      <c r="B235" s="85" t="n"/>
      <c r="C235" s="93" t="n"/>
      <c r="D235" s="73">
        <f>IF(K235="","",MAX($CA235:$FV235))</f>
        <v/>
      </c>
      <c r="E235" s="74">
        <f t="array" ref="E235">IF($K235="","",OFFSET($A$1,ROW($B235)-1,11+$D235*4,))</f>
        <v/>
      </c>
      <c r="F235" s="74">
        <f t="array" ref="F235">IF($K235="","",OFFSET($A$1,ROW($B235)-1,12+$D235*4,))</f>
        <v/>
      </c>
      <c r="G235" s="118">
        <f t="array" ref="G235">IF($K235="","",OFFSET($A$1,ROW($B235)-1,13+$D235*4,))</f>
        <v/>
      </c>
      <c r="H235" s="81" t="n"/>
      <c r="I235" s="82" t="n"/>
      <c r="J235" s="75">
        <f>IF(I235="A4",H235/8,IF(I235="A3",H235/4,IF(I235="A2",H235/2,IF(I235="A1",H235/1,IF(I235="A0",H235*2,"")))))</f>
        <v/>
      </c>
      <c r="K235" s="68">
        <f t="array" ref="K235">IFERROR(OFFSET($BZ$11,ROW($B235)-11,MATCH(K$10,$CA235:$FV235,0),),"")</f>
        <v/>
      </c>
      <c r="L235" s="85">
        <f>IF(K235="","",IF(VLOOKUP($B235,INDIRECT("'GRD-"&amp;M235&amp;"'!$B:$R"),16,FALSE)="","",VLOOKUP($B235,INDIRECT("'GRD-"&amp;M235&amp;"'!$B:$R"),16,FALSE)))</f>
        <v/>
      </c>
      <c r="M235" s="130">
        <f t="array" ref="M235">IF(K235="","",IFERROR(OFFSET($BZ$11,0,MATCH($K235,$CA235:$FV235,0),),""))</f>
        <v/>
      </c>
      <c r="N235" s="119">
        <f t="array" ref="N235">IF(K235="","",INDIRECT("'GRD-"&amp;M235&amp;"'!$L$7"))</f>
        <v/>
      </c>
      <c r="O235" s="76">
        <f t="array" ref="O235">IFERROR(OFFSET($BZ$11,ROW($B235)-11,MATCH(O$10,$CA235:$FV235,0),),"")</f>
        <v/>
      </c>
      <c r="P235" s="76">
        <f>IF(O235="","",IF(VLOOKUP($B235,INDIRECT("'GRD-"&amp;Q235&amp;"'!$B:$R"),16,FALSE)="","",VLOOKUP($B235,INDIRECT("'GRD-"&amp;Q235&amp;"'!$B:$R"),16,FALSE)))</f>
        <v/>
      </c>
      <c r="Q235" s="132">
        <f t="array" ref="Q235">IF(O235="","",IFERROR(OFFSET($BZ$11,0,MATCH($O235,$CA235:$FV235,0),),""))</f>
        <v/>
      </c>
      <c r="R235" s="121">
        <f t="array" ref="R235">IF(O235="","",INDIRECT("'GRD-"&amp;Q235&amp;"'!$L$7"))</f>
        <v/>
      </c>
      <c r="S235" s="83">
        <f t="array" ref="S235">IFERROR(OFFSET($BZ$11,ROW($B235)-11,MATCH(S$10,$CA235:$FV235,0),),"")</f>
        <v/>
      </c>
      <c r="T235" s="83">
        <f>IF(S235="","",IF(VLOOKUP($B235,INDIRECT("'GRD-"&amp;U235&amp;"'!$B:$R"),16,FALSE)="","",VLOOKUP($B235,INDIRECT("'GRD-"&amp;U235&amp;"'!$B:$R"),16,FALSE)))</f>
        <v/>
      </c>
      <c r="U235" s="128">
        <f t="array" ref="U235">IF(S235="","",IFERROR(OFFSET($BZ$11,0,MATCH($S235,$CA235:$FV235,0),),""))</f>
        <v/>
      </c>
      <c r="V235" s="133">
        <f t="array" ref="V235">IF(S235="","",INDIRECT("'GRD-"&amp;U235&amp;"'!$L$7"))</f>
        <v/>
      </c>
      <c r="W235" s="84">
        <f t="array" ref="W235">IFERROR(OFFSET($BZ$11,ROW($B235)-11,MATCH(W$10,$CA235:$FV235,0),),"")</f>
        <v/>
      </c>
      <c r="X235" s="84">
        <f>IF(W235="","",IF(VLOOKUP($B235,INDIRECT("'GRD-"&amp;Y235&amp;"'!$B:$R"),16,FALSE)="","",VLOOKUP($B235,INDIRECT("'GRD-"&amp;Y235&amp;"'!$B:$R"),16,FALSE)))</f>
        <v/>
      </c>
      <c r="Y235" s="129">
        <f t="array" ref="Y235">IF(W235="","",IFERROR(OFFSET($BZ$11,0,MATCH($W235,$CA235:$FV235,0),),""))</f>
        <v/>
      </c>
      <c r="Z235" s="134">
        <f t="array" ref="Z235">IF(W235="","",INDIRECT("'GRD-"&amp;Y235&amp;"'!$L$7"))</f>
        <v/>
      </c>
      <c r="AA235" s="85">
        <f t="array" ref="AA235">IFERROR(OFFSET($BZ$11,ROW($B235)-11,MATCH(AA$10,$CA235:$FV235,0),),"")</f>
        <v/>
      </c>
      <c r="AB235" s="85">
        <f>IF(AA235="","",IF(VLOOKUP($B235,INDIRECT("'GRD-"&amp;AC235&amp;"'!$B:$R"),16,FALSE)="","",VLOOKUP($B235,INDIRECT("'GRD-"&amp;AC235&amp;"'!$B:$R"),16,FALSE)))</f>
        <v/>
      </c>
      <c r="AC235" s="130">
        <f t="array" ref="AC235">IF(AA235="","",IFERROR(OFFSET($BZ$11,0,MATCH($AA235,$CA235:$FV235,0),),""))</f>
        <v/>
      </c>
      <c r="AD235" s="131">
        <f t="array" ref="AD235">IF(AA235="","",INDIRECT("'GRD-"&amp;AC235&amp;"'!$L$7"))</f>
        <v/>
      </c>
      <c r="AE235" s="76">
        <f t="array" ref="AE235">IFERROR(OFFSET($BZ$11,ROW($B235)-11,MATCH(AE$10,$CA235:$FV235,0),),"")</f>
        <v/>
      </c>
      <c r="AF235" s="76">
        <f>IF(AE235="","",IF(VLOOKUP($B235,INDIRECT("'GRD-"&amp;AG235&amp;"'!$B:$R"),16,FALSE)="","",VLOOKUP($B235,INDIRECT("'GRD-"&amp;AG235&amp;"'!$B:$R"),16,FALSE)))</f>
        <v/>
      </c>
      <c r="AG235" s="132">
        <f t="array" ref="AG235">IF(AE235="","",IFERROR(OFFSET($BZ$11,0,MATCH($AE235,$CA235:$FV235,0),),""))</f>
        <v/>
      </c>
      <c r="AH235" s="121">
        <f t="array" ref="AH235">IF(AE235="","",INDIRECT("'GRD-"&amp;AG235&amp;"'!$L$7"))</f>
        <v/>
      </c>
      <c r="AI235" s="83">
        <f t="array" ref="AI235">IFERROR(OFFSET($BZ$11,ROW($B235)-11,MATCH(AI$10,$CA235:$FV235,0),),"")</f>
        <v/>
      </c>
      <c r="AJ235" s="83">
        <f>IF(AI235="","",IF(VLOOKUP($B235,INDIRECT("'GRD-"&amp;AK235&amp;"'!$B:$R"),16,FALSE)="","",VLOOKUP($B235,INDIRECT("'GRD-"&amp;AK235&amp;"'!$B:$R"),16,FALSE)))</f>
        <v/>
      </c>
      <c r="AK235" s="128">
        <f t="array" ref="AK235">IF(AI235="","",IFERROR(OFFSET($BZ$11,0,MATCH($AI235,$CA235:$FV235,0),),""))</f>
        <v/>
      </c>
      <c r="AL235" s="133">
        <f t="array" ref="AL235">IF(AI235="","",INDIRECT("'GRD-"&amp;AK235&amp;"'!$L$7"))</f>
        <v/>
      </c>
      <c r="AM235" s="84">
        <f t="array" ref="AM235">IFERROR(OFFSET($BZ$11,ROW($B235)-11,MATCH(AM$10,$CA235:$FV235,0),),"")</f>
        <v/>
      </c>
      <c r="AN235" s="84">
        <f>IF(AM235="","",IF(VLOOKUP($B235,INDIRECT("'GRD-"&amp;AO235&amp;"'!$B:$R"),16,FALSE)="","",VLOOKUP($B235,INDIRECT("'GRD-"&amp;AO235&amp;"'!$B:$R"),16,FALSE)))</f>
        <v/>
      </c>
      <c r="AO235" s="129">
        <f t="array" ref="AO235">IF(AM235="","",IFERROR(OFFSET($BZ$11,0,MATCH($AM235,$CA235:$FV235,0),),""))</f>
        <v/>
      </c>
      <c r="AP235" s="134">
        <f t="array" ref="AP235">IF(AM235="","",INDIRECT("'GRD-"&amp;AO235&amp;"'!$L$7"))</f>
        <v/>
      </c>
      <c r="AQ235" s="85">
        <f t="array" ref="AQ235">IFERROR(OFFSET($BZ$11,ROW($B235)-11,MATCH(AQ$10,$CA235:$FV235,0),),"")</f>
        <v/>
      </c>
      <c r="AR235" s="85">
        <f>IF(AQ235="","",IF(VLOOKUP($B235,INDIRECT("'GRD-"&amp;AS235&amp;"'!$B:$R"),16,FALSE)="","",VLOOKUP($B235,INDIRECT("'GRD-"&amp;AS235&amp;"'!$B:$R"),16,FALSE)))</f>
        <v/>
      </c>
      <c r="AS235" s="130">
        <f t="array" ref="AS235">IF(AQ235="","",IFERROR(OFFSET($BZ$11,0,MATCH($AQ235,$CA235:$FV235,0),),""))</f>
        <v/>
      </c>
      <c r="AT235" s="131">
        <f t="array" ref="AT235">IF(AQ235="","",INDIRECT("'GRD-"&amp;AS235&amp;"'!$L$7"))</f>
        <v/>
      </c>
      <c r="AU235" s="76">
        <f t="array" ref="AU235">IFERROR(OFFSET($BZ$11,ROW($B235)-11,MATCH(AU$10,$CA235:$FV235,0),),"")</f>
        <v/>
      </c>
      <c r="AV235" s="76">
        <f>IF(AU235="","",IF(VLOOKUP($B235,INDIRECT("'GRD-"&amp;AW235&amp;"'!$B:$R"),16,FALSE)="","",VLOOKUP($B235,INDIRECT("'GRD-"&amp;AW235&amp;"'!$B:$R"),16,FALSE)))</f>
        <v/>
      </c>
      <c r="AW235" s="132">
        <f t="array" ref="AW235">IF(AU235="","",IFERROR(OFFSET($BZ$11,0,MATCH($AU235,$CA235:$FV235,0),),""))</f>
        <v/>
      </c>
      <c r="AX235" s="121">
        <f t="array" ref="AX235">IF(AU235="","",INDIRECT("'GRD-"&amp;AW235&amp;"'!$L$7"))</f>
        <v/>
      </c>
      <c r="AY235" s="83">
        <f t="array" ref="AY235">IFERROR(OFFSET($BZ$11,ROW($B235)-11,MATCH(AY$10,$CA235:$FV235,0),),"")</f>
        <v/>
      </c>
      <c r="AZ235" s="83">
        <f>IF(AY235="","",IF(VLOOKUP($B235,INDIRECT("'GRD-"&amp;BA235&amp;"'!$B:$R"),16,FALSE)="","",VLOOKUP($B235,INDIRECT("'GRD-"&amp;BA235&amp;"'!$B:$R"),16,FALSE)))</f>
        <v/>
      </c>
      <c r="BA235" s="128">
        <f t="array" ref="BA235">IF(AY235="","",IFERROR(OFFSET($BZ$11,0,MATCH($AY235,$CA235:$FV235,0),),""))</f>
        <v/>
      </c>
      <c r="BB235" s="133">
        <f t="array" ref="BB235">IF(AY235="","",INDIRECT("'GRD-"&amp;BA235&amp;"'!$L$7"))</f>
        <v/>
      </c>
      <c r="BC235" s="84">
        <f t="array" ref="BC235">IFERROR(OFFSET($BZ$11,ROW($B235)-11,MATCH(BC$10,$CA235:$FV235,0),),"")</f>
        <v/>
      </c>
      <c r="BD235" s="84">
        <f>IF(BC235="","",IF(VLOOKUP($B235,INDIRECT("'GRD-"&amp;BE235&amp;"'!$B:$R"),16,FALSE)="","",VLOOKUP($B235,INDIRECT("'GRD-"&amp;BE235&amp;"'!$B:$R"),16,FALSE)))</f>
        <v/>
      </c>
      <c r="BE235" s="129">
        <f t="array" ref="BE235">IF(BC235="","",IFERROR(OFFSET($BZ$11,0,MATCH($BC235,$CA235:$FV235,0),),""))</f>
        <v/>
      </c>
      <c r="BF235" s="134">
        <f t="array" ref="BF235">IF(BC235="","",INDIRECT("'GRD-"&amp;BE235&amp;"'!$L$7"))</f>
        <v/>
      </c>
      <c r="CA235" s="96">
        <f>IFERROR(VLOOKUP($B235,INDIRECT("'GRD-"&amp;CA$11&amp;"'!B:R"),15,FALSE),"")</f>
        <v/>
      </c>
      <c r="CB235" s="96">
        <f>IFERROR(VLOOKUP($B235,INDIRECT("'GRD-"&amp;CB$11&amp;"'!B:R"),15,FALSE),"")</f>
        <v/>
      </c>
      <c r="CC235" s="96">
        <f>IFERROR(VLOOKUP($B235,INDIRECT("'GRD-"&amp;CC$11&amp;"'!B:R"),15,FALSE),"")</f>
        <v/>
      </c>
      <c r="CD235" s="96">
        <f>IFERROR(VLOOKUP($B235,INDIRECT("'GRD-"&amp;CD$11&amp;"'!B:R"),15,FALSE),"")</f>
        <v/>
      </c>
      <c r="CE235" s="96">
        <f>IFERROR(VLOOKUP($B235,INDIRECT("'GRD-"&amp;CE$11&amp;"'!B:R"),15,FALSE),"")</f>
        <v/>
      </c>
      <c r="CF235" s="96">
        <f>IFERROR(VLOOKUP($B235,INDIRECT("'GRD-"&amp;CF$11&amp;"'!B:R"),15,FALSE),"")</f>
        <v/>
      </c>
      <c r="CG235" s="96">
        <f>IFERROR(VLOOKUP($B235,INDIRECT("'GRD-"&amp;CG$11&amp;"'!B:R"),15,FALSE),"")</f>
        <v/>
      </c>
      <c r="CH235" s="96">
        <f>IFERROR(VLOOKUP($B235,INDIRECT("'GRD-"&amp;CH$11&amp;"'!B:R"),15,FALSE),"")</f>
        <v/>
      </c>
      <c r="CI235" s="96">
        <f>IFERROR(VLOOKUP($B235,INDIRECT("'GRD-"&amp;CI$11&amp;"'!B:R"),15,FALSE),"")</f>
        <v/>
      </c>
      <c r="CJ235" s="96">
        <f>IFERROR(VLOOKUP($B235,INDIRECT("'GRD-"&amp;CJ$11&amp;"'!B:R"),15,FALSE),"")</f>
        <v/>
      </c>
      <c r="CK235" s="96">
        <f>IFERROR(VLOOKUP($B235,INDIRECT("'GRD-"&amp;CK$11&amp;"'!B:R"),15,FALSE),"")</f>
        <v/>
      </c>
      <c r="CL235" s="96">
        <f>IFERROR(VLOOKUP($B235,INDIRECT("'GRD-"&amp;CL$11&amp;"'!B:R"),15,FALSE),"")</f>
        <v/>
      </c>
      <c r="CM235" s="96">
        <f>IFERROR(VLOOKUP($B235,INDIRECT("'GRD-"&amp;CM$11&amp;"'!B:R"),15,FALSE),"")</f>
        <v/>
      </c>
      <c r="CN235" s="96">
        <f>IFERROR(VLOOKUP($B235,INDIRECT("'GRD-"&amp;CN$11&amp;"'!B:R"),15,FALSE),"")</f>
        <v/>
      </c>
      <c r="CO235" s="96">
        <f>IFERROR(VLOOKUP($B235,INDIRECT("'GRD-"&amp;CO$11&amp;"'!B:R"),15,FALSE),"")</f>
        <v/>
      </c>
      <c r="CP235" s="96">
        <f>IFERROR(VLOOKUP($B235,INDIRECT("'GRD-"&amp;CP$11&amp;"'!B:R"),15,FALSE),"")</f>
        <v/>
      </c>
      <c r="CQ235" s="96">
        <f>IFERROR(VLOOKUP($B235,INDIRECT("'GRD-"&amp;CQ$11&amp;"'!B:R"),15,FALSE),"")</f>
        <v/>
      </c>
      <c r="CR235" s="96">
        <f>IFERROR(VLOOKUP($B235,INDIRECT("'GRD-"&amp;CR$11&amp;"'!B:R"),15,FALSE),"")</f>
        <v/>
      </c>
      <c r="CS235" s="96">
        <f>IFERROR(VLOOKUP($B235,INDIRECT("'GRD-"&amp;CS$11&amp;"'!B:R"),15,FALSE),"")</f>
        <v/>
      </c>
      <c r="CT235" s="96">
        <f>IFERROR(VLOOKUP($B235,INDIRECT("'GRD-"&amp;CT$11&amp;"'!B:R"),15,FALSE),"")</f>
        <v/>
      </c>
      <c r="CU235" s="96">
        <f>IFERROR(VLOOKUP($B235,INDIRECT("'GRD-"&amp;CU$11&amp;"'!B:R"),15,FALSE),"")</f>
        <v/>
      </c>
      <c r="CV235" s="96">
        <f>IFERROR(VLOOKUP($B235,INDIRECT("'GRD-"&amp;CV$11&amp;"'!B:R"),15,FALSE),"")</f>
        <v/>
      </c>
      <c r="CW235" s="96">
        <f>IFERROR(VLOOKUP($B235,INDIRECT("'GRD-"&amp;CW$11&amp;"'!B:R"),15,FALSE),"")</f>
        <v/>
      </c>
      <c r="CX235" s="96">
        <f>IFERROR(VLOOKUP($B235,INDIRECT("'GRD-"&amp;CX$11&amp;"'!B:R"),15,FALSE),"")</f>
        <v/>
      </c>
      <c r="CY235" s="96">
        <f>IFERROR(VLOOKUP($B235,INDIRECT("'GRD-"&amp;CY$11&amp;"'!B:R"),15,FALSE),"")</f>
        <v/>
      </c>
      <c r="CZ235" s="96">
        <f>IFERROR(VLOOKUP($B235,INDIRECT("'GRD-"&amp;CZ$11&amp;"'!B:R"),15,FALSE),"")</f>
        <v/>
      </c>
      <c r="DA235" s="96">
        <f>IFERROR(VLOOKUP($B235,INDIRECT("'GRD-"&amp;DA$11&amp;"'!B:R"),15,FALSE),"")</f>
        <v/>
      </c>
      <c r="DB235" s="96">
        <f>IFERROR(VLOOKUP($B235,INDIRECT("'GRD-"&amp;DB$11&amp;"'!B:R"),15,FALSE),"")</f>
        <v/>
      </c>
      <c r="DC235" s="96">
        <f>IFERROR(VLOOKUP($B235,INDIRECT("'GRD-"&amp;DC$11&amp;"'!B:R"),15,FALSE),"")</f>
        <v/>
      </c>
      <c r="DD235" s="96">
        <f>IFERROR(VLOOKUP($B235,INDIRECT("'GRD-"&amp;DD$11&amp;"'!B:R"),15,FALSE),"")</f>
        <v/>
      </c>
      <c r="DE235" s="96">
        <f>IFERROR(VLOOKUP($B235,INDIRECT("'GRD-"&amp;DE$11&amp;"'!B:R"),15,FALSE),"")</f>
        <v/>
      </c>
      <c r="DF235" s="96">
        <f>IFERROR(VLOOKUP($B235,INDIRECT("'GRD-"&amp;DF$11&amp;"'!B:R"),15,FALSE),"")</f>
        <v/>
      </c>
      <c r="DG235" s="96">
        <f>IFERROR(VLOOKUP($B235,INDIRECT("'GRD-"&amp;DG$11&amp;"'!B:R"),15,FALSE),"")</f>
        <v/>
      </c>
      <c r="DH235" s="96">
        <f>IFERROR(VLOOKUP($B235,INDIRECT("'GRD-"&amp;DH$11&amp;"'!B:R"),15,FALSE),"")</f>
        <v/>
      </c>
      <c r="DI235" s="96">
        <f>IFERROR(VLOOKUP($B235,INDIRECT("'GRD-"&amp;DI$11&amp;"'!B:R"),15,FALSE),"")</f>
        <v/>
      </c>
      <c r="DJ235" s="96">
        <f>IFERROR(VLOOKUP($B235,INDIRECT("'GRD-"&amp;DJ$11&amp;"'!B:R"),15,FALSE),"")</f>
        <v/>
      </c>
      <c r="DK235" s="96">
        <f>IFERROR(VLOOKUP($B235,INDIRECT("'GRD-"&amp;DK$11&amp;"'!B:R"),15,FALSE),"")</f>
        <v/>
      </c>
      <c r="DL235" s="96">
        <f>IFERROR(VLOOKUP($B235,INDIRECT("'GRD-"&amp;DL$11&amp;"'!B:R"),15,FALSE),"")</f>
        <v/>
      </c>
      <c r="DM235" s="96">
        <f>IFERROR(VLOOKUP($B235,INDIRECT("'GRD-"&amp;DM$11&amp;"'!B:R"),15,FALSE),"")</f>
        <v/>
      </c>
      <c r="DN235" s="96">
        <f>IFERROR(VLOOKUP($B235,INDIRECT("'GRD-"&amp;DN$11&amp;"'!B:R"),15,FALSE),"")</f>
        <v/>
      </c>
      <c r="DO235" s="96">
        <f>IFERROR(VLOOKUP($B235,INDIRECT("'GRD-"&amp;DO$11&amp;"'!B:R"),15,FALSE),"")</f>
        <v/>
      </c>
      <c r="DP235" s="96">
        <f>IFERROR(VLOOKUP($B235,INDIRECT("'GRD-"&amp;DP$11&amp;"'!B:R"),15,FALSE),"")</f>
        <v/>
      </c>
      <c r="DQ235" s="96">
        <f>IFERROR(VLOOKUP($B235,INDIRECT("'GRD-"&amp;DQ$11&amp;"'!B:R"),15,FALSE),"")</f>
        <v/>
      </c>
      <c r="DR235" s="96">
        <f>IFERROR(VLOOKUP($B235,INDIRECT("'GRD-"&amp;DR$11&amp;"'!B:R"),15,FALSE),"")</f>
        <v/>
      </c>
      <c r="DS235" s="96">
        <f>IFERROR(VLOOKUP($B235,INDIRECT("'GRD-"&amp;DS$11&amp;"'!B:R"),15,FALSE),"")</f>
        <v/>
      </c>
      <c r="DT235" s="96">
        <f>IFERROR(VLOOKUP($B235,INDIRECT("'GRD-"&amp;DT$11&amp;"'!B:R"),15,FALSE),"")</f>
        <v/>
      </c>
      <c r="DU235" s="96">
        <f>IFERROR(VLOOKUP($B235,INDIRECT("'GRD-"&amp;DU$11&amp;"'!B:R"),15,FALSE),"")</f>
        <v/>
      </c>
      <c r="DV235" s="96">
        <f>IFERROR(VLOOKUP($B235,INDIRECT("'GRD-"&amp;DV$11&amp;"'!B:R"),15,FALSE),"")</f>
        <v/>
      </c>
      <c r="DW235" s="96">
        <f>IFERROR(VLOOKUP($B235,INDIRECT("'GRD-"&amp;DW$11&amp;"'!B:R"),15,FALSE),"")</f>
        <v/>
      </c>
      <c r="DX235" s="96">
        <f>IFERROR(VLOOKUP($B235,INDIRECT("'GRD-"&amp;DX$11&amp;"'!B:R"),15,FALSE),"")</f>
        <v/>
      </c>
      <c r="DY235" s="96">
        <f>IFERROR(VLOOKUP($B235,INDIRECT("'GRD-"&amp;DY$11&amp;"'!B:R"),15,FALSE),"")</f>
        <v/>
      </c>
      <c r="DZ235" s="96">
        <f>IFERROR(VLOOKUP($B235,INDIRECT("'GRD-"&amp;DZ$11&amp;"'!B:R"),15,FALSE),"")</f>
        <v/>
      </c>
      <c r="EA235" s="96">
        <f>IFERROR(VLOOKUP($B235,INDIRECT("'GRD-"&amp;EA$11&amp;"'!B:R"),15,FALSE),"")</f>
        <v/>
      </c>
      <c r="EB235" s="96">
        <f>IFERROR(VLOOKUP($B235,INDIRECT("'GRD-"&amp;EB$11&amp;"'!B:R"),15,FALSE),"")</f>
        <v/>
      </c>
      <c r="EC235" s="96">
        <f>IFERROR(VLOOKUP($B235,INDIRECT("'GRD-"&amp;EC$11&amp;"'!B:R"),15,FALSE),"")</f>
        <v/>
      </c>
      <c r="ED235" s="96">
        <f>IFERROR(VLOOKUP($B235,INDIRECT("'GRD-"&amp;ED$11&amp;"'!B:R"),15,FALSE),"")</f>
        <v/>
      </c>
      <c r="EE235" s="96">
        <f>IFERROR(VLOOKUP($B235,INDIRECT("'GRD-"&amp;EE$11&amp;"'!B:R"),15,FALSE),"")</f>
        <v/>
      </c>
      <c r="EF235" s="96">
        <f>IFERROR(VLOOKUP($B235,INDIRECT("'GRD-"&amp;EF$11&amp;"'!B:R"),15,FALSE),"")</f>
        <v/>
      </c>
      <c r="EG235" s="96">
        <f>IFERROR(VLOOKUP($B235,INDIRECT("'GRD-"&amp;EG$11&amp;"'!B:R"),15,FALSE),"")</f>
        <v/>
      </c>
      <c r="EH235" s="96">
        <f>IFERROR(VLOOKUP($B235,INDIRECT("'GRD-"&amp;EH$11&amp;"'!B:R"),15,FALSE),"")</f>
        <v/>
      </c>
      <c r="EI235" s="96">
        <f>IFERROR(VLOOKUP($B235,INDIRECT("'GRD-"&amp;EI$11&amp;"'!B:R"),15,FALSE),"")</f>
        <v/>
      </c>
      <c r="EJ235" s="96">
        <f>IFERROR(VLOOKUP($B235,INDIRECT("'GRD-"&amp;EJ$11&amp;"'!B:R"),15,FALSE),"")</f>
        <v/>
      </c>
      <c r="EK235" s="96">
        <f>IFERROR(VLOOKUP($B235,INDIRECT("'GRD-"&amp;EK$11&amp;"'!B:R"),15,FALSE),"")</f>
        <v/>
      </c>
      <c r="EL235" s="96">
        <f>IFERROR(VLOOKUP($B235,INDIRECT("'GRD-"&amp;EL$11&amp;"'!B:R"),15,FALSE),"")</f>
        <v/>
      </c>
      <c r="EM235" s="96">
        <f>IFERROR(VLOOKUP($B235,INDIRECT("'GRD-"&amp;EM$11&amp;"'!B:R"),15,FALSE),"")</f>
        <v/>
      </c>
      <c r="EN235" s="96">
        <f>IFERROR(VLOOKUP($B235,INDIRECT("'GRD-"&amp;EN$11&amp;"'!B:R"),15,FALSE),"")</f>
        <v/>
      </c>
      <c r="EO235" s="96">
        <f>IFERROR(VLOOKUP($B235,INDIRECT("'GRD-"&amp;EO$11&amp;"'!B:R"),15,FALSE),"")</f>
        <v/>
      </c>
      <c r="EP235" s="96">
        <f>IFERROR(VLOOKUP($B235,INDIRECT("'GRD-"&amp;EP$11&amp;"'!B:R"),15,FALSE),"")</f>
        <v/>
      </c>
      <c r="EQ235" s="96">
        <f>IFERROR(VLOOKUP($B235,INDIRECT("'GRD-"&amp;EQ$11&amp;"'!B:R"),15,FALSE),"")</f>
        <v/>
      </c>
      <c r="ER235" s="96">
        <f>IFERROR(VLOOKUP($B235,INDIRECT("'GRD-"&amp;ER$11&amp;"'!B:R"),15,FALSE),"")</f>
        <v/>
      </c>
      <c r="ES235" s="96">
        <f>IFERROR(VLOOKUP($B235,INDIRECT("'GRD-"&amp;ES$11&amp;"'!B:R"),15,FALSE),"")</f>
        <v/>
      </c>
      <c r="ET235" s="96">
        <f>IFERROR(VLOOKUP($B235,INDIRECT("'GRD-"&amp;ET$11&amp;"'!B:R"),15,FALSE),"")</f>
        <v/>
      </c>
      <c r="EU235" s="96">
        <f>IFERROR(VLOOKUP($B235,INDIRECT("'GRD-"&amp;EU$11&amp;"'!B:R"),15,FALSE),"")</f>
        <v/>
      </c>
      <c r="EV235" s="96">
        <f>IFERROR(VLOOKUP($B235,INDIRECT("'GRD-"&amp;EV$11&amp;"'!B:R"),15,FALSE),"")</f>
        <v/>
      </c>
      <c r="EW235" s="96">
        <f>IFERROR(VLOOKUP($B235,INDIRECT("'GRD-"&amp;EW$11&amp;"'!B:R"),15,FALSE),"")</f>
        <v/>
      </c>
      <c r="EX235" s="96">
        <f>IFERROR(VLOOKUP($B235,INDIRECT("'GRD-"&amp;EX$11&amp;"'!B:R"),15,FALSE),"")</f>
        <v/>
      </c>
      <c r="EY235" s="96">
        <f>IFERROR(VLOOKUP($B235,INDIRECT("'GRD-"&amp;EY$11&amp;"'!B:R"),15,FALSE),"")</f>
        <v/>
      </c>
      <c r="EZ235" s="96">
        <f>IFERROR(VLOOKUP($B235,INDIRECT("'GRD-"&amp;EZ$11&amp;"'!B:R"),15,FALSE),"")</f>
        <v/>
      </c>
      <c r="FA235" s="96">
        <f>IFERROR(VLOOKUP($B235,INDIRECT("'GRD-"&amp;FA$11&amp;"'!B:R"),15,FALSE),"")</f>
        <v/>
      </c>
      <c r="FB235" s="96">
        <f>IFERROR(VLOOKUP($B235,INDIRECT("'GRD-"&amp;FB$11&amp;"'!B:R"),15,FALSE),"")</f>
        <v/>
      </c>
      <c r="FC235" s="96">
        <f>IFERROR(VLOOKUP($B235,INDIRECT("'GRD-"&amp;FC$11&amp;"'!B:R"),15,FALSE),"")</f>
        <v/>
      </c>
      <c r="FD235" s="96">
        <f>IFERROR(VLOOKUP($B235,INDIRECT("'GRD-"&amp;FD$11&amp;"'!B:R"),15,FALSE),"")</f>
        <v/>
      </c>
      <c r="FE235" s="96">
        <f>IFERROR(VLOOKUP($B235,INDIRECT("'GRD-"&amp;FE$11&amp;"'!B:R"),15,FALSE),"")</f>
        <v/>
      </c>
      <c r="FF235" s="96">
        <f>IFERROR(VLOOKUP($B235,INDIRECT("'GRD-"&amp;FF$11&amp;"'!B:R"),15,FALSE),"")</f>
        <v/>
      </c>
      <c r="FG235" s="96">
        <f>IFERROR(VLOOKUP($B235,INDIRECT("'GRD-"&amp;FG$11&amp;"'!B:R"),15,FALSE),"")</f>
        <v/>
      </c>
      <c r="FH235" s="96">
        <f>IFERROR(VLOOKUP($B235,INDIRECT("'GRD-"&amp;FH$11&amp;"'!B:R"),15,FALSE),"")</f>
        <v/>
      </c>
      <c r="FI235" s="96">
        <f>IFERROR(VLOOKUP($B235,INDIRECT("'GRD-"&amp;FI$11&amp;"'!B:R"),15,FALSE),"")</f>
        <v/>
      </c>
      <c r="FJ235" s="96">
        <f>IFERROR(VLOOKUP($B235,INDIRECT("'GRD-"&amp;FJ$11&amp;"'!B:R"),15,FALSE),"")</f>
        <v/>
      </c>
      <c r="FK235" s="96">
        <f>IFERROR(VLOOKUP($B235,INDIRECT("'GRD-"&amp;FK$11&amp;"'!B:R"),15,FALSE),"")</f>
        <v/>
      </c>
      <c r="FL235" s="96">
        <f>IFERROR(VLOOKUP($B235,INDIRECT("'GRD-"&amp;FL$11&amp;"'!B:R"),15,FALSE),"")</f>
        <v/>
      </c>
      <c r="FM235" s="96">
        <f>IFERROR(VLOOKUP($B235,INDIRECT("'GRD-"&amp;FM$11&amp;"'!B:R"),15,FALSE),"")</f>
        <v/>
      </c>
      <c r="FN235" s="96">
        <f>IFERROR(VLOOKUP($B235,INDIRECT("'GRD-"&amp;FN$11&amp;"'!B:R"),15,FALSE),"")</f>
        <v/>
      </c>
      <c r="FO235" s="96">
        <f>IFERROR(VLOOKUP($B235,INDIRECT("'GRD-"&amp;FO$11&amp;"'!B:R"),15,FALSE),"")</f>
        <v/>
      </c>
      <c r="FP235" s="96">
        <f>IFERROR(VLOOKUP($B235,INDIRECT("'GRD-"&amp;FP$11&amp;"'!B:R"),15,FALSE),"")</f>
        <v/>
      </c>
      <c r="FQ235" s="96">
        <f>IFERROR(VLOOKUP($B235,INDIRECT("'GRD-"&amp;FQ$11&amp;"'!B:R"),15,FALSE),"")</f>
        <v/>
      </c>
      <c r="FR235" s="96">
        <f>IFERROR(VLOOKUP($B235,INDIRECT("'GRD-"&amp;FR$11&amp;"'!B:R"),15,FALSE),"")</f>
        <v/>
      </c>
      <c r="FS235" s="96">
        <f>IFERROR(VLOOKUP($B235,INDIRECT("'GRD-"&amp;FS$11&amp;"'!B:R"),15,FALSE),"")</f>
        <v/>
      </c>
      <c r="FT235" s="96">
        <f>IFERROR(VLOOKUP($B235,INDIRECT("'GRD-"&amp;FT$11&amp;"'!B:R"),15,FALSE),"")</f>
        <v/>
      </c>
      <c r="FU235" s="96">
        <f>IFERROR(VLOOKUP($B235,INDIRECT("'GRD-"&amp;FU$11&amp;"'!B:R"),15,FALSE),"")</f>
        <v/>
      </c>
      <c r="FV235" s="96">
        <f>IFERROR(VLOOKUP($B235,INDIRECT("'GRD-"&amp;FV$11&amp;"'!B:R"),15,FALSE),"")</f>
        <v/>
      </c>
    </row>
    <row r="236">
      <c r="B236" s="85" t="n"/>
      <c r="C236" s="93" t="n"/>
      <c r="D236" s="73">
        <f>IF(K236="","",MAX($CA236:$FV236))</f>
        <v/>
      </c>
      <c r="E236" s="74">
        <f t="array" ref="E236">IF($K236="","",OFFSET($A$1,ROW($B236)-1,11+$D236*4,))</f>
        <v/>
      </c>
      <c r="F236" s="74">
        <f t="array" ref="F236">IF($K236="","",OFFSET($A$1,ROW($B236)-1,12+$D236*4,))</f>
        <v/>
      </c>
      <c r="G236" s="118">
        <f t="array" ref="G236">IF($K236="","",OFFSET($A$1,ROW($B236)-1,13+$D236*4,))</f>
        <v/>
      </c>
      <c r="H236" s="81" t="n"/>
      <c r="I236" s="82" t="n"/>
      <c r="J236" s="75">
        <f>IF(I236="A4",H236/8,IF(I236="A3",H236/4,IF(I236="A2",H236/2,IF(I236="A1",H236/1,IF(I236="A0",H236*2,"")))))</f>
        <v/>
      </c>
      <c r="K236" s="68">
        <f t="array" ref="K236">IFERROR(OFFSET($BZ$11,ROW($B236)-11,MATCH(K$10,$CA236:$FV236,0),),"")</f>
        <v/>
      </c>
      <c r="L236" s="85">
        <f>IF(K236="","",IF(VLOOKUP($B236,INDIRECT("'GRD-"&amp;M236&amp;"'!$B:$R"),16,FALSE)="","",VLOOKUP($B236,INDIRECT("'GRD-"&amp;M236&amp;"'!$B:$R"),16,FALSE)))</f>
        <v/>
      </c>
      <c r="M236" s="130">
        <f t="array" ref="M236">IF(K236="","",IFERROR(OFFSET($BZ$11,0,MATCH($K236,$CA236:$FV236,0),),""))</f>
        <v/>
      </c>
      <c r="N236" s="119">
        <f t="array" ref="N236">IF(K236="","",INDIRECT("'GRD-"&amp;M236&amp;"'!$L$7"))</f>
        <v/>
      </c>
      <c r="O236" s="76">
        <f t="array" ref="O236">IFERROR(OFFSET($BZ$11,ROW($B236)-11,MATCH(O$10,$CA236:$FV236,0),),"")</f>
        <v/>
      </c>
      <c r="P236" s="76">
        <f>IF(O236="","",IF(VLOOKUP($B236,INDIRECT("'GRD-"&amp;Q236&amp;"'!$B:$R"),16,FALSE)="","",VLOOKUP($B236,INDIRECT("'GRD-"&amp;Q236&amp;"'!$B:$R"),16,FALSE)))</f>
        <v/>
      </c>
      <c r="Q236" s="132">
        <f t="array" ref="Q236">IF(O236="","",IFERROR(OFFSET($BZ$11,0,MATCH($O236,$CA236:$FV236,0),),""))</f>
        <v/>
      </c>
      <c r="R236" s="121">
        <f t="array" ref="R236">IF(O236="","",INDIRECT("'GRD-"&amp;Q236&amp;"'!$L$7"))</f>
        <v/>
      </c>
      <c r="S236" s="83">
        <f t="array" ref="S236">IFERROR(OFFSET($BZ$11,ROW($B236)-11,MATCH(S$10,$CA236:$FV236,0),),"")</f>
        <v/>
      </c>
      <c r="T236" s="83">
        <f>IF(S236="","",IF(VLOOKUP($B236,INDIRECT("'GRD-"&amp;U236&amp;"'!$B:$R"),16,FALSE)="","",VLOOKUP($B236,INDIRECT("'GRD-"&amp;U236&amp;"'!$B:$R"),16,FALSE)))</f>
        <v/>
      </c>
      <c r="U236" s="128">
        <f t="array" ref="U236">IF(S236="","",IFERROR(OFFSET($BZ$11,0,MATCH($S236,$CA236:$FV236,0),),""))</f>
        <v/>
      </c>
      <c r="V236" s="133">
        <f t="array" ref="V236">IF(S236="","",INDIRECT("'GRD-"&amp;U236&amp;"'!$L$7"))</f>
        <v/>
      </c>
      <c r="W236" s="84">
        <f t="array" ref="W236">IFERROR(OFFSET($BZ$11,ROW($B236)-11,MATCH(W$10,$CA236:$FV236,0),),"")</f>
        <v/>
      </c>
      <c r="X236" s="84">
        <f>IF(W236="","",IF(VLOOKUP($B236,INDIRECT("'GRD-"&amp;Y236&amp;"'!$B:$R"),16,FALSE)="","",VLOOKUP($B236,INDIRECT("'GRD-"&amp;Y236&amp;"'!$B:$R"),16,FALSE)))</f>
        <v/>
      </c>
      <c r="Y236" s="129">
        <f t="array" ref="Y236">IF(W236="","",IFERROR(OFFSET($BZ$11,0,MATCH($W236,$CA236:$FV236,0),),""))</f>
        <v/>
      </c>
      <c r="Z236" s="134">
        <f t="array" ref="Z236">IF(W236="","",INDIRECT("'GRD-"&amp;Y236&amp;"'!$L$7"))</f>
        <v/>
      </c>
      <c r="AA236" s="85">
        <f t="array" ref="AA236">IFERROR(OFFSET($BZ$11,ROW($B236)-11,MATCH(AA$10,$CA236:$FV236,0),),"")</f>
        <v/>
      </c>
      <c r="AB236" s="85">
        <f>IF(AA236="","",IF(VLOOKUP($B236,INDIRECT("'GRD-"&amp;AC236&amp;"'!$B:$R"),16,FALSE)="","",VLOOKUP($B236,INDIRECT("'GRD-"&amp;AC236&amp;"'!$B:$R"),16,FALSE)))</f>
        <v/>
      </c>
      <c r="AC236" s="130">
        <f t="array" ref="AC236">IF(AA236="","",IFERROR(OFFSET($BZ$11,0,MATCH($AA236,$CA236:$FV236,0),),""))</f>
        <v/>
      </c>
      <c r="AD236" s="131">
        <f t="array" ref="AD236">IF(AA236="","",INDIRECT("'GRD-"&amp;AC236&amp;"'!$L$7"))</f>
        <v/>
      </c>
      <c r="AE236" s="76">
        <f t="array" ref="AE236">IFERROR(OFFSET($BZ$11,ROW($B236)-11,MATCH(AE$10,$CA236:$FV236,0),),"")</f>
        <v/>
      </c>
      <c r="AF236" s="76">
        <f>IF(AE236="","",IF(VLOOKUP($B236,INDIRECT("'GRD-"&amp;AG236&amp;"'!$B:$R"),16,FALSE)="","",VLOOKUP($B236,INDIRECT("'GRD-"&amp;AG236&amp;"'!$B:$R"),16,FALSE)))</f>
        <v/>
      </c>
      <c r="AG236" s="132">
        <f t="array" ref="AG236">IF(AE236="","",IFERROR(OFFSET($BZ$11,0,MATCH($AE236,$CA236:$FV236,0),),""))</f>
        <v/>
      </c>
      <c r="AH236" s="121">
        <f t="array" ref="AH236">IF(AE236="","",INDIRECT("'GRD-"&amp;AG236&amp;"'!$L$7"))</f>
        <v/>
      </c>
      <c r="AI236" s="83">
        <f t="array" ref="AI236">IFERROR(OFFSET($BZ$11,ROW($B236)-11,MATCH(AI$10,$CA236:$FV236,0),),"")</f>
        <v/>
      </c>
      <c r="AJ236" s="83">
        <f>IF(AI236="","",IF(VLOOKUP($B236,INDIRECT("'GRD-"&amp;AK236&amp;"'!$B:$R"),16,FALSE)="","",VLOOKUP($B236,INDIRECT("'GRD-"&amp;AK236&amp;"'!$B:$R"),16,FALSE)))</f>
        <v/>
      </c>
      <c r="AK236" s="128">
        <f t="array" ref="AK236">IF(AI236="","",IFERROR(OFFSET($BZ$11,0,MATCH($AI236,$CA236:$FV236,0),),""))</f>
        <v/>
      </c>
      <c r="AL236" s="133">
        <f t="array" ref="AL236">IF(AI236="","",INDIRECT("'GRD-"&amp;AK236&amp;"'!$L$7"))</f>
        <v/>
      </c>
      <c r="AM236" s="84">
        <f t="array" ref="AM236">IFERROR(OFFSET($BZ$11,ROW($B236)-11,MATCH(AM$10,$CA236:$FV236,0),),"")</f>
        <v/>
      </c>
      <c r="AN236" s="84">
        <f>IF(AM236="","",IF(VLOOKUP($B236,INDIRECT("'GRD-"&amp;AO236&amp;"'!$B:$R"),16,FALSE)="","",VLOOKUP($B236,INDIRECT("'GRD-"&amp;AO236&amp;"'!$B:$R"),16,FALSE)))</f>
        <v/>
      </c>
      <c r="AO236" s="129">
        <f t="array" ref="AO236">IF(AM236="","",IFERROR(OFFSET($BZ$11,0,MATCH($AM236,$CA236:$FV236,0),),""))</f>
        <v/>
      </c>
      <c r="AP236" s="134">
        <f t="array" ref="AP236">IF(AM236="","",INDIRECT("'GRD-"&amp;AO236&amp;"'!$L$7"))</f>
        <v/>
      </c>
      <c r="AQ236" s="85">
        <f t="array" ref="AQ236">IFERROR(OFFSET($BZ$11,ROW($B236)-11,MATCH(AQ$10,$CA236:$FV236,0),),"")</f>
        <v/>
      </c>
      <c r="AR236" s="85">
        <f>IF(AQ236="","",IF(VLOOKUP($B236,INDIRECT("'GRD-"&amp;AS236&amp;"'!$B:$R"),16,FALSE)="","",VLOOKUP($B236,INDIRECT("'GRD-"&amp;AS236&amp;"'!$B:$R"),16,FALSE)))</f>
        <v/>
      </c>
      <c r="AS236" s="130">
        <f t="array" ref="AS236">IF(AQ236="","",IFERROR(OFFSET($BZ$11,0,MATCH($AQ236,$CA236:$FV236,0),),""))</f>
        <v/>
      </c>
      <c r="AT236" s="131">
        <f t="array" ref="AT236">IF(AQ236="","",INDIRECT("'GRD-"&amp;AS236&amp;"'!$L$7"))</f>
        <v/>
      </c>
      <c r="AU236" s="76">
        <f t="array" ref="AU236">IFERROR(OFFSET($BZ$11,ROW($B236)-11,MATCH(AU$10,$CA236:$FV236,0),),"")</f>
        <v/>
      </c>
      <c r="AV236" s="76">
        <f>IF(AU236="","",IF(VLOOKUP($B236,INDIRECT("'GRD-"&amp;AW236&amp;"'!$B:$R"),16,FALSE)="","",VLOOKUP($B236,INDIRECT("'GRD-"&amp;AW236&amp;"'!$B:$R"),16,FALSE)))</f>
        <v/>
      </c>
      <c r="AW236" s="132">
        <f t="array" ref="AW236">IF(AU236="","",IFERROR(OFFSET($BZ$11,0,MATCH($AU236,$CA236:$FV236,0),),""))</f>
        <v/>
      </c>
      <c r="AX236" s="121">
        <f t="array" ref="AX236">IF(AU236="","",INDIRECT("'GRD-"&amp;AW236&amp;"'!$L$7"))</f>
        <v/>
      </c>
      <c r="AY236" s="83">
        <f t="array" ref="AY236">IFERROR(OFFSET($BZ$11,ROW($B236)-11,MATCH(AY$10,$CA236:$FV236,0),),"")</f>
        <v/>
      </c>
      <c r="AZ236" s="83">
        <f>IF(AY236="","",IF(VLOOKUP($B236,INDIRECT("'GRD-"&amp;BA236&amp;"'!$B:$R"),16,FALSE)="","",VLOOKUP($B236,INDIRECT("'GRD-"&amp;BA236&amp;"'!$B:$R"),16,FALSE)))</f>
        <v/>
      </c>
      <c r="BA236" s="128">
        <f t="array" ref="BA236">IF(AY236="","",IFERROR(OFFSET($BZ$11,0,MATCH($AY236,$CA236:$FV236,0),),""))</f>
        <v/>
      </c>
      <c r="BB236" s="133">
        <f t="array" ref="BB236">IF(AY236="","",INDIRECT("'GRD-"&amp;BA236&amp;"'!$L$7"))</f>
        <v/>
      </c>
      <c r="BC236" s="84">
        <f t="array" ref="BC236">IFERROR(OFFSET($BZ$11,ROW($B236)-11,MATCH(BC$10,$CA236:$FV236,0),),"")</f>
        <v/>
      </c>
      <c r="BD236" s="84">
        <f>IF(BC236="","",IF(VLOOKUP($B236,INDIRECT("'GRD-"&amp;BE236&amp;"'!$B:$R"),16,FALSE)="","",VLOOKUP($B236,INDIRECT("'GRD-"&amp;BE236&amp;"'!$B:$R"),16,FALSE)))</f>
        <v/>
      </c>
      <c r="BE236" s="129">
        <f t="array" ref="BE236">IF(BC236="","",IFERROR(OFFSET($BZ$11,0,MATCH($BC236,$CA236:$FV236,0),),""))</f>
        <v/>
      </c>
      <c r="BF236" s="134">
        <f t="array" ref="BF236">IF(BC236="","",INDIRECT("'GRD-"&amp;BE236&amp;"'!$L$7"))</f>
        <v/>
      </c>
      <c r="CA236" s="96">
        <f>IFERROR(VLOOKUP($B236,INDIRECT("'GRD-"&amp;CA$11&amp;"'!B:R"),15,FALSE),"")</f>
        <v/>
      </c>
      <c r="CB236" s="96">
        <f>IFERROR(VLOOKUP($B236,INDIRECT("'GRD-"&amp;CB$11&amp;"'!B:R"),15,FALSE),"")</f>
        <v/>
      </c>
      <c r="CC236" s="96">
        <f>IFERROR(VLOOKUP($B236,INDIRECT("'GRD-"&amp;CC$11&amp;"'!B:R"),15,FALSE),"")</f>
        <v/>
      </c>
      <c r="CD236" s="96">
        <f>IFERROR(VLOOKUP($B236,INDIRECT("'GRD-"&amp;CD$11&amp;"'!B:R"),15,FALSE),"")</f>
        <v/>
      </c>
      <c r="CE236" s="96">
        <f>IFERROR(VLOOKUP($B236,INDIRECT("'GRD-"&amp;CE$11&amp;"'!B:R"),15,FALSE),"")</f>
        <v/>
      </c>
      <c r="CF236" s="96">
        <f>IFERROR(VLOOKUP($B236,INDIRECT("'GRD-"&amp;CF$11&amp;"'!B:R"),15,FALSE),"")</f>
        <v/>
      </c>
      <c r="CG236" s="96">
        <f>IFERROR(VLOOKUP($B236,INDIRECT("'GRD-"&amp;CG$11&amp;"'!B:R"),15,FALSE),"")</f>
        <v/>
      </c>
      <c r="CH236" s="96">
        <f>IFERROR(VLOOKUP($B236,INDIRECT("'GRD-"&amp;CH$11&amp;"'!B:R"),15,FALSE),"")</f>
        <v/>
      </c>
      <c r="CI236" s="96">
        <f>IFERROR(VLOOKUP($B236,INDIRECT("'GRD-"&amp;CI$11&amp;"'!B:R"),15,FALSE),"")</f>
        <v/>
      </c>
      <c r="CJ236" s="96">
        <f>IFERROR(VLOOKUP($B236,INDIRECT("'GRD-"&amp;CJ$11&amp;"'!B:R"),15,FALSE),"")</f>
        <v/>
      </c>
      <c r="CK236" s="96">
        <f>IFERROR(VLOOKUP($B236,INDIRECT("'GRD-"&amp;CK$11&amp;"'!B:R"),15,FALSE),"")</f>
        <v/>
      </c>
      <c r="CL236" s="96">
        <f>IFERROR(VLOOKUP($B236,INDIRECT("'GRD-"&amp;CL$11&amp;"'!B:R"),15,FALSE),"")</f>
        <v/>
      </c>
      <c r="CM236" s="96">
        <f>IFERROR(VLOOKUP($B236,INDIRECT("'GRD-"&amp;CM$11&amp;"'!B:R"),15,FALSE),"")</f>
        <v/>
      </c>
      <c r="CN236" s="96">
        <f>IFERROR(VLOOKUP($B236,INDIRECT("'GRD-"&amp;CN$11&amp;"'!B:R"),15,FALSE),"")</f>
        <v/>
      </c>
      <c r="CO236" s="96">
        <f>IFERROR(VLOOKUP($B236,INDIRECT("'GRD-"&amp;CO$11&amp;"'!B:R"),15,FALSE),"")</f>
        <v/>
      </c>
      <c r="CP236" s="96">
        <f>IFERROR(VLOOKUP($B236,INDIRECT("'GRD-"&amp;CP$11&amp;"'!B:R"),15,FALSE),"")</f>
        <v/>
      </c>
      <c r="CQ236" s="96">
        <f>IFERROR(VLOOKUP($B236,INDIRECT("'GRD-"&amp;CQ$11&amp;"'!B:R"),15,FALSE),"")</f>
        <v/>
      </c>
      <c r="CR236" s="96">
        <f>IFERROR(VLOOKUP($B236,INDIRECT("'GRD-"&amp;CR$11&amp;"'!B:R"),15,FALSE),"")</f>
        <v/>
      </c>
      <c r="CS236" s="96">
        <f>IFERROR(VLOOKUP($B236,INDIRECT("'GRD-"&amp;CS$11&amp;"'!B:R"),15,FALSE),"")</f>
        <v/>
      </c>
      <c r="CT236" s="96">
        <f>IFERROR(VLOOKUP($B236,INDIRECT("'GRD-"&amp;CT$11&amp;"'!B:R"),15,FALSE),"")</f>
        <v/>
      </c>
      <c r="CU236" s="96">
        <f>IFERROR(VLOOKUP($B236,INDIRECT("'GRD-"&amp;CU$11&amp;"'!B:R"),15,FALSE),"")</f>
        <v/>
      </c>
      <c r="CV236" s="96">
        <f>IFERROR(VLOOKUP($B236,INDIRECT("'GRD-"&amp;CV$11&amp;"'!B:R"),15,FALSE),"")</f>
        <v/>
      </c>
      <c r="CW236" s="96">
        <f>IFERROR(VLOOKUP($B236,INDIRECT("'GRD-"&amp;CW$11&amp;"'!B:R"),15,FALSE),"")</f>
        <v/>
      </c>
      <c r="CX236" s="96">
        <f>IFERROR(VLOOKUP($B236,INDIRECT("'GRD-"&amp;CX$11&amp;"'!B:R"),15,FALSE),"")</f>
        <v/>
      </c>
      <c r="CY236" s="96">
        <f>IFERROR(VLOOKUP($B236,INDIRECT("'GRD-"&amp;CY$11&amp;"'!B:R"),15,FALSE),"")</f>
        <v/>
      </c>
      <c r="CZ236" s="96">
        <f>IFERROR(VLOOKUP($B236,INDIRECT("'GRD-"&amp;CZ$11&amp;"'!B:R"),15,FALSE),"")</f>
        <v/>
      </c>
      <c r="DA236" s="96">
        <f>IFERROR(VLOOKUP($B236,INDIRECT("'GRD-"&amp;DA$11&amp;"'!B:R"),15,FALSE),"")</f>
        <v/>
      </c>
      <c r="DB236" s="96">
        <f>IFERROR(VLOOKUP($B236,INDIRECT("'GRD-"&amp;DB$11&amp;"'!B:R"),15,FALSE),"")</f>
        <v/>
      </c>
      <c r="DC236" s="96">
        <f>IFERROR(VLOOKUP($B236,INDIRECT("'GRD-"&amp;DC$11&amp;"'!B:R"),15,FALSE),"")</f>
        <v/>
      </c>
      <c r="DD236" s="96">
        <f>IFERROR(VLOOKUP($B236,INDIRECT("'GRD-"&amp;DD$11&amp;"'!B:R"),15,FALSE),"")</f>
        <v/>
      </c>
      <c r="DE236" s="96">
        <f>IFERROR(VLOOKUP($B236,INDIRECT("'GRD-"&amp;DE$11&amp;"'!B:R"),15,FALSE),"")</f>
        <v/>
      </c>
      <c r="DF236" s="96">
        <f>IFERROR(VLOOKUP($B236,INDIRECT("'GRD-"&amp;DF$11&amp;"'!B:R"),15,FALSE),"")</f>
        <v/>
      </c>
      <c r="DG236" s="96">
        <f>IFERROR(VLOOKUP($B236,INDIRECT("'GRD-"&amp;DG$11&amp;"'!B:R"),15,FALSE),"")</f>
        <v/>
      </c>
      <c r="DH236" s="96">
        <f>IFERROR(VLOOKUP($B236,INDIRECT("'GRD-"&amp;DH$11&amp;"'!B:R"),15,FALSE),"")</f>
        <v/>
      </c>
      <c r="DI236" s="96">
        <f>IFERROR(VLOOKUP($B236,INDIRECT("'GRD-"&amp;DI$11&amp;"'!B:R"),15,FALSE),"")</f>
        <v/>
      </c>
      <c r="DJ236" s="96">
        <f>IFERROR(VLOOKUP($B236,INDIRECT("'GRD-"&amp;DJ$11&amp;"'!B:R"),15,FALSE),"")</f>
        <v/>
      </c>
      <c r="DK236" s="96">
        <f>IFERROR(VLOOKUP($B236,INDIRECT("'GRD-"&amp;DK$11&amp;"'!B:R"),15,FALSE),"")</f>
        <v/>
      </c>
      <c r="DL236" s="96">
        <f>IFERROR(VLOOKUP($B236,INDIRECT("'GRD-"&amp;DL$11&amp;"'!B:R"),15,FALSE),"")</f>
        <v/>
      </c>
      <c r="DM236" s="96">
        <f>IFERROR(VLOOKUP($B236,INDIRECT("'GRD-"&amp;DM$11&amp;"'!B:R"),15,FALSE),"")</f>
        <v/>
      </c>
      <c r="DN236" s="96">
        <f>IFERROR(VLOOKUP($B236,INDIRECT("'GRD-"&amp;DN$11&amp;"'!B:R"),15,FALSE),"")</f>
        <v/>
      </c>
      <c r="DO236" s="96">
        <f>IFERROR(VLOOKUP($B236,INDIRECT("'GRD-"&amp;DO$11&amp;"'!B:R"),15,FALSE),"")</f>
        <v/>
      </c>
      <c r="DP236" s="96">
        <f>IFERROR(VLOOKUP($B236,INDIRECT("'GRD-"&amp;DP$11&amp;"'!B:R"),15,FALSE),"")</f>
        <v/>
      </c>
      <c r="DQ236" s="96">
        <f>IFERROR(VLOOKUP($B236,INDIRECT("'GRD-"&amp;DQ$11&amp;"'!B:R"),15,FALSE),"")</f>
        <v/>
      </c>
      <c r="DR236" s="96">
        <f>IFERROR(VLOOKUP($B236,INDIRECT("'GRD-"&amp;DR$11&amp;"'!B:R"),15,FALSE),"")</f>
        <v/>
      </c>
      <c r="DS236" s="96">
        <f>IFERROR(VLOOKUP($B236,INDIRECT("'GRD-"&amp;DS$11&amp;"'!B:R"),15,FALSE),"")</f>
        <v/>
      </c>
      <c r="DT236" s="96">
        <f>IFERROR(VLOOKUP($B236,INDIRECT("'GRD-"&amp;DT$11&amp;"'!B:R"),15,FALSE),"")</f>
        <v/>
      </c>
      <c r="DU236" s="96">
        <f>IFERROR(VLOOKUP($B236,INDIRECT("'GRD-"&amp;DU$11&amp;"'!B:R"),15,FALSE),"")</f>
        <v/>
      </c>
      <c r="DV236" s="96">
        <f>IFERROR(VLOOKUP($B236,INDIRECT("'GRD-"&amp;DV$11&amp;"'!B:R"),15,FALSE),"")</f>
        <v/>
      </c>
      <c r="DW236" s="96">
        <f>IFERROR(VLOOKUP($B236,INDIRECT("'GRD-"&amp;DW$11&amp;"'!B:R"),15,FALSE),"")</f>
        <v/>
      </c>
      <c r="DX236" s="96">
        <f>IFERROR(VLOOKUP($B236,INDIRECT("'GRD-"&amp;DX$11&amp;"'!B:R"),15,FALSE),"")</f>
        <v/>
      </c>
      <c r="DY236" s="96">
        <f>IFERROR(VLOOKUP($B236,INDIRECT("'GRD-"&amp;DY$11&amp;"'!B:R"),15,FALSE),"")</f>
        <v/>
      </c>
      <c r="DZ236" s="96">
        <f>IFERROR(VLOOKUP($B236,INDIRECT("'GRD-"&amp;DZ$11&amp;"'!B:R"),15,FALSE),"")</f>
        <v/>
      </c>
      <c r="EA236" s="96">
        <f>IFERROR(VLOOKUP($B236,INDIRECT("'GRD-"&amp;EA$11&amp;"'!B:R"),15,FALSE),"")</f>
        <v/>
      </c>
      <c r="EB236" s="96">
        <f>IFERROR(VLOOKUP($B236,INDIRECT("'GRD-"&amp;EB$11&amp;"'!B:R"),15,FALSE),"")</f>
        <v/>
      </c>
      <c r="EC236" s="96">
        <f>IFERROR(VLOOKUP($B236,INDIRECT("'GRD-"&amp;EC$11&amp;"'!B:R"),15,FALSE),"")</f>
        <v/>
      </c>
      <c r="ED236" s="96">
        <f>IFERROR(VLOOKUP($B236,INDIRECT("'GRD-"&amp;ED$11&amp;"'!B:R"),15,FALSE),"")</f>
        <v/>
      </c>
      <c r="EE236" s="96">
        <f>IFERROR(VLOOKUP($B236,INDIRECT("'GRD-"&amp;EE$11&amp;"'!B:R"),15,FALSE),"")</f>
        <v/>
      </c>
      <c r="EF236" s="96">
        <f>IFERROR(VLOOKUP($B236,INDIRECT("'GRD-"&amp;EF$11&amp;"'!B:R"),15,FALSE),"")</f>
        <v/>
      </c>
      <c r="EG236" s="96">
        <f>IFERROR(VLOOKUP($B236,INDIRECT("'GRD-"&amp;EG$11&amp;"'!B:R"),15,FALSE),"")</f>
        <v/>
      </c>
      <c r="EH236" s="96">
        <f>IFERROR(VLOOKUP($B236,INDIRECT("'GRD-"&amp;EH$11&amp;"'!B:R"),15,FALSE),"")</f>
        <v/>
      </c>
      <c r="EI236" s="96">
        <f>IFERROR(VLOOKUP($B236,INDIRECT("'GRD-"&amp;EI$11&amp;"'!B:R"),15,FALSE),"")</f>
        <v/>
      </c>
      <c r="EJ236" s="96">
        <f>IFERROR(VLOOKUP($B236,INDIRECT("'GRD-"&amp;EJ$11&amp;"'!B:R"),15,FALSE),"")</f>
        <v/>
      </c>
      <c r="EK236" s="96">
        <f>IFERROR(VLOOKUP($B236,INDIRECT("'GRD-"&amp;EK$11&amp;"'!B:R"),15,FALSE),"")</f>
        <v/>
      </c>
      <c r="EL236" s="96">
        <f>IFERROR(VLOOKUP($B236,INDIRECT("'GRD-"&amp;EL$11&amp;"'!B:R"),15,FALSE),"")</f>
        <v/>
      </c>
      <c r="EM236" s="96">
        <f>IFERROR(VLOOKUP($B236,INDIRECT("'GRD-"&amp;EM$11&amp;"'!B:R"),15,FALSE),"")</f>
        <v/>
      </c>
      <c r="EN236" s="96">
        <f>IFERROR(VLOOKUP($B236,INDIRECT("'GRD-"&amp;EN$11&amp;"'!B:R"),15,FALSE),"")</f>
        <v/>
      </c>
      <c r="EO236" s="96">
        <f>IFERROR(VLOOKUP($B236,INDIRECT("'GRD-"&amp;EO$11&amp;"'!B:R"),15,FALSE),"")</f>
        <v/>
      </c>
      <c r="EP236" s="96">
        <f>IFERROR(VLOOKUP($B236,INDIRECT("'GRD-"&amp;EP$11&amp;"'!B:R"),15,FALSE),"")</f>
        <v/>
      </c>
      <c r="EQ236" s="96">
        <f>IFERROR(VLOOKUP($B236,INDIRECT("'GRD-"&amp;EQ$11&amp;"'!B:R"),15,FALSE),"")</f>
        <v/>
      </c>
      <c r="ER236" s="96">
        <f>IFERROR(VLOOKUP($B236,INDIRECT("'GRD-"&amp;ER$11&amp;"'!B:R"),15,FALSE),"")</f>
        <v/>
      </c>
      <c r="ES236" s="96">
        <f>IFERROR(VLOOKUP($B236,INDIRECT("'GRD-"&amp;ES$11&amp;"'!B:R"),15,FALSE),"")</f>
        <v/>
      </c>
      <c r="ET236" s="96">
        <f>IFERROR(VLOOKUP($B236,INDIRECT("'GRD-"&amp;ET$11&amp;"'!B:R"),15,FALSE),"")</f>
        <v/>
      </c>
      <c r="EU236" s="96">
        <f>IFERROR(VLOOKUP($B236,INDIRECT("'GRD-"&amp;EU$11&amp;"'!B:R"),15,FALSE),"")</f>
        <v/>
      </c>
      <c r="EV236" s="96">
        <f>IFERROR(VLOOKUP($B236,INDIRECT("'GRD-"&amp;EV$11&amp;"'!B:R"),15,FALSE),"")</f>
        <v/>
      </c>
      <c r="EW236" s="96">
        <f>IFERROR(VLOOKUP($B236,INDIRECT("'GRD-"&amp;EW$11&amp;"'!B:R"),15,FALSE),"")</f>
        <v/>
      </c>
      <c r="EX236" s="96">
        <f>IFERROR(VLOOKUP($B236,INDIRECT("'GRD-"&amp;EX$11&amp;"'!B:R"),15,FALSE),"")</f>
        <v/>
      </c>
      <c r="EY236" s="96">
        <f>IFERROR(VLOOKUP($B236,INDIRECT("'GRD-"&amp;EY$11&amp;"'!B:R"),15,FALSE),"")</f>
        <v/>
      </c>
      <c r="EZ236" s="96">
        <f>IFERROR(VLOOKUP($B236,INDIRECT("'GRD-"&amp;EZ$11&amp;"'!B:R"),15,FALSE),"")</f>
        <v/>
      </c>
      <c r="FA236" s="96">
        <f>IFERROR(VLOOKUP($B236,INDIRECT("'GRD-"&amp;FA$11&amp;"'!B:R"),15,FALSE),"")</f>
        <v/>
      </c>
      <c r="FB236" s="96">
        <f>IFERROR(VLOOKUP($B236,INDIRECT("'GRD-"&amp;FB$11&amp;"'!B:R"),15,FALSE),"")</f>
        <v/>
      </c>
      <c r="FC236" s="96">
        <f>IFERROR(VLOOKUP($B236,INDIRECT("'GRD-"&amp;FC$11&amp;"'!B:R"),15,FALSE),"")</f>
        <v/>
      </c>
      <c r="FD236" s="96">
        <f>IFERROR(VLOOKUP($B236,INDIRECT("'GRD-"&amp;FD$11&amp;"'!B:R"),15,FALSE),"")</f>
        <v/>
      </c>
      <c r="FE236" s="96">
        <f>IFERROR(VLOOKUP($B236,INDIRECT("'GRD-"&amp;FE$11&amp;"'!B:R"),15,FALSE),"")</f>
        <v/>
      </c>
      <c r="FF236" s="96">
        <f>IFERROR(VLOOKUP($B236,INDIRECT("'GRD-"&amp;FF$11&amp;"'!B:R"),15,FALSE),"")</f>
        <v/>
      </c>
      <c r="FG236" s="96">
        <f>IFERROR(VLOOKUP($B236,INDIRECT("'GRD-"&amp;FG$11&amp;"'!B:R"),15,FALSE),"")</f>
        <v/>
      </c>
      <c r="FH236" s="96">
        <f>IFERROR(VLOOKUP($B236,INDIRECT("'GRD-"&amp;FH$11&amp;"'!B:R"),15,FALSE),"")</f>
        <v/>
      </c>
      <c r="FI236" s="96">
        <f>IFERROR(VLOOKUP($B236,INDIRECT("'GRD-"&amp;FI$11&amp;"'!B:R"),15,FALSE),"")</f>
        <v/>
      </c>
      <c r="FJ236" s="96">
        <f>IFERROR(VLOOKUP($B236,INDIRECT("'GRD-"&amp;FJ$11&amp;"'!B:R"),15,FALSE),"")</f>
        <v/>
      </c>
      <c r="FK236" s="96">
        <f>IFERROR(VLOOKUP($B236,INDIRECT("'GRD-"&amp;FK$11&amp;"'!B:R"),15,FALSE),"")</f>
        <v/>
      </c>
      <c r="FL236" s="96">
        <f>IFERROR(VLOOKUP($B236,INDIRECT("'GRD-"&amp;FL$11&amp;"'!B:R"),15,FALSE),"")</f>
        <v/>
      </c>
      <c r="FM236" s="96">
        <f>IFERROR(VLOOKUP($B236,INDIRECT("'GRD-"&amp;FM$11&amp;"'!B:R"),15,FALSE),"")</f>
        <v/>
      </c>
      <c r="FN236" s="96">
        <f>IFERROR(VLOOKUP($B236,INDIRECT("'GRD-"&amp;FN$11&amp;"'!B:R"),15,FALSE),"")</f>
        <v/>
      </c>
      <c r="FO236" s="96">
        <f>IFERROR(VLOOKUP($B236,INDIRECT("'GRD-"&amp;FO$11&amp;"'!B:R"),15,FALSE),"")</f>
        <v/>
      </c>
      <c r="FP236" s="96">
        <f>IFERROR(VLOOKUP($B236,INDIRECT("'GRD-"&amp;FP$11&amp;"'!B:R"),15,FALSE),"")</f>
        <v/>
      </c>
      <c r="FQ236" s="96">
        <f>IFERROR(VLOOKUP($B236,INDIRECT("'GRD-"&amp;FQ$11&amp;"'!B:R"),15,FALSE),"")</f>
        <v/>
      </c>
      <c r="FR236" s="96">
        <f>IFERROR(VLOOKUP($B236,INDIRECT("'GRD-"&amp;FR$11&amp;"'!B:R"),15,FALSE),"")</f>
        <v/>
      </c>
      <c r="FS236" s="96">
        <f>IFERROR(VLOOKUP($B236,INDIRECT("'GRD-"&amp;FS$11&amp;"'!B:R"),15,FALSE),"")</f>
        <v/>
      </c>
      <c r="FT236" s="96">
        <f>IFERROR(VLOOKUP($B236,INDIRECT("'GRD-"&amp;FT$11&amp;"'!B:R"),15,FALSE),"")</f>
        <v/>
      </c>
      <c r="FU236" s="96">
        <f>IFERROR(VLOOKUP($B236,INDIRECT("'GRD-"&amp;FU$11&amp;"'!B:R"),15,FALSE),"")</f>
        <v/>
      </c>
      <c r="FV236" s="96">
        <f>IFERROR(VLOOKUP($B236,INDIRECT("'GRD-"&amp;FV$11&amp;"'!B:R"),15,FALSE),"")</f>
        <v/>
      </c>
    </row>
    <row r="237">
      <c r="B237" s="85" t="n"/>
      <c r="C237" s="93" t="n"/>
      <c r="D237" s="73">
        <f>IF(K237="","",MAX($CA237:$FV237))</f>
        <v/>
      </c>
      <c r="E237" s="74">
        <f t="array" ref="E237">IF($K237="","",OFFSET($A$1,ROW($B237)-1,11+$D237*4,))</f>
        <v/>
      </c>
      <c r="F237" s="74">
        <f t="array" ref="F237">IF($K237="","",OFFSET($A$1,ROW($B237)-1,12+$D237*4,))</f>
        <v/>
      </c>
      <c r="G237" s="118">
        <f t="array" ref="G237">IF($K237="","",OFFSET($A$1,ROW($B237)-1,13+$D237*4,))</f>
        <v/>
      </c>
      <c r="H237" s="81" t="n"/>
      <c r="I237" s="82" t="n"/>
      <c r="J237" s="75">
        <f>IF(I237="A4",H237/8,IF(I237="A3",H237/4,IF(I237="A2",H237/2,IF(I237="A1",H237/1,IF(I237="A0",H237*2,"")))))</f>
        <v/>
      </c>
      <c r="K237" s="68">
        <f t="array" ref="K237">IFERROR(OFFSET($BZ$11,ROW($B237)-11,MATCH(K$10,$CA237:$FV237,0),),"")</f>
        <v/>
      </c>
      <c r="L237" s="85">
        <f>IF(K237="","",IF(VLOOKUP($B237,INDIRECT("'GRD-"&amp;M237&amp;"'!$B:$R"),16,FALSE)="","",VLOOKUP($B237,INDIRECT("'GRD-"&amp;M237&amp;"'!$B:$R"),16,FALSE)))</f>
        <v/>
      </c>
      <c r="M237" s="130">
        <f t="array" ref="M237">IF(K237="","",IFERROR(OFFSET($BZ$11,0,MATCH($K237,$CA237:$FV237,0),),""))</f>
        <v/>
      </c>
      <c r="N237" s="119">
        <f t="array" ref="N237">IF(K237="","",INDIRECT("'GRD-"&amp;M237&amp;"'!$L$7"))</f>
        <v/>
      </c>
      <c r="O237" s="76">
        <f t="array" ref="O237">IFERROR(OFFSET($BZ$11,ROW($B237)-11,MATCH(O$10,$CA237:$FV237,0),),"")</f>
        <v/>
      </c>
      <c r="P237" s="76">
        <f>IF(O237="","",IF(VLOOKUP($B237,INDIRECT("'GRD-"&amp;Q237&amp;"'!$B:$R"),16,FALSE)="","",VLOOKUP($B237,INDIRECT("'GRD-"&amp;Q237&amp;"'!$B:$R"),16,FALSE)))</f>
        <v/>
      </c>
      <c r="Q237" s="132">
        <f t="array" ref="Q237">IF(O237="","",IFERROR(OFFSET($BZ$11,0,MATCH($O237,$CA237:$FV237,0),),""))</f>
        <v/>
      </c>
      <c r="R237" s="121">
        <f t="array" ref="R237">IF(O237="","",INDIRECT("'GRD-"&amp;Q237&amp;"'!$L$7"))</f>
        <v/>
      </c>
      <c r="S237" s="83">
        <f t="array" ref="S237">IFERROR(OFFSET($BZ$11,ROW($B237)-11,MATCH(S$10,$CA237:$FV237,0),),"")</f>
        <v/>
      </c>
      <c r="T237" s="83">
        <f>IF(S237="","",IF(VLOOKUP($B237,INDIRECT("'GRD-"&amp;U237&amp;"'!$B:$R"),16,FALSE)="","",VLOOKUP($B237,INDIRECT("'GRD-"&amp;U237&amp;"'!$B:$R"),16,FALSE)))</f>
        <v/>
      </c>
      <c r="U237" s="128">
        <f t="array" ref="U237">IF(S237="","",IFERROR(OFFSET($BZ$11,0,MATCH($S237,$CA237:$FV237,0),),""))</f>
        <v/>
      </c>
      <c r="V237" s="133">
        <f t="array" ref="V237">IF(S237="","",INDIRECT("'GRD-"&amp;U237&amp;"'!$L$7"))</f>
        <v/>
      </c>
      <c r="W237" s="84">
        <f t="array" ref="W237">IFERROR(OFFSET($BZ$11,ROW($B237)-11,MATCH(W$10,$CA237:$FV237,0),),"")</f>
        <v/>
      </c>
      <c r="X237" s="84">
        <f>IF(W237="","",IF(VLOOKUP($B237,INDIRECT("'GRD-"&amp;Y237&amp;"'!$B:$R"),16,FALSE)="","",VLOOKUP($B237,INDIRECT("'GRD-"&amp;Y237&amp;"'!$B:$R"),16,FALSE)))</f>
        <v/>
      </c>
      <c r="Y237" s="129">
        <f t="array" ref="Y237">IF(W237="","",IFERROR(OFFSET($BZ$11,0,MATCH($W237,$CA237:$FV237,0),),""))</f>
        <v/>
      </c>
      <c r="Z237" s="134">
        <f t="array" ref="Z237">IF(W237="","",INDIRECT("'GRD-"&amp;Y237&amp;"'!$L$7"))</f>
        <v/>
      </c>
      <c r="AA237" s="85">
        <f t="array" ref="AA237">IFERROR(OFFSET($BZ$11,ROW($B237)-11,MATCH(AA$10,$CA237:$FV237,0),),"")</f>
        <v/>
      </c>
      <c r="AB237" s="85">
        <f>IF(AA237="","",IF(VLOOKUP($B237,INDIRECT("'GRD-"&amp;AC237&amp;"'!$B:$R"),16,FALSE)="","",VLOOKUP($B237,INDIRECT("'GRD-"&amp;AC237&amp;"'!$B:$R"),16,FALSE)))</f>
        <v/>
      </c>
      <c r="AC237" s="130">
        <f t="array" ref="AC237">IF(AA237="","",IFERROR(OFFSET($BZ$11,0,MATCH($AA237,$CA237:$FV237,0),),""))</f>
        <v/>
      </c>
      <c r="AD237" s="131">
        <f t="array" ref="AD237">IF(AA237="","",INDIRECT("'GRD-"&amp;AC237&amp;"'!$L$7"))</f>
        <v/>
      </c>
      <c r="AE237" s="76">
        <f t="array" ref="AE237">IFERROR(OFFSET($BZ$11,ROW($B237)-11,MATCH(AE$10,$CA237:$FV237,0),),"")</f>
        <v/>
      </c>
      <c r="AF237" s="76">
        <f>IF(AE237="","",IF(VLOOKUP($B237,INDIRECT("'GRD-"&amp;AG237&amp;"'!$B:$R"),16,FALSE)="","",VLOOKUP($B237,INDIRECT("'GRD-"&amp;AG237&amp;"'!$B:$R"),16,FALSE)))</f>
        <v/>
      </c>
      <c r="AG237" s="132">
        <f t="array" ref="AG237">IF(AE237="","",IFERROR(OFFSET($BZ$11,0,MATCH($AE237,$CA237:$FV237,0),),""))</f>
        <v/>
      </c>
      <c r="AH237" s="121">
        <f t="array" ref="AH237">IF(AE237="","",INDIRECT("'GRD-"&amp;AG237&amp;"'!$L$7"))</f>
        <v/>
      </c>
      <c r="AI237" s="83">
        <f t="array" ref="AI237">IFERROR(OFFSET($BZ$11,ROW($B237)-11,MATCH(AI$10,$CA237:$FV237,0),),"")</f>
        <v/>
      </c>
      <c r="AJ237" s="83">
        <f>IF(AI237="","",IF(VLOOKUP($B237,INDIRECT("'GRD-"&amp;AK237&amp;"'!$B:$R"),16,FALSE)="","",VLOOKUP($B237,INDIRECT("'GRD-"&amp;AK237&amp;"'!$B:$R"),16,FALSE)))</f>
        <v/>
      </c>
      <c r="AK237" s="128">
        <f t="array" ref="AK237">IF(AI237="","",IFERROR(OFFSET($BZ$11,0,MATCH($AI237,$CA237:$FV237,0),),""))</f>
        <v/>
      </c>
      <c r="AL237" s="133">
        <f t="array" ref="AL237">IF(AI237="","",INDIRECT("'GRD-"&amp;AK237&amp;"'!$L$7"))</f>
        <v/>
      </c>
      <c r="AM237" s="84">
        <f t="array" ref="AM237">IFERROR(OFFSET($BZ$11,ROW($B237)-11,MATCH(AM$10,$CA237:$FV237,0),),"")</f>
        <v/>
      </c>
      <c r="AN237" s="84">
        <f>IF(AM237="","",IF(VLOOKUP($B237,INDIRECT("'GRD-"&amp;AO237&amp;"'!$B:$R"),16,FALSE)="","",VLOOKUP($B237,INDIRECT("'GRD-"&amp;AO237&amp;"'!$B:$R"),16,FALSE)))</f>
        <v/>
      </c>
      <c r="AO237" s="129">
        <f t="array" ref="AO237">IF(AM237="","",IFERROR(OFFSET($BZ$11,0,MATCH($AM237,$CA237:$FV237,0),),""))</f>
        <v/>
      </c>
      <c r="AP237" s="134">
        <f t="array" ref="AP237">IF(AM237="","",INDIRECT("'GRD-"&amp;AO237&amp;"'!$L$7"))</f>
        <v/>
      </c>
      <c r="AQ237" s="85">
        <f t="array" ref="AQ237">IFERROR(OFFSET($BZ$11,ROW($B237)-11,MATCH(AQ$10,$CA237:$FV237,0),),"")</f>
        <v/>
      </c>
      <c r="AR237" s="85">
        <f>IF(AQ237="","",IF(VLOOKUP($B237,INDIRECT("'GRD-"&amp;AS237&amp;"'!$B:$R"),16,FALSE)="","",VLOOKUP($B237,INDIRECT("'GRD-"&amp;AS237&amp;"'!$B:$R"),16,FALSE)))</f>
        <v/>
      </c>
      <c r="AS237" s="130">
        <f t="array" ref="AS237">IF(AQ237="","",IFERROR(OFFSET($BZ$11,0,MATCH($AQ237,$CA237:$FV237,0),),""))</f>
        <v/>
      </c>
      <c r="AT237" s="131">
        <f t="array" ref="AT237">IF(AQ237="","",INDIRECT("'GRD-"&amp;AS237&amp;"'!$L$7"))</f>
        <v/>
      </c>
      <c r="AU237" s="76">
        <f t="array" ref="AU237">IFERROR(OFFSET($BZ$11,ROW($B237)-11,MATCH(AU$10,$CA237:$FV237,0),),"")</f>
        <v/>
      </c>
      <c r="AV237" s="76">
        <f>IF(AU237="","",IF(VLOOKUP($B237,INDIRECT("'GRD-"&amp;AW237&amp;"'!$B:$R"),16,FALSE)="","",VLOOKUP($B237,INDIRECT("'GRD-"&amp;AW237&amp;"'!$B:$R"),16,FALSE)))</f>
        <v/>
      </c>
      <c r="AW237" s="132">
        <f t="array" ref="AW237">IF(AU237="","",IFERROR(OFFSET($BZ$11,0,MATCH($AU237,$CA237:$FV237,0),),""))</f>
        <v/>
      </c>
      <c r="AX237" s="121">
        <f t="array" ref="AX237">IF(AU237="","",INDIRECT("'GRD-"&amp;AW237&amp;"'!$L$7"))</f>
        <v/>
      </c>
      <c r="AY237" s="83">
        <f t="array" ref="AY237">IFERROR(OFFSET($BZ$11,ROW($B237)-11,MATCH(AY$10,$CA237:$FV237,0),),"")</f>
        <v/>
      </c>
      <c r="AZ237" s="83">
        <f>IF(AY237="","",IF(VLOOKUP($B237,INDIRECT("'GRD-"&amp;BA237&amp;"'!$B:$R"),16,FALSE)="","",VLOOKUP($B237,INDIRECT("'GRD-"&amp;BA237&amp;"'!$B:$R"),16,FALSE)))</f>
        <v/>
      </c>
      <c r="BA237" s="128">
        <f t="array" ref="BA237">IF(AY237="","",IFERROR(OFFSET($BZ$11,0,MATCH($AY237,$CA237:$FV237,0),),""))</f>
        <v/>
      </c>
      <c r="BB237" s="133">
        <f t="array" ref="BB237">IF(AY237="","",INDIRECT("'GRD-"&amp;BA237&amp;"'!$L$7"))</f>
        <v/>
      </c>
      <c r="BC237" s="84">
        <f t="array" ref="BC237">IFERROR(OFFSET($BZ$11,ROW($B237)-11,MATCH(BC$10,$CA237:$FV237,0),),"")</f>
        <v/>
      </c>
      <c r="BD237" s="84">
        <f>IF(BC237="","",IF(VLOOKUP($B237,INDIRECT("'GRD-"&amp;BE237&amp;"'!$B:$R"),16,FALSE)="","",VLOOKUP($B237,INDIRECT("'GRD-"&amp;BE237&amp;"'!$B:$R"),16,FALSE)))</f>
        <v/>
      </c>
      <c r="BE237" s="129">
        <f t="array" ref="BE237">IF(BC237="","",IFERROR(OFFSET($BZ$11,0,MATCH($BC237,$CA237:$FV237,0),),""))</f>
        <v/>
      </c>
      <c r="BF237" s="134">
        <f t="array" ref="BF237">IF(BC237="","",INDIRECT("'GRD-"&amp;BE237&amp;"'!$L$7"))</f>
        <v/>
      </c>
      <c r="CA237" s="96">
        <f>IFERROR(VLOOKUP($B237,INDIRECT("'GRD-"&amp;CA$11&amp;"'!B:R"),15,FALSE),"")</f>
        <v/>
      </c>
      <c r="CB237" s="96">
        <f>IFERROR(VLOOKUP($B237,INDIRECT("'GRD-"&amp;CB$11&amp;"'!B:R"),15,FALSE),"")</f>
        <v/>
      </c>
      <c r="CC237" s="96">
        <f>IFERROR(VLOOKUP($B237,INDIRECT("'GRD-"&amp;CC$11&amp;"'!B:R"),15,FALSE),"")</f>
        <v/>
      </c>
      <c r="CD237" s="96">
        <f>IFERROR(VLOOKUP($B237,INDIRECT("'GRD-"&amp;CD$11&amp;"'!B:R"),15,FALSE),"")</f>
        <v/>
      </c>
      <c r="CE237" s="96">
        <f>IFERROR(VLOOKUP($B237,INDIRECT("'GRD-"&amp;CE$11&amp;"'!B:R"),15,FALSE),"")</f>
        <v/>
      </c>
      <c r="CF237" s="96">
        <f>IFERROR(VLOOKUP($B237,INDIRECT("'GRD-"&amp;CF$11&amp;"'!B:R"),15,FALSE),"")</f>
        <v/>
      </c>
      <c r="CG237" s="96">
        <f>IFERROR(VLOOKUP($B237,INDIRECT("'GRD-"&amp;CG$11&amp;"'!B:R"),15,FALSE),"")</f>
        <v/>
      </c>
      <c r="CH237" s="96">
        <f>IFERROR(VLOOKUP($B237,INDIRECT("'GRD-"&amp;CH$11&amp;"'!B:R"),15,FALSE),"")</f>
        <v/>
      </c>
      <c r="CI237" s="96">
        <f>IFERROR(VLOOKUP($B237,INDIRECT("'GRD-"&amp;CI$11&amp;"'!B:R"),15,FALSE),"")</f>
        <v/>
      </c>
      <c r="CJ237" s="96">
        <f>IFERROR(VLOOKUP($B237,INDIRECT("'GRD-"&amp;CJ$11&amp;"'!B:R"),15,FALSE),"")</f>
        <v/>
      </c>
      <c r="CK237" s="96">
        <f>IFERROR(VLOOKUP($B237,INDIRECT("'GRD-"&amp;CK$11&amp;"'!B:R"),15,FALSE),"")</f>
        <v/>
      </c>
      <c r="CL237" s="96">
        <f>IFERROR(VLOOKUP($B237,INDIRECT("'GRD-"&amp;CL$11&amp;"'!B:R"),15,FALSE),"")</f>
        <v/>
      </c>
      <c r="CM237" s="96">
        <f>IFERROR(VLOOKUP($B237,INDIRECT("'GRD-"&amp;CM$11&amp;"'!B:R"),15,FALSE),"")</f>
        <v/>
      </c>
      <c r="CN237" s="96">
        <f>IFERROR(VLOOKUP($B237,INDIRECT("'GRD-"&amp;CN$11&amp;"'!B:R"),15,FALSE),"")</f>
        <v/>
      </c>
      <c r="CO237" s="96">
        <f>IFERROR(VLOOKUP($B237,INDIRECT("'GRD-"&amp;CO$11&amp;"'!B:R"),15,FALSE),"")</f>
        <v/>
      </c>
      <c r="CP237" s="96">
        <f>IFERROR(VLOOKUP($B237,INDIRECT("'GRD-"&amp;CP$11&amp;"'!B:R"),15,FALSE),"")</f>
        <v/>
      </c>
      <c r="CQ237" s="96">
        <f>IFERROR(VLOOKUP($B237,INDIRECT("'GRD-"&amp;CQ$11&amp;"'!B:R"),15,FALSE),"")</f>
        <v/>
      </c>
      <c r="CR237" s="96">
        <f>IFERROR(VLOOKUP($B237,INDIRECT("'GRD-"&amp;CR$11&amp;"'!B:R"),15,FALSE),"")</f>
        <v/>
      </c>
      <c r="CS237" s="96">
        <f>IFERROR(VLOOKUP($B237,INDIRECT("'GRD-"&amp;CS$11&amp;"'!B:R"),15,FALSE),"")</f>
        <v/>
      </c>
      <c r="CT237" s="96">
        <f>IFERROR(VLOOKUP($B237,INDIRECT("'GRD-"&amp;CT$11&amp;"'!B:R"),15,FALSE),"")</f>
        <v/>
      </c>
      <c r="CU237" s="96">
        <f>IFERROR(VLOOKUP($B237,INDIRECT("'GRD-"&amp;CU$11&amp;"'!B:R"),15,FALSE),"")</f>
        <v/>
      </c>
      <c r="CV237" s="96">
        <f>IFERROR(VLOOKUP($B237,INDIRECT("'GRD-"&amp;CV$11&amp;"'!B:R"),15,FALSE),"")</f>
        <v/>
      </c>
      <c r="CW237" s="96">
        <f>IFERROR(VLOOKUP($B237,INDIRECT("'GRD-"&amp;CW$11&amp;"'!B:R"),15,FALSE),"")</f>
        <v/>
      </c>
      <c r="CX237" s="96">
        <f>IFERROR(VLOOKUP($B237,INDIRECT("'GRD-"&amp;CX$11&amp;"'!B:R"),15,FALSE),"")</f>
        <v/>
      </c>
      <c r="CY237" s="96">
        <f>IFERROR(VLOOKUP($B237,INDIRECT("'GRD-"&amp;CY$11&amp;"'!B:R"),15,FALSE),"")</f>
        <v/>
      </c>
      <c r="CZ237" s="96">
        <f>IFERROR(VLOOKUP($B237,INDIRECT("'GRD-"&amp;CZ$11&amp;"'!B:R"),15,FALSE),"")</f>
        <v/>
      </c>
      <c r="DA237" s="96">
        <f>IFERROR(VLOOKUP($B237,INDIRECT("'GRD-"&amp;DA$11&amp;"'!B:R"),15,FALSE),"")</f>
        <v/>
      </c>
      <c r="DB237" s="96">
        <f>IFERROR(VLOOKUP($B237,INDIRECT("'GRD-"&amp;DB$11&amp;"'!B:R"),15,FALSE),"")</f>
        <v/>
      </c>
      <c r="DC237" s="96">
        <f>IFERROR(VLOOKUP($B237,INDIRECT("'GRD-"&amp;DC$11&amp;"'!B:R"),15,FALSE),"")</f>
        <v/>
      </c>
      <c r="DD237" s="96">
        <f>IFERROR(VLOOKUP($B237,INDIRECT("'GRD-"&amp;DD$11&amp;"'!B:R"),15,FALSE),"")</f>
        <v/>
      </c>
      <c r="DE237" s="96">
        <f>IFERROR(VLOOKUP($B237,INDIRECT("'GRD-"&amp;DE$11&amp;"'!B:R"),15,FALSE),"")</f>
        <v/>
      </c>
      <c r="DF237" s="96">
        <f>IFERROR(VLOOKUP($B237,INDIRECT("'GRD-"&amp;DF$11&amp;"'!B:R"),15,FALSE),"")</f>
        <v/>
      </c>
      <c r="DG237" s="96">
        <f>IFERROR(VLOOKUP($B237,INDIRECT("'GRD-"&amp;DG$11&amp;"'!B:R"),15,FALSE),"")</f>
        <v/>
      </c>
      <c r="DH237" s="96">
        <f>IFERROR(VLOOKUP($B237,INDIRECT("'GRD-"&amp;DH$11&amp;"'!B:R"),15,FALSE),"")</f>
        <v/>
      </c>
      <c r="DI237" s="96">
        <f>IFERROR(VLOOKUP($B237,INDIRECT("'GRD-"&amp;DI$11&amp;"'!B:R"),15,FALSE),"")</f>
        <v/>
      </c>
      <c r="DJ237" s="96">
        <f>IFERROR(VLOOKUP($B237,INDIRECT("'GRD-"&amp;DJ$11&amp;"'!B:R"),15,FALSE),"")</f>
        <v/>
      </c>
      <c r="DK237" s="96">
        <f>IFERROR(VLOOKUP($B237,INDIRECT("'GRD-"&amp;DK$11&amp;"'!B:R"),15,FALSE),"")</f>
        <v/>
      </c>
      <c r="DL237" s="96">
        <f>IFERROR(VLOOKUP($B237,INDIRECT("'GRD-"&amp;DL$11&amp;"'!B:R"),15,FALSE),"")</f>
        <v/>
      </c>
      <c r="DM237" s="96">
        <f>IFERROR(VLOOKUP($B237,INDIRECT("'GRD-"&amp;DM$11&amp;"'!B:R"),15,FALSE),"")</f>
        <v/>
      </c>
      <c r="DN237" s="96">
        <f>IFERROR(VLOOKUP($B237,INDIRECT("'GRD-"&amp;DN$11&amp;"'!B:R"),15,FALSE),"")</f>
        <v/>
      </c>
      <c r="DO237" s="96">
        <f>IFERROR(VLOOKUP($B237,INDIRECT("'GRD-"&amp;DO$11&amp;"'!B:R"),15,FALSE),"")</f>
        <v/>
      </c>
      <c r="DP237" s="96">
        <f>IFERROR(VLOOKUP($B237,INDIRECT("'GRD-"&amp;DP$11&amp;"'!B:R"),15,FALSE),"")</f>
        <v/>
      </c>
      <c r="DQ237" s="96">
        <f>IFERROR(VLOOKUP($B237,INDIRECT("'GRD-"&amp;DQ$11&amp;"'!B:R"),15,FALSE),"")</f>
        <v/>
      </c>
      <c r="DR237" s="96">
        <f>IFERROR(VLOOKUP($B237,INDIRECT("'GRD-"&amp;DR$11&amp;"'!B:R"),15,FALSE),"")</f>
        <v/>
      </c>
      <c r="DS237" s="96">
        <f>IFERROR(VLOOKUP($B237,INDIRECT("'GRD-"&amp;DS$11&amp;"'!B:R"),15,FALSE),"")</f>
        <v/>
      </c>
      <c r="DT237" s="96">
        <f>IFERROR(VLOOKUP($B237,INDIRECT("'GRD-"&amp;DT$11&amp;"'!B:R"),15,FALSE),"")</f>
        <v/>
      </c>
      <c r="DU237" s="96">
        <f>IFERROR(VLOOKUP($B237,INDIRECT("'GRD-"&amp;DU$11&amp;"'!B:R"),15,FALSE),"")</f>
        <v/>
      </c>
      <c r="DV237" s="96">
        <f>IFERROR(VLOOKUP($B237,INDIRECT("'GRD-"&amp;DV$11&amp;"'!B:R"),15,FALSE),"")</f>
        <v/>
      </c>
      <c r="DW237" s="96">
        <f>IFERROR(VLOOKUP($B237,INDIRECT("'GRD-"&amp;DW$11&amp;"'!B:R"),15,FALSE),"")</f>
        <v/>
      </c>
      <c r="DX237" s="96">
        <f>IFERROR(VLOOKUP($B237,INDIRECT("'GRD-"&amp;DX$11&amp;"'!B:R"),15,FALSE),"")</f>
        <v/>
      </c>
      <c r="DY237" s="96">
        <f>IFERROR(VLOOKUP($B237,INDIRECT("'GRD-"&amp;DY$11&amp;"'!B:R"),15,FALSE),"")</f>
        <v/>
      </c>
      <c r="DZ237" s="96">
        <f>IFERROR(VLOOKUP($B237,INDIRECT("'GRD-"&amp;DZ$11&amp;"'!B:R"),15,FALSE),"")</f>
        <v/>
      </c>
      <c r="EA237" s="96">
        <f>IFERROR(VLOOKUP($B237,INDIRECT("'GRD-"&amp;EA$11&amp;"'!B:R"),15,FALSE),"")</f>
        <v/>
      </c>
      <c r="EB237" s="96">
        <f>IFERROR(VLOOKUP($B237,INDIRECT("'GRD-"&amp;EB$11&amp;"'!B:R"),15,FALSE),"")</f>
        <v/>
      </c>
      <c r="EC237" s="96">
        <f>IFERROR(VLOOKUP($B237,INDIRECT("'GRD-"&amp;EC$11&amp;"'!B:R"),15,FALSE),"")</f>
        <v/>
      </c>
      <c r="ED237" s="96">
        <f>IFERROR(VLOOKUP($B237,INDIRECT("'GRD-"&amp;ED$11&amp;"'!B:R"),15,FALSE),"")</f>
        <v/>
      </c>
      <c r="EE237" s="96">
        <f>IFERROR(VLOOKUP($B237,INDIRECT("'GRD-"&amp;EE$11&amp;"'!B:R"),15,FALSE),"")</f>
        <v/>
      </c>
      <c r="EF237" s="96">
        <f>IFERROR(VLOOKUP($B237,INDIRECT("'GRD-"&amp;EF$11&amp;"'!B:R"),15,FALSE),"")</f>
        <v/>
      </c>
      <c r="EG237" s="96">
        <f>IFERROR(VLOOKUP($B237,INDIRECT("'GRD-"&amp;EG$11&amp;"'!B:R"),15,FALSE),"")</f>
        <v/>
      </c>
      <c r="EH237" s="96">
        <f>IFERROR(VLOOKUP($B237,INDIRECT("'GRD-"&amp;EH$11&amp;"'!B:R"),15,FALSE),"")</f>
        <v/>
      </c>
      <c r="EI237" s="96">
        <f>IFERROR(VLOOKUP($B237,INDIRECT("'GRD-"&amp;EI$11&amp;"'!B:R"),15,FALSE),"")</f>
        <v/>
      </c>
      <c r="EJ237" s="96">
        <f>IFERROR(VLOOKUP($B237,INDIRECT("'GRD-"&amp;EJ$11&amp;"'!B:R"),15,FALSE),"")</f>
        <v/>
      </c>
      <c r="EK237" s="96">
        <f>IFERROR(VLOOKUP($B237,INDIRECT("'GRD-"&amp;EK$11&amp;"'!B:R"),15,FALSE),"")</f>
        <v/>
      </c>
      <c r="EL237" s="96">
        <f>IFERROR(VLOOKUP($B237,INDIRECT("'GRD-"&amp;EL$11&amp;"'!B:R"),15,FALSE),"")</f>
        <v/>
      </c>
      <c r="EM237" s="96">
        <f>IFERROR(VLOOKUP($B237,INDIRECT("'GRD-"&amp;EM$11&amp;"'!B:R"),15,FALSE),"")</f>
        <v/>
      </c>
      <c r="EN237" s="96">
        <f>IFERROR(VLOOKUP($B237,INDIRECT("'GRD-"&amp;EN$11&amp;"'!B:R"),15,FALSE),"")</f>
        <v/>
      </c>
      <c r="EO237" s="96">
        <f>IFERROR(VLOOKUP($B237,INDIRECT("'GRD-"&amp;EO$11&amp;"'!B:R"),15,FALSE),"")</f>
        <v/>
      </c>
      <c r="EP237" s="96">
        <f>IFERROR(VLOOKUP($B237,INDIRECT("'GRD-"&amp;EP$11&amp;"'!B:R"),15,FALSE),"")</f>
        <v/>
      </c>
      <c r="EQ237" s="96">
        <f>IFERROR(VLOOKUP($B237,INDIRECT("'GRD-"&amp;EQ$11&amp;"'!B:R"),15,FALSE),"")</f>
        <v/>
      </c>
      <c r="ER237" s="96">
        <f>IFERROR(VLOOKUP($B237,INDIRECT("'GRD-"&amp;ER$11&amp;"'!B:R"),15,FALSE),"")</f>
        <v/>
      </c>
      <c r="ES237" s="96">
        <f>IFERROR(VLOOKUP($B237,INDIRECT("'GRD-"&amp;ES$11&amp;"'!B:R"),15,FALSE),"")</f>
        <v/>
      </c>
      <c r="ET237" s="96">
        <f>IFERROR(VLOOKUP($B237,INDIRECT("'GRD-"&amp;ET$11&amp;"'!B:R"),15,FALSE),"")</f>
        <v/>
      </c>
      <c r="EU237" s="96">
        <f>IFERROR(VLOOKUP($B237,INDIRECT("'GRD-"&amp;EU$11&amp;"'!B:R"),15,FALSE),"")</f>
        <v/>
      </c>
      <c r="EV237" s="96">
        <f>IFERROR(VLOOKUP($B237,INDIRECT("'GRD-"&amp;EV$11&amp;"'!B:R"),15,FALSE),"")</f>
        <v/>
      </c>
      <c r="EW237" s="96">
        <f>IFERROR(VLOOKUP($B237,INDIRECT("'GRD-"&amp;EW$11&amp;"'!B:R"),15,FALSE),"")</f>
        <v/>
      </c>
      <c r="EX237" s="96">
        <f>IFERROR(VLOOKUP($B237,INDIRECT("'GRD-"&amp;EX$11&amp;"'!B:R"),15,FALSE),"")</f>
        <v/>
      </c>
      <c r="EY237" s="96">
        <f>IFERROR(VLOOKUP($B237,INDIRECT("'GRD-"&amp;EY$11&amp;"'!B:R"),15,FALSE),"")</f>
        <v/>
      </c>
      <c r="EZ237" s="96">
        <f>IFERROR(VLOOKUP($B237,INDIRECT("'GRD-"&amp;EZ$11&amp;"'!B:R"),15,FALSE),"")</f>
        <v/>
      </c>
      <c r="FA237" s="96">
        <f>IFERROR(VLOOKUP($B237,INDIRECT("'GRD-"&amp;FA$11&amp;"'!B:R"),15,FALSE),"")</f>
        <v/>
      </c>
      <c r="FB237" s="96">
        <f>IFERROR(VLOOKUP($B237,INDIRECT("'GRD-"&amp;FB$11&amp;"'!B:R"),15,FALSE),"")</f>
        <v/>
      </c>
      <c r="FC237" s="96">
        <f>IFERROR(VLOOKUP($B237,INDIRECT("'GRD-"&amp;FC$11&amp;"'!B:R"),15,FALSE),"")</f>
        <v/>
      </c>
      <c r="FD237" s="96">
        <f>IFERROR(VLOOKUP($B237,INDIRECT("'GRD-"&amp;FD$11&amp;"'!B:R"),15,FALSE),"")</f>
        <v/>
      </c>
      <c r="FE237" s="96">
        <f>IFERROR(VLOOKUP($B237,INDIRECT("'GRD-"&amp;FE$11&amp;"'!B:R"),15,FALSE),"")</f>
        <v/>
      </c>
      <c r="FF237" s="96">
        <f>IFERROR(VLOOKUP($B237,INDIRECT("'GRD-"&amp;FF$11&amp;"'!B:R"),15,FALSE),"")</f>
        <v/>
      </c>
      <c r="FG237" s="96">
        <f>IFERROR(VLOOKUP($B237,INDIRECT("'GRD-"&amp;FG$11&amp;"'!B:R"),15,FALSE),"")</f>
        <v/>
      </c>
      <c r="FH237" s="96">
        <f>IFERROR(VLOOKUP($B237,INDIRECT("'GRD-"&amp;FH$11&amp;"'!B:R"),15,FALSE),"")</f>
        <v/>
      </c>
      <c r="FI237" s="96">
        <f>IFERROR(VLOOKUP($B237,INDIRECT("'GRD-"&amp;FI$11&amp;"'!B:R"),15,FALSE),"")</f>
        <v/>
      </c>
      <c r="FJ237" s="96">
        <f>IFERROR(VLOOKUP($B237,INDIRECT("'GRD-"&amp;FJ$11&amp;"'!B:R"),15,FALSE),"")</f>
        <v/>
      </c>
      <c r="FK237" s="96">
        <f>IFERROR(VLOOKUP($B237,INDIRECT("'GRD-"&amp;FK$11&amp;"'!B:R"),15,FALSE),"")</f>
        <v/>
      </c>
      <c r="FL237" s="96">
        <f>IFERROR(VLOOKUP($B237,INDIRECT("'GRD-"&amp;FL$11&amp;"'!B:R"),15,FALSE),"")</f>
        <v/>
      </c>
      <c r="FM237" s="96">
        <f>IFERROR(VLOOKUP($B237,INDIRECT("'GRD-"&amp;FM$11&amp;"'!B:R"),15,FALSE),"")</f>
        <v/>
      </c>
      <c r="FN237" s="96">
        <f>IFERROR(VLOOKUP($B237,INDIRECT("'GRD-"&amp;FN$11&amp;"'!B:R"),15,FALSE),"")</f>
        <v/>
      </c>
      <c r="FO237" s="96">
        <f>IFERROR(VLOOKUP($B237,INDIRECT("'GRD-"&amp;FO$11&amp;"'!B:R"),15,FALSE),"")</f>
        <v/>
      </c>
      <c r="FP237" s="96">
        <f>IFERROR(VLOOKUP($B237,INDIRECT("'GRD-"&amp;FP$11&amp;"'!B:R"),15,FALSE),"")</f>
        <v/>
      </c>
      <c r="FQ237" s="96">
        <f>IFERROR(VLOOKUP($B237,INDIRECT("'GRD-"&amp;FQ$11&amp;"'!B:R"),15,FALSE),"")</f>
        <v/>
      </c>
      <c r="FR237" s="96">
        <f>IFERROR(VLOOKUP($B237,INDIRECT("'GRD-"&amp;FR$11&amp;"'!B:R"),15,FALSE),"")</f>
        <v/>
      </c>
      <c r="FS237" s="96">
        <f>IFERROR(VLOOKUP($B237,INDIRECT("'GRD-"&amp;FS$11&amp;"'!B:R"),15,FALSE),"")</f>
        <v/>
      </c>
      <c r="FT237" s="96">
        <f>IFERROR(VLOOKUP($B237,INDIRECT("'GRD-"&amp;FT$11&amp;"'!B:R"),15,FALSE),"")</f>
        <v/>
      </c>
      <c r="FU237" s="96">
        <f>IFERROR(VLOOKUP($B237,INDIRECT("'GRD-"&amp;FU$11&amp;"'!B:R"),15,FALSE),"")</f>
        <v/>
      </c>
      <c r="FV237" s="96">
        <f>IFERROR(VLOOKUP($B237,INDIRECT("'GRD-"&amp;FV$11&amp;"'!B:R"),15,FALSE),"")</f>
        <v/>
      </c>
    </row>
    <row r="238">
      <c r="B238" s="85" t="n"/>
      <c r="C238" s="93" t="n"/>
      <c r="D238" s="73">
        <f>IF(K238="","",MAX($CA238:$FV238))</f>
        <v/>
      </c>
      <c r="E238" s="74">
        <f t="array" ref="E238">IF($K238="","",OFFSET($A$1,ROW($B238)-1,11+$D238*4,))</f>
        <v/>
      </c>
      <c r="F238" s="74">
        <f t="array" ref="F238">IF($K238="","",OFFSET($A$1,ROW($B238)-1,12+$D238*4,))</f>
        <v/>
      </c>
      <c r="G238" s="118">
        <f t="array" ref="G238">IF($K238="","",OFFSET($A$1,ROW($B238)-1,13+$D238*4,))</f>
        <v/>
      </c>
      <c r="H238" s="81" t="n"/>
      <c r="I238" s="82" t="n"/>
      <c r="J238" s="75">
        <f>IF(I238="A4",H238/8,IF(I238="A3",H238/4,IF(I238="A2",H238/2,IF(I238="A1",H238/1,IF(I238="A0",H238*2,"")))))</f>
        <v/>
      </c>
      <c r="K238" s="68">
        <f t="array" ref="K238">IFERROR(OFFSET($BZ$11,ROW($B238)-11,MATCH(K$10,$CA238:$FV238,0),),"")</f>
        <v/>
      </c>
      <c r="L238" s="85">
        <f>IF(K238="","",IF(VLOOKUP($B238,INDIRECT("'GRD-"&amp;M238&amp;"'!$B:$R"),16,FALSE)="","",VLOOKUP($B238,INDIRECT("'GRD-"&amp;M238&amp;"'!$B:$R"),16,FALSE)))</f>
        <v/>
      </c>
      <c r="M238" s="130">
        <f t="array" ref="M238">IF(K238="","",IFERROR(OFFSET($BZ$11,0,MATCH($K238,$CA238:$FV238,0),),""))</f>
        <v/>
      </c>
      <c r="N238" s="119">
        <f t="array" ref="N238">IF(K238="","",INDIRECT("'GRD-"&amp;M238&amp;"'!$L$7"))</f>
        <v/>
      </c>
      <c r="O238" s="76">
        <f t="array" ref="O238">IFERROR(OFFSET($BZ$11,ROW($B238)-11,MATCH(O$10,$CA238:$FV238,0),),"")</f>
        <v/>
      </c>
      <c r="P238" s="76">
        <f>IF(O238="","",IF(VLOOKUP($B238,INDIRECT("'GRD-"&amp;Q238&amp;"'!$B:$R"),16,FALSE)="","",VLOOKUP($B238,INDIRECT("'GRD-"&amp;Q238&amp;"'!$B:$R"),16,FALSE)))</f>
        <v/>
      </c>
      <c r="Q238" s="132">
        <f t="array" ref="Q238">IF(O238="","",IFERROR(OFFSET($BZ$11,0,MATCH($O238,$CA238:$FV238,0),),""))</f>
        <v/>
      </c>
      <c r="R238" s="121">
        <f t="array" ref="R238">IF(O238="","",INDIRECT("'GRD-"&amp;Q238&amp;"'!$L$7"))</f>
        <v/>
      </c>
      <c r="S238" s="83">
        <f t="array" ref="S238">IFERROR(OFFSET($BZ$11,ROW($B238)-11,MATCH(S$10,$CA238:$FV238,0),),"")</f>
        <v/>
      </c>
      <c r="T238" s="83">
        <f>IF(S238="","",IF(VLOOKUP($B238,INDIRECT("'GRD-"&amp;U238&amp;"'!$B:$R"),16,FALSE)="","",VLOOKUP($B238,INDIRECT("'GRD-"&amp;U238&amp;"'!$B:$R"),16,FALSE)))</f>
        <v/>
      </c>
      <c r="U238" s="128">
        <f t="array" ref="U238">IF(S238="","",IFERROR(OFFSET($BZ$11,0,MATCH($S238,$CA238:$FV238,0),),""))</f>
        <v/>
      </c>
      <c r="V238" s="133">
        <f t="array" ref="V238">IF(S238="","",INDIRECT("'GRD-"&amp;U238&amp;"'!$L$7"))</f>
        <v/>
      </c>
      <c r="W238" s="84">
        <f t="array" ref="W238">IFERROR(OFFSET($BZ$11,ROW($B238)-11,MATCH(W$10,$CA238:$FV238,0),),"")</f>
        <v/>
      </c>
      <c r="X238" s="84">
        <f>IF(W238="","",IF(VLOOKUP($B238,INDIRECT("'GRD-"&amp;Y238&amp;"'!$B:$R"),16,FALSE)="","",VLOOKUP($B238,INDIRECT("'GRD-"&amp;Y238&amp;"'!$B:$R"),16,FALSE)))</f>
        <v/>
      </c>
      <c r="Y238" s="129">
        <f t="array" ref="Y238">IF(W238="","",IFERROR(OFFSET($BZ$11,0,MATCH($W238,$CA238:$FV238,0),),""))</f>
        <v/>
      </c>
      <c r="Z238" s="134">
        <f t="array" ref="Z238">IF(W238="","",INDIRECT("'GRD-"&amp;Y238&amp;"'!$L$7"))</f>
        <v/>
      </c>
      <c r="AA238" s="85">
        <f t="array" ref="AA238">IFERROR(OFFSET($BZ$11,ROW($B238)-11,MATCH(AA$10,$CA238:$FV238,0),),"")</f>
        <v/>
      </c>
      <c r="AB238" s="85">
        <f>IF(AA238="","",IF(VLOOKUP($B238,INDIRECT("'GRD-"&amp;AC238&amp;"'!$B:$R"),16,FALSE)="","",VLOOKUP($B238,INDIRECT("'GRD-"&amp;AC238&amp;"'!$B:$R"),16,FALSE)))</f>
        <v/>
      </c>
      <c r="AC238" s="130">
        <f t="array" ref="AC238">IF(AA238="","",IFERROR(OFFSET($BZ$11,0,MATCH($AA238,$CA238:$FV238,0),),""))</f>
        <v/>
      </c>
      <c r="AD238" s="131">
        <f t="array" ref="AD238">IF(AA238="","",INDIRECT("'GRD-"&amp;AC238&amp;"'!$L$7"))</f>
        <v/>
      </c>
      <c r="AE238" s="76">
        <f t="array" ref="AE238">IFERROR(OFFSET($BZ$11,ROW($B238)-11,MATCH(AE$10,$CA238:$FV238,0),),"")</f>
        <v/>
      </c>
      <c r="AF238" s="76">
        <f>IF(AE238="","",IF(VLOOKUP($B238,INDIRECT("'GRD-"&amp;AG238&amp;"'!$B:$R"),16,FALSE)="","",VLOOKUP($B238,INDIRECT("'GRD-"&amp;AG238&amp;"'!$B:$R"),16,FALSE)))</f>
        <v/>
      </c>
      <c r="AG238" s="132">
        <f t="array" ref="AG238">IF(AE238="","",IFERROR(OFFSET($BZ$11,0,MATCH($AE238,$CA238:$FV238,0),),""))</f>
        <v/>
      </c>
      <c r="AH238" s="121">
        <f t="array" ref="AH238">IF(AE238="","",INDIRECT("'GRD-"&amp;AG238&amp;"'!$L$7"))</f>
        <v/>
      </c>
      <c r="AI238" s="83">
        <f t="array" ref="AI238">IFERROR(OFFSET($BZ$11,ROW($B238)-11,MATCH(AI$10,$CA238:$FV238,0),),"")</f>
        <v/>
      </c>
      <c r="AJ238" s="83">
        <f>IF(AI238="","",IF(VLOOKUP($B238,INDIRECT("'GRD-"&amp;AK238&amp;"'!$B:$R"),16,FALSE)="","",VLOOKUP($B238,INDIRECT("'GRD-"&amp;AK238&amp;"'!$B:$R"),16,FALSE)))</f>
        <v/>
      </c>
      <c r="AK238" s="128">
        <f t="array" ref="AK238">IF(AI238="","",IFERROR(OFFSET($BZ$11,0,MATCH($AI238,$CA238:$FV238,0),),""))</f>
        <v/>
      </c>
      <c r="AL238" s="133">
        <f t="array" ref="AL238">IF(AI238="","",INDIRECT("'GRD-"&amp;AK238&amp;"'!$L$7"))</f>
        <v/>
      </c>
      <c r="AM238" s="84">
        <f t="array" ref="AM238">IFERROR(OFFSET($BZ$11,ROW($B238)-11,MATCH(AM$10,$CA238:$FV238,0),),"")</f>
        <v/>
      </c>
      <c r="AN238" s="84">
        <f>IF(AM238="","",IF(VLOOKUP($B238,INDIRECT("'GRD-"&amp;AO238&amp;"'!$B:$R"),16,FALSE)="","",VLOOKUP($B238,INDIRECT("'GRD-"&amp;AO238&amp;"'!$B:$R"),16,FALSE)))</f>
        <v/>
      </c>
      <c r="AO238" s="129">
        <f t="array" ref="AO238">IF(AM238="","",IFERROR(OFFSET($BZ$11,0,MATCH($AM238,$CA238:$FV238,0),),""))</f>
        <v/>
      </c>
      <c r="AP238" s="134">
        <f t="array" ref="AP238">IF(AM238="","",INDIRECT("'GRD-"&amp;AO238&amp;"'!$L$7"))</f>
        <v/>
      </c>
      <c r="AQ238" s="85">
        <f t="array" ref="AQ238">IFERROR(OFFSET($BZ$11,ROW($B238)-11,MATCH(AQ$10,$CA238:$FV238,0),),"")</f>
        <v/>
      </c>
      <c r="AR238" s="85">
        <f>IF(AQ238="","",IF(VLOOKUP($B238,INDIRECT("'GRD-"&amp;AS238&amp;"'!$B:$R"),16,FALSE)="","",VLOOKUP($B238,INDIRECT("'GRD-"&amp;AS238&amp;"'!$B:$R"),16,FALSE)))</f>
        <v/>
      </c>
      <c r="AS238" s="130">
        <f t="array" ref="AS238">IF(AQ238="","",IFERROR(OFFSET($BZ$11,0,MATCH($AQ238,$CA238:$FV238,0),),""))</f>
        <v/>
      </c>
      <c r="AT238" s="131">
        <f t="array" ref="AT238">IF(AQ238="","",INDIRECT("'GRD-"&amp;AS238&amp;"'!$L$7"))</f>
        <v/>
      </c>
      <c r="AU238" s="76">
        <f t="array" ref="AU238">IFERROR(OFFSET($BZ$11,ROW($B238)-11,MATCH(AU$10,$CA238:$FV238,0),),"")</f>
        <v/>
      </c>
      <c r="AV238" s="76">
        <f>IF(AU238="","",IF(VLOOKUP($B238,INDIRECT("'GRD-"&amp;AW238&amp;"'!$B:$R"),16,FALSE)="","",VLOOKUP($B238,INDIRECT("'GRD-"&amp;AW238&amp;"'!$B:$R"),16,FALSE)))</f>
        <v/>
      </c>
      <c r="AW238" s="132">
        <f t="array" ref="AW238">IF(AU238="","",IFERROR(OFFSET($BZ$11,0,MATCH($AU238,$CA238:$FV238,0),),""))</f>
        <v/>
      </c>
      <c r="AX238" s="121">
        <f t="array" ref="AX238">IF(AU238="","",INDIRECT("'GRD-"&amp;AW238&amp;"'!$L$7"))</f>
        <v/>
      </c>
      <c r="AY238" s="83">
        <f t="array" ref="AY238">IFERROR(OFFSET($BZ$11,ROW($B238)-11,MATCH(AY$10,$CA238:$FV238,0),),"")</f>
        <v/>
      </c>
      <c r="AZ238" s="83">
        <f>IF(AY238="","",IF(VLOOKUP($B238,INDIRECT("'GRD-"&amp;BA238&amp;"'!$B:$R"),16,FALSE)="","",VLOOKUP($B238,INDIRECT("'GRD-"&amp;BA238&amp;"'!$B:$R"),16,FALSE)))</f>
        <v/>
      </c>
      <c r="BA238" s="128">
        <f t="array" ref="BA238">IF(AY238="","",IFERROR(OFFSET($BZ$11,0,MATCH($AY238,$CA238:$FV238,0),),""))</f>
        <v/>
      </c>
      <c r="BB238" s="133">
        <f t="array" ref="BB238">IF(AY238="","",INDIRECT("'GRD-"&amp;BA238&amp;"'!$L$7"))</f>
        <v/>
      </c>
      <c r="BC238" s="84">
        <f t="array" ref="BC238">IFERROR(OFFSET($BZ$11,ROW($B238)-11,MATCH(BC$10,$CA238:$FV238,0),),"")</f>
        <v/>
      </c>
      <c r="BD238" s="84">
        <f>IF(BC238="","",IF(VLOOKUP($B238,INDIRECT("'GRD-"&amp;BE238&amp;"'!$B:$R"),16,FALSE)="","",VLOOKUP($B238,INDIRECT("'GRD-"&amp;BE238&amp;"'!$B:$R"),16,FALSE)))</f>
        <v/>
      </c>
      <c r="BE238" s="129">
        <f t="array" ref="BE238">IF(BC238="","",IFERROR(OFFSET($BZ$11,0,MATCH($BC238,$CA238:$FV238,0),),""))</f>
        <v/>
      </c>
      <c r="BF238" s="134">
        <f t="array" ref="BF238">IF(BC238="","",INDIRECT("'GRD-"&amp;BE238&amp;"'!$L$7"))</f>
        <v/>
      </c>
      <c r="CA238" s="96">
        <f>IFERROR(VLOOKUP($B238,INDIRECT("'GRD-"&amp;CA$11&amp;"'!B:R"),15,FALSE),"")</f>
        <v/>
      </c>
      <c r="CB238" s="96">
        <f>IFERROR(VLOOKUP($B238,INDIRECT("'GRD-"&amp;CB$11&amp;"'!B:R"),15,FALSE),"")</f>
        <v/>
      </c>
      <c r="CC238" s="96">
        <f>IFERROR(VLOOKUP($B238,INDIRECT("'GRD-"&amp;CC$11&amp;"'!B:R"),15,FALSE),"")</f>
        <v/>
      </c>
      <c r="CD238" s="96">
        <f>IFERROR(VLOOKUP($B238,INDIRECT("'GRD-"&amp;CD$11&amp;"'!B:R"),15,FALSE),"")</f>
        <v/>
      </c>
      <c r="CE238" s="96">
        <f>IFERROR(VLOOKUP($B238,INDIRECT("'GRD-"&amp;CE$11&amp;"'!B:R"),15,FALSE),"")</f>
        <v/>
      </c>
      <c r="CF238" s="96">
        <f>IFERROR(VLOOKUP($B238,INDIRECT("'GRD-"&amp;CF$11&amp;"'!B:R"),15,FALSE),"")</f>
        <v/>
      </c>
      <c r="CG238" s="96">
        <f>IFERROR(VLOOKUP($B238,INDIRECT("'GRD-"&amp;CG$11&amp;"'!B:R"),15,FALSE),"")</f>
        <v/>
      </c>
      <c r="CH238" s="96">
        <f>IFERROR(VLOOKUP($B238,INDIRECT("'GRD-"&amp;CH$11&amp;"'!B:R"),15,FALSE),"")</f>
        <v/>
      </c>
      <c r="CI238" s="96">
        <f>IFERROR(VLOOKUP($B238,INDIRECT("'GRD-"&amp;CI$11&amp;"'!B:R"),15,FALSE),"")</f>
        <v/>
      </c>
      <c r="CJ238" s="96">
        <f>IFERROR(VLOOKUP($B238,INDIRECT("'GRD-"&amp;CJ$11&amp;"'!B:R"),15,FALSE),"")</f>
        <v/>
      </c>
      <c r="CK238" s="96">
        <f>IFERROR(VLOOKUP($B238,INDIRECT("'GRD-"&amp;CK$11&amp;"'!B:R"),15,FALSE),"")</f>
        <v/>
      </c>
      <c r="CL238" s="96">
        <f>IFERROR(VLOOKUP($B238,INDIRECT("'GRD-"&amp;CL$11&amp;"'!B:R"),15,FALSE),"")</f>
        <v/>
      </c>
      <c r="CM238" s="96">
        <f>IFERROR(VLOOKUP($B238,INDIRECT("'GRD-"&amp;CM$11&amp;"'!B:R"),15,FALSE),"")</f>
        <v/>
      </c>
      <c r="CN238" s="96">
        <f>IFERROR(VLOOKUP($B238,INDIRECT("'GRD-"&amp;CN$11&amp;"'!B:R"),15,FALSE),"")</f>
        <v/>
      </c>
      <c r="CO238" s="96">
        <f>IFERROR(VLOOKUP($B238,INDIRECT("'GRD-"&amp;CO$11&amp;"'!B:R"),15,FALSE),"")</f>
        <v/>
      </c>
      <c r="CP238" s="96">
        <f>IFERROR(VLOOKUP($B238,INDIRECT("'GRD-"&amp;CP$11&amp;"'!B:R"),15,FALSE),"")</f>
        <v/>
      </c>
      <c r="CQ238" s="96">
        <f>IFERROR(VLOOKUP($B238,INDIRECT("'GRD-"&amp;CQ$11&amp;"'!B:R"),15,FALSE),"")</f>
        <v/>
      </c>
      <c r="CR238" s="96">
        <f>IFERROR(VLOOKUP($B238,INDIRECT("'GRD-"&amp;CR$11&amp;"'!B:R"),15,FALSE),"")</f>
        <v/>
      </c>
      <c r="CS238" s="96">
        <f>IFERROR(VLOOKUP($B238,INDIRECT("'GRD-"&amp;CS$11&amp;"'!B:R"),15,FALSE),"")</f>
        <v/>
      </c>
      <c r="CT238" s="96">
        <f>IFERROR(VLOOKUP($B238,INDIRECT("'GRD-"&amp;CT$11&amp;"'!B:R"),15,FALSE),"")</f>
        <v/>
      </c>
      <c r="CU238" s="96">
        <f>IFERROR(VLOOKUP($B238,INDIRECT("'GRD-"&amp;CU$11&amp;"'!B:R"),15,FALSE),"")</f>
        <v/>
      </c>
      <c r="CV238" s="96">
        <f>IFERROR(VLOOKUP($B238,INDIRECT("'GRD-"&amp;CV$11&amp;"'!B:R"),15,FALSE),"")</f>
        <v/>
      </c>
      <c r="CW238" s="96">
        <f>IFERROR(VLOOKUP($B238,INDIRECT("'GRD-"&amp;CW$11&amp;"'!B:R"),15,FALSE),"")</f>
        <v/>
      </c>
      <c r="CX238" s="96">
        <f>IFERROR(VLOOKUP($B238,INDIRECT("'GRD-"&amp;CX$11&amp;"'!B:R"),15,FALSE),"")</f>
        <v/>
      </c>
      <c r="CY238" s="96">
        <f>IFERROR(VLOOKUP($B238,INDIRECT("'GRD-"&amp;CY$11&amp;"'!B:R"),15,FALSE),"")</f>
        <v/>
      </c>
      <c r="CZ238" s="96">
        <f>IFERROR(VLOOKUP($B238,INDIRECT("'GRD-"&amp;CZ$11&amp;"'!B:R"),15,FALSE),"")</f>
        <v/>
      </c>
      <c r="DA238" s="96">
        <f>IFERROR(VLOOKUP($B238,INDIRECT("'GRD-"&amp;DA$11&amp;"'!B:R"),15,FALSE),"")</f>
        <v/>
      </c>
      <c r="DB238" s="96">
        <f>IFERROR(VLOOKUP($B238,INDIRECT("'GRD-"&amp;DB$11&amp;"'!B:R"),15,FALSE),"")</f>
        <v/>
      </c>
      <c r="DC238" s="96">
        <f>IFERROR(VLOOKUP($B238,INDIRECT("'GRD-"&amp;DC$11&amp;"'!B:R"),15,FALSE),"")</f>
        <v/>
      </c>
      <c r="DD238" s="96">
        <f>IFERROR(VLOOKUP($B238,INDIRECT("'GRD-"&amp;DD$11&amp;"'!B:R"),15,FALSE),"")</f>
        <v/>
      </c>
      <c r="DE238" s="96">
        <f>IFERROR(VLOOKUP($B238,INDIRECT("'GRD-"&amp;DE$11&amp;"'!B:R"),15,FALSE),"")</f>
        <v/>
      </c>
      <c r="DF238" s="96">
        <f>IFERROR(VLOOKUP($B238,INDIRECT("'GRD-"&amp;DF$11&amp;"'!B:R"),15,FALSE),"")</f>
        <v/>
      </c>
      <c r="DG238" s="96">
        <f>IFERROR(VLOOKUP($B238,INDIRECT("'GRD-"&amp;DG$11&amp;"'!B:R"),15,FALSE),"")</f>
        <v/>
      </c>
      <c r="DH238" s="96">
        <f>IFERROR(VLOOKUP($B238,INDIRECT("'GRD-"&amp;DH$11&amp;"'!B:R"),15,FALSE),"")</f>
        <v/>
      </c>
      <c r="DI238" s="96">
        <f>IFERROR(VLOOKUP($B238,INDIRECT("'GRD-"&amp;DI$11&amp;"'!B:R"),15,FALSE),"")</f>
        <v/>
      </c>
      <c r="DJ238" s="96">
        <f>IFERROR(VLOOKUP($B238,INDIRECT("'GRD-"&amp;DJ$11&amp;"'!B:R"),15,FALSE),"")</f>
        <v/>
      </c>
      <c r="DK238" s="96">
        <f>IFERROR(VLOOKUP($B238,INDIRECT("'GRD-"&amp;DK$11&amp;"'!B:R"),15,FALSE),"")</f>
        <v/>
      </c>
      <c r="DL238" s="96">
        <f>IFERROR(VLOOKUP($B238,INDIRECT("'GRD-"&amp;DL$11&amp;"'!B:R"),15,FALSE),"")</f>
        <v/>
      </c>
      <c r="DM238" s="96">
        <f>IFERROR(VLOOKUP($B238,INDIRECT("'GRD-"&amp;DM$11&amp;"'!B:R"),15,FALSE),"")</f>
        <v/>
      </c>
      <c r="DN238" s="96">
        <f>IFERROR(VLOOKUP($B238,INDIRECT("'GRD-"&amp;DN$11&amp;"'!B:R"),15,FALSE),"")</f>
        <v/>
      </c>
      <c r="DO238" s="96">
        <f>IFERROR(VLOOKUP($B238,INDIRECT("'GRD-"&amp;DO$11&amp;"'!B:R"),15,FALSE),"")</f>
        <v/>
      </c>
      <c r="DP238" s="96">
        <f>IFERROR(VLOOKUP($B238,INDIRECT("'GRD-"&amp;DP$11&amp;"'!B:R"),15,FALSE),"")</f>
        <v/>
      </c>
      <c r="DQ238" s="96">
        <f>IFERROR(VLOOKUP($B238,INDIRECT("'GRD-"&amp;DQ$11&amp;"'!B:R"),15,FALSE),"")</f>
        <v/>
      </c>
      <c r="DR238" s="96">
        <f>IFERROR(VLOOKUP($B238,INDIRECT("'GRD-"&amp;DR$11&amp;"'!B:R"),15,FALSE),"")</f>
        <v/>
      </c>
      <c r="DS238" s="96">
        <f>IFERROR(VLOOKUP($B238,INDIRECT("'GRD-"&amp;DS$11&amp;"'!B:R"),15,FALSE),"")</f>
        <v/>
      </c>
      <c r="DT238" s="96">
        <f>IFERROR(VLOOKUP($B238,INDIRECT("'GRD-"&amp;DT$11&amp;"'!B:R"),15,FALSE),"")</f>
        <v/>
      </c>
      <c r="DU238" s="96">
        <f>IFERROR(VLOOKUP($B238,INDIRECT("'GRD-"&amp;DU$11&amp;"'!B:R"),15,FALSE),"")</f>
        <v/>
      </c>
      <c r="DV238" s="96">
        <f>IFERROR(VLOOKUP($B238,INDIRECT("'GRD-"&amp;DV$11&amp;"'!B:R"),15,FALSE),"")</f>
        <v/>
      </c>
      <c r="DW238" s="96">
        <f>IFERROR(VLOOKUP($B238,INDIRECT("'GRD-"&amp;DW$11&amp;"'!B:R"),15,FALSE),"")</f>
        <v/>
      </c>
      <c r="DX238" s="96">
        <f>IFERROR(VLOOKUP($B238,INDIRECT("'GRD-"&amp;DX$11&amp;"'!B:R"),15,FALSE),"")</f>
        <v/>
      </c>
      <c r="DY238" s="96">
        <f>IFERROR(VLOOKUP($B238,INDIRECT("'GRD-"&amp;DY$11&amp;"'!B:R"),15,FALSE),"")</f>
        <v/>
      </c>
      <c r="DZ238" s="96">
        <f>IFERROR(VLOOKUP($B238,INDIRECT("'GRD-"&amp;DZ$11&amp;"'!B:R"),15,FALSE),"")</f>
        <v/>
      </c>
      <c r="EA238" s="96">
        <f>IFERROR(VLOOKUP($B238,INDIRECT("'GRD-"&amp;EA$11&amp;"'!B:R"),15,FALSE),"")</f>
        <v/>
      </c>
      <c r="EB238" s="96">
        <f>IFERROR(VLOOKUP($B238,INDIRECT("'GRD-"&amp;EB$11&amp;"'!B:R"),15,FALSE),"")</f>
        <v/>
      </c>
      <c r="EC238" s="96">
        <f>IFERROR(VLOOKUP($B238,INDIRECT("'GRD-"&amp;EC$11&amp;"'!B:R"),15,FALSE),"")</f>
        <v/>
      </c>
      <c r="ED238" s="96">
        <f>IFERROR(VLOOKUP($B238,INDIRECT("'GRD-"&amp;ED$11&amp;"'!B:R"),15,FALSE),"")</f>
        <v/>
      </c>
      <c r="EE238" s="96">
        <f>IFERROR(VLOOKUP($B238,INDIRECT("'GRD-"&amp;EE$11&amp;"'!B:R"),15,FALSE),"")</f>
        <v/>
      </c>
      <c r="EF238" s="96">
        <f>IFERROR(VLOOKUP($B238,INDIRECT("'GRD-"&amp;EF$11&amp;"'!B:R"),15,FALSE),"")</f>
        <v/>
      </c>
      <c r="EG238" s="96">
        <f>IFERROR(VLOOKUP($B238,INDIRECT("'GRD-"&amp;EG$11&amp;"'!B:R"),15,FALSE),"")</f>
        <v/>
      </c>
      <c r="EH238" s="96">
        <f>IFERROR(VLOOKUP($B238,INDIRECT("'GRD-"&amp;EH$11&amp;"'!B:R"),15,FALSE),"")</f>
        <v/>
      </c>
      <c r="EI238" s="96">
        <f>IFERROR(VLOOKUP($B238,INDIRECT("'GRD-"&amp;EI$11&amp;"'!B:R"),15,FALSE),"")</f>
        <v/>
      </c>
      <c r="EJ238" s="96">
        <f>IFERROR(VLOOKUP($B238,INDIRECT("'GRD-"&amp;EJ$11&amp;"'!B:R"),15,FALSE),"")</f>
        <v/>
      </c>
      <c r="EK238" s="96">
        <f>IFERROR(VLOOKUP($B238,INDIRECT("'GRD-"&amp;EK$11&amp;"'!B:R"),15,FALSE),"")</f>
        <v/>
      </c>
      <c r="EL238" s="96">
        <f>IFERROR(VLOOKUP($B238,INDIRECT("'GRD-"&amp;EL$11&amp;"'!B:R"),15,FALSE),"")</f>
        <v/>
      </c>
      <c r="EM238" s="96">
        <f>IFERROR(VLOOKUP($B238,INDIRECT("'GRD-"&amp;EM$11&amp;"'!B:R"),15,FALSE),"")</f>
        <v/>
      </c>
      <c r="EN238" s="96">
        <f>IFERROR(VLOOKUP($B238,INDIRECT("'GRD-"&amp;EN$11&amp;"'!B:R"),15,FALSE),"")</f>
        <v/>
      </c>
      <c r="EO238" s="96">
        <f>IFERROR(VLOOKUP($B238,INDIRECT("'GRD-"&amp;EO$11&amp;"'!B:R"),15,FALSE),"")</f>
        <v/>
      </c>
      <c r="EP238" s="96">
        <f>IFERROR(VLOOKUP($B238,INDIRECT("'GRD-"&amp;EP$11&amp;"'!B:R"),15,FALSE),"")</f>
        <v/>
      </c>
      <c r="EQ238" s="96">
        <f>IFERROR(VLOOKUP($B238,INDIRECT("'GRD-"&amp;EQ$11&amp;"'!B:R"),15,FALSE),"")</f>
        <v/>
      </c>
      <c r="ER238" s="96">
        <f>IFERROR(VLOOKUP($B238,INDIRECT("'GRD-"&amp;ER$11&amp;"'!B:R"),15,FALSE),"")</f>
        <v/>
      </c>
      <c r="ES238" s="96">
        <f>IFERROR(VLOOKUP($B238,INDIRECT("'GRD-"&amp;ES$11&amp;"'!B:R"),15,FALSE),"")</f>
        <v/>
      </c>
      <c r="ET238" s="96">
        <f>IFERROR(VLOOKUP($B238,INDIRECT("'GRD-"&amp;ET$11&amp;"'!B:R"),15,FALSE),"")</f>
        <v/>
      </c>
      <c r="EU238" s="96">
        <f>IFERROR(VLOOKUP($B238,INDIRECT("'GRD-"&amp;EU$11&amp;"'!B:R"),15,FALSE),"")</f>
        <v/>
      </c>
      <c r="EV238" s="96">
        <f>IFERROR(VLOOKUP($B238,INDIRECT("'GRD-"&amp;EV$11&amp;"'!B:R"),15,FALSE),"")</f>
        <v/>
      </c>
      <c r="EW238" s="96">
        <f>IFERROR(VLOOKUP($B238,INDIRECT("'GRD-"&amp;EW$11&amp;"'!B:R"),15,FALSE),"")</f>
        <v/>
      </c>
      <c r="EX238" s="96">
        <f>IFERROR(VLOOKUP($B238,INDIRECT("'GRD-"&amp;EX$11&amp;"'!B:R"),15,FALSE),"")</f>
        <v/>
      </c>
      <c r="EY238" s="96">
        <f>IFERROR(VLOOKUP($B238,INDIRECT("'GRD-"&amp;EY$11&amp;"'!B:R"),15,FALSE),"")</f>
        <v/>
      </c>
      <c r="EZ238" s="96">
        <f>IFERROR(VLOOKUP($B238,INDIRECT("'GRD-"&amp;EZ$11&amp;"'!B:R"),15,FALSE),"")</f>
        <v/>
      </c>
      <c r="FA238" s="96">
        <f>IFERROR(VLOOKUP($B238,INDIRECT("'GRD-"&amp;FA$11&amp;"'!B:R"),15,FALSE),"")</f>
        <v/>
      </c>
      <c r="FB238" s="96">
        <f>IFERROR(VLOOKUP($B238,INDIRECT("'GRD-"&amp;FB$11&amp;"'!B:R"),15,FALSE),"")</f>
        <v/>
      </c>
      <c r="FC238" s="96">
        <f>IFERROR(VLOOKUP($B238,INDIRECT("'GRD-"&amp;FC$11&amp;"'!B:R"),15,FALSE),"")</f>
        <v/>
      </c>
      <c r="FD238" s="96">
        <f>IFERROR(VLOOKUP($B238,INDIRECT("'GRD-"&amp;FD$11&amp;"'!B:R"),15,FALSE),"")</f>
        <v/>
      </c>
      <c r="FE238" s="96">
        <f>IFERROR(VLOOKUP($B238,INDIRECT("'GRD-"&amp;FE$11&amp;"'!B:R"),15,FALSE),"")</f>
        <v/>
      </c>
      <c r="FF238" s="96">
        <f>IFERROR(VLOOKUP($B238,INDIRECT("'GRD-"&amp;FF$11&amp;"'!B:R"),15,FALSE),"")</f>
        <v/>
      </c>
      <c r="FG238" s="96">
        <f>IFERROR(VLOOKUP($B238,INDIRECT("'GRD-"&amp;FG$11&amp;"'!B:R"),15,FALSE),"")</f>
        <v/>
      </c>
      <c r="FH238" s="96">
        <f>IFERROR(VLOOKUP($B238,INDIRECT("'GRD-"&amp;FH$11&amp;"'!B:R"),15,FALSE),"")</f>
        <v/>
      </c>
      <c r="FI238" s="96">
        <f>IFERROR(VLOOKUP($B238,INDIRECT("'GRD-"&amp;FI$11&amp;"'!B:R"),15,FALSE),"")</f>
        <v/>
      </c>
      <c r="FJ238" s="96">
        <f>IFERROR(VLOOKUP($B238,INDIRECT("'GRD-"&amp;FJ$11&amp;"'!B:R"),15,FALSE),"")</f>
        <v/>
      </c>
      <c r="FK238" s="96">
        <f>IFERROR(VLOOKUP($B238,INDIRECT("'GRD-"&amp;FK$11&amp;"'!B:R"),15,FALSE),"")</f>
        <v/>
      </c>
      <c r="FL238" s="96">
        <f>IFERROR(VLOOKUP($B238,INDIRECT("'GRD-"&amp;FL$11&amp;"'!B:R"),15,FALSE),"")</f>
        <v/>
      </c>
      <c r="FM238" s="96">
        <f>IFERROR(VLOOKUP($B238,INDIRECT("'GRD-"&amp;FM$11&amp;"'!B:R"),15,FALSE),"")</f>
        <v/>
      </c>
      <c r="FN238" s="96">
        <f>IFERROR(VLOOKUP($B238,INDIRECT("'GRD-"&amp;FN$11&amp;"'!B:R"),15,FALSE),"")</f>
        <v/>
      </c>
      <c r="FO238" s="96">
        <f>IFERROR(VLOOKUP($B238,INDIRECT("'GRD-"&amp;FO$11&amp;"'!B:R"),15,FALSE),"")</f>
        <v/>
      </c>
      <c r="FP238" s="96">
        <f>IFERROR(VLOOKUP($B238,INDIRECT("'GRD-"&amp;FP$11&amp;"'!B:R"),15,FALSE),"")</f>
        <v/>
      </c>
      <c r="FQ238" s="96">
        <f>IFERROR(VLOOKUP($B238,INDIRECT("'GRD-"&amp;FQ$11&amp;"'!B:R"),15,FALSE),"")</f>
        <v/>
      </c>
      <c r="FR238" s="96">
        <f>IFERROR(VLOOKUP($B238,INDIRECT("'GRD-"&amp;FR$11&amp;"'!B:R"),15,FALSE),"")</f>
        <v/>
      </c>
      <c r="FS238" s="96">
        <f>IFERROR(VLOOKUP($B238,INDIRECT("'GRD-"&amp;FS$11&amp;"'!B:R"),15,FALSE),"")</f>
        <v/>
      </c>
      <c r="FT238" s="96">
        <f>IFERROR(VLOOKUP($B238,INDIRECT("'GRD-"&amp;FT$11&amp;"'!B:R"),15,FALSE),"")</f>
        <v/>
      </c>
      <c r="FU238" s="96">
        <f>IFERROR(VLOOKUP($B238,INDIRECT("'GRD-"&amp;FU$11&amp;"'!B:R"),15,FALSE),"")</f>
        <v/>
      </c>
      <c r="FV238" s="96">
        <f>IFERROR(VLOOKUP($B238,INDIRECT("'GRD-"&amp;FV$11&amp;"'!B:R"),15,FALSE),"")</f>
        <v/>
      </c>
    </row>
    <row r="239">
      <c r="B239" s="85" t="n"/>
      <c r="C239" s="93" t="n"/>
      <c r="D239" s="73">
        <f>IF(K239="","",MAX($CA239:$FV239))</f>
        <v/>
      </c>
      <c r="E239" s="74">
        <f t="array" ref="E239">IF($K239="","",OFFSET($A$1,ROW($B239)-1,11+$D239*4,))</f>
        <v/>
      </c>
      <c r="F239" s="74">
        <f t="array" ref="F239">IF($K239="","",OFFSET($A$1,ROW($B239)-1,12+$D239*4,))</f>
        <v/>
      </c>
      <c r="G239" s="118">
        <f t="array" ref="G239">IF($K239="","",OFFSET($A$1,ROW($B239)-1,13+$D239*4,))</f>
        <v/>
      </c>
      <c r="H239" s="81" t="n"/>
      <c r="I239" s="82" t="n"/>
      <c r="J239" s="75">
        <f>IF(I239="A4",H239/8,IF(I239="A3",H239/4,IF(I239="A2",H239/2,IF(I239="A1",H239/1,IF(I239="A0",H239*2,"")))))</f>
        <v/>
      </c>
      <c r="K239" s="68">
        <f t="array" ref="K239">IFERROR(OFFSET($BZ$11,ROW($B239)-11,MATCH(K$10,$CA239:$FV239,0),),"")</f>
        <v/>
      </c>
      <c r="L239" s="85">
        <f>IF(K239="","",IF(VLOOKUP($B239,INDIRECT("'GRD-"&amp;M239&amp;"'!$B:$R"),16,FALSE)="","",VLOOKUP($B239,INDIRECT("'GRD-"&amp;M239&amp;"'!$B:$R"),16,FALSE)))</f>
        <v/>
      </c>
      <c r="M239" s="130">
        <f t="array" ref="M239">IF(K239="","",IFERROR(OFFSET($BZ$11,0,MATCH($K239,$CA239:$FV239,0),),""))</f>
        <v/>
      </c>
      <c r="N239" s="119">
        <f t="array" ref="N239">IF(K239="","",INDIRECT("'GRD-"&amp;M239&amp;"'!$L$7"))</f>
        <v/>
      </c>
      <c r="O239" s="76">
        <f t="array" ref="O239">IFERROR(OFFSET($BZ$11,ROW($B239)-11,MATCH(O$10,$CA239:$FV239,0),),"")</f>
        <v/>
      </c>
      <c r="P239" s="76">
        <f>IF(O239="","",IF(VLOOKUP($B239,INDIRECT("'GRD-"&amp;Q239&amp;"'!$B:$R"),16,FALSE)="","",VLOOKUP($B239,INDIRECT("'GRD-"&amp;Q239&amp;"'!$B:$R"),16,FALSE)))</f>
        <v/>
      </c>
      <c r="Q239" s="132">
        <f t="array" ref="Q239">IF(O239="","",IFERROR(OFFSET($BZ$11,0,MATCH($O239,$CA239:$FV239,0),),""))</f>
        <v/>
      </c>
      <c r="R239" s="121">
        <f t="array" ref="R239">IF(O239="","",INDIRECT("'GRD-"&amp;Q239&amp;"'!$L$7"))</f>
        <v/>
      </c>
      <c r="S239" s="83">
        <f t="array" ref="S239">IFERROR(OFFSET($BZ$11,ROW($B239)-11,MATCH(S$10,$CA239:$FV239,0),),"")</f>
        <v/>
      </c>
      <c r="T239" s="83">
        <f>IF(S239="","",IF(VLOOKUP($B239,INDIRECT("'GRD-"&amp;U239&amp;"'!$B:$R"),16,FALSE)="","",VLOOKUP($B239,INDIRECT("'GRD-"&amp;U239&amp;"'!$B:$R"),16,FALSE)))</f>
        <v/>
      </c>
      <c r="U239" s="128">
        <f t="array" ref="U239">IF(S239="","",IFERROR(OFFSET($BZ$11,0,MATCH($S239,$CA239:$FV239,0),),""))</f>
        <v/>
      </c>
      <c r="V239" s="133">
        <f t="array" ref="V239">IF(S239="","",INDIRECT("'GRD-"&amp;U239&amp;"'!$L$7"))</f>
        <v/>
      </c>
      <c r="W239" s="84">
        <f t="array" ref="W239">IFERROR(OFFSET($BZ$11,ROW($B239)-11,MATCH(W$10,$CA239:$FV239,0),),"")</f>
        <v/>
      </c>
      <c r="X239" s="84">
        <f>IF(W239="","",IF(VLOOKUP($B239,INDIRECT("'GRD-"&amp;Y239&amp;"'!$B:$R"),16,FALSE)="","",VLOOKUP($B239,INDIRECT("'GRD-"&amp;Y239&amp;"'!$B:$R"),16,FALSE)))</f>
        <v/>
      </c>
      <c r="Y239" s="129">
        <f t="array" ref="Y239">IF(W239="","",IFERROR(OFFSET($BZ$11,0,MATCH($W239,$CA239:$FV239,0),),""))</f>
        <v/>
      </c>
      <c r="Z239" s="134">
        <f t="array" ref="Z239">IF(W239="","",INDIRECT("'GRD-"&amp;Y239&amp;"'!$L$7"))</f>
        <v/>
      </c>
      <c r="AA239" s="85">
        <f t="array" ref="AA239">IFERROR(OFFSET($BZ$11,ROW($B239)-11,MATCH(AA$10,$CA239:$FV239,0),),"")</f>
        <v/>
      </c>
      <c r="AB239" s="85">
        <f>IF(AA239="","",IF(VLOOKUP($B239,INDIRECT("'GRD-"&amp;AC239&amp;"'!$B:$R"),16,FALSE)="","",VLOOKUP($B239,INDIRECT("'GRD-"&amp;AC239&amp;"'!$B:$R"),16,FALSE)))</f>
        <v/>
      </c>
      <c r="AC239" s="130">
        <f t="array" ref="AC239">IF(AA239="","",IFERROR(OFFSET($BZ$11,0,MATCH($AA239,$CA239:$FV239,0),),""))</f>
        <v/>
      </c>
      <c r="AD239" s="131">
        <f t="array" ref="AD239">IF(AA239="","",INDIRECT("'GRD-"&amp;AC239&amp;"'!$L$7"))</f>
        <v/>
      </c>
      <c r="AE239" s="76">
        <f t="array" ref="AE239">IFERROR(OFFSET($BZ$11,ROW($B239)-11,MATCH(AE$10,$CA239:$FV239,0),),"")</f>
        <v/>
      </c>
      <c r="AF239" s="76">
        <f>IF(AE239="","",IF(VLOOKUP($B239,INDIRECT("'GRD-"&amp;AG239&amp;"'!$B:$R"),16,FALSE)="","",VLOOKUP($B239,INDIRECT("'GRD-"&amp;AG239&amp;"'!$B:$R"),16,FALSE)))</f>
        <v/>
      </c>
      <c r="AG239" s="132">
        <f t="array" ref="AG239">IF(AE239="","",IFERROR(OFFSET($BZ$11,0,MATCH($AE239,$CA239:$FV239,0),),""))</f>
        <v/>
      </c>
      <c r="AH239" s="121">
        <f t="array" ref="AH239">IF(AE239="","",INDIRECT("'GRD-"&amp;AG239&amp;"'!$L$7"))</f>
        <v/>
      </c>
      <c r="AI239" s="83">
        <f t="array" ref="AI239">IFERROR(OFFSET($BZ$11,ROW($B239)-11,MATCH(AI$10,$CA239:$FV239,0),),"")</f>
        <v/>
      </c>
      <c r="AJ239" s="83">
        <f>IF(AI239="","",IF(VLOOKUP($B239,INDIRECT("'GRD-"&amp;AK239&amp;"'!$B:$R"),16,FALSE)="","",VLOOKUP($B239,INDIRECT("'GRD-"&amp;AK239&amp;"'!$B:$R"),16,FALSE)))</f>
        <v/>
      </c>
      <c r="AK239" s="128">
        <f t="array" ref="AK239">IF(AI239="","",IFERROR(OFFSET($BZ$11,0,MATCH($AI239,$CA239:$FV239,0),),""))</f>
        <v/>
      </c>
      <c r="AL239" s="133">
        <f t="array" ref="AL239">IF(AI239="","",INDIRECT("'GRD-"&amp;AK239&amp;"'!$L$7"))</f>
        <v/>
      </c>
      <c r="AM239" s="84">
        <f t="array" ref="AM239">IFERROR(OFFSET($BZ$11,ROW($B239)-11,MATCH(AM$10,$CA239:$FV239,0),),"")</f>
        <v/>
      </c>
      <c r="AN239" s="84">
        <f>IF(AM239="","",IF(VLOOKUP($B239,INDIRECT("'GRD-"&amp;AO239&amp;"'!$B:$R"),16,FALSE)="","",VLOOKUP($B239,INDIRECT("'GRD-"&amp;AO239&amp;"'!$B:$R"),16,FALSE)))</f>
        <v/>
      </c>
      <c r="AO239" s="129">
        <f t="array" ref="AO239">IF(AM239="","",IFERROR(OFFSET($BZ$11,0,MATCH($AM239,$CA239:$FV239,0),),""))</f>
        <v/>
      </c>
      <c r="AP239" s="134">
        <f t="array" ref="AP239">IF(AM239="","",INDIRECT("'GRD-"&amp;AO239&amp;"'!$L$7"))</f>
        <v/>
      </c>
      <c r="AQ239" s="85">
        <f t="array" ref="AQ239">IFERROR(OFFSET($BZ$11,ROW($B239)-11,MATCH(AQ$10,$CA239:$FV239,0),),"")</f>
        <v/>
      </c>
      <c r="AR239" s="85">
        <f>IF(AQ239="","",IF(VLOOKUP($B239,INDIRECT("'GRD-"&amp;AS239&amp;"'!$B:$R"),16,FALSE)="","",VLOOKUP($B239,INDIRECT("'GRD-"&amp;AS239&amp;"'!$B:$R"),16,FALSE)))</f>
        <v/>
      </c>
      <c r="AS239" s="130">
        <f t="array" ref="AS239">IF(AQ239="","",IFERROR(OFFSET($BZ$11,0,MATCH($AQ239,$CA239:$FV239,0),),""))</f>
        <v/>
      </c>
      <c r="AT239" s="131">
        <f t="array" ref="AT239">IF(AQ239="","",INDIRECT("'GRD-"&amp;AS239&amp;"'!$L$7"))</f>
        <v/>
      </c>
      <c r="AU239" s="76">
        <f t="array" ref="AU239">IFERROR(OFFSET($BZ$11,ROW($B239)-11,MATCH(AU$10,$CA239:$FV239,0),),"")</f>
        <v/>
      </c>
      <c r="AV239" s="76">
        <f>IF(AU239="","",IF(VLOOKUP($B239,INDIRECT("'GRD-"&amp;AW239&amp;"'!$B:$R"),16,FALSE)="","",VLOOKUP($B239,INDIRECT("'GRD-"&amp;AW239&amp;"'!$B:$R"),16,FALSE)))</f>
        <v/>
      </c>
      <c r="AW239" s="132">
        <f t="array" ref="AW239">IF(AU239="","",IFERROR(OFFSET($BZ$11,0,MATCH($AU239,$CA239:$FV239,0),),""))</f>
        <v/>
      </c>
      <c r="AX239" s="121">
        <f t="array" ref="AX239">IF(AU239="","",INDIRECT("'GRD-"&amp;AW239&amp;"'!$L$7"))</f>
        <v/>
      </c>
      <c r="AY239" s="83">
        <f t="array" ref="AY239">IFERROR(OFFSET($BZ$11,ROW($B239)-11,MATCH(AY$10,$CA239:$FV239,0),),"")</f>
        <v/>
      </c>
      <c r="AZ239" s="83">
        <f>IF(AY239="","",IF(VLOOKUP($B239,INDIRECT("'GRD-"&amp;BA239&amp;"'!$B:$R"),16,FALSE)="","",VLOOKUP($B239,INDIRECT("'GRD-"&amp;BA239&amp;"'!$B:$R"),16,FALSE)))</f>
        <v/>
      </c>
      <c r="BA239" s="128">
        <f t="array" ref="BA239">IF(AY239="","",IFERROR(OFFSET($BZ$11,0,MATCH($AY239,$CA239:$FV239,0),),""))</f>
        <v/>
      </c>
      <c r="BB239" s="133">
        <f t="array" ref="BB239">IF(AY239="","",INDIRECT("'GRD-"&amp;BA239&amp;"'!$L$7"))</f>
        <v/>
      </c>
      <c r="BC239" s="84">
        <f t="array" ref="BC239">IFERROR(OFFSET($BZ$11,ROW($B239)-11,MATCH(BC$10,$CA239:$FV239,0),),"")</f>
        <v/>
      </c>
      <c r="BD239" s="84">
        <f>IF(BC239="","",IF(VLOOKUP($B239,INDIRECT("'GRD-"&amp;BE239&amp;"'!$B:$R"),16,FALSE)="","",VLOOKUP($B239,INDIRECT("'GRD-"&amp;BE239&amp;"'!$B:$R"),16,FALSE)))</f>
        <v/>
      </c>
      <c r="BE239" s="129">
        <f t="array" ref="BE239">IF(BC239="","",IFERROR(OFFSET($BZ$11,0,MATCH($BC239,$CA239:$FV239,0),),""))</f>
        <v/>
      </c>
      <c r="BF239" s="134">
        <f t="array" ref="BF239">IF(BC239="","",INDIRECT("'GRD-"&amp;BE239&amp;"'!$L$7"))</f>
        <v/>
      </c>
      <c r="CA239" s="96">
        <f>IFERROR(VLOOKUP($B239,INDIRECT("'GRD-"&amp;CA$11&amp;"'!B:R"),15,FALSE),"")</f>
        <v/>
      </c>
      <c r="CB239" s="96">
        <f>IFERROR(VLOOKUP($B239,INDIRECT("'GRD-"&amp;CB$11&amp;"'!B:R"),15,FALSE),"")</f>
        <v/>
      </c>
      <c r="CC239" s="96">
        <f>IFERROR(VLOOKUP($B239,INDIRECT("'GRD-"&amp;CC$11&amp;"'!B:R"),15,FALSE),"")</f>
        <v/>
      </c>
      <c r="CD239" s="96">
        <f>IFERROR(VLOOKUP($B239,INDIRECT("'GRD-"&amp;CD$11&amp;"'!B:R"),15,FALSE),"")</f>
        <v/>
      </c>
      <c r="CE239" s="96">
        <f>IFERROR(VLOOKUP($B239,INDIRECT("'GRD-"&amp;CE$11&amp;"'!B:R"),15,FALSE),"")</f>
        <v/>
      </c>
      <c r="CF239" s="96">
        <f>IFERROR(VLOOKUP($B239,INDIRECT("'GRD-"&amp;CF$11&amp;"'!B:R"),15,FALSE),"")</f>
        <v/>
      </c>
      <c r="CG239" s="96">
        <f>IFERROR(VLOOKUP($B239,INDIRECT("'GRD-"&amp;CG$11&amp;"'!B:R"),15,FALSE),"")</f>
        <v/>
      </c>
      <c r="CH239" s="96">
        <f>IFERROR(VLOOKUP($B239,INDIRECT("'GRD-"&amp;CH$11&amp;"'!B:R"),15,FALSE),"")</f>
        <v/>
      </c>
      <c r="CI239" s="96">
        <f>IFERROR(VLOOKUP($B239,INDIRECT("'GRD-"&amp;CI$11&amp;"'!B:R"),15,FALSE),"")</f>
        <v/>
      </c>
      <c r="CJ239" s="96">
        <f>IFERROR(VLOOKUP($B239,INDIRECT("'GRD-"&amp;CJ$11&amp;"'!B:R"),15,FALSE),"")</f>
        <v/>
      </c>
      <c r="CK239" s="96">
        <f>IFERROR(VLOOKUP($B239,INDIRECT("'GRD-"&amp;CK$11&amp;"'!B:R"),15,FALSE),"")</f>
        <v/>
      </c>
      <c r="CL239" s="96">
        <f>IFERROR(VLOOKUP($B239,INDIRECT("'GRD-"&amp;CL$11&amp;"'!B:R"),15,FALSE),"")</f>
        <v/>
      </c>
      <c r="CM239" s="96">
        <f>IFERROR(VLOOKUP($B239,INDIRECT("'GRD-"&amp;CM$11&amp;"'!B:R"),15,FALSE),"")</f>
        <v/>
      </c>
      <c r="CN239" s="96">
        <f>IFERROR(VLOOKUP($B239,INDIRECT("'GRD-"&amp;CN$11&amp;"'!B:R"),15,FALSE),"")</f>
        <v/>
      </c>
      <c r="CO239" s="96">
        <f>IFERROR(VLOOKUP($B239,INDIRECT("'GRD-"&amp;CO$11&amp;"'!B:R"),15,FALSE),"")</f>
        <v/>
      </c>
      <c r="CP239" s="96">
        <f>IFERROR(VLOOKUP($B239,INDIRECT("'GRD-"&amp;CP$11&amp;"'!B:R"),15,FALSE),"")</f>
        <v/>
      </c>
      <c r="CQ239" s="96">
        <f>IFERROR(VLOOKUP($B239,INDIRECT("'GRD-"&amp;CQ$11&amp;"'!B:R"),15,FALSE),"")</f>
        <v/>
      </c>
      <c r="CR239" s="96">
        <f>IFERROR(VLOOKUP($B239,INDIRECT("'GRD-"&amp;CR$11&amp;"'!B:R"),15,FALSE),"")</f>
        <v/>
      </c>
      <c r="CS239" s="96">
        <f>IFERROR(VLOOKUP($B239,INDIRECT("'GRD-"&amp;CS$11&amp;"'!B:R"),15,FALSE),"")</f>
        <v/>
      </c>
      <c r="CT239" s="96">
        <f>IFERROR(VLOOKUP($B239,INDIRECT("'GRD-"&amp;CT$11&amp;"'!B:R"),15,FALSE),"")</f>
        <v/>
      </c>
      <c r="CU239" s="96">
        <f>IFERROR(VLOOKUP($B239,INDIRECT("'GRD-"&amp;CU$11&amp;"'!B:R"),15,FALSE),"")</f>
        <v/>
      </c>
      <c r="CV239" s="96">
        <f>IFERROR(VLOOKUP($B239,INDIRECT("'GRD-"&amp;CV$11&amp;"'!B:R"),15,FALSE),"")</f>
        <v/>
      </c>
      <c r="CW239" s="96">
        <f>IFERROR(VLOOKUP($B239,INDIRECT("'GRD-"&amp;CW$11&amp;"'!B:R"),15,FALSE),"")</f>
        <v/>
      </c>
      <c r="CX239" s="96">
        <f>IFERROR(VLOOKUP($B239,INDIRECT("'GRD-"&amp;CX$11&amp;"'!B:R"),15,FALSE),"")</f>
        <v/>
      </c>
      <c r="CY239" s="96">
        <f>IFERROR(VLOOKUP($B239,INDIRECT("'GRD-"&amp;CY$11&amp;"'!B:R"),15,FALSE),"")</f>
        <v/>
      </c>
      <c r="CZ239" s="96">
        <f>IFERROR(VLOOKUP($B239,INDIRECT("'GRD-"&amp;CZ$11&amp;"'!B:R"),15,FALSE),"")</f>
        <v/>
      </c>
      <c r="DA239" s="96">
        <f>IFERROR(VLOOKUP($B239,INDIRECT("'GRD-"&amp;DA$11&amp;"'!B:R"),15,FALSE),"")</f>
        <v/>
      </c>
      <c r="DB239" s="96">
        <f>IFERROR(VLOOKUP($B239,INDIRECT("'GRD-"&amp;DB$11&amp;"'!B:R"),15,FALSE),"")</f>
        <v/>
      </c>
      <c r="DC239" s="96">
        <f>IFERROR(VLOOKUP($B239,INDIRECT("'GRD-"&amp;DC$11&amp;"'!B:R"),15,FALSE),"")</f>
        <v/>
      </c>
      <c r="DD239" s="96">
        <f>IFERROR(VLOOKUP($B239,INDIRECT("'GRD-"&amp;DD$11&amp;"'!B:R"),15,FALSE),"")</f>
        <v/>
      </c>
      <c r="DE239" s="96">
        <f>IFERROR(VLOOKUP($B239,INDIRECT("'GRD-"&amp;DE$11&amp;"'!B:R"),15,FALSE),"")</f>
        <v/>
      </c>
      <c r="DF239" s="96">
        <f>IFERROR(VLOOKUP($B239,INDIRECT("'GRD-"&amp;DF$11&amp;"'!B:R"),15,FALSE),"")</f>
        <v/>
      </c>
      <c r="DG239" s="96">
        <f>IFERROR(VLOOKUP($B239,INDIRECT("'GRD-"&amp;DG$11&amp;"'!B:R"),15,FALSE),"")</f>
        <v/>
      </c>
      <c r="DH239" s="96">
        <f>IFERROR(VLOOKUP($B239,INDIRECT("'GRD-"&amp;DH$11&amp;"'!B:R"),15,FALSE),"")</f>
        <v/>
      </c>
      <c r="DI239" s="96">
        <f>IFERROR(VLOOKUP($B239,INDIRECT("'GRD-"&amp;DI$11&amp;"'!B:R"),15,FALSE),"")</f>
        <v/>
      </c>
      <c r="DJ239" s="96">
        <f>IFERROR(VLOOKUP($B239,INDIRECT("'GRD-"&amp;DJ$11&amp;"'!B:R"),15,FALSE),"")</f>
        <v/>
      </c>
      <c r="DK239" s="96">
        <f>IFERROR(VLOOKUP($B239,INDIRECT("'GRD-"&amp;DK$11&amp;"'!B:R"),15,FALSE),"")</f>
        <v/>
      </c>
      <c r="DL239" s="96">
        <f>IFERROR(VLOOKUP($B239,INDIRECT("'GRD-"&amp;DL$11&amp;"'!B:R"),15,FALSE),"")</f>
        <v/>
      </c>
      <c r="DM239" s="96">
        <f>IFERROR(VLOOKUP($B239,INDIRECT("'GRD-"&amp;DM$11&amp;"'!B:R"),15,FALSE),"")</f>
        <v/>
      </c>
      <c r="DN239" s="96">
        <f>IFERROR(VLOOKUP($B239,INDIRECT("'GRD-"&amp;DN$11&amp;"'!B:R"),15,FALSE),"")</f>
        <v/>
      </c>
      <c r="DO239" s="96">
        <f>IFERROR(VLOOKUP($B239,INDIRECT("'GRD-"&amp;DO$11&amp;"'!B:R"),15,FALSE),"")</f>
        <v/>
      </c>
      <c r="DP239" s="96">
        <f>IFERROR(VLOOKUP($B239,INDIRECT("'GRD-"&amp;DP$11&amp;"'!B:R"),15,FALSE),"")</f>
        <v/>
      </c>
      <c r="DQ239" s="96">
        <f>IFERROR(VLOOKUP($B239,INDIRECT("'GRD-"&amp;DQ$11&amp;"'!B:R"),15,FALSE),"")</f>
        <v/>
      </c>
      <c r="DR239" s="96">
        <f>IFERROR(VLOOKUP($B239,INDIRECT("'GRD-"&amp;DR$11&amp;"'!B:R"),15,FALSE),"")</f>
        <v/>
      </c>
      <c r="DS239" s="96">
        <f>IFERROR(VLOOKUP($B239,INDIRECT("'GRD-"&amp;DS$11&amp;"'!B:R"),15,FALSE),"")</f>
        <v/>
      </c>
      <c r="DT239" s="96">
        <f>IFERROR(VLOOKUP($B239,INDIRECT("'GRD-"&amp;DT$11&amp;"'!B:R"),15,FALSE),"")</f>
        <v/>
      </c>
      <c r="DU239" s="96">
        <f>IFERROR(VLOOKUP($B239,INDIRECT("'GRD-"&amp;DU$11&amp;"'!B:R"),15,FALSE),"")</f>
        <v/>
      </c>
      <c r="DV239" s="96">
        <f>IFERROR(VLOOKUP($B239,INDIRECT("'GRD-"&amp;DV$11&amp;"'!B:R"),15,FALSE),"")</f>
        <v/>
      </c>
      <c r="DW239" s="96">
        <f>IFERROR(VLOOKUP($B239,INDIRECT("'GRD-"&amp;DW$11&amp;"'!B:R"),15,FALSE),"")</f>
        <v/>
      </c>
      <c r="DX239" s="96">
        <f>IFERROR(VLOOKUP($B239,INDIRECT("'GRD-"&amp;DX$11&amp;"'!B:R"),15,FALSE),"")</f>
        <v/>
      </c>
      <c r="DY239" s="96">
        <f>IFERROR(VLOOKUP($B239,INDIRECT("'GRD-"&amp;DY$11&amp;"'!B:R"),15,FALSE),"")</f>
        <v/>
      </c>
      <c r="DZ239" s="96">
        <f>IFERROR(VLOOKUP($B239,INDIRECT("'GRD-"&amp;DZ$11&amp;"'!B:R"),15,FALSE),"")</f>
        <v/>
      </c>
      <c r="EA239" s="96">
        <f>IFERROR(VLOOKUP($B239,INDIRECT("'GRD-"&amp;EA$11&amp;"'!B:R"),15,FALSE),"")</f>
        <v/>
      </c>
      <c r="EB239" s="96">
        <f>IFERROR(VLOOKUP($B239,INDIRECT("'GRD-"&amp;EB$11&amp;"'!B:R"),15,FALSE),"")</f>
        <v/>
      </c>
      <c r="EC239" s="96">
        <f>IFERROR(VLOOKUP($B239,INDIRECT("'GRD-"&amp;EC$11&amp;"'!B:R"),15,FALSE),"")</f>
        <v/>
      </c>
      <c r="ED239" s="96">
        <f>IFERROR(VLOOKUP($B239,INDIRECT("'GRD-"&amp;ED$11&amp;"'!B:R"),15,FALSE),"")</f>
        <v/>
      </c>
      <c r="EE239" s="96">
        <f>IFERROR(VLOOKUP($B239,INDIRECT("'GRD-"&amp;EE$11&amp;"'!B:R"),15,FALSE),"")</f>
        <v/>
      </c>
      <c r="EF239" s="96">
        <f>IFERROR(VLOOKUP($B239,INDIRECT("'GRD-"&amp;EF$11&amp;"'!B:R"),15,FALSE),"")</f>
        <v/>
      </c>
      <c r="EG239" s="96">
        <f>IFERROR(VLOOKUP($B239,INDIRECT("'GRD-"&amp;EG$11&amp;"'!B:R"),15,FALSE),"")</f>
        <v/>
      </c>
      <c r="EH239" s="96">
        <f>IFERROR(VLOOKUP($B239,INDIRECT("'GRD-"&amp;EH$11&amp;"'!B:R"),15,FALSE),"")</f>
        <v/>
      </c>
      <c r="EI239" s="96">
        <f>IFERROR(VLOOKUP($B239,INDIRECT("'GRD-"&amp;EI$11&amp;"'!B:R"),15,FALSE),"")</f>
        <v/>
      </c>
      <c r="EJ239" s="96">
        <f>IFERROR(VLOOKUP($B239,INDIRECT("'GRD-"&amp;EJ$11&amp;"'!B:R"),15,FALSE),"")</f>
        <v/>
      </c>
      <c r="EK239" s="96">
        <f>IFERROR(VLOOKUP($B239,INDIRECT("'GRD-"&amp;EK$11&amp;"'!B:R"),15,FALSE),"")</f>
        <v/>
      </c>
      <c r="EL239" s="96">
        <f>IFERROR(VLOOKUP($B239,INDIRECT("'GRD-"&amp;EL$11&amp;"'!B:R"),15,FALSE),"")</f>
        <v/>
      </c>
      <c r="EM239" s="96">
        <f>IFERROR(VLOOKUP($B239,INDIRECT("'GRD-"&amp;EM$11&amp;"'!B:R"),15,FALSE),"")</f>
        <v/>
      </c>
      <c r="EN239" s="96">
        <f>IFERROR(VLOOKUP($B239,INDIRECT("'GRD-"&amp;EN$11&amp;"'!B:R"),15,FALSE),"")</f>
        <v/>
      </c>
      <c r="EO239" s="96">
        <f>IFERROR(VLOOKUP($B239,INDIRECT("'GRD-"&amp;EO$11&amp;"'!B:R"),15,FALSE),"")</f>
        <v/>
      </c>
      <c r="EP239" s="96">
        <f>IFERROR(VLOOKUP($B239,INDIRECT("'GRD-"&amp;EP$11&amp;"'!B:R"),15,FALSE),"")</f>
        <v/>
      </c>
      <c r="EQ239" s="96">
        <f>IFERROR(VLOOKUP($B239,INDIRECT("'GRD-"&amp;EQ$11&amp;"'!B:R"),15,FALSE),"")</f>
        <v/>
      </c>
      <c r="ER239" s="96">
        <f>IFERROR(VLOOKUP($B239,INDIRECT("'GRD-"&amp;ER$11&amp;"'!B:R"),15,FALSE),"")</f>
        <v/>
      </c>
      <c r="ES239" s="96">
        <f>IFERROR(VLOOKUP($B239,INDIRECT("'GRD-"&amp;ES$11&amp;"'!B:R"),15,FALSE),"")</f>
        <v/>
      </c>
      <c r="ET239" s="96">
        <f>IFERROR(VLOOKUP($B239,INDIRECT("'GRD-"&amp;ET$11&amp;"'!B:R"),15,FALSE),"")</f>
        <v/>
      </c>
      <c r="EU239" s="96">
        <f>IFERROR(VLOOKUP($B239,INDIRECT("'GRD-"&amp;EU$11&amp;"'!B:R"),15,FALSE),"")</f>
        <v/>
      </c>
      <c r="EV239" s="96">
        <f>IFERROR(VLOOKUP($B239,INDIRECT("'GRD-"&amp;EV$11&amp;"'!B:R"),15,FALSE),"")</f>
        <v/>
      </c>
      <c r="EW239" s="96">
        <f>IFERROR(VLOOKUP($B239,INDIRECT("'GRD-"&amp;EW$11&amp;"'!B:R"),15,FALSE),"")</f>
        <v/>
      </c>
      <c r="EX239" s="96">
        <f>IFERROR(VLOOKUP($B239,INDIRECT("'GRD-"&amp;EX$11&amp;"'!B:R"),15,FALSE),"")</f>
        <v/>
      </c>
      <c r="EY239" s="96">
        <f>IFERROR(VLOOKUP($B239,INDIRECT("'GRD-"&amp;EY$11&amp;"'!B:R"),15,FALSE),"")</f>
        <v/>
      </c>
      <c r="EZ239" s="96">
        <f>IFERROR(VLOOKUP($B239,INDIRECT("'GRD-"&amp;EZ$11&amp;"'!B:R"),15,FALSE),"")</f>
        <v/>
      </c>
      <c r="FA239" s="96">
        <f>IFERROR(VLOOKUP($B239,INDIRECT("'GRD-"&amp;FA$11&amp;"'!B:R"),15,FALSE),"")</f>
        <v/>
      </c>
      <c r="FB239" s="96">
        <f>IFERROR(VLOOKUP($B239,INDIRECT("'GRD-"&amp;FB$11&amp;"'!B:R"),15,FALSE),"")</f>
        <v/>
      </c>
      <c r="FC239" s="96">
        <f>IFERROR(VLOOKUP($B239,INDIRECT("'GRD-"&amp;FC$11&amp;"'!B:R"),15,FALSE),"")</f>
        <v/>
      </c>
      <c r="FD239" s="96">
        <f>IFERROR(VLOOKUP($B239,INDIRECT("'GRD-"&amp;FD$11&amp;"'!B:R"),15,FALSE),"")</f>
        <v/>
      </c>
      <c r="FE239" s="96">
        <f>IFERROR(VLOOKUP($B239,INDIRECT("'GRD-"&amp;FE$11&amp;"'!B:R"),15,FALSE),"")</f>
        <v/>
      </c>
      <c r="FF239" s="96">
        <f>IFERROR(VLOOKUP($B239,INDIRECT("'GRD-"&amp;FF$11&amp;"'!B:R"),15,FALSE),"")</f>
        <v/>
      </c>
      <c r="FG239" s="96">
        <f>IFERROR(VLOOKUP($B239,INDIRECT("'GRD-"&amp;FG$11&amp;"'!B:R"),15,FALSE),"")</f>
        <v/>
      </c>
      <c r="FH239" s="96">
        <f>IFERROR(VLOOKUP($B239,INDIRECT("'GRD-"&amp;FH$11&amp;"'!B:R"),15,FALSE),"")</f>
        <v/>
      </c>
      <c r="FI239" s="96">
        <f>IFERROR(VLOOKUP($B239,INDIRECT("'GRD-"&amp;FI$11&amp;"'!B:R"),15,FALSE),"")</f>
        <v/>
      </c>
      <c r="FJ239" s="96">
        <f>IFERROR(VLOOKUP($B239,INDIRECT("'GRD-"&amp;FJ$11&amp;"'!B:R"),15,FALSE),"")</f>
        <v/>
      </c>
      <c r="FK239" s="96">
        <f>IFERROR(VLOOKUP($B239,INDIRECT("'GRD-"&amp;FK$11&amp;"'!B:R"),15,FALSE),"")</f>
        <v/>
      </c>
      <c r="FL239" s="96">
        <f>IFERROR(VLOOKUP($B239,INDIRECT("'GRD-"&amp;FL$11&amp;"'!B:R"),15,FALSE),"")</f>
        <v/>
      </c>
      <c r="FM239" s="96">
        <f>IFERROR(VLOOKUP($B239,INDIRECT("'GRD-"&amp;FM$11&amp;"'!B:R"),15,FALSE),"")</f>
        <v/>
      </c>
      <c r="FN239" s="96">
        <f>IFERROR(VLOOKUP($B239,INDIRECT("'GRD-"&amp;FN$11&amp;"'!B:R"),15,FALSE),"")</f>
        <v/>
      </c>
      <c r="FO239" s="96">
        <f>IFERROR(VLOOKUP($B239,INDIRECT("'GRD-"&amp;FO$11&amp;"'!B:R"),15,FALSE),"")</f>
        <v/>
      </c>
      <c r="FP239" s="96">
        <f>IFERROR(VLOOKUP($B239,INDIRECT("'GRD-"&amp;FP$11&amp;"'!B:R"),15,FALSE),"")</f>
        <v/>
      </c>
      <c r="FQ239" s="96">
        <f>IFERROR(VLOOKUP($B239,INDIRECT("'GRD-"&amp;FQ$11&amp;"'!B:R"),15,FALSE),"")</f>
        <v/>
      </c>
      <c r="FR239" s="96">
        <f>IFERROR(VLOOKUP($B239,INDIRECT("'GRD-"&amp;FR$11&amp;"'!B:R"),15,FALSE),"")</f>
        <v/>
      </c>
      <c r="FS239" s="96">
        <f>IFERROR(VLOOKUP($B239,INDIRECT("'GRD-"&amp;FS$11&amp;"'!B:R"),15,FALSE),"")</f>
        <v/>
      </c>
      <c r="FT239" s="96">
        <f>IFERROR(VLOOKUP($B239,INDIRECT("'GRD-"&amp;FT$11&amp;"'!B:R"),15,FALSE),"")</f>
        <v/>
      </c>
      <c r="FU239" s="96">
        <f>IFERROR(VLOOKUP($B239,INDIRECT("'GRD-"&amp;FU$11&amp;"'!B:R"),15,FALSE),"")</f>
        <v/>
      </c>
      <c r="FV239" s="96">
        <f>IFERROR(VLOOKUP($B239,INDIRECT("'GRD-"&amp;FV$11&amp;"'!B:R"),15,FALSE),"")</f>
        <v/>
      </c>
    </row>
    <row r="240">
      <c r="B240" s="85" t="n"/>
      <c r="C240" s="93" t="n"/>
      <c r="D240" s="73">
        <f>IF(K240="","",MAX($CA240:$FV240))</f>
        <v/>
      </c>
      <c r="E240" s="74">
        <f t="array" ref="E240">IF($K240="","",OFFSET($A$1,ROW($B240)-1,11+$D240*4,))</f>
        <v/>
      </c>
      <c r="F240" s="74">
        <f t="array" ref="F240">IF($K240="","",OFFSET($A$1,ROW($B240)-1,12+$D240*4,))</f>
        <v/>
      </c>
      <c r="G240" s="118">
        <f t="array" ref="G240">IF($K240="","",OFFSET($A$1,ROW($B240)-1,13+$D240*4,))</f>
        <v/>
      </c>
      <c r="H240" s="81" t="n"/>
      <c r="I240" s="82" t="n"/>
      <c r="J240" s="75">
        <f>IF(I240="A4",H240/8,IF(I240="A3",H240/4,IF(I240="A2",H240/2,IF(I240="A1",H240/1,IF(I240="A0",H240*2,"")))))</f>
        <v/>
      </c>
      <c r="K240" s="68">
        <f t="array" ref="K240">IFERROR(OFFSET($BZ$11,ROW($B240)-11,MATCH(K$10,$CA240:$FV240,0),),"")</f>
        <v/>
      </c>
      <c r="L240" s="85">
        <f>IF(K240="","",IF(VLOOKUP($B240,INDIRECT("'GRD-"&amp;M240&amp;"'!$B:$R"),16,FALSE)="","",VLOOKUP($B240,INDIRECT("'GRD-"&amp;M240&amp;"'!$B:$R"),16,FALSE)))</f>
        <v/>
      </c>
      <c r="M240" s="130">
        <f t="array" ref="M240">IF(K240="","",IFERROR(OFFSET($BZ$11,0,MATCH($K240,$CA240:$FV240,0),),""))</f>
        <v/>
      </c>
      <c r="N240" s="119">
        <f t="array" ref="N240">IF(K240="","",INDIRECT("'GRD-"&amp;M240&amp;"'!$L$7"))</f>
        <v/>
      </c>
      <c r="O240" s="76">
        <f t="array" ref="O240">IFERROR(OFFSET($BZ$11,ROW($B240)-11,MATCH(O$10,$CA240:$FV240,0),),"")</f>
        <v/>
      </c>
      <c r="P240" s="76">
        <f>IF(O240="","",IF(VLOOKUP($B240,INDIRECT("'GRD-"&amp;Q240&amp;"'!$B:$R"),16,FALSE)="","",VLOOKUP($B240,INDIRECT("'GRD-"&amp;Q240&amp;"'!$B:$R"),16,FALSE)))</f>
        <v/>
      </c>
      <c r="Q240" s="132">
        <f t="array" ref="Q240">IF(O240="","",IFERROR(OFFSET($BZ$11,0,MATCH($O240,$CA240:$FV240,0),),""))</f>
        <v/>
      </c>
      <c r="R240" s="121">
        <f t="array" ref="R240">IF(O240="","",INDIRECT("'GRD-"&amp;Q240&amp;"'!$L$7"))</f>
        <v/>
      </c>
      <c r="S240" s="83">
        <f t="array" ref="S240">IFERROR(OFFSET($BZ$11,ROW($B240)-11,MATCH(S$10,$CA240:$FV240,0),),"")</f>
        <v/>
      </c>
      <c r="T240" s="83">
        <f>IF(S240="","",IF(VLOOKUP($B240,INDIRECT("'GRD-"&amp;U240&amp;"'!$B:$R"),16,FALSE)="","",VLOOKUP($B240,INDIRECT("'GRD-"&amp;U240&amp;"'!$B:$R"),16,FALSE)))</f>
        <v/>
      </c>
      <c r="U240" s="128">
        <f t="array" ref="U240">IF(S240="","",IFERROR(OFFSET($BZ$11,0,MATCH($S240,$CA240:$FV240,0),),""))</f>
        <v/>
      </c>
      <c r="V240" s="133">
        <f t="array" ref="V240">IF(S240="","",INDIRECT("'GRD-"&amp;U240&amp;"'!$L$7"))</f>
        <v/>
      </c>
      <c r="W240" s="84">
        <f t="array" ref="W240">IFERROR(OFFSET($BZ$11,ROW($B240)-11,MATCH(W$10,$CA240:$FV240,0),),"")</f>
        <v/>
      </c>
      <c r="X240" s="84">
        <f>IF(W240="","",IF(VLOOKUP($B240,INDIRECT("'GRD-"&amp;Y240&amp;"'!$B:$R"),16,FALSE)="","",VLOOKUP($B240,INDIRECT("'GRD-"&amp;Y240&amp;"'!$B:$R"),16,FALSE)))</f>
        <v/>
      </c>
      <c r="Y240" s="129">
        <f t="array" ref="Y240">IF(W240="","",IFERROR(OFFSET($BZ$11,0,MATCH($W240,$CA240:$FV240,0),),""))</f>
        <v/>
      </c>
      <c r="Z240" s="134">
        <f t="array" ref="Z240">IF(W240="","",INDIRECT("'GRD-"&amp;Y240&amp;"'!$L$7"))</f>
        <v/>
      </c>
      <c r="AA240" s="85">
        <f t="array" ref="AA240">IFERROR(OFFSET($BZ$11,ROW($B240)-11,MATCH(AA$10,$CA240:$FV240,0),),"")</f>
        <v/>
      </c>
      <c r="AB240" s="85">
        <f>IF(AA240="","",IF(VLOOKUP($B240,INDIRECT("'GRD-"&amp;AC240&amp;"'!$B:$R"),16,FALSE)="","",VLOOKUP($B240,INDIRECT("'GRD-"&amp;AC240&amp;"'!$B:$R"),16,FALSE)))</f>
        <v/>
      </c>
      <c r="AC240" s="130">
        <f t="array" ref="AC240">IF(AA240="","",IFERROR(OFFSET($BZ$11,0,MATCH($AA240,$CA240:$FV240,0),),""))</f>
        <v/>
      </c>
      <c r="AD240" s="131">
        <f t="array" ref="AD240">IF(AA240="","",INDIRECT("'GRD-"&amp;AC240&amp;"'!$L$7"))</f>
        <v/>
      </c>
      <c r="AE240" s="76">
        <f t="array" ref="AE240">IFERROR(OFFSET($BZ$11,ROW($B240)-11,MATCH(AE$10,$CA240:$FV240,0),),"")</f>
        <v/>
      </c>
      <c r="AF240" s="76">
        <f>IF(AE240="","",IF(VLOOKUP($B240,INDIRECT("'GRD-"&amp;AG240&amp;"'!$B:$R"),16,FALSE)="","",VLOOKUP($B240,INDIRECT("'GRD-"&amp;AG240&amp;"'!$B:$R"),16,FALSE)))</f>
        <v/>
      </c>
      <c r="AG240" s="132">
        <f t="array" ref="AG240">IF(AE240="","",IFERROR(OFFSET($BZ$11,0,MATCH($AE240,$CA240:$FV240,0),),""))</f>
        <v/>
      </c>
      <c r="AH240" s="121">
        <f t="array" ref="AH240">IF(AE240="","",INDIRECT("'GRD-"&amp;AG240&amp;"'!$L$7"))</f>
        <v/>
      </c>
      <c r="AI240" s="83">
        <f t="array" ref="AI240">IFERROR(OFFSET($BZ$11,ROW($B240)-11,MATCH(AI$10,$CA240:$FV240,0),),"")</f>
        <v/>
      </c>
      <c r="AJ240" s="83">
        <f>IF(AI240="","",IF(VLOOKUP($B240,INDIRECT("'GRD-"&amp;AK240&amp;"'!$B:$R"),16,FALSE)="","",VLOOKUP($B240,INDIRECT("'GRD-"&amp;AK240&amp;"'!$B:$R"),16,FALSE)))</f>
        <v/>
      </c>
      <c r="AK240" s="128">
        <f t="array" ref="AK240">IF(AI240="","",IFERROR(OFFSET($BZ$11,0,MATCH($AI240,$CA240:$FV240,0),),""))</f>
        <v/>
      </c>
      <c r="AL240" s="133">
        <f t="array" ref="AL240">IF(AI240="","",INDIRECT("'GRD-"&amp;AK240&amp;"'!$L$7"))</f>
        <v/>
      </c>
      <c r="AM240" s="84">
        <f t="array" ref="AM240">IFERROR(OFFSET($BZ$11,ROW($B240)-11,MATCH(AM$10,$CA240:$FV240,0),),"")</f>
        <v/>
      </c>
      <c r="AN240" s="84">
        <f>IF(AM240="","",IF(VLOOKUP($B240,INDIRECT("'GRD-"&amp;AO240&amp;"'!$B:$R"),16,FALSE)="","",VLOOKUP($B240,INDIRECT("'GRD-"&amp;AO240&amp;"'!$B:$R"),16,FALSE)))</f>
        <v/>
      </c>
      <c r="AO240" s="129">
        <f t="array" ref="AO240">IF(AM240="","",IFERROR(OFFSET($BZ$11,0,MATCH($AM240,$CA240:$FV240,0),),""))</f>
        <v/>
      </c>
      <c r="AP240" s="134">
        <f t="array" ref="AP240">IF(AM240="","",INDIRECT("'GRD-"&amp;AO240&amp;"'!$L$7"))</f>
        <v/>
      </c>
      <c r="AQ240" s="85">
        <f t="array" ref="AQ240">IFERROR(OFFSET($BZ$11,ROW($B240)-11,MATCH(AQ$10,$CA240:$FV240,0),),"")</f>
        <v/>
      </c>
      <c r="AR240" s="85">
        <f>IF(AQ240="","",IF(VLOOKUP($B240,INDIRECT("'GRD-"&amp;AS240&amp;"'!$B:$R"),16,FALSE)="","",VLOOKUP($B240,INDIRECT("'GRD-"&amp;AS240&amp;"'!$B:$R"),16,FALSE)))</f>
        <v/>
      </c>
      <c r="AS240" s="130">
        <f t="array" ref="AS240">IF(AQ240="","",IFERROR(OFFSET($BZ$11,0,MATCH($AQ240,$CA240:$FV240,0),),""))</f>
        <v/>
      </c>
      <c r="AT240" s="131">
        <f t="array" ref="AT240">IF(AQ240="","",INDIRECT("'GRD-"&amp;AS240&amp;"'!$L$7"))</f>
        <v/>
      </c>
      <c r="AU240" s="76">
        <f t="array" ref="AU240">IFERROR(OFFSET($BZ$11,ROW($B240)-11,MATCH(AU$10,$CA240:$FV240,0),),"")</f>
        <v/>
      </c>
      <c r="AV240" s="76">
        <f>IF(AU240="","",IF(VLOOKUP($B240,INDIRECT("'GRD-"&amp;AW240&amp;"'!$B:$R"),16,FALSE)="","",VLOOKUP($B240,INDIRECT("'GRD-"&amp;AW240&amp;"'!$B:$R"),16,FALSE)))</f>
        <v/>
      </c>
      <c r="AW240" s="132">
        <f t="array" ref="AW240">IF(AU240="","",IFERROR(OFFSET($BZ$11,0,MATCH($AU240,$CA240:$FV240,0),),""))</f>
        <v/>
      </c>
      <c r="AX240" s="121">
        <f t="array" ref="AX240">IF(AU240="","",INDIRECT("'GRD-"&amp;AW240&amp;"'!$L$7"))</f>
        <v/>
      </c>
      <c r="AY240" s="83">
        <f t="array" ref="AY240">IFERROR(OFFSET($BZ$11,ROW($B240)-11,MATCH(AY$10,$CA240:$FV240,0),),"")</f>
        <v/>
      </c>
      <c r="AZ240" s="83">
        <f>IF(AY240="","",IF(VLOOKUP($B240,INDIRECT("'GRD-"&amp;BA240&amp;"'!$B:$R"),16,FALSE)="","",VLOOKUP($B240,INDIRECT("'GRD-"&amp;BA240&amp;"'!$B:$R"),16,FALSE)))</f>
        <v/>
      </c>
      <c r="BA240" s="128">
        <f t="array" ref="BA240">IF(AY240="","",IFERROR(OFFSET($BZ$11,0,MATCH($AY240,$CA240:$FV240,0),),""))</f>
        <v/>
      </c>
      <c r="BB240" s="133">
        <f t="array" ref="BB240">IF(AY240="","",INDIRECT("'GRD-"&amp;BA240&amp;"'!$L$7"))</f>
        <v/>
      </c>
      <c r="BC240" s="84">
        <f t="array" ref="BC240">IFERROR(OFFSET($BZ$11,ROW($B240)-11,MATCH(BC$10,$CA240:$FV240,0),),"")</f>
        <v/>
      </c>
      <c r="BD240" s="84">
        <f>IF(BC240="","",IF(VLOOKUP($B240,INDIRECT("'GRD-"&amp;BE240&amp;"'!$B:$R"),16,FALSE)="","",VLOOKUP($B240,INDIRECT("'GRD-"&amp;BE240&amp;"'!$B:$R"),16,FALSE)))</f>
        <v/>
      </c>
      <c r="BE240" s="129">
        <f t="array" ref="BE240">IF(BC240="","",IFERROR(OFFSET($BZ$11,0,MATCH($BC240,$CA240:$FV240,0),),""))</f>
        <v/>
      </c>
      <c r="BF240" s="134">
        <f t="array" ref="BF240">IF(BC240="","",INDIRECT("'GRD-"&amp;BE240&amp;"'!$L$7"))</f>
        <v/>
      </c>
      <c r="CA240" s="96">
        <f>IFERROR(VLOOKUP($B240,INDIRECT("'GRD-"&amp;CA$11&amp;"'!B:R"),15,FALSE),"")</f>
        <v/>
      </c>
      <c r="CB240" s="96">
        <f>IFERROR(VLOOKUP($B240,INDIRECT("'GRD-"&amp;CB$11&amp;"'!B:R"),15,FALSE),"")</f>
        <v/>
      </c>
      <c r="CC240" s="96">
        <f>IFERROR(VLOOKUP($B240,INDIRECT("'GRD-"&amp;CC$11&amp;"'!B:R"),15,FALSE),"")</f>
        <v/>
      </c>
      <c r="CD240" s="96">
        <f>IFERROR(VLOOKUP($B240,INDIRECT("'GRD-"&amp;CD$11&amp;"'!B:R"),15,FALSE),"")</f>
        <v/>
      </c>
      <c r="CE240" s="96">
        <f>IFERROR(VLOOKUP($B240,INDIRECT("'GRD-"&amp;CE$11&amp;"'!B:R"),15,FALSE),"")</f>
        <v/>
      </c>
      <c r="CF240" s="96">
        <f>IFERROR(VLOOKUP($B240,INDIRECT("'GRD-"&amp;CF$11&amp;"'!B:R"),15,FALSE),"")</f>
        <v/>
      </c>
      <c r="CG240" s="96">
        <f>IFERROR(VLOOKUP($B240,INDIRECT("'GRD-"&amp;CG$11&amp;"'!B:R"),15,FALSE),"")</f>
        <v/>
      </c>
      <c r="CH240" s="96">
        <f>IFERROR(VLOOKUP($B240,INDIRECT("'GRD-"&amp;CH$11&amp;"'!B:R"),15,FALSE),"")</f>
        <v/>
      </c>
      <c r="CI240" s="96">
        <f>IFERROR(VLOOKUP($B240,INDIRECT("'GRD-"&amp;CI$11&amp;"'!B:R"),15,FALSE),"")</f>
        <v/>
      </c>
      <c r="CJ240" s="96">
        <f>IFERROR(VLOOKUP($B240,INDIRECT("'GRD-"&amp;CJ$11&amp;"'!B:R"),15,FALSE),"")</f>
        <v/>
      </c>
      <c r="CK240" s="96">
        <f>IFERROR(VLOOKUP($B240,INDIRECT("'GRD-"&amp;CK$11&amp;"'!B:R"),15,FALSE),"")</f>
        <v/>
      </c>
      <c r="CL240" s="96">
        <f>IFERROR(VLOOKUP($B240,INDIRECT("'GRD-"&amp;CL$11&amp;"'!B:R"),15,FALSE),"")</f>
        <v/>
      </c>
      <c r="CM240" s="96">
        <f>IFERROR(VLOOKUP($B240,INDIRECT("'GRD-"&amp;CM$11&amp;"'!B:R"),15,FALSE),"")</f>
        <v/>
      </c>
      <c r="CN240" s="96">
        <f>IFERROR(VLOOKUP($B240,INDIRECT("'GRD-"&amp;CN$11&amp;"'!B:R"),15,FALSE),"")</f>
        <v/>
      </c>
      <c r="CO240" s="96">
        <f>IFERROR(VLOOKUP($B240,INDIRECT("'GRD-"&amp;CO$11&amp;"'!B:R"),15,FALSE),"")</f>
        <v/>
      </c>
      <c r="CP240" s="96">
        <f>IFERROR(VLOOKUP($B240,INDIRECT("'GRD-"&amp;CP$11&amp;"'!B:R"),15,FALSE),"")</f>
        <v/>
      </c>
      <c r="CQ240" s="96">
        <f>IFERROR(VLOOKUP($B240,INDIRECT("'GRD-"&amp;CQ$11&amp;"'!B:R"),15,FALSE),"")</f>
        <v/>
      </c>
      <c r="CR240" s="96">
        <f>IFERROR(VLOOKUP($B240,INDIRECT("'GRD-"&amp;CR$11&amp;"'!B:R"),15,FALSE),"")</f>
        <v/>
      </c>
      <c r="CS240" s="96">
        <f>IFERROR(VLOOKUP($B240,INDIRECT("'GRD-"&amp;CS$11&amp;"'!B:R"),15,FALSE),"")</f>
        <v/>
      </c>
      <c r="CT240" s="96">
        <f>IFERROR(VLOOKUP($B240,INDIRECT("'GRD-"&amp;CT$11&amp;"'!B:R"),15,FALSE),"")</f>
        <v/>
      </c>
      <c r="CU240" s="96">
        <f>IFERROR(VLOOKUP($B240,INDIRECT("'GRD-"&amp;CU$11&amp;"'!B:R"),15,FALSE),"")</f>
        <v/>
      </c>
      <c r="CV240" s="96">
        <f>IFERROR(VLOOKUP($B240,INDIRECT("'GRD-"&amp;CV$11&amp;"'!B:R"),15,FALSE),"")</f>
        <v/>
      </c>
      <c r="CW240" s="96">
        <f>IFERROR(VLOOKUP($B240,INDIRECT("'GRD-"&amp;CW$11&amp;"'!B:R"),15,FALSE),"")</f>
        <v/>
      </c>
      <c r="CX240" s="96">
        <f>IFERROR(VLOOKUP($B240,INDIRECT("'GRD-"&amp;CX$11&amp;"'!B:R"),15,FALSE),"")</f>
        <v/>
      </c>
      <c r="CY240" s="96">
        <f>IFERROR(VLOOKUP($B240,INDIRECT("'GRD-"&amp;CY$11&amp;"'!B:R"),15,FALSE),"")</f>
        <v/>
      </c>
      <c r="CZ240" s="96">
        <f>IFERROR(VLOOKUP($B240,INDIRECT("'GRD-"&amp;CZ$11&amp;"'!B:R"),15,FALSE),"")</f>
        <v/>
      </c>
      <c r="DA240" s="96">
        <f>IFERROR(VLOOKUP($B240,INDIRECT("'GRD-"&amp;DA$11&amp;"'!B:R"),15,FALSE),"")</f>
        <v/>
      </c>
      <c r="DB240" s="96">
        <f>IFERROR(VLOOKUP($B240,INDIRECT("'GRD-"&amp;DB$11&amp;"'!B:R"),15,FALSE),"")</f>
        <v/>
      </c>
      <c r="DC240" s="96">
        <f>IFERROR(VLOOKUP($B240,INDIRECT("'GRD-"&amp;DC$11&amp;"'!B:R"),15,FALSE),"")</f>
        <v/>
      </c>
      <c r="DD240" s="96">
        <f>IFERROR(VLOOKUP($B240,INDIRECT("'GRD-"&amp;DD$11&amp;"'!B:R"),15,FALSE),"")</f>
        <v/>
      </c>
      <c r="DE240" s="96">
        <f>IFERROR(VLOOKUP($B240,INDIRECT("'GRD-"&amp;DE$11&amp;"'!B:R"),15,FALSE),"")</f>
        <v/>
      </c>
      <c r="DF240" s="96">
        <f>IFERROR(VLOOKUP($B240,INDIRECT("'GRD-"&amp;DF$11&amp;"'!B:R"),15,FALSE),"")</f>
        <v/>
      </c>
      <c r="DG240" s="96">
        <f>IFERROR(VLOOKUP($B240,INDIRECT("'GRD-"&amp;DG$11&amp;"'!B:R"),15,FALSE),"")</f>
        <v/>
      </c>
      <c r="DH240" s="96">
        <f>IFERROR(VLOOKUP($B240,INDIRECT("'GRD-"&amp;DH$11&amp;"'!B:R"),15,FALSE),"")</f>
        <v/>
      </c>
      <c r="DI240" s="96">
        <f>IFERROR(VLOOKUP($B240,INDIRECT("'GRD-"&amp;DI$11&amp;"'!B:R"),15,FALSE),"")</f>
        <v/>
      </c>
      <c r="DJ240" s="96">
        <f>IFERROR(VLOOKUP($B240,INDIRECT("'GRD-"&amp;DJ$11&amp;"'!B:R"),15,FALSE),"")</f>
        <v/>
      </c>
      <c r="DK240" s="96">
        <f>IFERROR(VLOOKUP($B240,INDIRECT("'GRD-"&amp;DK$11&amp;"'!B:R"),15,FALSE),"")</f>
        <v/>
      </c>
      <c r="DL240" s="96">
        <f>IFERROR(VLOOKUP($B240,INDIRECT("'GRD-"&amp;DL$11&amp;"'!B:R"),15,FALSE),"")</f>
        <v/>
      </c>
      <c r="DM240" s="96">
        <f>IFERROR(VLOOKUP($B240,INDIRECT("'GRD-"&amp;DM$11&amp;"'!B:R"),15,FALSE),"")</f>
        <v/>
      </c>
      <c r="DN240" s="96">
        <f>IFERROR(VLOOKUP($B240,INDIRECT("'GRD-"&amp;DN$11&amp;"'!B:R"),15,FALSE),"")</f>
        <v/>
      </c>
      <c r="DO240" s="96">
        <f>IFERROR(VLOOKUP($B240,INDIRECT("'GRD-"&amp;DO$11&amp;"'!B:R"),15,FALSE),"")</f>
        <v/>
      </c>
      <c r="DP240" s="96">
        <f>IFERROR(VLOOKUP($B240,INDIRECT("'GRD-"&amp;DP$11&amp;"'!B:R"),15,FALSE),"")</f>
        <v/>
      </c>
      <c r="DQ240" s="96">
        <f>IFERROR(VLOOKUP($B240,INDIRECT("'GRD-"&amp;DQ$11&amp;"'!B:R"),15,FALSE),"")</f>
        <v/>
      </c>
      <c r="DR240" s="96">
        <f>IFERROR(VLOOKUP($B240,INDIRECT("'GRD-"&amp;DR$11&amp;"'!B:R"),15,FALSE),"")</f>
        <v/>
      </c>
      <c r="DS240" s="96">
        <f>IFERROR(VLOOKUP($B240,INDIRECT("'GRD-"&amp;DS$11&amp;"'!B:R"),15,FALSE),"")</f>
        <v/>
      </c>
      <c r="DT240" s="96">
        <f>IFERROR(VLOOKUP($B240,INDIRECT("'GRD-"&amp;DT$11&amp;"'!B:R"),15,FALSE),"")</f>
        <v/>
      </c>
      <c r="DU240" s="96">
        <f>IFERROR(VLOOKUP($B240,INDIRECT("'GRD-"&amp;DU$11&amp;"'!B:R"),15,FALSE),"")</f>
        <v/>
      </c>
      <c r="DV240" s="96">
        <f>IFERROR(VLOOKUP($B240,INDIRECT("'GRD-"&amp;DV$11&amp;"'!B:R"),15,FALSE),"")</f>
        <v/>
      </c>
      <c r="DW240" s="96">
        <f>IFERROR(VLOOKUP($B240,INDIRECT("'GRD-"&amp;DW$11&amp;"'!B:R"),15,FALSE),"")</f>
        <v/>
      </c>
      <c r="DX240" s="96">
        <f>IFERROR(VLOOKUP($B240,INDIRECT("'GRD-"&amp;DX$11&amp;"'!B:R"),15,FALSE),"")</f>
        <v/>
      </c>
      <c r="DY240" s="96">
        <f>IFERROR(VLOOKUP($B240,INDIRECT("'GRD-"&amp;DY$11&amp;"'!B:R"),15,FALSE),"")</f>
        <v/>
      </c>
      <c r="DZ240" s="96">
        <f>IFERROR(VLOOKUP($B240,INDIRECT("'GRD-"&amp;DZ$11&amp;"'!B:R"),15,FALSE),"")</f>
        <v/>
      </c>
      <c r="EA240" s="96">
        <f>IFERROR(VLOOKUP($B240,INDIRECT("'GRD-"&amp;EA$11&amp;"'!B:R"),15,FALSE),"")</f>
        <v/>
      </c>
      <c r="EB240" s="96">
        <f>IFERROR(VLOOKUP($B240,INDIRECT("'GRD-"&amp;EB$11&amp;"'!B:R"),15,FALSE),"")</f>
        <v/>
      </c>
      <c r="EC240" s="96">
        <f>IFERROR(VLOOKUP($B240,INDIRECT("'GRD-"&amp;EC$11&amp;"'!B:R"),15,FALSE),"")</f>
        <v/>
      </c>
      <c r="ED240" s="96">
        <f>IFERROR(VLOOKUP($B240,INDIRECT("'GRD-"&amp;ED$11&amp;"'!B:R"),15,FALSE),"")</f>
        <v/>
      </c>
      <c r="EE240" s="96">
        <f>IFERROR(VLOOKUP($B240,INDIRECT("'GRD-"&amp;EE$11&amp;"'!B:R"),15,FALSE),"")</f>
        <v/>
      </c>
      <c r="EF240" s="96">
        <f>IFERROR(VLOOKUP($B240,INDIRECT("'GRD-"&amp;EF$11&amp;"'!B:R"),15,FALSE),"")</f>
        <v/>
      </c>
      <c r="EG240" s="96">
        <f>IFERROR(VLOOKUP($B240,INDIRECT("'GRD-"&amp;EG$11&amp;"'!B:R"),15,FALSE),"")</f>
        <v/>
      </c>
      <c r="EH240" s="96">
        <f>IFERROR(VLOOKUP($B240,INDIRECT("'GRD-"&amp;EH$11&amp;"'!B:R"),15,FALSE),"")</f>
        <v/>
      </c>
      <c r="EI240" s="96">
        <f>IFERROR(VLOOKUP($B240,INDIRECT("'GRD-"&amp;EI$11&amp;"'!B:R"),15,FALSE),"")</f>
        <v/>
      </c>
      <c r="EJ240" s="96">
        <f>IFERROR(VLOOKUP($B240,INDIRECT("'GRD-"&amp;EJ$11&amp;"'!B:R"),15,FALSE),"")</f>
        <v/>
      </c>
      <c r="EK240" s="96">
        <f>IFERROR(VLOOKUP($B240,INDIRECT("'GRD-"&amp;EK$11&amp;"'!B:R"),15,FALSE),"")</f>
        <v/>
      </c>
      <c r="EL240" s="96">
        <f>IFERROR(VLOOKUP($B240,INDIRECT("'GRD-"&amp;EL$11&amp;"'!B:R"),15,FALSE),"")</f>
        <v/>
      </c>
      <c r="EM240" s="96">
        <f>IFERROR(VLOOKUP($B240,INDIRECT("'GRD-"&amp;EM$11&amp;"'!B:R"),15,FALSE),"")</f>
        <v/>
      </c>
      <c r="EN240" s="96">
        <f>IFERROR(VLOOKUP($B240,INDIRECT("'GRD-"&amp;EN$11&amp;"'!B:R"),15,FALSE),"")</f>
        <v/>
      </c>
      <c r="EO240" s="96">
        <f>IFERROR(VLOOKUP($B240,INDIRECT("'GRD-"&amp;EO$11&amp;"'!B:R"),15,FALSE),"")</f>
        <v/>
      </c>
      <c r="EP240" s="96">
        <f>IFERROR(VLOOKUP($B240,INDIRECT("'GRD-"&amp;EP$11&amp;"'!B:R"),15,FALSE),"")</f>
        <v/>
      </c>
      <c r="EQ240" s="96">
        <f>IFERROR(VLOOKUP($B240,INDIRECT("'GRD-"&amp;EQ$11&amp;"'!B:R"),15,FALSE),"")</f>
        <v/>
      </c>
      <c r="ER240" s="96">
        <f>IFERROR(VLOOKUP($B240,INDIRECT("'GRD-"&amp;ER$11&amp;"'!B:R"),15,FALSE),"")</f>
        <v/>
      </c>
      <c r="ES240" s="96">
        <f>IFERROR(VLOOKUP($B240,INDIRECT("'GRD-"&amp;ES$11&amp;"'!B:R"),15,FALSE),"")</f>
        <v/>
      </c>
      <c r="ET240" s="96">
        <f>IFERROR(VLOOKUP($B240,INDIRECT("'GRD-"&amp;ET$11&amp;"'!B:R"),15,FALSE),"")</f>
        <v/>
      </c>
      <c r="EU240" s="96">
        <f>IFERROR(VLOOKUP($B240,INDIRECT("'GRD-"&amp;EU$11&amp;"'!B:R"),15,FALSE),"")</f>
        <v/>
      </c>
      <c r="EV240" s="96">
        <f>IFERROR(VLOOKUP($B240,INDIRECT("'GRD-"&amp;EV$11&amp;"'!B:R"),15,FALSE),"")</f>
        <v/>
      </c>
      <c r="EW240" s="96">
        <f>IFERROR(VLOOKUP($B240,INDIRECT("'GRD-"&amp;EW$11&amp;"'!B:R"),15,FALSE),"")</f>
        <v/>
      </c>
      <c r="EX240" s="96">
        <f>IFERROR(VLOOKUP($B240,INDIRECT("'GRD-"&amp;EX$11&amp;"'!B:R"),15,FALSE),"")</f>
        <v/>
      </c>
      <c r="EY240" s="96">
        <f>IFERROR(VLOOKUP($B240,INDIRECT("'GRD-"&amp;EY$11&amp;"'!B:R"),15,FALSE),"")</f>
        <v/>
      </c>
      <c r="EZ240" s="96">
        <f>IFERROR(VLOOKUP($B240,INDIRECT("'GRD-"&amp;EZ$11&amp;"'!B:R"),15,FALSE),"")</f>
        <v/>
      </c>
      <c r="FA240" s="96">
        <f>IFERROR(VLOOKUP($B240,INDIRECT("'GRD-"&amp;FA$11&amp;"'!B:R"),15,FALSE),"")</f>
        <v/>
      </c>
      <c r="FB240" s="96">
        <f>IFERROR(VLOOKUP($B240,INDIRECT("'GRD-"&amp;FB$11&amp;"'!B:R"),15,FALSE),"")</f>
        <v/>
      </c>
      <c r="FC240" s="96">
        <f>IFERROR(VLOOKUP($B240,INDIRECT("'GRD-"&amp;FC$11&amp;"'!B:R"),15,FALSE),"")</f>
        <v/>
      </c>
      <c r="FD240" s="96">
        <f>IFERROR(VLOOKUP($B240,INDIRECT("'GRD-"&amp;FD$11&amp;"'!B:R"),15,FALSE),"")</f>
        <v/>
      </c>
      <c r="FE240" s="96">
        <f>IFERROR(VLOOKUP($B240,INDIRECT("'GRD-"&amp;FE$11&amp;"'!B:R"),15,FALSE),"")</f>
        <v/>
      </c>
      <c r="FF240" s="96">
        <f>IFERROR(VLOOKUP($B240,INDIRECT("'GRD-"&amp;FF$11&amp;"'!B:R"),15,FALSE),"")</f>
        <v/>
      </c>
      <c r="FG240" s="96">
        <f>IFERROR(VLOOKUP($B240,INDIRECT("'GRD-"&amp;FG$11&amp;"'!B:R"),15,FALSE),"")</f>
        <v/>
      </c>
      <c r="FH240" s="96">
        <f>IFERROR(VLOOKUP($B240,INDIRECT("'GRD-"&amp;FH$11&amp;"'!B:R"),15,FALSE),"")</f>
        <v/>
      </c>
      <c r="FI240" s="96">
        <f>IFERROR(VLOOKUP($B240,INDIRECT("'GRD-"&amp;FI$11&amp;"'!B:R"),15,FALSE),"")</f>
        <v/>
      </c>
      <c r="FJ240" s="96">
        <f>IFERROR(VLOOKUP($B240,INDIRECT("'GRD-"&amp;FJ$11&amp;"'!B:R"),15,FALSE),"")</f>
        <v/>
      </c>
      <c r="FK240" s="96">
        <f>IFERROR(VLOOKUP($B240,INDIRECT("'GRD-"&amp;FK$11&amp;"'!B:R"),15,FALSE),"")</f>
        <v/>
      </c>
      <c r="FL240" s="96">
        <f>IFERROR(VLOOKUP($B240,INDIRECT("'GRD-"&amp;FL$11&amp;"'!B:R"),15,FALSE),"")</f>
        <v/>
      </c>
      <c r="FM240" s="96">
        <f>IFERROR(VLOOKUP($B240,INDIRECT("'GRD-"&amp;FM$11&amp;"'!B:R"),15,FALSE),"")</f>
        <v/>
      </c>
      <c r="FN240" s="96">
        <f>IFERROR(VLOOKUP($B240,INDIRECT("'GRD-"&amp;FN$11&amp;"'!B:R"),15,FALSE),"")</f>
        <v/>
      </c>
      <c r="FO240" s="96">
        <f>IFERROR(VLOOKUP($B240,INDIRECT("'GRD-"&amp;FO$11&amp;"'!B:R"),15,FALSE),"")</f>
        <v/>
      </c>
      <c r="FP240" s="96">
        <f>IFERROR(VLOOKUP($B240,INDIRECT("'GRD-"&amp;FP$11&amp;"'!B:R"),15,FALSE),"")</f>
        <v/>
      </c>
      <c r="FQ240" s="96">
        <f>IFERROR(VLOOKUP($B240,INDIRECT("'GRD-"&amp;FQ$11&amp;"'!B:R"),15,FALSE),"")</f>
        <v/>
      </c>
      <c r="FR240" s="96">
        <f>IFERROR(VLOOKUP($B240,INDIRECT("'GRD-"&amp;FR$11&amp;"'!B:R"),15,FALSE),"")</f>
        <v/>
      </c>
      <c r="FS240" s="96">
        <f>IFERROR(VLOOKUP($B240,INDIRECT("'GRD-"&amp;FS$11&amp;"'!B:R"),15,FALSE),"")</f>
        <v/>
      </c>
      <c r="FT240" s="96">
        <f>IFERROR(VLOOKUP($B240,INDIRECT("'GRD-"&amp;FT$11&amp;"'!B:R"),15,FALSE),"")</f>
        <v/>
      </c>
      <c r="FU240" s="96">
        <f>IFERROR(VLOOKUP($B240,INDIRECT("'GRD-"&amp;FU$11&amp;"'!B:R"),15,FALSE),"")</f>
        <v/>
      </c>
      <c r="FV240" s="96">
        <f>IFERROR(VLOOKUP($B240,INDIRECT("'GRD-"&amp;FV$11&amp;"'!B:R"),15,FALSE),"")</f>
        <v/>
      </c>
    </row>
    <row r="241">
      <c r="B241" s="85" t="n"/>
      <c r="C241" s="93" t="n"/>
      <c r="D241" s="73">
        <f>IF(K241="","",MAX($CA241:$FV241))</f>
        <v/>
      </c>
      <c r="E241" s="74">
        <f t="array" ref="E241">IF($K241="","",OFFSET($A$1,ROW($B241)-1,11+$D241*4,))</f>
        <v/>
      </c>
      <c r="F241" s="74">
        <f t="array" ref="F241">IF($K241="","",OFFSET($A$1,ROW($B241)-1,12+$D241*4,))</f>
        <v/>
      </c>
      <c r="G241" s="118">
        <f t="array" ref="G241">IF($K241="","",OFFSET($A$1,ROW($B241)-1,13+$D241*4,))</f>
        <v/>
      </c>
      <c r="H241" s="81" t="n"/>
      <c r="I241" s="82" t="n"/>
      <c r="J241" s="75">
        <f>IF(I241="A4",H241/8,IF(I241="A3",H241/4,IF(I241="A2",H241/2,IF(I241="A1",H241/1,IF(I241="A0",H241*2,"")))))</f>
        <v/>
      </c>
      <c r="K241" s="68">
        <f t="array" ref="K241">IFERROR(OFFSET($BZ$11,ROW($B241)-11,MATCH(K$10,$CA241:$FV241,0),),"")</f>
        <v/>
      </c>
      <c r="L241" s="85">
        <f>IF(K241="","",IF(VLOOKUP($B241,INDIRECT("'GRD-"&amp;M241&amp;"'!$B:$R"),16,FALSE)="","",VLOOKUP($B241,INDIRECT("'GRD-"&amp;M241&amp;"'!$B:$R"),16,FALSE)))</f>
        <v/>
      </c>
      <c r="M241" s="130">
        <f t="array" ref="M241">IF(K241="","",IFERROR(OFFSET($BZ$11,0,MATCH($K241,$CA241:$FV241,0),),""))</f>
        <v/>
      </c>
      <c r="N241" s="119">
        <f t="array" ref="N241">IF(K241="","",INDIRECT("'GRD-"&amp;M241&amp;"'!$L$7"))</f>
        <v/>
      </c>
      <c r="O241" s="76">
        <f t="array" ref="O241">IFERROR(OFFSET($BZ$11,ROW($B241)-11,MATCH(O$10,$CA241:$FV241,0),),"")</f>
        <v/>
      </c>
      <c r="P241" s="76">
        <f>IF(O241="","",IF(VLOOKUP($B241,INDIRECT("'GRD-"&amp;Q241&amp;"'!$B:$R"),16,FALSE)="","",VLOOKUP($B241,INDIRECT("'GRD-"&amp;Q241&amp;"'!$B:$R"),16,FALSE)))</f>
        <v/>
      </c>
      <c r="Q241" s="132">
        <f t="array" ref="Q241">IF(O241="","",IFERROR(OFFSET($BZ$11,0,MATCH($O241,$CA241:$FV241,0),),""))</f>
        <v/>
      </c>
      <c r="R241" s="121">
        <f t="array" ref="R241">IF(O241="","",INDIRECT("'GRD-"&amp;Q241&amp;"'!$L$7"))</f>
        <v/>
      </c>
      <c r="S241" s="83">
        <f t="array" ref="S241">IFERROR(OFFSET($BZ$11,ROW($B241)-11,MATCH(S$10,$CA241:$FV241,0),),"")</f>
        <v/>
      </c>
      <c r="T241" s="83">
        <f>IF(S241="","",IF(VLOOKUP($B241,INDIRECT("'GRD-"&amp;U241&amp;"'!$B:$R"),16,FALSE)="","",VLOOKUP($B241,INDIRECT("'GRD-"&amp;U241&amp;"'!$B:$R"),16,FALSE)))</f>
        <v/>
      </c>
      <c r="U241" s="128">
        <f t="array" ref="U241">IF(S241="","",IFERROR(OFFSET($BZ$11,0,MATCH($S241,$CA241:$FV241,0),),""))</f>
        <v/>
      </c>
      <c r="V241" s="133">
        <f t="array" ref="V241">IF(S241="","",INDIRECT("'GRD-"&amp;U241&amp;"'!$L$7"))</f>
        <v/>
      </c>
      <c r="W241" s="84">
        <f t="array" ref="W241">IFERROR(OFFSET($BZ$11,ROW($B241)-11,MATCH(W$10,$CA241:$FV241,0),),"")</f>
        <v/>
      </c>
      <c r="X241" s="84">
        <f>IF(W241="","",IF(VLOOKUP($B241,INDIRECT("'GRD-"&amp;Y241&amp;"'!$B:$R"),16,FALSE)="","",VLOOKUP($B241,INDIRECT("'GRD-"&amp;Y241&amp;"'!$B:$R"),16,FALSE)))</f>
        <v/>
      </c>
      <c r="Y241" s="129">
        <f t="array" ref="Y241">IF(W241="","",IFERROR(OFFSET($BZ$11,0,MATCH($W241,$CA241:$FV241,0),),""))</f>
        <v/>
      </c>
      <c r="Z241" s="134">
        <f t="array" ref="Z241">IF(W241="","",INDIRECT("'GRD-"&amp;Y241&amp;"'!$L$7"))</f>
        <v/>
      </c>
      <c r="AA241" s="85">
        <f t="array" ref="AA241">IFERROR(OFFSET($BZ$11,ROW($B241)-11,MATCH(AA$10,$CA241:$FV241,0),),"")</f>
        <v/>
      </c>
      <c r="AB241" s="85">
        <f>IF(AA241="","",IF(VLOOKUP($B241,INDIRECT("'GRD-"&amp;AC241&amp;"'!$B:$R"),16,FALSE)="","",VLOOKUP($B241,INDIRECT("'GRD-"&amp;AC241&amp;"'!$B:$R"),16,FALSE)))</f>
        <v/>
      </c>
      <c r="AC241" s="130">
        <f t="array" ref="AC241">IF(AA241="","",IFERROR(OFFSET($BZ$11,0,MATCH($AA241,$CA241:$FV241,0),),""))</f>
        <v/>
      </c>
      <c r="AD241" s="131">
        <f t="array" ref="AD241">IF(AA241="","",INDIRECT("'GRD-"&amp;AC241&amp;"'!$L$7"))</f>
        <v/>
      </c>
      <c r="AE241" s="76">
        <f t="array" ref="AE241">IFERROR(OFFSET($BZ$11,ROW($B241)-11,MATCH(AE$10,$CA241:$FV241,0),),"")</f>
        <v/>
      </c>
      <c r="AF241" s="76">
        <f>IF(AE241="","",IF(VLOOKUP($B241,INDIRECT("'GRD-"&amp;AG241&amp;"'!$B:$R"),16,FALSE)="","",VLOOKUP($B241,INDIRECT("'GRD-"&amp;AG241&amp;"'!$B:$R"),16,FALSE)))</f>
        <v/>
      </c>
      <c r="AG241" s="132">
        <f t="array" ref="AG241">IF(AE241="","",IFERROR(OFFSET($BZ$11,0,MATCH($AE241,$CA241:$FV241,0),),""))</f>
        <v/>
      </c>
      <c r="AH241" s="121">
        <f t="array" ref="AH241">IF(AE241="","",INDIRECT("'GRD-"&amp;AG241&amp;"'!$L$7"))</f>
        <v/>
      </c>
      <c r="AI241" s="83">
        <f t="array" ref="AI241">IFERROR(OFFSET($BZ$11,ROW($B241)-11,MATCH(AI$10,$CA241:$FV241,0),),"")</f>
        <v/>
      </c>
      <c r="AJ241" s="83">
        <f>IF(AI241="","",IF(VLOOKUP($B241,INDIRECT("'GRD-"&amp;AK241&amp;"'!$B:$R"),16,FALSE)="","",VLOOKUP($B241,INDIRECT("'GRD-"&amp;AK241&amp;"'!$B:$R"),16,FALSE)))</f>
        <v/>
      </c>
      <c r="AK241" s="128">
        <f t="array" ref="AK241">IF(AI241="","",IFERROR(OFFSET($BZ$11,0,MATCH($AI241,$CA241:$FV241,0),),""))</f>
        <v/>
      </c>
      <c r="AL241" s="133">
        <f t="array" ref="AL241">IF(AI241="","",INDIRECT("'GRD-"&amp;AK241&amp;"'!$L$7"))</f>
        <v/>
      </c>
      <c r="AM241" s="84">
        <f t="array" ref="AM241">IFERROR(OFFSET($BZ$11,ROW($B241)-11,MATCH(AM$10,$CA241:$FV241,0),),"")</f>
        <v/>
      </c>
      <c r="AN241" s="84">
        <f>IF(AM241="","",IF(VLOOKUP($B241,INDIRECT("'GRD-"&amp;AO241&amp;"'!$B:$R"),16,FALSE)="","",VLOOKUP($B241,INDIRECT("'GRD-"&amp;AO241&amp;"'!$B:$R"),16,FALSE)))</f>
        <v/>
      </c>
      <c r="AO241" s="129">
        <f t="array" ref="AO241">IF(AM241="","",IFERROR(OFFSET($BZ$11,0,MATCH($AM241,$CA241:$FV241,0),),""))</f>
        <v/>
      </c>
      <c r="AP241" s="134">
        <f t="array" ref="AP241">IF(AM241="","",INDIRECT("'GRD-"&amp;AO241&amp;"'!$L$7"))</f>
        <v/>
      </c>
      <c r="AQ241" s="85">
        <f t="array" ref="AQ241">IFERROR(OFFSET($BZ$11,ROW($B241)-11,MATCH(AQ$10,$CA241:$FV241,0),),"")</f>
        <v/>
      </c>
      <c r="AR241" s="85">
        <f>IF(AQ241="","",IF(VLOOKUP($B241,INDIRECT("'GRD-"&amp;AS241&amp;"'!$B:$R"),16,FALSE)="","",VLOOKUP($B241,INDIRECT("'GRD-"&amp;AS241&amp;"'!$B:$R"),16,FALSE)))</f>
        <v/>
      </c>
      <c r="AS241" s="130">
        <f t="array" ref="AS241">IF(AQ241="","",IFERROR(OFFSET($BZ$11,0,MATCH($AQ241,$CA241:$FV241,0),),""))</f>
        <v/>
      </c>
      <c r="AT241" s="131">
        <f t="array" ref="AT241">IF(AQ241="","",INDIRECT("'GRD-"&amp;AS241&amp;"'!$L$7"))</f>
        <v/>
      </c>
      <c r="AU241" s="76">
        <f t="array" ref="AU241">IFERROR(OFFSET($BZ$11,ROW($B241)-11,MATCH(AU$10,$CA241:$FV241,0),),"")</f>
        <v/>
      </c>
      <c r="AV241" s="76">
        <f>IF(AU241="","",IF(VLOOKUP($B241,INDIRECT("'GRD-"&amp;AW241&amp;"'!$B:$R"),16,FALSE)="","",VLOOKUP($B241,INDIRECT("'GRD-"&amp;AW241&amp;"'!$B:$R"),16,FALSE)))</f>
        <v/>
      </c>
      <c r="AW241" s="132">
        <f t="array" ref="AW241">IF(AU241="","",IFERROR(OFFSET($BZ$11,0,MATCH($AU241,$CA241:$FV241,0),),""))</f>
        <v/>
      </c>
      <c r="AX241" s="121">
        <f t="array" ref="AX241">IF(AU241="","",INDIRECT("'GRD-"&amp;AW241&amp;"'!$L$7"))</f>
        <v/>
      </c>
      <c r="AY241" s="83">
        <f t="array" ref="AY241">IFERROR(OFFSET($BZ$11,ROW($B241)-11,MATCH(AY$10,$CA241:$FV241,0),),"")</f>
        <v/>
      </c>
      <c r="AZ241" s="83">
        <f>IF(AY241="","",IF(VLOOKUP($B241,INDIRECT("'GRD-"&amp;BA241&amp;"'!$B:$R"),16,FALSE)="","",VLOOKUP($B241,INDIRECT("'GRD-"&amp;BA241&amp;"'!$B:$R"),16,FALSE)))</f>
        <v/>
      </c>
      <c r="BA241" s="128">
        <f t="array" ref="BA241">IF(AY241="","",IFERROR(OFFSET($BZ$11,0,MATCH($AY241,$CA241:$FV241,0),),""))</f>
        <v/>
      </c>
      <c r="BB241" s="133">
        <f t="array" ref="BB241">IF(AY241="","",INDIRECT("'GRD-"&amp;BA241&amp;"'!$L$7"))</f>
        <v/>
      </c>
      <c r="BC241" s="84">
        <f t="array" ref="BC241">IFERROR(OFFSET($BZ$11,ROW($B241)-11,MATCH(BC$10,$CA241:$FV241,0),),"")</f>
        <v/>
      </c>
      <c r="BD241" s="84">
        <f>IF(BC241="","",IF(VLOOKUP($B241,INDIRECT("'GRD-"&amp;BE241&amp;"'!$B:$R"),16,FALSE)="","",VLOOKUP($B241,INDIRECT("'GRD-"&amp;BE241&amp;"'!$B:$R"),16,FALSE)))</f>
        <v/>
      </c>
      <c r="BE241" s="129">
        <f t="array" ref="BE241">IF(BC241="","",IFERROR(OFFSET($BZ$11,0,MATCH($BC241,$CA241:$FV241,0),),""))</f>
        <v/>
      </c>
      <c r="BF241" s="134">
        <f t="array" ref="BF241">IF(BC241="","",INDIRECT("'GRD-"&amp;BE241&amp;"'!$L$7"))</f>
        <v/>
      </c>
      <c r="CA241" s="96">
        <f>IFERROR(VLOOKUP($B241,INDIRECT("'GRD-"&amp;CA$11&amp;"'!B:R"),15,FALSE),"")</f>
        <v/>
      </c>
      <c r="CB241" s="96">
        <f>IFERROR(VLOOKUP($B241,INDIRECT("'GRD-"&amp;CB$11&amp;"'!B:R"),15,FALSE),"")</f>
        <v/>
      </c>
      <c r="CC241" s="96">
        <f>IFERROR(VLOOKUP($B241,INDIRECT("'GRD-"&amp;CC$11&amp;"'!B:R"),15,FALSE),"")</f>
        <v/>
      </c>
      <c r="CD241" s="96">
        <f>IFERROR(VLOOKUP($B241,INDIRECT("'GRD-"&amp;CD$11&amp;"'!B:R"),15,FALSE),"")</f>
        <v/>
      </c>
      <c r="CE241" s="96">
        <f>IFERROR(VLOOKUP($B241,INDIRECT("'GRD-"&amp;CE$11&amp;"'!B:R"),15,FALSE),"")</f>
        <v/>
      </c>
      <c r="CF241" s="96">
        <f>IFERROR(VLOOKUP($B241,INDIRECT("'GRD-"&amp;CF$11&amp;"'!B:R"),15,FALSE),"")</f>
        <v/>
      </c>
      <c r="CG241" s="96">
        <f>IFERROR(VLOOKUP($B241,INDIRECT("'GRD-"&amp;CG$11&amp;"'!B:R"),15,FALSE),"")</f>
        <v/>
      </c>
      <c r="CH241" s="96">
        <f>IFERROR(VLOOKUP($B241,INDIRECT("'GRD-"&amp;CH$11&amp;"'!B:R"),15,FALSE),"")</f>
        <v/>
      </c>
      <c r="CI241" s="96">
        <f>IFERROR(VLOOKUP($B241,INDIRECT("'GRD-"&amp;CI$11&amp;"'!B:R"),15,FALSE),"")</f>
        <v/>
      </c>
      <c r="CJ241" s="96">
        <f>IFERROR(VLOOKUP($B241,INDIRECT("'GRD-"&amp;CJ$11&amp;"'!B:R"),15,FALSE),"")</f>
        <v/>
      </c>
      <c r="CK241" s="96">
        <f>IFERROR(VLOOKUP($B241,INDIRECT("'GRD-"&amp;CK$11&amp;"'!B:R"),15,FALSE),"")</f>
        <v/>
      </c>
      <c r="CL241" s="96">
        <f>IFERROR(VLOOKUP($B241,INDIRECT("'GRD-"&amp;CL$11&amp;"'!B:R"),15,FALSE),"")</f>
        <v/>
      </c>
      <c r="CM241" s="96">
        <f>IFERROR(VLOOKUP($B241,INDIRECT("'GRD-"&amp;CM$11&amp;"'!B:R"),15,FALSE),"")</f>
        <v/>
      </c>
      <c r="CN241" s="96">
        <f>IFERROR(VLOOKUP($B241,INDIRECT("'GRD-"&amp;CN$11&amp;"'!B:R"),15,FALSE),"")</f>
        <v/>
      </c>
      <c r="CO241" s="96">
        <f>IFERROR(VLOOKUP($B241,INDIRECT("'GRD-"&amp;CO$11&amp;"'!B:R"),15,FALSE),"")</f>
        <v/>
      </c>
      <c r="CP241" s="96">
        <f>IFERROR(VLOOKUP($B241,INDIRECT("'GRD-"&amp;CP$11&amp;"'!B:R"),15,FALSE),"")</f>
        <v/>
      </c>
      <c r="CQ241" s="96">
        <f>IFERROR(VLOOKUP($B241,INDIRECT("'GRD-"&amp;CQ$11&amp;"'!B:R"),15,FALSE),"")</f>
        <v/>
      </c>
      <c r="CR241" s="96">
        <f>IFERROR(VLOOKUP($B241,INDIRECT("'GRD-"&amp;CR$11&amp;"'!B:R"),15,FALSE),"")</f>
        <v/>
      </c>
      <c r="CS241" s="96">
        <f>IFERROR(VLOOKUP($B241,INDIRECT("'GRD-"&amp;CS$11&amp;"'!B:R"),15,FALSE),"")</f>
        <v/>
      </c>
      <c r="CT241" s="96">
        <f>IFERROR(VLOOKUP($B241,INDIRECT("'GRD-"&amp;CT$11&amp;"'!B:R"),15,FALSE),"")</f>
        <v/>
      </c>
      <c r="CU241" s="96">
        <f>IFERROR(VLOOKUP($B241,INDIRECT("'GRD-"&amp;CU$11&amp;"'!B:R"),15,FALSE),"")</f>
        <v/>
      </c>
      <c r="CV241" s="96">
        <f>IFERROR(VLOOKUP($B241,INDIRECT("'GRD-"&amp;CV$11&amp;"'!B:R"),15,FALSE),"")</f>
        <v/>
      </c>
      <c r="CW241" s="96">
        <f>IFERROR(VLOOKUP($B241,INDIRECT("'GRD-"&amp;CW$11&amp;"'!B:R"),15,FALSE),"")</f>
        <v/>
      </c>
      <c r="CX241" s="96">
        <f>IFERROR(VLOOKUP($B241,INDIRECT("'GRD-"&amp;CX$11&amp;"'!B:R"),15,FALSE),"")</f>
        <v/>
      </c>
      <c r="CY241" s="96">
        <f>IFERROR(VLOOKUP($B241,INDIRECT("'GRD-"&amp;CY$11&amp;"'!B:R"),15,FALSE),"")</f>
        <v/>
      </c>
      <c r="CZ241" s="96">
        <f>IFERROR(VLOOKUP($B241,INDIRECT("'GRD-"&amp;CZ$11&amp;"'!B:R"),15,FALSE),"")</f>
        <v/>
      </c>
      <c r="DA241" s="96">
        <f>IFERROR(VLOOKUP($B241,INDIRECT("'GRD-"&amp;DA$11&amp;"'!B:R"),15,FALSE),"")</f>
        <v/>
      </c>
      <c r="DB241" s="96">
        <f>IFERROR(VLOOKUP($B241,INDIRECT("'GRD-"&amp;DB$11&amp;"'!B:R"),15,FALSE),"")</f>
        <v/>
      </c>
      <c r="DC241" s="96">
        <f>IFERROR(VLOOKUP($B241,INDIRECT("'GRD-"&amp;DC$11&amp;"'!B:R"),15,FALSE),"")</f>
        <v/>
      </c>
      <c r="DD241" s="96">
        <f>IFERROR(VLOOKUP($B241,INDIRECT("'GRD-"&amp;DD$11&amp;"'!B:R"),15,FALSE),"")</f>
        <v/>
      </c>
      <c r="DE241" s="96">
        <f>IFERROR(VLOOKUP($B241,INDIRECT("'GRD-"&amp;DE$11&amp;"'!B:R"),15,FALSE),"")</f>
        <v/>
      </c>
      <c r="DF241" s="96">
        <f>IFERROR(VLOOKUP($B241,INDIRECT("'GRD-"&amp;DF$11&amp;"'!B:R"),15,FALSE),"")</f>
        <v/>
      </c>
      <c r="DG241" s="96">
        <f>IFERROR(VLOOKUP($B241,INDIRECT("'GRD-"&amp;DG$11&amp;"'!B:R"),15,FALSE),"")</f>
        <v/>
      </c>
      <c r="DH241" s="96">
        <f>IFERROR(VLOOKUP($B241,INDIRECT("'GRD-"&amp;DH$11&amp;"'!B:R"),15,FALSE),"")</f>
        <v/>
      </c>
      <c r="DI241" s="96">
        <f>IFERROR(VLOOKUP($B241,INDIRECT("'GRD-"&amp;DI$11&amp;"'!B:R"),15,FALSE),"")</f>
        <v/>
      </c>
      <c r="DJ241" s="96">
        <f>IFERROR(VLOOKUP($B241,INDIRECT("'GRD-"&amp;DJ$11&amp;"'!B:R"),15,FALSE),"")</f>
        <v/>
      </c>
      <c r="DK241" s="96">
        <f>IFERROR(VLOOKUP($B241,INDIRECT("'GRD-"&amp;DK$11&amp;"'!B:R"),15,FALSE),"")</f>
        <v/>
      </c>
      <c r="DL241" s="96">
        <f>IFERROR(VLOOKUP($B241,INDIRECT("'GRD-"&amp;DL$11&amp;"'!B:R"),15,FALSE),"")</f>
        <v/>
      </c>
      <c r="DM241" s="96">
        <f>IFERROR(VLOOKUP($B241,INDIRECT("'GRD-"&amp;DM$11&amp;"'!B:R"),15,FALSE),"")</f>
        <v/>
      </c>
      <c r="DN241" s="96">
        <f>IFERROR(VLOOKUP($B241,INDIRECT("'GRD-"&amp;DN$11&amp;"'!B:R"),15,FALSE),"")</f>
        <v/>
      </c>
      <c r="DO241" s="96">
        <f>IFERROR(VLOOKUP($B241,INDIRECT("'GRD-"&amp;DO$11&amp;"'!B:R"),15,FALSE),"")</f>
        <v/>
      </c>
      <c r="DP241" s="96">
        <f>IFERROR(VLOOKUP($B241,INDIRECT("'GRD-"&amp;DP$11&amp;"'!B:R"),15,FALSE),"")</f>
        <v/>
      </c>
      <c r="DQ241" s="96">
        <f>IFERROR(VLOOKUP($B241,INDIRECT("'GRD-"&amp;DQ$11&amp;"'!B:R"),15,FALSE),"")</f>
        <v/>
      </c>
      <c r="DR241" s="96">
        <f>IFERROR(VLOOKUP($B241,INDIRECT("'GRD-"&amp;DR$11&amp;"'!B:R"),15,FALSE),"")</f>
        <v/>
      </c>
      <c r="DS241" s="96">
        <f>IFERROR(VLOOKUP($B241,INDIRECT("'GRD-"&amp;DS$11&amp;"'!B:R"),15,FALSE),"")</f>
        <v/>
      </c>
      <c r="DT241" s="96">
        <f>IFERROR(VLOOKUP($B241,INDIRECT("'GRD-"&amp;DT$11&amp;"'!B:R"),15,FALSE),"")</f>
        <v/>
      </c>
      <c r="DU241" s="96">
        <f>IFERROR(VLOOKUP($B241,INDIRECT("'GRD-"&amp;DU$11&amp;"'!B:R"),15,FALSE),"")</f>
        <v/>
      </c>
      <c r="DV241" s="96">
        <f>IFERROR(VLOOKUP($B241,INDIRECT("'GRD-"&amp;DV$11&amp;"'!B:R"),15,FALSE),"")</f>
        <v/>
      </c>
      <c r="DW241" s="96">
        <f>IFERROR(VLOOKUP($B241,INDIRECT("'GRD-"&amp;DW$11&amp;"'!B:R"),15,FALSE),"")</f>
        <v/>
      </c>
      <c r="DX241" s="96">
        <f>IFERROR(VLOOKUP($B241,INDIRECT("'GRD-"&amp;DX$11&amp;"'!B:R"),15,FALSE),"")</f>
        <v/>
      </c>
      <c r="DY241" s="96">
        <f>IFERROR(VLOOKUP($B241,INDIRECT("'GRD-"&amp;DY$11&amp;"'!B:R"),15,FALSE),"")</f>
        <v/>
      </c>
      <c r="DZ241" s="96">
        <f>IFERROR(VLOOKUP($B241,INDIRECT("'GRD-"&amp;DZ$11&amp;"'!B:R"),15,FALSE),"")</f>
        <v/>
      </c>
      <c r="EA241" s="96">
        <f>IFERROR(VLOOKUP($B241,INDIRECT("'GRD-"&amp;EA$11&amp;"'!B:R"),15,FALSE),"")</f>
        <v/>
      </c>
      <c r="EB241" s="96">
        <f>IFERROR(VLOOKUP($B241,INDIRECT("'GRD-"&amp;EB$11&amp;"'!B:R"),15,FALSE),"")</f>
        <v/>
      </c>
      <c r="EC241" s="96">
        <f>IFERROR(VLOOKUP($B241,INDIRECT("'GRD-"&amp;EC$11&amp;"'!B:R"),15,FALSE),"")</f>
        <v/>
      </c>
      <c r="ED241" s="96">
        <f>IFERROR(VLOOKUP($B241,INDIRECT("'GRD-"&amp;ED$11&amp;"'!B:R"),15,FALSE),"")</f>
        <v/>
      </c>
      <c r="EE241" s="96">
        <f>IFERROR(VLOOKUP($B241,INDIRECT("'GRD-"&amp;EE$11&amp;"'!B:R"),15,FALSE),"")</f>
        <v/>
      </c>
      <c r="EF241" s="96">
        <f>IFERROR(VLOOKUP($B241,INDIRECT("'GRD-"&amp;EF$11&amp;"'!B:R"),15,FALSE),"")</f>
        <v/>
      </c>
      <c r="EG241" s="96">
        <f>IFERROR(VLOOKUP($B241,INDIRECT("'GRD-"&amp;EG$11&amp;"'!B:R"),15,FALSE),"")</f>
        <v/>
      </c>
      <c r="EH241" s="96">
        <f>IFERROR(VLOOKUP($B241,INDIRECT("'GRD-"&amp;EH$11&amp;"'!B:R"),15,FALSE),"")</f>
        <v/>
      </c>
      <c r="EI241" s="96">
        <f>IFERROR(VLOOKUP($B241,INDIRECT("'GRD-"&amp;EI$11&amp;"'!B:R"),15,FALSE),"")</f>
        <v/>
      </c>
      <c r="EJ241" s="96">
        <f>IFERROR(VLOOKUP($B241,INDIRECT("'GRD-"&amp;EJ$11&amp;"'!B:R"),15,FALSE),"")</f>
        <v/>
      </c>
      <c r="EK241" s="96">
        <f>IFERROR(VLOOKUP($B241,INDIRECT("'GRD-"&amp;EK$11&amp;"'!B:R"),15,FALSE),"")</f>
        <v/>
      </c>
      <c r="EL241" s="96">
        <f>IFERROR(VLOOKUP($B241,INDIRECT("'GRD-"&amp;EL$11&amp;"'!B:R"),15,FALSE),"")</f>
        <v/>
      </c>
      <c r="EM241" s="96">
        <f>IFERROR(VLOOKUP($B241,INDIRECT("'GRD-"&amp;EM$11&amp;"'!B:R"),15,FALSE),"")</f>
        <v/>
      </c>
      <c r="EN241" s="96">
        <f>IFERROR(VLOOKUP($B241,INDIRECT("'GRD-"&amp;EN$11&amp;"'!B:R"),15,FALSE),"")</f>
        <v/>
      </c>
      <c r="EO241" s="96">
        <f>IFERROR(VLOOKUP($B241,INDIRECT("'GRD-"&amp;EO$11&amp;"'!B:R"),15,FALSE),"")</f>
        <v/>
      </c>
      <c r="EP241" s="96">
        <f>IFERROR(VLOOKUP($B241,INDIRECT("'GRD-"&amp;EP$11&amp;"'!B:R"),15,FALSE),"")</f>
        <v/>
      </c>
      <c r="EQ241" s="96">
        <f>IFERROR(VLOOKUP($B241,INDIRECT("'GRD-"&amp;EQ$11&amp;"'!B:R"),15,FALSE),"")</f>
        <v/>
      </c>
      <c r="ER241" s="96">
        <f>IFERROR(VLOOKUP($B241,INDIRECT("'GRD-"&amp;ER$11&amp;"'!B:R"),15,FALSE),"")</f>
        <v/>
      </c>
      <c r="ES241" s="96">
        <f>IFERROR(VLOOKUP($B241,INDIRECT("'GRD-"&amp;ES$11&amp;"'!B:R"),15,FALSE),"")</f>
        <v/>
      </c>
      <c r="ET241" s="96">
        <f>IFERROR(VLOOKUP($B241,INDIRECT("'GRD-"&amp;ET$11&amp;"'!B:R"),15,FALSE),"")</f>
        <v/>
      </c>
      <c r="EU241" s="96">
        <f>IFERROR(VLOOKUP($B241,INDIRECT("'GRD-"&amp;EU$11&amp;"'!B:R"),15,FALSE),"")</f>
        <v/>
      </c>
      <c r="EV241" s="96">
        <f>IFERROR(VLOOKUP($B241,INDIRECT("'GRD-"&amp;EV$11&amp;"'!B:R"),15,FALSE),"")</f>
        <v/>
      </c>
      <c r="EW241" s="96">
        <f>IFERROR(VLOOKUP($B241,INDIRECT("'GRD-"&amp;EW$11&amp;"'!B:R"),15,FALSE),"")</f>
        <v/>
      </c>
      <c r="EX241" s="96">
        <f>IFERROR(VLOOKUP($B241,INDIRECT("'GRD-"&amp;EX$11&amp;"'!B:R"),15,FALSE),"")</f>
        <v/>
      </c>
      <c r="EY241" s="96">
        <f>IFERROR(VLOOKUP($B241,INDIRECT("'GRD-"&amp;EY$11&amp;"'!B:R"),15,FALSE),"")</f>
        <v/>
      </c>
      <c r="EZ241" s="96">
        <f>IFERROR(VLOOKUP($B241,INDIRECT("'GRD-"&amp;EZ$11&amp;"'!B:R"),15,FALSE),"")</f>
        <v/>
      </c>
      <c r="FA241" s="96">
        <f>IFERROR(VLOOKUP($B241,INDIRECT("'GRD-"&amp;FA$11&amp;"'!B:R"),15,FALSE),"")</f>
        <v/>
      </c>
      <c r="FB241" s="96">
        <f>IFERROR(VLOOKUP($B241,INDIRECT("'GRD-"&amp;FB$11&amp;"'!B:R"),15,FALSE),"")</f>
        <v/>
      </c>
      <c r="FC241" s="96">
        <f>IFERROR(VLOOKUP($B241,INDIRECT("'GRD-"&amp;FC$11&amp;"'!B:R"),15,FALSE),"")</f>
        <v/>
      </c>
      <c r="FD241" s="96">
        <f>IFERROR(VLOOKUP($B241,INDIRECT("'GRD-"&amp;FD$11&amp;"'!B:R"),15,FALSE),"")</f>
        <v/>
      </c>
      <c r="FE241" s="96">
        <f>IFERROR(VLOOKUP($B241,INDIRECT("'GRD-"&amp;FE$11&amp;"'!B:R"),15,FALSE),"")</f>
        <v/>
      </c>
      <c r="FF241" s="96">
        <f>IFERROR(VLOOKUP($B241,INDIRECT("'GRD-"&amp;FF$11&amp;"'!B:R"),15,FALSE),"")</f>
        <v/>
      </c>
      <c r="FG241" s="96">
        <f>IFERROR(VLOOKUP($B241,INDIRECT("'GRD-"&amp;FG$11&amp;"'!B:R"),15,FALSE),"")</f>
        <v/>
      </c>
      <c r="FH241" s="96">
        <f>IFERROR(VLOOKUP($B241,INDIRECT("'GRD-"&amp;FH$11&amp;"'!B:R"),15,FALSE),"")</f>
        <v/>
      </c>
      <c r="FI241" s="96">
        <f>IFERROR(VLOOKUP($B241,INDIRECT("'GRD-"&amp;FI$11&amp;"'!B:R"),15,FALSE),"")</f>
        <v/>
      </c>
      <c r="FJ241" s="96">
        <f>IFERROR(VLOOKUP($B241,INDIRECT("'GRD-"&amp;FJ$11&amp;"'!B:R"),15,FALSE),"")</f>
        <v/>
      </c>
      <c r="FK241" s="96">
        <f>IFERROR(VLOOKUP($B241,INDIRECT("'GRD-"&amp;FK$11&amp;"'!B:R"),15,FALSE),"")</f>
        <v/>
      </c>
      <c r="FL241" s="96">
        <f>IFERROR(VLOOKUP($B241,INDIRECT("'GRD-"&amp;FL$11&amp;"'!B:R"),15,FALSE),"")</f>
        <v/>
      </c>
      <c r="FM241" s="96">
        <f>IFERROR(VLOOKUP($B241,INDIRECT("'GRD-"&amp;FM$11&amp;"'!B:R"),15,FALSE),"")</f>
        <v/>
      </c>
      <c r="FN241" s="96">
        <f>IFERROR(VLOOKUP($B241,INDIRECT("'GRD-"&amp;FN$11&amp;"'!B:R"),15,FALSE),"")</f>
        <v/>
      </c>
      <c r="FO241" s="96">
        <f>IFERROR(VLOOKUP($B241,INDIRECT("'GRD-"&amp;FO$11&amp;"'!B:R"),15,FALSE),"")</f>
        <v/>
      </c>
      <c r="FP241" s="96">
        <f>IFERROR(VLOOKUP($B241,INDIRECT("'GRD-"&amp;FP$11&amp;"'!B:R"),15,FALSE),"")</f>
        <v/>
      </c>
      <c r="FQ241" s="96">
        <f>IFERROR(VLOOKUP($B241,INDIRECT("'GRD-"&amp;FQ$11&amp;"'!B:R"),15,FALSE),"")</f>
        <v/>
      </c>
      <c r="FR241" s="96">
        <f>IFERROR(VLOOKUP($B241,INDIRECT("'GRD-"&amp;FR$11&amp;"'!B:R"),15,FALSE),"")</f>
        <v/>
      </c>
      <c r="FS241" s="96">
        <f>IFERROR(VLOOKUP($B241,INDIRECT("'GRD-"&amp;FS$11&amp;"'!B:R"),15,FALSE),"")</f>
        <v/>
      </c>
      <c r="FT241" s="96">
        <f>IFERROR(VLOOKUP($B241,INDIRECT("'GRD-"&amp;FT$11&amp;"'!B:R"),15,FALSE),"")</f>
        <v/>
      </c>
      <c r="FU241" s="96">
        <f>IFERROR(VLOOKUP($B241,INDIRECT("'GRD-"&amp;FU$11&amp;"'!B:R"),15,FALSE),"")</f>
        <v/>
      </c>
      <c r="FV241" s="96">
        <f>IFERROR(VLOOKUP($B241,INDIRECT("'GRD-"&amp;FV$11&amp;"'!B:R"),15,FALSE),"")</f>
        <v/>
      </c>
    </row>
    <row r="242">
      <c r="B242" s="85" t="n"/>
      <c r="C242" s="93" t="n"/>
      <c r="D242" s="73">
        <f>IF(K242="","",MAX($CA242:$FV242))</f>
        <v/>
      </c>
      <c r="E242" s="74">
        <f t="array" ref="E242">IF($K242="","",OFFSET($A$1,ROW($B242)-1,11+$D242*4,))</f>
        <v/>
      </c>
      <c r="F242" s="74">
        <f t="array" ref="F242">IF($K242="","",OFFSET($A$1,ROW($B242)-1,12+$D242*4,))</f>
        <v/>
      </c>
      <c r="G242" s="118">
        <f t="array" ref="G242">IF($K242="","",OFFSET($A$1,ROW($B242)-1,13+$D242*4,))</f>
        <v/>
      </c>
      <c r="H242" s="81" t="n"/>
      <c r="I242" s="82" t="n"/>
      <c r="J242" s="75">
        <f>IF(I242="A4",H242/8,IF(I242="A3",H242/4,IF(I242="A2",H242/2,IF(I242="A1",H242/1,IF(I242="A0",H242*2,"")))))</f>
        <v/>
      </c>
      <c r="K242" s="68">
        <f t="array" ref="K242">IFERROR(OFFSET($BZ$11,ROW($B242)-11,MATCH(K$10,$CA242:$FV242,0),),"")</f>
        <v/>
      </c>
      <c r="L242" s="85">
        <f>IF(K242="","",IF(VLOOKUP($B242,INDIRECT("'GRD-"&amp;M242&amp;"'!$B:$R"),16,FALSE)="","",VLOOKUP($B242,INDIRECT("'GRD-"&amp;M242&amp;"'!$B:$R"),16,FALSE)))</f>
        <v/>
      </c>
      <c r="M242" s="130">
        <f t="array" ref="M242">IF(K242="","",IFERROR(OFFSET($BZ$11,0,MATCH($K242,$CA242:$FV242,0),),""))</f>
        <v/>
      </c>
      <c r="N242" s="119">
        <f t="array" ref="N242">IF(K242="","",INDIRECT("'GRD-"&amp;M242&amp;"'!$L$7"))</f>
        <v/>
      </c>
      <c r="O242" s="76">
        <f t="array" ref="O242">IFERROR(OFFSET($BZ$11,ROW($B242)-11,MATCH(O$10,$CA242:$FV242,0),),"")</f>
        <v/>
      </c>
      <c r="P242" s="76">
        <f>IF(O242="","",IF(VLOOKUP($B242,INDIRECT("'GRD-"&amp;Q242&amp;"'!$B:$R"),16,FALSE)="","",VLOOKUP($B242,INDIRECT("'GRD-"&amp;Q242&amp;"'!$B:$R"),16,FALSE)))</f>
        <v/>
      </c>
      <c r="Q242" s="132">
        <f t="array" ref="Q242">IF(O242="","",IFERROR(OFFSET($BZ$11,0,MATCH($O242,$CA242:$FV242,0),),""))</f>
        <v/>
      </c>
      <c r="R242" s="121">
        <f t="array" ref="R242">IF(O242="","",INDIRECT("'GRD-"&amp;Q242&amp;"'!$L$7"))</f>
        <v/>
      </c>
      <c r="S242" s="83">
        <f t="array" ref="S242">IFERROR(OFFSET($BZ$11,ROW($B242)-11,MATCH(S$10,$CA242:$FV242,0),),"")</f>
        <v/>
      </c>
      <c r="T242" s="83">
        <f>IF(S242="","",IF(VLOOKUP($B242,INDIRECT("'GRD-"&amp;U242&amp;"'!$B:$R"),16,FALSE)="","",VLOOKUP($B242,INDIRECT("'GRD-"&amp;U242&amp;"'!$B:$R"),16,FALSE)))</f>
        <v/>
      </c>
      <c r="U242" s="128">
        <f t="array" ref="U242">IF(S242="","",IFERROR(OFFSET($BZ$11,0,MATCH($S242,$CA242:$FV242,0),),""))</f>
        <v/>
      </c>
      <c r="V242" s="133">
        <f t="array" ref="V242">IF(S242="","",INDIRECT("'GRD-"&amp;U242&amp;"'!$L$7"))</f>
        <v/>
      </c>
      <c r="W242" s="84">
        <f t="array" ref="W242">IFERROR(OFFSET($BZ$11,ROW($B242)-11,MATCH(W$10,$CA242:$FV242,0),),"")</f>
        <v/>
      </c>
      <c r="X242" s="84">
        <f>IF(W242="","",IF(VLOOKUP($B242,INDIRECT("'GRD-"&amp;Y242&amp;"'!$B:$R"),16,FALSE)="","",VLOOKUP($B242,INDIRECT("'GRD-"&amp;Y242&amp;"'!$B:$R"),16,FALSE)))</f>
        <v/>
      </c>
      <c r="Y242" s="129">
        <f t="array" ref="Y242">IF(W242="","",IFERROR(OFFSET($BZ$11,0,MATCH($W242,$CA242:$FV242,0),),""))</f>
        <v/>
      </c>
      <c r="Z242" s="134">
        <f t="array" ref="Z242">IF(W242="","",INDIRECT("'GRD-"&amp;Y242&amp;"'!$L$7"))</f>
        <v/>
      </c>
      <c r="AA242" s="85">
        <f t="array" ref="AA242">IFERROR(OFFSET($BZ$11,ROW($B242)-11,MATCH(AA$10,$CA242:$FV242,0),),"")</f>
        <v/>
      </c>
      <c r="AB242" s="85">
        <f>IF(AA242="","",IF(VLOOKUP($B242,INDIRECT("'GRD-"&amp;AC242&amp;"'!$B:$R"),16,FALSE)="","",VLOOKUP($B242,INDIRECT("'GRD-"&amp;AC242&amp;"'!$B:$R"),16,FALSE)))</f>
        <v/>
      </c>
      <c r="AC242" s="130">
        <f t="array" ref="AC242">IF(AA242="","",IFERROR(OFFSET($BZ$11,0,MATCH($AA242,$CA242:$FV242,0),),""))</f>
        <v/>
      </c>
      <c r="AD242" s="131">
        <f t="array" ref="AD242">IF(AA242="","",INDIRECT("'GRD-"&amp;AC242&amp;"'!$L$7"))</f>
        <v/>
      </c>
      <c r="AE242" s="76">
        <f t="array" ref="AE242">IFERROR(OFFSET($BZ$11,ROW($B242)-11,MATCH(AE$10,$CA242:$FV242,0),),"")</f>
        <v/>
      </c>
      <c r="AF242" s="76">
        <f>IF(AE242="","",IF(VLOOKUP($B242,INDIRECT("'GRD-"&amp;AG242&amp;"'!$B:$R"),16,FALSE)="","",VLOOKUP($B242,INDIRECT("'GRD-"&amp;AG242&amp;"'!$B:$R"),16,FALSE)))</f>
        <v/>
      </c>
      <c r="AG242" s="132">
        <f t="array" ref="AG242">IF(AE242="","",IFERROR(OFFSET($BZ$11,0,MATCH($AE242,$CA242:$FV242,0),),""))</f>
        <v/>
      </c>
      <c r="AH242" s="121">
        <f t="array" ref="AH242">IF(AE242="","",INDIRECT("'GRD-"&amp;AG242&amp;"'!$L$7"))</f>
        <v/>
      </c>
      <c r="AI242" s="83">
        <f t="array" ref="AI242">IFERROR(OFFSET($BZ$11,ROW($B242)-11,MATCH(AI$10,$CA242:$FV242,0),),"")</f>
        <v/>
      </c>
      <c r="AJ242" s="83">
        <f>IF(AI242="","",IF(VLOOKUP($B242,INDIRECT("'GRD-"&amp;AK242&amp;"'!$B:$R"),16,FALSE)="","",VLOOKUP($B242,INDIRECT("'GRD-"&amp;AK242&amp;"'!$B:$R"),16,FALSE)))</f>
        <v/>
      </c>
      <c r="AK242" s="128">
        <f t="array" ref="AK242">IF(AI242="","",IFERROR(OFFSET($BZ$11,0,MATCH($AI242,$CA242:$FV242,0),),""))</f>
        <v/>
      </c>
      <c r="AL242" s="133">
        <f t="array" ref="AL242">IF(AI242="","",INDIRECT("'GRD-"&amp;AK242&amp;"'!$L$7"))</f>
        <v/>
      </c>
      <c r="AM242" s="84">
        <f t="array" ref="AM242">IFERROR(OFFSET($BZ$11,ROW($B242)-11,MATCH(AM$10,$CA242:$FV242,0),),"")</f>
        <v/>
      </c>
      <c r="AN242" s="84">
        <f>IF(AM242="","",IF(VLOOKUP($B242,INDIRECT("'GRD-"&amp;AO242&amp;"'!$B:$R"),16,FALSE)="","",VLOOKUP($B242,INDIRECT("'GRD-"&amp;AO242&amp;"'!$B:$R"),16,FALSE)))</f>
        <v/>
      </c>
      <c r="AO242" s="129">
        <f t="array" ref="AO242">IF(AM242="","",IFERROR(OFFSET($BZ$11,0,MATCH($AM242,$CA242:$FV242,0),),""))</f>
        <v/>
      </c>
      <c r="AP242" s="134">
        <f t="array" ref="AP242">IF(AM242="","",INDIRECT("'GRD-"&amp;AO242&amp;"'!$L$7"))</f>
        <v/>
      </c>
      <c r="AQ242" s="85">
        <f t="array" ref="AQ242">IFERROR(OFFSET($BZ$11,ROW($B242)-11,MATCH(AQ$10,$CA242:$FV242,0),),"")</f>
        <v/>
      </c>
      <c r="AR242" s="85">
        <f>IF(AQ242="","",IF(VLOOKUP($B242,INDIRECT("'GRD-"&amp;AS242&amp;"'!$B:$R"),16,FALSE)="","",VLOOKUP($B242,INDIRECT("'GRD-"&amp;AS242&amp;"'!$B:$R"),16,FALSE)))</f>
        <v/>
      </c>
      <c r="AS242" s="130">
        <f t="array" ref="AS242">IF(AQ242="","",IFERROR(OFFSET($BZ$11,0,MATCH($AQ242,$CA242:$FV242,0),),""))</f>
        <v/>
      </c>
      <c r="AT242" s="131">
        <f t="array" ref="AT242">IF(AQ242="","",INDIRECT("'GRD-"&amp;AS242&amp;"'!$L$7"))</f>
        <v/>
      </c>
      <c r="AU242" s="76">
        <f t="array" ref="AU242">IFERROR(OFFSET($BZ$11,ROW($B242)-11,MATCH(AU$10,$CA242:$FV242,0),),"")</f>
        <v/>
      </c>
      <c r="AV242" s="76">
        <f>IF(AU242="","",IF(VLOOKUP($B242,INDIRECT("'GRD-"&amp;AW242&amp;"'!$B:$R"),16,FALSE)="","",VLOOKUP($B242,INDIRECT("'GRD-"&amp;AW242&amp;"'!$B:$R"),16,FALSE)))</f>
        <v/>
      </c>
      <c r="AW242" s="132">
        <f t="array" ref="AW242">IF(AU242="","",IFERROR(OFFSET($BZ$11,0,MATCH($AU242,$CA242:$FV242,0),),""))</f>
        <v/>
      </c>
      <c r="AX242" s="121">
        <f t="array" ref="AX242">IF(AU242="","",INDIRECT("'GRD-"&amp;AW242&amp;"'!$L$7"))</f>
        <v/>
      </c>
      <c r="AY242" s="83">
        <f t="array" ref="AY242">IFERROR(OFFSET($BZ$11,ROW($B242)-11,MATCH(AY$10,$CA242:$FV242,0),),"")</f>
        <v/>
      </c>
      <c r="AZ242" s="83">
        <f>IF(AY242="","",IF(VLOOKUP($B242,INDIRECT("'GRD-"&amp;BA242&amp;"'!$B:$R"),16,FALSE)="","",VLOOKUP($B242,INDIRECT("'GRD-"&amp;BA242&amp;"'!$B:$R"),16,FALSE)))</f>
        <v/>
      </c>
      <c r="BA242" s="128">
        <f t="array" ref="BA242">IF(AY242="","",IFERROR(OFFSET($BZ$11,0,MATCH($AY242,$CA242:$FV242,0),),""))</f>
        <v/>
      </c>
      <c r="BB242" s="133">
        <f t="array" ref="BB242">IF(AY242="","",INDIRECT("'GRD-"&amp;BA242&amp;"'!$L$7"))</f>
        <v/>
      </c>
      <c r="BC242" s="84">
        <f t="array" ref="BC242">IFERROR(OFFSET($BZ$11,ROW($B242)-11,MATCH(BC$10,$CA242:$FV242,0),),"")</f>
        <v/>
      </c>
      <c r="BD242" s="84">
        <f>IF(BC242="","",IF(VLOOKUP($B242,INDIRECT("'GRD-"&amp;BE242&amp;"'!$B:$R"),16,FALSE)="","",VLOOKUP($B242,INDIRECT("'GRD-"&amp;BE242&amp;"'!$B:$R"),16,FALSE)))</f>
        <v/>
      </c>
      <c r="BE242" s="129">
        <f t="array" ref="BE242">IF(BC242="","",IFERROR(OFFSET($BZ$11,0,MATCH($BC242,$CA242:$FV242,0),),""))</f>
        <v/>
      </c>
      <c r="BF242" s="134">
        <f t="array" ref="BF242">IF(BC242="","",INDIRECT("'GRD-"&amp;BE242&amp;"'!$L$7"))</f>
        <v/>
      </c>
      <c r="CA242" s="96">
        <f>IFERROR(VLOOKUP($B242,INDIRECT("'GRD-"&amp;CA$11&amp;"'!B:R"),15,FALSE),"")</f>
        <v/>
      </c>
      <c r="CB242" s="96">
        <f>IFERROR(VLOOKUP($B242,INDIRECT("'GRD-"&amp;CB$11&amp;"'!B:R"),15,FALSE),"")</f>
        <v/>
      </c>
      <c r="CC242" s="96">
        <f>IFERROR(VLOOKUP($B242,INDIRECT("'GRD-"&amp;CC$11&amp;"'!B:R"),15,FALSE),"")</f>
        <v/>
      </c>
      <c r="CD242" s="96">
        <f>IFERROR(VLOOKUP($B242,INDIRECT("'GRD-"&amp;CD$11&amp;"'!B:R"),15,FALSE),"")</f>
        <v/>
      </c>
      <c r="CE242" s="96">
        <f>IFERROR(VLOOKUP($B242,INDIRECT("'GRD-"&amp;CE$11&amp;"'!B:R"),15,FALSE),"")</f>
        <v/>
      </c>
      <c r="CF242" s="96">
        <f>IFERROR(VLOOKUP($B242,INDIRECT("'GRD-"&amp;CF$11&amp;"'!B:R"),15,FALSE),"")</f>
        <v/>
      </c>
      <c r="CG242" s="96">
        <f>IFERROR(VLOOKUP($B242,INDIRECT("'GRD-"&amp;CG$11&amp;"'!B:R"),15,FALSE),"")</f>
        <v/>
      </c>
      <c r="CH242" s="96">
        <f>IFERROR(VLOOKUP($B242,INDIRECT("'GRD-"&amp;CH$11&amp;"'!B:R"),15,FALSE),"")</f>
        <v/>
      </c>
      <c r="CI242" s="96">
        <f>IFERROR(VLOOKUP($B242,INDIRECT("'GRD-"&amp;CI$11&amp;"'!B:R"),15,FALSE),"")</f>
        <v/>
      </c>
      <c r="CJ242" s="96">
        <f>IFERROR(VLOOKUP($B242,INDIRECT("'GRD-"&amp;CJ$11&amp;"'!B:R"),15,FALSE),"")</f>
        <v/>
      </c>
      <c r="CK242" s="96">
        <f>IFERROR(VLOOKUP($B242,INDIRECT("'GRD-"&amp;CK$11&amp;"'!B:R"),15,FALSE),"")</f>
        <v/>
      </c>
      <c r="CL242" s="96">
        <f>IFERROR(VLOOKUP($B242,INDIRECT("'GRD-"&amp;CL$11&amp;"'!B:R"),15,FALSE),"")</f>
        <v/>
      </c>
      <c r="CM242" s="96">
        <f>IFERROR(VLOOKUP($B242,INDIRECT("'GRD-"&amp;CM$11&amp;"'!B:R"),15,FALSE),"")</f>
        <v/>
      </c>
      <c r="CN242" s="96">
        <f>IFERROR(VLOOKUP($B242,INDIRECT("'GRD-"&amp;CN$11&amp;"'!B:R"),15,FALSE),"")</f>
        <v/>
      </c>
      <c r="CO242" s="96">
        <f>IFERROR(VLOOKUP($B242,INDIRECT("'GRD-"&amp;CO$11&amp;"'!B:R"),15,FALSE),"")</f>
        <v/>
      </c>
      <c r="CP242" s="96">
        <f>IFERROR(VLOOKUP($B242,INDIRECT("'GRD-"&amp;CP$11&amp;"'!B:R"),15,FALSE),"")</f>
        <v/>
      </c>
      <c r="CQ242" s="96">
        <f>IFERROR(VLOOKUP($B242,INDIRECT("'GRD-"&amp;CQ$11&amp;"'!B:R"),15,FALSE),"")</f>
        <v/>
      </c>
      <c r="CR242" s="96">
        <f>IFERROR(VLOOKUP($B242,INDIRECT("'GRD-"&amp;CR$11&amp;"'!B:R"),15,FALSE),"")</f>
        <v/>
      </c>
      <c r="CS242" s="96">
        <f>IFERROR(VLOOKUP($B242,INDIRECT("'GRD-"&amp;CS$11&amp;"'!B:R"),15,FALSE),"")</f>
        <v/>
      </c>
      <c r="CT242" s="96">
        <f>IFERROR(VLOOKUP($B242,INDIRECT("'GRD-"&amp;CT$11&amp;"'!B:R"),15,FALSE),"")</f>
        <v/>
      </c>
      <c r="CU242" s="96">
        <f>IFERROR(VLOOKUP($B242,INDIRECT("'GRD-"&amp;CU$11&amp;"'!B:R"),15,FALSE),"")</f>
        <v/>
      </c>
      <c r="CV242" s="96">
        <f>IFERROR(VLOOKUP($B242,INDIRECT("'GRD-"&amp;CV$11&amp;"'!B:R"),15,FALSE),"")</f>
        <v/>
      </c>
      <c r="CW242" s="96">
        <f>IFERROR(VLOOKUP($B242,INDIRECT("'GRD-"&amp;CW$11&amp;"'!B:R"),15,FALSE),"")</f>
        <v/>
      </c>
      <c r="CX242" s="96">
        <f>IFERROR(VLOOKUP($B242,INDIRECT("'GRD-"&amp;CX$11&amp;"'!B:R"),15,FALSE),"")</f>
        <v/>
      </c>
      <c r="CY242" s="96">
        <f>IFERROR(VLOOKUP($B242,INDIRECT("'GRD-"&amp;CY$11&amp;"'!B:R"),15,FALSE),"")</f>
        <v/>
      </c>
      <c r="CZ242" s="96">
        <f>IFERROR(VLOOKUP($B242,INDIRECT("'GRD-"&amp;CZ$11&amp;"'!B:R"),15,FALSE),"")</f>
        <v/>
      </c>
      <c r="DA242" s="96">
        <f>IFERROR(VLOOKUP($B242,INDIRECT("'GRD-"&amp;DA$11&amp;"'!B:R"),15,FALSE),"")</f>
        <v/>
      </c>
      <c r="DB242" s="96">
        <f>IFERROR(VLOOKUP($B242,INDIRECT("'GRD-"&amp;DB$11&amp;"'!B:R"),15,FALSE),"")</f>
        <v/>
      </c>
      <c r="DC242" s="96">
        <f>IFERROR(VLOOKUP($B242,INDIRECT("'GRD-"&amp;DC$11&amp;"'!B:R"),15,FALSE),"")</f>
        <v/>
      </c>
      <c r="DD242" s="96">
        <f>IFERROR(VLOOKUP($B242,INDIRECT("'GRD-"&amp;DD$11&amp;"'!B:R"),15,FALSE),"")</f>
        <v/>
      </c>
      <c r="DE242" s="96">
        <f>IFERROR(VLOOKUP($B242,INDIRECT("'GRD-"&amp;DE$11&amp;"'!B:R"),15,FALSE),"")</f>
        <v/>
      </c>
      <c r="DF242" s="96">
        <f>IFERROR(VLOOKUP($B242,INDIRECT("'GRD-"&amp;DF$11&amp;"'!B:R"),15,FALSE),"")</f>
        <v/>
      </c>
      <c r="DG242" s="96">
        <f>IFERROR(VLOOKUP($B242,INDIRECT("'GRD-"&amp;DG$11&amp;"'!B:R"),15,FALSE),"")</f>
        <v/>
      </c>
      <c r="DH242" s="96">
        <f>IFERROR(VLOOKUP($B242,INDIRECT("'GRD-"&amp;DH$11&amp;"'!B:R"),15,FALSE),"")</f>
        <v/>
      </c>
      <c r="DI242" s="96">
        <f>IFERROR(VLOOKUP($B242,INDIRECT("'GRD-"&amp;DI$11&amp;"'!B:R"),15,FALSE),"")</f>
        <v/>
      </c>
      <c r="DJ242" s="96">
        <f>IFERROR(VLOOKUP($B242,INDIRECT("'GRD-"&amp;DJ$11&amp;"'!B:R"),15,FALSE),"")</f>
        <v/>
      </c>
      <c r="DK242" s="96">
        <f>IFERROR(VLOOKUP($B242,INDIRECT("'GRD-"&amp;DK$11&amp;"'!B:R"),15,FALSE),"")</f>
        <v/>
      </c>
      <c r="DL242" s="96">
        <f>IFERROR(VLOOKUP($B242,INDIRECT("'GRD-"&amp;DL$11&amp;"'!B:R"),15,FALSE),"")</f>
        <v/>
      </c>
      <c r="DM242" s="96">
        <f>IFERROR(VLOOKUP($B242,INDIRECT("'GRD-"&amp;DM$11&amp;"'!B:R"),15,FALSE),"")</f>
        <v/>
      </c>
      <c r="DN242" s="96">
        <f>IFERROR(VLOOKUP($B242,INDIRECT("'GRD-"&amp;DN$11&amp;"'!B:R"),15,FALSE),"")</f>
        <v/>
      </c>
      <c r="DO242" s="96">
        <f>IFERROR(VLOOKUP($B242,INDIRECT("'GRD-"&amp;DO$11&amp;"'!B:R"),15,FALSE),"")</f>
        <v/>
      </c>
      <c r="DP242" s="96">
        <f>IFERROR(VLOOKUP($B242,INDIRECT("'GRD-"&amp;DP$11&amp;"'!B:R"),15,FALSE),"")</f>
        <v/>
      </c>
      <c r="DQ242" s="96">
        <f>IFERROR(VLOOKUP($B242,INDIRECT("'GRD-"&amp;DQ$11&amp;"'!B:R"),15,FALSE),"")</f>
        <v/>
      </c>
      <c r="DR242" s="96">
        <f>IFERROR(VLOOKUP($B242,INDIRECT("'GRD-"&amp;DR$11&amp;"'!B:R"),15,FALSE),"")</f>
        <v/>
      </c>
      <c r="DS242" s="96">
        <f>IFERROR(VLOOKUP($B242,INDIRECT("'GRD-"&amp;DS$11&amp;"'!B:R"),15,FALSE),"")</f>
        <v/>
      </c>
      <c r="DT242" s="96">
        <f>IFERROR(VLOOKUP($B242,INDIRECT("'GRD-"&amp;DT$11&amp;"'!B:R"),15,FALSE),"")</f>
        <v/>
      </c>
      <c r="DU242" s="96">
        <f>IFERROR(VLOOKUP($B242,INDIRECT("'GRD-"&amp;DU$11&amp;"'!B:R"),15,FALSE),"")</f>
        <v/>
      </c>
      <c r="DV242" s="96">
        <f>IFERROR(VLOOKUP($B242,INDIRECT("'GRD-"&amp;DV$11&amp;"'!B:R"),15,FALSE),"")</f>
        <v/>
      </c>
      <c r="DW242" s="96">
        <f>IFERROR(VLOOKUP($B242,INDIRECT("'GRD-"&amp;DW$11&amp;"'!B:R"),15,FALSE),"")</f>
        <v/>
      </c>
      <c r="DX242" s="96">
        <f>IFERROR(VLOOKUP($B242,INDIRECT("'GRD-"&amp;DX$11&amp;"'!B:R"),15,FALSE),"")</f>
        <v/>
      </c>
      <c r="DY242" s="96">
        <f>IFERROR(VLOOKUP($B242,INDIRECT("'GRD-"&amp;DY$11&amp;"'!B:R"),15,FALSE),"")</f>
        <v/>
      </c>
      <c r="DZ242" s="96">
        <f>IFERROR(VLOOKUP($B242,INDIRECT("'GRD-"&amp;DZ$11&amp;"'!B:R"),15,FALSE),"")</f>
        <v/>
      </c>
      <c r="EA242" s="96">
        <f>IFERROR(VLOOKUP($B242,INDIRECT("'GRD-"&amp;EA$11&amp;"'!B:R"),15,FALSE),"")</f>
        <v/>
      </c>
      <c r="EB242" s="96">
        <f>IFERROR(VLOOKUP($B242,INDIRECT("'GRD-"&amp;EB$11&amp;"'!B:R"),15,FALSE),"")</f>
        <v/>
      </c>
      <c r="EC242" s="96">
        <f>IFERROR(VLOOKUP($B242,INDIRECT("'GRD-"&amp;EC$11&amp;"'!B:R"),15,FALSE),"")</f>
        <v/>
      </c>
      <c r="ED242" s="96">
        <f>IFERROR(VLOOKUP($B242,INDIRECT("'GRD-"&amp;ED$11&amp;"'!B:R"),15,FALSE),"")</f>
        <v/>
      </c>
      <c r="EE242" s="96">
        <f>IFERROR(VLOOKUP($B242,INDIRECT("'GRD-"&amp;EE$11&amp;"'!B:R"),15,FALSE),"")</f>
        <v/>
      </c>
      <c r="EF242" s="96">
        <f>IFERROR(VLOOKUP($B242,INDIRECT("'GRD-"&amp;EF$11&amp;"'!B:R"),15,FALSE),"")</f>
        <v/>
      </c>
      <c r="EG242" s="96">
        <f>IFERROR(VLOOKUP($B242,INDIRECT("'GRD-"&amp;EG$11&amp;"'!B:R"),15,FALSE),"")</f>
        <v/>
      </c>
      <c r="EH242" s="96">
        <f>IFERROR(VLOOKUP($B242,INDIRECT("'GRD-"&amp;EH$11&amp;"'!B:R"),15,FALSE),"")</f>
        <v/>
      </c>
      <c r="EI242" s="96">
        <f>IFERROR(VLOOKUP($B242,INDIRECT("'GRD-"&amp;EI$11&amp;"'!B:R"),15,FALSE),"")</f>
        <v/>
      </c>
      <c r="EJ242" s="96">
        <f>IFERROR(VLOOKUP($B242,INDIRECT("'GRD-"&amp;EJ$11&amp;"'!B:R"),15,FALSE),"")</f>
        <v/>
      </c>
      <c r="EK242" s="96">
        <f>IFERROR(VLOOKUP($B242,INDIRECT("'GRD-"&amp;EK$11&amp;"'!B:R"),15,FALSE),"")</f>
        <v/>
      </c>
      <c r="EL242" s="96">
        <f>IFERROR(VLOOKUP($B242,INDIRECT("'GRD-"&amp;EL$11&amp;"'!B:R"),15,FALSE),"")</f>
        <v/>
      </c>
      <c r="EM242" s="96">
        <f>IFERROR(VLOOKUP($B242,INDIRECT("'GRD-"&amp;EM$11&amp;"'!B:R"),15,FALSE),"")</f>
        <v/>
      </c>
      <c r="EN242" s="96">
        <f>IFERROR(VLOOKUP($B242,INDIRECT("'GRD-"&amp;EN$11&amp;"'!B:R"),15,FALSE),"")</f>
        <v/>
      </c>
      <c r="EO242" s="96">
        <f>IFERROR(VLOOKUP($B242,INDIRECT("'GRD-"&amp;EO$11&amp;"'!B:R"),15,FALSE),"")</f>
        <v/>
      </c>
      <c r="EP242" s="96">
        <f>IFERROR(VLOOKUP($B242,INDIRECT("'GRD-"&amp;EP$11&amp;"'!B:R"),15,FALSE),"")</f>
        <v/>
      </c>
      <c r="EQ242" s="96">
        <f>IFERROR(VLOOKUP($B242,INDIRECT("'GRD-"&amp;EQ$11&amp;"'!B:R"),15,FALSE),"")</f>
        <v/>
      </c>
      <c r="ER242" s="96">
        <f>IFERROR(VLOOKUP($B242,INDIRECT("'GRD-"&amp;ER$11&amp;"'!B:R"),15,FALSE),"")</f>
        <v/>
      </c>
      <c r="ES242" s="96">
        <f>IFERROR(VLOOKUP($B242,INDIRECT("'GRD-"&amp;ES$11&amp;"'!B:R"),15,FALSE),"")</f>
        <v/>
      </c>
      <c r="ET242" s="96">
        <f>IFERROR(VLOOKUP($B242,INDIRECT("'GRD-"&amp;ET$11&amp;"'!B:R"),15,FALSE),"")</f>
        <v/>
      </c>
      <c r="EU242" s="96">
        <f>IFERROR(VLOOKUP($B242,INDIRECT("'GRD-"&amp;EU$11&amp;"'!B:R"),15,FALSE),"")</f>
        <v/>
      </c>
      <c r="EV242" s="96">
        <f>IFERROR(VLOOKUP($B242,INDIRECT("'GRD-"&amp;EV$11&amp;"'!B:R"),15,FALSE),"")</f>
        <v/>
      </c>
      <c r="EW242" s="96">
        <f>IFERROR(VLOOKUP($B242,INDIRECT("'GRD-"&amp;EW$11&amp;"'!B:R"),15,FALSE),"")</f>
        <v/>
      </c>
      <c r="EX242" s="96">
        <f>IFERROR(VLOOKUP($B242,INDIRECT("'GRD-"&amp;EX$11&amp;"'!B:R"),15,FALSE),"")</f>
        <v/>
      </c>
      <c r="EY242" s="96">
        <f>IFERROR(VLOOKUP($B242,INDIRECT("'GRD-"&amp;EY$11&amp;"'!B:R"),15,FALSE),"")</f>
        <v/>
      </c>
      <c r="EZ242" s="96">
        <f>IFERROR(VLOOKUP($B242,INDIRECT("'GRD-"&amp;EZ$11&amp;"'!B:R"),15,FALSE),"")</f>
        <v/>
      </c>
      <c r="FA242" s="96">
        <f>IFERROR(VLOOKUP($B242,INDIRECT("'GRD-"&amp;FA$11&amp;"'!B:R"),15,FALSE),"")</f>
        <v/>
      </c>
      <c r="FB242" s="96">
        <f>IFERROR(VLOOKUP($B242,INDIRECT("'GRD-"&amp;FB$11&amp;"'!B:R"),15,FALSE),"")</f>
        <v/>
      </c>
      <c r="FC242" s="96">
        <f>IFERROR(VLOOKUP($B242,INDIRECT("'GRD-"&amp;FC$11&amp;"'!B:R"),15,FALSE),"")</f>
        <v/>
      </c>
      <c r="FD242" s="96">
        <f>IFERROR(VLOOKUP($B242,INDIRECT("'GRD-"&amp;FD$11&amp;"'!B:R"),15,FALSE),"")</f>
        <v/>
      </c>
      <c r="FE242" s="96">
        <f>IFERROR(VLOOKUP($B242,INDIRECT("'GRD-"&amp;FE$11&amp;"'!B:R"),15,FALSE),"")</f>
        <v/>
      </c>
      <c r="FF242" s="96">
        <f>IFERROR(VLOOKUP($B242,INDIRECT("'GRD-"&amp;FF$11&amp;"'!B:R"),15,FALSE),"")</f>
        <v/>
      </c>
      <c r="FG242" s="96">
        <f>IFERROR(VLOOKUP($B242,INDIRECT("'GRD-"&amp;FG$11&amp;"'!B:R"),15,FALSE),"")</f>
        <v/>
      </c>
      <c r="FH242" s="96">
        <f>IFERROR(VLOOKUP($B242,INDIRECT("'GRD-"&amp;FH$11&amp;"'!B:R"),15,FALSE),"")</f>
        <v/>
      </c>
      <c r="FI242" s="96">
        <f>IFERROR(VLOOKUP($B242,INDIRECT("'GRD-"&amp;FI$11&amp;"'!B:R"),15,FALSE),"")</f>
        <v/>
      </c>
      <c r="FJ242" s="96">
        <f>IFERROR(VLOOKUP($B242,INDIRECT("'GRD-"&amp;FJ$11&amp;"'!B:R"),15,FALSE),"")</f>
        <v/>
      </c>
      <c r="FK242" s="96">
        <f>IFERROR(VLOOKUP($B242,INDIRECT("'GRD-"&amp;FK$11&amp;"'!B:R"),15,FALSE),"")</f>
        <v/>
      </c>
      <c r="FL242" s="96">
        <f>IFERROR(VLOOKUP($B242,INDIRECT("'GRD-"&amp;FL$11&amp;"'!B:R"),15,FALSE),"")</f>
        <v/>
      </c>
      <c r="FM242" s="96">
        <f>IFERROR(VLOOKUP($B242,INDIRECT("'GRD-"&amp;FM$11&amp;"'!B:R"),15,FALSE),"")</f>
        <v/>
      </c>
      <c r="FN242" s="96">
        <f>IFERROR(VLOOKUP($B242,INDIRECT("'GRD-"&amp;FN$11&amp;"'!B:R"),15,FALSE),"")</f>
        <v/>
      </c>
      <c r="FO242" s="96">
        <f>IFERROR(VLOOKUP($B242,INDIRECT("'GRD-"&amp;FO$11&amp;"'!B:R"),15,FALSE),"")</f>
        <v/>
      </c>
      <c r="FP242" s="96">
        <f>IFERROR(VLOOKUP($B242,INDIRECT("'GRD-"&amp;FP$11&amp;"'!B:R"),15,FALSE),"")</f>
        <v/>
      </c>
      <c r="FQ242" s="96">
        <f>IFERROR(VLOOKUP($B242,INDIRECT("'GRD-"&amp;FQ$11&amp;"'!B:R"),15,FALSE),"")</f>
        <v/>
      </c>
      <c r="FR242" s="96">
        <f>IFERROR(VLOOKUP($B242,INDIRECT("'GRD-"&amp;FR$11&amp;"'!B:R"),15,FALSE),"")</f>
        <v/>
      </c>
      <c r="FS242" s="96">
        <f>IFERROR(VLOOKUP($B242,INDIRECT("'GRD-"&amp;FS$11&amp;"'!B:R"),15,FALSE),"")</f>
        <v/>
      </c>
      <c r="FT242" s="96">
        <f>IFERROR(VLOOKUP($B242,INDIRECT("'GRD-"&amp;FT$11&amp;"'!B:R"),15,FALSE),"")</f>
        <v/>
      </c>
      <c r="FU242" s="96">
        <f>IFERROR(VLOOKUP($B242,INDIRECT("'GRD-"&amp;FU$11&amp;"'!B:R"),15,FALSE),"")</f>
        <v/>
      </c>
      <c r="FV242" s="96">
        <f>IFERROR(VLOOKUP($B242,INDIRECT("'GRD-"&amp;FV$11&amp;"'!B:R"),15,FALSE),"")</f>
        <v/>
      </c>
    </row>
    <row r="243">
      <c r="B243" s="85" t="n"/>
      <c r="C243" s="93" t="n"/>
      <c r="D243" s="73">
        <f>IF(K243="","",MAX($CA243:$FV243))</f>
        <v/>
      </c>
      <c r="E243" s="74">
        <f t="array" ref="E243">IF($K243="","",OFFSET($A$1,ROW($B243)-1,11+$D243*4,))</f>
        <v/>
      </c>
      <c r="F243" s="74">
        <f t="array" ref="F243">IF($K243="","",OFFSET($A$1,ROW($B243)-1,12+$D243*4,))</f>
        <v/>
      </c>
      <c r="G243" s="118">
        <f t="array" ref="G243">IF($K243="","",OFFSET($A$1,ROW($B243)-1,13+$D243*4,))</f>
        <v/>
      </c>
      <c r="H243" s="81" t="n"/>
      <c r="I243" s="82" t="n"/>
      <c r="J243" s="75">
        <f>IF(I243="A4",H243/8,IF(I243="A3",H243/4,IF(I243="A2",H243/2,IF(I243="A1",H243/1,IF(I243="A0",H243*2,"")))))</f>
        <v/>
      </c>
      <c r="K243" s="68">
        <f t="array" ref="K243">IFERROR(OFFSET($BZ$11,ROW($B243)-11,MATCH(K$10,$CA243:$FV243,0),),"")</f>
        <v/>
      </c>
      <c r="L243" s="85">
        <f>IF(K243="","",IF(VLOOKUP($B243,INDIRECT("'GRD-"&amp;M243&amp;"'!$B:$R"),16,FALSE)="","",VLOOKUP($B243,INDIRECT("'GRD-"&amp;M243&amp;"'!$B:$R"),16,FALSE)))</f>
        <v/>
      </c>
      <c r="M243" s="130">
        <f t="array" ref="M243">IF(K243="","",IFERROR(OFFSET($BZ$11,0,MATCH($K243,$CA243:$FV243,0),),""))</f>
        <v/>
      </c>
      <c r="N243" s="119">
        <f t="array" ref="N243">IF(K243="","",INDIRECT("'GRD-"&amp;M243&amp;"'!$L$7"))</f>
        <v/>
      </c>
      <c r="O243" s="76">
        <f t="array" ref="O243">IFERROR(OFFSET($BZ$11,ROW($B243)-11,MATCH(O$10,$CA243:$FV243,0),),"")</f>
        <v/>
      </c>
      <c r="P243" s="76">
        <f>IF(O243="","",IF(VLOOKUP($B243,INDIRECT("'GRD-"&amp;Q243&amp;"'!$B:$R"),16,FALSE)="","",VLOOKUP($B243,INDIRECT("'GRD-"&amp;Q243&amp;"'!$B:$R"),16,FALSE)))</f>
        <v/>
      </c>
      <c r="Q243" s="132">
        <f t="array" ref="Q243">IF(O243="","",IFERROR(OFFSET($BZ$11,0,MATCH($O243,$CA243:$FV243,0),),""))</f>
        <v/>
      </c>
      <c r="R243" s="121">
        <f t="array" ref="R243">IF(O243="","",INDIRECT("'GRD-"&amp;Q243&amp;"'!$L$7"))</f>
        <v/>
      </c>
      <c r="S243" s="83">
        <f t="array" ref="S243">IFERROR(OFFSET($BZ$11,ROW($B243)-11,MATCH(S$10,$CA243:$FV243,0),),"")</f>
        <v/>
      </c>
      <c r="T243" s="83">
        <f>IF(S243="","",IF(VLOOKUP($B243,INDIRECT("'GRD-"&amp;U243&amp;"'!$B:$R"),16,FALSE)="","",VLOOKUP($B243,INDIRECT("'GRD-"&amp;U243&amp;"'!$B:$R"),16,FALSE)))</f>
        <v/>
      </c>
      <c r="U243" s="128">
        <f t="array" ref="U243">IF(S243="","",IFERROR(OFFSET($BZ$11,0,MATCH($S243,$CA243:$FV243,0),),""))</f>
        <v/>
      </c>
      <c r="V243" s="133">
        <f t="array" ref="V243">IF(S243="","",INDIRECT("'GRD-"&amp;U243&amp;"'!$L$7"))</f>
        <v/>
      </c>
      <c r="W243" s="84">
        <f t="array" ref="W243">IFERROR(OFFSET($BZ$11,ROW($B243)-11,MATCH(W$10,$CA243:$FV243,0),),"")</f>
        <v/>
      </c>
      <c r="X243" s="84">
        <f>IF(W243="","",IF(VLOOKUP($B243,INDIRECT("'GRD-"&amp;Y243&amp;"'!$B:$R"),16,FALSE)="","",VLOOKUP($B243,INDIRECT("'GRD-"&amp;Y243&amp;"'!$B:$R"),16,FALSE)))</f>
        <v/>
      </c>
      <c r="Y243" s="129">
        <f t="array" ref="Y243">IF(W243="","",IFERROR(OFFSET($BZ$11,0,MATCH($W243,$CA243:$FV243,0),),""))</f>
        <v/>
      </c>
      <c r="Z243" s="134">
        <f t="array" ref="Z243">IF(W243="","",INDIRECT("'GRD-"&amp;Y243&amp;"'!$L$7"))</f>
        <v/>
      </c>
      <c r="AA243" s="85">
        <f t="array" ref="AA243">IFERROR(OFFSET($BZ$11,ROW($B243)-11,MATCH(AA$10,$CA243:$FV243,0),),"")</f>
        <v/>
      </c>
      <c r="AB243" s="85">
        <f>IF(AA243="","",IF(VLOOKUP($B243,INDIRECT("'GRD-"&amp;AC243&amp;"'!$B:$R"),16,FALSE)="","",VLOOKUP($B243,INDIRECT("'GRD-"&amp;AC243&amp;"'!$B:$R"),16,FALSE)))</f>
        <v/>
      </c>
      <c r="AC243" s="130">
        <f t="array" ref="AC243">IF(AA243="","",IFERROR(OFFSET($BZ$11,0,MATCH($AA243,$CA243:$FV243,0),),""))</f>
        <v/>
      </c>
      <c r="AD243" s="131">
        <f t="array" ref="AD243">IF(AA243="","",INDIRECT("'GRD-"&amp;AC243&amp;"'!$L$7"))</f>
        <v/>
      </c>
      <c r="AE243" s="76">
        <f t="array" ref="AE243">IFERROR(OFFSET($BZ$11,ROW($B243)-11,MATCH(AE$10,$CA243:$FV243,0),),"")</f>
        <v/>
      </c>
      <c r="AF243" s="76">
        <f>IF(AE243="","",IF(VLOOKUP($B243,INDIRECT("'GRD-"&amp;AG243&amp;"'!$B:$R"),16,FALSE)="","",VLOOKUP($B243,INDIRECT("'GRD-"&amp;AG243&amp;"'!$B:$R"),16,FALSE)))</f>
        <v/>
      </c>
      <c r="AG243" s="132">
        <f t="array" ref="AG243">IF(AE243="","",IFERROR(OFFSET($BZ$11,0,MATCH($AE243,$CA243:$FV243,0),),""))</f>
        <v/>
      </c>
      <c r="AH243" s="121">
        <f t="array" ref="AH243">IF(AE243="","",INDIRECT("'GRD-"&amp;AG243&amp;"'!$L$7"))</f>
        <v/>
      </c>
      <c r="AI243" s="83">
        <f t="array" ref="AI243">IFERROR(OFFSET($BZ$11,ROW($B243)-11,MATCH(AI$10,$CA243:$FV243,0),),"")</f>
        <v/>
      </c>
      <c r="AJ243" s="83">
        <f>IF(AI243="","",IF(VLOOKUP($B243,INDIRECT("'GRD-"&amp;AK243&amp;"'!$B:$R"),16,FALSE)="","",VLOOKUP($B243,INDIRECT("'GRD-"&amp;AK243&amp;"'!$B:$R"),16,FALSE)))</f>
        <v/>
      </c>
      <c r="AK243" s="128">
        <f t="array" ref="AK243">IF(AI243="","",IFERROR(OFFSET($BZ$11,0,MATCH($AI243,$CA243:$FV243,0),),""))</f>
        <v/>
      </c>
      <c r="AL243" s="133">
        <f t="array" ref="AL243">IF(AI243="","",INDIRECT("'GRD-"&amp;AK243&amp;"'!$L$7"))</f>
        <v/>
      </c>
      <c r="AM243" s="84">
        <f t="array" ref="AM243">IFERROR(OFFSET($BZ$11,ROW($B243)-11,MATCH(AM$10,$CA243:$FV243,0),),"")</f>
        <v/>
      </c>
      <c r="AN243" s="84">
        <f>IF(AM243="","",IF(VLOOKUP($B243,INDIRECT("'GRD-"&amp;AO243&amp;"'!$B:$R"),16,FALSE)="","",VLOOKUP($B243,INDIRECT("'GRD-"&amp;AO243&amp;"'!$B:$R"),16,FALSE)))</f>
        <v/>
      </c>
      <c r="AO243" s="129">
        <f t="array" ref="AO243">IF(AM243="","",IFERROR(OFFSET($BZ$11,0,MATCH($AM243,$CA243:$FV243,0),),""))</f>
        <v/>
      </c>
      <c r="AP243" s="134">
        <f t="array" ref="AP243">IF(AM243="","",INDIRECT("'GRD-"&amp;AO243&amp;"'!$L$7"))</f>
        <v/>
      </c>
      <c r="AQ243" s="85">
        <f t="array" ref="AQ243">IFERROR(OFFSET($BZ$11,ROW($B243)-11,MATCH(AQ$10,$CA243:$FV243,0),),"")</f>
        <v/>
      </c>
      <c r="AR243" s="85">
        <f>IF(AQ243="","",IF(VLOOKUP($B243,INDIRECT("'GRD-"&amp;AS243&amp;"'!$B:$R"),16,FALSE)="","",VLOOKUP($B243,INDIRECT("'GRD-"&amp;AS243&amp;"'!$B:$R"),16,FALSE)))</f>
        <v/>
      </c>
      <c r="AS243" s="130">
        <f t="array" ref="AS243">IF(AQ243="","",IFERROR(OFFSET($BZ$11,0,MATCH($AQ243,$CA243:$FV243,0),),""))</f>
        <v/>
      </c>
      <c r="AT243" s="131">
        <f t="array" ref="AT243">IF(AQ243="","",INDIRECT("'GRD-"&amp;AS243&amp;"'!$L$7"))</f>
        <v/>
      </c>
      <c r="AU243" s="76">
        <f t="array" ref="AU243">IFERROR(OFFSET($BZ$11,ROW($B243)-11,MATCH(AU$10,$CA243:$FV243,0),),"")</f>
        <v/>
      </c>
      <c r="AV243" s="76">
        <f>IF(AU243="","",IF(VLOOKUP($B243,INDIRECT("'GRD-"&amp;AW243&amp;"'!$B:$R"),16,FALSE)="","",VLOOKUP($B243,INDIRECT("'GRD-"&amp;AW243&amp;"'!$B:$R"),16,FALSE)))</f>
        <v/>
      </c>
      <c r="AW243" s="132">
        <f t="array" ref="AW243">IF(AU243="","",IFERROR(OFFSET($BZ$11,0,MATCH($AU243,$CA243:$FV243,0),),""))</f>
        <v/>
      </c>
      <c r="AX243" s="121">
        <f t="array" ref="AX243">IF(AU243="","",INDIRECT("'GRD-"&amp;AW243&amp;"'!$L$7"))</f>
        <v/>
      </c>
      <c r="AY243" s="83">
        <f t="array" ref="AY243">IFERROR(OFFSET($BZ$11,ROW($B243)-11,MATCH(AY$10,$CA243:$FV243,0),),"")</f>
        <v/>
      </c>
      <c r="AZ243" s="83">
        <f>IF(AY243="","",IF(VLOOKUP($B243,INDIRECT("'GRD-"&amp;BA243&amp;"'!$B:$R"),16,FALSE)="","",VLOOKUP($B243,INDIRECT("'GRD-"&amp;BA243&amp;"'!$B:$R"),16,FALSE)))</f>
        <v/>
      </c>
      <c r="BA243" s="128">
        <f t="array" ref="BA243">IF(AY243="","",IFERROR(OFFSET($BZ$11,0,MATCH($AY243,$CA243:$FV243,0),),""))</f>
        <v/>
      </c>
      <c r="BB243" s="133">
        <f t="array" ref="BB243">IF(AY243="","",INDIRECT("'GRD-"&amp;BA243&amp;"'!$L$7"))</f>
        <v/>
      </c>
      <c r="BC243" s="84">
        <f t="array" ref="BC243">IFERROR(OFFSET($BZ$11,ROW($B243)-11,MATCH(BC$10,$CA243:$FV243,0),),"")</f>
        <v/>
      </c>
      <c r="BD243" s="84">
        <f>IF(BC243="","",IF(VLOOKUP($B243,INDIRECT("'GRD-"&amp;BE243&amp;"'!$B:$R"),16,FALSE)="","",VLOOKUP($B243,INDIRECT("'GRD-"&amp;BE243&amp;"'!$B:$R"),16,FALSE)))</f>
        <v/>
      </c>
      <c r="BE243" s="129">
        <f t="array" ref="BE243">IF(BC243="","",IFERROR(OFFSET($BZ$11,0,MATCH($BC243,$CA243:$FV243,0),),""))</f>
        <v/>
      </c>
      <c r="BF243" s="134">
        <f t="array" ref="BF243">IF(BC243="","",INDIRECT("'GRD-"&amp;BE243&amp;"'!$L$7"))</f>
        <v/>
      </c>
      <c r="CA243" s="96">
        <f>IFERROR(VLOOKUP($B243,INDIRECT("'GRD-"&amp;CA$11&amp;"'!B:R"),15,FALSE),"")</f>
        <v/>
      </c>
      <c r="CB243" s="96">
        <f>IFERROR(VLOOKUP($B243,INDIRECT("'GRD-"&amp;CB$11&amp;"'!B:R"),15,FALSE),"")</f>
        <v/>
      </c>
      <c r="CC243" s="96">
        <f>IFERROR(VLOOKUP($B243,INDIRECT("'GRD-"&amp;CC$11&amp;"'!B:R"),15,FALSE),"")</f>
        <v/>
      </c>
      <c r="CD243" s="96">
        <f>IFERROR(VLOOKUP($B243,INDIRECT("'GRD-"&amp;CD$11&amp;"'!B:R"),15,FALSE),"")</f>
        <v/>
      </c>
      <c r="CE243" s="96">
        <f>IFERROR(VLOOKUP($B243,INDIRECT("'GRD-"&amp;CE$11&amp;"'!B:R"),15,FALSE),"")</f>
        <v/>
      </c>
      <c r="CF243" s="96">
        <f>IFERROR(VLOOKUP($B243,INDIRECT("'GRD-"&amp;CF$11&amp;"'!B:R"),15,FALSE),"")</f>
        <v/>
      </c>
      <c r="CG243" s="96">
        <f>IFERROR(VLOOKUP($B243,INDIRECT("'GRD-"&amp;CG$11&amp;"'!B:R"),15,FALSE),"")</f>
        <v/>
      </c>
      <c r="CH243" s="96">
        <f>IFERROR(VLOOKUP($B243,INDIRECT("'GRD-"&amp;CH$11&amp;"'!B:R"),15,FALSE),"")</f>
        <v/>
      </c>
      <c r="CI243" s="96">
        <f>IFERROR(VLOOKUP($B243,INDIRECT("'GRD-"&amp;CI$11&amp;"'!B:R"),15,FALSE),"")</f>
        <v/>
      </c>
      <c r="CJ243" s="96">
        <f>IFERROR(VLOOKUP($B243,INDIRECT("'GRD-"&amp;CJ$11&amp;"'!B:R"),15,FALSE),"")</f>
        <v/>
      </c>
      <c r="CK243" s="96">
        <f>IFERROR(VLOOKUP($B243,INDIRECT("'GRD-"&amp;CK$11&amp;"'!B:R"),15,FALSE),"")</f>
        <v/>
      </c>
      <c r="CL243" s="96">
        <f>IFERROR(VLOOKUP($B243,INDIRECT("'GRD-"&amp;CL$11&amp;"'!B:R"),15,FALSE),"")</f>
        <v/>
      </c>
      <c r="CM243" s="96">
        <f>IFERROR(VLOOKUP($B243,INDIRECT("'GRD-"&amp;CM$11&amp;"'!B:R"),15,FALSE),"")</f>
        <v/>
      </c>
      <c r="CN243" s="96">
        <f>IFERROR(VLOOKUP($B243,INDIRECT("'GRD-"&amp;CN$11&amp;"'!B:R"),15,FALSE),"")</f>
        <v/>
      </c>
      <c r="CO243" s="96">
        <f>IFERROR(VLOOKUP($B243,INDIRECT("'GRD-"&amp;CO$11&amp;"'!B:R"),15,FALSE),"")</f>
        <v/>
      </c>
      <c r="CP243" s="96">
        <f>IFERROR(VLOOKUP($B243,INDIRECT("'GRD-"&amp;CP$11&amp;"'!B:R"),15,FALSE),"")</f>
        <v/>
      </c>
      <c r="CQ243" s="96">
        <f>IFERROR(VLOOKUP($B243,INDIRECT("'GRD-"&amp;CQ$11&amp;"'!B:R"),15,FALSE),"")</f>
        <v/>
      </c>
      <c r="CR243" s="96">
        <f>IFERROR(VLOOKUP($B243,INDIRECT("'GRD-"&amp;CR$11&amp;"'!B:R"),15,FALSE),"")</f>
        <v/>
      </c>
      <c r="CS243" s="96">
        <f>IFERROR(VLOOKUP($B243,INDIRECT("'GRD-"&amp;CS$11&amp;"'!B:R"),15,FALSE),"")</f>
        <v/>
      </c>
      <c r="CT243" s="96">
        <f>IFERROR(VLOOKUP($B243,INDIRECT("'GRD-"&amp;CT$11&amp;"'!B:R"),15,FALSE),"")</f>
        <v/>
      </c>
      <c r="CU243" s="96">
        <f>IFERROR(VLOOKUP($B243,INDIRECT("'GRD-"&amp;CU$11&amp;"'!B:R"),15,FALSE),"")</f>
        <v/>
      </c>
      <c r="CV243" s="96">
        <f>IFERROR(VLOOKUP($B243,INDIRECT("'GRD-"&amp;CV$11&amp;"'!B:R"),15,FALSE),"")</f>
        <v/>
      </c>
      <c r="CW243" s="96">
        <f>IFERROR(VLOOKUP($B243,INDIRECT("'GRD-"&amp;CW$11&amp;"'!B:R"),15,FALSE),"")</f>
        <v/>
      </c>
      <c r="CX243" s="96">
        <f>IFERROR(VLOOKUP($B243,INDIRECT("'GRD-"&amp;CX$11&amp;"'!B:R"),15,FALSE),"")</f>
        <v/>
      </c>
      <c r="CY243" s="96">
        <f>IFERROR(VLOOKUP($B243,INDIRECT("'GRD-"&amp;CY$11&amp;"'!B:R"),15,FALSE),"")</f>
        <v/>
      </c>
      <c r="CZ243" s="96">
        <f>IFERROR(VLOOKUP($B243,INDIRECT("'GRD-"&amp;CZ$11&amp;"'!B:R"),15,FALSE),"")</f>
        <v/>
      </c>
      <c r="DA243" s="96">
        <f>IFERROR(VLOOKUP($B243,INDIRECT("'GRD-"&amp;DA$11&amp;"'!B:R"),15,FALSE),"")</f>
        <v/>
      </c>
      <c r="DB243" s="96">
        <f>IFERROR(VLOOKUP($B243,INDIRECT("'GRD-"&amp;DB$11&amp;"'!B:R"),15,FALSE),"")</f>
        <v/>
      </c>
      <c r="DC243" s="96">
        <f>IFERROR(VLOOKUP($B243,INDIRECT("'GRD-"&amp;DC$11&amp;"'!B:R"),15,FALSE),"")</f>
        <v/>
      </c>
      <c r="DD243" s="96">
        <f>IFERROR(VLOOKUP($B243,INDIRECT("'GRD-"&amp;DD$11&amp;"'!B:R"),15,FALSE),"")</f>
        <v/>
      </c>
      <c r="DE243" s="96">
        <f>IFERROR(VLOOKUP($B243,INDIRECT("'GRD-"&amp;DE$11&amp;"'!B:R"),15,FALSE),"")</f>
        <v/>
      </c>
      <c r="DF243" s="96">
        <f>IFERROR(VLOOKUP($B243,INDIRECT("'GRD-"&amp;DF$11&amp;"'!B:R"),15,FALSE),"")</f>
        <v/>
      </c>
      <c r="DG243" s="96">
        <f>IFERROR(VLOOKUP($B243,INDIRECT("'GRD-"&amp;DG$11&amp;"'!B:R"),15,FALSE),"")</f>
        <v/>
      </c>
      <c r="DH243" s="96">
        <f>IFERROR(VLOOKUP($B243,INDIRECT("'GRD-"&amp;DH$11&amp;"'!B:R"),15,FALSE),"")</f>
        <v/>
      </c>
      <c r="DI243" s="96">
        <f>IFERROR(VLOOKUP($B243,INDIRECT("'GRD-"&amp;DI$11&amp;"'!B:R"),15,FALSE),"")</f>
        <v/>
      </c>
      <c r="DJ243" s="96">
        <f>IFERROR(VLOOKUP($B243,INDIRECT("'GRD-"&amp;DJ$11&amp;"'!B:R"),15,FALSE),"")</f>
        <v/>
      </c>
      <c r="DK243" s="96">
        <f>IFERROR(VLOOKUP($B243,INDIRECT("'GRD-"&amp;DK$11&amp;"'!B:R"),15,FALSE),"")</f>
        <v/>
      </c>
      <c r="DL243" s="96">
        <f>IFERROR(VLOOKUP($B243,INDIRECT("'GRD-"&amp;DL$11&amp;"'!B:R"),15,FALSE),"")</f>
        <v/>
      </c>
      <c r="DM243" s="96">
        <f>IFERROR(VLOOKUP($B243,INDIRECT("'GRD-"&amp;DM$11&amp;"'!B:R"),15,FALSE),"")</f>
        <v/>
      </c>
      <c r="DN243" s="96">
        <f>IFERROR(VLOOKUP($B243,INDIRECT("'GRD-"&amp;DN$11&amp;"'!B:R"),15,FALSE),"")</f>
        <v/>
      </c>
      <c r="DO243" s="96">
        <f>IFERROR(VLOOKUP($B243,INDIRECT("'GRD-"&amp;DO$11&amp;"'!B:R"),15,FALSE),"")</f>
        <v/>
      </c>
      <c r="DP243" s="96">
        <f>IFERROR(VLOOKUP($B243,INDIRECT("'GRD-"&amp;DP$11&amp;"'!B:R"),15,FALSE),"")</f>
        <v/>
      </c>
      <c r="DQ243" s="96">
        <f>IFERROR(VLOOKUP($B243,INDIRECT("'GRD-"&amp;DQ$11&amp;"'!B:R"),15,FALSE),"")</f>
        <v/>
      </c>
      <c r="DR243" s="96">
        <f>IFERROR(VLOOKUP($B243,INDIRECT("'GRD-"&amp;DR$11&amp;"'!B:R"),15,FALSE),"")</f>
        <v/>
      </c>
      <c r="DS243" s="96">
        <f>IFERROR(VLOOKUP($B243,INDIRECT("'GRD-"&amp;DS$11&amp;"'!B:R"),15,FALSE),"")</f>
        <v/>
      </c>
      <c r="DT243" s="96">
        <f>IFERROR(VLOOKUP($B243,INDIRECT("'GRD-"&amp;DT$11&amp;"'!B:R"),15,FALSE),"")</f>
        <v/>
      </c>
      <c r="DU243" s="96">
        <f>IFERROR(VLOOKUP($B243,INDIRECT("'GRD-"&amp;DU$11&amp;"'!B:R"),15,FALSE),"")</f>
        <v/>
      </c>
      <c r="DV243" s="96">
        <f>IFERROR(VLOOKUP($B243,INDIRECT("'GRD-"&amp;DV$11&amp;"'!B:R"),15,FALSE),"")</f>
        <v/>
      </c>
      <c r="DW243" s="96">
        <f>IFERROR(VLOOKUP($B243,INDIRECT("'GRD-"&amp;DW$11&amp;"'!B:R"),15,FALSE),"")</f>
        <v/>
      </c>
      <c r="DX243" s="96">
        <f>IFERROR(VLOOKUP($B243,INDIRECT("'GRD-"&amp;DX$11&amp;"'!B:R"),15,FALSE),"")</f>
        <v/>
      </c>
      <c r="DY243" s="96">
        <f>IFERROR(VLOOKUP($B243,INDIRECT("'GRD-"&amp;DY$11&amp;"'!B:R"),15,FALSE),"")</f>
        <v/>
      </c>
      <c r="DZ243" s="96">
        <f>IFERROR(VLOOKUP($B243,INDIRECT("'GRD-"&amp;DZ$11&amp;"'!B:R"),15,FALSE),"")</f>
        <v/>
      </c>
      <c r="EA243" s="96">
        <f>IFERROR(VLOOKUP($B243,INDIRECT("'GRD-"&amp;EA$11&amp;"'!B:R"),15,FALSE),"")</f>
        <v/>
      </c>
      <c r="EB243" s="96">
        <f>IFERROR(VLOOKUP($B243,INDIRECT("'GRD-"&amp;EB$11&amp;"'!B:R"),15,FALSE),"")</f>
        <v/>
      </c>
      <c r="EC243" s="96">
        <f>IFERROR(VLOOKUP($B243,INDIRECT("'GRD-"&amp;EC$11&amp;"'!B:R"),15,FALSE),"")</f>
        <v/>
      </c>
      <c r="ED243" s="96">
        <f>IFERROR(VLOOKUP($B243,INDIRECT("'GRD-"&amp;ED$11&amp;"'!B:R"),15,FALSE),"")</f>
        <v/>
      </c>
      <c r="EE243" s="96">
        <f>IFERROR(VLOOKUP($B243,INDIRECT("'GRD-"&amp;EE$11&amp;"'!B:R"),15,FALSE),"")</f>
        <v/>
      </c>
      <c r="EF243" s="96">
        <f>IFERROR(VLOOKUP($B243,INDIRECT("'GRD-"&amp;EF$11&amp;"'!B:R"),15,FALSE),"")</f>
        <v/>
      </c>
      <c r="EG243" s="96">
        <f>IFERROR(VLOOKUP($B243,INDIRECT("'GRD-"&amp;EG$11&amp;"'!B:R"),15,FALSE),"")</f>
        <v/>
      </c>
      <c r="EH243" s="96">
        <f>IFERROR(VLOOKUP($B243,INDIRECT("'GRD-"&amp;EH$11&amp;"'!B:R"),15,FALSE),"")</f>
        <v/>
      </c>
      <c r="EI243" s="96">
        <f>IFERROR(VLOOKUP($B243,INDIRECT("'GRD-"&amp;EI$11&amp;"'!B:R"),15,FALSE),"")</f>
        <v/>
      </c>
      <c r="EJ243" s="96">
        <f>IFERROR(VLOOKUP($B243,INDIRECT("'GRD-"&amp;EJ$11&amp;"'!B:R"),15,FALSE),"")</f>
        <v/>
      </c>
      <c r="EK243" s="96">
        <f>IFERROR(VLOOKUP($B243,INDIRECT("'GRD-"&amp;EK$11&amp;"'!B:R"),15,FALSE),"")</f>
        <v/>
      </c>
      <c r="EL243" s="96">
        <f>IFERROR(VLOOKUP($B243,INDIRECT("'GRD-"&amp;EL$11&amp;"'!B:R"),15,FALSE),"")</f>
        <v/>
      </c>
      <c r="EM243" s="96">
        <f>IFERROR(VLOOKUP($B243,INDIRECT("'GRD-"&amp;EM$11&amp;"'!B:R"),15,FALSE),"")</f>
        <v/>
      </c>
      <c r="EN243" s="96">
        <f>IFERROR(VLOOKUP($B243,INDIRECT("'GRD-"&amp;EN$11&amp;"'!B:R"),15,FALSE),"")</f>
        <v/>
      </c>
      <c r="EO243" s="96">
        <f>IFERROR(VLOOKUP($B243,INDIRECT("'GRD-"&amp;EO$11&amp;"'!B:R"),15,FALSE),"")</f>
        <v/>
      </c>
      <c r="EP243" s="96">
        <f>IFERROR(VLOOKUP($B243,INDIRECT("'GRD-"&amp;EP$11&amp;"'!B:R"),15,FALSE),"")</f>
        <v/>
      </c>
      <c r="EQ243" s="96">
        <f>IFERROR(VLOOKUP($B243,INDIRECT("'GRD-"&amp;EQ$11&amp;"'!B:R"),15,FALSE),"")</f>
        <v/>
      </c>
      <c r="ER243" s="96">
        <f>IFERROR(VLOOKUP($B243,INDIRECT("'GRD-"&amp;ER$11&amp;"'!B:R"),15,FALSE),"")</f>
        <v/>
      </c>
      <c r="ES243" s="96">
        <f>IFERROR(VLOOKUP($B243,INDIRECT("'GRD-"&amp;ES$11&amp;"'!B:R"),15,FALSE),"")</f>
        <v/>
      </c>
      <c r="ET243" s="96">
        <f>IFERROR(VLOOKUP($B243,INDIRECT("'GRD-"&amp;ET$11&amp;"'!B:R"),15,FALSE),"")</f>
        <v/>
      </c>
      <c r="EU243" s="96">
        <f>IFERROR(VLOOKUP($B243,INDIRECT("'GRD-"&amp;EU$11&amp;"'!B:R"),15,FALSE),"")</f>
        <v/>
      </c>
      <c r="EV243" s="96">
        <f>IFERROR(VLOOKUP($B243,INDIRECT("'GRD-"&amp;EV$11&amp;"'!B:R"),15,FALSE),"")</f>
        <v/>
      </c>
      <c r="EW243" s="96">
        <f>IFERROR(VLOOKUP($B243,INDIRECT("'GRD-"&amp;EW$11&amp;"'!B:R"),15,FALSE),"")</f>
        <v/>
      </c>
      <c r="EX243" s="96">
        <f>IFERROR(VLOOKUP($B243,INDIRECT("'GRD-"&amp;EX$11&amp;"'!B:R"),15,FALSE),"")</f>
        <v/>
      </c>
      <c r="EY243" s="96">
        <f>IFERROR(VLOOKUP($B243,INDIRECT("'GRD-"&amp;EY$11&amp;"'!B:R"),15,FALSE),"")</f>
        <v/>
      </c>
      <c r="EZ243" s="96">
        <f>IFERROR(VLOOKUP($B243,INDIRECT("'GRD-"&amp;EZ$11&amp;"'!B:R"),15,FALSE),"")</f>
        <v/>
      </c>
      <c r="FA243" s="96">
        <f>IFERROR(VLOOKUP($B243,INDIRECT("'GRD-"&amp;FA$11&amp;"'!B:R"),15,FALSE),"")</f>
        <v/>
      </c>
      <c r="FB243" s="96">
        <f>IFERROR(VLOOKUP($B243,INDIRECT("'GRD-"&amp;FB$11&amp;"'!B:R"),15,FALSE),"")</f>
        <v/>
      </c>
      <c r="FC243" s="96">
        <f>IFERROR(VLOOKUP($B243,INDIRECT("'GRD-"&amp;FC$11&amp;"'!B:R"),15,FALSE),"")</f>
        <v/>
      </c>
      <c r="FD243" s="96">
        <f>IFERROR(VLOOKUP($B243,INDIRECT("'GRD-"&amp;FD$11&amp;"'!B:R"),15,FALSE),"")</f>
        <v/>
      </c>
      <c r="FE243" s="96">
        <f>IFERROR(VLOOKUP($B243,INDIRECT("'GRD-"&amp;FE$11&amp;"'!B:R"),15,FALSE),"")</f>
        <v/>
      </c>
      <c r="FF243" s="96">
        <f>IFERROR(VLOOKUP($B243,INDIRECT("'GRD-"&amp;FF$11&amp;"'!B:R"),15,FALSE),"")</f>
        <v/>
      </c>
      <c r="FG243" s="96">
        <f>IFERROR(VLOOKUP($B243,INDIRECT("'GRD-"&amp;FG$11&amp;"'!B:R"),15,FALSE),"")</f>
        <v/>
      </c>
      <c r="FH243" s="96">
        <f>IFERROR(VLOOKUP($B243,INDIRECT("'GRD-"&amp;FH$11&amp;"'!B:R"),15,FALSE),"")</f>
        <v/>
      </c>
      <c r="FI243" s="96">
        <f>IFERROR(VLOOKUP($B243,INDIRECT("'GRD-"&amp;FI$11&amp;"'!B:R"),15,FALSE),"")</f>
        <v/>
      </c>
      <c r="FJ243" s="96">
        <f>IFERROR(VLOOKUP($B243,INDIRECT("'GRD-"&amp;FJ$11&amp;"'!B:R"),15,FALSE),"")</f>
        <v/>
      </c>
      <c r="FK243" s="96">
        <f>IFERROR(VLOOKUP($B243,INDIRECT("'GRD-"&amp;FK$11&amp;"'!B:R"),15,FALSE),"")</f>
        <v/>
      </c>
      <c r="FL243" s="96">
        <f>IFERROR(VLOOKUP($B243,INDIRECT("'GRD-"&amp;FL$11&amp;"'!B:R"),15,FALSE),"")</f>
        <v/>
      </c>
      <c r="FM243" s="96">
        <f>IFERROR(VLOOKUP($B243,INDIRECT("'GRD-"&amp;FM$11&amp;"'!B:R"),15,FALSE),"")</f>
        <v/>
      </c>
      <c r="FN243" s="96">
        <f>IFERROR(VLOOKUP($B243,INDIRECT("'GRD-"&amp;FN$11&amp;"'!B:R"),15,FALSE),"")</f>
        <v/>
      </c>
      <c r="FO243" s="96">
        <f>IFERROR(VLOOKUP($B243,INDIRECT("'GRD-"&amp;FO$11&amp;"'!B:R"),15,FALSE),"")</f>
        <v/>
      </c>
      <c r="FP243" s="96">
        <f>IFERROR(VLOOKUP($B243,INDIRECT("'GRD-"&amp;FP$11&amp;"'!B:R"),15,FALSE),"")</f>
        <v/>
      </c>
      <c r="FQ243" s="96">
        <f>IFERROR(VLOOKUP($B243,INDIRECT("'GRD-"&amp;FQ$11&amp;"'!B:R"),15,FALSE),"")</f>
        <v/>
      </c>
      <c r="FR243" s="96">
        <f>IFERROR(VLOOKUP($B243,INDIRECT("'GRD-"&amp;FR$11&amp;"'!B:R"),15,FALSE),"")</f>
        <v/>
      </c>
      <c r="FS243" s="96">
        <f>IFERROR(VLOOKUP($B243,INDIRECT("'GRD-"&amp;FS$11&amp;"'!B:R"),15,FALSE),"")</f>
        <v/>
      </c>
      <c r="FT243" s="96">
        <f>IFERROR(VLOOKUP($B243,INDIRECT("'GRD-"&amp;FT$11&amp;"'!B:R"),15,FALSE),"")</f>
        <v/>
      </c>
      <c r="FU243" s="96">
        <f>IFERROR(VLOOKUP($B243,INDIRECT("'GRD-"&amp;FU$11&amp;"'!B:R"),15,FALSE),"")</f>
        <v/>
      </c>
      <c r="FV243" s="96">
        <f>IFERROR(VLOOKUP($B243,INDIRECT("'GRD-"&amp;FV$11&amp;"'!B:R"),15,FALSE),"")</f>
        <v/>
      </c>
    </row>
    <row r="244">
      <c r="B244" s="85" t="n"/>
      <c r="C244" s="93" t="n"/>
      <c r="D244" s="73">
        <f>IF(K244="","",MAX($CA244:$FV244))</f>
        <v/>
      </c>
      <c r="E244" s="74">
        <f t="array" ref="E244">IF($K244="","",OFFSET($A$1,ROW($B244)-1,11+$D244*4,))</f>
        <v/>
      </c>
      <c r="F244" s="74">
        <f t="array" ref="F244">IF($K244="","",OFFSET($A$1,ROW($B244)-1,12+$D244*4,))</f>
        <v/>
      </c>
      <c r="G244" s="118">
        <f t="array" ref="G244">IF($K244="","",OFFSET($A$1,ROW($B244)-1,13+$D244*4,))</f>
        <v/>
      </c>
      <c r="H244" s="81" t="n"/>
      <c r="I244" s="82" t="n"/>
      <c r="J244" s="75">
        <f>IF(I244="A4",H244/8,IF(I244="A3",H244/4,IF(I244="A2",H244/2,IF(I244="A1",H244/1,IF(I244="A0",H244*2,"")))))</f>
        <v/>
      </c>
      <c r="K244" s="68">
        <f t="array" ref="K244">IFERROR(OFFSET($BZ$11,ROW($B244)-11,MATCH(K$10,$CA244:$FV244,0),),"")</f>
        <v/>
      </c>
      <c r="L244" s="85">
        <f>IF(K244="","",IF(VLOOKUP($B244,INDIRECT("'GRD-"&amp;M244&amp;"'!$B:$R"),16,FALSE)="","",VLOOKUP($B244,INDIRECT("'GRD-"&amp;M244&amp;"'!$B:$R"),16,FALSE)))</f>
        <v/>
      </c>
      <c r="M244" s="130">
        <f t="array" ref="M244">IF(K244="","",IFERROR(OFFSET($BZ$11,0,MATCH($K244,$CA244:$FV244,0),),""))</f>
        <v/>
      </c>
      <c r="N244" s="119">
        <f t="array" ref="N244">IF(K244="","",INDIRECT("'GRD-"&amp;M244&amp;"'!$L$7"))</f>
        <v/>
      </c>
      <c r="O244" s="76">
        <f t="array" ref="O244">IFERROR(OFFSET($BZ$11,ROW($B244)-11,MATCH(O$10,$CA244:$FV244,0),),"")</f>
        <v/>
      </c>
      <c r="P244" s="76">
        <f>IF(O244="","",IF(VLOOKUP($B244,INDIRECT("'GRD-"&amp;Q244&amp;"'!$B:$R"),16,FALSE)="","",VLOOKUP($B244,INDIRECT("'GRD-"&amp;Q244&amp;"'!$B:$R"),16,FALSE)))</f>
        <v/>
      </c>
      <c r="Q244" s="132">
        <f t="array" ref="Q244">IF(O244="","",IFERROR(OFFSET($BZ$11,0,MATCH($O244,$CA244:$FV244,0),),""))</f>
        <v/>
      </c>
      <c r="R244" s="121">
        <f t="array" ref="R244">IF(O244="","",INDIRECT("'GRD-"&amp;Q244&amp;"'!$L$7"))</f>
        <v/>
      </c>
      <c r="S244" s="83">
        <f t="array" ref="S244">IFERROR(OFFSET($BZ$11,ROW($B244)-11,MATCH(S$10,$CA244:$FV244,0),),"")</f>
        <v/>
      </c>
      <c r="T244" s="83">
        <f>IF(S244="","",IF(VLOOKUP($B244,INDIRECT("'GRD-"&amp;U244&amp;"'!$B:$R"),16,FALSE)="","",VLOOKUP($B244,INDIRECT("'GRD-"&amp;U244&amp;"'!$B:$R"),16,FALSE)))</f>
        <v/>
      </c>
      <c r="U244" s="128">
        <f t="array" ref="U244">IF(S244="","",IFERROR(OFFSET($BZ$11,0,MATCH($S244,$CA244:$FV244,0),),""))</f>
        <v/>
      </c>
      <c r="V244" s="133">
        <f t="array" ref="V244">IF(S244="","",INDIRECT("'GRD-"&amp;U244&amp;"'!$L$7"))</f>
        <v/>
      </c>
      <c r="W244" s="84">
        <f t="array" ref="W244">IFERROR(OFFSET($BZ$11,ROW($B244)-11,MATCH(W$10,$CA244:$FV244,0),),"")</f>
        <v/>
      </c>
      <c r="X244" s="84">
        <f>IF(W244="","",IF(VLOOKUP($B244,INDIRECT("'GRD-"&amp;Y244&amp;"'!$B:$R"),16,FALSE)="","",VLOOKUP($B244,INDIRECT("'GRD-"&amp;Y244&amp;"'!$B:$R"),16,FALSE)))</f>
        <v/>
      </c>
      <c r="Y244" s="129">
        <f t="array" ref="Y244">IF(W244="","",IFERROR(OFFSET($BZ$11,0,MATCH($W244,$CA244:$FV244,0),),""))</f>
        <v/>
      </c>
      <c r="Z244" s="134">
        <f t="array" ref="Z244">IF(W244="","",INDIRECT("'GRD-"&amp;Y244&amp;"'!$L$7"))</f>
        <v/>
      </c>
      <c r="AA244" s="85">
        <f t="array" ref="AA244">IFERROR(OFFSET($BZ$11,ROW($B244)-11,MATCH(AA$10,$CA244:$FV244,0),),"")</f>
        <v/>
      </c>
      <c r="AB244" s="85">
        <f>IF(AA244="","",IF(VLOOKUP($B244,INDIRECT("'GRD-"&amp;AC244&amp;"'!$B:$R"),16,FALSE)="","",VLOOKUP($B244,INDIRECT("'GRD-"&amp;AC244&amp;"'!$B:$R"),16,FALSE)))</f>
        <v/>
      </c>
      <c r="AC244" s="130">
        <f t="array" ref="AC244">IF(AA244="","",IFERROR(OFFSET($BZ$11,0,MATCH($AA244,$CA244:$FV244,0),),""))</f>
        <v/>
      </c>
      <c r="AD244" s="131">
        <f t="array" ref="AD244">IF(AA244="","",INDIRECT("'GRD-"&amp;AC244&amp;"'!$L$7"))</f>
        <v/>
      </c>
      <c r="AE244" s="76">
        <f t="array" ref="AE244">IFERROR(OFFSET($BZ$11,ROW($B244)-11,MATCH(AE$10,$CA244:$FV244,0),),"")</f>
        <v/>
      </c>
      <c r="AF244" s="76">
        <f>IF(AE244="","",IF(VLOOKUP($B244,INDIRECT("'GRD-"&amp;AG244&amp;"'!$B:$R"),16,FALSE)="","",VLOOKUP($B244,INDIRECT("'GRD-"&amp;AG244&amp;"'!$B:$R"),16,FALSE)))</f>
        <v/>
      </c>
      <c r="AG244" s="132">
        <f t="array" ref="AG244">IF(AE244="","",IFERROR(OFFSET($BZ$11,0,MATCH($AE244,$CA244:$FV244,0),),""))</f>
        <v/>
      </c>
      <c r="AH244" s="121">
        <f t="array" ref="AH244">IF(AE244="","",INDIRECT("'GRD-"&amp;AG244&amp;"'!$L$7"))</f>
        <v/>
      </c>
      <c r="AI244" s="83">
        <f t="array" ref="AI244">IFERROR(OFFSET($BZ$11,ROW($B244)-11,MATCH(AI$10,$CA244:$FV244,0),),"")</f>
        <v/>
      </c>
      <c r="AJ244" s="83">
        <f>IF(AI244="","",IF(VLOOKUP($B244,INDIRECT("'GRD-"&amp;AK244&amp;"'!$B:$R"),16,FALSE)="","",VLOOKUP($B244,INDIRECT("'GRD-"&amp;AK244&amp;"'!$B:$R"),16,FALSE)))</f>
        <v/>
      </c>
      <c r="AK244" s="128">
        <f t="array" ref="AK244">IF(AI244="","",IFERROR(OFFSET($BZ$11,0,MATCH($AI244,$CA244:$FV244,0),),""))</f>
        <v/>
      </c>
      <c r="AL244" s="133">
        <f t="array" ref="AL244">IF(AI244="","",INDIRECT("'GRD-"&amp;AK244&amp;"'!$L$7"))</f>
        <v/>
      </c>
      <c r="AM244" s="84">
        <f t="array" ref="AM244">IFERROR(OFFSET($BZ$11,ROW($B244)-11,MATCH(AM$10,$CA244:$FV244,0),),"")</f>
        <v/>
      </c>
      <c r="AN244" s="84">
        <f>IF(AM244="","",IF(VLOOKUP($B244,INDIRECT("'GRD-"&amp;AO244&amp;"'!$B:$R"),16,FALSE)="","",VLOOKUP($B244,INDIRECT("'GRD-"&amp;AO244&amp;"'!$B:$R"),16,FALSE)))</f>
        <v/>
      </c>
      <c r="AO244" s="129">
        <f t="array" ref="AO244">IF(AM244="","",IFERROR(OFFSET($BZ$11,0,MATCH($AM244,$CA244:$FV244,0),),""))</f>
        <v/>
      </c>
      <c r="AP244" s="134">
        <f t="array" ref="AP244">IF(AM244="","",INDIRECT("'GRD-"&amp;AO244&amp;"'!$L$7"))</f>
        <v/>
      </c>
      <c r="AQ244" s="85">
        <f t="array" ref="AQ244">IFERROR(OFFSET($BZ$11,ROW($B244)-11,MATCH(AQ$10,$CA244:$FV244,0),),"")</f>
        <v/>
      </c>
      <c r="AR244" s="85">
        <f>IF(AQ244="","",IF(VLOOKUP($B244,INDIRECT("'GRD-"&amp;AS244&amp;"'!$B:$R"),16,FALSE)="","",VLOOKUP($B244,INDIRECT("'GRD-"&amp;AS244&amp;"'!$B:$R"),16,FALSE)))</f>
        <v/>
      </c>
      <c r="AS244" s="130">
        <f t="array" ref="AS244">IF(AQ244="","",IFERROR(OFFSET($BZ$11,0,MATCH($AQ244,$CA244:$FV244,0),),""))</f>
        <v/>
      </c>
      <c r="AT244" s="131">
        <f t="array" ref="AT244">IF(AQ244="","",INDIRECT("'GRD-"&amp;AS244&amp;"'!$L$7"))</f>
        <v/>
      </c>
      <c r="AU244" s="76">
        <f t="array" ref="AU244">IFERROR(OFFSET($BZ$11,ROW($B244)-11,MATCH(AU$10,$CA244:$FV244,0),),"")</f>
        <v/>
      </c>
      <c r="AV244" s="76">
        <f>IF(AU244="","",IF(VLOOKUP($B244,INDIRECT("'GRD-"&amp;AW244&amp;"'!$B:$R"),16,FALSE)="","",VLOOKUP($B244,INDIRECT("'GRD-"&amp;AW244&amp;"'!$B:$R"),16,FALSE)))</f>
        <v/>
      </c>
      <c r="AW244" s="132">
        <f t="array" ref="AW244">IF(AU244="","",IFERROR(OFFSET($BZ$11,0,MATCH($AU244,$CA244:$FV244,0),),""))</f>
        <v/>
      </c>
      <c r="AX244" s="121">
        <f t="array" ref="AX244">IF(AU244="","",INDIRECT("'GRD-"&amp;AW244&amp;"'!$L$7"))</f>
        <v/>
      </c>
      <c r="AY244" s="83">
        <f t="array" ref="AY244">IFERROR(OFFSET($BZ$11,ROW($B244)-11,MATCH(AY$10,$CA244:$FV244,0),),"")</f>
        <v/>
      </c>
      <c r="AZ244" s="83">
        <f>IF(AY244="","",IF(VLOOKUP($B244,INDIRECT("'GRD-"&amp;BA244&amp;"'!$B:$R"),16,FALSE)="","",VLOOKUP($B244,INDIRECT("'GRD-"&amp;BA244&amp;"'!$B:$R"),16,FALSE)))</f>
        <v/>
      </c>
      <c r="BA244" s="128">
        <f t="array" ref="BA244">IF(AY244="","",IFERROR(OFFSET($BZ$11,0,MATCH($AY244,$CA244:$FV244,0),),""))</f>
        <v/>
      </c>
      <c r="BB244" s="133">
        <f t="array" ref="BB244">IF(AY244="","",INDIRECT("'GRD-"&amp;BA244&amp;"'!$L$7"))</f>
        <v/>
      </c>
      <c r="BC244" s="84">
        <f t="array" ref="BC244">IFERROR(OFFSET($BZ$11,ROW($B244)-11,MATCH(BC$10,$CA244:$FV244,0),),"")</f>
        <v/>
      </c>
      <c r="BD244" s="84">
        <f>IF(BC244="","",IF(VLOOKUP($B244,INDIRECT("'GRD-"&amp;BE244&amp;"'!$B:$R"),16,FALSE)="","",VLOOKUP($B244,INDIRECT("'GRD-"&amp;BE244&amp;"'!$B:$R"),16,FALSE)))</f>
        <v/>
      </c>
      <c r="BE244" s="129">
        <f t="array" ref="BE244">IF(BC244="","",IFERROR(OFFSET($BZ$11,0,MATCH($BC244,$CA244:$FV244,0),),""))</f>
        <v/>
      </c>
      <c r="BF244" s="134">
        <f t="array" ref="BF244">IF(BC244="","",INDIRECT("'GRD-"&amp;BE244&amp;"'!$L$7"))</f>
        <v/>
      </c>
      <c r="CA244" s="96">
        <f>IFERROR(VLOOKUP($B244,INDIRECT("'GRD-"&amp;CA$11&amp;"'!B:R"),15,FALSE),"")</f>
        <v/>
      </c>
      <c r="CB244" s="96">
        <f>IFERROR(VLOOKUP($B244,INDIRECT("'GRD-"&amp;CB$11&amp;"'!B:R"),15,FALSE),"")</f>
        <v/>
      </c>
      <c r="CC244" s="96">
        <f>IFERROR(VLOOKUP($B244,INDIRECT("'GRD-"&amp;CC$11&amp;"'!B:R"),15,FALSE),"")</f>
        <v/>
      </c>
      <c r="CD244" s="96">
        <f>IFERROR(VLOOKUP($B244,INDIRECT("'GRD-"&amp;CD$11&amp;"'!B:R"),15,FALSE),"")</f>
        <v/>
      </c>
      <c r="CE244" s="96">
        <f>IFERROR(VLOOKUP($B244,INDIRECT("'GRD-"&amp;CE$11&amp;"'!B:R"),15,FALSE),"")</f>
        <v/>
      </c>
      <c r="CF244" s="96">
        <f>IFERROR(VLOOKUP($B244,INDIRECT("'GRD-"&amp;CF$11&amp;"'!B:R"),15,FALSE),"")</f>
        <v/>
      </c>
      <c r="CG244" s="96">
        <f>IFERROR(VLOOKUP($B244,INDIRECT("'GRD-"&amp;CG$11&amp;"'!B:R"),15,FALSE),"")</f>
        <v/>
      </c>
      <c r="CH244" s="96">
        <f>IFERROR(VLOOKUP($B244,INDIRECT("'GRD-"&amp;CH$11&amp;"'!B:R"),15,FALSE),"")</f>
        <v/>
      </c>
      <c r="CI244" s="96">
        <f>IFERROR(VLOOKUP($B244,INDIRECT("'GRD-"&amp;CI$11&amp;"'!B:R"),15,FALSE),"")</f>
        <v/>
      </c>
      <c r="CJ244" s="96">
        <f>IFERROR(VLOOKUP($B244,INDIRECT("'GRD-"&amp;CJ$11&amp;"'!B:R"),15,FALSE),"")</f>
        <v/>
      </c>
      <c r="CK244" s="96">
        <f>IFERROR(VLOOKUP($B244,INDIRECT("'GRD-"&amp;CK$11&amp;"'!B:R"),15,FALSE),"")</f>
        <v/>
      </c>
      <c r="CL244" s="96">
        <f>IFERROR(VLOOKUP($B244,INDIRECT("'GRD-"&amp;CL$11&amp;"'!B:R"),15,FALSE),"")</f>
        <v/>
      </c>
      <c r="CM244" s="96">
        <f>IFERROR(VLOOKUP($B244,INDIRECT("'GRD-"&amp;CM$11&amp;"'!B:R"),15,FALSE),"")</f>
        <v/>
      </c>
      <c r="CN244" s="96">
        <f>IFERROR(VLOOKUP($B244,INDIRECT("'GRD-"&amp;CN$11&amp;"'!B:R"),15,FALSE),"")</f>
        <v/>
      </c>
      <c r="CO244" s="96">
        <f>IFERROR(VLOOKUP($B244,INDIRECT("'GRD-"&amp;CO$11&amp;"'!B:R"),15,FALSE),"")</f>
        <v/>
      </c>
      <c r="CP244" s="96">
        <f>IFERROR(VLOOKUP($B244,INDIRECT("'GRD-"&amp;CP$11&amp;"'!B:R"),15,FALSE),"")</f>
        <v/>
      </c>
      <c r="CQ244" s="96">
        <f>IFERROR(VLOOKUP($B244,INDIRECT("'GRD-"&amp;CQ$11&amp;"'!B:R"),15,FALSE),"")</f>
        <v/>
      </c>
      <c r="CR244" s="96">
        <f>IFERROR(VLOOKUP($B244,INDIRECT("'GRD-"&amp;CR$11&amp;"'!B:R"),15,FALSE),"")</f>
        <v/>
      </c>
      <c r="CS244" s="96">
        <f>IFERROR(VLOOKUP($B244,INDIRECT("'GRD-"&amp;CS$11&amp;"'!B:R"),15,FALSE),"")</f>
        <v/>
      </c>
      <c r="CT244" s="96">
        <f>IFERROR(VLOOKUP($B244,INDIRECT("'GRD-"&amp;CT$11&amp;"'!B:R"),15,FALSE),"")</f>
        <v/>
      </c>
      <c r="CU244" s="96">
        <f>IFERROR(VLOOKUP($B244,INDIRECT("'GRD-"&amp;CU$11&amp;"'!B:R"),15,FALSE),"")</f>
        <v/>
      </c>
      <c r="CV244" s="96">
        <f>IFERROR(VLOOKUP($B244,INDIRECT("'GRD-"&amp;CV$11&amp;"'!B:R"),15,FALSE),"")</f>
        <v/>
      </c>
      <c r="CW244" s="96">
        <f>IFERROR(VLOOKUP($B244,INDIRECT("'GRD-"&amp;CW$11&amp;"'!B:R"),15,FALSE),"")</f>
        <v/>
      </c>
      <c r="CX244" s="96">
        <f>IFERROR(VLOOKUP($B244,INDIRECT("'GRD-"&amp;CX$11&amp;"'!B:R"),15,FALSE),"")</f>
        <v/>
      </c>
      <c r="CY244" s="96">
        <f>IFERROR(VLOOKUP($B244,INDIRECT("'GRD-"&amp;CY$11&amp;"'!B:R"),15,FALSE),"")</f>
        <v/>
      </c>
      <c r="CZ244" s="96">
        <f>IFERROR(VLOOKUP($B244,INDIRECT("'GRD-"&amp;CZ$11&amp;"'!B:R"),15,FALSE),"")</f>
        <v/>
      </c>
      <c r="DA244" s="96">
        <f>IFERROR(VLOOKUP($B244,INDIRECT("'GRD-"&amp;DA$11&amp;"'!B:R"),15,FALSE),"")</f>
        <v/>
      </c>
      <c r="DB244" s="96">
        <f>IFERROR(VLOOKUP($B244,INDIRECT("'GRD-"&amp;DB$11&amp;"'!B:R"),15,FALSE),"")</f>
        <v/>
      </c>
      <c r="DC244" s="96">
        <f>IFERROR(VLOOKUP($B244,INDIRECT("'GRD-"&amp;DC$11&amp;"'!B:R"),15,FALSE),"")</f>
        <v/>
      </c>
      <c r="DD244" s="96">
        <f>IFERROR(VLOOKUP($B244,INDIRECT("'GRD-"&amp;DD$11&amp;"'!B:R"),15,FALSE),"")</f>
        <v/>
      </c>
      <c r="DE244" s="96">
        <f>IFERROR(VLOOKUP($B244,INDIRECT("'GRD-"&amp;DE$11&amp;"'!B:R"),15,FALSE),"")</f>
        <v/>
      </c>
      <c r="DF244" s="96">
        <f>IFERROR(VLOOKUP($B244,INDIRECT("'GRD-"&amp;DF$11&amp;"'!B:R"),15,FALSE),"")</f>
        <v/>
      </c>
      <c r="DG244" s="96">
        <f>IFERROR(VLOOKUP($B244,INDIRECT("'GRD-"&amp;DG$11&amp;"'!B:R"),15,FALSE),"")</f>
        <v/>
      </c>
      <c r="DH244" s="96">
        <f>IFERROR(VLOOKUP($B244,INDIRECT("'GRD-"&amp;DH$11&amp;"'!B:R"),15,FALSE),"")</f>
        <v/>
      </c>
      <c r="DI244" s="96">
        <f>IFERROR(VLOOKUP($B244,INDIRECT("'GRD-"&amp;DI$11&amp;"'!B:R"),15,FALSE),"")</f>
        <v/>
      </c>
      <c r="DJ244" s="96">
        <f>IFERROR(VLOOKUP($B244,INDIRECT("'GRD-"&amp;DJ$11&amp;"'!B:R"),15,FALSE),"")</f>
        <v/>
      </c>
      <c r="DK244" s="96">
        <f>IFERROR(VLOOKUP($B244,INDIRECT("'GRD-"&amp;DK$11&amp;"'!B:R"),15,FALSE),"")</f>
        <v/>
      </c>
      <c r="DL244" s="96">
        <f>IFERROR(VLOOKUP($B244,INDIRECT("'GRD-"&amp;DL$11&amp;"'!B:R"),15,FALSE),"")</f>
        <v/>
      </c>
      <c r="DM244" s="96">
        <f>IFERROR(VLOOKUP($B244,INDIRECT("'GRD-"&amp;DM$11&amp;"'!B:R"),15,FALSE),"")</f>
        <v/>
      </c>
      <c r="DN244" s="96">
        <f>IFERROR(VLOOKUP($B244,INDIRECT("'GRD-"&amp;DN$11&amp;"'!B:R"),15,FALSE),"")</f>
        <v/>
      </c>
      <c r="DO244" s="96">
        <f>IFERROR(VLOOKUP($B244,INDIRECT("'GRD-"&amp;DO$11&amp;"'!B:R"),15,FALSE),"")</f>
        <v/>
      </c>
      <c r="DP244" s="96">
        <f>IFERROR(VLOOKUP($B244,INDIRECT("'GRD-"&amp;DP$11&amp;"'!B:R"),15,FALSE),"")</f>
        <v/>
      </c>
      <c r="DQ244" s="96">
        <f>IFERROR(VLOOKUP($B244,INDIRECT("'GRD-"&amp;DQ$11&amp;"'!B:R"),15,FALSE),"")</f>
        <v/>
      </c>
      <c r="DR244" s="96">
        <f>IFERROR(VLOOKUP($B244,INDIRECT("'GRD-"&amp;DR$11&amp;"'!B:R"),15,FALSE),"")</f>
        <v/>
      </c>
      <c r="DS244" s="96">
        <f>IFERROR(VLOOKUP($B244,INDIRECT("'GRD-"&amp;DS$11&amp;"'!B:R"),15,FALSE),"")</f>
        <v/>
      </c>
      <c r="DT244" s="96">
        <f>IFERROR(VLOOKUP($B244,INDIRECT("'GRD-"&amp;DT$11&amp;"'!B:R"),15,FALSE),"")</f>
        <v/>
      </c>
      <c r="DU244" s="96">
        <f>IFERROR(VLOOKUP($B244,INDIRECT("'GRD-"&amp;DU$11&amp;"'!B:R"),15,FALSE),"")</f>
        <v/>
      </c>
      <c r="DV244" s="96">
        <f>IFERROR(VLOOKUP($B244,INDIRECT("'GRD-"&amp;DV$11&amp;"'!B:R"),15,FALSE),"")</f>
        <v/>
      </c>
      <c r="DW244" s="96">
        <f>IFERROR(VLOOKUP($B244,INDIRECT("'GRD-"&amp;DW$11&amp;"'!B:R"),15,FALSE),"")</f>
        <v/>
      </c>
      <c r="DX244" s="96">
        <f>IFERROR(VLOOKUP($B244,INDIRECT("'GRD-"&amp;DX$11&amp;"'!B:R"),15,FALSE),"")</f>
        <v/>
      </c>
      <c r="DY244" s="96">
        <f>IFERROR(VLOOKUP($B244,INDIRECT("'GRD-"&amp;DY$11&amp;"'!B:R"),15,FALSE),"")</f>
        <v/>
      </c>
      <c r="DZ244" s="96">
        <f>IFERROR(VLOOKUP($B244,INDIRECT("'GRD-"&amp;DZ$11&amp;"'!B:R"),15,FALSE),"")</f>
        <v/>
      </c>
      <c r="EA244" s="96">
        <f>IFERROR(VLOOKUP($B244,INDIRECT("'GRD-"&amp;EA$11&amp;"'!B:R"),15,FALSE),"")</f>
        <v/>
      </c>
      <c r="EB244" s="96">
        <f>IFERROR(VLOOKUP($B244,INDIRECT("'GRD-"&amp;EB$11&amp;"'!B:R"),15,FALSE),"")</f>
        <v/>
      </c>
      <c r="EC244" s="96">
        <f>IFERROR(VLOOKUP($B244,INDIRECT("'GRD-"&amp;EC$11&amp;"'!B:R"),15,FALSE),"")</f>
        <v/>
      </c>
      <c r="ED244" s="96">
        <f>IFERROR(VLOOKUP($B244,INDIRECT("'GRD-"&amp;ED$11&amp;"'!B:R"),15,FALSE),"")</f>
        <v/>
      </c>
      <c r="EE244" s="96">
        <f>IFERROR(VLOOKUP($B244,INDIRECT("'GRD-"&amp;EE$11&amp;"'!B:R"),15,FALSE),"")</f>
        <v/>
      </c>
      <c r="EF244" s="96">
        <f>IFERROR(VLOOKUP($B244,INDIRECT("'GRD-"&amp;EF$11&amp;"'!B:R"),15,FALSE),"")</f>
        <v/>
      </c>
      <c r="EG244" s="96">
        <f>IFERROR(VLOOKUP($B244,INDIRECT("'GRD-"&amp;EG$11&amp;"'!B:R"),15,FALSE),"")</f>
        <v/>
      </c>
      <c r="EH244" s="96">
        <f>IFERROR(VLOOKUP($B244,INDIRECT("'GRD-"&amp;EH$11&amp;"'!B:R"),15,FALSE),"")</f>
        <v/>
      </c>
      <c r="EI244" s="96">
        <f>IFERROR(VLOOKUP($B244,INDIRECT("'GRD-"&amp;EI$11&amp;"'!B:R"),15,FALSE),"")</f>
        <v/>
      </c>
      <c r="EJ244" s="96">
        <f>IFERROR(VLOOKUP($B244,INDIRECT("'GRD-"&amp;EJ$11&amp;"'!B:R"),15,FALSE),"")</f>
        <v/>
      </c>
      <c r="EK244" s="96">
        <f>IFERROR(VLOOKUP($B244,INDIRECT("'GRD-"&amp;EK$11&amp;"'!B:R"),15,FALSE),"")</f>
        <v/>
      </c>
      <c r="EL244" s="96">
        <f>IFERROR(VLOOKUP($B244,INDIRECT("'GRD-"&amp;EL$11&amp;"'!B:R"),15,FALSE),"")</f>
        <v/>
      </c>
      <c r="EM244" s="96">
        <f>IFERROR(VLOOKUP($B244,INDIRECT("'GRD-"&amp;EM$11&amp;"'!B:R"),15,FALSE),"")</f>
        <v/>
      </c>
      <c r="EN244" s="96">
        <f>IFERROR(VLOOKUP($B244,INDIRECT("'GRD-"&amp;EN$11&amp;"'!B:R"),15,FALSE),"")</f>
        <v/>
      </c>
      <c r="EO244" s="96">
        <f>IFERROR(VLOOKUP($B244,INDIRECT("'GRD-"&amp;EO$11&amp;"'!B:R"),15,FALSE),"")</f>
        <v/>
      </c>
      <c r="EP244" s="96">
        <f>IFERROR(VLOOKUP($B244,INDIRECT("'GRD-"&amp;EP$11&amp;"'!B:R"),15,FALSE),"")</f>
        <v/>
      </c>
      <c r="EQ244" s="96">
        <f>IFERROR(VLOOKUP($B244,INDIRECT("'GRD-"&amp;EQ$11&amp;"'!B:R"),15,FALSE),"")</f>
        <v/>
      </c>
      <c r="ER244" s="96">
        <f>IFERROR(VLOOKUP($B244,INDIRECT("'GRD-"&amp;ER$11&amp;"'!B:R"),15,FALSE),"")</f>
        <v/>
      </c>
      <c r="ES244" s="96">
        <f>IFERROR(VLOOKUP($B244,INDIRECT("'GRD-"&amp;ES$11&amp;"'!B:R"),15,FALSE),"")</f>
        <v/>
      </c>
      <c r="ET244" s="96">
        <f>IFERROR(VLOOKUP($B244,INDIRECT("'GRD-"&amp;ET$11&amp;"'!B:R"),15,FALSE),"")</f>
        <v/>
      </c>
      <c r="EU244" s="96">
        <f>IFERROR(VLOOKUP($B244,INDIRECT("'GRD-"&amp;EU$11&amp;"'!B:R"),15,FALSE),"")</f>
        <v/>
      </c>
      <c r="EV244" s="96">
        <f>IFERROR(VLOOKUP($B244,INDIRECT("'GRD-"&amp;EV$11&amp;"'!B:R"),15,FALSE),"")</f>
        <v/>
      </c>
      <c r="EW244" s="96">
        <f>IFERROR(VLOOKUP($B244,INDIRECT("'GRD-"&amp;EW$11&amp;"'!B:R"),15,FALSE),"")</f>
        <v/>
      </c>
      <c r="EX244" s="96">
        <f>IFERROR(VLOOKUP($B244,INDIRECT("'GRD-"&amp;EX$11&amp;"'!B:R"),15,FALSE),"")</f>
        <v/>
      </c>
      <c r="EY244" s="96">
        <f>IFERROR(VLOOKUP($B244,INDIRECT("'GRD-"&amp;EY$11&amp;"'!B:R"),15,FALSE),"")</f>
        <v/>
      </c>
      <c r="EZ244" s="96">
        <f>IFERROR(VLOOKUP($B244,INDIRECT("'GRD-"&amp;EZ$11&amp;"'!B:R"),15,FALSE),"")</f>
        <v/>
      </c>
      <c r="FA244" s="96">
        <f>IFERROR(VLOOKUP($B244,INDIRECT("'GRD-"&amp;FA$11&amp;"'!B:R"),15,FALSE),"")</f>
        <v/>
      </c>
      <c r="FB244" s="96">
        <f>IFERROR(VLOOKUP($B244,INDIRECT("'GRD-"&amp;FB$11&amp;"'!B:R"),15,FALSE),"")</f>
        <v/>
      </c>
      <c r="FC244" s="96">
        <f>IFERROR(VLOOKUP($B244,INDIRECT("'GRD-"&amp;FC$11&amp;"'!B:R"),15,FALSE),"")</f>
        <v/>
      </c>
      <c r="FD244" s="96">
        <f>IFERROR(VLOOKUP($B244,INDIRECT("'GRD-"&amp;FD$11&amp;"'!B:R"),15,FALSE),"")</f>
        <v/>
      </c>
      <c r="FE244" s="96">
        <f>IFERROR(VLOOKUP($B244,INDIRECT("'GRD-"&amp;FE$11&amp;"'!B:R"),15,FALSE),"")</f>
        <v/>
      </c>
      <c r="FF244" s="96">
        <f>IFERROR(VLOOKUP($B244,INDIRECT("'GRD-"&amp;FF$11&amp;"'!B:R"),15,FALSE),"")</f>
        <v/>
      </c>
      <c r="FG244" s="96">
        <f>IFERROR(VLOOKUP($B244,INDIRECT("'GRD-"&amp;FG$11&amp;"'!B:R"),15,FALSE),"")</f>
        <v/>
      </c>
      <c r="FH244" s="96">
        <f>IFERROR(VLOOKUP($B244,INDIRECT("'GRD-"&amp;FH$11&amp;"'!B:R"),15,FALSE),"")</f>
        <v/>
      </c>
      <c r="FI244" s="96">
        <f>IFERROR(VLOOKUP($B244,INDIRECT("'GRD-"&amp;FI$11&amp;"'!B:R"),15,FALSE),"")</f>
        <v/>
      </c>
      <c r="FJ244" s="96">
        <f>IFERROR(VLOOKUP($B244,INDIRECT("'GRD-"&amp;FJ$11&amp;"'!B:R"),15,FALSE),"")</f>
        <v/>
      </c>
      <c r="FK244" s="96">
        <f>IFERROR(VLOOKUP($B244,INDIRECT("'GRD-"&amp;FK$11&amp;"'!B:R"),15,FALSE),"")</f>
        <v/>
      </c>
      <c r="FL244" s="96">
        <f>IFERROR(VLOOKUP($B244,INDIRECT("'GRD-"&amp;FL$11&amp;"'!B:R"),15,FALSE),"")</f>
        <v/>
      </c>
      <c r="FM244" s="96">
        <f>IFERROR(VLOOKUP($B244,INDIRECT("'GRD-"&amp;FM$11&amp;"'!B:R"),15,FALSE),"")</f>
        <v/>
      </c>
      <c r="FN244" s="96">
        <f>IFERROR(VLOOKUP($B244,INDIRECT("'GRD-"&amp;FN$11&amp;"'!B:R"),15,FALSE),"")</f>
        <v/>
      </c>
      <c r="FO244" s="96">
        <f>IFERROR(VLOOKUP($B244,INDIRECT("'GRD-"&amp;FO$11&amp;"'!B:R"),15,FALSE),"")</f>
        <v/>
      </c>
      <c r="FP244" s="96">
        <f>IFERROR(VLOOKUP($B244,INDIRECT("'GRD-"&amp;FP$11&amp;"'!B:R"),15,FALSE),"")</f>
        <v/>
      </c>
      <c r="FQ244" s="96">
        <f>IFERROR(VLOOKUP($B244,INDIRECT("'GRD-"&amp;FQ$11&amp;"'!B:R"),15,FALSE),"")</f>
        <v/>
      </c>
      <c r="FR244" s="96">
        <f>IFERROR(VLOOKUP($B244,INDIRECT("'GRD-"&amp;FR$11&amp;"'!B:R"),15,FALSE),"")</f>
        <v/>
      </c>
      <c r="FS244" s="96">
        <f>IFERROR(VLOOKUP($B244,INDIRECT("'GRD-"&amp;FS$11&amp;"'!B:R"),15,FALSE),"")</f>
        <v/>
      </c>
      <c r="FT244" s="96">
        <f>IFERROR(VLOOKUP($B244,INDIRECT("'GRD-"&amp;FT$11&amp;"'!B:R"),15,FALSE),"")</f>
        <v/>
      </c>
      <c r="FU244" s="96">
        <f>IFERROR(VLOOKUP($B244,INDIRECT("'GRD-"&amp;FU$11&amp;"'!B:R"),15,FALSE),"")</f>
        <v/>
      </c>
      <c r="FV244" s="96">
        <f>IFERROR(VLOOKUP($B244,INDIRECT("'GRD-"&amp;FV$11&amp;"'!B:R"),15,FALSE),"")</f>
        <v/>
      </c>
    </row>
    <row r="245">
      <c r="B245" s="85" t="n"/>
      <c r="C245" s="93" t="n"/>
      <c r="D245" s="73">
        <f>IF(K245="","",MAX($CA245:$FV245))</f>
        <v/>
      </c>
      <c r="E245" s="74">
        <f t="array" ref="E245">IF($K245="","",OFFSET($A$1,ROW($B245)-1,11+$D245*4,))</f>
        <v/>
      </c>
      <c r="F245" s="74">
        <f t="array" ref="F245">IF($K245="","",OFFSET($A$1,ROW($B245)-1,12+$D245*4,))</f>
        <v/>
      </c>
      <c r="G245" s="118">
        <f t="array" ref="G245">IF($K245="","",OFFSET($A$1,ROW($B245)-1,13+$D245*4,))</f>
        <v/>
      </c>
      <c r="H245" s="81" t="n"/>
      <c r="I245" s="82" t="n"/>
      <c r="J245" s="75">
        <f>IF(I245="A4",H245/8,IF(I245="A3",H245/4,IF(I245="A2",H245/2,IF(I245="A1",H245/1,IF(I245="A0",H245*2,"")))))</f>
        <v/>
      </c>
      <c r="K245" s="68">
        <f t="array" ref="K245">IFERROR(OFFSET($BZ$11,ROW($B245)-11,MATCH(K$10,$CA245:$FV245,0),),"")</f>
        <v/>
      </c>
      <c r="L245" s="85">
        <f>IF(K245="","",IF(VLOOKUP($B245,INDIRECT("'GRD-"&amp;M245&amp;"'!$B:$R"),16,FALSE)="","",VLOOKUP($B245,INDIRECT("'GRD-"&amp;M245&amp;"'!$B:$R"),16,FALSE)))</f>
        <v/>
      </c>
      <c r="M245" s="130">
        <f t="array" ref="M245">IF(K245="","",IFERROR(OFFSET($BZ$11,0,MATCH($K245,$CA245:$FV245,0),),""))</f>
        <v/>
      </c>
      <c r="N245" s="119">
        <f t="array" ref="N245">IF(K245="","",INDIRECT("'GRD-"&amp;M245&amp;"'!$L$7"))</f>
        <v/>
      </c>
      <c r="O245" s="76">
        <f t="array" ref="O245">IFERROR(OFFSET($BZ$11,ROW($B245)-11,MATCH(O$10,$CA245:$FV245,0),),"")</f>
        <v/>
      </c>
      <c r="P245" s="76">
        <f>IF(O245="","",IF(VLOOKUP($B245,INDIRECT("'GRD-"&amp;Q245&amp;"'!$B:$R"),16,FALSE)="","",VLOOKUP($B245,INDIRECT("'GRD-"&amp;Q245&amp;"'!$B:$R"),16,FALSE)))</f>
        <v/>
      </c>
      <c r="Q245" s="132">
        <f t="array" ref="Q245">IF(O245="","",IFERROR(OFFSET($BZ$11,0,MATCH($O245,$CA245:$FV245,0),),""))</f>
        <v/>
      </c>
      <c r="R245" s="121">
        <f t="array" ref="R245">IF(O245="","",INDIRECT("'GRD-"&amp;Q245&amp;"'!$L$7"))</f>
        <v/>
      </c>
      <c r="S245" s="83">
        <f t="array" ref="S245">IFERROR(OFFSET($BZ$11,ROW($B245)-11,MATCH(S$10,$CA245:$FV245,0),),"")</f>
        <v/>
      </c>
      <c r="T245" s="83">
        <f>IF(S245="","",IF(VLOOKUP($B245,INDIRECT("'GRD-"&amp;U245&amp;"'!$B:$R"),16,FALSE)="","",VLOOKUP($B245,INDIRECT("'GRD-"&amp;U245&amp;"'!$B:$R"),16,FALSE)))</f>
        <v/>
      </c>
      <c r="U245" s="128">
        <f t="array" ref="U245">IF(S245="","",IFERROR(OFFSET($BZ$11,0,MATCH($S245,$CA245:$FV245,0),),""))</f>
        <v/>
      </c>
      <c r="V245" s="133">
        <f t="array" ref="V245">IF(S245="","",INDIRECT("'GRD-"&amp;U245&amp;"'!$L$7"))</f>
        <v/>
      </c>
      <c r="W245" s="84">
        <f t="array" ref="W245">IFERROR(OFFSET($BZ$11,ROW($B245)-11,MATCH(W$10,$CA245:$FV245,0),),"")</f>
        <v/>
      </c>
      <c r="X245" s="84">
        <f>IF(W245="","",IF(VLOOKUP($B245,INDIRECT("'GRD-"&amp;Y245&amp;"'!$B:$R"),16,FALSE)="","",VLOOKUP($B245,INDIRECT("'GRD-"&amp;Y245&amp;"'!$B:$R"),16,FALSE)))</f>
        <v/>
      </c>
      <c r="Y245" s="129">
        <f t="array" ref="Y245">IF(W245="","",IFERROR(OFFSET($BZ$11,0,MATCH($W245,$CA245:$FV245,0),),""))</f>
        <v/>
      </c>
      <c r="Z245" s="134">
        <f t="array" ref="Z245">IF(W245="","",INDIRECT("'GRD-"&amp;Y245&amp;"'!$L$7"))</f>
        <v/>
      </c>
      <c r="AA245" s="85">
        <f t="array" ref="AA245">IFERROR(OFFSET($BZ$11,ROW($B245)-11,MATCH(AA$10,$CA245:$FV245,0),),"")</f>
        <v/>
      </c>
      <c r="AB245" s="85">
        <f>IF(AA245="","",IF(VLOOKUP($B245,INDIRECT("'GRD-"&amp;AC245&amp;"'!$B:$R"),16,FALSE)="","",VLOOKUP($B245,INDIRECT("'GRD-"&amp;AC245&amp;"'!$B:$R"),16,FALSE)))</f>
        <v/>
      </c>
      <c r="AC245" s="130">
        <f t="array" ref="AC245">IF(AA245="","",IFERROR(OFFSET($BZ$11,0,MATCH($AA245,$CA245:$FV245,0),),""))</f>
        <v/>
      </c>
      <c r="AD245" s="131">
        <f t="array" ref="AD245">IF(AA245="","",INDIRECT("'GRD-"&amp;AC245&amp;"'!$L$7"))</f>
        <v/>
      </c>
      <c r="AE245" s="76">
        <f t="array" ref="AE245">IFERROR(OFFSET($BZ$11,ROW($B245)-11,MATCH(AE$10,$CA245:$FV245,0),),"")</f>
        <v/>
      </c>
      <c r="AF245" s="76">
        <f>IF(AE245="","",IF(VLOOKUP($B245,INDIRECT("'GRD-"&amp;AG245&amp;"'!$B:$R"),16,FALSE)="","",VLOOKUP($B245,INDIRECT("'GRD-"&amp;AG245&amp;"'!$B:$R"),16,FALSE)))</f>
        <v/>
      </c>
      <c r="AG245" s="132">
        <f t="array" ref="AG245">IF(AE245="","",IFERROR(OFFSET($BZ$11,0,MATCH($AE245,$CA245:$FV245,0),),""))</f>
        <v/>
      </c>
      <c r="AH245" s="121">
        <f t="array" ref="AH245">IF(AE245="","",INDIRECT("'GRD-"&amp;AG245&amp;"'!$L$7"))</f>
        <v/>
      </c>
      <c r="AI245" s="83">
        <f t="array" ref="AI245">IFERROR(OFFSET($BZ$11,ROW($B245)-11,MATCH(AI$10,$CA245:$FV245,0),),"")</f>
        <v/>
      </c>
      <c r="AJ245" s="83">
        <f>IF(AI245="","",IF(VLOOKUP($B245,INDIRECT("'GRD-"&amp;AK245&amp;"'!$B:$R"),16,FALSE)="","",VLOOKUP($B245,INDIRECT("'GRD-"&amp;AK245&amp;"'!$B:$R"),16,FALSE)))</f>
        <v/>
      </c>
      <c r="AK245" s="128">
        <f t="array" ref="AK245">IF(AI245="","",IFERROR(OFFSET($BZ$11,0,MATCH($AI245,$CA245:$FV245,0),),""))</f>
        <v/>
      </c>
      <c r="AL245" s="133">
        <f t="array" ref="AL245">IF(AI245="","",INDIRECT("'GRD-"&amp;AK245&amp;"'!$L$7"))</f>
        <v/>
      </c>
      <c r="AM245" s="84">
        <f t="array" ref="AM245">IFERROR(OFFSET($BZ$11,ROW($B245)-11,MATCH(AM$10,$CA245:$FV245,0),),"")</f>
        <v/>
      </c>
      <c r="AN245" s="84">
        <f>IF(AM245="","",IF(VLOOKUP($B245,INDIRECT("'GRD-"&amp;AO245&amp;"'!$B:$R"),16,FALSE)="","",VLOOKUP($B245,INDIRECT("'GRD-"&amp;AO245&amp;"'!$B:$R"),16,FALSE)))</f>
        <v/>
      </c>
      <c r="AO245" s="129">
        <f t="array" ref="AO245">IF(AM245="","",IFERROR(OFFSET($BZ$11,0,MATCH($AM245,$CA245:$FV245,0),),""))</f>
        <v/>
      </c>
      <c r="AP245" s="134">
        <f t="array" ref="AP245">IF(AM245="","",INDIRECT("'GRD-"&amp;AO245&amp;"'!$L$7"))</f>
        <v/>
      </c>
      <c r="AQ245" s="85">
        <f t="array" ref="AQ245">IFERROR(OFFSET($BZ$11,ROW($B245)-11,MATCH(AQ$10,$CA245:$FV245,0),),"")</f>
        <v/>
      </c>
      <c r="AR245" s="85">
        <f>IF(AQ245="","",IF(VLOOKUP($B245,INDIRECT("'GRD-"&amp;AS245&amp;"'!$B:$R"),16,FALSE)="","",VLOOKUP($B245,INDIRECT("'GRD-"&amp;AS245&amp;"'!$B:$R"),16,FALSE)))</f>
        <v/>
      </c>
      <c r="AS245" s="130">
        <f t="array" ref="AS245">IF(AQ245="","",IFERROR(OFFSET($BZ$11,0,MATCH($AQ245,$CA245:$FV245,0),),""))</f>
        <v/>
      </c>
      <c r="AT245" s="131">
        <f t="array" ref="AT245">IF(AQ245="","",INDIRECT("'GRD-"&amp;AS245&amp;"'!$L$7"))</f>
        <v/>
      </c>
      <c r="AU245" s="76">
        <f t="array" ref="AU245">IFERROR(OFFSET($BZ$11,ROW($B245)-11,MATCH(AU$10,$CA245:$FV245,0),),"")</f>
        <v/>
      </c>
      <c r="AV245" s="76">
        <f>IF(AU245="","",IF(VLOOKUP($B245,INDIRECT("'GRD-"&amp;AW245&amp;"'!$B:$R"),16,FALSE)="","",VLOOKUP($B245,INDIRECT("'GRD-"&amp;AW245&amp;"'!$B:$R"),16,FALSE)))</f>
        <v/>
      </c>
      <c r="AW245" s="132">
        <f t="array" ref="AW245">IF(AU245="","",IFERROR(OFFSET($BZ$11,0,MATCH($AU245,$CA245:$FV245,0),),""))</f>
        <v/>
      </c>
      <c r="AX245" s="121">
        <f t="array" ref="AX245">IF(AU245="","",INDIRECT("'GRD-"&amp;AW245&amp;"'!$L$7"))</f>
        <v/>
      </c>
      <c r="AY245" s="83">
        <f t="array" ref="AY245">IFERROR(OFFSET($BZ$11,ROW($B245)-11,MATCH(AY$10,$CA245:$FV245,0),),"")</f>
        <v/>
      </c>
      <c r="AZ245" s="83">
        <f>IF(AY245="","",IF(VLOOKUP($B245,INDIRECT("'GRD-"&amp;BA245&amp;"'!$B:$R"),16,FALSE)="","",VLOOKUP($B245,INDIRECT("'GRD-"&amp;BA245&amp;"'!$B:$R"),16,FALSE)))</f>
        <v/>
      </c>
      <c r="BA245" s="128">
        <f t="array" ref="BA245">IF(AY245="","",IFERROR(OFFSET($BZ$11,0,MATCH($AY245,$CA245:$FV245,0),),""))</f>
        <v/>
      </c>
      <c r="BB245" s="133">
        <f t="array" ref="BB245">IF(AY245="","",INDIRECT("'GRD-"&amp;BA245&amp;"'!$L$7"))</f>
        <v/>
      </c>
      <c r="BC245" s="84">
        <f t="array" ref="BC245">IFERROR(OFFSET($BZ$11,ROW($B245)-11,MATCH(BC$10,$CA245:$FV245,0),),"")</f>
        <v/>
      </c>
      <c r="BD245" s="84">
        <f>IF(BC245="","",IF(VLOOKUP($B245,INDIRECT("'GRD-"&amp;BE245&amp;"'!$B:$R"),16,FALSE)="","",VLOOKUP($B245,INDIRECT("'GRD-"&amp;BE245&amp;"'!$B:$R"),16,FALSE)))</f>
        <v/>
      </c>
      <c r="BE245" s="129">
        <f t="array" ref="BE245">IF(BC245="","",IFERROR(OFFSET($BZ$11,0,MATCH($BC245,$CA245:$FV245,0),),""))</f>
        <v/>
      </c>
      <c r="BF245" s="134">
        <f t="array" ref="BF245">IF(BC245="","",INDIRECT("'GRD-"&amp;BE245&amp;"'!$L$7"))</f>
        <v/>
      </c>
      <c r="CA245" s="96">
        <f>IFERROR(VLOOKUP($B245,INDIRECT("'GRD-"&amp;CA$11&amp;"'!B:R"),15,FALSE),"")</f>
        <v/>
      </c>
      <c r="CB245" s="96">
        <f>IFERROR(VLOOKUP($B245,INDIRECT("'GRD-"&amp;CB$11&amp;"'!B:R"),15,FALSE),"")</f>
        <v/>
      </c>
      <c r="CC245" s="96">
        <f>IFERROR(VLOOKUP($B245,INDIRECT("'GRD-"&amp;CC$11&amp;"'!B:R"),15,FALSE),"")</f>
        <v/>
      </c>
      <c r="CD245" s="96">
        <f>IFERROR(VLOOKUP($B245,INDIRECT("'GRD-"&amp;CD$11&amp;"'!B:R"),15,FALSE),"")</f>
        <v/>
      </c>
      <c r="CE245" s="96">
        <f>IFERROR(VLOOKUP($B245,INDIRECT("'GRD-"&amp;CE$11&amp;"'!B:R"),15,FALSE),"")</f>
        <v/>
      </c>
      <c r="CF245" s="96">
        <f>IFERROR(VLOOKUP($B245,INDIRECT("'GRD-"&amp;CF$11&amp;"'!B:R"),15,FALSE),"")</f>
        <v/>
      </c>
      <c r="CG245" s="96">
        <f>IFERROR(VLOOKUP($B245,INDIRECT("'GRD-"&amp;CG$11&amp;"'!B:R"),15,FALSE),"")</f>
        <v/>
      </c>
      <c r="CH245" s="96">
        <f>IFERROR(VLOOKUP($B245,INDIRECT("'GRD-"&amp;CH$11&amp;"'!B:R"),15,FALSE),"")</f>
        <v/>
      </c>
      <c r="CI245" s="96">
        <f>IFERROR(VLOOKUP($B245,INDIRECT("'GRD-"&amp;CI$11&amp;"'!B:R"),15,FALSE),"")</f>
        <v/>
      </c>
      <c r="CJ245" s="96">
        <f>IFERROR(VLOOKUP($B245,INDIRECT("'GRD-"&amp;CJ$11&amp;"'!B:R"),15,FALSE),"")</f>
        <v/>
      </c>
      <c r="CK245" s="96">
        <f>IFERROR(VLOOKUP($B245,INDIRECT("'GRD-"&amp;CK$11&amp;"'!B:R"),15,FALSE),"")</f>
        <v/>
      </c>
      <c r="CL245" s="96">
        <f>IFERROR(VLOOKUP($B245,INDIRECT("'GRD-"&amp;CL$11&amp;"'!B:R"),15,FALSE),"")</f>
        <v/>
      </c>
      <c r="CM245" s="96">
        <f>IFERROR(VLOOKUP($B245,INDIRECT("'GRD-"&amp;CM$11&amp;"'!B:R"),15,FALSE),"")</f>
        <v/>
      </c>
      <c r="CN245" s="96">
        <f>IFERROR(VLOOKUP($B245,INDIRECT("'GRD-"&amp;CN$11&amp;"'!B:R"),15,FALSE),"")</f>
        <v/>
      </c>
      <c r="CO245" s="96">
        <f>IFERROR(VLOOKUP($B245,INDIRECT("'GRD-"&amp;CO$11&amp;"'!B:R"),15,FALSE),"")</f>
        <v/>
      </c>
      <c r="CP245" s="96">
        <f>IFERROR(VLOOKUP($B245,INDIRECT("'GRD-"&amp;CP$11&amp;"'!B:R"),15,FALSE),"")</f>
        <v/>
      </c>
      <c r="CQ245" s="96">
        <f>IFERROR(VLOOKUP($B245,INDIRECT("'GRD-"&amp;CQ$11&amp;"'!B:R"),15,FALSE),"")</f>
        <v/>
      </c>
      <c r="CR245" s="96">
        <f>IFERROR(VLOOKUP($B245,INDIRECT("'GRD-"&amp;CR$11&amp;"'!B:R"),15,FALSE),"")</f>
        <v/>
      </c>
      <c r="CS245" s="96">
        <f>IFERROR(VLOOKUP($B245,INDIRECT("'GRD-"&amp;CS$11&amp;"'!B:R"),15,FALSE),"")</f>
        <v/>
      </c>
      <c r="CT245" s="96">
        <f>IFERROR(VLOOKUP($B245,INDIRECT("'GRD-"&amp;CT$11&amp;"'!B:R"),15,FALSE),"")</f>
        <v/>
      </c>
      <c r="CU245" s="96">
        <f>IFERROR(VLOOKUP($B245,INDIRECT("'GRD-"&amp;CU$11&amp;"'!B:R"),15,FALSE),"")</f>
        <v/>
      </c>
      <c r="CV245" s="96">
        <f>IFERROR(VLOOKUP($B245,INDIRECT("'GRD-"&amp;CV$11&amp;"'!B:R"),15,FALSE),"")</f>
        <v/>
      </c>
      <c r="CW245" s="96">
        <f>IFERROR(VLOOKUP($B245,INDIRECT("'GRD-"&amp;CW$11&amp;"'!B:R"),15,FALSE),"")</f>
        <v/>
      </c>
      <c r="CX245" s="96">
        <f>IFERROR(VLOOKUP($B245,INDIRECT("'GRD-"&amp;CX$11&amp;"'!B:R"),15,FALSE),"")</f>
        <v/>
      </c>
      <c r="CY245" s="96">
        <f>IFERROR(VLOOKUP($B245,INDIRECT("'GRD-"&amp;CY$11&amp;"'!B:R"),15,FALSE),"")</f>
        <v/>
      </c>
      <c r="CZ245" s="96">
        <f>IFERROR(VLOOKUP($B245,INDIRECT("'GRD-"&amp;CZ$11&amp;"'!B:R"),15,FALSE),"")</f>
        <v/>
      </c>
      <c r="DA245" s="96">
        <f>IFERROR(VLOOKUP($B245,INDIRECT("'GRD-"&amp;DA$11&amp;"'!B:R"),15,FALSE),"")</f>
        <v/>
      </c>
      <c r="DB245" s="96">
        <f>IFERROR(VLOOKUP($B245,INDIRECT("'GRD-"&amp;DB$11&amp;"'!B:R"),15,FALSE),"")</f>
        <v/>
      </c>
      <c r="DC245" s="96">
        <f>IFERROR(VLOOKUP($B245,INDIRECT("'GRD-"&amp;DC$11&amp;"'!B:R"),15,FALSE),"")</f>
        <v/>
      </c>
      <c r="DD245" s="96">
        <f>IFERROR(VLOOKUP($B245,INDIRECT("'GRD-"&amp;DD$11&amp;"'!B:R"),15,FALSE),"")</f>
        <v/>
      </c>
      <c r="DE245" s="96">
        <f>IFERROR(VLOOKUP($B245,INDIRECT("'GRD-"&amp;DE$11&amp;"'!B:R"),15,FALSE),"")</f>
        <v/>
      </c>
      <c r="DF245" s="96">
        <f>IFERROR(VLOOKUP($B245,INDIRECT("'GRD-"&amp;DF$11&amp;"'!B:R"),15,FALSE),"")</f>
        <v/>
      </c>
      <c r="DG245" s="96">
        <f>IFERROR(VLOOKUP($B245,INDIRECT("'GRD-"&amp;DG$11&amp;"'!B:R"),15,FALSE),"")</f>
        <v/>
      </c>
      <c r="DH245" s="96">
        <f>IFERROR(VLOOKUP($B245,INDIRECT("'GRD-"&amp;DH$11&amp;"'!B:R"),15,FALSE),"")</f>
        <v/>
      </c>
      <c r="DI245" s="96">
        <f>IFERROR(VLOOKUP($B245,INDIRECT("'GRD-"&amp;DI$11&amp;"'!B:R"),15,FALSE),"")</f>
        <v/>
      </c>
      <c r="DJ245" s="96">
        <f>IFERROR(VLOOKUP($B245,INDIRECT("'GRD-"&amp;DJ$11&amp;"'!B:R"),15,FALSE),"")</f>
        <v/>
      </c>
      <c r="DK245" s="96">
        <f>IFERROR(VLOOKUP($B245,INDIRECT("'GRD-"&amp;DK$11&amp;"'!B:R"),15,FALSE),"")</f>
        <v/>
      </c>
      <c r="DL245" s="96">
        <f>IFERROR(VLOOKUP($B245,INDIRECT("'GRD-"&amp;DL$11&amp;"'!B:R"),15,FALSE),"")</f>
        <v/>
      </c>
      <c r="DM245" s="96">
        <f>IFERROR(VLOOKUP($B245,INDIRECT("'GRD-"&amp;DM$11&amp;"'!B:R"),15,FALSE),"")</f>
        <v/>
      </c>
      <c r="DN245" s="96">
        <f>IFERROR(VLOOKUP($B245,INDIRECT("'GRD-"&amp;DN$11&amp;"'!B:R"),15,FALSE),"")</f>
        <v/>
      </c>
      <c r="DO245" s="96">
        <f>IFERROR(VLOOKUP($B245,INDIRECT("'GRD-"&amp;DO$11&amp;"'!B:R"),15,FALSE),"")</f>
        <v/>
      </c>
      <c r="DP245" s="96">
        <f>IFERROR(VLOOKUP($B245,INDIRECT("'GRD-"&amp;DP$11&amp;"'!B:R"),15,FALSE),"")</f>
        <v/>
      </c>
      <c r="DQ245" s="96">
        <f>IFERROR(VLOOKUP($B245,INDIRECT("'GRD-"&amp;DQ$11&amp;"'!B:R"),15,FALSE),"")</f>
        <v/>
      </c>
      <c r="DR245" s="96">
        <f>IFERROR(VLOOKUP($B245,INDIRECT("'GRD-"&amp;DR$11&amp;"'!B:R"),15,FALSE),"")</f>
        <v/>
      </c>
      <c r="DS245" s="96">
        <f>IFERROR(VLOOKUP($B245,INDIRECT("'GRD-"&amp;DS$11&amp;"'!B:R"),15,FALSE),"")</f>
        <v/>
      </c>
      <c r="DT245" s="96">
        <f>IFERROR(VLOOKUP($B245,INDIRECT("'GRD-"&amp;DT$11&amp;"'!B:R"),15,FALSE),"")</f>
        <v/>
      </c>
      <c r="DU245" s="96">
        <f>IFERROR(VLOOKUP($B245,INDIRECT("'GRD-"&amp;DU$11&amp;"'!B:R"),15,FALSE),"")</f>
        <v/>
      </c>
      <c r="DV245" s="96">
        <f>IFERROR(VLOOKUP($B245,INDIRECT("'GRD-"&amp;DV$11&amp;"'!B:R"),15,FALSE),"")</f>
        <v/>
      </c>
      <c r="DW245" s="96">
        <f>IFERROR(VLOOKUP($B245,INDIRECT("'GRD-"&amp;DW$11&amp;"'!B:R"),15,FALSE),"")</f>
        <v/>
      </c>
      <c r="DX245" s="96">
        <f>IFERROR(VLOOKUP($B245,INDIRECT("'GRD-"&amp;DX$11&amp;"'!B:R"),15,FALSE),"")</f>
        <v/>
      </c>
      <c r="DY245" s="96">
        <f>IFERROR(VLOOKUP($B245,INDIRECT("'GRD-"&amp;DY$11&amp;"'!B:R"),15,FALSE),"")</f>
        <v/>
      </c>
      <c r="DZ245" s="96">
        <f>IFERROR(VLOOKUP($B245,INDIRECT("'GRD-"&amp;DZ$11&amp;"'!B:R"),15,FALSE),"")</f>
        <v/>
      </c>
      <c r="EA245" s="96">
        <f>IFERROR(VLOOKUP($B245,INDIRECT("'GRD-"&amp;EA$11&amp;"'!B:R"),15,FALSE),"")</f>
        <v/>
      </c>
      <c r="EB245" s="96">
        <f>IFERROR(VLOOKUP($B245,INDIRECT("'GRD-"&amp;EB$11&amp;"'!B:R"),15,FALSE),"")</f>
        <v/>
      </c>
      <c r="EC245" s="96">
        <f>IFERROR(VLOOKUP($B245,INDIRECT("'GRD-"&amp;EC$11&amp;"'!B:R"),15,FALSE),"")</f>
        <v/>
      </c>
      <c r="ED245" s="96">
        <f>IFERROR(VLOOKUP($B245,INDIRECT("'GRD-"&amp;ED$11&amp;"'!B:R"),15,FALSE),"")</f>
        <v/>
      </c>
      <c r="EE245" s="96">
        <f>IFERROR(VLOOKUP($B245,INDIRECT("'GRD-"&amp;EE$11&amp;"'!B:R"),15,FALSE),"")</f>
        <v/>
      </c>
      <c r="EF245" s="96">
        <f>IFERROR(VLOOKUP($B245,INDIRECT("'GRD-"&amp;EF$11&amp;"'!B:R"),15,FALSE),"")</f>
        <v/>
      </c>
      <c r="EG245" s="96">
        <f>IFERROR(VLOOKUP($B245,INDIRECT("'GRD-"&amp;EG$11&amp;"'!B:R"),15,FALSE),"")</f>
        <v/>
      </c>
      <c r="EH245" s="96">
        <f>IFERROR(VLOOKUP($B245,INDIRECT("'GRD-"&amp;EH$11&amp;"'!B:R"),15,FALSE),"")</f>
        <v/>
      </c>
      <c r="EI245" s="96">
        <f>IFERROR(VLOOKUP($B245,INDIRECT("'GRD-"&amp;EI$11&amp;"'!B:R"),15,FALSE),"")</f>
        <v/>
      </c>
      <c r="EJ245" s="96">
        <f>IFERROR(VLOOKUP($B245,INDIRECT("'GRD-"&amp;EJ$11&amp;"'!B:R"),15,FALSE),"")</f>
        <v/>
      </c>
      <c r="EK245" s="96">
        <f>IFERROR(VLOOKUP($B245,INDIRECT("'GRD-"&amp;EK$11&amp;"'!B:R"),15,FALSE),"")</f>
        <v/>
      </c>
      <c r="EL245" s="96">
        <f>IFERROR(VLOOKUP($B245,INDIRECT("'GRD-"&amp;EL$11&amp;"'!B:R"),15,FALSE),"")</f>
        <v/>
      </c>
      <c r="EM245" s="96">
        <f>IFERROR(VLOOKUP($B245,INDIRECT("'GRD-"&amp;EM$11&amp;"'!B:R"),15,FALSE),"")</f>
        <v/>
      </c>
      <c r="EN245" s="96">
        <f>IFERROR(VLOOKUP($B245,INDIRECT("'GRD-"&amp;EN$11&amp;"'!B:R"),15,FALSE),"")</f>
        <v/>
      </c>
      <c r="EO245" s="96">
        <f>IFERROR(VLOOKUP($B245,INDIRECT("'GRD-"&amp;EO$11&amp;"'!B:R"),15,FALSE),"")</f>
        <v/>
      </c>
      <c r="EP245" s="96">
        <f>IFERROR(VLOOKUP($B245,INDIRECT("'GRD-"&amp;EP$11&amp;"'!B:R"),15,FALSE),"")</f>
        <v/>
      </c>
      <c r="EQ245" s="96">
        <f>IFERROR(VLOOKUP($B245,INDIRECT("'GRD-"&amp;EQ$11&amp;"'!B:R"),15,FALSE),"")</f>
        <v/>
      </c>
      <c r="ER245" s="96">
        <f>IFERROR(VLOOKUP($B245,INDIRECT("'GRD-"&amp;ER$11&amp;"'!B:R"),15,FALSE),"")</f>
        <v/>
      </c>
      <c r="ES245" s="96">
        <f>IFERROR(VLOOKUP($B245,INDIRECT("'GRD-"&amp;ES$11&amp;"'!B:R"),15,FALSE),"")</f>
        <v/>
      </c>
      <c r="ET245" s="96">
        <f>IFERROR(VLOOKUP($B245,INDIRECT("'GRD-"&amp;ET$11&amp;"'!B:R"),15,FALSE),"")</f>
        <v/>
      </c>
      <c r="EU245" s="96">
        <f>IFERROR(VLOOKUP($B245,INDIRECT("'GRD-"&amp;EU$11&amp;"'!B:R"),15,FALSE),"")</f>
        <v/>
      </c>
      <c r="EV245" s="96">
        <f>IFERROR(VLOOKUP($B245,INDIRECT("'GRD-"&amp;EV$11&amp;"'!B:R"),15,FALSE),"")</f>
        <v/>
      </c>
      <c r="EW245" s="96">
        <f>IFERROR(VLOOKUP($B245,INDIRECT("'GRD-"&amp;EW$11&amp;"'!B:R"),15,FALSE),"")</f>
        <v/>
      </c>
      <c r="EX245" s="96">
        <f>IFERROR(VLOOKUP($B245,INDIRECT("'GRD-"&amp;EX$11&amp;"'!B:R"),15,FALSE),"")</f>
        <v/>
      </c>
      <c r="EY245" s="96">
        <f>IFERROR(VLOOKUP($B245,INDIRECT("'GRD-"&amp;EY$11&amp;"'!B:R"),15,FALSE),"")</f>
        <v/>
      </c>
      <c r="EZ245" s="96">
        <f>IFERROR(VLOOKUP($B245,INDIRECT("'GRD-"&amp;EZ$11&amp;"'!B:R"),15,FALSE),"")</f>
        <v/>
      </c>
      <c r="FA245" s="96">
        <f>IFERROR(VLOOKUP($B245,INDIRECT("'GRD-"&amp;FA$11&amp;"'!B:R"),15,FALSE),"")</f>
        <v/>
      </c>
      <c r="FB245" s="96">
        <f>IFERROR(VLOOKUP($B245,INDIRECT("'GRD-"&amp;FB$11&amp;"'!B:R"),15,FALSE),"")</f>
        <v/>
      </c>
      <c r="FC245" s="96">
        <f>IFERROR(VLOOKUP($B245,INDIRECT("'GRD-"&amp;FC$11&amp;"'!B:R"),15,FALSE),"")</f>
        <v/>
      </c>
      <c r="FD245" s="96">
        <f>IFERROR(VLOOKUP($B245,INDIRECT("'GRD-"&amp;FD$11&amp;"'!B:R"),15,FALSE),"")</f>
        <v/>
      </c>
      <c r="FE245" s="96">
        <f>IFERROR(VLOOKUP($B245,INDIRECT("'GRD-"&amp;FE$11&amp;"'!B:R"),15,FALSE),"")</f>
        <v/>
      </c>
      <c r="FF245" s="96">
        <f>IFERROR(VLOOKUP($B245,INDIRECT("'GRD-"&amp;FF$11&amp;"'!B:R"),15,FALSE),"")</f>
        <v/>
      </c>
      <c r="FG245" s="96">
        <f>IFERROR(VLOOKUP($B245,INDIRECT("'GRD-"&amp;FG$11&amp;"'!B:R"),15,FALSE),"")</f>
        <v/>
      </c>
      <c r="FH245" s="96">
        <f>IFERROR(VLOOKUP($B245,INDIRECT("'GRD-"&amp;FH$11&amp;"'!B:R"),15,FALSE),"")</f>
        <v/>
      </c>
      <c r="FI245" s="96">
        <f>IFERROR(VLOOKUP($B245,INDIRECT("'GRD-"&amp;FI$11&amp;"'!B:R"),15,FALSE),"")</f>
        <v/>
      </c>
      <c r="FJ245" s="96">
        <f>IFERROR(VLOOKUP($B245,INDIRECT("'GRD-"&amp;FJ$11&amp;"'!B:R"),15,FALSE),"")</f>
        <v/>
      </c>
      <c r="FK245" s="96">
        <f>IFERROR(VLOOKUP($B245,INDIRECT("'GRD-"&amp;FK$11&amp;"'!B:R"),15,FALSE),"")</f>
        <v/>
      </c>
      <c r="FL245" s="96">
        <f>IFERROR(VLOOKUP($B245,INDIRECT("'GRD-"&amp;FL$11&amp;"'!B:R"),15,FALSE),"")</f>
        <v/>
      </c>
      <c r="FM245" s="96">
        <f>IFERROR(VLOOKUP($B245,INDIRECT("'GRD-"&amp;FM$11&amp;"'!B:R"),15,FALSE),"")</f>
        <v/>
      </c>
      <c r="FN245" s="96">
        <f>IFERROR(VLOOKUP($B245,INDIRECT("'GRD-"&amp;FN$11&amp;"'!B:R"),15,FALSE),"")</f>
        <v/>
      </c>
      <c r="FO245" s="96">
        <f>IFERROR(VLOOKUP($B245,INDIRECT("'GRD-"&amp;FO$11&amp;"'!B:R"),15,FALSE),"")</f>
        <v/>
      </c>
      <c r="FP245" s="96">
        <f>IFERROR(VLOOKUP($B245,INDIRECT("'GRD-"&amp;FP$11&amp;"'!B:R"),15,FALSE),"")</f>
        <v/>
      </c>
      <c r="FQ245" s="96">
        <f>IFERROR(VLOOKUP($B245,INDIRECT("'GRD-"&amp;FQ$11&amp;"'!B:R"),15,FALSE),"")</f>
        <v/>
      </c>
      <c r="FR245" s="96">
        <f>IFERROR(VLOOKUP($B245,INDIRECT("'GRD-"&amp;FR$11&amp;"'!B:R"),15,FALSE),"")</f>
        <v/>
      </c>
      <c r="FS245" s="96">
        <f>IFERROR(VLOOKUP($B245,INDIRECT("'GRD-"&amp;FS$11&amp;"'!B:R"),15,FALSE),"")</f>
        <v/>
      </c>
      <c r="FT245" s="96">
        <f>IFERROR(VLOOKUP($B245,INDIRECT("'GRD-"&amp;FT$11&amp;"'!B:R"),15,FALSE),"")</f>
        <v/>
      </c>
      <c r="FU245" s="96">
        <f>IFERROR(VLOOKUP($B245,INDIRECT("'GRD-"&amp;FU$11&amp;"'!B:R"),15,FALSE),"")</f>
        <v/>
      </c>
      <c r="FV245" s="96">
        <f>IFERROR(VLOOKUP($B245,INDIRECT("'GRD-"&amp;FV$11&amp;"'!B:R"),15,FALSE),"")</f>
        <v/>
      </c>
    </row>
    <row r="246">
      <c r="B246" s="85" t="n"/>
      <c r="C246" s="93" t="n"/>
      <c r="D246" s="73">
        <f>IF(K246="","",MAX($CA246:$FV246))</f>
        <v/>
      </c>
      <c r="E246" s="74">
        <f t="array" ref="E246">IF($K246="","",OFFSET($A$1,ROW($B246)-1,11+$D246*4,))</f>
        <v/>
      </c>
      <c r="F246" s="74">
        <f t="array" ref="F246">IF($K246="","",OFFSET($A$1,ROW($B246)-1,12+$D246*4,))</f>
        <v/>
      </c>
      <c r="G246" s="118">
        <f t="array" ref="G246">IF($K246="","",OFFSET($A$1,ROW($B246)-1,13+$D246*4,))</f>
        <v/>
      </c>
      <c r="H246" s="81" t="n"/>
      <c r="I246" s="82" t="n"/>
      <c r="J246" s="75">
        <f>IF(I246="A4",H246/8,IF(I246="A3",H246/4,IF(I246="A2",H246/2,IF(I246="A1",H246/1,IF(I246="A0",H246*2,"")))))</f>
        <v/>
      </c>
      <c r="K246" s="68">
        <f t="array" ref="K246">IFERROR(OFFSET($BZ$11,ROW($B246)-11,MATCH(K$10,$CA246:$FV246,0),),"")</f>
        <v/>
      </c>
      <c r="L246" s="85">
        <f>IF(K246="","",IF(VLOOKUP($B246,INDIRECT("'GRD-"&amp;M246&amp;"'!$B:$R"),16,FALSE)="","",VLOOKUP($B246,INDIRECT("'GRD-"&amp;M246&amp;"'!$B:$R"),16,FALSE)))</f>
        <v/>
      </c>
      <c r="M246" s="130">
        <f t="array" ref="M246">IF(K246="","",IFERROR(OFFSET($BZ$11,0,MATCH($K246,$CA246:$FV246,0),),""))</f>
        <v/>
      </c>
      <c r="N246" s="119">
        <f t="array" ref="N246">IF(K246="","",INDIRECT("'GRD-"&amp;M246&amp;"'!$L$7"))</f>
        <v/>
      </c>
      <c r="O246" s="76">
        <f t="array" ref="O246">IFERROR(OFFSET($BZ$11,ROW($B246)-11,MATCH(O$10,$CA246:$FV246,0),),"")</f>
        <v/>
      </c>
      <c r="P246" s="76">
        <f>IF(O246="","",IF(VLOOKUP($B246,INDIRECT("'GRD-"&amp;Q246&amp;"'!$B:$R"),16,FALSE)="","",VLOOKUP($B246,INDIRECT("'GRD-"&amp;Q246&amp;"'!$B:$R"),16,FALSE)))</f>
        <v/>
      </c>
      <c r="Q246" s="132">
        <f t="array" ref="Q246">IF(O246="","",IFERROR(OFFSET($BZ$11,0,MATCH($O246,$CA246:$FV246,0),),""))</f>
        <v/>
      </c>
      <c r="R246" s="121">
        <f t="array" ref="R246">IF(O246="","",INDIRECT("'GRD-"&amp;Q246&amp;"'!$L$7"))</f>
        <v/>
      </c>
      <c r="S246" s="83">
        <f t="array" ref="S246">IFERROR(OFFSET($BZ$11,ROW($B246)-11,MATCH(S$10,$CA246:$FV246,0),),"")</f>
        <v/>
      </c>
      <c r="T246" s="83">
        <f>IF(S246="","",IF(VLOOKUP($B246,INDIRECT("'GRD-"&amp;U246&amp;"'!$B:$R"),16,FALSE)="","",VLOOKUP($B246,INDIRECT("'GRD-"&amp;U246&amp;"'!$B:$R"),16,FALSE)))</f>
        <v/>
      </c>
      <c r="U246" s="128">
        <f t="array" ref="U246">IF(S246="","",IFERROR(OFFSET($BZ$11,0,MATCH($S246,$CA246:$FV246,0),),""))</f>
        <v/>
      </c>
      <c r="V246" s="133">
        <f t="array" ref="V246">IF(S246="","",INDIRECT("'GRD-"&amp;U246&amp;"'!$L$7"))</f>
        <v/>
      </c>
      <c r="W246" s="84">
        <f t="array" ref="W246">IFERROR(OFFSET($BZ$11,ROW($B246)-11,MATCH(W$10,$CA246:$FV246,0),),"")</f>
        <v/>
      </c>
      <c r="X246" s="84">
        <f>IF(W246="","",IF(VLOOKUP($B246,INDIRECT("'GRD-"&amp;Y246&amp;"'!$B:$R"),16,FALSE)="","",VLOOKUP($B246,INDIRECT("'GRD-"&amp;Y246&amp;"'!$B:$R"),16,FALSE)))</f>
        <v/>
      </c>
      <c r="Y246" s="129">
        <f t="array" ref="Y246">IF(W246="","",IFERROR(OFFSET($BZ$11,0,MATCH($W246,$CA246:$FV246,0),),""))</f>
        <v/>
      </c>
      <c r="Z246" s="134">
        <f t="array" ref="Z246">IF(W246="","",INDIRECT("'GRD-"&amp;Y246&amp;"'!$L$7"))</f>
        <v/>
      </c>
      <c r="AA246" s="85">
        <f t="array" ref="AA246">IFERROR(OFFSET($BZ$11,ROW($B246)-11,MATCH(AA$10,$CA246:$FV246,0),),"")</f>
        <v/>
      </c>
      <c r="AB246" s="85">
        <f>IF(AA246="","",IF(VLOOKUP($B246,INDIRECT("'GRD-"&amp;AC246&amp;"'!$B:$R"),16,FALSE)="","",VLOOKUP($B246,INDIRECT("'GRD-"&amp;AC246&amp;"'!$B:$R"),16,FALSE)))</f>
        <v/>
      </c>
      <c r="AC246" s="130">
        <f t="array" ref="AC246">IF(AA246="","",IFERROR(OFFSET($BZ$11,0,MATCH($AA246,$CA246:$FV246,0),),""))</f>
        <v/>
      </c>
      <c r="AD246" s="131">
        <f t="array" ref="AD246">IF(AA246="","",INDIRECT("'GRD-"&amp;AC246&amp;"'!$L$7"))</f>
        <v/>
      </c>
      <c r="AE246" s="76">
        <f t="array" ref="AE246">IFERROR(OFFSET($BZ$11,ROW($B246)-11,MATCH(AE$10,$CA246:$FV246,0),),"")</f>
        <v/>
      </c>
      <c r="AF246" s="76">
        <f>IF(AE246="","",IF(VLOOKUP($B246,INDIRECT("'GRD-"&amp;AG246&amp;"'!$B:$R"),16,FALSE)="","",VLOOKUP($B246,INDIRECT("'GRD-"&amp;AG246&amp;"'!$B:$R"),16,FALSE)))</f>
        <v/>
      </c>
      <c r="AG246" s="132">
        <f t="array" ref="AG246">IF(AE246="","",IFERROR(OFFSET($BZ$11,0,MATCH($AE246,$CA246:$FV246,0),),""))</f>
        <v/>
      </c>
      <c r="AH246" s="121">
        <f t="array" ref="AH246">IF(AE246="","",INDIRECT("'GRD-"&amp;AG246&amp;"'!$L$7"))</f>
        <v/>
      </c>
      <c r="AI246" s="83">
        <f t="array" ref="AI246">IFERROR(OFFSET($BZ$11,ROW($B246)-11,MATCH(AI$10,$CA246:$FV246,0),),"")</f>
        <v/>
      </c>
      <c r="AJ246" s="83">
        <f>IF(AI246="","",IF(VLOOKUP($B246,INDIRECT("'GRD-"&amp;AK246&amp;"'!$B:$R"),16,FALSE)="","",VLOOKUP($B246,INDIRECT("'GRD-"&amp;AK246&amp;"'!$B:$R"),16,FALSE)))</f>
        <v/>
      </c>
      <c r="AK246" s="128">
        <f t="array" ref="AK246">IF(AI246="","",IFERROR(OFFSET($BZ$11,0,MATCH($AI246,$CA246:$FV246,0),),""))</f>
        <v/>
      </c>
      <c r="AL246" s="133">
        <f t="array" ref="AL246">IF(AI246="","",INDIRECT("'GRD-"&amp;AK246&amp;"'!$L$7"))</f>
        <v/>
      </c>
      <c r="AM246" s="84">
        <f t="array" ref="AM246">IFERROR(OFFSET($BZ$11,ROW($B246)-11,MATCH(AM$10,$CA246:$FV246,0),),"")</f>
        <v/>
      </c>
      <c r="AN246" s="84">
        <f>IF(AM246="","",IF(VLOOKUP($B246,INDIRECT("'GRD-"&amp;AO246&amp;"'!$B:$R"),16,FALSE)="","",VLOOKUP($B246,INDIRECT("'GRD-"&amp;AO246&amp;"'!$B:$R"),16,FALSE)))</f>
        <v/>
      </c>
      <c r="AO246" s="129">
        <f t="array" ref="AO246">IF(AM246="","",IFERROR(OFFSET($BZ$11,0,MATCH($AM246,$CA246:$FV246,0),),""))</f>
        <v/>
      </c>
      <c r="AP246" s="134">
        <f t="array" ref="AP246">IF(AM246="","",INDIRECT("'GRD-"&amp;AO246&amp;"'!$L$7"))</f>
        <v/>
      </c>
      <c r="AQ246" s="85">
        <f t="array" ref="AQ246">IFERROR(OFFSET($BZ$11,ROW($B246)-11,MATCH(AQ$10,$CA246:$FV246,0),),"")</f>
        <v/>
      </c>
      <c r="AR246" s="85">
        <f>IF(AQ246="","",IF(VLOOKUP($B246,INDIRECT("'GRD-"&amp;AS246&amp;"'!$B:$R"),16,FALSE)="","",VLOOKUP($B246,INDIRECT("'GRD-"&amp;AS246&amp;"'!$B:$R"),16,FALSE)))</f>
        <v/>
      </c>
      <c r="AS246" s="130">
        <f t="array" ref="AS246">IF(AQ246="","",IFERROR(OFFSET($BZ$11,0,MATCH($AQ246,$CA246:$FV246,0),),""))</f>
        <v/>
      </c>
      <c r="AT246" s="131">
        <f t="array" ref="AT246">IF(AQ246="","",INDIRECT("'GRD-"&amp;AS246&amp;"'!$L$7"))</f>
        <v/>
      </c>
      <c r="AU246" s="76">
        <f t="array" ref="AU246">IFERROR(OFFSET($BZ$11,ROW($B246)-11,MATCH(AU$10,$CA246:$FV246,0),),"")</f>
        <v/>
      </c>
      <c r="AV246" s="76">
        <f>IF(AU246="","",IF(VLOOKUP($B246,INDIRECT("'GRD-"&amp;AW246&amp;"'!$B:$R"),16,FALSE)="","",VLOOKUP($B246,INDIRECT("'GRD-"&amp;AW246&amp;"'!$B:$R"),16,FALSE)))</f>
        <v/>
      </c>
      <c r="AW246" s="132">
        <f t="array" ref="AW246">IF(AU246="","",IFERROR(OFFSET($BZ$11,0,MATCH($AU246,$CA246:$FV246,0),),""))</f>
        <v/>
      </c>
      <c r="AX246" s="121">
        <f t="array" ref="AX246">IF(AU246="","",INDIRECT("'GRD-"&amp;AW246&amp;"'!$L$7"))</f>
        <v/>
      </c>
      <c r="AY246" s="83">
        <f t="array" ref="AY246">IFERROR(OFFSET($BZ$11,ROW($B246)-11,MATCH(AY$10,$CA246:$FV246,0),),"")</f>
        <v/>
      </c>
      <c r="AZ246" s="83">
        <f>IF(AY246="","",IF(VLOOKUP($B246,INDIRECT("'GRD-"&amp;BA246&amp;"'!$B:$R"),16,FALSE)="","",VLOOKUP($B246,INDIRECT("'GRD-"&amp;BA246&amp;"'!$B:$R"),16,FALSE)))</f>
        <v/>
      </c>
      <c r="BA246" s="128">
        <f t="array" ref="BA246">IF(AY246="","",IFERROR(OFFSET($BZ$11,0,MATCH($AY246,$CA246:$FV246,0),),""))</f>
        <v/>
      </c>
      <c r="BB246" s="133">
        <f t="array" ref="BB246">IF(AY246="","",INDIRECT("'GRD-"&amp;BA246&amp;"'!$L$7"))</f>
        <v/>
      </c>
      <c r="BC246" s="84">
        <f t="array" ref="BC246">IFERROR(OFFSET($BZ$11,ROW($B246)-11,MATCH(BC$10,$CA246:$FV246,0),),"")</f>
        <v/>
      </c>
      <c r="BD246" s="84">
        <f>IF(BC246="","",IF(VLOOKUP($B246,INDIRECT("'GRD-"&amp;BE246&amp;"'!$B:$R"),16,FALSE)="","",VLOOKUP($B246,INDIRECT("'GRD-"&amp;BE246&amp;"'!$B:$R"),16,FALSE)))</f>
        <v/>
      </c>
      <c r="BE246" s="129">
        <f t="array" ref="BE246">IF(BC246="","",IFERROR(OFFSET($BZ$11,0,MATCH($BC246,$CA246:$FV246,0),),""))</f>
        <v/>
      </c>
      <c r="BF246" s="134">
        <f t="array" ref="BF246">IF(BC246="","",INDIRECT("'GRD-"&amp;BE246&amp;"'!$L$7"))</f>
        <v/>
      </c>
      <c r="CA246" s="96">
        <f>IFERROR(VLOOKUP($B246,INDIRECT("'GRD-"&amp;CA$11&amp;"'!B:R"),15,FALSE),"")</f>
        <v/>
      </c>
      <c r="CB246" s="96">
        <f>IFERROR(VLOOKUP($B246,INDIRECT("'GRD-"&amp;CB$11&amp;"'!B:R"),15,FALSE),"")</f>
        <v/>
      </c>
      <c r="CC246" s="96">
        <f>IFERROR(VLOOKUP($B246,INDIRECT("'GRD-"&amp;CC$11&amp;"'!B:R"),15,FALSE),"")</f>
        <v/>
      </c>
      <c r="CD246" s="96">
        <f>IFERROR(VLOOKUP($B246,INDIRECT("'GRD-"&amp;CD$11&amp;"'!B:R"),15,FALSE),"")</f>
        <v/>
      </c>
      <c r="CE246" s="96">
        <f>IFERROR(VLOOKUP($B246,INDIRECT("'GRD-"&amp;CE$11&amp;"'!B:R"),15,FALSE),"")</f>
        <v/>
      </c>
      <c r="CF246" s="96">
        <f>IFERROR(VLOOKUP($B246,INDIRECT("'GRD-"&amp;CF$11&amp;"'!B:R"),15,FALSE),"")</f>
        <v/>
      </c>
      <c r="CG246" s="96">
        <f>IFERROR(VLOOKUP($B246,INDIRECT("'GRD-"&amp;CG$11&amp;"'!B:R"),15,FALSE),"")</f>
        <v/>
      </c>
      <c r="CH246" s="96">
        <f>IFERROR(VLOOKUP($B246,INDIRECT("'GRD-"&amp;CH$11&amp;"'!B:R"),15,FALSE),"")</f>
        <v/>
      </c>
      <c r="CI246" s="96">
        <f>IFERROR(VLOOKUP($B246,INDIRECT("'GRD-"&amp;CI$11&amp;"'!B:R"),15,FALSE),"")</f>
        <v/>
      </c>
      <c r="CJ246" s="96">
        <f>IFERROR(VLOOKUP($B246,INDIRECT("'GRD-"&amp;CJ$11&amp;"'!B:R"),15,FALSE),"")</f>
        <v/>
      </c>
      <c r="CK246" s="96">
        <f>IFERROR(VLOOKUP($B246,INDIRECT("'GRD-"&amp;CK$11&amp;"'!B:R"),15,FALSE),"")</f>
        <v/>
      </c>
      <c r="CL246" s="96">
        <f>IFERROR(VLOOKUP($B246,INDIRECT("'GRD-"&amp;CL$11&amp;"'!B:R"),15,FALSE),"")</f>
        <v/>
      </c>
      <c r="CM246" s="96">
        <f>IFERROR(VLOOKUP($B246,INDIRECT("'GRD-"&amp;CM$11&amp;"'!B:R"),15,FALSE),"")</f>
        <v/>
      </c>
      <c r="CN246" s="96">
        <f>IFERROR(VLOOKUP($B246,INDIRECT("'GRD-"&amp;CN$11&amp;"'!B:R"),15,FALSE),"")</f>
        <v/>
      </c>
      <c r="CO246" s="96">
        <f>IFERROR(VLOOKUP($B246,INDIRECT("'GRD-"&amp;CO$11&amp;"'!B:R"),15,FALSE),"")</f>
        <v/>
      </c>
      <c r="CP246" s="96">
        <f>IFERROR(VLOOKUP($B246,INDIRECT("'GRD-"&amp;CP$11&amp;"'!B:R"),15,FALSE),"")</f>
        <v/>
      </c>
      <c r="CQ246" s="96">
        <f>IFERROR(VLOOKUP($B246,INDIRECT("'GRD-"&amp;CQ$11&amp;"'!B:R"),15,FALSE),"")</f>
        <v/>
      </c>
      <c r="CR246" s="96">
        <f>IFERROR(VLOOKUP($B246,INDIRECT("'GRD-"&amp;CR$11&amp;"'!B:R"),15,FALSE),"")</f>
        <v/>
      </c>
      <c r="CS246" s="96">
        <f>IFERROR(VLOOKUP($B246,INDIRECT("'GRD-"&amp;CS$11&amp;"'!B:R"),15,FALSE),"")</f>
        <v/>
      </c>
      <c r="CT246" s="96">
        <f>IFERROR(VLOOKUP($B246,INDIRECT("'GRD-"&amp;CT$11&amp;"'!B:R"),15,FALSE),"")</f>
        <v/>
      </c>
      <c r="CU246" s="96">
        <f>IFERROR(VLOOKUP($B246,INDIRECT("'GRD-"&amp;CU$11&amp;"'!B:R"),15,FALSE),"")</f>
        <v/>
      </c>
      <c r="CV246" s="96">
        <f>IFERROR(VLOOKUP($B246,INDIRECT("'GRD-"&amp;CV$11&amp;"'!B:R"),15,FALSE),"")</f>
        <v/>
      </c>
      <c r="CW246" s="96">
        <f>IFERROR(VLOOKUP($B246,INDIRECT("'GRD-"&amp;CW$11&amp;"'!B:R"),15,FALSE),"")</f>
        <v/>
      </c>
      <c r="CX246" s="96">
        <f>IFERROR(VLOOKUP($B246,INDIRECT("'GRD-"&amp;CX$11&amp;"'!B:R"),15,FALSE),"")</f>
        <v/>
      </c>
      <c r="CY246" s="96">
        <f>IFERROR(VLOOKUP($B246,INDIRECT("'GRD-"&amp;CY$11&amp;"'!B:R"),15,FALSE),"")</f>
        <v/>
      </c>
      <c r="CZ246" s="96">
        <f>IFERROR(VLOOKUP($B246,INDIRECT("'GRD-"&amp;CZ$11&amp;"'!B:R"),15,FALSE),"")</f>
        <v/>
      </c>
      <c r="DA246" s="96">
        <f>IFERROR(VLOOKUP($B246,INDIRECT("'GRD-"&amp;DA$11&amp;"'!B:R"),15,FALSE),"")</f>
        <v/>
      </c>
      <c r="DB246" s="96">
        <f>IFERROR(VLOOKUP($B246,INDIRECT("'GRD-"&amp;DB$11&amp;"'!B:R"),15,FALSE),"")</f>
        <v/>
      </c>
      <c r="DC246" s="96">
        <f>IFERROR(VLOOKUP($B246,INDIRECT("'GRD-"&amp;DC$11&amp;"'!B:R"),15,FALSE),"")</f>
        <v/>
      </c>
      <c r="DD246" s="96">
        <f>IFERROR(VLOOKUP($B246,INDIRECT("'GRD-"&amp;DD$11&amp;"'!B:R"),15,FALSE),"")</f>
        <v/>
      </c>
      <c r="DE246" s="96">
        <f>IFERROR(VLOOKUP($B246,INDIRECT("'GRD-"&amp;DE$11&amp;"'!B:R"),15,FALSE),"")</f>
        <v/>
      </c>
      <c r="DF246" s="96">
        <f>IFERROR(VLOOKUP($B246,INDIRECT("'GRD-"&amp;DF$11&amp;"'!B:R"),15,FALSE),"")</f>
        <v/>
      </c>
      <c r="DG246" s="96">
        <f>IFERROR(VLOOKUP($B246,INDIRECT("'GRD-"&amp;DG$11&amp;"'!B:R"),15,FALSE),"")</f>
        <v/>
      </c>
      <c r="DH246" s="96">
        <f>IFERROR(VLOOKUP($B246,INDIRECT("'GRD-"&amp;DH$11&amp;"'!B:R"),15,FALSE),"")</f>
        <v/>
      </c>
      <c r="DI246" s="96">
        <f>IFERROR(VLOOKUP($B246,INDIRECT("'GRD-"&amp;DI$11&amp;"'!B:R"),15,FALSE),"")</f>
        <v/>
      </c>
      <c r="DJ246" s="96">
        <f>IFERROR(VLOOKUP($B246,INDIRECT("'GRD-"&amp;DJ$11&amp;"'!B:R"),15,FALSE),"")</f>
        <v/>
      </c>
      <c r="DK246" s="96">
        <f>IFERROR(VLOOKUP($B246,INDIRECT("'GRD-"&amp;DK$11&amp;"'!B:R"),15,FALSE),"")</f>
        <v/>
      </c>
      <c r="DL246" s="96">
        <f>IFERROR(VLOOKUP($B246,INDIRECT("'GRD-"&amp;DL$11&amp;"'!B:R"),15,FALSE),"")</f>
        <v/>
      </c>
      <c r="DM246" s="96">
        <f>IFERROR(VLOOKUP($B246,INDIRECT("'GRD-"&amp;DM$11&amp;"'!B:R"),15,FALSE),"")</f>
        <v/>
      </c>
      <c r="DN246" s="96">
        <f>IFERROR(VLOOKUP($B246,INDIRECT("'GRD-"&amp;DN$11&amp;"'!B:R"),15,FALSE),"")</f>
        <v/>
      </c>
      <c r="DO246" s="96">
        <f>IFERROR(VLOOKUP($B246,INDIRECT("'GRD-"&amp;DO$11&amp;"'!B:R"),15,FALSE),"")</f>
        <v/>
      </c>
      <c r="DP246" s="96">
        <f>IFERROR(VLOOKUP($B246,INDIRECT("'GRD-"&amp;DP$11&amp;"'!B:R"),15,FALSE),"")</f>
        <v/>
      </c>
      <c r="DQ246" s="96">
        <f>IFERROR(VLOOKUP($B246,INDIRECT("'GRD-"&amp;DQ$11&amp;"'!B:R"),15,FALSE),"")</f>
        <v/>
      </c>
      <c r="DR246" s="96">
        <f>IFERROR(VLOOKUP($B246,INDIRECT("'GRD-"&amp;DR$11&amp;"'!B:R"),15,FALSE),"")</f>
        <v/>
      </c>
      <c r="DS246" s="96">
        <f>IFERROR(VLOOKUP($B246,INDIRECT("'GRD-"&amp;DS$11&amp;"'!B:R"),15,FALSE),"")</f>
        <v/>
      </c>
      <c r="DT246" s="96">
        <f>IFERROR(VLOOKUP($B246,INDIRECT("'GRD-"&amp;DT$11&amp;"'!B:R"),15,FALSE),"")</f>
        <v/>
      </c>
      <c r="DU246" s="96">
        <f>IFERROR(VLOOKUP($B246,INDIRECT("'GRD-"&amp;DU$11&amp;"'!B:R"),15,FALSE),"")</f>
        <v/>
      </c>
      <c r="DV246" s="96">
        <f>IFERROR(VLOOKUP($B246,INDIRECT("'GRD-"&amp;DV$11&amp;"'!B:R"),15,FALSE),"")</f>
        <v/>
      </c>
      <c r="DW246" s="96">
        <f>IFERROR(VLOOKUP($B246,INDIRECT("'GRD-"&amp;DW$11&amp;"'!B:R"),15,FALSE),"")</f>
        <v/>
      </c>
      <c r="DX246" s="96">
        <f>IFERROR(VLOOKUP($B246,INDIRECT("'GRD-"&amp;DX$11&amp;"'!B:R"),15,FALSE),"")</f>
        <v/>
      </c>
      <c r="DY246" s="96">
        <f>IFERROR(VLOOKUP($B246,INDIRECT("'GRD-"&amp;DY$11&amp;"'!B:R"),15,FALSE),"")</f>
        <v/>
      </c>
      <c r="DZ246" s="96">
        <f>IFERROR(VLOOKUP($B246,INDIRECT("'GRD-"&amp;DZ$11&amp;"'!B:R"),15,FALSE),"")</f>
        <v/>
      </c>
      <c r="EA246" s="96">
        <f>IFERROR(VLOOKUP($B246,INDIRECT("'GRD-"&amp;EA$11&amp;"'!B:R"),15,FALSE),"")</f>
        <v/>
      </c>
      <c r="EB246" s="96">
        <f>IFERROR(VLOOKUP($B246,INDIRECT("'GRD-"&amp;EB$11&amp;"'!B:R"),15,FALSE),"")</f>
        <v/>
      </c>
      <c r="EC246" s="96">
        <f>IFERROR(VLOOKUP($B246,INDIRECT("'GRD-"&amp;EC$11&amp;"'!B:R"),15,FALSE),"")</f>
        <v/>
      </c>
      <c r="ED246" s="96">
        <f>IFERROR(VLOOKUP($B246,INDIRECT("'GRD-"&amp;ED$11&amp;"'!B:R"),15,FALSE),"")</f>
        <v/>
      </c>
      <c r="EE246" s="96">
        <f>IFERROR(VLOOKUP($B246,INDIRECT("'GRD-"&amp;EE$11&amp;"'!B:R"),15,FALSE),"")</f>
        <v/>
      </c>
      <c r="EF246" s="96">
        <f>IFERROR(VLOOKUP($B246,INDIRECT("'GRD-"&amp;EF$11&amp;"'!B:R"),15,FALSE),"")</f>
        <v/>
      </c>
      <c r="EG246" s="96">
        <f>IFERROR(VLOOKUP($B246,INDIRECT("'GRD-"&amp;EG$11&amp;"'!B:R"),15,FALSE),"")</f>
        <v/>
      </c>
      <c r="EH246" s="96">
        <f>IFERROR(VLOOKUP($B246,INDIRECT("'GRD-"&amp;EH$11&amp;"'!B:R"),15,FALSE),"")</f>
        <v/>
      </c>
      <c r="EI246" s="96">
        <f>IFERROR(VLOOKUP($B246,INDIRECT("'GRD-"&amp;EI$11&amp;"'!B:R"),15,FALSE),"")</f>
        <v/>
      </c>
      <c r="EJ246" s="96">
        <f>IFERROR(VLOOKUP($B246,INDIRECT("'GRD-"&amp;EJ$11&amp;"'!B:R"),15,FALSE),"")</f>
        <v/>
      </c>
      <c r="EK246" s="96">
        <f>IFERROR(VLOOKUP($B246,INDIRECT("'GRD-"&amp;EK$11&amp;"'!B:R"),15,FALSE),"")</f>
        <v/>
      </c>
      <c r="EL246" s="96">
        <f>IFERROR(VLOOKUP($B246,INDIRECT("'GRD-"&amp;EL$11&amp;"'!B:R"),15,FALSE),"")</f>
        <v/>
      </c>
      <c r="EM246" s="96">
        <f>IFERROR(VLOOKUP($B246,INDIRECT("'GRD-"&amp;EM$11&amp;"'!B:R"),15,FALSE),"")</f>
        <v/>
      </c>
      <c r="EN246" s="96">
        <f>IFERROR(VLOOKUP($B246,INDIRECT("'GRD-"&amp;EN$11&amp;"'!B:R"),15,FALSE),"")</f>
        <v/>
      </c>
      <c r="EO246" s="96">
        <f>IFERROR(VLOOKUP($B246,INDIRECT("'GRD-"&amp;EO$11&amp;"'!B:R"),15,FALSE),"")</f>
        <v/>
      </c>
      <c r="EP246" s="96">
        <f>IFERROR(VLOOKUP($B246,INDIRECT("'GRD-"&amp;EP$11&amp;"'!B:R"),15,FALSE),"")</f>
        <v/>
      </c>
      <c r="EQ246" s="96">
        <f>IFERROR(VLOOKUP($B246,INDIRECT("'GRD-"&amp;EQ$11&amp;"'!B:R"),15,FALSE),"")</f>
        <v/>
      </c>
      <c r="ER246" s="96">
        <f>IFERROR(VLOOKUP($B246,INDIRECT("'GRD-"&amp;ER$11&amp;"'!B:R"),15,FALSE),"")</f>
        <v/>
      </c>
      <c r="ES246" s="96">
        <f>IFERROR(VLOOKUP($B246,INDIRECT("'GRD-"&amp;ES$11&amp;"'!B:R"),15,FALSE),"")</f>
        <v/>
      </c>
      <c r="ET246" s="96">
        <f>IFERROR(VLOOKUP($B246,INDIRECT("'GRD-"&amp;ET$11&amp;"'!B:R"),15,FALSE),"")</f>
        <v/>
      </c>
      <c r="EU246" s="96">
        <f>IFERROR(VLOOKUP($B246,INDIRECT("'GRD-"&amp;EU$11&amp;"'!B:R"),15,FALSE),"")</f>
        <v/>
      </c>
      <c r="EV246" s="96">
        <f>IFERROR(VLOOKUP($B246,INDIRECT("'GRD-"&amp;EV$11&amp;"'!B:R"),15,FALSE),"")</f>
        <v/>
      </c>
      <c r="EW246" s="96">
        <f>IFERROR(VLOOKUP($B246,INDIRECT("'GRD-"&amp;EW$11&amp;"'!B:R"),15,FALSE),"")</f>
        <v/>
      </c>
      <c r="EX246" s="96">
        <f>IFERROR(VLOOKUP($B246,INDIRECT("'GRD-"&amp;EX$11&amp;"'!B:R"),15,FALSE),"")</f>
        <v/>
      </c>
      <c r="EY246" s="96">
        <f>IFERROR(VLOOKUP($B246,INDIRECT("'GRD-"&amp;EY$11&amp;"'!B:R"),15,FALSE),"")</f>
        <v/>
      </c>
      <c r="EZ246" s="96">
        <f>IFERROR(VLOOKUP($B246,INDIRECT("'GRD-"&amp;EZ$11&amp;"'!B:R"),15,FALSE),"")</f>
        <v/>
      </c>
      <c r="FA246" s="96">
        <f>IFERROR(VLOOKUP($B246,INDIRECT("'GRD-"&amp;FA$11&amp;"'!B:R"),15,FALSE),"")</f>
        <v/>
      </c>
      <c r="FB246" s="96">
        <f>IFERROR(VLOOKUP($B246,INDIRECT("'GRD-"&amp;FB$11&amp;"'!B:R"),15,FALSE),"")</f>
        <v/>
      </c>
      <c r="FC246" s="96">
        <f>IFERROR(VLOOKUP($B246,INDIRECT("'GRD-"&amp;FC$11&amp;"'!B:R"),15,FALSE),"")</f>
        <v/>
      </c>
      <c r="FD246" s="96">
        <f>IFERROR(VLOOKUP($B246,INDIRECT("'GRD-"&amp;FD$11&amp;"'!B:R"),15,FALSE),"")</f>
        <v/>
      </c>
      <c r="FE246" s="96">
        <f>IFERROR(VLOOKUP($B246,INDIRECT("'GRD-"&amp;FE$11&amp;"'!B:R"),15,FALSE),"")</f>
        <v/>
      </c>
      <c r="FF246" s="96">
        <f>IFERROR(VLOOKUP($B246,INDIRECT("'GRD-"&amp;FF$11&amp;"'!B:R"),15,FALSE),"")</f>
        <v/>
      </c>
      <c r="FG246" s="96">
        <f>IFERROR(VLOOKUP($B246,INDIRECT("'GRD-"&amp;FG$11&amp;"'!B:R"),15,FALSE),"")</f>
        <v/>
      </c>
      <c r="FH246" s="96">
        <f>IFERROR(VLOOKUP($B246,INDIRECT("'GRD-"&amp;FH$11&amp;"'!B:R"),15,FALSE),"")</f>
        <v/>
      </c>
      <c r="FI246" s="96">
        <f>IFERROR(VLOOKUP($B246,INDIRECT("'GRD-"&amp;FI$11&amp;"'!B:R"),15,FALSE),"")</f>
        <v/>
      </c>
      <c r="FJ246" s="96">
        <f>IFERROR(VLOOKUP($B246,INDIRECT("'GRD-"&amp;FJ$11&amp;"'!B:R"),15,FALSE),"")</f>
        <v/>
      </c>
      <c r="FK246" s="96">
        <f>IFERROR(VLOOKUP($B246,INDIRECT("'GRD-"&amp;FK$11&amp;"'!B:R"),15,FALSE),"")</f>
        <v/>
      </c>
      <c r="FL246" s="96">
        <f>IFERROR(VLOOKUP($B246,INDIRECT("'GRD-"&amp;FL$11&amp;"'!B:R"),15,FALSE),"")</f>
        <v/>
      </c>
      <c r="FM246" s="96">
        <f>IFERROR(VLOOKUP($B246,INDIRECT("'GRD-"&amp;FM$11&amp;"'!B:R"),15,FALSE),"")</f>
        <v/>
      </c>
      <c r="FN246" s="96">
        <f>IFERROR(VLOOKUP($B246,INDIRECT("'GRD-"&amp;FN$11&amp;"'!B:R"),15,FALSE),"")</f>
        <v/>
      </c>
      <c r="FO246" s="96">
        <f>IFERROR(VLOOKUP($B246,INDIRECT("'GRD-"&amp;FO$11&amp;"'!B:R"),15,FALSE),"")</f>
        <v/>
      </c>
      <c r="FP246" s="96">
        <f>IFERROR(VLOOKUP($B246,INDIRECT("'GRD-"&amp;FP$11&amp;"'!B:R"),15,FALSE),"")</f>
        <v/>
      </c>
      <c r="FQ246" s="96">
        <f>IFERROR(VLOOKUP($B246,INDIRECT("'GRD-"&amp;FQ$11&amp;"'!B:R"),15,FALSE),"")</f>
        <v/>
      </c>
      <c r="FR246" s="96">
        <f>IFERROR(VLOOKUP($B246,INDIRECT("'GRD-"&amp;FR$11&amp;"'!B:R"),15,FALSE),"")</f>
        <v/>
      </c>
      <c r="FS246" s="96">
        <f>IFERROR(VLOOKUP($B246,INDIRECT("'GRD-"&amp;FS$11&amp;"'!B:R"),15,FALSE),"")</f>
        <v/>
      </c>
      <c r="FT246" s="96">
        <f>IFERROR(VLOOKUP($B246,INDIRECT("'GRD-"&amp;FT$11&amp;"'!B:R"),15,FALSE),"")</f>
        <v/>
      </c>
      <c r="FU246" s="96">
        <f>IFERROR(VLOOKUP($B246,INDIRECT("'GRD-"&amp;FU$11&amp;"'!B:R"),15,FALSE),"")</f>
        <v/>
      </c>
      <c r="FV246" s="96">
        <f>IFERROR(VLOOKUP($B246,INDIRECT("'GRD-"&amp;FV$11&amp;"'!B:R"),15,FALSE),"")</f>
        <v/>
      </c>
    </row>
    <row r="247">
      <c r="B247" s="85" t="n"/>
      <c r="C247" s="93" t="n"/>
      <c r="D247" s="73">
        <f>IF(K247="","",MAX($CA247:$FV247))</f>
        <v/>
      </c>
      <c r="E247" s="74">
        <f t="array" ref="E247">IF($K247="","",OFFSET($A$1,ROW($B247)-1,11+$D247*4,))</f>
        <v/>
      </c>
      <c r="F247" s="74">
        <f t="array" ref="F247">IF($K247="","",OFFSET($A$1,ROW($B247)-1,12+$D247*4,))</f>
        <v/>
      </c>
      <c r="G247" s="118">
        <f t="array" ref="G247">IF($K247="","",OFFSET($A$1,ROW($B247)-1,13+$D247*4,))</f>
        <v/>
      </c>
      <c r="H247" s="81" t="n"/>
      <c r="I247" s="82" t="n"/>
      <c r="J247" s="75">
        <f>IF(I247="A4",H247/8,IF(I247="A3",H247/4,IF(I247="A2",H247/2,IF(I247="A1",H247/1,IF(I247="A0",H247*2,"")))))</f>
        <v/>
      </c>
      <c r="K247" s="68">
        <f t="array" ref="K247">IFERROR(OFFSET($BZ$11,ROW($B247)-11,MATCH(K$10,$CA247:$FV247,0),),"")</f>
        <v/>
      </c>
      <c r="L247" s="85">
        <f>IF(K247="","",IF(VLOOKUP($B247,INDIRECT("'GRD-"&amp;M247&amp;"'!$B:$R"),16,FALSE)="","",VLOOKUP($B247,INDIRECT("'GRD-"&amp;M247&amp;"'!$B:$R"),16,FALSE)))</f>
        <v/>
      </c>
      <c r="M247" s="130">
        <f t="array" ref="M247">IF(K247="","",IFERROR(OFFSET($BZ$11,0,MATCH($K247,$CA247:$FV247,0),),""))</f>
        <v/>
      </c>
      <c r="N247" s="119">
        <f t="array" ref="N247">IF(K247="","",INDIRECT("'GRD-"&amp;M247&amp;"'!$L$7"))</f>
        <v/>
      </c>
      <c r="O247" s="76">
        <f t="array" ref="O247">IFERROR(OFFSET($BZ$11,ROW($B247)-11,MATCH(O$10,$CA247:$FV247,0),),"")</f>
        <v/>
      </c>
      <c r="P247" s="76">
        <f>IF(O247="","",IF(VLOOKUP($B247,INDIRECT("'GRD-"&amp;Q247&amp;"'!$B:$R"),16,FALSE)="","",VLOOKUP($B247,INDIRECT("'GRD-"&amp;Q247&amp;"'!$B:$R"),16,FALSE)))</f>
        <v/>
      </c>
      <c r="Q247" s="132">
        <f t="array" ref="Q247">IF(O247="","",IFERROR(OFFSET($BZ$11,0,MATCH($O247,$CA247:$FV247,0),),""))</f>
        <v/>
      </c>
      <c r="R247" s="121">
        <f t="array" ref="R247">IF(O247="","",INDIRECT("'GRD-"&amp;Q247&amp;"'!$L$7"))</f>
        <v/>
      </c>
      <c r="S247" s="83">
        <f t="array" ref="S247">IFERROR(OFFSET($BZ$11,ROW($B247)-11,MATCH(S$10,$CA247:$FV247,0),),"")</f>
        <v/>
      </c>
      <c r="T247" s="83">
        <f>IF(S247="","",IF(VLOOKUP($B247,INDIRECT("'GRD-"&amp;U247&amp;"'!$B:$R"),16,FALSE)="","",VLOOKUP($B247,INDIRECT("'GRD-"&amp;U247&amp;"'!$B:$R"),16,FALSE)))</f>
        <v/>
      </c>
      <c r="U247" s="128">
        <f t="array" ref="U247">IF(S247="","",IFERROR(OFFSET($BZ$11,0,MATCH($S247,$CA247:$FV247,0),),""))</f>
        <v/>
      </c>
      <c r="V247" s="133">
        <f t="array" ref="V247">IF(S247="","",INDIRECT("'GRD-"&amp;U247&amp;"'!$L$7"))</f>
        <v/>
      </c>
      <c r="W247" s="84">
        <f t="array" ref="W247">IFERROR(OFFSET($BZ$11,ROW($B247)-11,MATCH(W$10,$CA247:$FV247,0),),"")</f>
        <v/>
      </c>
      <c r="X247" s="84">
        <f>IF(W247="","",IF(VLOOKUP($B247,INDIRECT("'GRD-"&amp;Y247&amp;"'!$B:$R"),16,FALSE)="","",VLOOKUP($B247,INDIRECT("'GRD-"&amp;Y247&amp;"'!$B:$R"),16,FALSE)))</f>
        <v/>
      </c>
      <c r="Y247" s="129">
        <f t="array" ref="Y247">IF(W247="","",IFERROR(OFFSET($BZ$11,0,MATCH($W247,$CA247:$FV247,0),),""))</f>
        <v/>
      </c>
      <c r="Z247" s="134">
        <f t="array" ref="Z247">IF(W247="","",INDIRECT("'GRD-"&amp;Y247&amp;"'!$L$7"))</f>
        <v/>
      </c>
      <c r="AA247" s="85">
        <f t="array" ref="AA247">IFERROR(OFFSET($BZ$11,ROW($B247)-11,MATCH(AA$10,$CA247:$FV247,0),),"")</f>
        <v/>
      </c>
      <c r="AB247" s="85">
        <f>IF(AA247="","",IF(VLOOKUP($B247,INDIRECT("'GRD-"&amp;AC247&amp;"'!$B:$R"),16,FALSE)="","",VLOOKUP($B247,INDIRECT("'GRD-"&amp;AC247&amp;"'!$B:$R"),16,FALSE)))</f>
        <v/>
      </c>
      <c r="AC247" s="130">
        <f t="array" ref="AC247">IF(AA247="","",IFERROR(OFFSET($BZ$11,0,MATCH($AA247,$CA247:$FV247,0),),""))</f>
        <v/>
      </c>
      <c r="AD247" s="131">
        <f t="array" ref="AD247">IF(AA247="","",INDIRECT("'GRD-"&amp;AC247&amp;"'!$L$7"))</f>
        <v/>
      </c>
      <c r="AE247" s="76">
        <f t="array" ref="AE247">IFERROR(OFFSET($BZ$11,ROW($B247)-11,MATCH(AE$10,$CA247:$FV247,0),),"")</f>
        <v/>
      </c>
      <c r="AF247" s="76">
        <f>IF(AE247="","",IF(VLOOKUP($B247,INDIRECT("'GRD-"&amp;AG247&amp;"'!$B:$R"),16,FALSE)="","",VLOOKUP($B247,INDIRECT("'GRD-"&amp;AG247&amp;"'!$B:$R"),16,FALSE)))</f>
        <v/>
      </c>
      <c r="AG247" s="132">
        <f t="array" ref="AG247">IF(AE247="","",IFERROR(OFFSET($BZ$11,0,MATCH($AE247,$CA247:$FV247,0),),""))</f>
        <v/>
      </c>
      <c r="AH247" s="121">
        <f t="array" ref="AH247">IF(AE247="","",INDIRECT("'GRD-"&amp;AG247&amp;"'!$L$7"))</f>
        <v/>
      </c>
      <c r="AI247" s="83">
        <f t="array" ref="AI247">IFERROR(OFFSET($BZ$11,ROW($B247)-11,MATCH(AI$10,$CA247:$FV247,0),),"")</f>
        <v/>
      </c>
      <c r="AJ247" s="83">
        <f>IF(AI247="","",IF(VLOOKUP($B247,INDIRECT("'GRD-"&amp;AK247&amp;"'!$B:$R"),16,FALSE)="","",VLOOKUP($B247,INDIRECT("'GRD-"&amp;AK247&amp;"'!$B:$R"),16,FALSE)))</f>
        <v/>
      </c>
      <c r="AK247" s="128">
        <f t="array" ref="AK247">IF(AI247="","",IFERROR(OFFSET($BZ$11,0,MATCH($AI247,$CA247:$FV247,0),),""))</f>
        <v/>
      </c>
      <c r="AL247" s="133">
        <f t="array" ref="AL247">IF(AI247="","",INDIRECT("'GRD-"&amp;AK247&amp;"'!$L$7"))</f>
        <v/>
      </c>
      <c r="AM247" s="84">
        <f t="array" ref="AM247">IFERROR(OFFSET($BZ$11,ROW($B247)-11,MATCH(AM$10,$CA247:$FV247,0),),"")</f>
        <v/>
      </c>
      <c r="AN247" s="84">
        <f>IF(AM247="","",IF(VLOOKUP($B247,INDIRECT("'GRD-"&amp;AO247&amp;"'!$B:$R"),16,FALSE)="","",VLOOKUP($B247,INDIRECT("'GRD-"&amp;AO247&amp;"'!$B:$R"),16,FALSE)))</f>
        <v/>
      </c>
      <c r="AO247" s="129">
        <f t="array" ref="AO247">IF(AM247="","",IFERROR(OFFSET($BZ$11,0,MATCH($AM247,$CA247:$FV247,0),),""))</f>
        <v/>
      </c>
      <c r="AP247" s="134">
        <f t="array" ref="AP247">IF(AM247="","",INDIRECT("'GRD-"&amp;AO247&amp;"'!$L$7"))</f>
        <v/>
      </c>
      <c r="AQ247" s="85">
        <f t="array" ref="AQ247">IFERROR(OFFSET($BZ$11,ROW($B247)-11,MATCH(AQ$10,$CA247:$FV247,0),),"")</f>
        <v/>
      </c>
      <c r="AR247" s="85">
        <f>IF(AQ247="","",IF(VLOOKUP($B247,INDIRECT("'GRD-"&amp;AS247&amp;"'!$B:$R"),16,FALSE)="","",VLOOKUP($B247,INDIRECT("'GRD-"&amp;AS247&amp;"'!$B:$R"),16,FALSE)))</f>
        <v/>
      </c>
      <c r="AS247" s="130">
        <f t="array" ref="AS247">IF(AQ247="","",IFERROR(OFFSET($BZ$11,0,MATCH($AQ247,$CA247:$FV247,0),),""))</f>
        <v/>
      </c>
      <c r="AT247" s="131">
        <f t="array" ref="AT247">IF(AQ247="","",INDIRECT("'GRD-"&amp;AS247&amp;"'!$L$7"))</f>
        <v/>
      </c>
      <c r="AU247" s="76">
        <f t="array" ref="AU247">IFERROR(OFFSET($BZ$11,ROW($B247)-11,MATCH(AU$10,$CA247:$FV247,0),),"")</f>
        <v/>
      </c>
      <c r="AV247" s="76">
        <f>IF(AU247="","",IF(VLOOKUP($B247,INDIRECT("'GRD-"&amp;AW247&amp;"'!$B:$R"),16,FALSE)="","",VLOOKUP($B247,INDIRECT("'GRD-"&amp;AW247&amp;"'!$B:$R"),16,FALSE)))</f>
        <v/>
      </c>
      <c r="AW247" s="132">
        <f t="array" ref="AW247">IF(AU247="","",IFERROR(OFFSET($BZ$11,0,MATCH($AU247,$CA247:$FV247,0),),""))</f>
        <v/>
      </c>
      <c r="AX247" s="121">
        <f t="array" ref="AX247">IF(AU247="","",INDIRECT("'GRD-"&amp;AW247&amp;"'!$L$7"))</f>
        <v/>
      </c>
      <c r="AY247" s="83">
        <f t="array" ref="AY247">IFERROR(OFFSET($BZ$11,ROW($B247)-11,MATCH(AY$10,$CA247:$FV247,0),),"")</f>
        <v/>
      </c>
      <c r="AZ247" s="83">
        <f>IF(AY247="","",IF(VLOOKUP($B247,INDIRECT("'GRD-"&amp;BA247&amp;"'!$B:$R"),16,FALSE)="","",VLOOKUP($B247,INDIRECT("'GRD-"&amp;BA247&amp;"'!$B:$R"),16,FALSE)))</f>
        <v/>
      </c>
      <c r="BA247" s="128">
        <f t="array" ref="BA247">IF(AY247="","",IFERROR(OFFSET($BZ$11,0,MATCH($AY247,$CA247:$FV247,0),),""))</f>
        <v/>
      </c>
      <c r="BB247" s="133">
        <f t="array" ref="BB247">IF(AY247="","",INDIRECT("'GRD-"&amp;BA247&amp;"'!$L$7"))</f>
        <v/>
      </c>
      <c r="BC247" s="84">
        <f t="array" ref="BC247">IFERROR(OFFSET($BZ$11,ROW($B247)-11,MATCH(BC$10,$CA247:$FV247,0),),"")</f>
        <v/>
      </c>
      <c r="BD247" s="84">
        <f>IF(BC247="","",IF(VLOOKUP($B247,INDIRECT("'GRD-"&amp;BE247&amp;"'!$B:$R"),16,FALSE)="","",VLOOKUP($B247,INDIRECT("'GRD-"&amp;BE247&amp;"'!$B:$R"),16,FALSE)))</f>
        <v/>
      </c>
      <c r="BE247" s="129">
        <f t="array" ref="BE247">IF(BC247="","",IFERROR(OFFSET($BZ$11,0,MATCH($BC247,$CA247:$FV247,0),),""))</f>
        <v/>
      </c>
      <c r="BF247" s="134">
        <f t="array" ref="BF247">IF(BC247="","",INDIRECT("'GRD-"&amp;BE247&amp;"'!$L$7"))</f>
        <v/>
      </c>
      <c r="CA247" s="96">
        <f>IFERROR(VLOOKUP($B247,INDIRECT("'GRD-"&amp;CA$11&amp;"'!B:R"),15,FALSE),"")</f>
        <v/>
      </c>
      <c r="CB247" s="96">
        <f>IFERROR(VLOOKUP($B247,INDIRECT("'GRD-"&amp;CB$11&amp;"'!B:R"),15,FALSE),"")</f>
        <v/>
      </c>
      <c r="CC247" s="96">
        <f>IFERROR(VLOOKUP($B247,INDIRECT("'GRD-"&amp;CC$11&amp;"'!B:R"),15,FALSE),"")</f>
        <v/>
      </c>
      <c r="CD247" s="96">
        <f>IFERROR(VLOOKUP($B247,INDIRECT("'GRD-"&amp;CD$11&amp;"'!B:R"),15,FALSE),"")</f>
        <v/>
      </c>
      <c r="CE247" s="96">
        <f>IFERROR(VLOOKUP($B247,INDIRECT("'GRD-"&amp;CE$11&amp;"'!B:R"),15,FALSE),"")</f>
        <v/>
      </c>
      <c r="CF247" s="96">
        <f>IFERROR(VLOOKUP($B247,INDIRECT("'GRD-"&amp;CF$11&amp;"'!B:R"),15,FALSE),"")</f>
        <v/>
      </c>
      <c r="CG247" s="96">
        <f>IFERROR(VLOOKUP($B247,INDIRECT("'GRD-"&amp;CG$11&amp;"'!B:R"),15,FALSE),"")</f>
        <v/>
      </c>
      <c r="CH247" s="96">
        <f>IFERROR(VLOOKUP($B247,INDIRECT("'GRD-"&amp;CH$11&amp;"'!B:R"),15,FALSE),"")</f>
        <v/>
      </c>
      <c r="CI247" s="96">
        <f>IFERROR(VLOOKUP($B247,INDIRECT("'GRD-"&amp;CI$11&amp;"'!B:R"),15,FALSE),"")</f>
        <v/>
      </c>
      <c r="CJ247" s="96">
        <f>IFERROR(VLOOKUP($B247,INDIRECT("'GRD-"&amp;CJ$11&amp;"'!B:R"),15,FALSE),"")</f>
        <v/>
      </c>
      <c r="CK247" s="96">
        <f>IFERROR(VLOOKUP($B247,INDIRECT("'GRD-"&amp;CK$11&amp;"'!B:R"),15,FALSE),"")</f>
        <v/>
      </c>
      <c r="CL247" s="96">
        <f>IFERROR(VLOOKUP($B247,INDIRECT("'GRD-"&amp;CL$11&amp;"'!B:R"),15,FALSE),"")</f>
        <v/>
      </c>
      <c r="CM247" s="96">
        <f>IFERROR(VLOOKUP($B247,INDIRECT("'GRD-"&amp;CM$11&amp;"'!B:R"),15,FALSE),"")</f>
        <v/>
      </c>
      <c r="CN247" s="96">
        <f>IFERROR(VLOOKUP($B247,INDIRECT("'GRD-"&amp;CN$11&amp;"'!B:R"),15,FALSE),"")</f>
        <v/>
      </c>
      <c r="CO247" s="96">
        <f>IFERROR(VLOOKUP($B247,INDIRECT("'GRD-"&amp;CO$11&amp;"'!B:R"),15,FALSE),"")</f>
        <v/>
      </c>
      <c r="CP247" s="96">
        <f>IFERROR(VLOOKUP($B247,INDIRECT("'GRD-"&amp;CP$11&amp;"'!B:R"),15,FALSE),"")</f>
        <v/>
      </c>
      <c r="CQ247" s="96">
        <f>IFERROR(VLOOKUP($B247,INDIRECT("'GRD-"&amp;CQ$11&amp;"'!B:R"),15,FALSE),"")</f>
        <v/>
      </c>
      <c r="CR247" s="96">
        <f>IFERROR(VLOOKUP($B247,INDIRECT("'GRD-"&amp;CR$11&amp;"'!B:R"),15,FALSE),"")</f>
        <v/>
      </c>
      <c r="CS247" s="96">
        <f>IFERROR(VLOOKUP($B247,INDIRECT("'GRD-"&amp;CS$11&amp;"'!B:R"),15,FALSE),"")</f>
        <v/>
      </c>
      <c r="CT247" s="96">
        <f>IFERROR(VLOOKUP($B247,INDIRECT("'GRD-"&amp;CT$11&amp;"'!B:R"),15,FALSE),"")</f>
        <v/>
      </c>
      <c r="CU247" s="96">
        <f>IFERROR(VLOOKUP($B247,INDIRECT("'GRD-"&amp;CU$11&amp;"'!B:R"),15,FALSE),"")</f>
        <v/>
      </c>
      <c r="CV247" s="96">
        <f>IFERROR(VLOOKUP($B247,INDIRECT("'GRD-"&amp;CV$11&amp;"'!B:R"),15,FALSE),"")</f>
        <v/>
      </c>
      <c r="CW247" s="96">
        <f>IFERROR(VLOOKUP($B247,INDIRECT("'GRD-"&amp;CW$11&amp;"'!B:R"),15,FALSE),"")</f>
        <v/>
      </c>
      <c r="CX247" s="96">
        <f>IFERROR(VLOOKUP($B247,INDIRECT("'GRD-"&amp;CX$11&amp;"'!B:R"),15,FALSE),"")</f>
        <v/>
      </c>
      <c r="CY247" s="96">
        <f>IFERROR(VLOOKUP($B247,INDIRECT("'GRD-"&amp;CY$11&amp;"'!B:R"),15,FALSE),"")</f>
        <v/>
      </c>
      <c r="CZ247" s="96">
        <f>IFERROR(VLOOKUP($B247,INDIRECT("'GRD-"&amp;CZ$11&amp;"'!B:R"),15,FALSE),"")</f>
        <v/>
      </c>
      <c r="DA247" s="96">
        <f>IFERROR(VLOOKUP($B247,INDIRECT("'GRD-"&amp;DA$11&amp;"'!B:R"),15,FALSE),"")</f>
        <v/>
      </c>
      <c r="DB247" s="96">
        <f>IFERROR(VLOOKUP($B247,INDIRECT("'GRD-"&amp;DB$11&amp;"'!B:R"),15,FALSE),"")</f>
        <v/>
      </c>
      <c r="DC247" s="96">
        <f>IFERROR(VLOOKUP($B247,INDIRECT("'GRD-"&amp;DC$11&amp;"'!B:R"),15,FALSE),"")</f>
        <v/>
      </c>
      <c r="DD247" s="96">
        <f>IFERROR(VLOOKUP($B247,INDIRECT("'GRD-"&amp;DD$11&amp;"'!B:R"),15,FALSE),"")</f>
        <v/>
      </c>
      <c r="DE247" s="96">
        <f>IFERROR(VLOOKUP($B247,INDIRECT("'GRD-"&amp;DE$11&amp;"'!B:R"),15,FALSE),"")</f>
        <v/>
      </c>
      <c r="DF247" s="96">
        <f>IFERROR(VLOOKUP($B247,INDIRECT("'GRD-"&amp;DF$11&amp;"'!B:R"),15,FALSE),"")</f>
        <v/>
      </c>
      <c r="DG247" s="96">
        <f>IFERROR(VLOOKUP($B247,INDIRECT("'GRD-"&amp;DG$11&amp;"'!B:R"),15,FALSE),"")</f>
        <v/>
      </c>
      <c r="DH247" s="96">
        <f>IFERROR(VLOOKUP($B247,INDIRECT("'GRD-"&amp;DH$11&amp;"'!B:R"),15,FALSE),"")</f>
        <v/>
      </c>
      <c r="DI247" s="96">
        <f>IFERROR(VLOOKUP($B247,INDIRECT("'GRD-"&amp;DI$11&amp;"'!B:R"),15,FALSE),"")</f>
        <v/>
      </c>
      <c r="DJ247" s="96">
        <f>IFERROR(VLOOKUP($B247,INDIRECT("'GRD-"&amp;DJ$11&amp;"'!B:R"),15,FALSE),"")</f>
        <v/>
      </c>
      <c r="DK247" s="96">
        <f>IFERROR(VLOOKUP($B247,INDIRECT("'GRD-"&amp;DK$11&amp;"'!B:R"),15,FALSE),"")</f>
        <v/>
      </c>
      <c r="DL247" s="96">
        <f>IFERROR(VLOOKUP($B247,INDIRECT("'GRD-"&amp;DL$11&amp;"'!B:R"),15,FALSE),"")</f>
        <v/>
      </c>
      <c r="DM247" s="96">
        <f>IFERROR(VLOOKUP($B247,INDIRECT("'GRD-"&amp;DM$11&amp;"'!B:R"),15,FALSE),"")</f>
        <v/>
      </c>
      <c r="DN247" s="96">
        <f>IFERROR(VLOOKUP($B247,INDIRECT("'GRD-"&amp;DN$11&amp;"'!B:R"),15,FALSE),"")</f>
        <v/>
      </c>
      <c r="DO247" s="96">
        <f>IFERROR(VLOOKUP($B247,INDIRECT("'GRD-"&amp;DO$11&amp;"'!B:R"),15,FALSE),"")</f>
        <v/>
      </c>
      <c r="DP247" s="96">
        <f>IFERROR(VLOOKUP($B247,INDIRECT("'GRD-"&amp;DP$11&amp;"'!B:R"),15,FALSE),"")</f>
        <v/>
      </c>
      <c r="DQ247" s="96">
        <f>IFERROR(VLOOKUP($B247,INDIRECT("'GRD-"&amp;DQ$11&amp;"'!B:R"),15,FALSE),"")</f>
        <v/>
      </c>
      <c r="DR247" s="96">
        <f>IFERROR(VLOOKUP($B247,INDIRECT("'GRD-"&amp;DR$11&amp;"'!B:R"),15,FALSE),"")</f>
        <v/>
      </c>
      <c r="DS247" s="96">
        <f>IFERROR(VLOOKUP($B247,INDIRECT("'GRD-"&amp;DS$11&amp;"'!B:R"),15,FALSE),"")</f>
        <v/>
      </c>
      <c r="DT247" s="96">
        <f>IFERROR(VLOOKUP($B247,INDIRECT("'GRD-"&amp;DT$11&amp;"'!B:R"),15,FALSE),"")</f>
        <v/>
      </c>
      <c r="DU247" s="96">
        <f>IFERROR(VLOOKUP($B247,INDIRECT("'GRD-"&amp;DU$11&amp;"'!B:R"),15,FALSE),"")</f>
        <v/>
      </c>
      <c r="DV247" s="96">
        <f>IFERROR(VLOOKUP($B247,INDIRECT("'GRD-"&amp;DV$11&amp;"'!B:R"),15,FALSE),"")</f>
        <v/>
      </c>
      <c r="DW247" s="96">
        <f>IFERROR(VLOOKUP($B247,INDIRECT("'GRD-"&amp;DW$11&amp;"'!B:R"),15,FALSE),"")</f>
        <v/>
      </c>
      <c r="DX247" s="96">
        <f>IFERROR(VLOOKUP($B247,INDIRECT("'GRD-"&amp;DX$11&amp;"'!B:R"),15,FALSE),"")</f>
        <v/>
      </c>
      <c r="DY247" s="96">
        <f>IFERROR(VLOOKUP($B247,INDIRECT("'GRD-"&amp;DY$11&amp;"'!B:R"),15,FALSE),"")</f>
        <v/>
      </c>
      <c r="DZ247" s="96">
        <f>IFERROR(VLOOKUP($B247,INDIRECT("'GRD-"&amp;DZ$11&amp;"'!B:R"),15,FALSE),"")</f>
        <v/>
      </c>
      <c r="EA247" s="96">
        <f>IFERROR(VLOOKUP($B247,INDIRECT("'GRD-"&amp;EA$11&amp;"'!B:R"),15,FALSE),"")</f>
        <v/>
      </c>
      <c r="EB247" s="96">
        <f>IFERROR(VLOOKUP($B247,INDIRECT("'GRD-"&amp;EB$11&amp;"'!B:R"),15,FALSE),"")</f>
        <v/>
      </c>
      <c r="EC247" s="96">
        <f>IFERROR(VLOOKUP($B247,INDIRECT("'GRD-"&amp;EC$11&amp;"'!B:R"),15,FALSE),"")</f>
        <v/>
      </c>
      <c r="ED247" s="96">
        <f>IFERROR(VLOOKUP($B247,INDIRECT("'GRD-"&amp;ED$11&amp;"'!B:R"),15,FALSE),"")</f>
        <v/>
      </c>
      <c r="EE247" s="96">
        <f>IFERROR(VLOOKUP($B247,INDIRECT("'GRD-"&amp;EE$11&amp;"'!B:R"),15,FALSE),"")</f>
        <v/>
      </c>
      <c r="EF247" s="96">
        <f>IFERROR(VLOOKUP($B247,INDIRECT("'GRD-"&amp;EF$11&amp;"'!B:R"),15,FALSE),"")</f>
        <v/>
      </c>
      <c r="EG247" s="96">
        <f>IFERROR(VLOOKUP($B247,INDIRECT("'GRD-"&amp;EG$11&amp;"'!B:R"),15,FALSE),"")</f>
        <v/>
      </c>
      <c r="EH247" s="96">
        <f>IFERROR(VLOOKUP($B247,INDIRECT("'GRD-"&amp;EH$11&amp;"'!B:R"),15,FALSE),"")</f>
        <v/>
      </c>
      <c r="EI247" s="96">
        <f>IFERROR(VLOOKUP($B247,INDIRECT("'GRD-"&amp;EI$11&amp;"'!B:R"),15,FALSE),"")</f>
        <v/>
      </c>
      <c r="EJ247" s="96">
        <f>IFERROR(VLOOKUP($B247,INDIRECT("'GRD-"&amp;EJ$11&amp;"'!B:R"),15,FALSE),"")</f>
        <v/>
      </c>
      <c r="EK247" s="96">
        <f>IFERROR(VLOOKUP($B247,INDIRECT("'GRD-"&amp;EK$11&amp;"'!B:R"),15,FALSE),"")</f>
        <v/>
      </c>
      <c r="EL247" s="96">
        <f>IFERROR(VLOOKUP($B247,INDIRECT("'GRD-"&amp;EL$11&amp;"'!B:R"),15,FALSE),"")</f>
        <v/>
      </c>
      <c r="EM247" s="96">
        <f>IFERROR(VLOOKUP($B247,INDIRECT("'GRD-"&amp;EM$11&amp;"'!B:R"),15,FALSE),"")</f>
        <v/>
      </c>
      <c r="EN247" s="96">
        <f>IFERROR(VLOOKUP($B247,INDIRECT("'GRD-"&amp;EN$11&amp;"'!B:R"),15,FALSE),"")</f>
        <v/>
      </c>
      <c r="EO247" s="96">
        <f>IFERROR(VLOOKUP($B247,INDIRECT("'GRD-"&amp;EO$11&amp;"'!B:R"),15,FALSE),"")</f>
        <v/>
      </c>
      <c r="EP247" s="96">
        <f>IFERROR(VLOOKUP($B247,INDIRECT("'GRD-"&amp;EP$11&amp;"'!B:R"),15,FALSE),"")</f>
        <v/>
      </c>
      <c r="EQ247" s="96">
        <f>IFERROR(VLOOKUP($B247,INDIRECT("'GRD-"&amp;EQ$11&amp;"'!B:R"),15,FALSE),"")</f>
        <v/>
      </c>
      <c r="ER247" s="96">
        <f>IFERROR(VLOOKUP($B247,INDIRECT("'GRD-"&amp;ER$11&amp;"'!B:R"),15,FALSE),"")</f>
        <v/>
      </c>
      <c r="ES247" s="96">
        <f>IFERROR(VLOOKUP($B247,INDIRECT("'GRD-"&amp;ES$11&amp;"'!B:R"),15,FALSE),"")</f>
        <v/>
      </c>
      <c r="ET247" s="96">
        <f>IFERROR(VLOOKUP($B247,INDIRECT("'GRD-"&amp;ET$11&amp;"'!B:R"),15,FALSE),"")</f>
        <v/>
      </c>
      <c r="EU247" s="96">
        <f>IFERROR(VLOOKUP($B247,INDIRECT("'GRD-"&amp;EU$11&amp;"'!B:R"),15,FALSE),"")</f>
        <v/>
      </c>
      <c r="EV247" s="96">
        <f>IFERROR(VLOOKUP($B247,INDIRECT("'GRD-"&amp;EV$11&amp;"'!B:R"),15,FALSE),"")</f>
        <v/>
      </c>
      <c r="EW247" s="96">
        <f>IFERROR(VLOOKUP($B247,INDIRECT("'GRD-"&amp;EW$11&amp;"'!B:R"),15,FALSE),"")</f>
        <v/>
      </c>
      <c r="EX247" s="96">
        <f>IFERROR(VLOOKUP($B247,INDIRECT("'GRD-"&amp;EX$11&amp;"'!B:R"),15,FALSE),"")</f>
        <v/>
      </c>
      <c r="EY247" s="96">
        <f>IFERROR(VLOOKUP($B247,INDIRECT("'GRD-"&amp;EY$11&amp;"'!B:R"),15,FALSE),"")</f>
        <v/>
      </c>
      <c r="EZ247" s="96">
        <f>IFERROR(VLOOKUP($B247,INDIRECT("'GRD-"&amp;EZ$11&amp;"'!B:R"),15,FALSE),"")</f>
        <v/>
      </c>
      <c r="FA247" s="96">
        <f>IFERROR(VLOOKUP($B247,INDIRECT("'GRD-"&amp;FA$11&amp;"'!B:R"),15,FALSE),"")</f>
        <v/>
      </c>
      <c r="FB247" s="96">
        <f>IFERROR(VLOOKUP($B247,INDIRECT("'GRD-"&amp;FB$11&amp;"'!B:R"),15,FALSE),"")</f>
        <v/>
      </c>
      <c r="FC247" s="96">
        <f>IFERROR(VLOOKUP($B247,INDIRECT("'GRD-"&amp;FC$11&amp;"'!B:R"),15,FALSE),"")</f>
        <v/>
      </c>
      <c r="FD247" s="96">
        <f>IFERROR(VLOOKUP($B247,INDIRECT("'GRD-"&amp;FD$11&amp;"'!B:R"),15,FALSE),"")</f>
        <v/>
      </c>
      <c r="FE247" s="96">
        <f>IFERROR(VLOOKUP($B247,INDIRECT("'GRD-"&amp;FE$11&amp;"'!B:R"),15,FALSE),"")</f>
        <v/>
      </c>
      <c r="FF247" s="96">
        <f>IFERROR(VLOOKUP($B247,INDIRECT("'GRD-"&amp;FF$11&amp;"'!B:R"),15,FALSE),"")</f>
        <v/>
      </c>
      <c r="FG247" s="96">
        <f>IFERROR(VLOOKUP($B247,INDIRECT("'GRD-"&amp;FG$11&amp;"'!B:R"),15,FALSE),"")</f>
        <v/>
      </c>
      <c r="FH247" s="96">
        <f>IFERROR(VLOOKUP($B247,INDIRECT("'GRD-"&amp;FH$11&amp;"'!B:R"),15,FALSE),"")</f>
        <v/>
      </c>
      <c r="FI247" s="96">
        <f>IFERROR(VLOOKUP($B247,INDIRECT("'GRD-"&amp;FI$11&amp;"'!B:R"),15,FALSE),"")</f>
        <v/>
      </c>
      <c r="FJ247" s="96">
        <f>IFERROR(VLOOKUP($B247,INDIRECT("'GRD-"&amp;FJ$11&amp;"'!B:R"),15,FALSE),"")</f>
        <v/>
      </c>
      <c r="FK247" s="96">
        <f>IFERROR(VLOOKUP($B247,INDIRECT("'GRD-"&amp;FK$11&amp;"'!B:R"),15,FALSE),"")</f>
        <v/>
      </c>
      <c r="FL247" s="96">
        <f>IFERROR(VLOOKUP($B247,INDIRECT("'GRD-"&amp;FL$11&amp;"'!B:R"),15,FALSE),"")</f>
        <v/>
      </c>
      <c r="FM247" s="96">
        <f>IFERROR(VLOOKUP($B247,INDIRECT("'GRD-"&amp;FM$11&amp;"'!B:R"),15,FALSE),"")</f>
        <v/>
      </c>
      <c r="FN247" s="96">
        <f>IFERROR(VLOOKUP($B247,INDIRECT("'GRD-"&amp;FN$11&amp;"'!B:R"),15,FALSE),"")</f>
        <v/>
      </c>
      <c r="FO247" s="96">
        <f>IFERROR(VLOOKUP($B247,INDIRECT("'GRD-"&amp;FO$11&amp;"'!B:R"),15,FALSE),"")</f>
        <v/>
      </c>
      <c r="FP247" s="96">
        <f>IFERROR(VLOOKUP($B247,INDIRECT("'GRD-"&amp;FP$11&amp;"'!B:R"),15,FALSE),"")</f>
        <v/>
      </c>
      <c r="FQ247" s="96">
        <f>IFERROR(VLOOKUP($B247,INDIRECT("'GRD-"&amp;FQ$11&amp;"'!B:R"),15,FALSE),"")</f>
        <v/>
      </c>
      <c r="FR247" s="96">
        <f>IFERROR(VLOOKUP($B247,INDIRECT("'GRD-"&amp;FR$11&amp;"'!B:R"),15,FALSE),"")</f>
        <v/>
      </c>
      <c r="FS247" s="96">
        <f>IFERROR(VLOOKUP($B247,INDIRECT("'GRD-"&amp;FS$11&amp;"'!B:R"),15,FALSE),"")</f>
        <v/>
      </c>
      <c r="FT247" s="96">
        <f>IFERROR(VLOOKUP($B247,INDIRECT("'GRD-"&amp;FT$11&amp;"'!B:R"),15,FALSE),"")</f>
        <v/>
      </c>
      <c r="FU247" s="96">
        <f>IFERROR(VLOOKUP($B247,INDIRECT("'GRD-"&amp;FU$11&amp;"'!B:R"),15,FALSE),"")</f>
        <v/>
      </c>
      <c r="FV247" s="96">
        <f>IFERROR(VLOOKUP($B247,INDIRECT("'GRD-"&amp;FV$11&amp;"'!B:R"),15,FALSE),"")</f>
        <v/>
      </c>
    </row>
    <row r="248">
      <c r="B248" s="85" t="n"/>
      <c r="C248" s="93" t="n"/>
      <c r="D248" s="73">
        <f>IF(K248="","",MAX($CA248:$FV248))</f>
        <v/>
      </c>
      <c r="E248" s="74">
        <f t="array" ref="E248">IF($K248="","",OFFSET($A$1,ROW($B248)-1,11+$D248*4,))</f>
        <v/>
      </c>
      <c r="F248" s="74">
        <f t="array" ref="F248">IF($K248="","",OFFSET($A$1,ROW($B248)-1,12+$D248*4,))</f>
        <v/>
      </c>
      <c r="G248" s="118">
        <f t="array" ref="G248">IF($K248="","",OFFSET($A$1,ROW($B248)-1,13+$D248*4,))</f>
        <v/>
      </c>
      <c r="H248" s="81" t="n"/>
      <c r="I248" s="82" t="n"/>
      <c r="J248" s="75">
        <f>IF(I248="A4",H248/8,IF(I248="A3",H248/4,IF(I248="A2",H248/2,IF(I248="A1",H248/1,IF(I248="A0",H248*2,"")))))</f>
        <v/>
      </c>
      <c r="K248" s="68">
        <f t="array" ref="K248">IFERROR(OFFSET($BZ$11,ROW($B248)-11,MATCH(K$10,$CA248:$FV248,0),),"")</f>
        <v/>
      </c>
      <c r="L248" s="85">
        <f>IF(K248="","",IF(VLOOKUP($B248,INDIRECT("'GRD-"&amp;M248&amp;"'!$B:$R"),16,FALSE)="","",VLOOKUP($B248,INDIRECT("'GRD-"&amp;M248&amp;"'!$B:$R"),16,FALSE)))</f>
        <v/>
      </c>
      <c r="M248" s="130">
        <f t="array" ref="M248">IF(K248="","",IFERROR(OFFSET($BZ$11,0,MATCH($K248,$CA248:$FV248,0),),""))</f>
        <v/>
      </c>
      <c r="N248" s="119">
        <f t="array" ref="N248">IF(K248="","",INDIRECT("'GRD-"&amp;M248&amp;"'!$L$7"))</f>
        <v/>
      </c>
      <c r="O248" s="76">
        <f t="array" ref="O248">IFERROR(OFFSET($BZ$11,ROW($B248)-11,MATCH(O$10,$CA248:$FV248,0),),"")</f>
        <v/>
      </c>
      <c r="P248" s="76">
        <f>IF(O248="","",IF(VLOOKUP($B248,INDIRECT("'GRD-"&amp;Q248&amp;"'!$B:$R"),16,FALSE)="","",VLOOKUP($B248,INDIRECT("'GRD-"&amp;Q248&amp;"'!$B:$R"),16,FALSE)))</f>
        <v/>
      </c>
      <c r="Q248" s="132">
        <f t="array" ref="Q248">IF(O248="","",IFERROR(OFFSET($BZ$11,0,MATCH($O248,$CA248:$FV248,0),),""))</f>
        <v/>
      </c>
      <c r="R248" s="121">
        <f t="array" ref="R248">IF(O248="","",INDIRECT("'GRD-"&amp;Q248&amp;"'!$L$7"))</f>
        <v/>
      </c>
      <c r="S248" s="83">
        <f t="array" ref="S248">IFERROR(OFFSET($BZ$11,ROW($B248)-11,MATCH(S$10,$CA248:$FV248,0),),"")</f>
        <v/>
      </c>
      <c r="T248" s="83">
        <f>IF(S248="","",IF(VLOOKUP($B248,INDIRECT("'GRD-"&amp;U248&amp;"'!$B:$R"),16,FALSE)="","",VLOOKUP($B248,INDIRECT("'GRD-"&amp;U248&amp;"'!$B:$R"),16,FALSE)))</f>
        <v/>
      </c>
      <c r="U248" s="128">
        <f t="array" ref="U248">IF(S248="","",IFERROR(OFFSET($BZ$11,0,MATCH($S248,$CA248:$FV248,0),),""))</f>
        <v/>
      </c>
      <c r="V248" s="133">
        <f t="array" ref="V248">IF(S248="","",INDIRECT("'GRD-"&amp;U248&amp;"'!$L$7"))</f>
        <v/>
      </c>
      <c r="W248" s="84">
        <f t="array" ref="W248">IFERROR(OFFSET($BZ$11,ROW($B248)-11,MATCH(W$10,$CA248:$FV248,0),),"")</f>
        <v/>
      </c>
      <c r="X248" s="84">
        <f>IF(W248="","",IF(VLOOKUP($B248,INDIRECT("'GRD-"&amp;Y248&amp;"'!$B:$R"),16,FALSE)="","",VLOOKUP($B248,INDIRECT("'GRD-"&amp;Y248&amp;"'!$B:$R"),16,FALSE)))</f>
        <v/>
      </c>
      <c r="Y248" s="129">
        <f t="array" ref="Y248">IF(W248="","",IFERROR(OFFSET($BZ$11,0,MATCH($W248,$CA248:$FV248,0),),""))</f>
        <v/>
      </c>
      <c r="Z248" s="134">
        <f t="array" ref="Z248">IF(W248="","",INDIRECT("'GRD-"&amp;Y248&amp;"'!$L$7"))</f>
        <v/>
      </c>
      <c r="AA248" s="85">
        <f t="array" ref="AA248">IFERROR(OFFSET($BZ$11,ROW($B248)-11,MATCH(AA$10,$CA248:$FV248,0),),"")</f>
        <v/>
      </c>
      <c r="AB248" s="85">
        <f>IF(AA248="","",IF(VLOOKUP($B248,INDIRECT("'GRD-"&amp;AC248&amp;"'!$B:$R"),16,FALSE)="","",VLOOKUP($B248,INDIRECT("'GRD-"&amp;AC248&amp;"'!$B:$R"),16,FALSE)))</f>
        <v/>
      </c>
      <c r="AC248" s="130">
        <f t="array" ref="AC248">IF(AA248="","",IFERROR(OFFSET($BZ$11,0,MATCH($AA248,$CA248:$FV248,0),),""))</f>
        <v/>
      </c>
      <c r="AD248" s="131">
        <f t="array" ref="AD248">IF(AA248="","",INDIRECT("'GRD-"&amp;AC248&amp;"'!$L$7"))</f>
        <v/>
      </c>
      <c r="AE248" s="76">
        <f t="array" ref="AE248">IFERROR(OFFSET($BZ$11,ROW($B248)-11,MATCH(AE$10,$CA248:$FV248,0),),"")</f>
        <v/>
      </c>
      <c r="AF248" s="76">
        <f>IF(AE248="","",IF(VLOOKUP($B248,INDIRECT("'GRD-"&amp;AG248&amp;"'!$B:$R"),16,FALSE)="","",VLOOKUP($B248,INDIRECT("'GRD-"&amp;AG248&amp;"'!$B:$R"),16,FALSE)))</f>
        <v/>
      </c>
      <c r="AG248" s="132">
        <f t="array" ref="AG248">IF(AE248="","",IFERROR(OFFSET($BZ$11,0,MATCH($AE248,$CA248:$FV248,0),),""))</f>
        <v/>
      </c>
      <c r="AH248" s="121">
        <f t="array" ref="AH248">IF(AE248="","",INDIRECT("'GRD-"&amp;AG248&amp;"'!$L$7"))</f>
        <v/>
      </c>
      <c r="AI248" s="83">
        <f t="array" ref="AI248">IFERROR(OFFSET($BZ$11,ROW($B248)-11,MATCH(AI$10,$CA248:$FV248,0),),"")</f>
        <v/>
      </c>
      <c r="AJ248" s="83">
        <f>IF(AI248="","",IF(VLOOKUP($B248,INDIRECT("'GRD-"&amp;AK248&amp;"'!$B:$R"),16,FALSE)="","",VLOOKUP($B248,INDIRECT("'GRD-"&amp;AK248&amp;"'!$B:$R"),16,FALSE)))</f>
        <v/>
      </c>
      <c r="AK248" s="128">
        <f t="array" ref="AK248">IF(AI248="","",IFERROR(OFFSET($BZ$11,0,MATCH($AI248,$CA248:$FV248,0),),""))</f>
        <v/>
      </c>
      <c r="AL248" s="133">
        <f t="array" ref="AL248">IF(AI248="","",INDIRECT("'GRD-"&amp;AK248&amp;"'!$L$7"))</f>
        <v/>
      </c>
      <c r="AM248" s="84">
        <f t="array" ref="AM248">IFERROR(OFFSET($BZ$11,ROW($B248)-11,MATCH(AM$10,$CA248:$FV248,0),),"")</f>
        <v/>
      </c>
      <c r="AN248" s="84">
        <f>IF(AM248="","",IF(VLOOKUP($B248,INDIRECT("'GRD-"&amp;AO248&amp;"'!$B:$R"),16,FALSE)="","",VLOOKUP($B248,INDIRECT("'GRD-"&amp;AO248&amp;"'!$B:$R"),16,FALSE)))</f>
        <v/>
      </c>
      <c r="AO248" s="129">
        <f t="array" ref="AO248">IF(AM248="","",IFERROR(OFFSET($BZ$11,0,MATCH($AM248,$CA248:$FV248,0),),""))</f>
        <v/>
      </c>
      <c r="AP248" s="134">
        <f t="array" ref="AP248">IF(AM248="","",INDIRECT("'GRD-"&amp;AO248&amp;"'!$L$7"))</f>
        <v/>
      </c>
      <c r="AQ248" s="85">
        <f t="array" ref="AQ248">IFERROR(OFFSET($BZ$11,ROW($B248)-11,MATCH(AQ$10,$CA248:$FV248,0),),"")</f>
        <v/>
      </c>
      <c r="AR248" s="85">
        <f>IF(AQ248="","",IF(VLOOKUP($B248,INDIRECT("'GRD-"&amp;AS248&amp;"'!$B:$R"),16,FALSE)="","",VLOOKUP($B248,INDIRECT("'GRD-"&amp;AS248&amp;"'!$B:$R"),16,FALSE)))</f>
        <v/>
      </c>
      <c r="AS248" s="130">
        <f t="array" ref="AS248">IF(AQ248="","",IFERROR(OFFSET($BZ$11,0,MATCH($AQ248,$CA248:$FV248,0),),""))</f>
        <v/>
      </c>
      <c r="AT248" s="131">
        <f t="array" ref="AT248">IF(AQ248="","",INDIRECT("'GRD-"&amp;AS248&amp;"'!$L$7"))</f>
        <v/>
      </c>
      <c r="AU248" s="76">
        <f t="array" ref="AU248">IFERROR(OFFSET($BZ$11,ROW($B248)-11,MATCH(AU$10,$CA248:$FV248,0),),"")</f>
        <v/>
      </c>
      <c r="AV248" s="76">
        <f>IF(AU248="","",IF(VLOOKUP($B248,INDIRECT("'GRD-"&amp;AW248&amp;"'!$B:$R"),16,FALSE)="","",VLOOKUP($B248,INDIRECT("'GRD-"&amp;AW248&amp;"'!$B:$R"),16,FALSE)))</f>
        <v/>
      </c>
      <c r="AW248" s="132">
        <f t="array" ref="AW248">IF(AU248="","",IFERROR(OFFSET($BZ$11,0,MATCH($AU248,$CA248:$FV248,0),),""))</f>
        <v/>
      </c>
      <c r="AX248" s="121">
        <f t="array" ref="AX248">IF(AU248="","",INDIRECT("'GRD-"&amp;AW248&amp;"'!$L$7"))</f>
        <v/>
      </c>
      <c r="AY248" s="83">
        <f t="array" ref="AY248">IFERROR(OFFSET($BZ$11,ROW($B248)-11,MATCH(AY$10,$CA248:$FV248,0),),"")</f>
        <v/>
      </c>
      <c r="AZ248" s="83">
        <f>IF(AY248="","",IF(VLOOKUP($B248,INDIRECT("'GRD-"&amp;BA248&amp;"'!$B:$R"),16,FALSE)="","",VLOOKUP($B248,INDIRECT("'GRD-"&amp;BA248&amp;"'!$B:$R"),16,FALSE)))</f>
        <v/>
      </c>
      <c r="BA248" s="128">
        <f t="array" ref="BA248">IF(AY248="","",IFERROR(OFFSET($BZ$11,0,MATCH($AY248,$CA248:$FV248,0),),""))</f>
        <v/>
      </c>
      <c r="BB248" s="133">
        <f t="array" ref="BB248">IF(AY248="","",INDIRECT("'GRD-"&amp;BA248&amp;"'!$L$7"))</f>
        <v/>
      </c>
      <c r="BC248" s="84">
        <f t="array" ref="BC248">IFERROR(OFFSET($BZ$11,ROW($B248)-11,MATCH(BC$10,$CA248:$FV248,0),),"")</f>
        <v/>
      </c>
      <c r="BD248" s="84">
        <f>IF(BC248="","",IF(VLOOKUP($B248,INDIRECT("'GRD-"&amp;BE248&amp;"'!$B:$R"),16,FALSE)="","",VLOOKUP($B248,INDIRECT("'GRD-"&amp;BE248&amp;"'!$B:$R"),16,FALSE)))</f>
        <v/>
      </c>
      <c r="BE248" s="129">
        <f t="array" ref="BE248">IF(BC248="","",IFERROR(OFFSET($BZ$11,0,MATCH($BC248,$CA248:$FV248,0),),""))</f>
        <v/>
      </c>
      <c r="BF248" s="134">
        <f t="array" ref="BF248">IF(BC248="","",INDIRECT("'GRD-"&amp;BE248&amp;"'!$L$7"))</f>
        <v/>
      </c>
      <c r="CA248" s="96">
        <f>IFERROR(VLOOKUP($B248,INDIRECT("'GRD-"&amp;CA$11&amp;"'!B:R"),15,FALSE),"")</f>
        <v/>
      </c>
      <c r="CB248" s="96">
        <f>IFERROR(VLOOKUP($B248,INDIRECT("'GRD-"&amp;CB$11&amp;"'!B:R"),15,FALSE),"")</f>
        <v/>
      </c>
      <c r="CC248" s="96">
        <f>IFERROR(VLOOKUP($B248,INDIRECT("'GRD-"&amp;CC$11&amp;"'!B:R"),15,FALSE),"")</f>
        <v/>
      </c>
      <c r="CD248" s="96">
        <f>IFERROR(VLOOKUP($B248,INDIRECT("'GRD-"&amp;CD$11&amp;"'!B:R"),15,FALSE),"")</f>
        <v/>
      </c>
      <c r="CE248" s="96">
        <f>IFERROR(VLOOKUP($B248,INDIRECT("'GRD-"&amp;CE$11&amp;"'!B:R"),15,FALSE),"")</f>
        <v/>
      </c>
      <c r="CF248" s="96">
        <f>IFERROR(VLOOKUP($B248,INDIRECT("'GRD-"&amp;CF$11&amp;"'!B:R"),15,FALSE),"")</f>
        <v/>
      </c>
      <c r="CG248" s="96">
        <f>IFERROR(VLOOKUP($B248,INDIRECT("'GRD-"&amp;CG$11&amp;"'!B:R"),15,FALSE),"")</f>
        <v/>
      </c>
      <c r="CH248" s="96">
        <f>IFERROR(VLOOKUP($B248,INDIRECT("'GRD-"&amp;CH$11&amp;"'!B:R"),15,FALSE),"")</f>
        <v/>
      </c>
      <c r="CI248" s="96">
        <f>IFERROR(VLOOKUP($B248,INDIRECT("'GRD-"&amp;CI$11&amp;"'!B:R"),15,FALSE),"")</f>
        <v/>
      </c>
      <c r="CJ248" s="96">
        <f>IFERROR(VLOOKUP($B248,INDIRECT("'GRD-"&amp;CJ$11&amp;"'!B:R"),15,FALSE),"")</f>
        <v/>
      </c>
      <c r="CK248" s="96">
        <f>IFERROR(VLOOKUP($B248,INDIRECT("'GRD-"&amp;CK$11&amp;"'!B:R"),15,FALSE),"")</f>
        <v/>
      </c>
      <c r="CL248" s="96">
        <f>IFERROR(VLOOKUP($B248,INDIRECT("'GRD-"&amp;CL$11&amp;"'!B:R"),15,FALSE),"")</f>
        <v/>
      </c>
      <c r="CM248" s="96">
        <f>IFERROR(VLOOKUP($B248,INDIRECT("'GRD-"&amp;CM$11&amp;"'!B:R"),15,FALSE),"")</f>
        <v/>
      </c>
      <c r="CN248" s="96">
        <f>IFERROR(VLOOKUP($B248,INDIRECT("'GRD-"&amp;CN$11&amp;"'!B:R"),15,FALSE),"")</f>
        <v/>
      </c>
      <c r="CO248" s="96">
        <f>IFERROR(VLOOKUP($B248,INDIRECT("'GRD-"&amp;CO$11&amp;"'!B:R"),15,FALSE),"")</f>
        <v/>
      </c>
      <c r="CP248" s="96">
        <f>IFERROR(VLOOKUP($B248,INDIRECT("'GRD-"&amp;CP$11&amp;"'!B:R"),15,FALSE),"")</f>
        <v/>
      </c>
      <c r="CQ248" s="96">
        <f>IFERROR(VLOOKUP($B248,INDIRECT("'GRD-"&amp;CQ$11&amp;"'!B:R"),15,FALSE),"")</f>
        <v/>
      </c>
      <c r="CR248" s="96">
        <f>IFERROR(VLOOKUP($B248,INDIRECT("'GRD-"&amp;CR$11&amp;"'!B:R"),15,FALSE),"")</f>
        <v/>
      </c>
      <c r="CS248" s="96">
        <f>IFERROR(VLOOKUP($B248,INDIRECT("'GRD-"&amp;CS$11&amp;"'!B:R"),15,FALSE),"")</f>
        <v/>
      </c>
      <c r="CT248" s="96">
        <f>IFERROR(VLOOKUP($B248,INDIRECT("'GRD-"&amp;CT$11&amp;"'!B:R"),15,FALSE),"")</f>
        <v/>
      </c>
      <c r="CU248" s="96">
        <f>IFERROR(VLOOKUP($B248,INDIRECT("'GRD-"&amp;CU$11&amp;"'!B:R"),15,FALSE),"")</f>
        <v/>
      </c>
      <c r="CV248" s="96">
        <f>IFERROR(VLOOKUP($B248,INDIRECT("'GRD-"&amp;CV$11&amp;"'!B:R"),15,FALSE),"")</f>
        <v/>
      </c>
      <c r="CW248" s="96">
        <f>IFERROR(VLOOKUP($B248,INDIRECT("'GRD-"&amp;CW$11&amp;"'!B:R"),15,FALSE),"")</f>
        <v/>
      </c>
      <c r="CX248" s="96">
        <f>IFERROR(VLOOKUP($B248,INDIRECT("'GRD-"&amp;CX$11&amp;"'!B:R"),15,FALSE),"")</f>
        <v/>
      </c>
      <c r="CY248" s="96">
        <f>IFERROR(VLOOKUP($B248,INDIRECT("'GRD-"&amp;CY$11&amp;"'!B:R"),15,FALSE),"")</f>
        <v/>
      </c>
      <c r="CZ248" s="96">
        <f>IFERROR(VLOOKUP($B248,INDIRECT("'GRD-"&amp;CZ$11&amp;"'!B:R"),15,FALSE),"")</f>
        <v/>
      </c>
      <c r="DA248" s="96">
        <f>IFERROR(VLOOKUP($B248,INDIRECT("'GRD-"&amp;DA$11&amp;"'!B:R"),15,FALSE),"")</f>
        <v/>
      </c>
      <c r="DB248" s="96">
        <f>IFERROR(VLOOKUP($B248,INDIRECT("'GRD-"&amp;DB$11&amp;"'!B:R"),15,FALSE),"")</f>
        <v/>
      </c>
      <c r="DC248" s="96">
        <f>IFERROR(VLOOKUP($B248,INDIRECT("'GRD-"&amp;DC$11&amp;"'!B:R"),15,FALSE),"")</f>
        <v/>
      </c>
      <c r="DD248" s="96">
        <f>IFERROR(VLOOKUP($B248,INDIRECT("'GRD-"&amp;DD$11&amp;"'!B:R"),15,FALSE),"")</f>
        <v/>
      </c>
      <c r="DE248" s="96">
        <f>IFERROR(VLOOKUP($B248,INDIRECT("'GRD-"&amp;DE$11&amp;"'!B:R"),15,FALSE),"")</f>
        <v/>
      </c>
      <c r="DF248" s="96">
        <f>IFERROR(VLOOKUP($B248,INDIRECT("'GRD-"&amp;DF$11&amp;"'!B:R"),15,FALSE),"")</f>
        <v/>
      </c>
      <c r="DG248" s="96">
        <f>IFERROR(VLOOKUP($B248,INDIRECT("'GRD-"&amp;DG$11&amp;"'!B:R"),15,FALSE),"")</f>
        <v/>
      </c>
      <c r="DH248" s="96">
        <f>IFERROR(VLOOKUP($B248,INDIRECT("'GRD-"&amp;DH$11&amp;"'!B:R"),15,FALSE),"")</f>
        <v/>
      </c>
      <c r="DI248" s="96">
        <f>IFERROR(VLOOKUP($B248,INDIRECT("'GRD-"&amp;DI$11&amp;"'!B:R"),15,FALSE),"")</f>
        <v/>
      </c>
      <c r="DJ248" s="96">
        <f>IFERROR(VLOOKUP($B248,INDIRECT("'GRD-"&amp;DJ$11&amp;"'!B:R"),15,FALSE),"")</f>
        <v/>
      </c>
      <c r="DK248" s="96">
        <f>IFERROR(VLOOKUP($B248,INDIRECT("'GRD-"&amp;DK$11&amp;"'!B:R"),15,FALSE),"")</f>
        <v/>
      </c>
      <c r="DL248" s="96">
        <f>IFERROR(VLOOKUP($B248,INDIRECT("'GRD-"&amp;DL$11&amp;"'!B:R"),15,FALSE),"")</f>
        <v/>
      </c>
      <c r="DM248" s="96">
        <f>IFERROR(VLOOKUP($B248,INDIRECT("'GRD-"&amp;DM$11&amp;"'!B:R"),15,FALSE),"")</f>
        <v/>
      </c>
      <c r="DN248" s="96">
        <f>IFERROR(VLOOKUP($B248,INDIRECT("'GRD-"&amp;DN$11&amp;"'!B:R"),15,FALSE),"")</f>
        <v/>
      </c>
      <c r="DO248" s="96">
        <f>IFERROR(VLOOKUP($B248,INDIRECT("'GRD-"&amp;DO$11&amp;"'!B:R"),15,FALSE),"")</f>
        <v/>
      </c>
      <c r="DP248" s="96">
        <f>IFERROR(VLOOKUP($B248,INDIRECT("'GRD-"&amp;DP$11&amp;"'!B:R"),15,FALSE),"")</f>
        <v/>
      </c>
      <c r="DQ248" s="96">
        <f>IFERROR(VLOOKUP($B248,INDIRECT("'GRD-"&amp;DQ$11&amp;"'!B:R"),15,FALSE),"")</f>
        <v/>
      </c>
      <c r="DR248" s="96">
        <f>IFERROR(VLOOKUP($B248,INDIRECT("'GRD-"&amp;DR$11&amp;"'!B:R"),15,FALSE),"")</f>
        <v/>
      </c>
      <c r="DS248" s="96">
        <f>IFERROR(VLOOKUP($B248,INDIRECT("'GRD-"&amp;DS$11&amp;"'!B:R"),15,FALSE),"")</f>
        <v/>
      </c>
      <c r="DT248" s="96">
        <f>IFERROR(VLOOKUP($B248,INDIRECT("'GRD-"&amp;DT$11&amp;"'!B:R"),15,FALSE),"")</f>
        <v/>
      </c>
      <c r="DU248" s="96">
        <f>IFERROR(VLOOKUP($B248,INDIRECT("'GRD-"&amp;DU$11&amp;"'!B:R"),15,FALSE),"")</f>
        <v/>
      </c>
      <c r="DV248" s="96">
        <f>IFERROR(VLOOKUP($B248,INDIRECT("'GRD-"&amp;DV$11&amp;"'!B:R"),15,FALSE),"")</f>
        <v/>
      </c>
      <c r="DW248" s="96">
        <f>IFERROR(VLOOKUP($B248,INDIRECT("'GRD-"&amp;DW$11&amp;"'!B:R"),15,FALSE),"")</f>
        <v/>
      </c>
      <c r="DX248" s="96">
        <f>IFERROR(VLOOKUP($B248,INDIRECT("'GRD-"&amp;DX$11&amp;"'!B:R"),15,FALSE),"")</f>
        <v/>
      </c>
      <c r="DY248" s="96">
        <f>IFERROR(VLOOKUP($B248,INDIRECT("'GRD-"&amp;DY$11&amp;"'!B:R"),15,FALSE),"")</f>
        <v/>
      </c>
      <c r="DZ248" s="96">
        <f>IFERROR(VLOOKUP($B248,INDIRECT("'GRD-"&amp;DZ$11&amp;"'!B:R"),15,FALSE),"")</f>
        <v/>
      </c>
      <c r="EA248" s="96">
        <f>IFERROR(VLOOKUP($B248,INDIRECT("'GRD-"&amp;EA$11&amp;"'!B:R"),15,FALSE),"")</f>
        <v/>
      </c>
      <c r="EB248" s="96">
        <f>IFERROR(VLOOKUP($B248,INDIRECT("'GRD-"&amp;EB$11&amp;"'!B:R"),15,FALSE),"")</f>
        <v/>
      </c>
      <c r="EC248" s="96">
        <f>IFERROR(VLOOKUP($B248,INDIRECT("'GRD-"&amp;EC$11&amp;"'!B:R"),15,FALSE),"")</f>
        <v/>
      </c>
      <c r="ED248" s="96">
        <f>IFERROR(VLOOKUP($B248,INDIRECT("'GRD-"&amp;ED$11&amp;"'!B:R"),15,FALSE),"")</f>
        <v/>
      </c>
      <c r="EE248" s="96">
        <f>IFERROR(VLOOKUP($B248,INDIRECT("'GRD-"&amp;EE$11&amp;"'!B:R"),15,FALSE),"")</f>
        <v/>
      </c>
      <c r="EF248" s="96">
        <f>IFERROR(VLOOKUP($B248,INDIRECT("'GRD-"&amp;EF$11&amp;"'!B:R"),15,FALSE),"")</f>
        <v/>
      </c>
      <c r="EG248" s="96">
        <f>IFERROR(VLOOKUP($B248,INDIRECT("'GRD-"&amp;EG$11&amp;"'!B:R"),15,FALSE),"")</f>
        <v/>
      </c>
      <c r="EH248" s="96">
        <f>IFERROR(VLOOKUP($B248,INDIRECT("'GRD-"&amp;EH$11&amp;"'!B:R"),15,FALSE),"")</f>
        <v/>
      </c>
      <c r="EI248" s="96">
        <f>IFERROR(VLOOKUP($B248,INDIRECT("'GRD-"&amp;EI$11&amp;"'!B:R"),15,FALSE),"")</f>
        <v/>
      </c>
      <c r="EJ248" s="96">
        <f>IFERROR(VLOOKUP($B248,INDIRECT("'GRD-"&amp;EJ$11&amp;"'!B:R"),15,FALSE),"")</f>
        <v/>
      </c>
      <c r="EK248" s="96">
        <f>IFERROR(VLOOKUP($B248,INDIRECT("'GRD-"&amp;EK$11&amp;"'!B:R"),15,FALSE),"")</f>
        <v/>
      </c>
      <c r="EL248" s="96">
        <f>IFERROR(VLOOKUP($B248,INDIRECT("'GRD-"&amp;EL$11&amp;"'!B:R"),15,FALSE),"")</f>
        <v/>
      </c>
      <c r="EM248" s="96">
        <f>IFERROR(VLOOKUP($B248,INDIRECT("'GRD-"&amp;EM$11&amp;"'!B:R"),15,FALSE),"")</f>
        <v/>
      </c>
      <c r="EN248" s="96">
        <f>IFERROR(VLOOKUP($B248,INDIRECT("'GRD-"&amp;EN$11&amp;"'!B:R"),15,FALSE),"")</f>
        <v/>
      </c>
      <c r="EO248" s="96">
        <f>IFERROR(VLOOKUP($B248,INDIRECT("'GRD-"&amp;EO$11&amp;"'!B:R"),15,FALSE),"")</f>
        <v/>
      </c>
      <c r="EP248" s="96">
        <f>IFERROR(VLOOKUP($B248,INDIRECT("'GRD-"&amp;EP$11&amp;"'!B:R"),15,FALSE),"")</f>
        <v/>
      </c>
      <c r="EQ248" s="96">
        <f>IFERROR(VLOOKUP($B248,INDIRECT("'GRD-"&amp;EQ$11&amp;"'!B:R"),15,FALSE),"")</f>
        <v/>
      </c>
      <c r="ER248" s="96">
        <f>IFERROR(VLOOKUP($B248,INDIRECT("'GRD-"&amp;ER$11&amp;"'!B:R"),15,FALSE),"")</f>
        <v/>
      </c>
      <c r="ES248" s="96">
        <f>IFERROR(VLOOKUP($B248,INDIRECT("'GRD-"&amp;ES$11&amp;"'!B:R"),15,FALSE),"")</f>
        <v/>
      </c>
      <c r="ET248" s="96">
        <f>IFERROR(VLOOKUP($B248,INDIRECT("'GRD-"&amp;ET$11&amp;"'!B:R"),15,FALSE),"")</f>
        <v/>
      </c>
      <c r="EU248" s="96">
        <f>IFERROR(VLOOKUP($B248,INDIRECT("'GRD-"&amp;EU$11&amp;"'!B:R"),15,FALSE),"")</f>
        <v/>
      </c>
      <c r="EV248" s="96">
        <f>IFERROR(VLOOKUP($B248,INDIRECT("'GRD-"&amp;EV$11&amp;"'!B:R"),15,FALSE),"")</f>
        <v/>
      </c>
      <c r="EW248" s="96">
        <f>IFERROR(VLOOKUP($B248,INDIRECT("'GRD-"&amp;EW$11&amp;"'!B:R"),15,FALSE),"")</f>
        <v/>
      </c>
      <c r="EX248" s="96">
        <f>IFERROR(VLOOKUP($B248,INDIRECT("'GRD-"&amp;EX$11&amp;"'!B:R"),15,FALSE),"")</f>
        <v/>
      </c>
      <c r="EY248" s="96">
        <f>IFERROR(VLOOKUP($B248,INDIRECT("'GRD-"&amp;EY$11&amp;"'!B:R"),15,FALSE),"")</f>
        <v/>
      </c>
      <c r="EZ248" s="96">
        <f>IFERROR(VLOOKUP($B248,INDIRECT("'GRD-"&amp;EZ$11&amp;"'!B:R"),15,FALSE),"")</f>
        <v/>
      </c>
      <c r="FA248" s="96">
        <f>IFERROR(VLOOKUP($B248,INDIRECT("'GRD-"&amp;FA$11&amp;"'!B:R"),15,FALSE),"")</f>
        <v/>
      </c>
      <c r="FB248" s="96">
        <f>IFERROR(VLOOKUP($B248,INDIRECT("'GRD-"&amp;FB$11&amp;"'!B:R"),15,FALSE),"")</f>
        <v/>
      </c>
      <c r="FC248" s="96">
        <f>IFERROR(VLOOKUP($B248,INDIRECT("'GRD-"&amp;FC$11&amp;"'!B:R"),15,FALSE),"")</f>
        <v/>
      </c>
      <c r="FD248" s="96">
        <f>IFERROR(VLOOKUP($B248,INDIRECT("'GRD-"&amp;FD$11&amp;"'!B:R"),15,FALSE),"")</f>
        <v/>
      </c>
      <c r="FE248" s="96">
        <f>IFERROR(VLOOKUP($B248,INDIRECT("'GRD-"&amp;FE$11&amp;"'!B:R"),15,FALSE),"")</f>
        <v/>
      </c>
      <c r="FF248" s="96">
        <f>IFERROR(VLOOKUP($B248,INDIRECT("'GRD-"&amp;FF$11&amp;"'!B:R"),15,FALSE),"")</f>
        <v/>
      </c>
      <c r="FG248" s="96">
        <f>IFERROR(VLOOKUP($B248,INDIRECT("'GRD-"&amp;FG$11&amp;"'!B:R"),15,FALSE),"")</f>
        <v/>
      </c>
      <c r="FH248" s="96">
        <f>IFERROR(VLOOKUP($B248,INDIRECT("'GRD-"&amp;FH$11&amp;"'!B:R"),15,FALSE),"")</f>
        <v/>
      </c>
      <c r="FI248" s="96">
        <f>IFERROR(VLOOKUP($B248,INDIRECT("'GRD-"&amp;FI$11&amp;"'!B:R"),15,FALSE),"")</f>
        <v/>
      </c>
      <c r="FJ248" s="96">
        <f>IFERROR(VLOOKUP($B248,INDIRECT("'GRD-"&amp;FJ$11&amp;"'!B:R"),15,FALSE),"")</f>
        <v/>
      </c>
      <c r="FK248" s="96">
        <f>IFERROR(VLOOKUP($B248,INDIRECT("'GRD-"&amp;FK$11&amp;"'!B:R"),15,FALSE),"")</f>
        <v/>
      </c>
      <c r="FL248" s="96">
        <f>IFERROR(VLOOKUP($B248,INDIRECT("'GRD-"&amp;FL$11&amp;"'!B:R"),15,FALSE),"")</f>
        <v/>
      </c>
      <c r="FM248" s="96">
        <f>IFERROR(VLOOKUP($B248,INDIRECT("'GRD-"&amp;FM$11&amp;"'!B:R"),15,FALSE),"")</f>
        <v/>
      </c>
      <c r="FN248" s="96">
        <f>IFERROR(VLOOKUP($B248,INDIRECT("'GRD-"&amp;FN$11&amp;"'!B:R"),15,FALSE),"")</f>
        <v/>
      </c>
      <c r="FO248" s="96">
        <f>IFERROR(VLOOKUP($B248,INDIRECT("'GRD-"&amp;FO$11&amp;"'!B:R"),15,FALSE),"")</f>
        <v/>
      </c>
      <c r="FP248" s="96">
        <f>IFERROR(VLOOKUP($B248,INDIRECT("'GRD-"&amp;FP$11&amp;"'!B:R"),15,FALSE),"")</f>
        <v/>
      </c>
      <c r="FQ248" s="96">
        <f>IFERROR(VLOOKUP($B248,INDIRECT("'GRD-"&amp;FQ$11&amp;"'!B:R"),15,FALSE),"")</f>
        <v/>
      </c>
      <c r="FR248" s="96">
        <f>IFERROR(VLOOKUP($B248,INDIRECT("'GRD-"&amp;FR$11&amp;"'!B:R"),15,FALSE),"")</f>
        <v/>
      </c>
      <c r="FS248" s="96">
        <f>IFERROR(VLOOKUP($B248,INDIRECT("'GRD-"&amp;FS$11&amp;"'!B:R"),15,FALSE),"")</f>
        <v/>
      </c>
      <c r="FT248" s="96">
        <f>IFERROR(VLOOKUP($B248,INDIRECT("'GRD-"&amp;FT$11&amp;"'!B:R"),15,FALSE),"")</f>
        <v/>
      </c>
      <c r="FU248" s="96">
        <f>IFERROR(VLOOKUP($B248,INDIRECT("'GRD-"&amp;FU$11&amp;"'!B:R"),15,FALSE),"")</f>
        <v/>
      </c>
      <c r="FV248" s="96">
        <f>IFERROR(VLOOKUP($B248,INDIRECT("'GRD-"&amp;FV$11&amp;"'!B:R"),15,FALSE),"")</f>
        <v/>
      </c>
    </row>
    <row r="249">
      <c r="B249" s="85" t="n"/>
      <c r="C249" s="93" t="n"/>
      <c r="D249" s="73">
        <f>IF(K249="","",MAX($CA249:$FV249))</f>
        <v/>
      </c>
      <c r="E249" s="74">
        <f t="array" ref="E249">IF($K249="","",OFFSET($A$1,ROW($B249)-1,11+$D249*4,))</f>
        <v/>
      </c>
      <c r="F249" s="74">
        <f t="array" ref="F249">IF($K249="","",OFFSET($A$1,ROW($B249)-1,12+$D249*4,))</f>
        <v/>
      </c>
      <c r="G249" s="118">
        <f t="array" ref="G249">IF($K249="","",OFFSET($A$1,ROW($B249)-1,13+$D249*4,))</f>
        <v/>
      </c>
      <c r="H249" s="81" t="n"/>
      <c r="I249" s="82" t="n"/>
      <c r="J249" s="75">
        <f>IF(I249="A4",H249/8,IF(I249="A3",H249/4,IF(I249="A2",H249/2,IF(I249="A1",H249/1,IF(I249="A0",H249*2,"")))))</f>
        <v/>
      </c>
      <c r="K249" s="68">
        <f t="array" ref="K249">IFERROR(OFFSET($BZ$11,ROW($B249)-11,MATCH(K$10,$CA249:$FV249,0),),"")</f>
        <v/>
      </c>
      <c r="L249" s="85">
        <f>IF(K249="","",IF(VLOOKUP($B249,INDIRECT("'GRD-"&amp;M249&amp;"'!$B:$R"),16,FALSE)="","",VLOOKUP($B249,INDIRECT("'GRD-"&amp;M249&amp;"'!$B:$R"),16,FALSE)))</f>
        <v/>
      </c>
      <c r="M249" s="130">
        <f t="array" ref="M249">IF(K249="","",IFERROR(OFFSET($BZ$11,0,MATCH($K249,$CA249:$FV249,0),),""))</f>
        <v/>
      </c>
      <c r="N249" s="119">
        <f t="array" ref="N249">IF(K249="","",INDIRECT("'GRD-"&amp;M249&amp;"'!$L$7"))</f>
        <v/>
      </c>
      <c r="O249" s="76">
        <f t="array" ref="O249">IFERROR(OFFSET($BZ$11,ROW($B249)-11,MATCH(O$10,$CA249:$FV249,0),),"")</f>
        <v/>
      </c>
      <c r="P249" s="76">
        <f>IF(O249="","",IF(VLOOKUP($B249,INDIRECT("'GRD-"&amp;Q249&amp;"'!$B:$R"),16,FALSE)="","",VLOOKUP($B249,INDIRECT("'GRD-"&amp;Q249&amp;"'!$B:$R"),16,FALSE)))</f>
        <v/>
      </c>
      <c r="Q249" s="132">
        <f t="array" ref="Q249">IF(O249="","",IFERROR(OFFSET($BZ$11,0,MATCH($O249,$CA249:$FV249,0),),""))</f>
        <v/>
      </c>
      <c r="R249" s="121">
        <f t="array" ref="R249">IF(O249="","",INDIRECT("'GRD-"&amp;Q249&amp;"'!$L$7"))</f>
        <v/>
      </c>
      <c r="S249" s="83">
        <f t="array" ref="S249">IFERROR(OFFSET($BZ$11,ROW($B249)-11,MATCH(S$10,$CA249:$FV249,0),),"")</f>
        <v/>
      </c>
      <c r="T249" s="83">
        <f>IF(S249="","",IF(VLOOKUP($B249,INDIRECT("'GRD-"&amp;U249&amp;"'!$B:$R"),16,FALSE)="","",VLOOKUP($B249,INDIRECT("'GRD-"&amp;U249&amp;"'!$B:$R"),16,FALSE)))</f>
        <v/>
      </c>
      <c r="U249" s="128">
        <f t="array" ref="U249">IF(S249="","",IFERROR(OFFSET($BZ$11,0,MATCH($S249,$CA249:$FV249,0),),""))</f>
        <v/>
      </c>
      <c r="V249" s="133">
        <f t="array" ref="V249">IF(S249="","",INDIRECT("'GRD-"&amp;U249&amp;"'!$L$7"))</f>
        <v/>
      </c>
      <c r="W249" s="84">
        <f t="array" ref="W249">IFERROR(OFFSET($BZ$11,ROW($B249)-11,MATCH(W$10,$CA249:$FV249,0),),"")</f>
        <v/>
      </c>
      <c r="X249" s="84">
        <f>IF(W249="","",IF(VLOOKUP($B249,INDIRECT("'GRD-"&amp;Y249&amp;"'!$B:$R"),16,FALSE)="","",VLOOKUP($B249,INDIRECT("'GRD-"&amp;Y249&amp;"'!$B:$R"),16,FALSE)))</f>
        <v/>
      </c>
      <c r="Y249" s="129">
        <f t="array" ref="Y249">IF(W249="","",IFERROR(OFFSET($BZ$11,0,MATCH($W249,$CA249:$FV249,0),),""))</f>
        <v/>
      </c>
      <c r="Z249" s="134">
        <f t="array" ref="Z249">IF(W249="","",INDIRECT("'GRD-"&amp;Y249&amp;"'!$L$7"))</f>
        <v/>
      </c>
      <c r="AA249" s="85">
        <f t="array" ref="AA249">IFERROR(OFFSET($BZ$11,ROW($B249)-11,MATCH(AA$10,$CA249:$FV249,0),),"")</f>
        <v/>
      </c>
      <c r="AB249" s="85">
        <f>IF(AA249="","",IF(VLOOKUP($B249,INDIRECT("'GRD-"&amp;AC249&amp;"'!$B:$R"),16,FALSE)="","",VLOOKUP($B249,INDIRECT("'GRD-"&amp;AC249&amp;"'!$B:$R"),16,FALSE)))</f>
        <v/>
      </c>
      <c r="AC249" s="130">
        <f t="array" ref="AC249">IF(AA249="","",IFERROR(OFFSET($BZ$11,0,MATCH($AA249,$CA249:$FV249,0),),""))</f>
        <v/>
      </c>
      <c r="AD249" s="131">
        <f t="array" ref="AD249">IF(AA249="","",INDIRECT("'GRD-"&amp;AC249&amp;"'!$L$7"))</f>
        <v/>
      </c>
      <c r="AE249" s="76">
        <f t="array" ref="AE249">IFERROR(OFFSET($BZ$11,ROW($B249)-11,MATCH(AE$10,$CA249:$FV249,0),),"")</f>
        <v/>
      </c>
      <c r="AF249" s="76">
        <f>IF(AE249="","",IF(VLOOKUP($B249,INDIRECT("'GRD-"&amp;AG249&amp;"'!$B:$R"),16,FALSE)="","",VLOOKUP($B249,INDIRECT("'GRD-"&amp;AG249&amp;"'!$B:$R"),16,FALSE)))</f>
        <v/>
      </c>
      <c r="AG249" s="132">
        <f t="array" ref="AG249">IF(AE249="","",IFERROR(OFFSET($BZ$11,0,MATCH($AE249,$CA249:$FV249,0),),""))</f>
        <v/>
      </c>
      <c r="AH249" s="121">
        <f t="array" ref="AH249">IF(AE249="","",INDIRECT("'GRD-"&amp;AG249&amp;"'!$L$7"))</f>
        <v/>
      </c>
      <c r="AI249" s="83">
        <f t="array" ref="AI249">IFERROR(OFFSET($BZ$11,ROW($B249)-11,MATCH(AI$10,$CA249:$FV249,0),),"")</f>
        <v/>
      </c>
      <c r="AJ249" s="83">
        <f>IF(AI249="","",IF(VLOOKUP($B249,INDIRECT("'GRD-"&amp;AK249&amp;"'!$B:$R"),16,FALSE)="","",VLOOKUP($B249,INDIRECT("'GRD-"&amp;AK249&amp;"'!$B:$R"),16,FALSE)))</f>
        <v/>
      </c>
      <c r="AK249" s="128">
        <f t="array" ref="AK249">IF(AI249="","",IFERROR(OFFSET($BZ$11,0,MATCH($AI249,$CA249:$FV249,0),),""))</f>
        <v/>
      </c>
      <c r="AL249" s="133">
        <f t="array" ref="AL249">IF(AI249="","",INDIRECT("'GRD-"&amp;AK249&amp;"'!$L$7"))</f>
        <v/>
      </c>
      <c r="AM249" s="84">
        <f t="array" ref="AM249">IFERROR(OFFSET($BZ$11,ROW($B249)-11,MATCH(AM$10,$CA249:$FV249,0),),"")</f>
        <v/>
      </c>
      <c r="AN249" s="84">
        <f>IF(AM249="","",IF(VLOOKUP($B249,INDIRECT("'GRD-"&amp;AO249&amp;"'!$B:$R"),16,FALSE)="","",VLOOKUP($B249,INDIRECT("'GRD-"&amp;AO249&amp;"'!$B:$R"),16,FALSE)))</f>
        <v/>
      </c>
      <c r="AO249" s="129">
        <f t="array" ref="AO249">IF(AM249="","",IFERROR(OFFSET($BZ$11,0,MATCH($AM249,$CA249:$FV249,0),),""))</f>
        <v/>
      </c>
      <c r="AP249" s="134">
        <f t="array" ref="AP249">IF(AM249="","",INDIRECT("'GRD-"&amp;AO249&amp;"'!$L$7"))</f>
        <v/>
      </c>
      <c r="AQ249" s="85">
        <f t="array" ref="AQ249">IFERROR(OFFSET($BZ$11,ROW($B249)-11,MATCH(AQ$10,$CA249:$FV249,0),),"")</f>
        <v/>
      </c>
      <c r="AR249" s="85">
        <f>IF(AQ249="","",IF(VLOOKUP($B249,INDIRECT("'GRD-"&amp;AS249&amp;"'!$B:$R"),16,FALSE)="","",VLOOKUP($B249,INDIRECT("'GRD-"&amp;AS249&amp;"'!$B:$R"),16,FALSE)))</f>
        <v/>
      </c>
      <c r="AS249" s="130">
        <f t="array" ref="AS249">IF(AQ249="","",IFERROR(OFFSET($BZ$11,0,MATCH($AQ249,$CA249:$FV249,0),),""))</f>
        <v/>
      </c>
      <c r="AT249" s="131">
        <f t="array" ref="AT249">IF(AQ249="","",INDIRECT("'GRD-"&amp;AS249&amp;"'!$L$7"))</f>
        <v/>
      </c>
      <c r="AU249" s="76">
        <f t="array" ref="AU249">IFERROR(OFFSET($BZ$11,ROW($B249)-11,MATCH(AU$10,$CA249:$FV249,0),),"")</f>
        <v/>
      </c>
      <c r="AV249" s="76">
        <f>IF(AU249="","",IF(VLOOKUP($B249,INDIRECT("'GRD-"&amp;AW249&amp;"'!$B:$R"),16,FALSE)="","",VLOOKUP($B249,INDIRECT("'GRD-"&amp;AW249&amp;"'!$B:$R"),16,FALSE)))</f>
        <v/>
      </c>
      <c r="AW249" s="132">
        <f t="array" ref="AW249">IF(AU249="","",IFERROR(OFFSET($BZ$11,0,MATCH($AU249,$CA249:$FV249,0),),""))</f>
        <v/>
      </c>
      <c r="AX249" s="121">
        <f t="array" ref="AX249">IF(AU249="","",INDIRECT("'GRD-"&amp;AW249&amp;"'!$L$7"))</f>
        <v/>
      </c>
      <c r="AY249" s="83">
        <f t="array" ref="AY249">IFERROR(OFFSET($BZ$11,ROW($B249)-11,MATCH(AY$10,$CA249:$FV249,0),),"")</f>
        <v/>
      </c>
      <c r="AZ249" s="83">
        <f>IF(AY249="","",IF(VLOOKUP($B249,INDIRECT("'GRD-"&amp;BA249&amp;"'!$B:$R"),16,FALSE)="","",VLOOKUP($B249,INDIRECT("'GRD-"&amp;BA249&amp;"'!$B:$R"),16,FALSE)))</f>
        <v/>
      </c>
      <c r="BA249" s="128">
        <f t="array" ref="BA249">IF(AY249="","",IFERROR(OFFSET($BZ$11,0,MATCH($AY249,$CA249:$FV249,0),),""))</f>
        <v/>
      </c>
      <c r="BB249" s="133">
        <f t="array" ref="BB249">IF(AY249="","",INDIRECT("'GRD-"&amp;BA249&amp;"'!$L$7"))</f>
        <v/>
      </c>
      <c r="BC249" s="84">
        <f t="array" ref="BC249">IFERROR(OFFSET($BZ$11,ROW($B249)-11,MATCH(BC$10,$CA249:$FV249,0),),"")</f>
        <v/>
      </c>
      <c r="BD249" s="84">
        <f>IF(BC249="","",IF(VLOOKUP($B249,INDIRECT("'GRD-"&amp;BE249&amp;"'!$B:$R"),16,FALSE)="","",VLOOKUP($B249,INDIRECT("'GRD-"&amp;BE249&amp;"'!$B:$R"),16,FALSE)))</f>
        <v/>
      </c>
      <c r="BE249" s="129">
        <f t="array" ref="BE249">IF(BC249="","",IFERROR(OFFSET($BZ$11,0,MATCH($BC249,$CA249:$FV249,0),),""))</f>
        <v/>
      </c>
      <c r="BF249" s="134">
        <f t="array" ref="BF249">IF(BC249="","",INDIRECT("'GRD-"&amp;BE249&amp;"'!$L$7"))</f>
        <v/>
      </c>
      <c r="CA249" s="96">
        <f>IFERROR(VLOOKUP($B249,INDIRECT("'GRD-"&amp;CA$11&amp;"'!B:R"),15,FALSE),"")</f>
        <v/>
      </c>
      <c r="CB249" s="96">
        <f>IFERROR(VLOOKUP($B249,INDIRECT("'GRD-"&amp;CB$11&amp;"'!B:R"),15,FALSE),"")</f>
        <v/>
      </c>
      <c r="CC249" s="96">
        <f>IFERROR(VLOOKUP($B249,INDIRECT("'GRD-"&amp;CC$11&amp;"'!B:R"),15,FALSE),"")</f>
        <v/>
      </c>
      <c r="CD249" s="96">
        <f>IFERROR(VLOOKUP($B249,INDIRECT("'GRD-"&amp;CD$11&amp;"'!B:R"),15,FALSE),"")</f>
        <v/>
      </c>
      <c r="CE249" s="96">
        <f>IFERROR(VLOOKUP($B249,INDIRECT("'GRD-"&amp;CE$11&amp;"'!B:R"),15,FALSE),"")</f>
        <v/>
      </c>
      <c r="CF249" s="96">
        <f>IFERROR(VLOOKUP($B249,INDIRECT("'GRD-"&amp;CF$11&amp;"'!B:R"),15,FALSE),"")</f>
        <v/>
      </c>
      <c r="CG249" s="96">
        <f>IFERROR(VLOOKUP($B249,INDIRECT("'GRD-"&amp;CG$11&amp;"'!B:R"),15,FALSE),"")</f>
        <v/>
      </c>
      <c r="CH249" s="96">
        <f>IFERROR(VLOOKUP($B249,INDIRECT("'GRD-"&amp;CH$11&amp;"'!B:R"),15,FALSE),"")</f>
        <v/>
      </c>
      <c r="CI249" s="96">
        <f>IFERROR(VLOOKUP($B249,INDIRECT("'GRD-"&amp;CI$11&amp;"'!B:R"),15,FALSE),"")</f>
        <v/>
      </c>
      <c r="CJ249" s="96">
        <f>IFERROR(VLOOKUP($B249,INDIRECT("'GRD-"&amp;CJ$11&amp;"'!B:R"),15,FALSE),"")</f>
        <v/>
      </c>
      <c r="CK249" s="96">
        <f>IFERROR(VLOOKUP($B249,INDIRECT("'GRD-"&amp;CK$11&amp;"'!B:R"),15,FALSE),"")</f>
        <v/>
      </c>
      <c r="CL249" s="96">
        <f>IFERROR(VLOOKUP($B249,INDIRECT("'GRD-"&amp;CL$11&amp;"'!B:R"),15,FALSE),"")</f>
        <v/>
      </c>
      <c r="CM249" s="96">
        <f>IFERROR(VLOOKUP($B249,INDIRECT("'GRD-"&amp;CM$11&amp;"'!B:R"),15,FALSE),"")</f>
        <v/>
      </c>
      <c r="CN249" s="96">
        <f>IFERROR(VLOOKUP($B249,INDIRECT("'GRD-"&amp;CN$11&amp;"'!B:R"),15,FALSE),"")</f>
        <v/>
      </c>
      <c r="CO249" s="96">
        <f>IFERROR(VLOOKUP($B249,INDIRECT("'GRD-"&amp;CO$11&amp;"'!B:R"),15,FALSE),"")</f>
        <v/>
      </c>
      <c r="CP249" s="96">
        <f>IFERROR(VLOOKUP($B249,INDIRECT("'GRD-"&amp;CP$11&amp;"'!B:R"),15,FALSE),"")</f>
        <v/>
      </c>
      <c r="CQ249" s="96">
        <f>IFERROR(VLOOKUP($B249,INDIRECT("'GRD-"&amp;CQ$11&amp;"'!B:R"),15,FALSE),"")</f>
        <v/>
      </c>
      <c r="CR249" s="96">
        <f>IFERROR(VLOOKUP($B249,INDIRECT("'GRD-"&amp;CR$11&amp;"'!B:R"),15,FALSE),"")</f>
        <v/>
      </c>
      <c r="CS249" s="96">
        <f>IFERROR(VLOOKUP($B249,INDIRECT("'GRD-"&amp;CS$11&amp;"'!B:R"),15,FALSE),"")</f>
        <v/>
      </c>
      <c r="CT249" s="96">
        <f>IFERROR(VLOOKUP($B249,INDIRECT("'GRD-"&amp;CT$11&amp;"'!B:R"),15,FALSE),"")</f>
        <v/>
      </c>
      <c r="CU249" s="96">
        <f>IFERROR(VLOOKUP($B249,INDIRECT("'GRD-"&amp;CU$11&amp;"'!B:R"),15,FALSE),"")</f>
        <v/>
      </c>
      <c r="CV249" s="96">
        <f>IFERROR(VLOOKUP($B249,INDIRECT("'GRD-"&amp;CV$11&amp;"'!B:R"),15,FALSE),"")</f>
        <v/>
      </c>
      <c r="CW249" s="96">
        <f>IFERROR(VLOOKUP($B249,INDIRECT("'GRD-"&amp;CW$11&amp;"'!B:R"),15,FALSE),"")</f>
        <v/>
      </c>
      <c r="CX249" s="96">
        <f>IFERROR(VLOOKUP($B249,INDIRECT("'GRD-"&amp;CX$11&amp;"'!B:R"),15,FALSE),"")</f>
        <v/>
      </c>
      <c r="CY249" s="96">
        <f>IFERROR(VLOOKUP($B249,INDIRECT("'GRD-"&amp;CY$11&amp;"'!B:R"),15,FALSE),"")</f>
        <v/>
      </c>
      <c r="CZ249" s="96">
        <f>IFERROR(VLOOKUP($B249,INDIRECT("'GRD-"&amp;CZ$11&amp;"'!B:R"),15,FALSE),"")</f>
        <v/>
      </c>
      <c r="DA249" s="96">
        <f>IFERROR(VLOOKUP($B249,INDIRECT("'GRD-"&amp;DA$11&amp;"'!B:R"),15,FALSE),"")</f>
        <v/>
      </c>
      <c r="DB249" s="96">
        <f>IFERROR(VLOOKUP($B249,INDIRECT("'GRD-"&amp;DB$11&amp;"'!B:R"),15,FALSE),"")</f>
        <v/>
      </c>
      <c r="DC249" s="96">
        <f>IFERROR(VLOOKUP($B249,INDIRECT("'GRD-"&amp;DC$11&amp;"'!B:R"),15,FALSE),"")</f>
        <v/>
      </c>
      <c r="DD249" s="96">
        <f>IFERROR(VLOOKUP($B249,INDIRECT("'GRD-"&amp;DD$11&amp;"'!B:R"),15,FALSE),"")</f>
        <v/>
      </c>
      <c r="DE249" s="96">
        <f>IFERROR(VLOOKUP($B249,INDIRECT("'GRD-"&amp;DE$11&amp;"'!B:R"),15,FALSE),"")</f>
        <v/>
      </c>
      <c r="DF249" s="96">
        <f>IFERROR(VLOOKUP($B249,INDIRECT("'GRD-"&amp;DF$11&amp;"'!B:R"),15,FALSE),"")</f>
        <v/>
      </c>
      <c r="DG249" s="96">
        <f>IFERROR(VLOOKUP($B249,INDIRECT("'GRD-"&amp;DG$11&amp;"'!B:R"),15,FALSE),"")</f>
        <v/>
      </c>
      <c r="DH249" s="96">
        <f>IFERROR(VLOOKUP($B249,INDIRECT("'GRD-"&amp;DH$11&amp;"'!B:R"),15,FALSE),"")</f>
        <v/>
      </c>
      <c r="DI249" s="96">
        <f>IFERROR(VLOOKUP($B249,INDIRECT("'GRD-"&amp;DI$11&amp;"'!B:R"),15,FALSE),"")</f>
        <v/>
      </c>
      <c r="DJ249" s="96">
        <f>IFERROR(VLOOKUP($B249,INDIRECT("'GRD-"&amp;DJ$11&amp;"'!B:R"),15,FALSE),"")</f>
        <v/>
      </c>
      <c r="DK249" s="96">
        <f>IFERROR(VLOOKUP($B249,INDIRECT("'GRD-"&amp;DK$11&amp;"'!B:R"),15,FALSE),"")</f>
        <v/>
      </c>
      <c r="DL249" s="96">
        <f>IFERROR(VLOOKUP($B249,INDIRECT("'GRD-"&amp;DL$11&amp;"'!B:R"),15,FALSE),"")</f>
        <v/>
      </c>
      <c r="DM249" s="96">
        <f>IFERROR(VLOOKUP($B249,INDIRECT("'GRD-"&amp;DM$11&amp;"'!B:R"),15,FALSE),"")</f>
        <v/>
      </c>
      <c r="DN249" s="96">
        <f>IFERROR(VLOOKUP($B249,INDIRECT("'GRD-"&amp;DN$11&amp;"'!B:R"),15,FALSE),"")</f>
        <v/>
      </c>
      <c r="DO249" s="96">
        <f>IFERROR(VLOOKUP($B249,INDIRECT("'GRD-"&amp;DO$11&amp;"'!B:R"),15,FALSE),"")</f>
        <v/>
      </c>
      <c r="DP249" s="96">
        <f>IFERROR(VLOOKUP($B249,INDIRECT("'GRD-"&amp;DP$11&amp;"'!B:R"),15,FALSE),"")</f>
        <v/>
      </c>
      <c r="DQ249" s="96">
        <f>IFERROR(VLOOKUP($B249,INDIRECT("'GRD-"&amp;DQ$11&amp;"'!B:R"),15,FALSE),"")</f>
        <v/>
      </c>
      <c r="DR249" s="96">
        <f>IFERROR(VLOOKUP($B249,INDIRECT("'GRD-"&amp;DR$11&amp;"'!B:R"),15,FALSE),"")</f>
        <v/>
      </c>
      <c r="DS249" s="96">
        <f>IFERROR(VLOOKUP($B249,INDIRECT("'GRD-"&amp;DS$11&amp;"'!B:R"),15,FALSE),"")</f>
        <v/>
      </c>
      <c r="DT249" s="96">
        <f>IFERROR(VLOOKUP($B249,INDIRECT("'GRD-"&amp;DT$11&amp;"'!B:R"),15,FALSE),"")</f>
        <v/>
      </c>
      <c r="DU249" s="96">
        <f>IFERROR(VLOOKUP($B249,INDIRECT("'GRD-"&amp;DU$11&amp;"'!B:R"),15,FALSE),"")</f>
        <v/>
      </c>
      <c r="DV249" s="96">
        <f>IFERROR(VLOOKUP($B249,INDIRECT("'GRD-"&amp;DV$11&amp;"'!B:R"),15,FALSE),"")</f>
        <v/>
      </c>
      <c r="DW249" s="96">
        <f>IFERROR(VLOOKUP($B249,INDIRECT("'GRD-"&amp;DW$11&amp;"'!B:R"),15,FALSE),"")</f>
        <v/>
      </c>
      <c r="DX249" s="96">
        <f>IFERROR(VLOOKUP($B249,INDIRECT("'GRD-"&amp;DX$11&amp;"'!B:R"),15,FALSE),"")</f>
        <v/>
      </c>
      <c r="DY249" s="96">
        <f>IFERROR(VLOOKUP($B249,INDIRECT("'GRD-"&amp;DY$11&amp;"'!B:R"),15,FALSE),"")</f>
        <v/>
      </c>
      <c r="DZ249" s="96">
        <f>IFERROR(VLOOKUP($B249,INDIRECT("'GRD-"&amp;DZ$11&amp;"'!B:R"),15,FALSE),"")</f>
        <v/>
      </c>
      <c r="EA249" s="96">
        <f>IFERROR(VLOOKUP($B249,INDIRECT("'GRD-"&amp;EA$11&amp;"'!B:R"),15,FALSE),"")</f>
        <v/>
      </c>
      <c r="EB249" s="96">
        <f>IFERROR(VLOOKUP($B249,INDIRECT("'GRD-"&amp;EB$11&amp;"'!B:R"),15,FALSE),"")</f>
        <v/>
      </c>
      <c r="EC249" s="96">
        <f>IFERROR(VLOOKUP($B249,INDIRECT("'GRD-"&amp;EC$11&amp;"'!B:R"),15,FALSE),"")</f>
        <v/>
      </c>
      <c r="ED249" s="96">
        <f>IFERROR(VLOOKUP($B249,INDIRECT("'GRD-"&amp;ED$11&amp;"'!B:R"),15,FALSE),"")</f>
        <v/>
      </c>
      <c r="EE249" s="96">
        <f>IFERROR(VLOOKUP($B249,INDIRECT("'GRD-"&amp;EE$11&amp;"'!B:R"),15,FALSE),"")</f>
        <v/>
      </c>
      <c r="EF249" s="96">
        <f>IFERROR(VLOOKUP($B249,INDIRECT("'GRD-"&amp;EF$11&amp;"'!B:R"),15,FALSE),"")</f>
        <v/>
      </c>
      <c r="EG249" s="96">
        <f>IFERROR(VLOOKUP($B249,INDIRECT("'GRD-"&amp;EG$11&amp;"'!B:R"),15,FALSE),"")</f>
        <v/>
      </c>
      <c r="EH249" s="96">
        <f>IFERROR(VLOOKUP($B249,INDIRECT("'GRD-"&amp;EH$11&amp;"'!B:R"),15,FALSE),"")</f>
        <v/>
      </c>
      <c r="EI249" s="96">
        <f>IFERROR(VLOOKUP($B249,INDIRECT("'GRD-"&amp;EI$11&amp;"'!B:R"),15,FALSE),"")</f>
        <v/>
      </c>
      <c r="EJ249" s="96">
        <f>IFERROR(VLOOKUP($B249,INDIRECT("'GRD-"&amp;EJ$11&amp;"'!B:R"),15,FALSE),"")</f>
        <v/>
      </c>
      <c r="EK249" s="96">
        <f>IFERROR(VLOOKUP($B249,INDIRECT("'GRD-"&amp;EK$11&amp;"'!B:R"),15,FALSE),"")</f>
        <v/>
      </c>
      <c r="EL249" s="96">
        <f>IFERROR(VLOOKUP($B249,INDIRECT("'GRD-"&amp;EL$11&amp;"'!B:R"),15,FALSE),"")</f>
        <v/>
      </c>
      <c r="EM249" s="96">
        <f>IFERROR(VLOOKUP($B249,INDIRECT("'GRD-"&amp;EM$11&amp;"'!B:R"),15,FALSE),"")</f>
        <v/>
      </c>
      <c r="EN249" s="96">
        <f>IFERROR(VLOOKUP($B249,INDIRECT("'GRD-"&amp;EN$11&amp;"'!B:R"),15,FALSE),"")</f>
        <v/>
      </c>
      <c r="EO249" s="96">
        <f>IFERROR(VLOOKUP($B249,INDIRECT("'GRD-"&amp;EO$11&amp;"'!B:R"),15,FALSE),"")</f>
        <v/>
      </c>
      <c r="EP249" s="96">
        <f>IFERROR(VLOOKUP($B249,INDIRECT("'GRD-"&amp;EP$11&amp;"'!B:R"),15,FALSE),"")</f>
        <v/>
      </c>
      <c r="EQ249" s="96">
        <f>IFERROR(VLOOKUP($B249,INDIRECT("'GRD-"&amp;EQ$11&amp;"'!B:R"),15,FALSE),"")</f>
        <v/>
      </c>
      <c r="ER249" s="96">
        <f>IFERROR(VLOOKUP($B249,INDIRECT("'GRD-"&amp;ER$11&amp;"'!B:R"),15,FALSE),"")</f>
        <v/>
      </c>
      <c r="ES249" s="96">
        <f>IFERROR(VLOOKUP($B249,INDIRECT("'GRD-"&amp;ES$11&amp;"'!B:R"),15,FALSE),"")</f>
        <v/>
      </c>
      <c r="ET249" s="96">
        <f>IFERROR(VLOOKUP($B249,INDIRECT("'GRD-"&amp;ET$11&amp;"'!B:R"),15,FALSE),"")</f>
        <v/>
      </c>
      <c r="EU249" s="96">
        <f>IFERROR(VLOOKUP($B249,INDIRECT("'GRD-"&amp;EU$11&amp;"'!B:R"),15,FALSE),"")</f>
        <v/>
      </c>
      <c r="EV249" s="96">
        <f>IFERROR(VLOOKUP($B249,INDIRECT("'GRD-"&amp;EV$11&amp;"'!B:R"),15,FALSE),"")</f>
        <v/>
      </c>
      <c r="EW249" s="96">
        <f>IFERROR(VLOOKUP($B249,INDIRECT("'GRD-"&amp;EW$11&amp;"'!B:R"),15,FALSE),"")</f>
        <v/>
      </c>
      <c r="EX249" s="96">
        <f>IFERROR(VLOOKUP($B249,INDIRECT("'GRD-"&amp;EX$11&amp;"'!B:R"),15,FALSE),"")</f>
        <v/>
      </c>
      <c r="EY249" s="96">
        <f>IFERROR(VLOOKUP($B249,INDIRECT("'GRD-"&amp;EY$11&amp;"'!B:R"),15,FALSE),"")</f>
        <v/>
      </c>
      <c r="EZ249" s="96">
        <f>IFERROR(VLOOKUP($B249,INDIRECT("'GRD-"&amp;EZ$11&amp;"'!B:R"),15,FALSE),"")</f>
        <v/>
      </c>
      <c r="FA249" s="96">
        <f>IFERROR(VLOOKUP($B249,INDIRECT("'GRD-"&amp;FA$11&amp;"'!B:R"),15,FALSE),"")</f>
        <v/>
      </c>
      <c r="FB249" s="96">
        <f>IFERROR(VLOOKUP($B249,INDIRECT("'GRD-"&amp;FB$11&amp;"'!B:R"),15,FALSE),"")</f>
        <v/>
      </c>
      <c r="FC249" s="96">
        <f>IFERROR(VLOOKUP($B249,INDIRECT("'GRD-"&amp;FC$11&amp;"'!B:R"),15,FALSE),"")</f>
        <v/>
      </c>
      <c r="FD249" s="96">
        <f>IFERROR(VLOOKUP($B249,INDIRECT("'GRD-"&amp;FD$11&amp;"'!B:R"),15,FALSE),"")</f>
        <v/>
      </c>
      <c r="FE249" s="96">
        <f>IFERROR(VLOOKUP($B249,INDIRECT("'GRD-"&amp;FE$11&amp;"'!B:R"),15,FALSE),"")</f>
        <v/>
      </c>
      <c r="FF249" s="96">
        <f>IFERROR(VLOOKUP($B249,INDIRECT("'GRD-"&amp;FF$11&amp;"'!B:R"),15,FALSE),"")</f>
        <v/>
      </c>
      <c r="FG249" s="96">
        <f>IFERROR(VLOOKUP($B249,INDIRECT("'GRD-"&amp;FG$11&amp;"'!B:R"),15,FALSE),"")</f>
        <v/>
      </c>
      <c r="FH249" s="96">
        <f>IFERROR(VLOOKUP($B249,INDIRECT("'GRD-"&amp;FH$11&amp;"'!B:R"),15,FALSE),"")</f>
        <v/>
      </c>
      <c r="FI249" s="96">
        <f>IFERROR(VLOOKUP($B249,INDIRECT("'GRD-"&amp;FI$11&amp;"'!B:R"),15,FALSE),"")</f>
        <v/>
      </c>
      <c r="FJ249" s="96">
        <f>IFERROR(VLOOKUP($B249,INDIRECT("'GRD-"&amp;FJ$11&amp;"'!B:R"),15,FALSE),"")</f>
        <v/>
      </c>
      <c r="FK249" s="96">
        <f>IFERROR(VLOOKUP($B249,INDIRECT("'GRD-"&amp;FK$11&amp;"'!B:R"),15,FALSE),"")</f>
        <v/>
      </c>
      <c r="FL249" s="96">
        <f>IFERROR(VLOOKUP($B249,INDIRECT("'GRD-"&amp;FL$11&amp;"'!B:R"),15,FALSE),"")</f>
        <v/>
      </c>
      <c r="FM249" s="96">
        <f>IFERROR(VLOOKUP($B249,INDIRECT("'GRD-"&amp;FM$11&amp;"'!B:R"),15,FALSE),"")</f>
        <v/>
      </c>
      <c r="FN249" s="96">
        <f>IFERROR(VLOOKUP($B249,INDIRECT("'GRD-"&amp;FN$11&amp;"'!B:R"),15,FALSE),"")</f>
        <v/>
      </c>
      <c r="FO249" s="96">
        <f>IFERROR(VLOOKUP($B249,INDIRECT("'GRD-"&amp;FO$11&amp;"'!B:R"),15,FALSE),"")</f>
        <v/>
      </c>
      <c r="FP249" s="96">
        <f>IFERROR(VLOOKUP($B249,INDIRECT("'GRD-"&amp;FP$11&amp;"'!B:R"),15,FALSE),"")</f>
        <v/>
      </c>
      <c r="FQ249" s="96">
        <f>IFERROR(VLOOKUP($B249,INDIRECT("'GRD-"&amp;FQ$11&amp;"'!B:R"),15,FALSE),"")</f>
        <v/>
      </c>
      <c r="FR249" s="96">
        <f>IFERROR(VLOOKUP($B249,INDIRECT("'GRD-"&amp;FR$11&amp;"'!B:R"),15,FALSE),"")</f>
        <v/>
      </c>
      <c r="FS249" s="96">
        <f>IFERROR(VLOOKUP($B249,INDIRECT("'GRD-"&amp;FS$11&amp;"'!B:R"),15,FALSE),"")</f>
        <v/>
      </c>
      <c r="FT249" s="96">
        <f>IFERROR(VLOOKUP($B249,INDIRECT("'GRD-"&amp;FT$11&amp;"'!B:R"),15,FALSE),"")</f>
        <v/>
      </c>
      <c r="FU249" s="96">
        <f>IFERROR(VLOOKUP($B249,INDIRECT("'GRD-"&amp;FU$11&amp;"'!B:R"),15,FALSE),"")</f>
        <v/>
      </c>
      <c r="FV249" s="96">
        <f>IFERROR(VLOOKUP($B249,INDIRECT("'GRD-"&amp;FV$11&amp;"'!B:R"),15,FALSE),"")</f>
        <v/>
      </c>
    </row>
    <row r="250">
      <c r="B250" s="85" t="n"/>
      <c r="C250" s="93" t="n"/>
      <c r="D250" s="73">
        <f>IF(K250="","",MAX($CA250:$FV250))</f>
        <v/>
      </c>
      <c r="E250" s="74">
        <f t="array" ref="E250">IF($K250="","",OFFSET($A$1,ROW($B250)-1,11+$D250*4,))</f>
        <v/>
      </c>
      <c r="F250" s="74">
        <f t="array" ref="F250">IF($K250="","",OFFSET($A$1,ROW($B250)-1,12+$D250*4,))</f>
        <v/>
      </c>
      <c r="G250" s="118">
        <f t="array" ref="G250">IF($K250="","",OFFSET($A$1,ROW($B250)-1,13+$D250*4,))</f>
        <v/>
      </c>
      <c r="H250" s="81" t="n"/>
      <c r="I250" s="82" t="n"/>
      <c r="J250" s="75">
        <f>IF(I250="A4",H250/8,IF(I250="A3",H250/4,IF(I250="A2",H250/2,IF(I250="A1",H250/1,IF(I250="A0",H250*2,"")))))</f>
        <v/>
      </c>
      <c r="K250" s="68">
        <f t="array" ref="K250">IFERROR(OFFSET($BZ$11,ROW($B250)-11,MATCH(K$10,$CA250:$FV250,0),),"")</f>
        <v/>
      </c>
      <c r="L250" s="85">
        <f>IF(K250="","",IF(VLOOKUP($B250,INDIRECT("'GRD-"&amp;M250&amp;"'!$B:$R"),16,FALSE)="","",VLOOKUP($B250,INDIRECT("'GRD-"&amp;M250&amp;"'!$B:$R"),16,FALSE)))</f>
        <v/>
      </c>
      <c r="M250" s="130">
        <f t="array" ref="M250">IF(K250="","",IFERROR(OFFSET($BZ$11,0,MATCH($K250,$CA250:$FV250,0),),""))</f>
        <v/>
      </c>
      <c r="N250" s="119">
        <f t="array" ref="N250">IF(K250="","",INDIRECT("'GRD-"&amp;M250&amp;"'!$L$7"))</f>
        <v/>
      </c>
      <c r="O250" s="76">
        <f t="array" ref="O250">IFERROR(OFFSET($BZ$11,ROW($B250)-11,MATCH(O$10,$CA250:$FV250,0),),"")</f>
        <v/>
      </c>
      <c r="P250" s="76">
        <f>IF(O250="","",IF(VLOOKUP($B250,INDIRECT("'GRD-"&amp;Q250&amp;"'!$B:$R"),16,FALSE)="","",VLOOKUP($B250,INDIRECT("'GRD-"&amp;Q250&amp;"'!$B:$R"),16,FALSE)))</f>
        <v/>
      </c>
      <c r="Q250" s="132">
        <f t="array" ref="Q250">IF(O250="","",IFERROR(OFFSET($BZ$11,0,MATCH($O250,$CA250:$FV250,0),),""))</f>
        <v/>
      </c>
      <c r="R250" s="121">
        <f t="array" ref="R250">IF(O250="","",INDIRECT("'GRD-"&amp;Q250&amp;"'!$L$7"))</f>
        <v/>
      </c>
      <c r="S250" s="83">
        <f t="array" ref="S250">IFERROR(OFFSET($BZ$11,ROW($B250)-11,MATCH(S$10,$CA250:$FV250,0),),"")</f>
        <v/>
      </c>
      <c r="T250" s="83">
        <f>IF(S250="","",IF(VLOOKUP($B250,INDIRECT("'GRD-"&amp;U250&amp;"'!$B:$R"),16,FALSE)="","",VLOOKUP($B250,INDIRECT("'GRD-"&amp;U250&amp;"'!$B:$R"),16,FALSE)))</f>
        <v/>
      </c>
      <c r="U250" s="128">
        <f t="array" ref="U250">IF(S250="","",IFERROR(OFFSET($BZ$11,0,MATCH($S250,$CA250:$FV250,0),),""))</f>
        <v/>
      </c>
      <c r="V250" s="133">
        <f t="array" ref="V250">IF(S250="","",INDIRECT("'GRD-"&amp;U250&amp;"'!$L$7"))</f>
        <v/>
      </c>
      <c r="W250" s="84">
        <f t="array" ref="W250">IFERROR(OFFSET($BZ$11,ROW($B250)-11,MATCH(W$10,$CA250:$FV250,0),),"")</f>
        <v/>
      </c>
      <c r="X250" s="84">
        <f>IF(W250="","",IF(VLOOKUP($B250,INDIRECT("'GRD-"&amp;Y250&amp;"'!$B:$R"),16,FALSE)="","",VLOOKUP($B250,INDIRECT("'GRD-"&amp;Y250&amp;"'!$B:$R"),16,FALSE)))</f>
        <v/>
      </c>
      <c r="Y250" s="129">
        <f t="array" ref="Y250">IF(W250="","",IFERROR(OFFSET($BZ$11,0,MATCH($W250,$CA250:$FV250,0),),""))</f>
        <v/>
      </c>
      <c r="Z250" s="134">
        <f t="array" ref="Z250">IF(W250="","",INDIRECT("'GRD-"&amp;Y250&amp;"'!$L$7"))</f>
        <v/>
      </c>
      <c r="AA250" s="85">
        <f t="array" ref="AA250">IFERROR(OFFSET($BZ$11,ROW($B250)-11,MATCH(AA$10,$CA250:$FV250,0),),"")</f>
        <v/>
      </c>
      <c r="AB250" s="85">
        <f>IF(AA250="","",IF(VLOOKUP($B250,INDIRECT("'GRD-"&amp;AC250&amp;"'!$B:$R"),16,FALSE)="","",VLOOKUP($B250,INDIRECT("'GRD-"&amp;AC250&amp;"'!$B:$R"),16,FALSE)))</f>
        <v/>
      </c>
      <c r="AC250" s="130">
        <f t="array" ref="AC250">IF(AA250="","",IFERROR(OFFSET($BZ$11,0,MATCH($AA250,$CA250:$FV250,0),),""))</f>
        <v/>
      </c>
      <c r="AD250" s="131">
        <f t="array" ref="AD250">IF(AA250="","",INDIRECT("'GRD-"&amp;AC250&amp;"'!$L$7"))</f>
        <v/>
      </c>
      <c r="AE250" s="76">
        <f t="array" ref="AE250">IFERROR(OFFSET($BZ$11,ROW($B250)-11,MATCH(AE$10,$CA250:$FV250,0),),"")</f>
        <v/>
      </c>
      <c r="AF250" s="76">
        <f>IF(AE250="","",IF(VLOOKUP($B250,INDIRECT("'GRD-"&amp;AG250&amp;"'!$B:$R"),16,FALSE)="","",VLOOKUP($B250,INDIRECT("'GRD-"&amp;AG250&amp;"'!$B:$R"),16,FALSE)))</f>
        <v/>
      </c>
      <c r="AG250" s="132">
        <f t="array" ref="AG250">IF(AE250="","",IFERROR(OFFSET($BZ$11,0,MATCH($AE250,$CA250:$FV250,0),),""))</f>
        <v/>
      </c>
      <c r="AH250" s="121">
        <f t="array" ref="AH250">IF(AE250="","",INDIRECT("'GRD-"&amp;AG250&amp;"'!$L$7"))</f>
        <v/>
      </c>
      <c r="AI250" s="83">
        <f t="array" ref="AI250">IFERROR(OFFSET($BZ$11,ROW($B250)-11,MATCH(AI$10,$CA250:$FV250,0),),"")</f>
        <v/>
      </c>
      <c r="AJ250" s="83">
        <f>IF(AI250="","",IF(VLOOKUP($B250,INDIRECT("'GRD-"&amp;AK250&amp;"'!$B:$R"),16,FALSE)="","",VLOOKUP($B250,INDIRECT("'GRD-"&amp;AK250&amp;"'!$B:$R"),16,FALSE)))</f>
        <v/>
      </c>
      <c r="AK250" s="128">
        <f t="array" ref="AK250">IF(AI250="","",IFERROR(OFFSET($BZ$11,0,MATCH($AI250,$CA250:$FV250,0),),""))</f>
        <v/>
      </c>
      <c r="AL250" s="133">
        <f t="array" ref="AL250">IF(AI250="","",INDIRECT("'GRD-"&amp;AK250&amp;"'!$L$7"))</f>
        <v/>
      </c>
      <c r="AM250" s="84">
        <f t="array" ref="AM250">IFERROR(OFFSET($BZ$11,ROW($B250)-11,MATCH(AM$10,$CA250:$FV250,0),),"")</f>
        <v/>
      </c>
      <c r="AN250" s="84">
        <f>IF(AM250="","",IF(VLOOKUP($B250,INDIRECT("'GRD-"&amp;AO250&amp;"'!$B:$R"),16,FALSE)="","",VLOOKUP($B250,INDIRECT("'GRD-"&amp;AO250&amp;"'!$B:$R"),16,FALSE)))</f>
        <v/>
      </c>
      <c r="AO250" s="129">
        <f t="array" ref="AO250">IF(AM250="","",IFERROR(OFFSET($BZ$11,0,MATCH($AM250,$CA250:$FV250,0),),""))</f>
        <v/>
      </c>
      <c r="AP250" s="134">
        <f t="array" ref="AP250">IF(AM250="","",INDIRECT("'GRD-"&amp;AO250&amp;"'!$L$7"))</f>
        <v/>
      </c>
      <c r="AQ250" s="85">
        <f t="array" ref="AQ250">IFERROR(OFFSET($BZ$11,ROW($B250)-11,MATCH(AQ$10,$CA250:$FV250,0),),"")</f>
        <v/>
      </c>
      <c r="AR250" s="85">
        <f>IF(AQ250="","",IF(VLOOKUP($B250,INDIRECT("'GRD-"&amp;AS250&amp;"'!$B:$R"),16,FALSE)="","",VLOOKUP($B250,INDIRECT("'GRD-"&amp;AS250&amp;"'!$B:$R"),16,FALSE)))</f>
        <v/>
      </c>
      <c r="AS250" s="130">
        <f t="array" ref="AS250">IF(AQ250="","",IFERROR(OFFSET($BZ$11,0,MATCH($AQ250,$CA250:$FV250,0),),""))</f>
        <v/>
      </c>
      <c r="AT250" s="131">
        <f t="array" ref="AT250">IF(AQ250="","",INDIRECT("'GRD-"&amp;AS250&amp;"'!$L$7"))</f>
        <v/>
      </c>
      <c r="AU250" s="76">
        <f t="array" ref="AU250">IFERROR(OFFSET($BZ$11,ROW($B250)-11,MATCH(AU$10,$CA250:$FV250,0),),"")</f>
        <v/>
      </c>
      <c r="AV250" s="76">
        <f>IF(AU250="","",IF(VLOOKUP($B250,INDIRECT("'GRD-"&amp;AW250&amp;"'!$B:$R"),16,FALSE)="","",VLOOKUP($B250,INDIRECT("'GRD-"&amp;AW250&amp;"'!$B:$R"),16,FALSE)))</f>
        <v/>
      </c>
      <c r="AW250" s="132">
        <f t="array" ref="AW250">IF(AU250="","",IFERROR(OFFSET($BZ$11,0,MATCH($AU250,$CA250:$FV250,0),),""))</f>
        <v/>
      </c>
      <c r="AX250" s="121">
        <f t="array" ref="AX250">IF(AU250="","",INDIRECT("'GRD-"&amp;AW250&amp;"'!$L$7"))</f>
        <v/>
      </c>
      <c r="AY250" s="83">
        <f t="array" ref="AY250">IFERROR(OFFSET($BZ$11,ROW($B250)-11,MATCH(AY$10,$CA250:$FV250,0),),"")</f>
        <v/>
      </c>
      <c r="AZ250" s="83">
        <f>IF(AY250="","",IF(VLOOKUP($B250,INDIRECT("'GRD-"&amp;BA250&amp;"'!$B:$R"),16,FALSE)="","",VLOOKUP($B250,INDIRECT("'GRD-"&amp;BA250&amp;"'!$B:$R"),16,FALSE)))</f>
        <v/>
      </c>
      <c r="BA250" s="128">
        <f t="array" ref="BA250">IF(AY250="","",IFERROR(OFFSET($BZ$11,0,MATCH($AY250,$CA250:$FV250,0),),""))</f>
        <v/>
      </c>
      <c r="BB250" s="133">
        <f t="array" ref="BB250">IF(AY250="","",INDIRECT("'GRD-"&amp;BA250&amp;"'!$L$7"))</f>
        <v/>
      </c>
      <c r="BC250" s="84">
        <f t="array" ref="BC250">IFERROR(OFFSET($BZ$11,ROW($B250)-11,MATCH(BC$10,$CA250:$FV250,0),),"")</f>
        <v/>
      </c>
      <c r="BD250" s="84">
        <f>IF(BC250="","",IF(VLOOKUP($B250,INDIRECT("'GRD-"&amp;BE250&amp;"'!$B:$R"),16,FALSE)="","",VLOOKUP($B250,INDIRECT("'GRD-"&amp;BE250&amp;"'!$B:$R"),16,FALSE)))</f>
        <v/>
      </c>
      <c r="BE250" s="129">
        <f t="array" ref="BE250">IF(BC250="","",IFERROR(OFFSET($BZ$11,0,MATCH($BC250,$CA250:$FV250,0),),""))</f>
        <v/>
      </c>
      <c r="BF250" s="134">
        <f t="array" ref="BF250">IF(BC250="","",INDIRECT("'GRD-"&amp;BE250&amp;"'!$L$7"))</f>
        <v/>
      </c>
      <c r="CA250" s="96">
        <f>IFERROR(VLOOKUP($B250,INDIRECT("'GRD-"&amp;CA$11&amp;"'!B:R"),15,FALSE),"")</f>
        <v/>
      </c>
      <c r="CB250" s="96">
        <f>IFERROR(VLOOKUP($B250,INDIRECT("'GRD-"&amp;CB$11&amp;"'!B:R"),15,FALSE),"")</f>
        <v/>
      </c>
      <c r="CC250" s="96">
        <f>IFERROR(VLOOKUP($B250,INDIRECT("'GRD-"&amp;CC$11&amp;"'!B:R"),15,FALSE),"")</f>
        <v/>
      </c>
      <c r="CD250" s="96">
        <f>IFERROR(VLOOKUP($B250,INDIRECT("'GRD-"&amp;CD$11&amp;"'!B:R"),15,FALSE),"")</f>
        <v/>
      </c>
      <c r="CE250" s="96">
        <f>IFERROR(VLOOKUP($B250,INDIRECT("'GRD-"&amp;CE$11&amp;"'!B:R"),15,FALSE),"")</f>
        <v/>
      </c>
      <c r="CF250" s="96">
        <f>IFERROR(VLOOKUP($B250,INDIRECT("'GRD-"&amp;CF$11&amp;"'!B:R"),15,FALSE),"")</f>
        <v/>
      </c>
      <c r="CG250" s="96">
        <f>IFERROR(VLOOKUP($B250,INDIRECT("'GRD-"&amp;CG$11&amp;"'!B:R"),15,FALSE),"")</f>
        <v/>
      </c>
      <c r="CH250" s="96">
        <f>IFERROR(VLOOKUP($B250,INDIRECT("'GRD-"&amp;CH$11&amp;"'!B:R"),15,FALSE),"")</f>
        <v/>
      </c>
      <c r="CI250" s="96">
        <f>IFERROR(VLOOKUP($B250,INDIRECT("'GRD-"&amp;CI$11&amp;"'!B:R"),15,FALSE),"")</f>
        <v/>
      </c>
      <c r="CJ250" s="96">
        <f>IFERROR(VLOOKUP($B250,INDIRECT("'GRD-"&amp;CJ$11&amp;"'!B:R"),15,FALSE),"")</f>
        <v/>
      </c>
      <c r="CK250" s="96">
        <f>IFERROR(VLOOKUP($B250,INDIRECT("'GRD-"&amp;CK$11&amp;"'!B:R"),15,FALSE),"")</f>
        <v/>
      </c>
      <c r="CL250" s="96">
        <f>IFERROR(VLOOKUP($B250,INDIRECT("'GRD-"&amp;CL$11&amp;"'!B:R"),15,FALSE),"")</f>
        <v/>
      </c>
      <c r="CM250" s="96">
        <f>IFERROR(VLOOKUP($B250,INDIRECT("'GRD-"&amp;CM$11&amp;"'!B:R"),15,FALSE),"")</f>
        <v/>
      </c>
      <c r="CN250" s="96">
        <f>IFERROR(VLOOKUP($B250,INDIRECT("'GRD-"&amp;CN$11&amp;"'!B:R"),15,FALSE),"")</f>
        <v/>
      </c>
      <c r="CO250" s="96">
        <f>IFERROR(VLOOKUP($B250,INDIRECT("'GRD-"&amp;CO$11&amp;"'!B:R"),15,FALSE),"")</f>
        <v/>
      </c>
      <c r="CP250" s="96">
        <f>IFERROR(VLOOKUP($B250,INDIRECT("'GRD-"&amp;CP$11&amp;"'!B:R"),15,FALSE),"")</f>
        <v/>
      </c>
      <c r="CQ250" s="96">
        <f>IFERROR(VLOOKUP($B250,INDIRECT("'GRD-"&amp;CQ$11&amp;"'!B:R"),15,FALSE),"")</f>
        <v/>
      </c>
      <c r="CR250" s="96">
        <f>IFERROR(VLOOKUP($B250,INDIRECT("'GRD-"&amp;CR$11&amp;"'!B:R"),15,FALSE),"")</f>
        <v/>
      </c>
      <c r="CS250" s="96">
        <f>IFERROR(VLOOKUP($B250,INDIRECT("'GRD-"&amp;CS$11&amp;"'!B:R"),15,FALSE),"")</f>
        <v/>
      </c>
      <c r="CT250" s="96">
        <f>IFERROR(VLOOKUP($B250,INDIRECT("'GRD-"&amp;CT$11&amp;"'!B:R"),15,FALSE),"")</f>
        <v/>
      </c>
      <c r="CU250" s="96">
        <f>IFERROR(VLOOKUP($B250,INDIRECT("'GRD-"&amp;CU$11&amp;"'!B:R"),15,FALSE),"")</f>
        <v/>
      </c>
      <c r="CV250" s="96">
        <f>IFERROR(VLOOKUP($B250,INDIRECT("'GRD-"&amp;CV$11&amp;"'!B:R"),15,FALSE),"")</f>
        <v/>
      </c>
      <c r="CW250" s="96">
        <f>IFERROR(VLOOKUP($B250,INDIRECT("'GRD-"&amp;CW$11&amp;"'!B:R"),15,FALSE),"")</f>
        <v/>
      </c>
      <c r="CX250" s="96">
        <f>IFERROR(VLOOKUP($B250,INDIRECT("'GRD-"&amp;CX$11&amp;"'!B:R"),15,FALSE),"")</f>
        <v/>
      </c>
      <c r="CY250" s="96">
        <f>IFERROR(VLOOKUP($B250,INDIRECT("'GRD-"&amp;CY$11&amp;"'!B:R"),15,FALSE),"")</f>
        <v/>
      </c>
      <c r="CZ250" s="96">
        <f>IFERROR(VLOOKUP($B250,INDIRECT("'GRD-"&amp;CZ$11&amp;"'!B:R"),15,FALSE),"")</f>
        <v/>
      </c>
      <c r="DA250" s="96">
        <f>IFERROR(VLOOKUP($B250,INDIRECT("'GRD-"&amp;DA$11&amp;"'!B:R"),15,FALSE),"")</f>
        <v/>
      </c>
      <c r="DB250" s="96">
        <f>IFERROR(VLOOKUP($B250,INDIRECT("'GRD-"&amp;DB$11&amp;"'!B:R"),15,FALSE),"")</f>
        <v/>
      </c>
      <c r="DC250" s="96">
        <f>IFERROR(VLOOKUP($B250,INDIRECT("'GRD-"&amp;DC$11&amp;"'!B:R"),15,FALSE),"")</f>
        <v/>
      </c>
      <c r="DD250" s="96">
        <f>IFERROR(VLOOKUP($B250,INDIRECT("'GRD-"&amp;DD$11&amp;"'!B:R"),15,FALSE),"")</f>
        <v/>
      </c>
      <c r="DE250" s="96">
        <f>IFERROR(VLOOKUP($B250,INDIRECT("'GRD-"&amp;DE$11&amp;"'!B:R"),15,FALSE),"")</f>
        <v/>
      </c>
      <c r="DF250" s="96">
        <f>IFERROR(VLOOKUP($B250,INDIRECT("'GRD-"&amp;DF$11&amp;"'!B:R"),15,FALSE),"")</f>
        <v/>
      </c>
      <c r="DG250" s="96">
        <f>IFERROR(VLOOKUP($B250,INDIRECT("'GRD-"&amp;DG$11&amp;"'!B:R"),15,FALSE),"")</f>
        <v/>
      </c>
      <c r="DH250" s="96">
        <f>IFERROR(VLOOKUP($B250,INDIRECT("'GRD-"&amp;DH$11&amp;"'!B:R"),15,FALSE),"")</f>
        <v/>
      </c>
      <c r="DI250" s="96">
        <f>IFERROR(VLOOKUP($B250,INDIRECT("'GRD-"&amp;DI$11&amp;"'!B:R"),15,FALSE),"")</f>
        <v/>
      </c>
      <c r="DJ250" s="96">
        <f>IFERROR(VLOOKUP($B250,INDIRECT("'GRD-"&amp;DJ$11&amp;"'!B:R"),15,FALSE),"")</f>
        <v/>
      </c>
      <c r="DK250" s="96">
        <f>IFERROR(VLOOKUP($B250,INDIRECT("'GRD-"&amp;DK$11&amp;"'!B:R"),15,FALSE),"")</f>
        <v/>
      </c>
      <c r="DL250" s="96">
        <f>IFERROR(VLOOKUP($B250,INDIRECT("'GRD-"&amp;DL$11&amp;"'!B:R"),15,FALSE),"")</f>
        <v/>
      </c>
      <c r="DM250" s="96">
        <f>IFERROR(VLOOKUP($B250,INDIRECT("'GRD-"&amp;DM$11&amp;"'!B:R"),15,FALSE),"")</f>
        <v/>
      </c>
      <c r="DN250" s="96">
        <f>IFERROR(VLOOKUP($B250,INDIRECT("'GRD-"&amp;DN$11&amp;"'!B:R"),15,FALSE),"")</f>
        <v/>
      </c>
      <c r="DO250" s="96">
        <f>IFERROR(VLOOKUP($B250,INDIRECT("'GRD-"&amp;DO$11&amp;"'!B:R"),15,FALSE),"")</f>
        <v/>
      </c>
      <c r="DP250" s="96">
        <f>IFERROR(VLOOKUP($B250,INDIRECT("'GRD-"&amp;DP$11&amp;"'!B:R"),15,FALSE),"")</f>
        <v/>
      </c>
      <c r="DQ250" s="96">
        <f>IFERROR(VLOOKUP($B250,INDIRECT("'GRD-"&amp;DQ$11&amp;"'!B:R"),15,FALSE),"")</f>
        <v/>
      </c>
      <c r="DR250" s="96">
        <f>IFERROR(VLOOKUP($B250,INDIRECT("'GRD-"&amp;DR$11&amp;"'!B:R"),15,FALSE),"")</f>
        <v/>
      </c>
      <c r="DS250" s="96">
        <f>IFERROR(VLOOKUP($B250,INDIRECT("'GRD-"&amp;DS$11&amp;"'!B:R"),15,FALSE),"")</f>
        <v/>
      </c>
      <c r="DT250" s="96">
        <f>IFERROR(VLOOKUP($B250,INDIRECT("'GRD-"&amp;DT$11&amp;"'!B:R"),15,FALSE),"")</f>
        <v/>
      </c>
      <c r="DU250" s="96">
        <f>IFERROR(VLOOKUP($B250,INDIRECT("'GRD-"&amp;DU$11&amp;"'!B:R"),15,FALSE),"")</f>
        <v/>
      </c>
      <c r="DV250" s="96">
        <f>IFERROR(VLOOKUP($B250,INDIRECT("'GRD-"&amp;DV$11&amp;"'!B:R"),15,FALSE),"")</f>
        <v/>
      </c>
      <c r="DW250" s="96">
        <f>IFERROR(VLOOKUP($B250,INDIRECT("'GRD-"&amp;DW$11&amp;"'!B:R"),15,FALSE),"")</f>
        <v/>
      </c>
      <c r="DX250" s="96">
        <f>IFERROR(VLOOKUP($B250,INDIRECT("'GRD-"&amp;DX$11&amp;"'!B:R"),15,FALSE),"")</f>
        <v/>
      </c>
      <c r="DY250" s="96">
        <f>IFERROR(VLOOKUP($B250,INDIRECT("'GRD-"&amp;DY$11&amp;"'!B:R"),15,FALSE),"")</f>
        <v/>
      </c>
      <c r="DZ250" s="96">
        <f>IFERROR(VLOOKUP($B250,INDIRECT("'GRD-"&amp;DZ$11&amp;"'!B:R"),15,FALSE),"")</f>
        <v/>
      </c>
      <c r="EA250" s="96">
        <f>IFERROR(VLOOKUP($B250,INDIRECT("'GRD-"&amp;EA$11&amp;"'!B:R"),15,FALSE),"")</f>
        <v/>
      </c>
      <c r="EB250" s="96">
        <f>IFERROR(VLOOKUP($B250,INDIRECT("'GRD-"&amp;EB$11&amp;"'!B:R"),15,FALSE),"")</f>
        <v/>
      </c>
      <c r="EC250" s="96">
        <f>IFERROR(VLOOKUP($B250,INDIRECT("'GRD-"&amp;EC$11&amp;"'!B:R"),15,FALSE),"")</f>
        <v/>
      </c>
      <c r="ED250" s="96">
        <f>IFERROR(VLOOKUP($B250,INDIRECT("'GRD-"&amp;ED$11&amp;"'!B:R"),15,FALSE),"")</f>
        <v/>
      </c>
      <c r="EE250" s="96">
        <f>IFERROR(VLOOKUP($B250,INDIRECT("'GRD-"&amp;EE$11&amp;"'!B:R"),15,FALSE),"")</f>
        <v/>
      </c>
      <c r="EF250" s="96">
        <f>IFERROR(VLOOKUP($B250,INDIRECT("'GRD-"&amp;EF$11&amp;"'!B:R"),15,FALSE),"")</f>
        <v/>
      </c>
      <c r="EG250" s="96">
        <f>IFERROR(VLOOKUP($B250,INDIRECT("'GRD-"&amp;EG$11&amp;"'!B:R"),15,FALSE),"")</f>
        <v/>
      </c>
      <c r="EH250" s="96">
        <f>IFERROR(VLOOKUP($B250,INDIRECT("'GRD-"&amp;EH$11&amp;"'!B:R"),15,FALSE),"")</f>
        <v/>
      </c>
      <c r="EI250" s="96">
        <f>IFERROR(VLOOKUP($B250,INDIRECT("'GRD-"&amp;EI$11&amp;"'!B:R"),15,FALSE),"")</f>
        <v/>
      </c>
      <c r="EJ250" s="96">
        <f>IFERROR(VLOOKUP($B250,INDIRECT("'GRD-"&amp;EJ$11&amp;"'!B:R"),15,FALSE),"")</f>
        <v/>
      </c>
      <c r="EK250" s="96">
        <f>IFERROR(VLOOKUP($B250,INDIRECT("'GRD-"&amp;EK$11&amp;"'!B:R"),15,FALSE),"")</f>
        <v/>
      </c>
      <c r="EL250" s="96">
        <f>IFERROR(VLOOKUP($B250,INDIRECT("'GRD-"&amp;EL$11&amp;"'!B:R"),15,FALSE),"")</f>
        <v/>
      </c>
      <c r="EM250" s="96">
        <f>IFERROR(VLOOKUP($B250,INDIRECT("'GRD-"&amp;EM$11&amp;"'!B:R"),15,FALSE),"")</f>
        <v/>
      </c>
      <c r="EN250" s="96">
        <f>IFERROR(VLOOKUP($B250,INDIRECT("'GRD-"&amp;EN$11&amp;"'!B:R"),15,FALSE),"")</f>
        <v/>
      </c>
      <c r="EO250" s="96">
        <f>IFERROR(VLOOKUP($B250,INDIRECT("'GRD-"&amp;EO$11&amp;"'!B:R"),15,FALSE),"")</f>
        <v/>
      </c>
      <c r="EP250" s="96">
        <f>IFERROR(VLOOKUP($B250,INDIRECT("'GRD-"&amp;EP$11&amp;"'!B:R"),15,FALSE),"")</f>
        <v/>
      </c>
      <c r="EQ250" s="96">
        <f>IFERROR(VLOOKUP($B250,INDIRECT("'GRD-"&amp;EQ$11&amp;"'!B:R"),15,FALSE),"")</f>
        <v/>
      </c>
      <c r="ER250" s="96">
        <f>IFERROR(VLOOKUP($B250,INDIRECT("'GRD-"&amp;ER$11&amp;"'!B:R"),15,FALSE),"")</f>
        <v/>
      </c>
      <c r="ES250" s="96">
        <f>IFERROR(VLOOKUP($B250,INDIRECT("'GRD-"&amp;ES$11&amp;"'!B:R"),15,FALSE),"")</f>
        <v/>
      </c>
      <c r="ET250" s="96">
        <f>IFERROR(VLOOKUP($B250,INDIRECT("'GRD-"&amp;ET$11&amp;"'!B:R"),15,FALSE),"")</f>
        <v/>
      </c>
      <c r="EU250" s="96">
        <f>IFERROR(VLOOKUP($B250,INDIRECT("'GRD-"&amp;EU$11&amp;"'!B:R"),15,FALSE),"")</f>
        <v/>
      </c>
      <c r="EV250" s="96">
        <f>IFERROR(VLOOKUP($B250,INDIRECT("'GRD-"&amp;EV$11&amp;"'!B:R"),15,FALSE),"")</f>
        <v/>
      </c>
      <c r="EW250" s="96">
        <f>IFERROR(VLOOKUP($B250,INDIRECT("'GRD-"&amp;EW$11&amp;"'!B:R"),15,FALSE),"")</f>
        <v/>
      </c>
      <c r="EX250" s="96">
        <f>IFERROR(VLOOKUP($B250,INDIRECT("'GRD-"&amp;EX$11&amp;"'!B:R"),15,FALSE),"")</f>
        <v/>
      </c>
      <c r="EY250" s="96">
        <f>IFERROR(VLOOKUP($B250,INDIRECT("'GRD-"&amp;EY$11&amp;"'!B:R"),15,FALSE),"")</f>
        <v/>
      </c>
      <c r="EZ250" s="96">
        <f>IFERROR(VLOOKUP($B250,INDIRECT("'GRD-"&amp;EZ$11&amp;"'!B:R"),15,FALSE),"")</f>
        <v/>
      </c>
      <c r="FA250" s="96">
        <f>IFERROR(VLOOKUP($B250,INDIRECT("'GRD-"&amp;FA$11&amp;"'!B:R"),15,FALSE),"")</f>
        <v/>
      </c>
      <c r="FB250" s="96">
        <f>IFERROR(VLOOKUP($B250,INDIRECT("'GRD-"&amp;FB$11&amp;"'!B:R"),15,FALSE),"")</f>
        <v/>
      </c>
      <c r="FC250" s="96">
        <f>IFERROR(VLOOKUP($B250,INDIRECT("'GRD-"&amp;FC$11&amp;"'!B:R"),15,FALSE),"")</f>
        <v/>
      </c>
      <c r="FD250" s="96">
        <f>IFERROR(VLOOKUP($B250,INDIRECT("'GRD-"&amp;FD$11&amp;"'!B:R"),15,FALSE),"")</f>
        <v/>
      </c>
      <c r="FE250" s="96">
        <f>IFERROR(VLOOKUP($B250,INDIRECT("'GRD-"&amp;FE$11&amp;"'!B:R"),15,FALSE),"")</f>
        <v/>
      </c>
      <c r="FF250" s="96">
        <f>IFERROR(VLOOKUP($B250,INDIRECT("'GRD-"&amp;FF$11&amp;"'!B:R"),15,FALSE),"")</f>
        <v/>
      </c>
      <c r="FG250" s="96">
        <f>IFERROR(VLOOKUP($B250,INDIRECT("'GRD-"&amp;FG$11&amp;"'!B:R"),15,FALSE),"")</f>
        <v/>
      </c>
      <c r="FH250" s="96">
        <f>IFERROR(VLOOKUP($B250,INDIRECT("'GRD-"&amp;FH$11&amp;"'!B:R"),15,FALSE),"")</f>
        <v/>
      </c>
      <c r="FI250" s="96">
        <f>IFERROR(VLOOKUP($B250,INDIRECT("'GRD-"&amp;FI$11&amp;"'!B:R"),15,FALSE),"")</f>
        <v/>
      </c>
      <c r="FJ250" s="96">
        <f>IFERROR(VLOOKUP($B250,INDIRECT("'GRD-"&amp;FJ$11&amp;"'!B:R"),15,FALSE),"")</f>
        <v/>
      </c>
      <c r="FK250" s="96">
        <f>IFERROR(VLOOKUP($B250,INDIRECT("'GRD-"&amp;FK$11&amp;"'!B:R"),15,FALSE),"")</f>
        <v/>
      </c>
      <c r="FL250" s="96">
        <f>IFERROR(VLOOKUP($B250,INDIRECT("'GRD-"&amp;FL$11&amp;"'!B:R"),15,FALSE),"")</f>
        <v/>
      </c>
      <c r="FM250" s="96">
        <f>IFERROR(VLOOKUP($B250,INDIRECT("'GRD-"&amp;FM$11&amp;"'!B:R"),15,FALSE),"")</f>
        <v/>
      </c>
      <c r="FN250" s="96">
        <f>IFERROR(VLOOKUP($B250,INDIRECT("'GRD-"&amp;FN$11&amp;"'!B:R"),15,FALSE),"")</f>
        <v/>
      </c>
      <c r="FO250" s="96">
        <f>IFERROR(VLOOKUP($B250,INDIRECT("'GRD-"&amp;FO$11&amp;"'!B:R"),15,FALSE),"")</f>
        <v/>
      </c>
      <c r="FP250" s="96">
        <f>IFERROR(VLOOKUP($B250,INDIRECT("'GRD-"&amp;FP$11&amp;"'!B:R"),15,FALSE),"")</f>
        <v/>
      </c>
      <c r="FQ250" s="96">
        <f>IFERROR(VLOOKUP($B250,INDIRECT("'GRD-"&amp;FQ$11&amp;"'!B:R"),15,FALSE),"")</f>
        <v/>
      </c>
      <c r="FR250" s="96">
        <f>IFERROR(VLOOKUP($B250,INDIRECT("'GRD-"&amp;FR$11&amp;"'!B:R"),15,FALSE),"")</f>
        <v/>
      </c>
      <c r="FS250" s="96">
        <f>IFERROR(VLOOKUP($B250,INDIRECT("'GRD-"&amp;FS$11&amp;"'!B:R"),15,FALSE),"")</f>
        <v/>
      </c>
      <c r="FT250" s="96">
        <f>IFERROR(VLOOKUP($B250,INDIRECT("'GRD-"&amp;FT$11&amp;"'!B:R"),15,FALSE),"")</f>
        <v/>
      </c>
      <c r="FU250" s="96">
        <f>IFERROR(VLOOKUP($B250,INDIRECT("'GRD-"&amp;FU$11&amp;"'!B:R"),15,FALSE),"")</f>
        <v/>
      </c>
      <c r="FV250" s="96">
        <f>IFERROR(VLOOKUP($B250,INDIRECT("'GRD-"&amp;FV$11&amp;"'!B:R"),15,FALSE),"")</f>
        <v/>
      </c>
    </row>
    <row r="251">
      <c r="B251" s="85" t="n"/>
      <c r="C251" s="93" t="n"/>
      <c r="D251" s="73">
        <f>IF(K251="","",MAX($CA251:$FV251))</f>
        <v/>
      </c>
      <c r="E251" s="74">
        <f t="array" ref="E251">IF($K251="","",OFFSET($A$1,ROW($B251)-1,11+$D251*4,))</f>
        <v/>
      </c>
      <c r="F251" s="74">
        <f t="array" ref="F251">IF($K251="","",OFFSET($A$1,ROW($B251)-1,12+$D251*4,))</f>
        <v/>
      </c>
      <c r="G251" s="118">
        <f t="array" ref="G251">IF($K251="","",OFFSET($A$1,ROW($B251)-1,13+$D251*4,))</f>
        <v/>
      </c>
      <c r="H251" s="81" t="n"/>
      <c r="I251" s="82" t="n"/>
      <c r="J251" s="75">
        <f>IF(I251="A4",H251/8,IF(I251="A3",H251/4,IF(I251="A2",H251/2,IF(I251="A1",H251/1,IF(I251="A0",H251*2,"")))))</f>
        <v/>
      </c>
      <c r="K251" s="68">
        <f t="array" ref="K251">IFERROR(OFFSET($BZ$11,ROW($B251)-11,MATCH(K$10,$CA251:$FV251,0),),"")</f>
        <v/>
      </c>
      <c r="L251" s="85">
        <f>IF(K251="","",IF(VLOOKUP($B251,INDIRECT("'GRD-"&amp;M251&amp;"'!$B:$R"),16,FALSE)="","",VLOOKUP($B251,INDIRECT("'GRD-"&amp;M251&amp;"'!$B:$R"),16,FALSE)))</f>
        <v/>
      </c>
      <c r="M251" s="130">
        <f t="array" ref="M251">IF(K251="","",IFERROR(OFFSET($BZ$11,0,MATCH($K251,$CA251:$FV251,0),),""))</f>
        <v/>
      </c>
      <c r="N251" s="119">
        <f t="array" ref="N251">IF(K251="","",INDIRECT("'GRD-"&amp;M251&amp;"'!$L$7"))</f>
        <v/>
      </c>
      <c r="O251" s="76">
        <f t="array" ref="O251">IFERROR(OFFSET($BZ$11,ROW($B251)-11,MATCH(O$10,$CA251:$FV251,0),),"")</f>
        <v/>
      </c>
      <c r="P251" s="76">
        <f>IF(O251="","",IF(VLOOKUP($B251,INDIRECT("'GRD-"&amp;Q251&amp;"'!$B:$R"),16,FALSE)="","",VLOOKUP($B251,INDIRECT("'GRD-"&amp;Q251&amp;"'!$B:$R"),16,FALSE)))</f>
        <v/>
      </c>
      <c r="Q251" s="132">
        <f t="array" ref="Q251">IF(O251="","",IFERROR(OFFSET($BZ$11,0,MATCH($O251,$CA251:$FV251,0),),""))</f>
        <v/>
      </c>
      <c r="R251" s="121">
        <f t="array" ref="R251">IF(O251="","",INDIRECT("'GRD-"&amp;Q251&amp;"'!$L$7"))</f>
        <v/>
      </c>
      <c r="S251" s="83">
        <f t="array" ref="S251">IFERROR(OFFSET($BZ$11,ROW($B251)-11,MATCH(S$10,$CA251:$FV251,0),),"")</f>
        <v/>
      </c>
      <c r="T251" s="83">
        <f>IF(S251="","",IF(VLOOKUP($B251,INDIRECT("'GRD-"&amp;U251&amp;"'!$B:$R"),16,FALSE)="","",VLOOKUP($B251,INDIRECT("'GRD-"&amp;U251&amp;"'!$B:$R"),16,FALSE)))</f>
        <v/>
      </c>
      <c r="U251" s="128">
        <f t="array" ref="U251">IF(S251="","",IFERROR(OFFSET($BZ$11,0,MATCH($S251,$CA251:$FV251,0),),""))</f>
        <v/>
      </c>
      <c r="V251" s="133">
        <f t="array" ref="V251">IF(S251="","",INDIRECT("'GRD-"&amp;U251&amp;"'!$L$7"))</f>
        <v/>
      </c>
      <c r="W251" s="84">
        <f t="array" ref="W251">IFERROR(OFFSET($BZ$11,ROW($B251)-11,MATCH(W$10,$CA251:$FV251,0),),"")</f>
        <v/>
      </c>
      <c r="X251" s="84">
        <f>IF(W251="","",IF(VLOOKUP($B251,INDIRECT("'GRD-"&amp;Y251&amp;"'!$B:$R"),16,FALSE)="","",VLOOKUP($B251,INDIRECT("'GRD-"&amp;Y251&amp;"'!$B:$R"),16,FALSE)))</f>
        <v/>
      </c>
      <c r="Y251" s="129">
        <f t="array" ref="Y251">IF(W251="","",IFERROR(OFFSET($BZ$11,0,MATCH($W251,$CA251:$FV251,0),),""))</f>
        <v/>
      </c>
      <c r="Z251" s="134">
        <f t="array" ref="Z251">IF(W251="","",INDIRECT("'GRD-"&amp;Y251&amp;"'!$L$7"))</f>
        <v/>
      </c>
      <c r="AA251" s="85">
        <f t="array" ref="AA251">IFERROR(OFFSET($BZ$11,ROW($B251)-11,MATCH(AA$10,$CA251:$FV251,0),),"")</f>
        <v/>
      </c>
      <c r="AB251" s="85">
        <f>IF(AA251="","",IF(VLOOKUP($B251,INDIRECT("'GRD-"&amp;AC251&amp;"'!$B:$R"),16,FALSE)="","",VLOOKUP($B251,INDIRECT("'GRD-"&amp;AC251&amp;"'!$B:$R"),16,FALSE)))</f>
        <v/>
      </c>
      <c r="AC251" s="130">
        <f t="array" ref="AC251">IF(AA251="","",IFERROR(OFFSET($BZ$11,0,MATCH($AA251,$CA251:$FV251,0),),""))</f>
        <v/>
      </c>
      <c r="AD251" s="131">
        <f t="array" ref="AD251">IF(AA251="","",INDIRECT("'GRD-"&amp;AC251&amp;"'!$L$7"))</f>
        <v/>
      </c>
      <c r="AE251" s="76">
        <f t="array" ref="AE251">IFERROR(OFFSET($BZ$11,ROW($B251)-11,MATCH(AE$10,$CA251:$FV251,0),),"")</f>
        <v/>
      </c>
      <c r="AF251" s="76">
        <f>IF(AE251="","",IF(VLOOKUP($B251,INDIRECT("'GRD-"&amp;AG251&amp;"'!$B:$R"),16,FALSE)="","",VLOOKUP($B251,INDIRECT("'GRD-"&amp;AG251&amp;"'!$B:$R"),16,FALSE)))</f>
        <v/>
      </c>
      <c r="AG251" s="132">
        <f t="array" ref="AG251">IF(AE251="","",IFERROR(OFFSET($BZ$11,0,MATCH($AE251,$CA251:$FV251,0),),""))</f>
        <v/>
      </c>
      <c r="AH251" s="121">
        <f t="array" ref="AH251">IF(AE251="","",INDIRECT("'GRD-"&amp;AG251&amp;"'!$L$7"))</f>
        <v/>
      </c>
      <c r="AI251" s="83">
        <f t="array" ref="AI251">IFERROR(OFFSET($BZ$11,ROW($B251)-11,MATCH(AI$10,$CA251:$FV251,0),),"")</f>
        <v/>
      </c>
      <c r="AJ251" s="83">
        <f>IF(AI251="","",IF(VLOOKUP($B251,INDIRECT("'GRD-"&amp;AK251&amp;"'!$B:$R"),16,FALSE)="","",VLOOKUP($B251,INDIRECT("'GRD-"&amp;AK251&amp;"'!$B:$R"),16,FALSE)))</f>
        <v/>
      </c>
      <c r="AK251" s="128">
        <f t="array" ref="AK251">IF(AI251="","",IFERROR(OFFSET($BZ$11,0,MATCH($AI251,$CA251:$FV251,0),),""))</f>
        <v/>
      </c>
      <c r="AL251" s="133">
        <f t="array" ref="AL251">IF(AI251="","",INDIRECT("'GRD-"&amp;AK251&amp;"'!$L$7"))</f>
        <v/>
      </c>
      <c r="AM251" s="84">
        <f t="array" ref="AM251">IFERROR(OFFSET($BZ$11,ROW($B251)-11,MATCH(AM$10,$CA251:$FV251,0),),"")</f>
        <v/>
      </c>
      <c r="AN251" s="84">
        <f>IF(AM251="","",IF(VLOOKUP($B251,INDIRECT("'GRD-"&amp;AO251&amp;"'!$B:$R"),16,FALSE)="","",VLOOKUP($B251,INDIRECT("'GRD-"&amp;AO251&amp;"'!$B:$R"),16,FALSE)))</f>
        <v/>
      </c>
      <c r="AO251" s="129">
        <f t="array" ref="AO251">IF(AM251="","",IFERROR(OFFSET($BZ$11,0,MATCH($AM251,$CA251:$FV251,0),),""))</f>
        <v/>
      </c>
      <c r="AP251" s="134">
        <f t="array" ref="AP251">IF(AM251="","",INDIRECT("'GRD-"&amp;AO251&amp;"'!$L$7"))</f>
        <v/>
      </c>
      <c r="AQ251" s="85">
        <f t="array" ref="AQ251">IFERROR(OFFSET($BZ$11,ROW($B251)-11,MATCH(AQ$10,$CA251:$FV251,0),),"")</f>
        <v/>
      </c>
      <c r="AR251" s="85">
        <f>IF(AQ251="","",IF(VLOOKUP($B251,INDIRECT("'GRD-"&amp;AS251&amp;"'!$B:$R"),16,FALSE)="","",VLOOKUP($B251,INDIRECT("'GRD-"&amp;AS251&amp;"'!$B:$R"),16,FALSE)))</f>
        <v/>
      </c>
      <c r="AS251" s="130">
        <f t="array" ref="AS251">IF(AQ251="","",IFERROR(OFFSET($BZ$11,0,MATCH($AQ251,$CA251:$FV251,0),),""))</f>
        <v/>
      </c>
      <c r="AT251" s="131">
        <f t="array" ref="AT251">IF(AQ251="","",INDIRECT("'GRD-"&amp;AS251&amp;"'!$L$7"))</f>
        <v/>
      </c>
      <c r="AU251" s="76">
        <f t="array" ref="AU251">IFERROR(OFFSET($BZ$11,ROW($B251)-11,MATCH(AU$10,$CA251:$FV251,0),),"")</f>
        <v/>
      </c>
      <c r="AV251" s="76">
        <f>IF(AU251="","",IF(VLOOKUP($B251,INDIRECT("'GRD-"&amp;AW251&amp;"'!$B:$R"),16,FALSE)="","",VLOOKUP($B251,INDIRECT("'GRD-"&amp;AW251&amp;"'!$B:$R"),16,FALSE)))</f>
        <v/>
      </c>
      <c r="AW251" s="132">
        <f t="array" ref="AW251">IF(AU251="","",IFERROR(OFFSET($BZ$11,0,MATCH($AU251,$CA251:$FV251,0),),""))</f>
        <v/>
      </c>
      <c r="AX251" s="121">
        <f t="array" ref="AX251">IF(AU251="","",INDIRECT("'GRD-"&amp;AW251&amp;"'!$L$7"))</f>
        <v/>
      </c>
      <c r="AY251" s="83">
        <f t="array" ref="AY251">IFERROR(OFFSET($BZ$11,ROW($B251)-11,MATCH(AY$10,$CA251:$FV251,0),),"")</f>
        <v/>
      </c>
      <c r="AZ251" s="83">
        <f>IF(AY251="","",IF(VLOOKUP($B251,INDIRECT("'GRD-"&amp;BA251&amp;"'!$B:$R"),16,FALSE)="","",VLOOKUP($B251,INDIRECT("'GRD-"&amp;BA251&amp;"'!$B:$R"),16,FALSE)))</f>
        <v/>
      </c>
      <c r="BA251" s="128">
        <f t="array" ref="BA251">IF(AY251="","",IFERROR(OFFSET($BZ$11,0,MATCH($AY251,$CA251:$FV251,0),),""))</f>
        <v/>
      </c>
      <c r="BB251" s="133">
        <f t="array" ref="BB251">IF(AY251="","",INDIRECT("'GRD-"&amp;BA251&amp;"'!$L$7"))</f>
        <v/>
      </c>
      <c r="BC251" s="84">
        <f t="array" ref="BC251">IFERROR(OFFSET($BZ$11,ROW($B251)-11,MATCH(BC$10,$CA251:$FV251,0),),"")</f>
        <v/>
      </c>
      <c r="BD251" s="84">
        <f>IF(BC251="","",IF(VLOOKUP($B251,INDIRECT("'GRD-"&amp;BE251&amp;"'!$B:$R"),16,FALSE)="","",VLOOKUP($B251,INDIRECT("'GRD-"&amp;BE251&amp;"'!$B:$R"),16,FALSE)))</f>
        <v/>
      </c>
      <c r="BE251" s="129">
        <f t="array" ref="BE251">IF(BC251="","",IFERROR(OFFSET($BZ$11,0,MATCH($BC251,$CA251:$FV251,0),),""))</f>
        <v/>
      </c>
      <c r="BF251" s="134">
        <f t="array" ref="BF251">IF(BC251="","",INDIRECT("'GRD-"&amp;BE251&amp;"'!$L$7"))</f>
        <v/>
      </c>
      <c r="CA251" s="96">
        <f>IFERROR(VLOOKUP($B251,INDIRECT("'GRD-"&amp;CA$11&amp;"'!B:R"),15,FALSE),"")</f>
        <v/>
      </c>
      <c r="CB251" s="96">
        <f>IFERROR(VLOOKUP($B251,INDIRECT("'GRD-"&amp;CB$11&amp;"'!B:R"),15,FALSE),"")</f>
        <v/>
      </c>
      <c r="CC251" s="96">
        <f>IFERROR(VLOOKUP($B251,INDIRECT("'GRD-"&amp;CC$11&amp;"'!B:R"),15,FALSE),"")</f>
        <v/>
      </c>
      <c r="CD251" s="96">
        <f>IFERROR(VLOOKUP($B251,INDIRECT("'GRD-"&amp;CD$11&amp;"'!B:R"),15,FALSE),"")</f>
        <v/>
      </c>
      <c r="CE251" s="96">
        <f>IFERROR(VLOOKUP($B251,INDIRECT("'GRD-"&amp;CE$11&amp;"'!B:R"),15,FALSE),"")</f>
        <v/>
      </c>
      <c r="CF251" s="96">
        <f>IFERROR(VLOOKUP($B251,INDIRECT("'GRD-"&amp;CF$11&amp;"'!B:R"),15,FALSE),"")</f>
        <v/>
      </c>
      <c r="CG251" s="96">
        <f>IFERROR(VLOOKUP($B251,INDIRECT("'GRD-"&amp;CG$11&amp;"'!B:R"),15,FALSE),"")</f>
        <v/>
      </c>
      <c r="CH251" s="96">
        <f>IFERROR(VLOOKUP($B251,INDIRECT("'GRD-"&amp;CH$11&amp;"'!B:R"),15,FALSE),"")</f>
        <v/>
      </c>
      <c r="CI251" s="96">
        <f>IFERROR(VLOOKUP($B251,INDIRECT("'GRD-"&amp;CI$11&amp;"'!B:R"),15,FALSE),"")</f>
        <v/>
      </c>
      <c r="CJ251" s="96">
        <f>IFERROR(VLOOKUP($B251,INDIRECT("'GRD-"&amp;CJ$11&amp;"'!B:R"),15,FALSE),"")</f>
        <v/>
      </c>
      <c r="CK251" s="96">
        <f>IFERROR(VLOOKUP($B251,INDIRECT("'GRD-"&amp;CK$11&amp;"'!B:R"),15,FALSE),"")</f>
        <v/>
      </c>
      <c r="CL251" s="96">
        <f>IFERROR(VLOOKUP($B251,INDIRECT("'GRD-"&amp;CL$11&amp;"'!B:R"),15,FALSE),"")</f>
        <v/>
      </c>
      <c r="CM251" s="96">
        <f>IFERROR(VLOOKUP($B251,INDIRECT("'GRD-"&amp;CM$11&amp;"'!B:R"),15,FALSE),"")</f>
        <v/>
      </c>
      <c r="CN251" s="96">
        <f>IFERROR(VLOOKUP($B251,INDIRECT("'GRD-"&amp;CN$11&amp;"'!B:R"),15,FALSE),"")</f>
        <v/>
      </c>
      <c r="CO251" s="96">
        <f>IFERROR(VLOOKUP($B251,INDIRECT("'GRD-"&amp;CO$11&amp;"'!B:R"),15,FALSE),"")</f>
        <v/>
      </c>
      <c r="CP251" s="96">
        <f>IFERROR(VLOOKUP($B251,INDIRECT("'GRD-"&amp;CP$11&amp;"'!B:R"),15,FALSE),"")</f>
        <v/>
      </c>
      <c r="CQ251" s="96">
        <f>IFERROR(VLOOKUP($B251,INDIRECT("'GRD-"&amp;CQ$11&amp;"'!B:R"),15,FALSE),"")</f>
        <v/>
      </c>
      <c r="CR251" s="96">
        <f>IFERROR(VLOOKUP($B251,INDIRECT("'GRD-"&amp;CR$11&amp;"'!B:R"),15,FALSE),"")</f>
        <v/>
      </c>
      <c r="CS251" s="96">
        <f>IFERROR(VLOOKUP($B251,INDIRECT("'GRD-"&amp;CS$11&amp;"'!B:R"),15,FALSE),"")</f>
        <v/>
      </c>
      <c r="CT251" s="96">
        <f>IFERROR(VLOOKUP($B251,INDIRECT("'GRD-"&amp;CT$11&amp;"'!B:R"),15,FALSE),"")</f>
        <v/>
      </c>
      <c r="CU251" s="96">
        <f>IFERROR(VLOOKUP($B251,INDIRECT("'GRD-"&amp;CU$11&amp;"'!B:R"),15,FALSE),"")</f>
        <v/>
      </c>
      <c r="CV251" s="96">
        <f>IFERROR(VLOOKUP($B251,INDIRECT("'GRD-"&amp;CV$11&amp;"'!B:R"),15,FALSE),"")</f>
        <v/>
      </c>
      <c r="CW251" s="96">
        <f>IFERROR(VLOOKUP($B251,INDIRECT("'GRD-"&amp;CW$11&amp;"'!B:R"),15,FALSE),"")</f>
        <v/>
      </c>
      <c r="CX251" s="96">
        <f>IFERROR(VLOOKUP($B251,INDIRECT("'GRD-"&amp;CX$11&amp;"'!B:R"),15,FALSE),"")</f>
        <v/>
      </c>
      <c r="CY251" s="96">
        <f>IFERROR(VLOOKUP($B251,INDIRECT("'GRD-"&amp;CY$11&amp;"'!B:R"),15,FALSE),"")</f>
        <v/>
      </c>
      <c r="CZ251" s="96">
        <f>IFERROR(VLOOKUP($B251,INDIRECT("'GRD-"&amp;CZ$11&amp;"'!B:R"),15,FALSE),"")</f>
        <v/>
      </c>
      <c r="DA251" s="96">
        <f>IFERROR(VLOOKUP($B251,INDIRECT("'GRD-"&amp;DA$11&amp;"'!B:R"),15,FALSE),"")</f>
        <v/>
      </c>
      <c r="DB251" s="96">
        <f>IFERROR(VLOOKUP($B251,INDIRECT("'GRD-"&amp;DB$11&amp;"'!B:R"),15,FALSE),"")</f>
        <v/>
      </c>
      <c r="DC251" s="96">
        <f>IFERROR(VLOOKUP($B251,INDIRECT("'GRD-"&amp;DC$11&amp;"'!B:R"),15,FALSE),"")</f>
        <v/>
      </c>
      <c r="DD251" s="96">
        <f>IFERROR(VLOOKUP($B251,INDIRECT("'GRD-"&amp;DD$11&amp;"'!B:R"),15,FALSE),"")</f>
        <v/>
      </c>
      <c r="DE251" s="96">
        <f>IFERROR(VLOOKUP($B251,INDIRECT("'GRD-"&amp;DE$11&amp;"'!B:R"),15,FALSE),"")</f>
        <v/>
      </c>
      <c r="DF251" s="96">
        <f>IFERROR(VLOOKUP($B251,INDIRECT("'GRD-"&amp;DF$11&amp;"'!B:R"),15,FALSE),"")</f>
        <v/>
      </c>
      <c r="DG251" s="96">
        <f>IFERROR(VLOOKUP($B251,INDIRECT("'GRD-"&amp;DG$11&amp;"'!B:R"),15,FALSE),"")</f>
        <v/>
      </c>
      <c r="DH251" s="96">
        <f>IFERROR(VLOOKUP($B251,INDIRECT("'GRD-"&amp;DH$11&amp;"'!B:R"),15,FALSE),"")</f>
        <v/>
      </c>
      <c r="DI251" s="96">
        <f>IFERROR(VLOOKUP($B251,INDIRECT("'GRD-"&amp;DI$11&amp;"'!B:R"),15,FALSE),"")</f>
        <v/>
      </c>
      <c r="DJ251" s="96">
        <f>IFERROR(VLOOKUP($B251,INDIRECT("'GRD-"&amp;DJ$11&amp;"'!B:R"),15,FALSE),"")</f>
        <v/>
      </c>
      <c r="DK251" s="96">
        <f>IFERROR(VLOOKUP($B251,INDIRECT("'GRD-"&amp;DK$11&amp;"'!B:R"),15,FALSE),"")</f>
        <v/>
      </c>
      <c r="DL251" s="96">
        <f>IFERROR(VLOOKUP($B251,INDIRECT("'GRD-"&amp;DL$11&amp;"'!B:R"),15,FALSE),"")</f>
        <v/>
      </c>
      <c r="DM251" s="96">
        <f>IFERROR(VLOOKUP($B251,INDIRECT("'GRD-"&amp;DM$11&amp;"'!B:R"),15,FALSE),"")</f>
        <v/>
      </c>
      <c r="DN251" s="96">
        <f>IFERROR(VLOOKUP($B251,INDIRECT("'GRD-"&amp;DN$11&amp;"'!B:R"),15,FALSE),"")</f>
        <v/>
      </c>
      <c r="DO251" s="96">
        <f>IFERROR(VLOOKUP($B251,INDIRECT("'GRD-"&amp;DO$11&amp;"'!B:R"),15,FALSE),"")</f>
        <v/>
      </c>
      <c r="DP251" s="96">
        <f>IFERROR(VLOOKUP($B251,INDIRECT("'GRD-"&amp;DP$11&amp;"'!B:R"),15,FALSE),"")</f>
        <v/>
      </c>
      <c r="DQ251" s="96">
        <f>IFERROR(VLOOKUP($B251,INDIRECT("'GRD-"&amp;DQ$11&amp;"'!B:R"),15,FALSE),"")</f>
        <v/>
      </c>
      <c r="DR251" s="96">
        <f>IFERROR(VLOOKUP($B251,INDIRECT("'GRD-"&amp;DR$11&amp;"'!B:R"),15,FALSE),"")</f>
        <v/>
      </c>
      <c r="DS251" s="96">
        <f>IFERROR(VLOOKUP($B251,INDIRECT("'GRD-"&amp;DS$11&amp;"'!B:R"),15,FALSE),"")</f>
        <v/>
      </c>
      <c r="DT251" s="96">
        <f>IFERROR(VLOOKUP($B251,INDIRECT("'GRD-"&amp;DT$11&amp;"'!B:R"),15,FALSE),"")</f>
        <v/>
      </c>
      <c r="DU251" s="96">
        <f>IFERROR(VLOOKUP($B251,INDIRECT("'GRD-"&amp;DU$11&amp;"'!B:R"),15,FALSE),"")</f>
        <v/>
      </c>
      <c r="DV251" s="96">
        <f>IFERROR(VLOOKUP($B251,INDIRECT("'GRD-"&amp;DV$11&amp;"'!B:R"),15,FALSE),"")</f>
        <v/>
      </c>
      <c r="DW251" s="96">
        <f>IFERROR(VLOOKUP($B251,INDIRECT("'GRD-"&amp;DW$11&amp;"'!B:R"),15,FALSE),"")</f>
        <v/>
      </c>
      <c r="DX251" s="96">
        <f>IFERROR(VLOOKUP($B251,INDIRECT("'GRD-"&amp;DX$11&amp;"'!B:R"),15,FALSE),"")</f>
        <v/>
      </c>
      <c r="DY251" s="96">
        <f>IFERROR(VLOOKUP($B251,INDIRECT("'GRD-"&amp;DY$11&amp;"'!B:R"),15,FALSE),"")</f>
        <v/>
      </c>
      <c r="DZ251" s="96">
        <f>IFERROR(VLOOKUP($B251,INDIRECT("'GRD-"&amp;DZ$11&amp;"'!B:R"),15,FALSE),"")</f>
        <v/>
      </c>
      <c r="EA251" s="96">
        <f>IFERROR(VLOOKUP($B251,INDIRECT("'GRD-"&amp;EA$11&amp;"'!B:R"),15,FALSE),"")</f>
        <v/>
      </c>
      <c r="EB251" s="96">
        <f>IFERROR(VLOOKUP($B251,INDIRECT("'GRD-"&amp;EB$11&amp;"'!B:R"),15,FALSE),"")</f>
        <v/>
      </c>
      <c r="EC251" s="96">
        <f>IFERROR(VLOOKUP($B251,INDIRECT("'GRD-"&amp;EC$11&amp;"'!B:R"),15,FALSE),"")</f>
        <v/>
      </c>
      <c r="ED251" s="96">
        <f>IFERROR(VLOOKUP($B251,INDIRECT("'GRD-"&amp;ED$11&amp;"'!B:R"),15,FALSE),"")</f>
        <v/>
      </c>
      <c r="EE251" s="96">
        <f>IFERROR(VLOOKUP($B251,INDIRECT("'GRD-"&amp;EE$11&amp;"'!B:R"),15,FALSE),"")</f>
        <v/>
      </c>
      <c r="EF251" s="96">
        <f>IFERROR(VLOOKUP($B251,INDIRECT("'GRD-"&amp;EF$11&amp;"'!B:R"),15,FALSE),"")</f>
        <v/>
      </c>
      <c r="EG251" s="96">
        <f>IFERROR(VLOOKUP($B251,INDIRECT("'GRD-"&amp;EG$11&amp;"'!B:R"),15,FALSE),"")</f>
        <v/>
      </c>
      <c r="EH251" s="96">
        <f>IFERROR(VLOOKUP($B251,INDIRECT("'GRD-"&amp;EH$11&amp;"'!B:R"),15,FALSE),"")</f>
        <v/>
      </c>
      <c r="EI251" s="96">
        <f>IFERROR(VLOOKUP($B251,INDIRECT("'GRD-"&amp;EI$11&amp;"'!B:R"),15,FALSE),"")</f>
        <v/>
      </c>
      <c r="EJ251" s="96">
        <f>IFERROR(VLOOKUP($B251,INDIRECT("'GRD-"&amp;EJ$11&amp;"'!B:R"),15,FALSE),"")</f>
        <v/>
      </c>
      <c r="EK251" s="96">
        <f>IFERROR(VLOOKUP($B251,INDIRECT("'GRD-"&amp;EK$11&amp;"'!B:R"),15,FALSE),"")</f>
        <v/>
      </c>
      <c r="EL251" s="96">
        <f>IFERROR(VLOOKUP($B251,INDIRECT("'GRD-"&amp;EL$11&amp;"'!B:R"),15,FALSE),"")</f>
        <v/>
      </c>
      <c r="EM251" s="96">
        <f>IFERROR(VLOOKUP($B251,INDIRECT("'GRD-"&amp;EM$11&amp;"'!B:R"),15,FALSE),"")</f>
        <v/>
      </c>
      <c r="EN251" s="96">
        <f>IFERROR(VLOOKUP($B251,INDIRECT("'GRD-"&amp;EN$11&amp;"'!B:R"),15,FALSE),"")</f>
        <v/>
      </c>
      <c r="EO251" s="96">
        <f>IFERROR(VLOOKUP($B251,INDIRECT("'GRD-"&amp;EO$11&amp;"'!B:R"),15,FALSE),"")</f>
        <v/>
      </c>
      <c r="EP251" s="96">
        <f>IFERROR(VLOOKUP($B251,INDIRECT("'GRD-"&amp;EP$11&amp;"'!B:R"),15,FALSE),"")</f>
        <v/>
      </c>
      <c r="EQ251" s="96">
        <f>IFERROR(VLOOKUP($B251,INDIRECT("'GRD-"&amp;EQ$11&amp;"'!B:R"),15,FALSE),"")</f>
        <v/>
      </c>
      <c r="ER251" s="96">
        <f>IFERROR(VLOOKUP($B251,INDIRECT("'GRD-"&amp;ER$11&amp;"'!B:R"),15,FALSE),"")</f>
        <v/>
      </c>
      <c r="ES251" s="96">
        <f>IFERROR(VLOOKUP($B251,INDIRECT("'GRD-"&amp;ES$11&amp;"'!B:R"),15,FALSE),"")</f>
        <v/>
      </c>
      <c r="ET251" s="96">
        <f>IFERROR(VLOOKUP($B251,INDIRECT("'GRD-"&amp;ET$11&amp;"'!B:R"),15,FALSE),"")</f>
        <v/>
      </c>
      <c r="EU251" s="96">
        <f>IFERROR(VLOOKUP($B251,INDIRECT("'GRD-"&amp;EU$11&amp;"'!B:R"),15,FALSE),"")</f>
        <v/>
      </c>
      <c r="EV251" s="96">
        <f>IFERROR(VLOOKUP($B251,INDIRECT("'GRD-"&amp;EV$11&amp;"'!B:R"),15,FALSE),"")</f>
        <v/>
      </c>
      <c r="EW251" s="96">
        <f>IFERROR(VLOOKUP($B251,INDIRECT("'GRD-"&amp;EW$11&amp;"'!B:R"),15,FALSE),"")</f>
        <v/>
      </c>
      <c r="EX251" s="96">
        <f>IFERROR(VLOOKUP($B251,INDIRECT("'GRD-"&amp;EX$11&amp;"'!B:R"),15,FALSE),"")</f>
        <v/>
      </c>
      <c r="EY251" s="96">
        <f>IFERROR(VLOOKUP($B251,INDIRECT("'GRD-"&amp;EY$11&amp;"'!B:R"),15,FALSE),"")</f>
        <v/>
      </c>
      <c r="EZ251" s="96">
        <f>IFERROR(VLOOKUP($B251,INDIRECT("'GRD-"&amp;EZ$11&amp;"'!B:R"),15,FALSE),"")</f>
        <v/>
      </c>
      <c r="FA251" s="96">
        <f>IFERROR(VLOOKUP($B251,INDIRECT("'GRD-"&amp;FA$11&amp;"'!B:R"),15,FALSE),"")</f>
        <v/>
      </c>
      <c r="FB251" s="96">
        <f>IFERROR(VLOOKUP($B251,INDIRECT("'GRD-"&amp;FB$11&amp;"'!B:R"),15,FALSE),"")</f>
        <v/>
      </c>
      <c r="FC251" s="96">
        <f>IFERROR(VLOOKUP($B251,INDIRECT("'GRD-"&amp;FC$11&amp;"'!B:R"),15,FALSE),"")</f>
        <v/>
      </c>
      <c r="FD251" s="96">
        <f>IFERROR(VLOOKUP($B251,INDIRECT("'GRD-"&amp;FD$11&amp;"'!B:R"),15,FALSE),"")</f>
        <v/>
      </c>
      <c r="FE251" s="96">
        <f>IFERROR(VLOOKUP($B251,INDIRECT("'GRD-"&amp;FE$11&amp;"'!B:R"),15,FALSE),"")</f>
        <v/>
      </c>
      <c r="FF251" s="96">
        <f>IFERROR(VLOOKUP($B251,INDIRECT("'GRD-"&amp;FF$11&amp;"'!B:R"),15,FALSE),"")</f>
        <v/>
      </c>
      <c r="FG251" s="96">
        <f>IFERROR(VLOOKUP($B251,INDIRECT("'GRD-"&amp;FG$11&amp;"'!B:R"),15,FALSE),"")</f>
        <v/>
      </c>
      <c r="FH251" s="96">
        <f>IFERROR(VLOOKUP($B251,INDIRECT("'GRD-"&amp;FH$11&amp;"'!B:R"),15,FALSE),"")</f>
        <v/>
      </c>
      <c r="FI251" s="96">
        <f>IFERROR(VLOOKUP($B251,INDIRECT("'GRD-"&amp;FI$11&amp;"'!B:R"),15,FALSE),"")</f>
        <v/>
      </c>
      <c r="FJ251" s="96">
        <f>IFERROR(VLOOKUP($B251,INDIRECT("'GRD-"&amp;FJ$11&amp;"'!B:R"),15,FALSE),"")</f>
        <v/>
      </c>
      <c r="FK251" s="96">
        <f>IFERROR(VLOOKUP($B251,INDIRECT("'GRD-"&amp;FK$11&amp;"'!B:R"),15,FALSE),"")</f>
        <v/>
      </c>
      <c r="FL251" s="96">
        <f>IFERROR(VLOOKUP($B251,INDIRECT("'GRD-"&amp;FL$11&amp;"'!B:R"),15,FALSE),"")</f>
        <v/>
      </c>
      <c r="FM251" s="96">
        <f>IFERROR(VLOOKUP($B251,INDIRECT("'GRD-"&amp;FM$11&amp;"'!B:R"),15,FALSE),"")</f>
        <v/>
      </c>
      <c r="FN251" s="96">
        <f>IFERROR(VLOOKUP($B251,INDIRECT("'GRD-"&amp;FN$11&amp;"'!B:R"),15,FALSE),"")</f>
        <v/>
      </c>
      <c r="FO251" s="96">
        <f>IFERROR(VLOOKUP($B251,INDIRECT("'GRD-"&amp;FO$11&amp;"'!B:R"),15,FALSE),"")</f>
        <v/>
      </c>
      <c r="FP251" s="96">
        <f>IFERROR(VLOOKUP($B251,INDIRECT("'GRD-"&amp;FP$11&amp;"'!B:R"),15,FALSE),"")</f>
        <v/>
      </c>
      <c r="FQ251" s="96">
        <f>IFERROR(VLOOKUP($B251,INDIRECT("'GRD-"&amp;FQ$11&amp;"'!B:R"),15,FALSE),"")</f>
        <v/>
      </c>
      <c r="FR251" s="96">
        <f>IFERROR(VLOOKUP($B251,INDIRECT("'GRD-"&amp;FR$11&amp;"'!B:R"),15,FALSE),"")</f>
        <v/>
      </c>
      <c r="FS251" s="96">
        <f>IFERROR(VLOOKUP($B251,INDIRECT("'GRD-"&amp;FS$11&amp;"'!B:R"),15,FALSE),"")</f>
        <v/>
      </c>
      <c r="FT251" s="96">
        <f>IFERROR(VLOOKUP($B251,INDIRECT("'GRD-"&amp;FT$11&amp;"'!B:R"),15,FALSE),"")</f>
        <v/>
      </c>
      <c r="FU251" s="96">
        <f>IFERROR(VLOOKUP($B251,INDIRECT("'GRD-"&amp;FU$11&amp;"'!B:R"),15,FALSE),"")</f>
        <v/>
      </c>
      <c r="FV251" s="96">
        <f>IFERROR(VLOOKUP($B251,INDIRECT("'GRD-"&amp;FV$11&amp;"'!B:R"),15,FALSE),"")</f>
        <v/>
      </c>
    </row>
    <row r="252">
      <c r="B252" s="85" t="n"/>
      <c r="C252" s="93" t="n"/>
      <c r="D252" s="73">
        <f>IF(K252="","",MAX($CA252:$FV252))</f>
        <v/>
      </c>
      <c r="E252" s="74">
        <f t="array" ref="E252">IF($K252="","",OFFSET($A$1,ROW($B252)-1,11+$D252*4,))</f>
        <v/>
      </c>
      <c r="F252" s="74">
        <f t="array" ref="F252">IF($K252="","",OFFSET($A$1,ROW($B252)-1,12+$D252*4,))</f>
        <v/>
      </c>
      <c r="G252" s="118">
        <f t="array" ref="G252">IF($K252="","",OFFSET($A$1,ROW($B252)-1,13+$D252*4,))</f>
        <v/>
      </c>
      <c r="H252" s="81" t="n"/>
      <c r="I252" s="82" t="n"/>
      <c r="J252" s="75">
        <f>IF(I252="A4",H252/8,IF(I252="A3",H252/4,IF(I252="A2",H252/2,IF(I252="A1",H252/1,IF(I252="A0",H252*2,"")))))</f>
        <v/>
      </c>
      <c r="K252" s="68">
        <f t="array" ref="K252">IFERROR(OFFSET($BZ$11,ROW($B252)-11,MATCH(K$10,$CA252:$FV252,0),),"")</f>
        <v/>
      </c>
      <c r="L252" s="85">
        <f>IF(K252="","",IF(VLOOKUP($B252,INDIRECT("'GRD-"&amp;M252&amp;"'!$B:$R"),16,FALSE)="","",VLOOKUP($B252,INDIRECT("'GRD-"&amp;M252&amp;"'!$B:$R"),16,FALSE)))</f>
        <v/>
      </c>
      <c r="M252" s="130">
        <f t="array" ref="M252">IF(K252="","",IFERROR(OFFSET($BZ$11,0,MATCH($K252,$CA252:$FV252,0),),""))</f>
        <v/>
      </c>
      <c r="N252" s="119">
        <f t="array" ref="N252">IF(K252="","",INDIRECT("'GRD-"&amp;M252&amp;"'!$L$7"))</f>
        <v/>
      </c>
      <c r="O252" s="76">
        <f t="array" ref="O252">IFERROR(OFFSET($BZ$11,ROW($B252)-11,MATCH(O$10,$CA252:$FV252,0),),"")</f>
        <v/>
      </c>
      <c r="P252" s="76">
        <f>IF(O252="","",IF(VLOOKUP($B252,INDIRECT("'GRD-"&amp;Q252&amp;"'!$B:$R"),16,FALSE)="","",VLOOKUP($B252,INDIRECT("'GRD-"&amp;Q252&amp;"'!$B:$R"),16,FALSE)))</f>
        <v/>
      </c>
      <c r="Q252" s="132">
        <f t="array" ref="Q252">IF(O252="","",IFERROR(OFFSET($BZ$11,0,MATCH($O252,$CA252:$FV252,0),),""))</f>
        <v/>
      </c>
      <c r="R252" s="121">
        <f t="array" ref="R252">IF(O252="","",INDIRECT("'GRD-"&amp;Q252&amp;"'!$L$7"))</f>
        <v/>
      </c>
      <c r="S252" s="83">
        <f t="array" ref="S252">IFERROR(OFFSET($BZ$11,ROW($B252)-11,MATCH(S$10,$CA252:$FV252,0),),"")</f>
        <v/>
      </c>
      <c r="T252" s="83">
        <f>IF(S252="","",IF(VLOOKUP($B252,INDIRECT("'GRD-"&amp;U252&amp;"'!$B:$R"),16,FALSE)="","",VLOOKUP($B252,INDIRECT("'GRD-"&amp;U252&amp;"'!$B:$R"),16,FALSE)))</f>
        <v/>
      </c>
      <c r="U252" s="128">
        <f t="array" ref="U252">IF(S252="","",IFERROR(OFFSET($BZ$11,0,MATCH($S252,$CA252:$FV252,0),),""))</f>
        <v/>
      </c>
      <c r="V252" s="133">
        <f t="array" ref="V252">IF(S252="","",INDIRECT("'GRD-"&amp;U252&amp;"'!$L$7"))</f>
        <v/>
      </c>
      <c r="W252" s="84">
        <f t="array" ref="W252">IFERROR(OFFSET($BZ$11,ROW($B252)-11,MATCH(W$10,$CA252:$FV252,0),),"")</f>
        <v/>
      </c>
      <c r="X252" s="84">
        <f>IF(W252="","",IF(VLOOKUP($B252,INDIRECT("'GRD-"&amp;Y252&amp;"'!$B:$R"),16,FALSE)="","",VLOOKUP($B252,INDIRECT("'GRD-"&amp;Y252&amp;"'!$B:$R"),16,FALSE)))</f>
        <v/>
      </c>
      <c r="Y252" s="129">
        <f t="array" ref="Y252">IF(W252="","",IFERROR(OFFSET($BZ$11,0,MATCH($W252,$CA252:$FV252,0),),""))</f>
        <v/>
      </c>
      <c r="Z252" s="134">
        <f t="array" ref="Z252">IF(W252="","",INDIRECT("'GRD-"&amp;Y252&amp;"'!$L$7"))</f>
        <v/>
      </c>
      <c r="AA252" s="85">
        <f t="array" ref="AA252">IFERROR(OFFSET($BZ$11,ROW($B252)-11,MATCH(AA$10,$CA252:$FV252,0),),"")</f>
        <v/>
      </c>
      <c r="AB252" s="85">
        <f>IF(AA252="","",IF(VLOOKUP($B252,INDIRECT("'GRD-"&amp;AC252&amp;"'!$B:$R"),16,FALSE)="","",VLOOKUP($B252,INDIRECT("'GRD-"&amp;AC252&amp;"'!$B:$R"),16,FALSE)))</f>
        <v/>
      </c>
      <c r="AC252" s="130">
        <f t="array" ref="AC252">IF(AA252="","",IFERROR(OFFSET($BZ$11,0,MATCH($AA252,$CA252:$FV252,0),),""))</f>
        <v/>
      </c>
      <c r="AD252" s="131">
        <f t="array" ref="AD252">IF(AA252="","",INDIRECT("'GRD-"&amp;AC252&amp;"'!$L$7"))</f>
        <v/>
      </c>
      <c r="AE252" s="76">
        <f t="array" ref="AE252">IFERROR(OFFSET($BZ$11,ROW($B252)-11,MATCH(AE$10,$CA252:$FV252,0),),"")</f>
        <v/>
      </c>
      <c r="AF252" s="76">
        <f>IF(AE252="","",IF(VLOOKUP($B252,INDIRECT("'GRD-"&amp;AG252&amp;"'!$B:$R"),16,FALSE)="","",VLOOKUP($B252,INDIRECT("'GRD-"&amp;AG252&amp;"'!$B:$R"),16,FALSE)))</f>
        <v/>
      </c>
      <c r="AG252" s="132">
        <f t="array" ref="AG252">IF(AE252="","",IFERROR(OFFSET($BZ$11,0,MATCH($AE252,$CA252:$FV252,0),),""))</f>
        <v/>
      </c>
      <c r="AH252" s="121">
        <f t="array" ref="AH252">IF(AE252="","",INDIRECT("'GRD-"&amp;AG252&amp;"'!$L$7"))</f>
        <v/>
      </c>
      <c r="AI252" s="83">
        <f t="array" ref="AI252">IFERROR(OFFSET($BZ$11,ROW($B252)-11,MATCH(AI$10,$CA252:$FV252,0),),"")</f>
        <v/>
      </c>
      <c r="AJ252" s="83">
        <f>IF(AI252="","",IF(VLOOKUP($B252,INDIRECT("'GRD-"&amp;AK252&amp;"'!$B:$R"),16,FALSE)="","",VLOOKUP($B252,INDIRECT("'GRD-"&amp;AK252&amp;"'!$B:$R"),16,FALSE)))</f>
        <v/>
      </c>
      <c r="AK252" s="128">
        <f t="array" ref="AK252">IF(AI252="","",IFERROR(OFFSET($BZ$11,0,MATCH($AI252,$CA252:$FV252,0),),""))</f>
        <v/>
      </c>
      <c r="AL252" s="133">
        <f t="array" ref="AL252">IF(AI252="","",INDIRECT("'GRD-"&amp;AK252&amp;"'!$L$7"))</f>
        <v/>
      </c>
      <c r="AM252" s="84">
        <f t="array" ref="AM252">IFERROR(OFFSET($BZ$11,ROW($B252)-11,MATCH(AM$10,$CA252:$FV252,0),),"")</f>
        <v/>
      </c>
      <c r="AN252" s="84">
        <f>IF(AM252="","",IF(VLOOKUP($B252,INDIRECT("'GRD-"&amp;AO252&amp;"'!$B:$R"),16,FALSE)="","",VLOOKUP($B252,INDIRECT("'GRD-"&amp;AO252&amp;"'!$B:$R"),16,FALSE)))</f>
        <v/>
      </c>
      <c r="AO252" s="129">
        <f t="array" ref="AO252">IF(AM252="","",IFERROR(OFFSET($BZ$11,0,MATCH($AM252,$CA252:$FV252,0),),""))</f>
        <v/>
      </c>
      <c r="AP252" s="134">
        <f t="array" ref="AP252">IF(AM252="","",INDIRECT("'GRD-"&amp;AO252&amp;"'!$L$7"))</f>
        <v/>
      </c>
      <c r="AQ252" s="85">
        <f t="array" ref="AQ252">IFERROR(OFFSET($BZ$11,ROW($B252)-11,MATCH(AQ$10,$CA252:$FV252,0),),"")</f>
        <v/>
      </c>
      <c r="AR252" s="85">
        <f>IF(AQ252="","",IF(VLOOKUP($B252,INDIRECT("'GRD-"&amp;AS252&amp;"'!$B:$R"),16,FALSE)="","",VLOOKUP($B252,INDIRECT("'GRD-"&amp;AS252&amp;"'!$B:$R"),16,FALSE)))</f>
        <v/>
      </c>
      <c r="AS252" s="130">
        <f t="array" ref="AS252">IF(AQ252="","",IFERROR(OFFSET($BZ$11,0,MATCH($AQ252,$CA252:$FV252,0),),""))</f>
        <v/>
      </c>
      <c r="AT252" s="131">
        <f t="array" ref="AT252">IF(AQ252="","",INDIRECT("'GRD-"&amp;AS252&amp;"'!$L$7"))</f>
        <v/>
      </c>
      <c r="AU252" s="76">
        <f t="array" ref="AU252">IFERROR(OFFSET($BZ$11,ROW($B252)-11,MATCH(AU$10,$CA252:$FV252,0),),"")</f>
        <v/>
      </c>
      <c r="AV252" s="76">
        <f>IF(AU252="","",IF(VLOOKUP($B252,INDIRECT("'GRD-"&amp;AW252&amp;"'!$B:$R"),16,FALSE)="","",VLOOKUP($B252,INDIRECT("'GRD-"&amp;AW252&amp;"'!$B:$R"),16,FALSE)))</f>
        <v/>
      </c>
      <c r="AW252" s="132">
        <f t="array" ref="AW252">IF(AU252="","",IFERROR(OFFSET($BZ$11,0,MATCH($AU252,$CA252:$FV252,0),),""))</f>
        <v/>
      </c>
      <c r="AX252" s="121">
        <f t="array" ref="AX252">IF(AU252="","",INDIRECT("'GRD-"&amp;AW252&amp;"'!$L$7"))</f>
        <v/>
      </c>
      <c r="AY252" s="83">
        <f t="array" ref="AY252">IFERROR(OFFSET($BZ$11,ROW($B252)-11,MATCH(AY$10,$CA252:$FV252,0),),"")</f>
        <v/>
      </c>
      <c r="AZ252" s="83">
        <f>IF(AY252="","",IF(VLOOKUP($B252,INDIRECT("'GRD-"&amp;BA252&amp;"'!$B:$R"),16,FALSE)="","",VLOOKUP($B252,INDIRECT("'GRD-"&amp;BA252&amp;"'!$B:$R"),16,FALSE)))</f>
        <v/>
      </c>
      <c r="BA252" s="128">
        <f t="array" ref="BA252">IF(AY252="","",IFERROR(OFFSET($BZ$11,0,MATCH($AY252,$CA252:$FV252,0),),""))</f>
        <v/>
      </c>
      <c r="BB252" s="133">
        <f t="array" ref="BB252">IF(AY252="","",INDIRECT("'GRD-"&amp;BA252&amp;"'!$L$7"))</f>
        <v/>
      </c>
      <c r="BC252" s="84">
        <f t="array" ref="BC252">IFERROR(OFFSET($BZ$11,ROW($B252)-11,MATCH(BC$10,$CA252:$FV252,0),),"")</f>
        <v/>
      </c>
      <c r="BD252" s="84">
        <f>IF(BC252="","",IF(VLOOKUP($B252,INDIRECT("'GRD-"&amp;BE252&amp;"'!$B:$R"),16,FALSE)="","",VLOOKUP($B252,INDIRECT("'GRD-"&amp;BE252&amp;"'!$B:$R"),16,FALSE)))</f>
        <v/>
      </c>
      <c r="BE252" s="129">
        <f t="array" ref="BE252">IF(BC252="","",IFERROR(OFFSET($BZ$11,0,MATCH($BC252,$CA252:$FV252,0),),""))</f>
        <v/>
      </c>
      <c r="BF252" s="134">
        <f t="array" ref="BF252">IF(BC252="","",INDIRECT("'GRD-"&amp;BE252&amp;"'!$L$7"))</f>
        <v/>
      </c>
      <c r="CA252" s="96">
        <f>IFERROR(VLOOKUP($B252,INDIRECT("'GRD-"&amp;CA$11&amp;"'!B:R"),15,FALSE),"")</f>
        <v/>
      </c>
      <c r="CB252" s="96">
        <f>IFERROR(VLOOKUP($B252,INDIRECT("'GRD-"&amp;CB$11&amp;"'!B:R"),15,FALSE),"")</f>
        <v/>
      </c>
      <c r="CC252" s="96">
        <f>IFERROR(VLOOKUP($B252,INDIRECT("'GRD-"&amp;CC$11&amp;"'!B:R"),15,FALSE),"")</f>
        <v/>
      </c>
      <c r="CD252" s="96">
        <f>IFERROR(VLOOKUP($B252,INDIRECT("'GRD-"&amp;CD$11&amp;"'!B:R"),15,FALSE),"")</f>
        <v/>
      </c>
      <c r="CE252" s="96">
        <f>IFERROR(VLOOKUP($B252,INDIRECT("'GRD-"&amp;CE$11&amp;"'!B:R"),15,FALSE),"")</f>
        <v/>
      </c>
      <c r="CF252" s="96">
        <f>IFERROR(VLOOKUP($B252,INDIRECT("'GRD-"&amp;CF$11&amp;"'!B:R"),15,FALSE),"")</f>
        <v/>
      </c>
      <c r="CG252" s="96">
        <f>IFERROR(VLOOKUP($B252,INDIRECT("'GRD-"&amp;CG$11&amp;"'!B:R"),15,FALSE),"")</f>
        <v/>
      </c>
      <c r="CH252" s="96">
        <f>IFERROR(VLOOKUP($B252,INDIRECT("'GRD-"&amp;CH$11&amp;"'!B:R"),15,FALSE),"")</f>
        <v/>
      </c>
      <c r="CI252" s="96">
        <f>IFERROR(VLOOKUP($B252,INDIRECT("'GRD-"&amp;CI$11&amp;"'!B:R"),15,FALSE),"")</f>
        <v/>
      </c>
      <c r="CJ252" s="96">
        <f>IFERROR(VLOOKUP($B252,INDIRECT("'GRD-"&amp;CJ$11&amp;"'!B:R"),15,FALSE),"")</f>
        <v/>
      </c>
      <c r="CK252" s="96">
        <f>IFERROR(VLOOKUP($B252,INDIRECT("'GRD-"&amp;CK$11&amp;"'!B:R"),15,FALSE),"")</f>
        <v/>
      </c>
      <c r="CL252" s="96">
        <f>IFERROR(VLOOKUP($B252,INDIRECT("'GRD-"&amp;CL$11&amp;"'!B:R"),15,FALSE),"")</f>
        <v/>
      </c>
      <c r="CM252" s="96">
        <f>IFERROR(VLOOKUP($B252,INDIRECT("'GRD-"&amp;CM$11&amp;"'!B:R"),15,FALSE),"")</f>
        <v/>
      </c>
      <c r="CN252" s="96">
        <f>IFERROR(VLOOKUP($B252,INDIRECT("'GRD-"&amp;CN$11&amp;"'!B:R"),15,FALSE),"")</f>
        <v/>
      </c>
      <c r="CO252" s="96">
        <f>IFERROR(VLOOKUP($B252,INDIRECT("'GRD-"&amp;CO$11&amp;"'!B:R"),15,FALSE),"")</f>
        <v/>
      </c>
      <c r="CP252" s="96">
        <f>IFERROR(VLOOKUP($B252,INDIRECT("'GRD-"&amp;CP$11&amp;"'!B:R"),15,FALSE),"")</f>
        <v/>
      </c>
      <c r="CQ252" s="96">
        <f>IFERROR(VLOOKUP($B252,INDIRECT("'GRD-"&amp;CQ$11&amp;"'!B:R"),15,FALSE),"")</f>
        <v/>
      </c>
      <c r="CR252" s="96">
        <f>IFERROR(VLOOKUP($B252,INDIRECT("'GRD-"&amp;CR$11&amp;"'!B:R"),15,FALSE),"")</f>
        <v/>
      </c>
      <c r="CS252" s="96">
        <f>IFERROR(VLOOKUP($B252,INDIRECT("'GRD-"&amp;CS$11&amp;"'!B:R"),15,FALSE),"")</f>
        <v/>
      </c>
      <c r="CT252" s="96">
        <f>IFERROR(VLOOKUP($B252,INDIRECT("'GRD-"&amp;CT$11&amp;"'!B:R"),15,FALSE),"")</f>
        <v/>
      </c>
      <c r="CU252" s="96">
        <f>IFERROR(VLOOKUP($B252,INDIRECT("'GRD-"&amp;CU$11&amp;"'!B:R"),15,FALSE),"")</f>
        <v/>
      </c>
      <c r="CV252" s="96">
        <f>IFERROR(VLOOKUP($B252,INDIRECT("'GRD-"&amp;CV$11&amp;"'!B:R"),15,FALSE),"")</f>
        <v/>
      </c>
      <c r="CW252" s="96">
        <f>IFERROR(VLOOKUP($B252,INDIRECT("'GRD-"&amp;CW$11&amp;"'!B:R"),15,FALSE),"")</f>
        <v/>
      </c>
      <c r="CX252" s="96">
        <f>IFERROR(VLOOKUP($B252,INDIRECT("'GRD-"&amp;CX$11&amp;"'!B:R"),15,FALSE),"")</f>
        <v/>
      </c>
      <c r="CY252" s="96">
        <f>IFERROR(VLOOKUP($B252,INDIRECT("'GRD-"&amp;CY$11&amp;"'!B:R"),15,FALSE),"")</f>
        <v/>
      </c>
      <c r="CZ252" s="96">
        <f>IFERROR(VLOOKUP($B252,INDIRECT("'GRD-"&amp;CZ$11&amp;"'!B:R"),15,FALSE),"")</f>
        <v/>
      </c>
      <c r="DA252" s="96">
        <f>IFERROR(VLOOKUP($B252,INDIRECT("'GRD-"&amp;DA$11&amp;"'!B:R"),15,FALSE),"")</f>
        <v/>
      </c>
      <c r="DB252" s="96">
        <f>IFERROR(VLOOKUP($B252,INDIRECT("'GRD-"&amp;DB$11&amp;"'!B:R"),15,FALSE),"")</f>
        <v/>
      </c>
      <c r="DC252" s="96">
        <f>IFERROR(VLOOKUP($B252,INDIRECT("'GRD-"&amp;DC$11&amp;"'!B:R"),15,FALSE),"")</f>
        <v/>
      </c>
      <c r="DD252" s="96">
        <f>IFERROR(VLOOKUP($B252,INDIRECT("'GRD-"&amp;DD$11&amp;"'!B:R"),15,FALSE),"")</f>
        <v/>
      </c>
      <c r="DE252" s="96">
        <f>IFERROR(VLOOKUP($B252,INDIRECT("'GRD-"&amp;DE$11&amp;"'!B:R"),15,FALSE),"")</f>
        <v/>
      </c>
      <c r="DF252" s="96">
        <f>IFERROR(VLOOKUP($B252,INDIRECT("'GRD-"&amp;DF$11&amp;"'!B:R"),15,FALSE),"")</f>
        <v/>
      </c>
      <c r="DG252" s="96">
        <f>IFERROR(VLOOKUP($B252,INDIRECT("'GRD-"&amp;DG$11&amp;"'!B:R"),15,FALSE),"")</f>
        <v/>
      </c>
      <c r="DH252" s="96">
        <f>IFERROR(VLOOKUP($B252,INDIRECT("'GRD-"&amp;DH$11&amp;"'!B:R"),15,FALSE),"")</f>
        <v/>
      </c>
      <c r="DI252" s="96">
        <f>IFERROR(VLOOKUP($B252,INDIRECT("'GRD-"&amp;DI$11&amp;"'!B:R"),15,FALSE),"")</f>
        <v/>
      </c>
      <c r="DJ252" s="96">
        <f>IFERROR(VLOOKUP($B252,INDIRECT("'GRD-"&amp;DJ$11&amp;"'!B:R"),15,FALSE),"")</f>
        <v/>
      </c>
      <c r="DK252" s="96">
        <f>IFERROR(VLOOKUP($B252,INDIRECT("'GRD-"&amp;DK$11&amp;"'!B:R"),15,FALSE),"")</f>
        <v/>
      </c>
      <c r="DL252" s="96">
        <f>IFERROR(VLOOKUP($B252,INDIRECT("'GRD-"&amp;DL$11&amp;"'!B:R"),15,FALSE),"")</f>
        <v/>
      </c>
      <c r="DM252" s="96">
        <f>IFERROR(VLOOKUP($B252,INDIRECT("'GRD-"&amp;DM$11&amp;"'!B:R"),15,FALSE),"")</f>
        <v/>
      </c>
      <c r="DN252" s="96">
        <f>IFERROR(VLOOKUP($B252,INDIRECT("'GRD-"&amp;DN$11&amp;"'!B:R"),15,FALSE),"")</f>
        <v/>
      </c>
      <c r="DO252" s="96">
        <f>IFERROR(VLOOKUP($B252,INDIRECT("'GRD-"&amp;DO$11&amp;"'!B:R"),15,FALSE),"")</f>
        <v/>
      </c>
      <c r="DP252" s="96">
        <f>IFERROR(VLOOKUP($B252,INDIRECT("'GRD-"&amp;DP$11&amp;"'!B:R"),15,FALSE),"")</f>
        <v/>
      </c>
      <c r="DQ252" s="96">
        <f>IFERROR(VLOOKUP($B252,INDIRECT("'GRD-"&amp;DQ$11&amp;"'!B:R"),15,FALSE),"")</f>
        <v/>
      </c>
      <c r="DR252" s="96">
        <f>IFERROR(VLOOKUP($B252,INDIRECT("'GRD-"&amp;DR$11&amp;"'!B:R"),15,FALSE),"")</f>
        <v/>
      </c>
      <c r="DS252" s="96">
        <f>IFERROR(VLOOKUP($B252,INDIRECT("'GRD-"&amp;DS$11&amp;"'!B:R"),15,FALSE),"")</f>
        <v/>
      </c>
      <c r="DT252" s="96">
        <f>IFERROR(VLOOKUP($B252,INDIRECT("'GRD-"&amp;DT$11&amp;"'!B:R"),15,FALSE),"")</f>
        <v/>
      </c>
      <c r="DU252" s="96">
        <f>IFERROR(VLOOKUP($B252,INDIRECT("'GRD-"&amp;DU$11&amp;"'!B:R"),15,FALSE),"")</f>
        <v/>
      </c>
      <c r="DV252" s="96">
        <f>IFERROR(VLOOKUP($B252,INDIRECT("'GRD-"&amp;DV$11&amp;"'!B:R"),15,FALSE),"")</f>
        <v/>
      </c>
      <c r="DW252" s="96">
        <f>IFERROR(VLOOKUP($B252,INDIRECT("'GRD-"&amp;DW$11&amp;"'!B:R"),15,FALSE),"")</f>
        <v/>
      </c>
      <c r="DX252" s="96">
        <f>IFERROR(VLOOKUP($B252,INDIRECT("'GRD-"&amp;DX$11&amp;"'!B:R"),15,FALSE),"")</f>
        <v/>
      </c>
      <c r="DY252" s="96">
        <f>IFERROR(VLOOKUP($B252,INDIRECT("'GRD-"&amp;DY$11&amp;"'!B:R"),15,FALSE),"")</f>
        <v/>
      </c>
      <c r="DZ252" s="96">
        <f>IFERROR(VLOOKUP($B252,INDIRECT("'GRD-"&amp;DZ$11&amp;"'!B:R"),15,FALSE),"")</f>
        <v/>
      </c>
      <c r="EA252" s="96">
        <f>IFERROR(VLOOKUP($B252,INDIRECT("'GRD-"&amp;EA$11&amp;"'!B:R"),15,FALSE),"")</f>
        <v/>
      </c>
      <c r="EB252" s="96">
        <f>IFERROR(VLOOKUP($B252,INDIRECT("'GRD-"&amp;EB$11&amp;"'!B:R"),15,FALSE),"")</f>
        <v/>
      </c>
      <c r="EC252" s="96">
        <f>IFERROR(VLOOKUP($B252,INDIRECT("'GRD-"&amp;EC$11&amp;"'!B:R"),15,FALSE),"")</f>
        <v/>
      </c>
      <c r="ED252" s="96">
        <f>IFERROR(VLOOKUP($B252,INDIRECT("'GRD-"&amp;ED$11&amp;"'!B:R"),15,FALSE),"")</f>
        <v/>
      </c>
      <c r="EE252" s="96">
        <f>IFERROR(VLOOKUP($B252,INDIRECT("'GRD-"&amp;EE$11&amp;"'!B:R"),15,FALSE),"")</f>
        <v/>
      </c>
      <c r="EF252" s="96">
        <f>IFERROR(VLOOKUP($B252,INDIRECT("'GRD-"&amp;EF$11&amp;"'!B:R"),15,FALSE),"")</f>
        <v/>
      </c>
      <c r="EG252" s="96">
        <f>IFERROR(VLOOKUP($B252,INDIRECT("'GRD-"&amp;EG$11&amp;"'!B:R"),15,FALSE),"")</f>
        <v/>
      </c>
      <c r="EH252" s="96">
        <f>IFERROR(VLOOKUP($B252,INDIRECT("'GRD-"&amp;EH$11&amp;"'!B:R"),15,FALSE),"")</f>
        <v/>
      </c>
      <c r="EI252" s="96">
        <f>IFERROR(VLOOKUP($B252,INDIRECT("'GRD-"&amp;EI$11&amp;"'!B:R"),15,FALSE),"")</f>
        <v/>
      </c>
      <c r="EJ252" s="96">
        <f>IFERROR(VLOOKUP($B252,INDIRECT("'GRD-"&amp;EJ$11&amp;"'!B:R"),15,FALSE),"")</f>
        <v/>
      </c>
      <c r="EK252" s="96">
        <f>IFERROR(VLOOKUP($B252,INDIRECT("'GRD-"&amp;EK$11&amp;"'!B:R"),15,FALSE),"")</f>
        <v/>
      </c>
      <c r="EL252" s="96">
        <f>IFERROR(VLOOKUP($B252,INDIRECT("'GRD-"&amp;EL$11&amp;"'!B:R"),15,FALSE),"")</f>
        <v/>
      </c>
      <c r="EM252" s="96">
        <f>IFERROR(VLOOKUP($B252,INDIRECT("'GRD-"&amp;EM$11&amp;"'!B:R"),15,FALSE),"")</f>
        <v/>
      </c>
      <c r="EN252" s="96">
        <f>IFERROR(VLOOKUP($B252,INDIRECT("'GRD-"&amp;EN$11&amp;"'!B:R"),15,FALSE),"")</f>
        <v/>
      </c>
      <c r="EO252" s="96">
        <f>IFERROR(VLOOKUP($B252,INDIRECT("'GRD-"&amp;EO$11&amp;"'!B:R"),15,FALSE),"")</f>
        <v/>
      </c>
      <c r="EP252" s="96">
        <f>IFERROR(VLOOKUP($B252,INDIRECT("'GRD-"&amp;EP$11&amp;"'!B:R"),15,FALSE),"")</f>
        <v/>
      </c>
      <c r="EQ252" s="96">
        <f>IFERROR(VLOOKUP($B252,INDIRECT("'GRD-"&amp;EQ$11&amp;"'!B:R"),15,FALSE),"")</f>
        <v/>
      </c>
      <c r="ER252" s="96">
        <f>IFERROR(VLOOKUP($B252,INDIRECT("'GRD-"&amp;ER$11&amp;"'!B:R"),15,FALSE),"")</f>
        <v/>
      </c>
      <c r="ES252" s="96">
        <f>IFERROR(VLOOKUP($B252,INDIRECT("'GRD-"&amp;ES$11&amp;"'!B:R"),15,FALSE),"")</f>
        <v/>
      </c>
      <c r="ET252" s="96">
        <f>IFERROR(VLOOKUP($B252,INDIRECT("'GRD-"&amp;ET$11&amp;"'!B:R"),15,FALSE),"")</f>
        <v/>
      </c>
      <c r="EU252" s="96">
        <f>IFERROR(VLOOKUP($B252,INDIRECT("'GRD-"&amp;EU$11&amp;"'!B:R"),15,FALSE),"")</f>
        <v/>
      </c>
      <c r="EV252" s="96">
        <f>IFERROR(VLOOKUP($B252,INDIRECT("'GRD-"&amp;EV$11&amp;"'!B:R"),15,FALSE),"")</f>
        <v/>
      </c>
      <c r="EW252" s="96">
        <f>IFERROR(VLOOKUP($B252,INDIRECT("'GRD-"&amp;EW$11&amp;"'!B:R"),15,FALSE),"")</f>
        <v/>
      </c>
      <c r="EX252" s="96">
        <f>IFERROR(VLOOKUP($B252,INDIRECT("'GRD-"&amp;EX$11&amp;"'!B:R"),15,FALSE),"")</f>
        <v/>
      </c>
      <c r="EY252" s="96">
        <f>IFERROR(VLOOKUP($B252,INDIRECT("'GRD-"&amp;EY$11&amp;"'!B:R"),15,FALSE),"")</f>
        <v/>
      </c>
      <c r="EZ252" s="96">
        <f>IFERROR(VLOOKUP($B252,INDIRECT("'GRD-"&amp;EZ$11&amp;"'!B:R"),15,FALSE),"")</f>
        <v/>
      </c>
      <c r="FA252" s="96">
        <f>IFERROR(VLOOKUP($B252,INDIRECT("'GRD-"&amp;FA$11&amp;"'!B:R"),15,FALSE),"")</f>
        <v/>
      </c>
      <c r="FB252" s="96">
        <f>IFERROR(VLOOKUP($B252,INDIRECT("'GRD-"&amp;FB$11&amp;"'!B:R"),15,FALSE),"")</f>
        <v/>
      </c>
      <c r="FC252" s="96">
        <f>IFERROR(VLOOKUP($B252,INDIRECT("'GRD-"&amp;FC$11&amp;"'!B:R"),15,FALSE),"")</f>
        <v/>
      </c>
      <c r="FD252" s="96">
        <f>IFERROR(VLOOKUP($B252,INDIRECT("'GRD-"&amp;FD$11&amp;"'!B:R"),15,FALSE),"")</f>
        <v/>
      </c>
      <c r="FE252" s="96">
        <f>IFERROR(VLOOKUP($B252,INDIRECT("'GRD-"&amp;FE$11&amp;"'!B:R"),15,FALSE),"")</f>
        <v/>
      </c>
      <c r="FF252" s="96">
        <f>IFERROR(VLOOKUP($B252,INDIRECT("'GRD-"&amp;FF$11&amp;"'!B:R"),15,FALSE),"")</f>
        <v/>
      </c>
      <c r="FG252" s="96">
        <f>IFERROR(VLOOKUP($B252,INDIRECT("'GRD-"&amp;FG$11&amp;"'!B:R"),15,FALSE),"")</f>
        <v/>
      </c>
      <c r="FH252" s="96">
        <f>IFERROR(VLOOKUP($B252,INDIRECT("'GRD-"&amp;FH$11&amp;"'!B:R"),15,FALSE),"")</f>
        <v/>
      </c>
      <c r="FI252" s="96">
        <f>IFERROR(VLOOKUP($B252,INDIRECT("'GRD-"&amp;FI$11&amp;"'!B:R"),15,FALSE),"")</f>
        <v/>
      </c>
      <c r="FJ252" s="96">
        <f>IFERROR(VLOOKUP($B252,INDIRECT("'GRD-"&amp;FJ$11&amp;"'!B:R"),15,FALSE),"")</f>
        <v/>
      </c>
      <c r="FK252" s="96">
        <f>IFERROR(VLOOKUP($B252,INDIRECT("'GRD-"&amp;FK$11&amp;"'!B:R"),15,FALSE),"")</f>
        <v/>
      </c>
      <c r="FL252" s="96">
        <f>IFERROR(VLOOKUP($B252,INDIRECT("'GRD-"&amp;FL$11&amp;"'!B:R"),15,FALSE),"")</f>
        <v/>
      </c>
      <c r="FM252" s="96">
        <f>IFERROR(VLOOKUP($B252,INDIRECT("'GRD-"&amp;FM$11&amp;"'!B:R"),15,FALSE),"")</f>
        <v/>
      </c>
      <c r="FN252" s="96">
        <f>IFERROR(VLOOKUP($B252,INDIRECT("'GRD-"&amp;FN$11&amp;"'!B:R"),15,FALSE),"")</f>
        <v/>
      </c>
      <c r="FO252" s="96">
        <f>IFERROR(VLOOKUP($B252,INDIRECT("'GRD-"&amp;FO$11&amp;"'!B:R"),15,FALSE),"")</f>
        <v/>
      </c>
      <c r="FP252" s="96">
        <f>IFERROR(VLOOKUP($B252,INDIRECT("'GRD-"&amp;FP$11&amp;"'!B:R"),15,FALSE),"")</f>
        <v/>
      </c>
      <c r="FQ252" s="96">
        <f>IFERROR(VLOOKUP($B252,INDIRECT("'GRD-"&amp;FQ$11&amp;"'!B:R"),15,FALSE),"")</f>
        <v/>
      </c>
      <c r="FR252" s="96">
        <f>IFERROR(VLOOKUP($B252,INDIRECT("'GRD-"&amp;FR$11&amp;"'!B:R"),15,FALSE),"")</f>
        <v/>
      </c>
      <c r="FS252" s="96">
        <f>IFERROR(VLOOKUP($B252,INDIRECT("'GRD-"&amp;FS$11&amp;"'!B:R"),15,FALSE),"")</f>
        <v/>
      </c>
      <c r="FT252" s="96">
        <f>IFERROR(VLOOKUP($B252,INDIRECT("'GRD-"&amp;FT$11&amp;"'!B:R"),15,FALSE),"")</f>
        <v/>
      </c>
      <c r="FU252" s="96">
        <f>IFERROR(VLOOKUP($B252,INDIRECT("'GRD-"&amp;FU$11&amp;"'!B:R"),15,FALSE),"")</f>
        <v/>
      </c>
      <c r="FV252" s="96">
        <f>IFERROR(VLOOKUP($B252,INDIRECT("'GRD-"&amp;FV$11&amp;"'!B:R"),15,FALSE),"")</f>
        <v/>
      </c>
    </row>
    <row r="253">
      <c r="B253" s="85" t="n"/>
      <c r="C253" s="93" t="n"/>
      <c r="D253" s="73">
        <f>IF(K253="","",MAX($CA253:$FV253))</f>
        <v/>
      </c>
      <c r="E253" s="74">
        <f t="array" ref="E253">IF($K253="","",OFFSET($A$1,ROW($B253)-1,11+$D253*4,))</f>
        <v/>
      </c>
      <c r="F253" s="74">
        <f t="array" ref="F253">IF($K253="","",OFFSET($A$1,ROW($B253)-1,12+$D253*4,))</f>
        <v/>
      </c>
      <c r="G253" s="118">
        <f t="array" ref="G253">IF($K253="","",OFFSET($A$1,ROW($B253)-1,13+$D253*4,))</f>
        <v/>
      </c>
      <c r="H253" s="81" t="n"/>
      <c r="I253" s="82" t="n"/>
      <c r="J253" s="75">
        <f>IF(I253="A4",H253/8,IF(I253="A3",H253/4,IF(I253="A2",H253/2,IF(I253="A1",H253/1,IF(I253="A0",H253*2,"")))))</f>
        <v/>
      </c>
      <c r="K253" s="68">
        <f t="array" ref="K253">IFERROR(OFFSET($BZ$11,ROW($B253)-11,MATCH(K$10,$CA253:$FV253,0),),"")</f>
        <v/>
      </c>
      <c r="L253" s="85">
        <f>IF(K253="","",IF(VLOOKUP($B253,INDIRECT("'GRD-"&amp;M253&amp;"'!$B:$R"),16,FALSE)="","",VLOOKUP($B253,INDIRECT("'GRD-"&amp;M253&amp;"'!$B:$R"),16,FALSE)))</f>
        <v/>
      </c>
      <c r="M253" s="130">
        <f t="array" ref="M253">IF(K253="","",IFERROR(OFFSET($BZ$11,0,MATCH($K253,$CA253:$FV253,0),),""))</f>
        <v/>
      </c>
      <c r="N253" s="119">
        <f t="array" ref="N253">IF(K253="","",INDIRECT("'GRD-"&amp;M253&amp;"'!$L$7"))</f>
        <v/>
      </c>
      <c r="O253" s="76">
        <f t="array" ref="O253">IFERROR(OFFSET($BZ$11,ROW($B253)-11,MATCH(O$10,$CA253:$FV253,0),),"")</f>
        <v/>
      </c>
      <c r="P253" s="76">
        <f>IF(O253="","",IF(VLOOKUP($B253,INDIRECT("'GRD-"&amp;Q253&amp;"'!$B:$R"),16,FALSE)="","",VLOOKUP($B253,INDIRECT("'GRD-"&amp;Q253&amp;"'!$B:$R"),16,FALSE)))</f>
        <v/>
      </c>
      <c r="Q253" s="132">
        <f t="array" ref="Q253">IF(O253="","",IFERROR(OFFSET($BZ$11,0,MATCH($O253,$CA253:$FV253,0),),""))</f>
        <v/>
      </c>
      <c r="R253" s="121">
        <f t="array" ref="R253">IF(O253="","",INDIRECT("'GRD-"&amp;Q253&amp;"'!$L$7"))</f>
        <v/>
      </c>
      <c r="S253" s="83">
        <f t="array" ref="S253">IFERROR(OFFSET($BZ$11,ROW($B253)-11,MATCH(S$10,$CA253:$FV253,0),),"")</f>
        <v/>
      </c>
      <c r="T253" s="83">
        <f>IF(S253="","",IF(VLOOKUP($B253,INDIRECT("'GRD-"&amp;U253&amp;"'!$B:$R"),16,FALSE)="","",VLOOKUP($B253,INDIRECT("'GRD-"&amp;U253&amp;"'!$B:$R"),16,FALSE)))</f>
        <v/>
      </c>
      <c r="U253" s="128">
        <f t="array" ref="U253">IF(S253="","",IFERROR(OFFSET($BZ$11,0,MATCH($S253,$CA253:$FV253,0),),""))</f>
        <v/>
      </c>
      <c r="V253" s="133">
        <f t="array" ref="V253">IF(S253="","",INDIRECT("'GRD-"&amp;U253&amp;"'!$L$7"))</f>
        <v/>
      </c>
      <c r="W253" s="84">
        <f t="array" ref="W253">IFERROR(OFFSET($BZ$11,ROW($B253)-11,MATCH(W$10,$CA253:$FV253,0),),"")</f>
        <v/>
      </c>
      <c r="X253" s="84">
        <f>IF(W253="","",IF(VLOOKUP($B253,INDIRECT("'GRD-"&amp;Y253&amp;"'!$B:$R"),16,FALSE)="","",VLOOKUP($B253,INDIRECT("'GRD-"&amp;Y253&amp;"'!$B:$R"),16,FALSE)))</f>
        <v/>
      </c>
      <c r="Y253" s="129">
        <f t="array" ref="Y253">IF(W253="","",IFERROR(OFFSET($BZ$11,0,MATCH($W253,$CA253:$FV253,0),),""))</f>
        <v/>
      </c>
      <c r="Z253" s="134">
        <f t="array" ref="Z253">IF(W253="","",INDIRECT("'GRD-"&amp;Y253&amp;"'!$L$7"))</f>
        <v/>
      </c>
      <c r="AA253" s="85">
        <f t="array" ref="AA253">IFERROR(OFFSET($BZ$11,ROW($B253)-11,MATCH(AA$10,$CA253:$FV253,0),),"")</f>
        <v/>
      </c>
      <c r="AB253" s="85">
        <f>IF(AA253="","",IF(VLOOKUP($B253,INDIRECT("'GRD-"&amp;AC253&amp;"'!$B:$R"),16,FALSE)="","",VLOOKUP($B253,INDIRECT("'GRD-"&amp;AC253&amp;"'!$B:$R"),16,FALSE)))</f>
        <v/>
      </c>
      <c r="AC253" s="130">
        <f t="array" ref="AC253">IF(AA253="","",IFERROR(OFFSET($BZ$11,0,MATCH($AA253,$CA253:$FV253,0),),""))</f>
        <v/>
      </c>
      <c r="AD253" s="131">
        <f t="array" ref="AD253">IF(AA253="","",INDIRECT("'GRD-"&amp;AC253&amp;"'!$L$7"))</f>
        <v/>
      </c>
      <c r="AE253" s="76">
        <f t="array" ref="AE253">IFERROR(OFFSET($BZ$11,ROW($B253)-11,MATCH(AE$10,$CA253:$FV253,0),),"")</f>
        <v/>
      </c>
      <c r="AF253" s="76">
        <f>IF(AE253="","",IF(VLOOKUP($B253,INDIRECT("'GRD-"&amp;AG253&amp;"'!$B:$R"),16,FALSE)="","",VLOOKUP($B253,INDIRECT("'GRD-"&amp;AG253&amp;"'!$B:$R"),16,FALSE)))</f>
        <v/>
      </c>
      <c r="AG253" s="132">
        <f t="array" ref="AG253">IF(AE253="","",IFERROR(OFFSET($BZ$11,0,MATCH($AE253,$CA253:$FV253,0),),""))</f>
        <v/>
      </c>
      <c r="AH253" s="121">
        <f t="array" ref="AH253">IF(AE253="","",INDIRECT("'GRD-"&amp;AG253&amp;"'!$L$7"))</f>
        <v/>
      </c>
      <c r="AI253" s="83">
        <f t="array" ref="AI253">IFERROR(OFFSET($BZ$11,ROW($B253)-11,MATCH(AI$10,$CA253:$FV253,0),),"")</f>
        <v/>
      </c>
      <c r="AJ253" s="83">
        <f>IF(AI253="","",IF(VLOOKUP($B253,INDIRECT("'GRD-"&amp;AK253&amp;"'!$B:$R"),16,FALSE)="","",VLOOKUP($B253,INDIRECT("'GRD-"&amp;AK253&amp;"'!$B:$R"),16,FALSE)))</f>
        <v/>
      </c>
      <c r="AK253" s="128">
        <f t="array" ref="AK253">IF(AI253="","",IFERROR(OFFSET($BZ$11,0,MATCH($AI253,$CA253:$FV253,0),),""))</f>
        <v/>
      </c>
      <c r="AL253" s="133">
        <f t="array" ref="AL253">IF(AI253="","",INDIRECT("'GRD-"&amp;AK253&amp;"'!$L$7"))</f>
        <v/>
      </c>
      <c r="AM253" s="84">
        <f t="array" ref="AM253">IFERROR(OFFSET($BZ$11,ROW($B253)-11,MATCH(AM$10,$CA253:$FV253,0),),"")</f>
        <v/>
      </c>
      <c r="AN253" s="84">
        <f>IF(AM253="","",IF(VLOOKUP($B253,INDIRECT("'GRD-"&amp;AO253&amp;"'!$B:$R"),16,FALSE)="","",VLOOKUP($B253,INDIRECT("'GRD-"&amp;AO253&amp;"'!$B:$R"),16,FALSE)))</f>
        <v/>
      </c>
      <c r="AO253" s="129">
        <f t="array" ref="AO253">IF(AM253="","",IFERROR(OFFSET($BZ$11,0,MATCH($AM253,$CA253:$FV253,0),),""))</f>
        <v/>
      </c>
      <c r="AP253" s="134">
        <f t="array" ref="AP253">IF(AM253="","",INDIRECT("'GRD-"&amp;AO253&amp;"'!$L$7"))</f>
        <v/>
      </c>
      <c r="AQ253" s="85">
        <f t="array" ref="AQ253">IFERROR(OFFSET($BZ$11,ROW($B253)-11,MATCH(AQ$10,$CA253:$FV253,0),),"")</f>
        <v/>
      </c>
      <c r="AR253" s="85">
        <f>IF(AQ253="","",IF(VLOOKUP($B253,INDIRECT("'GRD-"&amp;AS253&amp;"'!$B:$R"),16,FALSE)="","",VLOOKUP($B253,INDIRECT("'GRD-"&amp;AS253&amp;"'!$B:$R"),16,FALSE)))</f>
        <v/>
      </c>
      <c r="AS253" s="130">
        <f t="array" ref="AS253">IF(AQ253="","",IFERROR(OFFSET($BZ$11,0,MATCH($AQ253,$CA253:$FV253,0),),""))</f>
        <v/>
      </c>
      <c r="AT253" s="131">
        <f t="array" ref="AT253">IF(AQ253="","",INDIRECT("'GRD-"&amp;AS253&amp;"'!$L$7"))</f>
        <v/>
      </c>
      <c r="AU253" s="76">
        <f t="array" ref="AU253">IFERROR(OFFSET($BZ$11,ROW($B253)-11,MATCH(AU$10,$CA253:$FV253,0),),"")</f>
        <v/>
      </c>
      <c r="AV253" s="76">
        <f>IF(AU253="","",IF(VLOOKUP($B253,INDIRECT("'GRD-"&amp;AW253&amp;"'!$B:$R"),16,FALSE)="","",VLOOKUP($B253,INDIRECT("'GRD-"&amp;AW253&amp;"'!$B:$R"),16,FALSE)))</f>
        <v/>
      </c>
      <c r="AW253" s="132">
        <f t="array" ref="AW253">IF(AU253="","",IFERROR(OFFSET($BZ$11,0,MATCH($AU253,$CA253:$FV253,0),),""))</f>
        <v/>
      </c>
      <c r="AX253" s="121">
        <f t="array" ref="AX253">IF(AU253="","",INDIRECT("'GRD-"&amp;AW253&amp;"'!$L$7"))</f>
        <v/>
      </c>
      <c r="AY253" s="83">
        <f t="array" ref="AY253">IFERROR(OFFSET($BZ$11,ROW($B253)-11,MATCH(AY$10,$CA253:$FV253,0),),"")</f>
        <v/>
      </c>
      <c r="AZ253" s="83">
        <f>IF(AY253="","",IF(VLOOKUP($B253,INDIRECT("'GRD-"&amp;BA253&amp;"'!$B:$R"),16,FALSE)="","",VLOOKUP($B253,INDIRECT("'GRD-"&amp;BA253&amp;"'!$B:$R"),16,FALSE)))</f>
        <v/>
      </c>
      <c r="BA253" s="128">
        <f t="array" ref="BA253">IF(AY253="","",IFERROR(OFFSET($BZ$11,0,MATCH($AY253,$CA253:$FV253,0),),""))</f>
        <v/>
      </c>
      <c r="BB253" s="133">
        <f t="array" ref="BB253">IF(AY253="","",INDIRECT("'GRD-"&amp;BA253&amp;"'!$L$7"))</f>
        <v/>
      </c>
      <c r="BC253" s="84">
        <f t="array" ref="BC253">IFERROR(OFFSET($BZ$11,ROW($B253)-11,MATCH(BC$10,$CA253:$FV253,0),),"")</f>
        <v/>
      </c>
      <c r="BD253" s="84">
        <f>IF(BC253="","",IF(VLOOKUP($B253,INDIRECT("'GRD-"&amp;BE253&amp;"'!$B:$R"),16,FALSE)="","",VLOOKUP($B253,INDIRECT("'GRD-"&amp;BE253&amp;"'!$B:$R"),16,FALSE)))</f>
        <v/>
      </c>
      <c r="BE253" s="129">
        <f t="array" ref="BE253">IF(BC253="","",IFERROR(OFFSET($BZ$11,0,MATCH($BC253,$CA253:$FV253,0),),""))</f>
        <v/>
      </c>
      <c r="BF253" s="134">
        <f t="array" ref="BF253">IF(BC253="","",INDIRECT("'GRD-"&amp;BE253&amp;"'!$L$7"))</f>
        <v/>
      </c>
      <c r="CA253" s="96">
        <f>IFERROR(VLOOKUP($B253,INDIRECT("'GRD-"&amp;CA$11&amp;"'!B:R"),15,FALSE),"")</f>
        <v/>
      </c>
      <c r="CB253" s="96">
        <f>IFERROR(VLOOKUP($B253,INDIRECT("'GRD-"&amp;CB$11&amp;"'!B:R"),15,FALSE),"")</f>
        <v/>
      </c>
      <c r="CC253" s="96">
        <f>IFERROR(VLOOKUP($B253,INDIRECT("'GRD-"&amp;CC$11&amp;"'!B:R"),15,FALSE),"")</f>
        <v/>
      </c>
      <c r="CD253" s="96">
        <f>IFERROR(VLOOKUP($B253,INDIRECT("'GRD-"&amp;CD$11&amp;"'!B:R"),15,FALSE),"")</f>
        <v/>
      </c>
      <c r="CE253" s="96">
        <f>IFERROR(VLOOKUP($B253,INDIRECT("'GRD-"&amp;CE$11&amp;"'!B:R"),15,FALSE),"")</f>
        <v/>
      </c>
      <c r="CF253" s="96">
        <f>IFERROR(VLOOKUP($B253,INDIRECT("'GRD-"&amp;CF$11&amp;"'!B:R"),15,FALSE),"")</f>
        <v/>
      </c>
      <c r="CG253" s="96">
        <f>IFERROR(VLOOKUP($B253,INDIRECT("'GRD-"&amp;CG$11&amp;"'!B:R"),15,FALSE),"")</f>
        <v/>
      </c>
      <c r="CH253" s="96">
        <f>IFERROR(VLOOKUP($B253,INDIRECT("'GRD-"&amp;CH$11&amp;"'!B:R"),15,FALSE),"")</f>
        <v/>
      </c>
      <c r="CI253" s="96">
        <f>IFERROR(VLOOKUP($B253,INDIRECT("'GRD-"&amp;CI$11&amp;"'!B:R"),15,FALSE),"")</f>
        <v/>
      </c>
      <c r="CJ253" s="96">
        <f>IFERROR(VLOOKUP($B253,INDIRECT("'GRD-"&amp;CJ$11&amp;"'!B:R"),15,FALSE),"")</f>
        <v/>
      </c>
      <c r="CK253" s="96">
        <f>IFERROR(VLOOKUP($B253,INDIRECT("'GRD-"&amp;CK$11&amp;"'!B:R"),15,FALSE),"")</f>
        <v/>
      </c>
      <c r="CL253" s="96">
        <f>IFERROR(VLOOKUP($B253,INDIRECT("'GRD-"&amp;CL$11&amp;"'!B:R"),15,FALSE),"")</f>
        <v/>
      </c>
      <c r="CM253" s="96">
        <f>IFERROR(VLOOKUP($B253,INDIRECT("'GRD-"&amp;CM$11&amp;"'!B:R"),15,FALSE),"")</f>
        <v/>
      </c>
      <c r="CN253" s="96">
        <f>IFERROR(VLOOKUP($B253,INDIRECT("'GRD-"&amp;CN$11&amp;"'!B:R"),15,FALSE),"")</f>
        <v/>
      </c>
      <c r="CO253" s="96">
        <f>IFERROR(VLOOKUP($B253,INDIRECT("'GRD-"&amp;CO$11&amp;"'!B:R"),15,FALSE),"")</f>
        <v/>
      </c>
      <c r="CP253" s="96">
        <f>IFERROR(VLOOKUP($B253,INDIRECT("'GRD-"&amp;CP$11&amp;"'!B:R"),15,FALSE),"")</f>
        <v/>
      </c>
      <c r="CQ253" s="96">
        <f>IFERROR(VLOOKUP($B253,INDIRECT("'GRD-"&amp;CQ$11&amp;"'!B:R"),15,FALSE),"")</f>
        <v/>
      </c>
      <c r="CR253" s="96">
        <f>IFERROR(VLOOKUP($B253,INDIRECT("'GRD-"&amp;CR$11&amp;"'!B:R"),15,FALSE),"")</f>
        <v/>
      </c>
      <c r="CS253" s="96">
        <f>IFERROR(VLOOKUP($B253,INDIRECT("'GRD-"&amp;CS$11&amp;"'!B:R"),15,FALSE),"")</f>
        <v/>
      </c>
      <c r="CT253" s="96">
        <f>IFERROR(VLOOKUP($B253,INDIRECT("'GRD-"&amp;CT$11&amp;"'!B:R"),15,FALSE),"")</f>
        <v/>
      </c>
      <c r="CU253" s="96">
        <f>IFERROR(VLOOKUP($B253,INDIRECT("'GRD-"&amp;CU$11&amp;"'!B:R"),15,FALSE),"")</f>
        <v/>
      </c>
      <c r="CV253" s="96">
        <f>IFERROR(VLOOKUP($B253,INDIRECT("'GRD-"&amp;CV$11&amp;"'!B:R"),15,FALSE),"")</f>
        <v/>
      </c>
      <c r="CW253" s="96">
        <f>IFERROR(VLOOKUP($B253,INDIRECT("'GRD-"&amp;CW$11&amp;"'!B:R"),15,FALSE),"")</f>
        <v/>
      </c>
      <c r="CX253" s="96">
        <f>IFERROR(VLOOKUP($B253,INDIRECT("'GRD-"&amp;CX$11&amp;"'!B:R"),15,FALSE),"")</f>
        <v/>
      </c>
      <c r="CY253" s="96">
        <f>IFERROR(VLOOKUP($B253,INDIRECT("'GRD-"&amp;CY$11&amp;"'!B:R"),15,FALSE),"")</f>
        <v/>
      </c>
      <c r="CZ253" s="96">
        <f>IFERROR(VLOOKUP($B253,INDIRECT("'GRD-"&amp;CZ$11&amp;"'!B:R"),15,FALSE),"")</f>
        <v/>
      </c>
      <c r="DA253" s="96">
        <f>IFERROR(VLOOKUP($B253,INDIRECT("'GRD-"&amp;DA$11&amp;"'!B:R"),15,FALSE),"")</f>
        <v/>
      </c>
      <c r="DB253" s="96">
        <f>IFERROR(VLOOKUP($B253,INDIRECT("'GRD-"&amp;DB$11&amp;"'!B:R"),15,FALSE),"")</f>
        <v/>
      </c>
      <c r="DC253" s="96">
        <f>IFERROR(VLOOKUP($B253,INDIRECT("'GRD-"&amp;DC$11&amp;"'!B:R"),15,FALSE),"")</f>
        <v/>
      </c>
      <c r="DD253" s="96">
        <f>IFERROR(VLOOKUP($B253,INDIRECT("'GRD-"&amp;DD$11&amp;"'!B:R"),15,FALSE),"")</f>
        <v/>
      </c>
      <c r="DE253" s="96">
        <f>IFERROR(VLOOKUP($B253,INDIRECT("'GRD-"&amp;DE$11&amp;"'!B:R"),15,FALSE),"")</f>
        <v/>
      </c>
      <c r="DF253" s="96">
        <f>IFERROR(VLOOKUP($B253,INDIRECT("'GRD-"&amp;DF$11&amp;"'!B:R"),15,FALSE),"")</f>
        <v/>
      </c>
      <c r="DG253" s="96">
        <f>IFERROR(VLOOKUP($B253,INDIRECT("'GRD-"&amp;DG$11&amp;"'!B:R"),15,FALSE),"")</f>
        <v/>
      </c>
      <c r="DH253" s="96">
        <f>IFERROR(VLOOKUP($B253,INDIRECT("'GRD-"&amp;DH$11&amp;"'!B:R"),15,FALSE),"")</f>
        <v/>
      </c>
      <c r="DI253" s="96">
        <f>IFERROR(VLOOKUP($B253,INDIRECT("'GRD-"&amp;DI$11&amp;"'!B:R"),15,FALSE),"")</f>
        <v/>
      </c>
      <c r="DJ253" s="96">
        <f>IFERROR(VLOOKUP($B253,INDIRECT("'GRD-"&amp;DJ$11&amp;"'!B:R"),15,FALSE),"")</f>
        <v/>
      </c>
      <c r="DK253" s="96">
        <f>IFERROR(VLOOKUP($B253,INDIRECT("'GRD-"&amp;DK$11&amp;"'!B:R"),15,FALSE),"")</f>
        <v/>
      </c>
      <c r="DL253" s="96">
        <f>IFERROR(VLOOKUP($B253,INDIRECT("'GRD-"&amp;DL$11&amp;"'!B:R"),15,FALSE),"")</f>
        <v/>
      </c>
      <c r="DM253" s="96">
        <f>IFERROR(VLOOKUP($B253,INDIRECT("'GRD-"&amp;DM$11&amp;"'!B:R"),15,FALSE),"")</f>
        <v/>
      </c>
      <c r="DN253" s="96">
        <f>IFERROR(VLOOKUP($B253,INDIRECT("'GRD-"&amp;DN$11&amp;"'!B:R"),15,FALSE),"")</f>
        <v/>
      </c>
      <c r="DO253" s="96">
        <f>IFERROR(VLOOKUP($B253,INDIRECT("'GRD-"&amp;DO$11&amp;"'!B:R"),15,FALSE),"")</f>
        <v/>
      </c>
      <c r="DP253" s="96">
        <f>IFERROR(VLOOKUP($B253,INDIRECT("'GRD-"&amp;DP$11&amp;"'!B:R"),15,FALSE),"")</f>
        <v/>
      </c>
      <c r="DQ253" s="96">
        <f>IFERROR(VLOOKUP($B253,INDIRECT("'GRD-"&amp;DQ$11&amp;"'!B:R"),15,FALSE),"")</f>
        <v/>
      </c>
      <c r="DR253" s="96">
        <f>IFERROR(VLOOKUP($B253,INDIRECT("'GRD-"&amp;DR$11&amp;"'!B:R"),15,FALSE),"")</f>
        <v/>
      </c>
      <c r="DS253" s="96">
        <f>IFERROR(VLOOKUP($B253,INDIRECT("'GRD-"&amp;DS$11&amp;"'!B:R"),15,FALSE),"")</f>
        <v/>
      </c>
      <c r="DT253" s="96">
        <f>IFERROR(VLOOKUP($B253,INDIRECT("'GRD-"&amp;DT$11&amp;"'!B:R"),15,FALSE),"")</f>
        <v/>
      </c>
      <c r="DU253" s="96">
        <f>IFERROR(VLOOKUP($B253,INDIRECT("'GRD-"&amp;DU$11&amp;"'!B:R"),15,FALSE),"")</f>
        <v/>
      </c>
      <c r="DV253" s="96">
        <f>IFERROR(VLOOKUP($B253,INDIRECT("'GRD-"&amp;DV$11&amp;"'!B:R"),15,FALSE),"")</f>
        <v/>
      </c>
      <c r="DW253" s="96">
        <f>IFERROR(VLOOKUP($B253,INDIRECT("'GRD-"&amp;DW$11&amp;"'!B:R"),15,FALSE),"")</f>
        <v/>
      </c>
      <c r="DX253" s="96">
        <f>IFERROR(VLOOKUP($B253,INDIRECT("'GRD-"&amp;DX$11&amp;"'!B:R"),15,FALSE),"")</f>
        <v/>
      </c>
      <c r="DY253" s="96">
        <f>IFERROR(VLOOKUP($B253,INDIRECT("'GRD-"&amp;DY$11&amp;"'!B:R"),15,FALSE),"")</f>
        <v/>
      </c>
      <c r="DZ253" s="96">
        <f>IFERROR(VLOOKUP($B253,INDIRECT("'GRD-"&amp;DZ$11&amp;"'!B:R"),15,FALSE),"")</f>
        <v/>
      </c>
      <c r="EA253" s="96">
        <f>IFERROR(VLOOKUP($B253,INDIRECT("'GRD-"&amp;EA$11&amp;"'!B:R"),15,FALSE),"")</f>
        <v/>
      </c>
      <c r="EB253" s="96">
        <f>IFERROR(VLOOKUP($B253,INDIRECT("'GRD-"&amp;EB$11&amp;"'!B:R"),15,FALSE),"")</f>
        <v/>
      </c>
      <c r="EC253" s="96">
        <f>IFERROR(VLOOKUP($B253,INDIRECT("'GRD-"&amp;EC$11&amp;"'!B:R"),15,FALSE),"")</f>
        <v/>
      </c>
      <c r="ED253" s="96">
        <f>IFERROR(VLOOKUP($B253,INDIRECT("'GRD-"&amp;ED$11&amp;"'!B:R"),15,FALSE),"")</f>
        <v/>
      </c>
      <c r="EE253" s="96">
        <f>IFERROR(VLOOKUP($B253,INDIRECT("'GRD-"&amp;EE$11&amp;"'!B:R"),15,FALSE),"")</f>
        <v/>
      </c>
      <c r="EF253" s="96">
        <f>IFERROR(VLOOKUP($B253,INDIRECT("'GRD-"&amp;EF$11&amp;"'!B:R"),15,FALSE),"")</f>
        <v/>
      </c>
      <c r="EG253" s="96">
        <f>IFERROR(VLOOKUP($B253,INDIRECT("'GRD-"&amp;EG$11&amp;"'!B:R"),15,FALSE),"")</f>
        <v/>
      </c>
      <c r="EH253" s="96">
        <f>IFERROR(VLOOKUP($B253,INDIRECT("'GRD-"&amp;EH$11&amp;"'!B:R"),15,FALSE),"")</f>
        <v/>
      </c>
      <c r="EI253" s="96">
        <f>IFERROR(VLOOKUP($B253,INDIRECT("'GRD-"&amp;EI$11&amp;"'!B:R"),15,FALSE),"")</f>
        <v/>
      </c>
      <c r="EJ253" s="96">
        <f>IFERROR(VLOOKUP($B253,INDIRECT("'GRD-"&amp;EJ$11&amp;"'!B:R"),15,FALSE),"")</f>
        <v/>
      </c>
      <c r="EK253" s="96">
        <f>IFERROR(VLOOKUP($B253,INDIRECT("'GRD-"&amp;EK$11&amp;"'!B:R"),15,FALSE),"")</f>
        <v/>
      </c>
      <c r="EL253" s="96">
        <f>IFERROR(VLOOKUP($B253,INDIRECT("'GRD-"&amp;EL$11&amp;"'!B:R"),15,FALSE),"")</f>
        <v/>
      </c>
      <c r="EM253" s="96">
        <f>IFERROR(VLOOKUP($B253,INDIRECT("'GRD-"&amp;EM$11&amp;"'!B:R"),15,FALSE),"")</f>
        <v/>
      </c>
      <c r="EN253" s="96">
        <f>IFERROR(VLOOKUP($B253,INDIRECT("'GRD-"&amp;EN$11&amp;"'!B:R"),15,FALSE),"")</f>
        <v/>
      </c>
      <c r="EO253" s="96">
        <f>IFERROR(VLOOKUP($B253,INDIRECT("'GRD-"&amp;EO$11&amp;"'!B:R"),15,FALSE),"")</f>
        <v/>
      </c>
      <c r="EP253" s="96">
        <f>IFERROR(VLOOKUP($B253,INDIRECT("'GRD-"&amp;EP$11&amp;"'!B:R"),15,FALSE),"")</f>
        <v/>
      </c>
      <c r="EQ253" s="96">
        <f>IFERROR(VLOOKUP($B253,INDIRECT("'GRD-"&amp;EQ$11&amp;"'!B:R"),15,FALSE),"")</f>
        <v/>
      </c>
      <c r="ER253" s="96">
        <f>IFERROR(VLOOKUP($B253,INDIRECT("'GRD-"&amp;ER$11&amp;"'!B:R"),15,FALSE),"")</f>
        <v/>
      </c>
      <c r="ES253" s="96">
        <f>IFERROR(VLOOKUP($B253,INDIRECT("'GRD-"&amp;ES$11&amp;"'!B:R"),15,FALSE),"")</f>
        <v/>
      </c>
      <c r="ET253" s="96">
        <f>IFERROR(VLOOKUP($B253,INDIRECT("'GRD-"&amp;ET$11&amp;"'!B:R"),15,FALSE),"")</f>
        <v/>
      </c>
      <c r="EU253" s="96">
        <f>IFERROR(VLOOKUP($B253,INDIRECT("'GRD-"&amp;EU$11&amp;"'!B:R"),15,FALSE),"")</f>
        <v/>
      </c>
      <c r="EV253" s="96">
        <f>IFERROR(VLOOKUP($B253,INDIRECT("'GRD-"&amp;EV$11&amp;"'!B:R"),15,FALSE),"")</f>
        <v/>
      </c>
      <c r="EW253" s="96">
        <f>IFERROR(VLOOKUP($B253,INDIRECT("'GRD-"&amp;EW$11&amp;"'!B:R"),15,FALSE),"")</f>
        <v/>
      </c>
      <c r="EX253" s="96">
        <f>IFERROR(VLOOKUP($B253,INDIRECT("'GRD-"&amp;EX$11&amp;"'!B:R"),15,FALSE),"")</f>
        <v/>
      </c>
      <c r="EY253" s="96">
        <f>IFERROR(VLOOKUP($B253,INDIRECT("'GRD-"&amp;EY$11&amp;"'!B:R"),15,FALSE),"")</f>
        <v/>
      </c>
      <c r="EZ253" s="96">
        <f>IFERROR(VLOOKUP($B253,INDIRECT("'GRD-"&amp;EZ$11&amp;"'!B:R"),15,FALSE),"")</f>
        <v/>
      </c>
      <c r="FA253" s="96">
        <f>IFERROR(VLOOKUP($B253,INDIRECT("'GRD-"&amp;FA$11&amp;"'!B:R"),15,FALSE),"")</f>
        <v/>
      </c>
      <c r="FB253" s="96">
        <f>IFERROR(VLOOKUP($B253,INDIRECT("'GRD-"&amp;FB$11&amp;"'!B:R"),15,FALSE),"")</f>
        <v/>
      </c>
      <c r="FC253" s="96">
        <f>IFERROR(VLOOKUP($B253,INDIRECT("'GRD-"&amp;FC$11&amp;"'!B:R"),15,FALSE),"")</f>
        <v/>
      </c>
      <c r="FD253" s="96">
        <f>IFERROR(VLOOKUP($B253,INDIRECT("'GRD-"&amp;FD$11&amp;"'!B:R"),15,FALSE),"")</f>
        <v/>
      </c>
      <c r="FE253" s="96">
        <f>IFERROR(VLOOKUP($B253,INDIRECT("'GRD-"&amp;FE$11&amp;"'!B:R"),15,FALSE),"")</f>
        <v/>
      </c>
      <c r="FF253" s="96">
        <f>IFERROR(VLOOKUP($B253,INDIRECT("'GRD-"&amp;FF$11&amp;"'!B:R"),15,FALSE),"")</f>
        <v/>
      </c>
      <c r="FG253" s="96">
        <f>IFERROR(VLOOKUP($B253,INDIRECT("'GRD-"&amp;FG$11&amp;"'!B:R"),15,FALSE),"")</f>
        <v/>
      </c>
      <c r="FH253" s="96">
        <f>IFERROR(VLOOKUP($B253,INDIRECT("'GRD-"&amp;FH$11&amp;"'!B:R"),15,FALSE),"")</f>
        <v/>
      </c>
      <c r="FI253" s="96">
        <f>IFERROR(VLOOKUP($B253,INDIRECT("'GRD-"&amp;FI$11&amp;"'!B:R"),15,FALSE),"")</f>
        <v/>
      </c>
      <c r="FJ253" s="96">
        <f>IFERROR(VLOOKUP($B253,INDIRECT("'GRD-"&amp;FJ$11&amp;"'!B:R"),15,FALSE),"")</f>
        <v/>
      </c>
      <c r="FK253" s="96">
        <f>IFERROR(VLOOKUP($B253,INDIRECT("'GRD-"&amp;FK$11&amp;"'!B:R"),15,FALSE),"")</f>
        <v/>
      </c>
      <c r="FL253" s="96">
        <f>IFERROR(VLOOKUP($B253,INDIRECT("'GRD-"&amp;FL$11&amp;"'!B:R"),15,FALSE),"")</f>
        <v/>
      </c>
      <c r="FM253" s="96">
        <f>IFERROR(VLOOKUP($B253,INDIRECT("'GRD-"&amp;FM$11&amp;"'!B:R"),15,FALSE),"")</f>
        <v/>
      </c>
      <c r="FN253" s="96">
        <f>IFERROR(VLOOKUP($B253,INDIRECT("'GRD-"&amp;FN$11&amp;"'!B:R"),15,FALSE),"")</f>
        <v/>
      </c>
      <c r="FO253" s="96">
        <f>IFERROR(VLOOKUP($B253,INDIRECT("'GRD-"&amp;FO$11&amp;"'!B:R"),15,FALSE),"")</f>
        <v/>
      </c>
      <c r="FP253" s="96">
        <f>IFERROR(VLOOKUP($B253,INDIRECT("'GRD-"&amp;FP$11&amp;"'!B:R"),15,FALSE),"")</f>
        <v/>
      </c>
      <c r="FQ253" s="96">
        <f>IFERROR(VLOOKUP($B253,INDIRECT("'GRD-"&amp;FQ$11&amp;"'!B:R"),15,FALSE),"")</f>
        <v/>
      </c>
      <c r="FR253" s="96">
        <f>IFERROR(VLOOKUP($B253,INDIRECT("'GRD-"&amp;FR$11&amp;"'!B:R"),15,FALSE),"")</f>
        <v/>
      </c>
      <c r="FS253" s="96">
        <f>IFERROR(VLOOKUP($B253,INDIRECT("'GRD-"&amp;FS$11&amp;"'!B:R"),15,FALSE),"")</f>
        <v/>
      </c>
      <c r="FT253" s="96">
        <f>IFERROR(VLOOKUP($B253,INDIRECT("'GRD-"&amp;FT$11&amp;"'!B:R"),15,FALSE),"")</f>
        <v/>
      </c>
      <c r="FU253" s="96">
        <f>IFERROR(VLOOKUP($B253,INDIRECT("'GRD-"&amp;FU$11&amp;"'!B:R"),15,FALSE),"")</f>
        <v/>
      </c>
      <c r="FV253" s="96">
        <f>IFERROR(VLOOKUP($B253,INDIRECT("'GRD-"&amp;FV$11&amp;"'!B:R"),15,FALSE),"")</f>
        <v/>
      </c>
    </row>
    <row r="254">
      <c r="B254" s="85" t="n"/>
      <c r="C254" s="93" t="n"/>
      <c r="D254" s="73">
        <f>IF(K254="","",MAX($CA254:$FV254))</f>
        <v/>
      </c>
      <c r="E254" s="74">
        <f t="array" ref="E254">IF($K254="","",OFFSET($A$1,ROW($B254)-1,11+$D254*4,))</f>
        <v/>
      </c>
      <c r="F254" s="74">
        <f t="array" ref="F254">IF($K254="","",OFFSET($A$1,ROW($B254)-1,12+$D254*4,))</f>
        <v/>
      </c>
      <c r="G254" s="118">
        <f t="array" ref="G254">IF($K254="","",OFFSET($A$1,ROW($B254)-1,13+$D254*4,))</f>
        <v/>
      </c>
      <c r="H254" s="81" t="n"/>
      <c r="I254" s="82" t="n"/>
      <c r="J254" s="75">
        <f>IF(I254="A4",H254/8,IF(I254="A3",H254/4,IF(I254="A2",H254/2,IF(I254="A1",H254/1,IF(I254="A0",H254*2,"")))))</f>
        <v/>
      </c>
      <c r="K254" s="68">
        <f t="array" ref="K254">IFERROR(OFFSET($BZ$11,ROW($B254)-11,MATCH(K$10,$CA254:$FV254,0),),"")</f>
        <v/>
      </c>
      <c r="L254" s="85">
        <f>IF(K254="","",IF(VLOOKUP($B254,INDIRECT("'GRD-"&amp;M254&amp;"'!$B:$R"),16,FALSE)="","",VLOOKUP($B254,INDIRECT("'GRD-"&amp;M254&amp;"'!$B:$R"),16,FALSE)))</f>
        <v/>
      </c>
      <c r="M254" s="130">
        <f t="array" ref="M254">IF(K254="","",IFERROR(OFFSET($BZ$11,0,MATCH($K254,$CA254:$FV254,0),),""))</f>
        <v/>
      </c>
      <c r="N254" s="119">
        <f t="array" ref="N254">IF(K254="","",INDIRECT("'GRD-"&amp;M254&amp;"'!$L$7"))</f>
        <v/>
      </c>
      <c r="O254" s="76">
        <f t="array" ref="O254">IFERROR(OFFSET($BZ$11,ROW($B254)-11,MATCH(O$10,$CA254:$FV254,0),),"")</f>
        <v/>
      </c>
      <c r="P254" s="76">
        <f>IF(O254="","",IF(VLOOKUP($B254,INDIRECT("'GRD-"&amp;Q254&amp;"'!$B:$R"),16,FALSE)="","",VLOOKUP($B254,INDIRECT("'GRD-"&amp;Q254&amp;"'!$B:$R"),16,FALSE)))</f>
        <v/>
      </c>
      <c r="Q254" s="132">
        <f t="array" ref="Q254">IF(O254="","",IFERROR(OFFSET($BZ$11,0,MATCH($O254,$CA254:$FV254,0),),""))</f>
        <v/>
      </c>
      <c r="R254" s="121">
        <f t="array" ref="R254">IF(O254="","",INDIRECT("'GRD-"&amp;Q254&amp;"'!$L$7"))</f>
        <v/>
      </c>
      <c r="S254" s="83">
        <f t="array" ref="S254">IFERROR(OFFSET($BZ$11,ROW($B254)-11,MATCH(S$10,$CA254:$FV254,0),),"")</f>
        <v/>
      </c>
      <c r="T254" s="83">
        <f>IF(S254="","",IF(VLOOKUP($B254,INDIRECT("'GRD-"&amp;U254&amp;"'!$B:$R"),16,FALSE)="","",VLOOKUP($B254,INDIRECT("'GRD-"&amp;U254&amp;"'!$B:$R"),16,FALSE)))</f>
        <v/>
      </c>
      <c r="U254" s="128">
        <f t="array" ref="U254">IF(S254="","",IFERROR(OFFSET($BZ$11,0,MATCH($S254,$CA254:$FV254,0),),""))</f>
        <v/>
      </c>
      <c r="V254" s="133">
        <f t="array" ref="V254">IF(S254="","",INDIRECT("'GRD-"&amp;U254&amp;"'!$L$7"))</f>
        <v/>
      </c>
      <c r="W254" s="84">
        <f t="array" ref="W254">IFERROR(OFFSET($BZ$11,ROW($B254)-11,MATCH(W$10,$CA254:$FV254,0),),"")</f>
        <v/>
      </c>
      <c r="X254" s="84">
        <f>IF(W254="","",IF(VLOOKUP($B254,INDIRECT("'GRD-"&amp;Y254&amp;"'!$B:$R"),16,FALSE)="","",VLOOKUP($B254,INDIRECT("'GRD-"&amp;Y254&amp;"'!$B:$R"),16,FALSE)))</f>
        <v/>
      </c>
      <c r="Y254" s="129">
        <f t="array" ref="Y254">IF(W254="","",IFERROR(OFFSET($BZ$11,0,MATCH($W254,$CA254:$FV254,0),),""))</f>
        <v/>
      </c>
      <c r="Z254" s="134">
        <f t="array" ref="Z254">IF(W254="","",INDIRECT("'GRD-"&amp;Y254&amp;"'!$L$7"))</f>
        <v/>
      </c>
      <c r="AA254" s="85">
        <f t="array" ref="AA254">IFERROR(OFFSET($BZ$11,ROW($B254)-11,MATCH(AA$10,$CA254:$FV254,0),),"")</f>
        <v/>
      </c>
      <c r="AB254" s="85">
        <f>IF(AA254="","",IF(VLOOKUP($B254,INDIRECT("'GRD-"&amp;AC254&amp;"'!$B:$R"),16,FALSE)="","",VLOOKUP($B254,INDIRECT("'GRD-"&amp;AC254&amp;"'!$B:$R"),16,FALSE)))</f>
        <v/>
      </c>
      <c r="AC254" s="130">
        <f t="array" ref="AC254">IF(AA254="","",IFERROR(OFFSET($BZ$11,0,MATCH($AA254,$CA254:$FV254,0),),""))</f>
        <v/>
      </c>
      <c r="AD254" s="131">
        <f t="array" ref="AD254">IF(AA254="","",INDIRECT("'GRD-"&amp;AC254&amp;"'!$L$7"))</f>
        <v/>
      </c>
      <c r="AE254" s="76">
        <f t="array" ref="AE254">IFERROR(OFFSET($BZ$11,ROW($B254)-11,MATCH(AE$10,$CA254:$FV254,0),),"")</f>
        <v/>
      </c>
      <c r="AF254" s="76">
        <f>IF(AE254="","",IF(VLOOKUP($B254,INDIRECT("'GRD-"&amp;AG254&amp;"'!$B:$R"),16,FALSE)="","",VLOOKUP($B254,INDIRECT("'GRD-"&amp;AG254&amp;"'!$B:$R"),16,FALSE)))</f>
        <v/>
      </c>
      <c r="AG254" s="132">
        <f t="array" ref="AG254">IF(AE254="","",IFERROR(OFFSET($BZ$11,0,MATCH($AE254,$CA254:$FV254,0),),""))</f>
        <v/>
      </c>
      <c r="AH254" s="121">
        <f t="array" ref="AH254">IF(AE254="","",INDIRECT("'GRD-"&amp;AG254&amp;"'!$L$7"))</f>
        <v/>
      </c>
      <c r="AI254" s="83">
        <f t="array" ref="AI254">IFERROR(OFFSET($BZ$11,ROW($B254)-11,MATCH(AI$10,$CA254:$FV254,0),),"")</f>
        <v/>
      </c>
      <c r="AJ254" s="83">
        <f>IF(AI254="","",IF(VLOOKUP($B254,INDIRECT("'GRD-"&amp;AK254&amp;"'!$B:$R"),16,FALSE)="","",VLOOKUP($B254,INDIRECT("'GRD-"&amp;AK254&amp;"'!$B:$R"),16,FALSE)))</f>
        <v/>
      </c>
      <c r="AK254" s="128">
        <f t="array" ref="AK254">IF(AI254="","",IFERROR(OFFSET($BZ$11,0,MATCH($AI254,$CA254:$FV254,0),),""))</f>
        <v/>
      </c>
      <c r="AL254" s="133">
        <f t="array" ref="AL254">IF(AI254="","",INDIRECT("'GRD-"&amp;AK254&amp;"'!$L$7"))</f>
        <v/>
      </c>
      <c r="AM254" s="84">
        <f t="array" ref="AM254">IFERROR(OFFSET($BZ$11,ROW($B254)-11,MATCH(AM$10,$CA254:$FV254,0),),"")</f>
        <v/>
      </c>
      <c r="AN254" s="84">
        <f>IF(AM254="","",IF(VLOOKUP($B254,INDIRECT("'GRD-"&amp;AO254&amp;"'!$B:$R"),16,FALSE)="","",VLOOKUP($B254,INDIRECT("'GRD-"&amp;AO254&amp;"'!$B:$R"),16,FALSE)))</f>
        <v/>
      </c>
      <c r="AO254" s="129">
        <f t="array" ref="AO254">IF(AM254="","",IFERROR(OFFSET($BZ$11,0,MATCH($AM254,$CA254:$FV254,0),),""))</f>
        <v/>
      </c>
      <c r="AP254" s="134">
        <f t="array" ref="AP254">IF(AM254="","",INDIRECT("'GRD-"&amp;AO254&amp;"'!$L$7"))</f>
        <v/>
      </c>
      <c r="AQ254" s="85">
        <f t="array" ref="AQ254">IFERROR(OFFSET($BZ$11,ROW($B254)-11,MATCH(AQ$10,$CA254:$FV254,0),),"")</f>
        <v/>
      </c>
      <c r="AR254" s="85">
        <f>IF(AQ254="","",IF(VLOOKUP($B254,INDIRECT("'GRD-"&amp;AS254&amp;"'!$B:$R"),16,FALSE)="","",VLOOKUP($B254,INDIRECT("'GRD-"&amp;AS254&amp;"'!$B:$R"),16,FALSE)))</f>
        <v/>
      </c>
      <c r="AS254" s="130">
        <f t="array" ref="AS254">IF(AQ254="","",IFERROR(OFFSET($BZ$11,0,MATCH($AQ254,$CA254:$FV254,0),),""))</f>
        <v/>
      </c>
      <c r="AT254" s="131">
        <f t="array" ref="AT254">IF(AQ254="","",INDIRECT("'GRD-"&amp;AS254&amp;"'!$L$7"))</f>
        <v/>
      </c>
      <c r="AU254" s="76">
        <f t="array" ref="AU254">IFERROR(OFFSET($BZ$11,ROW($B254)-11,MATCH(AU$10,$CA254:$FV254,0),),"")</f>
        <v/>
      </c>
      <c r="AV254" s="76">
        <f>IF(AU254="","",IF(VLOOKUP($B254,INDIRECT("'GRD-"&amp;AW254&amp;"'!$B:$R"),16,FALSE)="","",VLOOKUP($B254,INDIRECT("'GRD-"&amp;AW254&amp;"'!$B:$R"),16,FALSE)))</f>
        <v/>
      </c>
      <c r="AW254" s="132">
        <f t="array" ref="AW254">IF(AU254="","",IFERROR(OFFSET($BZ$11,0,MATCH($AU254,$CA254:$FV254,0),),""))</f>
        <v/>
      </c>
      <c r="AX254" s="121">
        <f t="array" ref="AX254">IF(AU254="","",INDIRECT("'GRD-"&amp;AW254&amp;"'!$L$7"))</f>
        <v/>
      </c>
      <c r="AY254" s="83">
        <f t="array" ref="AY254">IFERROR(OFFSET($BZ$11,ROW($B254)-11,MATCH(AY$10,$CA254:$FV254,0),),"")</f>
        <v/>
      </c>
      <c r="AZ254" s="83">
        <f>IF(AY254="","",IF(VLOOKUP($B254,INDIRECT("'GRD-"&amp;BA254&amp;"'!$B:$R"),16,FALSE)="","",VLOOKUP($B254,INDIRECT("'GRD-"&amp;BA254&amp;"'!$B:$R"),16,FALSE)))</f>
        <v/>
      </c>
      <c r="BA254" s="128">
        <f t="array" ref="BA254">IF(AY254="","",IFERROR(OFFSET($BZ$11,0,MATCH($AY254,$CA254:$FV254,0),),""))</f>
        <v/>
      </c>
      <c r="BB254" s="133">
        <f t="array" ref="BB254">IF(AY254="","",INDIRECT("'GRD-"&amp;BA254&amp;"'!$L$7"))</f>
        <v/>
      </c>
      <c r="BC254" s="84">
        <f t="array" ref="BC254">IFERROR(OFFSET($BZ$11,ROW($B254)-11,MATCH(BC$10,$CA254:$FV254,0),),"")</f>
        <v/>
      </c>
      <c r="BD254" s="84">
        <f>IF(BC254="","",IF(VLOOKUP($B254,INDIRECT("'GRD-"&amp;BE254&amp;"'!$B:$R"),16,FALSE)="","",VLOOKUP($B254,INDIRECT("'GRD-"&amp;BE254&amp;"'!$B:$R"),16,FALSE)))</f>
        <v/>
      </c>
      <c r="BE254" s="129">
        <f t="array" ref="BE254">IF(BC254="","",IFERROR(OFFSET($BZ$11,0,MATCH($BC254,$CA254:$FV254,0),),""))</f>
        <v/>
      </c>
      <c r="BF254" s="134">
        <f t="array" ref="BF254">IF(BC254="","",INDIRECT("'GRD-"&amp;BE254&amp;"'!$L$7"))</f>
        <v/>
      </c>
      <c r="CA254" s="96">
        <f>IFERROR(VLOOKUP($B254,INDIRECT("'GRD-"&amp;CA$11&amp;"'!B:R"),15,FALSE),"")</f>
        <v/>
      </c>
      <c r="CB254" s="96">
        <f>IFERROR(VLOOKUP($B254,INDIRECT("'GRD-"&amp;CB$11&amp;"'!B:R"),15,FALSE),"")</f>
        <v/>
      </c>
      <c r="CC254" s="96">
        <f>IFERROR(VLOOKUP($B254,INDIRECT("'GRD-"&amp;CC$11&amp;"'!B:R"),15,FALSE),"")</f>
        <v/>
      </c>
      <c r="CD254" s="96">
        <f>IFERROR(VLOOKUP($B254,INDIRECT("'GRD-"&amp;CD$11&amp;"'!B:R"),15,FALSE),"")</f>
        <v/>
      </c>
      <c r="CE254" s="96">
        <f>IFERROR(VLOOKUP($B254,INDIRECT("'GRD-"&amp;CE$11&amp;"'!B:R"),15,FALSE),"")</f>
        <v/>
      </c>
      <c r="CF254" s="96">
        <f>IFERROR(VLOOKUP($B254,INDIRECT("'GRD-"&amp;CF$11&amp;"'!B:R"),15,FALSE),"")</f>
        <v/>
      </c>
      <c r="CG254" s="96">
        <f>IFERROR(VLOOKUP($B254,INDIRECT("'GRD-"&amp;CG$11&amp;"'!B:R"),15,FALSE),"")</f>
        <v/>
      </c>
      <c r="CH254" s="96">
        <f>IFERROR(VLOOKUP($B254,INDIRECT("'GRD-"&amp;CH$11&amp;"'!B:R"),15,FALSE),"")</f>
        <v/>
      </c>
      <c r="CI254" s="96">
        <f>IFERROR(VLOOKUP($B254,INDIRECT("'GRD-"&amp;CI$11&amp;"'!B:R"),15,FALSE),"")</f>
        <v/>
      </c>
      <c r="CJ254" s="96">
        <f>IFERROR(VLOOKUP($B254,INDIRECT("'GRD-"&amp;CJ$11&amp;"'!B:R"),15,FALSE),"")</f>
        <v/>
      </c>
      <c r="CK254" s="96">
        <f>IFERROR(VLOOKUP($B254,INDIRECT("'GRD-"&amp;CK$11&amp;"'!B:R"),15,FALSE),"")</f>
        <v/>
      </c>
      <c r="CL254" s="96">
        <f>IFERROR(VLOOKUP($B254,INDIRECT("'GRD-"&amp;CL$11&amp;"'!B:R"),15,FALSE),"")</f>
        <v/>
      </c>
      <c r="CM254" s="96">
        <f>IFERROR(VLOOKUP($B254,INDIRECT("'GRD-"&amp;CM$11&amp;"'!B:R"),15,FALSE),"")</f>
        <v/>
      </c>
      <c r="CN254" s="96">
        <f>IFERROR(VLOOKUP($B254,INDIRECT("'GRD-"&amp;CN$11&amp;"'!B:R"),15,FALSE),"")</f>
        <v/>
      </c>
      <c r="CO254" s="96">
        <f>IFERROR(VLOOKUP($B254,INDIRECT("'GRD-"&amp;CO$11&amp;"'!B:R"),15,FALSE),"")</f>
        <v/>
      </c>
      <c r="CP254" s="96">
        <f>IFERROR(VLOOKUP($B254,INDIRECT("'GRD-"&amp;CP$11&amp;"'!B:R"),15,FALSE),"")</f>
        <v/>
      </c>
      <c r="CQ254" s="96">
        <f>IFERROR(VLOOKUP($B254,INDIRECT("'GRD-"&amp;CQ$11&amp;"'!B:R"),15,FALSE),"")</f>
        <v/>
      </c>
      <c r="CR254" s="96">
        <f>IFERROR(VLOOKUP($B254,INDIRECT("'GRD-"&amp;CR$11&amp;"'!B:R"),15,FALSE),"")</f>
        <v/>
      </c>
      <c r="CS254" s="96">
        <f>IFERROR(VLOOKUP($B254,INDIRECT("'GRD-"&amp;CS$11&amp;"'!B:R"),15,FALSE),"")</f>
        <v/>
      </c>
      <c r="CT254" s="96">
        <f>IFERROR(VLOOKUP($B254,INDIRECT("'GRD-"&amp;CT$11&amp;"'!B:R"),15,FALSE),"")</f>
        <v/>
      </c>
      <c r="CU254" s="96">
        <f>IFERROR(VLOOKUP($B254,INDIRECT("'GRD-"&amp;CU$11&amp;"'!B:R"),15,FALSE),"")</f>
        <v/>
      </c>
      <c r="CV254" s="96">
        <f>IFERROR(VLOOKUP($B254,INDIRECT("'GRD-"&amp;CV$11&amp;"'!B:R"),15,FALSE),"")</f>
        <v/>
      </c>
      <c r="CW254" s="96">
        <f>IFERROR(VLOOKUP($B254,INDIRECT("'GRD-"&amp;CW$11&amp;"'!B:R"),15,FALSE),"")</f>
        <v/>
      </c>
      <c r="CX254" s="96">
        <f>IFERROR(VLOOKUP($B254,INDIRECT("'GRD-"&amp;CX$11&amp;"'!B:R"),15,FALSE),"")</f>
        <v/>
      </c>
      <c r="CY254" s="96">
        <f>IFERROR(VLOOKUP($B254,INDIRECT("'GRD-"&amp;CY$11&amp;"'!B:R"),15,FALSE),"")</f>
        <v/>
      </c>
      <c r="CZ254" s="96">
        <f>IFERROR(VLOOKUP($B254,INDIRECT("'GRD-"&amp;CZ$11&amp;"'!B:R"),15,FALSE),"")</f>
        <v/>
      </c>
      <c r="DA254" s="96">
        <f>IFERROR(VLOOKUP($B254,INDIRECT("'GRD-"&amp;DA$11&amp;"'!B:R"),15,FALSE),"")</f>
        <v/>
      </c>
      <c r="DB254" s="96">
        <f>IFERROR(VLOOKUP($B254,INDIRECT("'GRD-"&amp;DB$11&amp;"'!B:R"),15,FALSE),"")</f>
        <v/>
      </c>
      <c r="DC254" s="96">
        <f>IFERROR(VLOOKUP($B254,INDIRECT("'GRD-"&amp;DC$11&amp;"'!B:R"),15,FALSE),"")</f>
        <v/>
      </c>
      <c r="DD254" s="96">
        <f>IFERROR(VLOOKUP($B254,INDIRECT("'GRD-"&amp;DD$11&amp;"'!B:R"),15,FALSE),"")</f>
        <v/>
      </c>
      <c r="DE254" s="96">
        <f>IFERROR(VLOOKUP($B254,INDIRECT("'GRD-"&amp;DE$11&amp;"'!B:R"),15,FALSE),"")</f>
        <v/>
      </c>
      <c r="DF254" s="96">
        <f>IFERROR(VLOOKUP($B254,INDIRECT("'GRD-"&amp;DF$11&amp;"'!B:R"),15,FALSE),"")</f>
        <v/>
      </c>
      <c r="DG254" s="96">
        <f>IFERROR(VLOOKUP($B254,INDIRECT("'GRD-"&amp;DG$11&amp;"'!B:R"),15,FALSE),"")</f>
        <v/>
      </c>
      <c r="DH254" s="96">
        <f>IFERROR(VLOOKUP($B254,INDIRECT("'GRD-"&amp;DH$11&amp;"'!B:R"),15,FALSE),"")</f>
        <v/>
      </c>
      <c r="DI254" s="96">
        <f>IFERROR(VLOOKUP($B254,INDIRECT("'GRD-"&amp;DI$11&amp;"'!B:R"),15,FALSE),"")</f>
        <v/>
      </c>
      <c r="DJ254" s="96">
        <f>IFERROR(VLOOKUP($B254,INDIRECT("'GRD-"&amp;DJ$11&amp;"'!B:R"),15,FALSE),"")</f>
        <v/>
      </c>
      <c r="DK254" s="96">
        <f>IFERROR(VLOOKUP($B254,INDIRECT("'GRD-"&amp;DK$11&amp;"'!B:R"),15,FALSE),"")</f>
        <v/>
      </c>
      <c r="DL254" s="96">
        <f>IFERROR(VLOOKUP($B254,INDIRECT("'GRD-"&amp;DL$11&amp;"'!B:R"),15,FALSE),"")</f>
        <v/>
      </c>
      <c r="DM254" s="96">
        <f>IFERROR(VLOOKUP($B254,INDIRECT("'GRD-"&amp;DM$11&amp;"'!B:R"),15,FALSE),"")</f>
        <v/>
      </c>
      <c r="DN254" s="96">
        <f>IFERROR(VLOOKUP($B254,INDIRECT("'GRD-"&amp;DN$11&amp;"'!B:R"),15,FALSE),"")</f>
        <v/>
      </c>
      <c r="DO254" s="96">
        <f>IFERROR(VLOOKUP($B254,INDIRECT("'GRD-"&amp;DO$11&amp;"'!B:R"),15,FALSE),"")</f>
        <v/>
      </c>
      <c r="DP254" s="96">
        <f>IFERROR(VLOOKUP($B254,INDIRECT("'GRD-"&amp;DP$11&amp;"'!B:R"),15,FALSE),"")</f>
        <v/>
      </c>
      <c r="DQ254" s="96">
        <f>IFERROR(VLOOKUP($B254,INDIRECT("'GRD-"&amp;DQ$11&amp;"'!B:R"),15,FALSE),"")</f>
        <v/>
      </c>
      <c r="DR254" s="96">
        <f>IFERROR(VLOOKUP($B254,INDIRECT("'GRD-"&amp;DR$11&amp;"'!B:R"),15,FALSE),"")</f>
        <v/>
      </c>
      <c r="DS254" s="96">
        <f>IFERROR(VLOOKUP($B254,INDIRECT("'GRD-"&amp;DS$11&amp;"'!B:R"),15,FALSE),"")</f>
        <v/>
      </c>
      <c r="DT254" s="96">
        <f>IFERROR(VLOOKUP($B254,INDIRECT("'GRD-"&amp;DT$11&amp;"'!B:R"),15,FALSE),"")</f>
        <v/>
      </c>
      <c r="DU254" s="96">
        <f>IFERROR(VLOOKUP($B254,INDIRECT("'GRD-"&amp;DU$11&amp;"'!B:R"),15,FALSE),"")</f>
        <v/>
      </c>
      <c r="DV254" s="96">
        <f>IFERROR(VLOOKUP($B254,INDIRECT("'GRD-"&amp;DV$11&amp;"'!B:R"),15,FALSE),"")</f>
        <v/>
      </c>
      <c r="DW254" s="96">
        <f>IFERROR(VLOOKUP($B254,INDIRECT("'GRD-"&amp;DW$11&amp;"'!B:R"),15,FALSE),"")</f>
        <v/>
      </c>
      <c r="DX254" s="96">
        <f>IFERROR(VLOOKUP($B254,INDIRECT("'GRD-"&amp;DX$11&amp;"'!B:R"),15,FALSE),"")</f>
        <v/>
      </c>
      <c r="DY254" s="96">
        <f>IFERROR(VLOOKUP($B254,INDIRECT("'GRD-"&amp;DY$11&amp;"'!B:R"),15,FALSE),"")</f>
        <v/>
      </c>
      <c r="DZ254" s="96">
        <f>IFERROR(VLOOKUP($B254,INDIRECT("'GRD-"&amp;DZ$11&amp;"'!B:R"),15,FALSE),"")</f>
        <v/>
      </c>
      <c r="EA254" s="96">
        <f>IFERROR(VLOOKUP($B254,INDIRECT("'GRD-"&amp;EA$11&amp;"'!B:R"),15,FALSE),"")</f>
        <v/>
      </c>
      <c r="EB254" s="96">
        <f>IFERROR(VLOOKUP($B254,INDIRECT("'GRD-"&amp;EB$11&amp;"'!B:R"),15,FALSE),"")</f>
        <v/>
      </c>
      <c r="EC254" s="96">
        <f>IFERROR(VLOOKUP($B254,INDIRECT("'GRD-"&amp;EC$11&amp;"'!B:R"),15,FALSE),"")</f>
        <v/>
      </c>
      <c r="ED254" s="96">
        <f>IFERROR(VLOOKUP($B254,INDIRECT("'GRD-"&amp;ED$11&amp;"'!B:R"),15,FALSE),"")</f>
        <v/>
      </c>
      <c r="EE254" s="96">
        <f>IFERROR(VLOOKUP($B254,INDIRECT("'GRD-"&amp;EE$11&amp;"'!B:R"),15,FALSE),"")</f>
        <v/>
      </c>
      <c r="EF254" s="96">
        <f>IFERROR(VLOOKUP($B254,INDIRECT("'GRD-"&amp;EF$11&amp;"'!B:R"),15,FALSE),"")</f>
        <v/>
      </c>
      <c r="EG254" s="96">
        <f>IFERROR(VLOOKUP($B254,INDIRECT("'GRD-"&amp;EG$11&amp;"'!B:R"),15,FALSE),"")</f>
        <v/>
      </c>
      <c r="EH254" s="96">
        <f>IFERROR(VLOOKUP($B254,INDIRECT("'GRD-"&amp;EH$11&amp;"'!B:R"),15,FALSE),"")</f>
        <v/>
      </c>
      <c r="EI254" s="96">
        <f>IFERROR(VLOOKUP($B254,INDIRECT("'GRD-"&amp;EI$11&amp;"'!B:R"),15,FALSE),"")</f>
        <v/>
      </c>
      <c r="EJ254" s="96">
        <f>IFERROR(VLOOKUP($B254,INDIRECT("'GRD-"&amp;EJ$11&amp;"'!B:R"),15,FALSE),"")</f>
        <v/>
      </c>
      <c r="EK254" s="96">
        <f>IFERROR(VLOOKUP($B254,INDIRECT("'GRD-"&amp;EK$11&amp;"'!B:R"),15,FALSE),"")</f>
        <v/>
      </c>
      <c r="EL254" s="96">
        <f>IFERROR(VLOOKUP($B254,INDIRECT("'GRD-"&amp;EL$11&amp;"'!B:R"),15,FALSE),"")</f>
        <v/>
      </c>
      <c r="EM254" s="96">
        <f>IFERROR(VLOOKUP($B254,INDIRECT("'GRD-"&amp;EM$11&amp;"'!B:R"),15,FALSE),"")</f>
        <v/>
      </c>
      <c r="EN254" s="96">
        <f>IFERROR(VLOOKUP($B254,INDIRECT("'GRD-"&amp;EN$11&amp;"'!B:R"),15,FALSE),"")</f>
        <v/>
      </c>
      <c r="EO254" s="96">
        <f>IFERROR(VLOOKUP($B254,INDIRECT("'GRD-"&amp;EO$11&amp;"'!B:R"),15,FALSE),"")</f>
        <v/>
      </c>
      <c r="EP254" s="96">
        <f>IFERROR(VLOOKUP($B254,INDIRECT("'GRD-"&amp;EP$11&amp;"'!B:R"),15,FALSE),"")</f>
        <v/>
      </c>
      <c r="EQ254" s="96">
        <f>IFERROR(VLOOKUP($B254,INDIRECT("'GRD-"&amp;EQ$11&amp;"'!B:R"),15,FALSE),"")</f>
        <v/>
      </c>
      <c r="ER254" s="96">
        <f>IFERROR(VLOOKUP($B254,INDIRECT("'GRD-"&amp;ER$11&amp;"'!B:R"),15,FALSE),"")</f>
        <v/>
      </c>
      <c r="ES254" s="96">
        <f>IFERROR(VLOOKUP($B254,INDIRECT("'GRD-"&amp;ES$11&amp;"'!B:R"),15,FALSE),"")</f>
        <v/>
      </c>
      <c r="ET254" s="96">
        <f>IFERROR(VLOOKUP($B254,INDIRECT("'GRD-"&amp;ET$11&amp;"'!B:R"),15,FALSE),"")</f>
        <v/>
      </c>
      <c r="EU254" s="96">
        <f>IFERROR(VLOOKUP($B254,INDIRECT("'GRD-"&amp;EU$11&amp;"'!B:R"),15,FALSE),"")</f>
        <v/>
      </c>
      <c r="EV254" s="96">
        <f>IFERROR(VLOOKUP($B254,INDIRECT("'GRD-"&amp;EV$11&amp;"'!B:R"),15,FALSE),"")</f>
        <v/>
      </c>
      <c r="EW254" s="96">
        <f>IFERROR(VLOOKUP($B254,INDIRECT("'GRD-"&amp;EW$11&amp;"'!B:R"),15,FALSE),"")</f>
        <v/>
      </c>
      <c r="EX254" s="96">
        <f>IFERROR(VLOOKUP($B254,INDIRECT("'GRD-"&amp;EX$11&amp;"'!B:R"),15,FALSE),"")</f>
        <v/>
      </c>
      <c r="EY254" s="96">
        <f>IFERROR(VLOOKUP($B254,INDIRECT("'GRD-"&amp;EY$11&amp;"'!B:R"),15,FALSE),"")</f>
        <v/>
      </c>
      <c r="EZ254" s="96">
        <f>IFERROR(VLOOKUP($B254,INDIRECT("'GRD-"&amp;EZ$11&amp;"'!B:R"),15,FALSE),"")</f>
        <v/>
      </c>
      <c r="FA254" s="96">
        <f>IFERROR(VLOOKUP($B254,INDIRECT("'GRD-"&amp;FA$11&amp;"'!B:R"),15,FALSE),"")</f>
        <v/>
      </c>
      <c r="FB254" s="96">
        <f>IFERROR(VLOOKUP($B254,INDIRECT("'GRD-"&amp;FB$11&amp;"'!B:R"),15,FALSE),"")</f>
        <v/>
      </c>
      <c r="FC254" s="96">
        <f>IFERROR(VLOOKUP($B254,INDIRECT("'GRD-"&amp;FC$11&amp;"'!B:R"),15,FALSE),"")</f>
        <v/>
      </c>
      <c r="FD254" s="96">
        <f>IFERROR(VLOOKUP($B254,INDIRECT("'GRD-"&amp;FD$11&amp;"'!B:R"),15,FALSE),"")</f>
        <v/>
      </c>
      <c r="FE254" s="96">
        <f>IFERROR(VLOOKUP($B254,INDIRECT("'GRD-"&amp;FE$11&amp;"'!B:R"),15,FALSE),"")</f>
        <v/>
      </c>
      <c r="FF254" s="96">
        <f>IFERROR(VLOOKUP($B254,INDIRECT("'GRD-"&amp;FF$11&amp;"'!B:R"),15,FALSE),"")</f>
        <v/>
      </c>
      <c r="FG254" s="96">
        <f>IFERROR(VLOOKUP($B254,INDIRECT("'GRD-"&amp;FG$11&amp;"'!B:R"),15,FALSE),"")</f>
        <v/>
      </c>
      <c r="FH254" s="96">
        <f>IFERROR(VLOOKUP($B254,INDIRECT("'GRD-"&amp;FH$11&amp;"'!B:R"),15,FALSE),"")</f>
        <v/>
      </c>
      <c r="FI254" s="96">
        <f>IFERROR(VLOOKUP($B254,INDIRECT("'GRD-"&amp;FI$11&amp;"'!B:R"),15,FALSE),"")</f>
        <v/>
      </c>
      <c r="FJ254" s="96">
        <f>IFERROR(VLOOKUP($B254,INDIRECT("'GRD-"&amp;FJ$11&amp;"'!B:R"),15,FALSE),"")</f>
        <v/>
      </c>
      <c r="FK254" s="96">
        <f>IFERROR(VLOOKUP($B254,INDIRECT("'GRD-"&amp;FK$11&amp;"'!B:R"),15,FALSE),"")</f>
        <v/>
      </c>
      <c r="FL254" s="96">
        <f>IFERROR(VLOOKUP($B254,INDIRECT("'GRD-"&amp;FL$11&amp;"'!B:R"),15,FALSE),"")</f>
        <v/>
      </c>
      <c r="FM254" s="96">
        <f>IFERROR(VLOOKUP($B254,INDIRECT("'GRD-"&amp;FM$11&amp;"'!B:R"),15,FALSE),"")</f>
        <v/>
      </c>
      <c r="FN254" s="96">
        <f>IFERROR(VLOOKUP($B254,INDIRECT("'GRD-"&amp;FN$11&amp;"'!B:R"),15,FALSE),"")</f>
        <v/>
      </c>
      <c r="FO254" s="96">
        <f>IFERROR(VLOOKUP($B254,INDIRECT("'GRD-"&amp;FO$11&amp;"'!B:R"),15,FALSE),"")</f>
        <v/>
      </c>
      <c r="FP254" s="96">
        <f>IFERROR(VLOOKUP($B254,INDIRECT("'GRD-"&amp;FP$11&amp;"'!B:R"),15,FALSE),"")</f>
        <v/>
      </c>
      <c r="FQ254" s="96">
        <f>IFERROR(VLOOKUP($B254,INDIRECT("'GRD-"&amp;FQ$11&amp;"'!B:R"),15,FALSE),"")</f>
        <v/>
      </c>
      <c r="FR254" s="96">
        <f>IFERROR(VLOOKUP($B254,INDIRECT("'GRD-"&amp;FR$11&amp;"'!B:R"),15,FALSE),"")</f>
        <v/>
      </c>
      <c r="FS254" s="96">
        <f>IFERROR(VLOOKUP($B254,INDIRECT("'GRD-"&amp;FS$11&amp;"'!B:R"),15,FALSE),"")</f>
        <v/>
      </c>
      <c r="FT254" s="96">
        <f>IFERROR(VLOOKUP($B254,INDIRECT("'GRD-"&amp;FT$11&amp;"'!B:R"),15,FALSE),"")</f>
        <v/>
      </c>
      <c r="FU254" s="96">
        <f>IFERROR(VLOOKUP($B254,INDIRECT("'GRD-"&amp;FU$11&amp;"'!B:R"),15,FALSE),"")</f>
        <v/>
      </c>
      <c r="FV254" s="96">
        <f>IFERROR(VLOOKUP($B254,INDIRECT("'GRD-"&amp;FV$11&amp;"'!B:R"),15,FALSE),"")</f>
        <v/>
      </c>
    </row>
    <row r="255">
      <c r="B255" s="85" t="n"/>
      <c r="C255" s="93" t="n"/>
      <c r="D255" s="73">
        <f>IF(K255="","",MAX($CA255:$FV255))</f>
        <v/>
      </c>
      <c r="E255" s="74">
        <f t="array" ref="E255">IF($K255="","",OFFSET($A$1,ROW($B255)-1,11+$D255*4,))</f>
        <v/>
      </c>
      <c r="F255" s="74">
        <f t="array" ref="F255">IF($K255="","",OFFSET($A$1,ROW($B255)-1,12+$D255*4,))</f>
        <v/>
      </c>
      <c r="G255" s="118">
        <f t="array" ref="G255">IF($K255="","",OFFSET($A$1,ROW($B255)-1,13+$D255*4,))</f>
        <v/>
      </c>
      <c r="H255" s="81" t="n"/>
      <c r="I255" s="82" t="n"/>
      <c r="J255" s="75">
        <f>IF(I255="A4",H255/8,IF(I255="A3",H255/4,IF(I255="A2",H255/2,IF(I255="A1",H255/1,IF(I255="A0",H255*2,"")))))</f>
        <v/>
      </c>
      <c r="K255" s="68">
        <f t="array" ref="K255">IFERROR(OFFSET($BZ$11,ROW($B255)-11,MATCH(K$10,$CA255:$FV255,0),),"")</f>
        <v/>
      </c>
      <c r="L255" s="85">
        <f>IF(K255="","",IF(VLOOKUP($B255,INDIRECT("'GRD-"&amp;M255&amp;"'!$B:$R"),16,FALSE)="","",VLOOKUP($B255,INDIRECT("'GRD-"&amp;M255&amp;"'!$B:$R"),16,FALSE)))</f>
        <v/>
      </c>
      <c r="M255" s="130">
        <f t="array" ref="M255">IF(K255="","",IFERROR(OFFSET($BZ$11,0,MATCH($K255,$CA255:$FV255,0),),""))</f>
        <v/>
      </c>
      <c r="N255" s="119">
        <f t="array" ref="N255">IF(K255="","",INDIRECT("'GRD-"&amp;M255&amp;"'!$L$7"))</f>
        <v/>
      </c>
      <c r="O255" s="76">
        <f t="array" ref="O255">IFERROR(OFFSET($BZ$11,ROW($B255)-11,MATCH(O$10,$CA255:$FV255,0),),"")</f>
        <v/>
      </c>
      <c r="P255" s="76">
        <f>IF(O255="","",IF(VLOOKUP($B255,INDIRECT("'GRD-"&amp;Q255&amp;"'!$B:$R"),16,FALSE)="","",VLOOKUP($B255,INDIRECT("'GRD-"&amp;Q255&amp;"'!$B:$R"),16,FALSE)))</f>
        <v/>
      </c>
      <c r="Q255" s="132">
        <f t="array" ref="Q255">IF(O255="","",IFERROR(OFFSET($BZ$11,0,MATCH($O255,$CA255:$FV255,0),),""))</f>
        <v/>
      </c>
      <c r="R255" s="121">
        <f t="array" ref="R255">IF(O255="","",INDIRECT("'GRD-"&amp;Q255&amp;"'!$L$7"))</f>
        <v/>
      </c>
      <c r="S255" s="83">
        <f t="array" ref="S255">IFERROR(OFFSET($BZ$11,ROW($B255)-11,MATCH(S$10,$CA255:$FV255,0),),"")</f>
        <v/>
      </c>
      <c r="T255" s="83">
        <f>IF(S255="","",IF(VLOOKUP($B255,INDIRECT("'GRD-"&amp;U255&amp;"'!$B:$R"),16,FALSE)="","",VLOOKUP($B255,INDIRECT("'GRD-"&amp;U255&amp;"'!$B:$R"),16,FALSE)))</f>
        <v/>
      </c>
      <c r="U255" s="128">
        <f t="array" ref="U255">IF(S255="","",IFERROR(OFFSET($BZ$11,0,MATCH($S255,$CA255:$FV255,0),),""))</f>
        <v/>
      </c>
      <c r="V255" s="133">
        <f t="array" ref="V255">IF(S255="","",INDIRECT("'GRD-"&amp;U255&amp;"'!$L$7"))</f>
        <v/>
      </c>
      <c r="W255" s="84">
        <f t="array" ref="W255">IFERROR(OFFSET($BZ$11,ROW($B255)-11,MATCH(W$10,$CA255:$FV255,0),),"")</f>
        <v/>
      </c>
      <c r="X255" s="84">
        <f>IF(W255="","",IF(VLOOKUP($B255,INDIRECT("'GRD-"&amp;Y255&amp;"'!$B:$R"),16,FALSE)="","",VLOOKUP($B255,INDIRECT("'GRD-"&amp;Y255&amp;"'!$B:$R"),16,FALSE)))</f>
        <v/>
      </c>
      <c r="Y255" s="129">
        <f t="array" ref="Y255">IF(W255="","",IFERROR(OFFSET($BZ$11,0,MATCH($W255,$CA255:$FV255,0),),""))</f>
        <v/>
      </c>
      <c r="Z255" s="134">
        <f t="array" ref="Z255">IF(W255="","",INDIRECT("'GRD-"&amp;Y255&amp;"'!$L$7"))</f>
        <v/>
      </c>
      <c r="AA255" s="85">
        <f t="array" ref="AA255">IFERROR(OFFSET($BZ$11,ROW($B255)-11,MATCH(AA$10,$CA255:$FV255,0),),"")</f>
        <v/>
      </c>
      <c r="AB255" s="85">
        <f>IF(AA255="","",IF(VLOOKUP($B255,INDIRECT("'GRD-"&amp;AC255&amp;"'!$B:$R"),16,FALSE)="","",VLOOKUP($B255,INDIRECT("'GRD-"&amp;AC255&amp;"'!$B:$R"),16,FALSE)))</f>
        <v/>
      </c>
      <c r="AC255" s="130">
        <f t="array" ref="AC255">IF(AA255="","",IFERROR(OFFSET($BZ$11,0,MATCH($AA255,$CA255:$FV255,0),),""))</f>
        <v/>
      </c>
      <c r="AD255" s="131">
        <f t="array" ref="AD255">IF(AA255="","",INDIRECT("'GRD-"&amp;AC255&amp;"'!$L$7"))</f>
        <v/>
      </c>
      <c r="AE255" s="76">
        <f t="array" ref="AE255">IFERROR(OFFSET($BZ$11,ROW($B255)-11,MATCH(AE$10,$CA255:$FV255,0),),"")</f>
        <v/>
      </c>
      <c r="AF255" s="76">
        <f>IF(AE255="","",IF(VLOOKUP($B255,INDIRECT("'GRD-"&amp;AG255&amp;"'!$B:$R"),16,FALSE)="","",VLOOKUP($B255,INDIRECT("'GRD-"&amp;AG255&amp;"'!$B:$R"),16,FALSE)))</f>
        <v/>
      </c>
      <c r="AG255" s="132">
        <f t="array" ref="AG255">IF(AE255="","",IFERROR(OFFSET($BZ$11,0,MATCH($AE255,$CA255:$FV255,0),),""))</f>
        <v/>
      </c>
      <c r="AH255" s="121">
        <f t="array" ref="AH255">IF(AE255="","",INDIRECT("'GRD-"&amp;AG255&amp;"'!$L$7"))</f>
        <v/>
      </c>
      <c r="AI255" s="83">
        <f t="array" ref="AI255">IFERROR(OFFSET($BZ$11,ROW($B255)-11,MATCH(AI$10,$CA255:$FV255,0),),"")</f>
        <v/>
      </c>
      <c r="AJ255" s="83">
        <f>IF(AI255="","",IF(VLOOKUP($B255,INDIRECT("'GRD-"&amp;AK255&amp;"'!$B:$R"),16,FALSE)="","",VLOOKUP($B255,INDIRECT("'GRD-"&amp;AK255&amp;"'!$B:$R"),16,FALSE)))</f>
        <v/>
      </c>
      <c r="AK255" s="128">
        <f t="array" ref="AK255">IF(AI255="","",IFERROR(OFFSET($BZ$11,0,MATCH($AI255,$CA255:$FV255,0),),""))</f>
        <v/>
      </c>
      <c r="AL255" s="133">
        <f t="array" ref="AL255">IF(AI255="","",INDIRECT("'GRD-"&amp;AK255&amp;"'!$L$7"))</f>
        <v/>
      </c>
      <c r="AM255" s="84">
        <f t="array" ref="AM255">IFERROR(OFFSET($BZ$11,ROW($B255)-11,MATCH(AM$10,$CA255:$FV255,0),),"")</f>
        <v/>
      </c>
      <c r="AN255" s="84">
        <f>IF(AM255="","",IF(VLOOKUP($B255,INDIRECT("'GRD-"&amp;AO255&amp;"'!$B:$R"),16,FALSE)="","",VLOOKUP($B255,INDIRECT("'GRD-"&amp;AO255&amp;"'!$B:$R"),16,FALSE)))</f>
        <v/>
      </c>
      <c r="AO255" s="129">
        <f t="array" ref="AO255">IF(AM255="","",IFERROR(OFFSET($BZ$11,0,MATCH($AM255,$CA255:$FV255,0),),""))</f>
        <v/>
      </c>
      <c r="AP255" s="134">
        <f t="array" ref="AP255">IF(AM255="","",INDIRECT("'GRD-"&amp;AO255&amp;"'!$L$7"))</f>
        <v/>
      </c>
      <c r="AQ255" s="85">
        <f t="array" ref="AQ255">IFERROR(OFFSET($BZ$11,ROW($B255)-11,MATCH(AQ$10,$CA255:$FV255,0),),"")</f>
        <v/>
      </c>
      <c r="AR255" s="85">
        <f>IF(AQ255="","",IF(VLOOKUP($B255,INDIRECT("'GRD-"&amp;AS255&amp;"'!$B:$R"),16,FALSE)="","",VLOOKUP($B255,INDIRECT("'GRD-"&amp;AS255&amp;"'!$B:$R"),16,FALSE)))</f>
        <v/>
      </c>
      <c r="AS255" s="130">
        <f t="array" ref="AS255">IF(AQ255="","",IFERROR(OFFSET($BZ$11,0,MATCH($AQ255,$CA255:$FV255,0),),""))</f>
        <v/>
      </c>
      <c r="AT255" s="131">
        <f t="array" ref="AT255">IF(AQ255="","",INDIRECT("'GRD-"&amp;AS255&amp;"'!$L$7"))</f>
        <v/>
      </c>
      <c r="AU255" s="76">
        <f t="array" ref="AU255">IFERROR(OFFSET($BZ$11,ROW($B255)-11,MATCH(AU$10,$CA255:$FV255,0),),"")</f>
        <v/>
      </c>
      <c r="AV255" s="76">
        <f>IF(AU255="","",IF(VLOOKUP($B255,INDIRECT("'GRD-"&amp;AW255&amp;"'!$B:$R"),16,FALSE)="","",VLOOKUP($B255,INDIRECT("'GRD-"&amp;AW255&amp;"'!$B:$R"),16,FALSE)))</f>
        <v/>
      </c>
      <c r="AW255" s="132">
        <f t="array" ref="AW255">IF(AU255="","",IFERROR(OFFSET($BZ$11,0,MATCH($AU255,$CA255:$FV255,0),),""))</f>
        <v/>
      </c>
      <c r="AX255" s="121">
        <f t="array" ref="AX255">IF(AU255="","",INDIRECT("'GRD-"&amp;AW255&amp;"'!$L$7"))</f>
        <v/>
      </c>
      <c r="AY255" s="83">
        <f t="array" ref="AY255">IFERROR(OFFSET($BZ$11,ROW($B255)-11,MATCH(AY$10,$CA255:$FV255,0),),"")</f>
        <v/>
      </c>
      <c r="AZ255" s="83">
        <f>IF(AY255="","",IF(VLOOKUP($B255,INDIRECT("'GRD-"&amp;BA255&amp;"'!$B:$R"),16,FALSE)="","",VLOOKUP($B255,INDIRECT("'GRD-"&amp;BA255&amp;"'!$B:$R"),16,FALSE)))</f>
        <v/>
      </c>
      <c r="BA255" s="128">
        <f t="array" ref="BA255">IF(AY255="","",IFERROR(OFFSET($BZ$11,0,MATCH($AY255,$CA255:$FV255,0),),""))</f>
        <v/>
      </c>
      <c r="BB255" s="133">
        <f t="array" ref="BB255">IF(AY255="","",INDIRECT("'GRD-"&amp;BA255&amp;"'!$L$7"))</f>
        <v/>
      </c>
      <c r="BC255" s="84">
        <f t="array" ref="BC255">IFERROR(OFFSET($BZ$11,ROW($B255)-11,MATCH(BC$10,$CA255:$FV255,0),),"")</f>
        <v/>
      </c>
      <c r="BD255" s="84">
        <f>IF(BC255="","",IF(VLOOKUP($B255,INDIRECT("'GRD-"&amp;BE255&amp;"'!$B:$R"),16,FALSE)="","",VLOOKUP($B255,INDIRECT("'GRD-"&amp;BE255&amp;"'!$B:$R"),16,FALSE)))</f>
        <v/>
      </c>
      <c r="BE255" s="129">
        <f t="array" ref="BE255">IF(BC255="","",IFERROR(OFFSET($BZ$11,0,MATCH($BC255,$CA255:$FV255,0),),""))</f>
        <v/>
      </c>
      <c r="BF255" s="134">
        <f t="array" ref="BF255">IF(BC255="","",INDIRECT("'GRD-"&amp;BE255&amp;"'!$L$7"))</f>
        <v/>
      </c>
      <c r="CA255" s="96">
        <f>IFERROR(VLOOKUP($B255,INDIRECT("'GRD-"&amp;CA$11&amp;"'!B:R"),15,FALSE),"")</f>
        <v/>
      </c>
      <c r="CB255" s="96">
        <f>IFERROR(VLOOKUP($B255,INDIRECT("'GRD-"&amp;CB$11&amp;"'!B:R"),15,FALSE),"")</f>
        <v/>
      </c>
      <c r="CC255" s="96">
        <f>IFERROR(VLOOKUP($B255,INDIRECT("'GRD-"&amp;CC$11&amp;"'!B:R"),15,FALSE),"")</f>
        <v/>
      </c>
      <c r="CD255" s="96">
        <f>IFERROR(VLOOKUP($B255,INDIRECT("'GRD-"&amp;CD$11&amp;"'!B:R"),15,FALSE),"")</f>
        <v/>
      </c>
      <c r="CE255" s="96">
        <f>IFERROR(VLOOKUP($B255,INDIRECT("'GRD-"&amp;CE$11&amp;"'!B:R"),15,FALSE),"")</f>
        <v/>
      </c>
      <c r="CF255" s="96">
        <f>IFERROR(VLOOKUP($B255,INDIRECT("'GRD-"&amp;CF$11&amp;"'!B:R"),15,FALSE),"")</f>
        <v/>
      </c>
      <c r="CG255" s="96">
        <f>IFERROR(VLOOKUP($B255,INDIRECT("'GRD-"&amp;CG$11&amp;"'!B:R"),15,FALSE),"")</f>
        <v/>
      </c>
      <c r="CH255" s="96">
        <f>IFERROR(VLOOKUP($B255,INDIRECT("'GRD-"&amp;CH$11&amp;"'!B:R"),15,FALSE),"")</f>
        <v/>
      </c>
      <c r="CI255" s="96">
        <f>IFERROR(VLOOKUP($B255,INDIRECT("'GRD-"&amp;CI$11&amp;"'!B:R"),15,FALSE),"")</f>
        <v/>
      </c>
      <c r="CJ255" s="96">
        <f>IFERROR(VLOOKUP($B255,INDIRECT("'GRD-"&amp;CJ$11&amp;"'!B:R"),15,FALSE),"")</f>
        <v/>
      </c>
      <c r="CK255" s="96">
        <f>IFERROR(VLOOKUP($B255,INDIRECT("'GRD-"&amp;CK$11&amp;"'!B:R"),15,FALSE),"")</f>
        <v/>
      </c>
      <c r="CL255" s="96">
        <f>IFERROR(VLOOKUP($B255,INDIRECT("'GRD-"&amp;CL$11&amp;"'!B:R"),15,FALSE),"")</f>
        <v/>
      </c>
      <c r="CM255" s="96">
        <f>IFERROR(VLOOKUP($B255,INDIRECT("'GRD-"&amp;CM$11&amp;"'!B:R"),15,FALSE),"")</f>
        <v/>
      </c>
      <c r="CN255" s="96">
        <f>IFERROR(VLOOKUP($B255,INDIRECT("'GRD-"&amp;CN$11&amp;"'!B:R"),15,FALSE),"")</f>
        <v/>
      </c>
      <c r="CO255" s="96">
        <f>IFERROR(VLOOKUP($B255,INDIRECT("'GRD-"&amp;CO$11&amp;"'!B:R"),15,FALSE),"")</f>
        <v/>
      </c>
      <c r="CP255" s="96">
        <f>IFERROR(VLOOKUP($B255,INDIRECT("'GRD-"&amp;CP$11&amp;"'!B:R"),15,FALSE),"")</f>
        <v/>
      </c>
      <c r="CQ255" s="96">
        <f>IFERROR(VLOOKUP($B255,INDIRECT("'GRD-"&amp;CQ$11&amp;"'!B:R"),15,FALSE),"")</f>
        <v/>
      </c>
      <c r="CR255" s="96">
        <f>IFERROR(VLOOKUP($B255,INDIRECT("'GRD-"&amp;CR$11&amp;"'!B:R"),15,FALSE),"")</f>
        <v/>
      </c>
      <c r="CS255" s="96">
        <f>IFERROR(VLOOKUP($B255,INDIRECT("'GRD-"&amp;CS$11&amp;"'!B:R"),15,FALSE),"")</f>
        <v/>
      </c>
      <c r="CT255" s="96">
        <f>IFERROR(VLOOKUP($B255,INDIRECT("'GRD-"&amp;CT$11&amp;"'!B:R"),15,FALSE),"")</f>
        <v/>
      </c>
      <c r="CU255" s="96">
        <f>IFERROR(VLOOKUP($B255,INDIRECT("'GRD-"&amp;CU$11&amp;"'!B:R"),15,FALSE),"")</f>
        <v/>
      </c>
      <c r="CV255" s="96">
        <f>IFERROR(VLOOKUP($B255,INDIRECT("'GRD-"&amp;CV$11&amp;"'!B:R"),15,FALSE),"")</f>
        <v/>
      </c>
      <c r="CW255" s="96">
        <f>IFERROR(VLOOKUP($B255,INDIRECT("'GRD-"&amp;CW$11&amp;"'!B:R"),15,FALSE),"")</f>
        <v/>
      </c>
      <c r="CX255" s="96">
        <f>IFERROR(VLOOKUP($B255,INDIRECT("'GRD-"&amp;CX$11&amp;"'!B:R"),15,FALSE),"")</f>
        <v/>
      </c>
      <c r="CY255" s="96">
        <f>IFERROR(VLOOKUP($B255,INDIRECT("'GRD-"&amp;CY$11&amp;"'!B:R"),15,FALSE),"")</f>
        <v/>
      </c>
      <c r="CZ255" s="96">
        <f>IFERROR(VLOOKUP($B255,INDIRECT("'GRD-"&amp;CZ$11&amp;"'!B:R"),15,FALSE),"")</f>
        <v/>
      </c>
      <c r="DA255" s="96">
        <f>IFERROR(VLOOKUP($B255,INDIRECT("'GRD-"&amp;DA$11&amp;"'!B:R"),15,FALSE),"")</f>
        <v/>
      </c>
      <c r="DB255" s="96">
        <f>IFERROR(VLOOKUP($B255,INDIRECT("'GRD-"&amp;DB$11&amp;"'!B:R"),15,FALSE),"")</f>
        <v/>
      </c>
      <c r="DC255" s="96">
        <f>IFERROR(VLOOKUP($B255,INDIRECT("'GRD-"&amp;DC$11&amp;"'!B:R"),15,FALSE),"")</f>
        <v/>
      </c>
      <c r="DD255" s="96">
        <f>IFERROR(VLOOKUP($B255,INDIRECT("'GRD-"&amp;DD$11&amp;"'!B:R"),15,FALSE),"")</f>
        <v/>
      </c>
      <c r="DE255" s="96">
        <f>IFERROR(VLOOKUP($B255,INDIRECT("'GRD-"&amp;DE$11&amp;"'!B:R"),15,FALSE),"")</f>
        <v/>
      </c>
      <c r="DF255" s="96">
        <f>IFERROR(VLOOKUP($B255,INDIRECT("'GRD-"&amp;DF$11&amp;"'!B:R"),15,FALSE),"")</f>
        <v/>
      </c>
      <c r="DG255" s="96">
        <f>IFERROR(VLOOKUP($B255,INDIRECT("'GRD-"&amp;DG$11&amp;"'!B:R"),15,FALSE),"")</f>
        <v/>
      </c>
      <c r="DH255" s="96">
        <f>IFERROR(VLOOKUP($B255,INDIRECT("'GRD-"&amp;DH$11&amp;"'!B:R"),15,FALSE),"")</f>
        <v/>
      </c>
      <c r="DI255" s="96">
        <f>IFERROR(VLOOKUP($B255,INDIRECT("'GRD-"&amp;DI$11&amp;"'!B:R"),15,FALSE),"")</f>
        <v/>
      </c>
      <c r="DJ255" s="96">
        <f>IFERROR(VLOOKUP($B255,INDIRECT("'GRD-"&amp;DJ$11&amp;"'!B:R"),15,FALSE),"")</f>
        <v/>
      </c>
      <c r="DK255" s="96">
        <f>IFERROR(VLOOKUP($B255,INDIRECT("'GRD-"&amp;DK$11&amp;"'!B:R"),15,FALSE),"")</f>
        <v/>
      </c>
      <c r="DL255" s="96">
        <f>IFERROR(VLOOKUP($B255,INDIRECT("'GRD-"&amp;DL$11&amp;"'!B:R"),15,FALSE),"")</f>
        <v/>
      </c>
      <c r="DM255" s="96">
        <f>IFERROR(VLOOKUP($B255,INDIRECT("'GRD-"&amp;DM$11&amp;"'!B:R"),15,FALSE),"")</f>
        <v/>
      </c>
      <c r="DN255" s="96">
        <f>IFERROR(VLOOKUP($B255,INDIRECT("'GRD-"&amp;DN$11&amp;"'!B:R"),15,FALSE),"")</f>
        <v/>
      </c>
      <c r="DO255" s="96">
        <f>IFERROR(VLOOKUP($B255,INDIRECT("'GRD-"&amp;DO$11&amp;"'!B:R"),15,FALSE),"")</f>
        <v/>
      </c>
      <c r="DP255" s="96">
        <f>IFERROR(VLOOKUP($B255,INDIRECT("'GRD-"&amp;DP$11&amp;"'!B:R"),15,FALSE),"")</f>
        <v/>
      </c>
      <c r="DQ255" s="96">
        <f>IFERROR(VLOOKUP($B255,INDIRECT("'GRD-"&amp;DQ$11&amp;"'!B:R"),15,FALSE),"")</f>
        <v/>
      </c>
      <c r="DR255" s="96">
        <f>IFERROR(VLOOKUP($B255,INDIRECT("'GRD-"&amp;DR$11&amp;"'!B:R"),15,FALSE),"")</f>
        <v/>
      </c>
      <c r="DS255" s="96">
        <f>IFERROR(VLOOKUP($B255,INDIRECT("'GRD-"&amp;DS$11&amp;"'!B:R"),15,FALSE),"")</f>
        <v/>
      </c>
      <c r="DT255" s="96">
        <f>IFERROR(VLOOKUP($B255,INDIRECT("'GRD-"&amp;DT$11&amp;"'!B:R"),15,FALSE),"")</f>
        <v/>
      </c>
      <c r="DU255" s="96">
        <f>IFERROR(VLOOKUP($B255,INDIRECT("'GRD-"&amp;DU$11&amp;"'!B:R"),15,FALSE),"")</f>
        <v/>
      </c>
      <c r="DV255" s="96">
        <f>IFERROR(VLOOKUP($B255,INDIRECT("'GRD-"&amp;DV$11&amp;"'!B:R"),15,FALSE),"")</f>
        <v/>
      </c>
      <c r="DW255" s="96">
        <f>IFERROR(VLOOKUP($B255,INDIRECT("'GRD-"&amp;DW$11&amp;"'!B:R"),15,FALSE),"")</f>
        <v/>
      </c>
      <c r="DX255" s="96">
        <f>IFERROR(VLOOKUP($B255,INDIRECT("'GRD-"&amp;DX$11&amp;"'!B:R"),15,FALSE),"")</f>
        <v/>
      </c>
      <c r="DY255" s="96">
        <f>IFERROR(VLOOKUP($B255,INDIRECT("'GRD-"&amp;DY$11&amp;"'!B:R"),15,FALSE),"")</f>
        <v/>
      </c>
      <c r="DZ255" s="96">
        <f>IFERROR(VLOOKUP($B255,INDIRECT("'GRD-"&amp;DZ$11&amp;"'!B:R"),15,FALSE),"")</f>
        <v/>
      </c>
      <c r="EA255" s="96">
        <f>IFERROR(VLOOKUP($B255,INDIRECT("'GRD-"&amp;EA$11&amp;"'!B:R"),15,FALSE),"")</f>
        <v/>
      </c>
      <c r="EB255" s="96">
        <f>IFERROR(VLOOKUP($B255,INDIRECT("'GRD-"&amp;EB$11&amp;"'!B:R"),15,FALSE),"")</f>
        <v/>
      </c>
      <c r="EC255" s="96">
        <f>IFERROR(VLOOKUP($B255,INDIRECT("'GRD-"&amp;EC$11&amp;"'!B:R"),15,FALSE),"")</f>
        <v/>
      </c>
      <c r="ED255" s="96">
        <f>IFERROR(VLOOKUP($B255,INDIRECT("'GRD-"&amp;ED$11&amp;"'!B:R"),15,FALSE),"")</f>
        <v/>
      </c>
      <c r="EE255" s="96">
        <f>IFERROR(VLOOKUP($B255,INDIRECT("'GRD-"&amp;EE$11&amp;"'!B:R"),15,FALSE),"")</f>
        <v/>
      </c>
      <c r="EF255" s="96">
        <f>IFERROR(VLOOKUP($B255,INDIRECT("'GRD-"&amp;EF$11&amp;"'!B:R"),15,FALSE),"")</f>
        <v/>
      </c>
      <c r="EG255" s="96">
        <f>IFERROR(VLOOKUP($B255,INDIRECT("'GRD-"&amp;EG$11&amp;"'!B:R"),15,FALSE),"")</f>
        <v/>
      </c>
      <c r="EH255" s="96">
        <f>IFERROR(VLOOKUP($B255,INDIRECT("'GRD-"&amp;EH$11&amp;"'!B:R"),15,FALSE),"")</f>
        <v/>
      </c>
      <c r="EI255" s="96">
        <f>IFERROR(VLOOKUP($B255,INDIRECT("'GRD-"&amp;EI$11&amp;"'!B:R"),15,FALSE),"")</f>
        <v/>
      </c>
      <c r="EJ255" s="96">
        <f>IFERROR(VLOOKUP($B255,INDIRECT("'GRD-"&amp;EJ$11&amp;"'!B:R"),15,FALSE),"")</f>
        <v/>
      </c>
      <c r="EK255" s="96">
        <f>IFERROR(VLOOKUP($B255,INDIRECT("'GRD-"&amp;EK$11&amp;"'!B:R"),15,FALSE),"")</f>
        <v/>
      </c>
      <c r="EL255" s="96">
        <f>IFERROR(VLOOKUP($B255,INDIRECT("'GRD-"&amp;EL$11&amp;"'!B:R"),15,FALSE),"")</f>
        <v/>
      </c>
      <c r="EM255" s="96">
        <f>IFERROR(VLOOKUP($B255,INDIRECT("'GRD-"&amp;EM$11&amp;"'!B:R"),15,FALSE),"")</f>
        <v/>
      </c>
      <c r="EN255" s="96">
        <f>IFERROR(VLOOKUP($B255,INDIRECT("'GRD-"&amp;EN$11&amp;"'!B:R"),15,FALSE),"")</f>
        <v/>
      </c>
      <c r="EO255" s="96">
        <f>IFERROR(VLOOKUP($B255,INDIRECT("'GRD-"&amp;EO$11&amp;"'!B:R"),15,FALSE),"")</f>
        <v/>
      </c>
      <c r="EP255" s="96">
        <f>IFERROR(VLOOKUP($B255,INDIRECT("'GRD-"&amp;EP$11&amp;"'!B:R"),15,FALSE),"")</f>
        <v/>
      </c>
      <c r="EQ255" s="96">
        <f>IFERROR(VLOOKUP($B255,INDIRECT("'GRD-"&amp;EQ$11&amp;"'!B:R"),15,FALSE),"")</f>
        <v/>
      </c>
      <c r="ER255" s="96">
        <f>IFERROR(VLOOKUP($B255,INDIRECT("'GRD-"&amp;ER$11&amp;"'!B:R"),15,FALSE),"")</f>
        <v/>
      </c>
      <c r="ES255" s="96">
        <f>IFERROR(VLOOKUP($B255,INDIRECT("'GRD-"&amp;ES$11&amp;"'!B:R"),15,FALSE),"")</f>
        <v/>
      </c>
      <c r="ET255" s="96">
        <f>IFERROR(VLOOKUP($B255,INDIRECT("'GRD-"&amp;ET$11&amp;"'!B:R"),15,FALSE),"")</f>
        <v/>
      </c>
      <c r="EU255" s="96">
        <f>IFERROR(VLOOKUP($B255,INDIRECT("'GRD-"&amp;EU$11&amp;"'!B:R"),15,FALSE),"")</f>
        <v/>
      </c>
      <c r="EV255" s="96">
        <f>IFERROR(VLOOKUP($B255,INDIRECT("'GRD-"&amp;EV$11&amp;"'!B:R"),15,FALSE),"")</f>
        <v/>
      </c>
      <c r="EW255" s="96">
        <f>IFERROR(VLOOKUP($B255,INDIRECT("'GRD-"&amp;EW$11&amp;"'!B:R"),15,FALSE),"")</f>
        <v/>
      </c>
      <c r="EX255" s="96">
        <f>IFERROR(VLOOKUP($B255,INDIRECT("'GRD-"&amp;EX$11&amp;"'!B:R"),15,FALSE),"")</f>
        <v/>
      </c>
      <c r="EY255" s="96">
        <f>IFERROR(VLOOKUP($B255,INDIRECT("'GRD-"&amp;EY$11&amp;"'!B:R"),15,FALSE),"")</f>
        <v/>
      </c>
      <c r="EZ255" s="96">
        <f>IFERROR(VLOOKUP($B255,INDIRECT("'GRD-"&amp;EZ$11&amp;"'!B:R"),15,FALSE),"")</f>
        <v/>
      </c>
      <c r="FA255" s="96">
        <f>IFERROR(VLOOKUP($B255,INDIRECT("'GRD-"&amp;FA$11&amp;"'!B:R"),15,FALSE),"")</f>
        <v/>
      </c>
      <c r="FB255" s="96">
        <f>IFERROR(VLOOKUP($B255,INDIRECT("'GRD-"&amp;FB$11&amp;"'!B:R"),15,FALSE),"")</f>
        <v/>
      </c>
      <c r="FC255" s="96">
        <f>IFERROR(VLOOKUP($B255,INDIRECT("'GRD-"&amp;FC$11&amp;"'!B:R"),15,FALSE),"")</f>
        <v/>
      </c>
      <c r="FD255" s="96">
        <f>IFERROR(VLOOKUP($B255,INDIRECT("'GRD-"&amp;FD$11&amp;"'!B:R"),15,FALSE),"")</f>
        <v/>
      </c>
      <c r="FE255" s="96">
        <f>IFERROR(VLOOKUP($B255,INDIRECT("'GRD-"&amp;FE$11&amp;"'!B:R"),15,FALSE),"")</f>
        <v/>
      </c>
      <c r="FF255" s="96">
        <f>IFERROR(VLOOKUP($B255,INDIRECT("'GRD-"&amp;FF$11&amp;"'!B:R"),15,FALSE),"")</f>
        <v/>
      </c>
      <c r="FG255" s="96">
        <f>IFERROR(VLOOKUP($B255,INDIRECT("'GRD-"&amp;FG$11&amp;"'!B:R"),15,FALSE),"")</f>
        <v/>
      </c>
      <c r="FH255" s="96">
        <f>IFERROR(VLOOKUP($B255,INDIRECT("'GRD-"&amp;FH$11&amp;"'!B:R"),15,FALSE),"")</f>
        <v/>
      </c>
      <c r="FI255" s="96">
        <f>IFERROR(VLOOKUP($B255,INDIRECT("'GRD-"&amp;FI$11&amp;"'!B:R"),15,FALSE),"")</f>
        <v/>
      </c>
      <c r="FJ255" s="96">
        <f>IFERROR(VLOOKUP($B255,INDIRECT("'GRD-"&amp;FJ$11&amp;"'!B:R"),15,FALSE),"")</f>
        <v/>
      </c>
      <c r="FK255" s="96">
        <f>IFERROR(VLOOKUP($B255,INDIRECT("'GRD-"&amp;FK$11&amp;"'!B:R"),15,FALSE),"")</f>
        <v/>
      </c>
      <c r="FL255" s="96">
        <f>IFERROR(VLOOKUP($B255,INDIRECT("'GRD-"&amp;FL$11&amp;"'!B:R"),15,FALSE),"")</f>
        <v/>
      </c>
      <c r="FM255" s="96">
        <f>IFERROR(VLOOKUP($B255,INDIRECT("'GRD-"&amp;FM$11&amp;"'!B:R"),15,FALSE),"")</f>
        <v/>
      </c>
      <c r="FN255" s="96">
        <f>IFERROR(VLOOKUP($B255,INDIRECT("'GRD-"&amp;FN$11&amp;"'!B:R"),15,FALSE),"")</f>
        <v/>
      </c>
      <c r="FO255" s="96">
        <f>IFERROR(VLOOKUP($B255,INDIRECT("'GRD-"&amp;FO$11&amp;"'!B:R"),15,FALSE),"")</f>
        <v/>
      </c>
      <c r="FP255" s="96">
        <f>IFERROR(VLOOKUP($B255,INDIRECT("'GRD-"&amp;FP$11&amp;"'!B:R"),15,FALSE),"")</f>
        <v/>
      </c>
      <c r="FQ255" s="96">
        <f>IFERROR(VLOOKUP($B255,INDIRECT("'GRD-"&amp;FQ$11&amp;"'!B:R"),15,FALSE),"")</f>
        <v/>
      </c>
      <c r="FR255" s="96">
        <f>IFERROR(VLOOKUP($B255,INDIRECT("'GRD-"&amp;FR$11&amp;"'!B:R"),15,FALSE),"")</f>
        <v/>
      </c>
      <c r="FS255" s="96">
        <f>IFERROR(VLOOKUP($B255,INDIRECT("'GRD-"&amp;FS$11&amp;"'!B:R"),15,FALSE),"")</f>
        <v/>
      </c>
      <c r="FT255" s="96">
        <f>IFERROR(VLOOKUP($B255,INDIRECT("'GRD-"&amp;FT$11&amp;"'!B:R"),15,FALSE),"")</f>
        <v/>
      </c>
      <c r="FU255" s="96">
        <f>IFERROR(VLOOKUP($B255,INDIRECT("'GRD-"&amp;FU$11&amp;"'!B:R"),15,FALSE),"")</f>
        <v/>
      </c>
      <c r="FV255" s="96">
        <f>IFERROR(VLOOKUP($B255,INDIRECT("'GRD-"&amp;FV$11&amp;"'!B:R"),15,FALSE),"")</f>
        <v/>
      </c>
    </row>
    <row r="256">
      <c r="B256" s="85" t="n"/>
      <c r="C256" s="93" t="n"/>
      <c r="D256" s="73">
        <f>IF(K256="","",MAX($CA256:$FV256))</f>
        <v/>
      </c>
      <c r="E256" s="74">
        <f t="array" ref="E256">IF($K256="","",OFFSET($A$1,ROW($B256)-1,11+$D256*4,))</f>
        <v/>
      </c>
      <c r="F256" s="74">
        <f t="array" ref="F256">IF($K256="","",OFFSET($A$1,ROW($B256)-1,12+$D256*4,))</f>
        <v/>
      </c>
      <c r="G256" s="118">
        <f t="array" ref="G256">IF($K256="","",OFFSET($A$1,ROW($B256)-1,13+$D256*4,))</f>
        <v/>
      </c>
      <c r="H256" s="81" t="n"/>
      <c r="I256" s="82" t="n"/>
      <c r="J256" s="75">
        <f>IF(I256="A4",H256/8,IF(I256="A3",H256/4,IF(I256="A2",H256/2,IF(I256="A1",H256/1,IF(I256="A0",H256*2,"")))))</f>
        <v/>
      </c>
      <c r="K256" s="68">
        <f t="array" ref="K256">IFERROR(OFFSET($BZ$11,ROW($B256)-11,MATCH(K$10,$CA256:$FV256,0),),"")</f>
        <v/>
      </c>
      <c r="L256" s="85">
        <f>IF(K256="","",IF(VLOOKUP($B256,INDIRECT("'GRD-"&amp;M256&amp;"'!$B:$R"),16,FALSE)="","",VLOOKUP($B256,INDIRECT("'GRD-"&amp;M256&amp;"'!$B:$R"),16,FALSE)))</f>
        <v/>
      </c>
      <c r="M256" s="130">
        <f t="array" ref="M256">IF(K256="","",IFERROR(OFFSET($BZ$11,0,MATCH($K256,$CA256:$FV256,0),),""))</f>
        <v/>
      </c>
      <c r="N256" s="119">
        <f t="array" ref="N256">IF(K256="","",INDIRECT("'GRD-"&amp;M256&amp;"'!$L$7"))</f>
        <v/>
      </c>
      <c r="O256" s="76">
        <f t="array" ref="O256">IFERROR(OFFSET($BZ$11,ROW($B256)-11,MATCH(O$10,$CA256:$FV256,0),),"")</f>
        <v/>
      </c>
      <c r="P256" s="76">
        <f>IF(O256="","",IF(VLOOKUP($B256,INDIRECT("'GRD-"&amp;Q256&amp;"'!$B:$R"),16,FALSE)="","",VLOOKUP($B256,INDIRECT("'GRD-"&amp;Q256&amp;"'!$B:$R"),16,FALSE)))</f>
        <v/>
      </c>
      <c r="Q256" s="132">
        <f t="array" ref="Q256">IF(O256="","",IFERROR(OFFSET($BZ$11,0,MATCH($O256,$CA256:$FV256,0),),""))</f>
        <v/>
      </c>
      <c r="R256" s="121">
        <f t="array" ref="R256">IF(O256="","",INDIRECT("'GRD-"&amp;Q256&amp;"'!$L$7"))</f>
        <v/>
      </c>
      <c r="S256" s="83">
        <f t="array" ref="S256">IFERROR(OFFSET($BZ$11,ROW($B256)-11,MATCH(S$10,$CA256:$FV256,0),),"")</f>
        <v/>
      </c>
      <c r="T256" s="83">
        <f>IF(S256="","",IF(VLOOKUP($B256,INDIRECT("'GRD-"&amp;U256&amp;"'!$B:$R"),16,FALSE)="","",VLOOKUP($B256,INDIRECT("'GRD-"&amp;U256&amp;"'!$B:$R"),16,FALSE)))</f>
        <v/>
      </c>
      <c r="U256" s="128">
        <f t="array" ref="U256">IF(S256="","",IFERROR(OFFSET($BZ$11,0,MATCH($S256,$CA256:$FV256,0),),""))</f>
        <v/>
      </c>
      <c r="V256" s="133">
        <f t="array" ref="V256">IF(S256="","",INDIRECT("'GRD-"&amp;U256&amp;"'!$L$7"))</f>
        <v/>
      </c>
      <c r="W256" s="84">
        <f t="array" ref="W256">IFERROR(OFFSET($BZ$11,ROW($B256)-11,MATCH(W$10,$CA256:$FV256,0),),"")</f>
        <v/>
      </c>
      <c r="X256" s="84">
        <f>IF(W256="","",IF(VLOOKUP($B256,INDIRECT("'GRD-"&amp;Y256&amp;"'!$B:$R"),16,FALSE)="","",VLOOKUP($B256,INDIRECT("'GRD-"&amp;Y256&amp;"'!$B:$R"),16,FALSE)))</f>
        <v/>
      </c>
      <c r="Y256" s="129">
        <f t="array" ref="Y256">IF(W256="","",IFERROR(OFFSET($BZ$11,0,MATCH($W256,$CA256:$FV256,0),),""))</f>
        <v/>
      </c>
      <c r="Z256" s="134">
        <f t="array" ref="Z256">IF(W256="","",INDIRECT("'GRD-"&amp;Y256&amp;"'!$L$7"))</f>
        <v/>
      </c>
      <c r="AA256" s="85">
        <f t="array" ref="AA256">IFERROR(OFFSET($BZ$11,ROW($B256)-11,MATCH(AA$10,$CA256:$FV256,0),),"")</f>
        <v/>
      </c>
      <c r="AB256" s="85">
        <f>IF(AA256="","",IF(VLOOKUP($B256,INDIRECT("'GRD-"&amp;AC256&amp;"'!$B:$R"),16,FALSE)="","",VLOOKUP($B256,INDIRECT("'GRD-"&amp;AC256&amp;"'!$B:$R"),16,FALSE)))</f>
        <v/>
      </c>
      <c r="AC256" s="130">
        <f t="array" ref="AC256">IF(AA256="","",IFERROR(OFFSET($BZ$11,0,MATCH($AA256,$CA256:$FV256,0),),""))</f>
        <v/>
      </c>
      <c r="AD256" s="131">
        <f t="array" ref="AD256">IF(AA256="","",INDIRECT("'GRD-"&amp;AC256&amp;"'!$L$7"))</f>
        <v/>
      </c>
      <c r="AE256" s="76">
        <f t="array" ref="AE256">IFERROR(OFFSET($BZ$11,ROW($B256)-11,MATCH(AE$10,$CA256:$FV256,0),),"")</f>
        <v/>
      </c>
      <c r="AF256" s="76">
        <f>IF(AE256="","",IF(VLOOKUP($B256,INDIRECT("'GRD-"&amp;AG256&amp;"'!$B:$R"),16,FALSE)="","",VLOOKUP($B256,INDIRECT("'GRD-"&amp;AG256&amp;"'!$B:$R"),16,FALSE)))</f>
        <v/>
      </c>
      <c r="AG256" s="132">
        <f t="array" ref="AG256">IF(AE256="","",IFERROR(OFFSET($BZ$11,0,MATCH($AE256,$CA256:$FV256,0),),""))</f>
        <v/>
      </c>
      <c r="AH256" s="121">
        <f t="array" ref="AH256">IF(AE256="","",INDIRECT("'GRD-"&amp;AG256&amp;"'!$L$7"))</f>
        <v/>
      </c>
      <c r="AI256" s="83">
        <f t="array" ref="AI256">IFERROR(OFFSET($BZ$11,ROW($B256)-11,MATCH(AI$10,$CA256:$FV256,0),),"")</f>
        <v/>
      </c>
      <c r="AJ256" s="83">
        <f>IF(AI256="","",IF(VLOOKUP($B256,INDIRECT("'GRD-"&amp;AK256&amp;"'!$B:$R"),16,FALSE)="","",VLOOKUP($B256,INDIRECT("'GRD-"&amp;AK256&amp;"'!$B:$R"),16,FALSE)))</f>
        <v/>
      </c>
      <c r="AK256" s="128">
        <f t="array" ref="AK256">IF(AI256="","",IFERROR(OFFSET($BZ$11,0,MATCH($AI256,$CA256:$FV256,0),),""))</f>
        <v/>
      </c>
      <c r="AL256" s="133">
        <f t="array" ref="AL256">IF(AI256="","",INDIRECT("'GRD-"&amp;AK256&amp;"'!$L$7"))</f>
        <v/>
      </c>
      <c r="AM256" s="84">
        <f t="array" ref="AM256">IFERROR(OFFSET($BZ$11,ROW($B256)-11,MATCH(AM$10,$CA256:$FV256,0),),"")</f>
        <v/>
      </c>
      <c r="AN256" s="84">
        <f>IF(AM256="","",IF(VLOOKUP($B256,INDIRECT("'GRD-"&amp;AO256&amp;"'!$B:$R"),16,FALSE)="","",VLOOKUP($B256,INDIRECT("'GRD-"&amp;AO256&amp;"'!$B:$R"),16,FALSE)))</f>
        <v/>
      </c>
      <c r="AO256" s="129">
        <f t="array" ref="AO256">IF(AM256="","",IFERROR(OFFSET($BZ$11,0,MATCH($AM256,$CA256:$FV256,0),),""))</f>
        <v/>
      </c>
      <c r="AP256" s="134">
        <f t="array" ref="AP256">IF(AM256="","",INDIRECT("'GRD-"&amp;AO256&amp;"'!$L$7"))</f>
        <v/>
      </c>
      <c r="AQ256" s="85">
        <f t="array" ref="AQ256">IFERROR(OFFSET($BZ$11,ROW($B256)-11,MATCH(AQ$10,$CA256:$FV256,0),),"")</f>
        <v/>
      </c>
      <c r="AR256" s="85">
        <f>IF(AQ256="","",IF(VLOOKUP($B256,INDIRECT("'GRD-"&amp;AS256&amp;"'!$B:$R"),16,FALSE)="","",VLOOKUP($B256,INDIRECT("'GRD-"&amp;AS256&amp;"'!$B:$R"),16,FALSE)))</f>
        <v/>
      </c>
      <c r="AS256" s="130">
        <f t="array" ref="AS256">IF(AQ256="","",IFERROR(OFFSET($BZ$11,0,MATCH($AQ256,$CA256:$FV256,0),),""))</f>
        <v/>
      </c>
      <c r="AT256" s="131">
        <f t="array" ref="AT256">IF(AQ256="","",INDIRECT("'GRD-"&amp;AS256&amp;"'!$L$7"))</f>
        <v/>
      </c>
      <c r="AU256" s="76">
        <f t="array" ref="AU256">IFERROR(OFFSET($BZ$11,ROW($B256)-11,MATCH(AU$10,$CA256:$FV256,0),),"")</f>
        <v/>
      </c>
      <c r="AV256" s="76">
        <f>IF(AU256="","",IF(VLOOKUP($B256,INDIRECT("'GRD-"&amp;AW256&amp;"'!$B:$R"),16,FALSE)="","",VLOOKUP($B256,INDIRECT("'GRD-"&amp;AW256&amp;"'!$B:$R"),16,FALSE)))</f>
        <v/>
      </c>
      <c r="AW256" s="132">
        <f t="array" ref="AW256">IF(AU256="","",IFERROR(OFFSET($BZ$11,0,MATCH($AU256,$CA256:$FV256,0),),""))</f>
        <v/>
      </c>
      <c r="AX256" s="121">
        <f t="array" ref="AX256">IF(AU256="","",INDIRECT("'GRD-"&amp;AW256&amp;"'!$L$7"))</f>
        <v/>
      </c>
      <c r="AY256" s="83">
        <f t="array" ref="AY256">IFERROR(OFFSET($BZ$11,ROW($B256)-11,MATCH(AY$10,$CA256:$FV256,0),),"")</f>
        <v/>
      </c>
      <c r="AZ256" s="83">
        <f>IF(AY256="","",IF(VLOOKUP($B256,INDIRECT("'GRD-"&amp;BA256&amp;"'!$B:$R"),16,FALSE)="","",VLOOKUP($B256,INDIRECT("'GRD-"&amp;BA256&amp;"'!$B:$R"),16,FALSE)))</f>
        <v/>
      </c>
      <c r="BA256" s="128">
        <f t="array" ref="BA256">IF(AY256="","",IFERROR(OFFSET($BZ$11,0,MATCH($AY256,$CA256:$FV256,0),),""))</f>
        <v/>
      </c>
      <c r="BB256" s="133">
        <f t="array" ref="BB256">IF(AY256="","",INDIRECT("'GRD-"&amp;BA256&amp;"'!$L$7"))</f>
        <v/>
      </c>
      <c r="BC256" s="84">
        <f t="array" ref="BC256">IFERROR(OFFSET($BZ$11,ROW($B256)-11,MATCH(BC$10,$CA256:$FV256,0),),"")</f>
        <v/>
      </c>
      <c r="BD256" s="84">
        <f>IF(BC256="","",IF(VLOOKUP($B256,INDIRECT("'GRD-"&amp;BE256&amp;"'!$B:$R"),16,FALSE)="","",VLOOKUP($B256,INDIRECT("'GRD-"&amp;BE256&amp;"'!$B:$R"),16,FALSE)))</f>
        <v/>
      </c>
      <c r="BE256" s="129">
        <f t="array" ref="BE256">IF(BC256="","",IFERROR(OFFSET($BZ$11,0,MATCH($BC256,$CA256:$FV256,0),),""))</f>
        <v/>
      </c>
      <c r="BF256" s="134">
        <f t="array" ref="BF256">IF(BC256="","",INDIRECT("'GRD-"&amp;BE256&amp;"'!$L$7"))</f>
        <v/>
      </c>
      <c r="CA256" s="96">
        <f>IFERROR(VLOOKUP($B256,INDIRECT("'GRD-"&amp;CA$11&amp;"'!B:R"),15,FALSE),"")</f>
        <v/>
      </c>
      <c r="CB256" s="96">
        <f>IFERROR(VLOOKUP($B256,INDIRECT("'GRD-"&amp;CB$11&amp;"'!B:R"),15,FALSE),"")</f>
        <v/>
      </c>
      <c r="CC256" s="96">
        <f>IFERROR(VLOOKUP($B256,INDIRECT("'GRD-"&amp;CC$11&amp;"'!B:R"),15,FALSE),"")</f>
        <v/>
      </c>
      <c r="CD256" s="96">
        <f>IFERROR(VLOOKUP($B256,INDIRECT("'GRD-"&amp;CD$11&amp;"'!B:R"),15,FALSE),"")</f>
        <v/>
      </c>
      <c r="CE256" s="96">
        <f>IFERROR(VLOOKUP($B256,INDIRECT("'GRD-"&amp;CE$11&amp;"'!B:R"),15,FALSE),"")</f>
        <v/>
      </c>
      <c r="CF256" s="96">
        <f>IFERROR(VLOOKUP($B256,INDIRECT("'GRD-"&amp;CF$11&amp;"'!B:R"),15,FALSE),"")</f>
        <v/>
      </c>
      <c r="CG256" s="96">
        <f>IFERROR(VLOOKUP($B256,INDIRECT("'GRD-"&amp;CG$11&amp;"'!B:R"),15,FALSE),"")</f>
        <v/>
      </c>
      <c r="CH256" s="96">
        <f>IFERROR(VLOOKUP($B256,INDIRECT("'GRD-"&amp;CH$11&amp;"'!B:R"),15,FALSE),"")</f>
        <v/>
      </c>
      <c r="CI256" s="96">
        <f>IFERROR(VLOOKUP($B256,INDIRECT("'GRD-"&amp;CI$11&amp;"'!B:R"),15,FALSE),"")</f>
        <v/>
      </c>
      <c r="CJ256" s="96">
        <f>IFERROR(VLOOKUP($B256,INDIRECT("'GRD-"&amp;CJ$11&amp;"'!B:R"),15,FALSE),"")</f>
        <v/>
      </c>
      <c r="CK256" s="96">
        <f>IFERROR(VLOOKUP($B256,INDIRECT("'GRD-"&amp;CK$11&amp;"'!B:R"),15,FALSE),"")</f>
        <v/>
      </c>
      <c r="CL256" s="96">
        <f>IFERROR(VLOOKUP($B256,INDIRECT("'GRD-"&amp;CL$11&amp;"'!B:R"),15,FALSE),"")</f>
        <v/>
      </c>
      <c r="CM256" s="96">
        <f>IFERROR(VLOOKUP($B256,INDIRECT("'GRD-"&amp;CM$11&amp;"'!B:R"),15,FALSE),"")</f>
        <v/>
      </c>
      <c r="CN256" s="96">
        <f>IFERROR(VLOOKUP($B256,INDIRECT("'GRD-"&amp;CN$11&amp;"'!B:R"),15,FALSE),"")</f>
        <v/>
      </c>
      <c r="CO256" s="96">
        <f>IFERROR(VLOOKUP($B256,INDIRECT("'GRD-"&amp;CO$11&amp;"'!B:R"),15,FALSE),"")</f>
        <v/>
      </c>
      <c r="CP256" s="96">
        <f>IFERROR(VLOOKUP($B256,INDIRECT("'GRD-"&amp;CP$11&amp;"'!B:R"),15,FALSE),"")</f>
        <v/>
      </c>
      <c r="CQ256" s="96">
        <f>IFERROR(VLOOKUP($B256,INDIRECT("'GRD-"&amp;CQ$11&amp;"'!B:R"),15,FALSE),"")</f>
        <v/>
      </c>
      <c r="CR256" s="96">
        <f>IFERROR(VLOOKUP($B256,INDIRECT("'GRD-"&amp;CR$11&amp;"'!B:R"),15,FALSE),"")</f>
        <v/>
      </c>
      <c r="CS256" s="96">
        <f>IFERROR(VLOOKUP($B256,INDIRECT("'GRD-"&amp;CS$11&amp;"'!B:R"),15,FALSE),"")</f>
        <v/>
      </c>
      <c r="CT256" s="96">
        <f>IFERROR(VLOOKUP($B256,INDIRECT("'GRD-"&amp;CT$11&amp;"'!B:R"),15,FALSE),"")</f>
        <v/>
      </c>
      <c r="CU256" s="96">
        <f>IFERROR(VLOOKUP($B256,INDIRECT("'GRD-"&amp;CU$11&amp;"'!B:R"),15,FALSE),"")</f>
        <v/>
      </c>
      <c r="CV256" s="96">
        <f>IFERROR(VLOOKUP($B256,INDIRECT("'GRD-"&amp;CV$11&amp;"'!B:R"),15,FALSE),"")</f>
        <v/>
      </c>
      <c r="CW256" s="96">
        <f>IFERROR(VLOOKUP($B256,INDIRECT("'GRD-"&amp;CW$11&amp;"'!B:R"),15,FALSE),"")</f>
        <v/>
      </c>
      <c r="CX256" s="96">
        <f>IFERROR(VLOOKUP($B256,INDIRECT("'GRD-"&amp;CX$11&amp;"'!B:R"),15,FALSE),"")</f>
        <v/>
      </c>
      <c r="CY256" s="96">
        <f>IFERROR(VLOOKUP($B256,INDIRECT("'GRD-"&amp;CY$11&amp;"'!B:R"),15,FALSE),"")</f>
        <v/>
      </c>
      <c r="CZ256" s="96">
        <f>IFERROR(VLOOKUP($B256,INDIRECT("'GRD-"&amp;CZ$11&amp;"'!B:R"),15,FALSE),"")</f>
        <v/>
      </c>
      <c r="DA256" s="96">
        <f>IFERROR(VLOOKUP($B256,INDIRECT("'GRD-"&amp;DA$11&amp;"'!B:R"),15,FALSE),"")</f>
        <v/>
      </c>
      <c r="DB256" s="96">
        <f>IFERROR(VLOOKUP($B256,INDIRECT("'GRD-"&amp;DB$11&amp;"'!B:R"),15,FALSE),"")</f>
        <v/>
      </c>
      <c r="DC256" s="96">
        <f>IFERROR(VLOOKUP($B256,INDIRECT("'GRD-"&amp;DC$11&amp;"'!B:R"),15,FALSE),"")</f>
        <v/>
      </c>
      <c r="DD256" s="96">
        <f>IFERROR(VLOOKUP($B256,INDIRECT("'GRD-"&amp;DD$11&amp;"'!B:R"),15,FALSE),"")</f>
        <v/>
      </c>
      <c r="DE256" s="96">
        <f>IFERROR(VLOOKUP($B256,INDIRECT("'GRD-"&amp;DE$11&amp;"'!B:R"),15,FALSE),"")</f>
        <v/>
      </c>
      <c r="DF256" s="96">
        <f>IFERROR(VLOOKUP($B256,INDIRECT("'GRD-"&amp;DF$11&amp;"'!B:R"),15,FALSE),"")</f>
        <v/>
      </c>
      <c r="DG256" s="96">
        <f>IFERROR(VLOOKUP($B256,INDIRECT("'GRD-"&amp;DG$11&amp;"'!B:R"),15,FALSE),"")</f>
        <v/>
      </c>
      <c r="DH256" s="96">
        <f>IFERROR(VLOOKUP($B256,INDIRECT("'GRD-"&amp;DH$11&amp;"'!B:R"),15,FALSE),"")</f>
        <v/>
      </c>
      <c r="DI256" s="96">
        <f>IFERROR(VLOOKUP($B256,INDIRECT("'GRD-"&amp;DI$11&amp;"'!B:R"),15,FALSE),"")</f>
        <v/>
      </c>
      <c r="DJ256" s="96">
        <f>IFERROR(VLOOKUP($B256,INDIRECT("'GRD-"&amp;DJ$11&amp;"'!B:R"),15,FALSE),"")</f>
        <v/>
      </c>
      <c r="DK256" s="96">
        <f>IFERROR(VLOOKUP($B256,INDIRECT("'GRD-"&amp;DK$11&amp;"'!B:R"),15,FALSE),"")</f>
        <v/>
      </c>
      <c r="DL256" s="96">
        <f>IFERROR(VLOOKUP($B256,INDIRECT("'GRD-"&amp;DL$11&amp;"'!B:R"),15,FALSE),"")</f>
        <v/>
      </c>
      <c r="DM256" s="96">
        <f>IFERROR(VLOOKUP($B256,INDIRECT("'GRD-"&amp;DM$11&amp;"'!B:R"),15,FALSE),"")</f>
        <v/>
      </c>
      <c r="DN256" s="96">
        <f>IFERROR(VLOOKUP($B256,INDIRECT("'GRD-"&amp;DN$11&amp;"'!B:R"),15,FALSE),"")</f>
        <v/>
      </c>
      <c r="DO256" s="96">
        <f>IFERROR(VLOOKUP($B256,INDIRECT("'GRD-"&amp;DO$11&amp;"'!B:R"),15,FALSE),"")</f>
        <v/>
      </c>
      <c r="DP256" s="96">
        <f>IFERROR(VLOOKUP($B256,INDIRECT("'GRD-"&amp;DP$11&amp;"'!B:R"),15,FALSE),"")</f>
        <v/>
      </c>
      <c r="DQ256" s="96">
        <f>IFERROR(VLOOKUP($B256,INDIRECT("'GRD-"&amp;DQ$11&amp;"'!B:R"),15,FALSE),"")</f>
        <v/>
      </c>
      <c r="DR256" s="96">
        <f>IFERROR(VLOOKUP($B256,INDIRECT("'GRD-"&amp;DR$11&amp;"'!B:R"),15,FALSE),"")</f>
        <v/>
      </c>
      <c r="DS256" s="96">
        <f>IFERROR(VLOOKUP($B256,INDIRECT("'GRD-"&amp;DS$11&amp;"'!B:R"),15,FALSE),"")</f>
        <v/>
      </c>
      <c r="DT256" s="96">
        <f>IFERROR(VLOOKUP($B256,INDIRECT("'GRD-"&amp;DT$11&amp;"'!B:R"),15,FALSE),"")</f>
        <v/>
      </c>
      <c r="DU256" s="96">
        <f>IFERROR(VLOOKUP($B256,INDIRECT("'GRD-"&amp;DU$11&amp;"'!B:R"),15,FALSE),"")</f>
        <v/>
      </c>
      <c r="DV256" s="96">
        <f>IFERROR(VLOOKUP($B256,INDIRECT("'GRD-"&amp;DV$11&amp;"'!B:R"),15,FALSE),"")</f>
        <v/>
      </c>
      <c r="DW256" s="96">
        <f>IFERROR(VLOOKUP($B256,INDIRECT("'GRD-"&amp;DW$11&amp;"'!B:R"),15,FALSE),"")</f>
        <v/>
      </c>
      <c r="DX256" s="96">
        <f>IFERROR(VLOOKUP($B256,INDIRECT("'GRD-"&amp;DX$11&amp;"'!B:R"),15,FALSE),"")</f>
        <v/>
      </c>
      <c r="DY256" s="96">
        <f>IFERROR(VLOOKUP($B256,INDIRECT("'GRD-"&amp;DY$11&amp;"'!B:R"),15,FALSE),"")</f>
        <v/>
      </c>
      <c r="DZ256" s="96">
        <f>IFERROR(VLOOKUP($B256,INDIRECT("'GRD-"&amp;DZ$11&amp;"'!B:R"),15,FALSE),"")</f>
        <v/>
      </c>
      <c r="EA256" s="96">
        <f>IFERROR(VLOOKUP($B256,INDIRECT("'GRD-"&amp;EA$11&amp;"'!B:R"),15,FALSE),"")</f>
        <v/>
      </c>
      <c r="EB256" s="96">
        <f>IFERROR(VLOOKUP($B256,INDIRECT("'GRD-"&amp;EB$11&amp;"'!B:R"),15,FALSE),"")</f>
        <v/>
      </c>
      <c r="EC256" s="96">
        <f>IFERROR(VLOOKUP($B256,INDIRECT("'GRD-"&amp;EC$11&amp;"'!B:R"),15,FALSE),"")</f>
        <v/>
      </c>
      <c r="ED256" s="96">
        <f>IFERROR(VLOOKUP($B256,INDIRECT("'GRD-"&amp;ED$11&amp;"'!B:R"),15,FALSE),"")</f>
        <v/>
      </c>
      <c r="EE256" s="96">
        <f>IFERROR(VLOOKUP($B256,INDIRECT("'GRD-"&amp;EE$11&amp;"'!B:R"),15,FALSE),"")</f>
        <v/>
      </c>
      <c r="EF256" s="96">
        <f>IFERROR(VLOOKUP($B256,INDIRECT("'GRD-"&amp;EF$11&amp;"'!B:R"),15,FALSE),"")</f>
        <v/>
      </c>
      <c r="EG256" s="96">
        <f>IFERROR(VLOOKUP($B256,INDIRECT("'GRD-"&amp;EG$11&amp;"'!B:R"),15,FALSE),"")</f>
        <v/>
      </c>
      <c r="EH256" s="96">
        <f>IFERROR(VLOOKUP($B256,INDIRECT("'GRD-"&amp;EH$11&amp;"'!B:R"),15,FALSE),"")</f>
        <v/>
      </c>
      <c r="EI256" s="96">
        <f>IFERROR(VLOOKUP($B256,INDIRECT("'GRD-"&amp;EI$11&amp;"'!B:R"),15,FALSE),"")</f>
        <v/>
      </c>
      <c r="EJ256" s="96">
        <f>IFERROR(VLOOKUP($B256,INDIRECT("'GRD-"&amp;EJ$11&amp;"'!B:R"),15,FALSE),"")</f>
        <v/>
      </c>
      <c r="EK256" s="96">
        <f>IFERROR(VLOOKUP($B256,INDIRECT("'GRD-"&amp;EK$11&amp;"'!B:R"),15,FALSE),"")</f>
        <v/>
      </c>
      <c r="EL256" s="96">
        <f>IFERROR(VLOOKUP($B256,INDIRECT("'GRD-"&amp;EL$11&amp;"'!B:R"),15,FALSE),"")</f>
        <v/>
      </c>
      <c r="EM256" s="96">
        <f>IFERROR(VLOOKUP($B256,INDIRECT("'GRD-"&amp;EM$11&amp;"'!B:R"),15,FALSE),"")</f>
        <v/>
      </c>
      <c r="EN256" s="96">
        <f>IFERROR(VLOOKUP($B256,INDIRECT("'GRD-"&amp;EN$11&amp;"'!B:R"),15,FALSE),"")</f>
        <v/>
      </c>
      <c r="EO256" s="96">
        <f>IFERROR(VLOOKUP($B256,INDIRECT("'GRD-"&amp;EO$11&amp;"'!B:R"),15,FALSE),"")</f>
        <v/>
      </c>
      <c r="EP256" s="96">
        <f>IFERROR(VLOOKUP($B256,INDIRECT("'GRD-"&amp;EP$11&amp;"'!B:R"),15,FALSE),"")</f>
        <v/>
      </c>
      <c r="EQ256" s="96">
        <f>IFERROR(VLOOKUP($B256,INDIRECT("'GRD-"&amp;EQ$11&amp;"'!B:R"),15,FALSE),"")</f>
        <v/>
      </c>
      <c r="ER256" s="96">
        <f>IFERROR(VLOOKUP($B256,INDIRECT("'GRD-"&amp;ER$11&amp;"'!B:R"),15,FALSE),"")</f>
        <v/>
      </c>
      <c r="ES256" s="96">
        <f>IFERROR(VLOOKUP($B256,INDIRECT("'GRD-"&amp;ES$11&amp;"'!B:R"),15,FALSE),"")</f>
        <v/>
      </c>
      <c r="ET256" s="96">
        <f>IFERROR(VLOOKUP($B256,INDIRECT("'GRD-"&amp;ET$11&amp;"'!B:R"),15,FALSE),"")</f>
        <v/>
      </c>
      <c r="EU256" s="96">
        <f>IFERROR(VLOOKUP($B256,INDIRECT("'GRD-"&amp;EU$11&amp;"'!B:R"),15,FALSE),"")</f>
        <v/>
      </c>
      <c r="EV256" s="96">
        <f>IFERROR(VLOOKUP($B256,INDIRECT("'GRD-"&amp;EV$11&amp;"'!B:R"),15,FALSE),"")</f>
        <v/>
      </c>
      <c r="EW256" s="96">
        <f>IFERROR(VLOOKUP($B256,INDIRECT("'GRD-"&amp;EW$11&amp;"'!B:R"),15,FALSE),"")</f>
        <v/>
      </c>
      <c r="EX256" s="96">
        <f>IFERROR(VLOOKUP($B256,INDIRECT("'GRD-"&amp;EX$11&amp;"'!B:R"),15,FALSE),"")</f>
        <v/>
      </c>
      <c r="EY256" s="96">
        <f>IFERROR(VLOOKUP($B256,INDIRECT("'GRD-"&amp;EY$11&amp;"'!B:R"),15,FALSE),"")</f>
        <v/>
      </c>
      <c r="EZ256" s="96">
        <f>IFERROR(VLOOKUP($B256,INDIRECT("'GRD-"&amp;EZ$11&amp;"'!B:R"),15,FALSE),"")</f>
        <v/>
      </c>
      <c r="FA256" s="96">
        <f>IFERROR(VLOOKUP($B256,INDIRECT("'GRD-"&amp;FA$11&amp;"'!B:R"),15,FALSE),"")</f>
        <v/>
      </c>
      <c r="FB256" s="96">
        <f>IFERROR(VLOOKUP($B256,INDIRECT("'GRD-"&amp;FB$11&amp;"'!B:R"),15,FALSE),"")</f>
        <v/>
      </c>
      <c r="FC256" s="96">
        <f>IFERROR(VLOOKUP($B256,INDIRECT("'GRD-"&amp;FC$11&amp;"'!B:R"),15,FALSE),"")</f>
        <v/>
      </c>
      <c r="FD256" s="96">
        <f>IFERROR(VLOOKUP($B256,INDIRECT("'GRD-"&amp;FD$11&amp;"'!B:R"),15,FALSE),"")</f>
        <v/>
      </c>
      <c r="FE256" s="96">
        <f>IFERROR(VLOOKUP($B256,INDIRECT("'GRD-"&amp;FE$11&amp;"'!B:R"),15,FALSE),"")</f>
        <v/>
      </c>
      <c r="FF256" s="96">
        <f>IFERROR(VLOOKUP($B256,INDIRECT("'GRD-"&amp;FF$11&amp;"'!B:R"),15,FALSE),"")</f>
        <v/>
      </c>
      <c r="FG256" s="96">
        <f>IFERROR(VLOOKUP($B256,INDIRECT("'GRD-"&amp;FG$11&amp;"'!B:R"),15,FALSE),"")</f>
        <v/>
      </c>
      <c r="FH256" s="96">
        <f>IFERROR(VLOOKUP($B256,INDIRECT("'GRD-"&amp;FH$11&amp;"'!B:R"),15,FALSE),"")</f>
        <v/>
      </c>
      <c r="FI256" s="96">
        <f>IFERROR(VLOOKUP($B256,INDIRECT("'GRD-"&amp;FI$11&amp;"'!B:R"),15,FALSE),"")</f>
        <v/>
      </c>
      <c r="FJ256" s="96">
        <f>IFERROR(VLOOKUP($B256,INDIRECT("'GRD-"&amp;FJ$11&amp;"'!B:R"),15,FALSE),"")</f>
        <v/>
      </c>
      <c r="FK256" s="96">
        <f>IFERROR(VLOOKUP($B256,INDIRECT("'GRD-"&amp;FK$11&amp;"'!B:R"),15,FALSE),"")</f>
        <v/>
      </c>
      <c r="FL256" s="96">
        <f>IFERROR(VLOOKUP($B256,INDIRECT("'GRD-"&amp;FL$11&amp;"'!B:R"),15,FALSE),"")</f>
        <v/>
      </c>
      <c r="FM256" s="96">
        <f>IFERROR(VLOOKUP($B256,INDIRECT("'GRD-"&amp;FM$11&amp;"'!B:R"),15,FALSE),"")</f>
        <v/>
      </c>
      <c r="FN256" s="96">
        <f>IFERROR(VLOOKUP($B256,INDIRECT("'GRD-"&amp;FN$11&amp;"'!B:R"),15,FALSE),"")</f>
        <v/>
      </c>
      <c r="FO256" s="96">
        <f>IFERROR(VLOOKUP($B256,INDIRECT("'GRD-"&amp;FO$11&amp;"'!B:R"),15,FALSE),"")</f>
        <v/>
      </c>
      <c r="FP256" s="96">
        <f>IFERROR(VLOOKUP($B256,INDIRECT("'GRD-"&amp;FP$11&amp;"'!B:R"),15,FALSE),"")</f>
        <v/>
      </c>
      <c r="FQ256" s="96">
        <f>IFERROR(VLOOKUP($B256,INDIRECT("'GRD-"&amp;FQ$11&amp;"'!B:R"),15,FALSE),"")</f>
        <v/>
      </c>
      <c r="FR256" s="96">
        <f>IFERROR(VLOOKUP($B256,INDIRECT("'GRD-"&amp;FR$11&amp;"'!B:R"),15,FALSE),"")</f>
        <v/>
      </c>
      <c r="FS256" s="96">
        <f>IFERROR(VLOOKUP($B256,INDIRECT("'GRD-"&amp;FS$11&amp;"'!B:R"),15,FALSE),"")</f>
        <v/>
      </c>
      <c r="FT256" s="96">
        <f>IFERROR(VLOOKUP($B256,INDIRECT("'GRD-"&amp;FT$11&amp;"'!B:R"),15,FALSE),"")</f>
        <v/>
      </c>
      <c r="FU256" s="96">
        <f>IFERROR(VLOOKUP($B256,INDIRECT("'GRD-"&amp;FU$11&amp;"'!B:R"),15,FALSE),"")</f>
        <v/>
      </c>
      <c r="FV256" s="96">
        <f>IFERROR(VLOOKUP($B256,INDIRECT("'GRD-"&amp;FV$11&amp;"'!B:R"),15,FALSE),"")</f>
        <v/>
      </c>
    </row>
    <row r="257">
      <c r="B257" s="85" t="n"/>
      <c r="C257" s="93" t="n"/>
      <c r="D257" s="73">
        <f>IF(K257="","",MAX($CA257:$FV257))</f>
        <v/>
      </c>
      <c r="E257" s="74">
        <f t="array" ref="E257">IF($K257="","",OFFSET($A$1,ROW($B257)-1,11+$D257*4,))</f>
        <v/>
      </c>
      <c r="F257" s="74">
        <f t="array" ref="F257">IF($K257="","",OFFSET($A$1,ROW($B257)-1,12+$D257*4,))</f>
        <v/>
      </c>
      <c r="G257" s="118">
        <f t="array" ref="G257">IF($K257="","",OFFSET($A$1,ROW($B257)-1,13+$D257*4,))</f>
        <v/>
      </c>
      <c r="H257" s="81" t="n"/>
      <c r="I257" s="82" t="n"/>
      <c r="J257" s="75">
        <f>IF(I257="A4",H257/8,IF(I257="A3",H257/4,IF(I257="A2",H257/2,IF(I257="A1",H257/1,IF(I257="A0",H257*2,"")))))</f>
        <v/>
      </c>
      <c r="K257" s="68">
        <f t="array" ref="K257">IFERROR(OFFSET($BZ$11,ROW($B257)-11,MATCH(K$10,$CA257:$FV257,0),),"")</f>
        <v/>
      </c>
      <c r="L257" s="85">
        <f>IF(K257="","",IF(VLOOKUP($B257,INDIRECT("'GRD-"&amp;M257&amp;"'!$B:$R"),16,FALSE)="","",VLOOKUP($B257,INDIRECT("'GRD-"&amp;M257&amp;"'!$B:$R"),16,FALSE)))</f>
        <v/>
      </c>
      <c r="M257" s="130">
        <f t="array" ref="M257">IF(K257="","",IFERROR(OFFSET($BZ$11,0,MATCH($K257,$CA257:$FV257,0),),""))</f>
        <v/>
      </c>
      <c r="N257" s="119">
        <f t="array" ref="N257">IF(K257="","",INDIRECT("'GRD-"&amp;M257&amp;"'!$L$7"))</f>
        <v/>
      </c>
      <c r="O257" s="76">
        <f t="array" ref="O257">IFERROR(OFFSET($BZ$11,ROW($B257)-11,MATCH(O$10,$CA257:$FV257,0),),"")</f>
        <v/>
      </c>
      <c r="P257" s="76">
        <f>IF(O257="","",IF(VLOOKUP($B257,INDIRECT("'GRD-"&amp;Q257&amp;"'!$B:$R"),16,FALSE)="","",VLOOKUP($B257,INDIRECT("'GRD-"&amp;Q257&amp;"'!$B:$R"),16,FALSE)))</f>
        <v/>
      </c>
      <c r="Q257" s="132">
        <f t="array" ref="Q257">IF(O257="","",IFERROR(OFFSET($BZ$11,0,MATCH($O257,$CA257:$FV257,0),),""))</f>
        <v/>
      </c>
      <c r="R257" s="121">
        <f t="array" ref="R257">IF(O257="","",INDIRECT("'GRD-"&amp;Q257&amp;"'!$L$7"))</f>
        <v/>
      </c>
      <c r="S257" s="83">
        <f t="array" ref="S257">IFERROR(OFFSET($BZ$11,ROW($B257)-11,MATCH(S$10,$CA257:$FV257,0),),"")</f>
        <v/>
      </c>
      <c r="T257" s="83">
        <f>IF(S257="","",IF(VLOOKUP($B257,INDIRECT("'GRD-"&amp;U257&amp;"'!$B:$R"),16,FALSE)="","",VLOOKUP($B257,INDIRECT("'GRD-"&amp;U257&amp;"'!$B:$R"),16,FALSE)))</f>
        <v/>
      </c>
      <c r="U257" s="128">
        <f t="array" ref="U257">IF(S257="","",IFERROR(OFFSET($BZ$11,0,MATCH($S257,$CA257:$FV257,0),),""))</f>
        <v/>
      </c>
      <c r="V257" s="133">
        <f t="array" ref="V257">IF(S257="","",INDIRECT("'GRD-"&amp;U257&amp;"'!$L$7"))</f>
        <v/>
      </c>
      <c r="W257" s="84">
        <f t="array" ref="W257">IFERROR(OFFSET($BZ$11,ROW($B257)-11,MATCH(W$10,$CA257:$FV257,0),),"")</f>
        <v/>
      </c>
      <c r="X257" s="84">
        <f>IF(W257="","",IF(VLOOKUP($B257,INDIRECT("'GRD-"&amp;Y257&amp;"'!$B:$R"),16,FALSE)="","",VLOOKUP($B257,INDIRECT("'GRD-"&amp;Y257&amp;"'!$B:$R"),16,FALSE)))</f>
        <v/>
      </c>
      <c r="Y257" s="129">
        <f t="array" ref="Y257">IF(W257="","",IFERROR(OFFSET($BZ$11,0,MATCH($W257,$CA257:$FV257,0),),""))</f>
        <v/>
      </c>
      <c r="Z257" s="134">
        <f t="array" ref="Z257">IF(W257="","",INDIRECT("'GRD-"&amp;Y257&amp;"'!$L$7"))</f>
        <v/>
      </c>
      <c r="AA257" s="85">
        <f t="array" ref="AA257">IFERROR(OFFSET($BZ$11,ROW($B257)-11,MATCH(AA$10,$CA257:$FV257,0),),"")</f>
        <v/>
      </c>
      <c r="AB257" s="85">
        <f>IF(AA257="","",IF(VLOOKUP($B257,INDIRECT("'GRD-"&amp;AC257&amp;"'!$B:$R"),16,FALSE)="","",VLOOKUP($B257,INDIRECT("'GRD-"&amp;AC257&amp;"'!$B:$R"),16,FALSE)))</f>
        <v/>
      </c>
      <c r="AC257" s="130">
        <f t="array" ref="AC257">IF(AA257="","",IFERROR(OFFSET($BZ$11,0,MATCH($AA257,$CA257:$FV257,0),),""))</f>
        <v/>
      </c>
      <c r="AD257" s="131">
        <f t="array" ref="AD257">IF(AA257="","",INDIRECT("'GRD-"&amp;AC257&amp;"'!$L$7"))</f>
        <v/>
      </c>
      <c r="AE257" s="76">
        <f t="array" ref="AE257">IFERROR(OFFSET($BZ$11,ROW($B257)-11,MATCH(AE$10,$CA257:$FV257,0),),"")</f>
        <v/>
      </c>
      <c r="AF257" s="76">
        <f>IF(AE257="","",IF(VLOOKUP($B257,INDIRECT("'GRD-"&amp;AG257&amp;"'!$B:$R"),16,FALSE)="","",VLOOKUP($B257,INDIRECT("'GRD-"&amp;AG257&amp;"'!$B:$R"),16,FALSE)))</f>
        <v/>
      </c>
      <c r="AG257" s="132">
        <f t="array" ref="AG257">IF(AE257="","",IFERROR(OFFSET($BZ$11,0,MATCH($AE257,$CA257:$FV257,0),),""))</f>
        <v/>
      </c>
      <c r="AH257" s="121">
        <f t="array" ref="AH257">IF(AE257="","",INDIRECT("'GRD-"&amp;AG257&amp;"'!$L$7"))</f>
        <v/>
      </c>
      <c r="AI257" s="83">
        <f t="array" ref="AI257">IFERROR(OFFSET($BZ$11,ROW($B257)-11,MATCH(AI$10,$CA257:$FV257,0),),"")</f>
        <v/>
      </c>
      <c r="AJ257" s="83">
        <f>IF(AI257="","",IF(VLOOKUP($B257,INDIRECT("'GRD-"&amp;AK257&amp;"'!$B:$R"),16,FALSE)="","",VLOOKUP($B257,INDIRECT("'GRD-"&amp;AK257&amp;"'!$B:$R"),16,FALSE)))</f>
        <v/>
      </c>
      <c r="AK257" s="128">
        <f t="array" ref="AK257">IF(AI257="","",IFERROR(OFFSET($BZ$11,0,MATCH($AI257,$CA257:$FV257,0),),""))</f>
        <v/>
      </c>
      <c r="AL257" s="133">
        <f t="array" ref="AL257">IF(AI257="","",INDIRECT("'GRD-"&amp;AK257&amp;"'!$L$7"))</f>
        <v/>
      </c>
      <c r="AM257" s="84">
        <f t="array" ref="AM257">IFERROR(OFFSET($BZ$11,ROW($B257)-11,MATCH(AM$10,$CA257:$FV257,0),),"")</f>
        <v/>
      </c>
      <c r="AN257" s="84">
        <f>IF(AM257="","",IF(VLOOKUP($B257,INDIRECT("'GRD-"&amp;AO257&amp;"'!$B:$R"),16,FALSE)="","",VLOOKUP($B257,INDIRECT("'GRD-"&amp;AO257&amp;"'!$B:$R"),16,FALSE)))</f>
        <v/>
      </c>
      <c r="AO257" s="129">
        <f t="array" ref="AO257">IF(AM257="","",IFERROR(OFFSET($BZ$11,0,MATCH($AM257,$CA257:$FV257,0),),""))</f>
        <v/>
      </c>
      <c r="AP257" s="134">
        <f t="array" ref="AP257">IF(AM257="","",INDIRECT("'GRD-"&amp;AO257&amp;"'!$L$7"))</f>
        <v/>
      </c>
      <c r="AQ257" s="85">
        <f t="array" ref="AQ257">IFERROR(OFFSET($BZ$11,ROW($B257)-11,MATCH(AQ$10,$CA257:$FV257,0),),"")</f>
        <v/>
      </c>
      <c r="AR257" s="85">
        <f>IF(AQ257="","",IF(VLOOKUP($B257,INDIRECT("'GRD-"&amp;AS257&amp;"'!$B:$R"),16,FALSE)="","",VLOOKUP($B257,INDIRECT("'GRD-"&amp;AS257&amp;"'!$B:$R"),16,FALSE)))</f>
        <v/>
      </c>
      <c r="AS257" s="130">
        <f t="array" ref="AS257">IF(AQ257="","",IFERROR(OFFSET($BZ$11,0,MATCH($AQ257,$CA257:$FV257,0),),""))</f>
        <v/>
      </c>
      <c r="AT257" s="131">
        <f t="array" ref="AT257">IF(AQ257="","",INDIRECT("'GRD-"&amp;AS257&amp;"'!$L$7"))</f>
        <v/>
      </c>
      <c r="AU257" s="76">
        <f t="array" ref="AU257">IFERROR(OFFSET($BZ$11,ROW($B257)-11,MATCH(AU$10,$CA257:$FV257,0),),"")</f>
        <v/>
      </c>
      <c r="AV257" s="76">
        <f>IF(AU257="","",IF(VLOOKUP($B257,INDIRECT("'GRD-"&amp;AW257&amp;"'!$B:$R"),16,FALSE)="","",VLOOKUP($B257,INDIRECT("'GRD-"&amp;AW257&amp;"'!$B:$R"),16,FALSE)))</f>
        <v/>
      </c>
      <c r="AW257" s="132">
        <f t="array" ref="AW257">IF(AU257="","",IFERROR(OFFSET($BZ$11,0,MATCH($AU257,$CA257:$FV257,0),),""))</f>
        <v/>
      </c>
      <c r="AX257" s="121">
        <f t="array" ref="AX257">IF(AU257="","",INDIRECT("'GRD-"&amp;AW257&amp;"'!$L$7"))</f>
        <v/>
      </c>
      <c r="AY257" s="83">
        <f t="array" ref="AY257">IFERROR(OFFSET($BZ$11,ROW($B257)-11,MATCH(AY$10,$CA257:$FV257,0),),"")</f>
        <v/>
      </c>
      <c r="AZ257" s="83">
        <f>IF(AY257="","",IF(VLOOKUP($B257,INDIRECT("'GRD-"&amp;BA257&amp;"'!$B:$R"),16,FALSE)="","",VLOOKUP($B257,INDIRECT("'GRD-"&amp;BA257&amp;"'!$B:$R"),16,FALSE)))</f>
        <v/>
      </c>
      <c r="BA257" s="128">
        <f t="array" ref="BA257">IF(AY257="","",IFERROR(OFFSET($BZ$11,0,MATCH($AY257,$CA257:$FV257,0),),""))</f>
        <v/>
      </c>
      <c r="BB257" s="133">
        <f t="array" ref="BB257">IF(AY257="","",INDIRECT("'GRD-"&amp;BA257&amp;"'!$L$7"))</f>
        <v/>
      </c>
      <c r="BC257" s="84">
        <f t="array" ref="BC257">IFERROR(OFFSET($BZ$11,ROW($B257)-11,MATCH(BC$10,$CA257:$FV257,0),),"")</f>
        <v/>
      </c>
      <c r="BD257" s="84">
        <f>IF(BC257="","",IF(VLOOKUP($B257,INDIRECT("'GRD-"&amp;BE257&amp;"'!$B:$R"),16,FALSE)="","",VLOOKUP($B257,INDIRECT("'GRD-"&amp;BE257&amp;"'!$B:$R"),16,FALSE)))</f>
        <v/>
      </c>
      <c r="BE257" s="129">
        <f t="array" ref="BE257">IF(BC257="","",IFERROR(OFFSET($BZ$11,0,MATCH($BC257,$CA257:$FV257,0),),""))</f>
        <v/>
      </c>
      <c r="BF257" s="134">
        <f t="array" ref="BF257">IF(BC257="","",INDIRECT("'GRD-"&amp;BE257&amp;"'!$L$7"))</f>
        <v/>
      </c>
      <c r="CA257" s="96">
        <f>IFERROR(VLOOKUP($B257,INDIRECT("'GRD-"&amp;CA$11&amp;"'!B:R"),15,FALSE),"")</f>
        <v/>
      </c>
      <c r="CB257" s="96">
        <f>IFERROR(VLOOKUP($B257,INDIRECT("'GRD-"&amp;CB$11&amp;"'!B:R"),15,FALSE),"")</f>
        <v/>
      </c>
      <c r="CC257" s="96">
        <f>IFERROR(VLOOKUP($B257,INDIRECT("'GRD-"&amp;CC$11&amp;"'!B:R"),15,FALSE),"")</f>
        <v/>
      </c>
      <c r="CD257" s="96">
        <f>IFERROR(VLOOKUP($B257,INDIRECT("'GRD-"&amp;CD$11&amp;"'!B:R"),15,FALSE),"")</f>
        <v/>
      </c>
      <c r="CE257" s="96">
        <f>IFERROR(VLOOKUP($B257,INDIRECT("'GRD-"&amp;CE$11&amp;"'!B:R"),15,FALSE),"")</f>
        <v/>
      </c>
      <c r="CF257" s="96">
        <f>IFERROR(VLOOKUP($B257,INDIRECT("'GRD-"&amp;CF$11&amp;"'!B:R"),15,FALSE),"")</f>
        <v/>
      </c>
      <c r="CG257" s="96">
        <f>IFERROR(VLOOKUP($B257,INDIRECT("'GRD-"&amp;CG$11&amp;"'!B:R"),15,FALSE),"")</f>
        <v/>
      </c>
      <c r="CH257" s="96">
        <f>IFERROR(VLOOKUP($B257,INDIRECT("'GRD-"&amp;CH$11&amp;"'!B:R"),15,FALSE),"")</f>
        <v/>
      </c>
      <c r="CI257" s="96">
        <f>IFERROR(VLOOKUP($B257,INDIRECT("'GRD-"&amp;CI$11&amp;"'!B:R"),15,FALSE),"")</f>
        <v/>
      </c>
      <c r="CJ257" s="96">
        <f>IFERROR(VLOOKUP($B257,INDIRECT("'GRD-"&amp;CJ$11&amp;"'!B:R"),15,FALSE),"")</f>
        <v/>
      </c>
      <c r="CK257" s="96">
        <f>IFERROR(VLOOKUP($B257,INDIRECT("'GRD-"&amp;CK$11&amp;"'!B:R"),15,FALSE),"")</f>
        <v/>
      </c>
      <c r="CL257" s="96">
        <f>IFERROR(VLOOKUP($B257,INDIRECT("'GRD-"&amp;CL$11&amp;"'!B:R"),15,FALSE),"")</f>
        <v/>
      </c>
      <c r="CM257" s="96">
        <f>IFERROR(VLOOKUP($B257,INDIRECT("'GRD-"&amp;CM$11&amp;"'!B:R"),15,FALSE),"")</f>
        <v/>
      </c>
      <c r="CN257" s="96">
        <f>IFERROR(VLOOKUP($B257,INDIRECT("'GRD-"&amp;CN$11&amp;"'!B:R"),15,FALSE),"")</f>
        <v/>
      </c>
      <c r="CO257" s="96">
        <f>IFERROR(VLOOKUP($B257,INDIRECT("'GRD-"&amp;CO$11&amp;"'!B:R"),15,FALSE),"")</f>
        <v/>
      </c>
      <c r="CP257" s="96">
        <f>IFERROR(VLOOKUP($B257,INDIRECT("'GRD-"&amp;CP$11&amp;"'!B:R"),15,FALSE),"")</f>
        <v/>
      </c>
      <c r="CQ257" s="96">
        <f>IFERROR(VLOOKUP($B257,INDIRECT("'GRD-"&amp;CQ$11&amp;"'!B:R"),15,FALSE),"")</f>
        <v/>
      </c>
      <c r="CR257" s="96">
        <f>IFERROR(VLOOKUP($B257,INDIRECT("'GRD-"&amp;CR$11&amp;"'!B:R"),15,FALSE),"")</f>
        <v/>
      </c>
      <c r="CS257" s="96">
        <f>IFERROR(VLOOKUP($B257,INDIRECT("'GRD-"&amp;CS$11&amp;"'!B:R"),15,FALSE),"")</f>
        <v/>
      </c>
      <c r="CT257" s="96">
        <f>IFERROR(VLOOKUP($B257,INDIRECT("'GRD-"&amp;CT$11&amp;"'!B:R"),15,FALSE),"")</f>
        <v/>
      </c>
      <c r="CU257" s="96">
        <f>IFERROR(VLOOKUP($B257,INDIRECT("'GRD-"&amp;CU$11&amp;"'!B:R"),15,FALSE),"")</f>
        <v/>
      </c>
      <c r="CV257" s="96">
        <f>IFERROR(VLOOKUP($B257,INDIRECT("'GRD-"&amp;CV$11&amp;"'!B:R"),15,FALSE),"")</f>
        <v/>
      </c>
      <c r="CW257" s="96">
        <f>IFERROR(VLOOKUP($B257,INDIRECT("'GRD-"&amp;CW$11&amp;"'!B:R"),15,FALSE),"")</f>
        <v/>
      </c>
      <c r="CX257" s="96">
        <f>IFERROR(VLOOKUP($B257,INDIRECT("'GRD-"&amp;CX$11&amp;"'!B:R"),15,FALSE),"")</f>
        <v/>
      </c>
      <c r="CY257" s="96">
        <f>IFERROR(VLOOKUP($B257,INDIRECT("'GRD-"&amp;CY$11&amp;"'!B:R"),15,FALSE),"")</f>
        <v/>
      </c>
      <c r="CZ257" s="96">
        <f>IFERROR(VLOOKUP($B257,INDIRECT("'GRD-"&amp;CZ$11&amp;"'!B:R"),15,FALSE),"")</f>
        <v/>
      </c>
      <c r="DA257" s="96">
        <f>IFERROR(VLOOKUP($B257,INDIRECT("'GRD-"&amp;DA$11&amp;"'!B:R"),15,FALSE),"")</f>
        <v/>
      </c>
      <c r="DB257" s="96">
        <f>IFERROR(VLOOKUP($B257,INDIRECT("'GRD-"&amp;DB$11&amp;"'!B:R"),15,FALSE),"")</f>
        <v/>
      </c>
      <c r="DC257" s="96">
        <f>IFERROR(VLOOKUP($B257,INDIRECT("'GRD-"&amp;DC$11&amp;"'!B:R"),15,FALSE),"")</f>
        <v/>
      </c>
      <c r="DD257" s="96">
        <f>IFERROR(VLOOKUP($B257,INDIRECT("'GRD-"&amp;DD$11&amp;"'!B:R"),15,FALSE),"")</f>
        <v/>
      </c>
      <c r="DE257" s="96">
        <f>IFERROR(VLOOKUP($B257,INDIRECT("'GRD-"&amp;DE$11&amp;"'!B:R"),15,FALSE),"")</f>
        <v/>
      </c>
      <c r="DF257" s="96">
        <f>IFERROR(VLOOKUP($B257,INDIRECT("'GRD-"&amp;DF$11&amp;"'!B:R"),15,FALSE),"")</f>
        <v/>
      </c>
      <c r="DG257" s="96">
        <f>IFERROR(VLOOKUP($B257,INDIRECT("'GRD-"&amp;DG$11&amp;"'!B:R"),15,FALSE),"")</f>
        <v/>
      </c>
      <c r="DH257" s="96">
        <f>IFERROR(VLOOKUP($B257,INDIRECT("'GRD-"&amp;DH$11&amp;"'!B:R"),15,FALSE),"")</f>
        <v/>
      </c>
      <c r="DI257" s="96">
        <f>IFERROR(VLOOKUP($B257,INDIRECT("'GRD-"&amp;DI$11&amp;"'!B:R"),15,FALSE),"")</f>
        <v/>
      </c>
      <c r="DJ257" s="96">
        <f>IFERROR(VLOOKUP($B257,INDIRECT("'GRD-"&amp;DJ$11&amp;"'!B:R"),15,FALSE),"")</f>
        <v/>
      </c>
      <c r="DK257" s="96">
        <f>IFERROR(VLOOKUP($B257,INDIRECT("'GRD-"&amp;DK$11&amp;"'!B:R"),15,FALSE),"")</f>
        <v/>
      </c>
      <c r="DL257" s="96">
        <f>IFERROR(VLOOKUP($B257,INDIRECT("'GRD-"&amp;DL$11&amp;"'!B:R"),15,FALSE),"")</f>
        <v/>
      </c>
      <c r="DM257" s="96">
        <f>IFERROR(VLOOKUP($B257,INDIRECT("'GRD-"&amp;DM$11&amp;"'!B:R"),15,FALSE),"")</f>
        <v/>
      </c>
      <c r="DN257" s="96">
        <f>IFERROR(VLOOKUP($B257,INDIRECT("'GRD-"&amp;DN$11&amp;"'!B:R"),15,FALSE),"")</f>
        <v/>
      </c>
      <c r="DO257" s="96">
        <f>IFERROR(VLOOKUP($B257,INDIRECT("'GRD-"&amp;DO$11&amp;"'!B:R"),15,FALSE),"")</f>
        <v/>
      </c>
      <c r="DP257" s="96">
        <f>IFERROR(VLOOKUP($B257,INDIRECT("'GRD-"&amp;DP$11&amp;"'!B:R"),15,FALSE),"")</f>
        <v/>
      </c>
      <c r="DQ257" s="96">
        <f>IFERROR(VLOOKUP($B257,INDIRECT("'GRD-"&amp;DQ$11&amp;"'!B:R"),15,FALSE),"")</f>
        <v/>
      </c>
      <c r="DR257" s="96">
        <f>IFERROR(VLOOKUP($B257,INDIRECT("'GRD-"&amp;DR$11&amp;"'!B:R"),15,FALSE),"")</f>
        <v/>
      </c>
      <c r="DS257" s="96">
        <f>IFERROR(VLOOKUP($B257,INDIRECT("'GRD-"&amp;DS$11&amp;"'!B:R"),15,FALSE),"")</f>
        <v/>
      </c>
      <c r="DT257" s="96">
        <f>IFERROR(VLOOKUP($B257,INDIRECT("'GRD-"&amp;DT$11&amp;"'!B:R"),15,FALSE),"")</f>
        <v/>
      </c>
      <c r="DU257" s="96">
        <f>IFERROR(VLOOKUP($B257,INDIRECT("'GRD-"&amp;DU$11&amp;"'!B:R"),15,FALSE),"")</f>
        <v/>
      </c>
      <c r="DV257" s="96">
        <f>IFERROR(VLOOKUP($B257,INDIRECT("'GRD-"&amp;DV$11&amp;"'!B:R"),15,FALSE),"")</f>
        <v/>
      </c>
      <c r="DW257" s="96">
        <f>IFERROR(VLOOKUP($B257,INDIRECT("'GRD-"&amp;DW$11&amp;"'!B:R"),15,FALSE),"")</f>
        <v/>
      </c>
      <c r="DX257" s="96">
        <f>IFERROR(VLOOKUP($B257,INDIRECT("'GRD-"&amp;DX$11&amp;"'!B:R"),15,FALSE),"")</f>
        <v/>
      </c>
      <c r="DY257" s="96">
        <f>IFERROR(VLOOKUP($B257,INDIRECT("'GRD-"&amp;DY$11&amp;"'!B:R"),15,FALSE),"")</f>
        <v/>
      </c>
      <c r="DZ257" s="96">
        <f>IFERROR(VLOOKUP($B257,INDIRECT("'GRD-"&amp;DZ$11&amp;"'!B:R"),15,FALSE),"")</f>
        <v/>
      </c>
      <c r="EA257" s="96">
        <f>IFERROR(VLOOKUP($B257,INDIRECT("'GRD-"&amp;EA$11&amp;"'!B:R"),15,FALSE),"")</f>
        <v/>
      </c>
      <c r="EB257" s="96">
        <f>IFERROR(VLOOKUP($B257,INDIRECT("'GRD-"&amp;EB$11&amp;"'!B:R"),15,FALSE),"")</f>
        <v/>
      </c>
      <c r="EC257" s="96">
        <f>IFERROR(VLOOKUP($B257,INDIRECT("'GRD-"&amp;EC$11&amp;"'!B:R"),15,FALSE),"")</f>
        <v/>
      </c>
      <c r="ED257" s="96">
        <f>IFERROR(VLOOKUP($B257,INDIRECT("'GRD-"&amp;ED$11&amp;"'!B:R"),15,FALSE),"")</f>
        <v/>
      </c>
      <c r="EE257" s="96">
        <f>IFERROR(VLOOKUP($B257,INDIRECT("'GRD-"&amp;EE$11&amp;"'!B:R"),15,FALSE),"")</f>
        <v/>
      </c>
      <c r="EF257" s="96">
        <f>IFERROR(VLOOKUP($B257,INDIRECT("'GRD-"&amp;EF$11&amp;"'!B:R"),15,FALSE),"")</f>
        <v/>
      </c>
      <c r="EG257" s="96">
        <f>IFERROR(VLOOKUP($B257,INDIRECT("'GRD-"&amp;EG$11&amp;"'!B:R"),15,FALSE),"")</f>
        <v/>
      </c>
      <c r="EH257" s="96">
        <f>IFERROR(VLOOKUP($B257,INDIRECT("'GRD-"&amp;EH$11&amp;"'!B:R"),15,FALSE),"")</f>
        <v/>
      </c>
      <c r="EI257" s="96">
        <f>IFERROR(VLOOKUP($B257,INDIRECT("'GRD-"&amp;EI$11&amp;"'!B:R"),15,FALSE),"")</f>
        <v/>
      </c>
      <c r="EJ257" s="96">
        <f>IFERROR(VLOOKUP($B257,INDIRECT("'GRD-"&amp;EJ$11&amp;"'!B:R"),15,FALSE),"")</f>
        <v/>
      </c>
      <c r="EK257" s="96">
        <f>IFERROR(VLOOKUP($B257,INDIRECT("'GRD-"&amp;EK$11&amp;"'!B:R"),15,FALSE),"")</f>
        <v/>
      </c>
      <c r="EL257" s="96">
        <f>IFERROR(VLOOKUP($B257,INDIRECT("'GRD-"&amp;EL$11&amp;"'!B:R"),15,FALSE),"")</f>
        <v/>
      </c>
      <c r="EM257" s="96">
        <f>IFERROR(VLOOKUP($B257,INDIRECT("'GRD-"&amp;EM$11&amp;"'!B:R"),15,FALSE),"")</f>
        <v/>
      </c>
      <c r="EN257" s="96">
        <f>IFERROR(VLOOKUP($B257,INDIRECT("'GRD-"&amp;EN$11&amp;"'!B:R"),15,FALSE),"")</f>
        <v/>
      </c>
      <c r="EO257" s="96">
        <f>IFERROR(VLOOKUP($B257,INDIRECT("'GRD-"&amp;EO$11&amp;"'!B:R"),15,FALSE),"")</f>
        <v/>
      </c>
      <c r="EP257" s="96">
        <f>IFERROR(VLOOKUP($B257,INDIRECT("'GRD-"&amp;EP$11&amp;"'!B:R"),15,FALSE),"")</f>
        <v/>
      </c>
      <c r="EQ257" s="96">
        <f>IFERROR(VLOOKUP($B257,INDIRECT("'GRD-"&amp;EQ$11&amp;"'!B:R"),15,FALSE),"")</f>
        <v/>
      </c>
      <c r="ER257" s="96">
        <f>IFERROR(VLOOKUP($B257,INDIRECT("'GRD-"&amp;ER$11&amp;"'!B:R"),15,FALSE),"")</f>
        <v/>
      </c>
      <c r="ES257" s="96">
        <f>IFERROR(VLOOKUP($B257,INDIRECT("'GRD-"&amp;ES$11&amp;"'!B:R"),15,FALSE),"")</f>
        <v/>
      </c>
      <c r="ET257" s="96">
        <f>IFERROR(VLOOKUP($B257,INDIRECT("'GRD-"&amp;ET$11&amp;"'!B:R"),15,FALSE),"")</f>
        <v/>
      </c>
      <c r="EU257" s="96">
        <f>IFERROR(VLOOKUP($B257,INDIRECT("'GRD-"&amp;EU$11&amp;"'!B:R"),15,FALSE),"")</f>
        <v/>
      </c>
      <c r="EV257" s="96">
        <f>IFERROR(VLOOKUP($B257,INDIRECT("'GRD-"&amp;EV$11&amp;"'!B:R"),15,FALSE),"")</f>
        <v/>
      </c>
      <c r="EW257" s="96">
        <f>IFERROR(VLOOKUP($B257,INDIRECT("'GRD-"&amp;EW$11&amp;"'!B:R"),15,FALSE),"")</f>
        <v/>
      </c>
      <c r="EX257" s="96">
        <f>IFERROR(VLOOKUP($B257,INDIRECT("'GRD-"&amp;EX$11&amp;"'!B:R"),15,FALSE),"")</f>
        <v/>
      </c>
      <c r="EY257" s="96">
        <f>IFERROR(VLOOKUP($B257,INDIRECT("'GRD-"&amp;EY$11&amp;"'!B:R"),15,FALSE),"")</f>
        <v/>
      </c>
      <c r="EZ257" s="96">
        <f>IFERROR(VLOOKUP($B257,INDIRECT("'GRD-"&amp;EZ$11&amp;"'!B:R"),15,FALSE),"")</f>
        <v/>
      </c>
      <c r="FA257" s="96">
        <f>IFERROR(VLOOKUP($B257,INDIRECT("'GRD-"&amp;FA$11&amp;"'!B:R"),15,FALSE),"")</f>
        <v/>
      </c>
      <c r="FB257" s="96">
        <f>IFERROR(VLOOKUP($B257,INDIRECT("'GRD-"&amp;FB$11&amp;"'!B:R"),15,FALSE),"")</f>
        <v/>
      </c>
      <c r="FC257" s="96">
        <f>IFERROR(VLOOKUP($B257,INDIRECT("'GRD-"&amp;FC$11&amp;"'!B:R"),15,FALSE),"")</f>
        <v/>
      </c>
      <c r="FD257" s="96">
        <f>IFERROR(VLOOKUP($B257,INDIRECT("'GRD-"&amp;FD$11&amp;"'!B:R"),15,FALSE),"")</f>
        <v/>
      </c>
      <c r="FE257" s="96">
        <f>IFERROR(VLOOKUP($B257,INDIRECT("'GRD-"&amp;FE$11&amp;"'!B:R"),15,FALSE),"")</f>
        <v/>
      </c>
      <c r="FF257" s="96">
        <f>IFERROR(VLOOKUP($B257,INDIRECT("'GRD-"&amp;FF$11&amp;"'!B:R"),15,FALSE),"")</f>
        <v/>
      </c>
      <c r="FG257" s="96">
        <f>IFERROR(VLOOKUP($B257,INDIRECT("'GRD-"&amp;FG$11&amp;"'!B:R"),15,FALSE),"")</f>
        <v/>
      </c>
      <c r="FH257" s="96">
        <f>IFERROR(VLOOKUP($B257,INDIRECT("'GRD-"&amp;FH$11&amp;"'!B:R"),15,FALSE),"")</f>
        <v/>
      </c>
      <c r="FI257" s="96">
        <f>IFERROR(VLOOKUP($B257,INDIRECT("'GRD-"&amp;FI$11&amp;"'!B:R"),15,FALSE),"")</f>
        <v/>
      </c>
      <c r="FJ257" s="96">
        <f>IFERROR(VLOOKUP($B257,INDIRECT("'GRD-"&amp;FJ$11&amp;"'!B:R"),15,FALSE),"")</f>
        <v/>
      </c>
      <c r="FK257" s="96">
        <f>IFERROR(VLOOKUP($B257,INDIRECT("'GRD-"&amp;FK$11&amp;"'!B:R"),15,FALSE),"")</f>
        <v/>
      </c>
      <c r="FL257" s="96">
        <f>IFERROR(VLOOKUP($B257,INDIRECT("'GRD-"&amp;FL$11&amp;"'!B:R"),15,FALSE),"")</f>
        <v/>
      </c>
      <c r="FM257" s="96">
        <f>IFERROR(VLOOKUP($B257,INDIRECT("'GRD-"&amp;FM$11&amp;"'!B:R"),15,FALSE),"")</f>
        <v/>
      </c>
      <c r="FN257" s="96">
        <f>IFERROR(VLOOKUP($B257,INDIRECT("'GRD-"&amp;FN$11&amp;"'!B:R"),15,FALSE),"")</f>
        <v/>
      </c>
      <c r="FO257" s="96">
        <f>IFERROR(VLOOKUP($B257,INDIRECT("'GRD-"&amp;FO$11&amp;"'!B:R"),15,FALSE),"")</f>
        <v/>
      </c>
      <c r="FP257" s="96">
        <f>IFERROR(VLOOKUP($B257,INDIRECT("'GRD-"&amp;FP$11&amp;"'!B:R"),15,FALSE),"")</f>
        <v/>
      </c>
      <c r="FQ257" s="96">
        <f>IFERROR(VLOOKUP($B257,INDIRECT("'GRD-"&amp;FQ$11&amp;"'!B:R"),15,FALSE),"")</f>
        <v/>
      </c>
      <c r="FR257" s="96">
        <f>IFERROR(VLOOKUP($B257,INDIRECT("'GRD-"&amp;FR$11&amp;"'!B:R"),15,FALSE),"")</f>
        <v/>
      </c>
      <c r="FS257" s="96">
        <f>IFERROR(VLOOKUP($B257,INDIRECT("'GRD-"&amp;FS$11&amp;"'!B:R"),15,FALSE),"")</f>
        <v/>
      </c>
      <c r="FT257" s="96">
        <f>IFERROR(VLOOKUP($B257,INDIRECT("'GRD-"&amp;FT$11&amp;"'!B:R"),15,FALSE),"")</f>
        <v/>
      </c>
      <c r="FU257" s="96">
        <f>IFERROR(VLOOKUP($B257,INDIRECT("'GRD-"&amp;FU$11&amp;"'!B:R"),15,FALSE),"")</f>
        <v/>
      </c>
      <c r="FV257" s="96">
        <f>IFERROR(VLOOKUP($B257,INDIRECT("'GRD-"&amp;FV$11&amp;"'!B:R"),15,FALSE),"")</f>
        <v/>
      </c>
    </row>
    <row r="258">
      <c r="B258" s="85" t="n"/>
      <c r="C258" s="93" t="n"/>
      <c r="D258" s="73">
        <f>IF(K258="","",MAX($CA258:$FV258))</f>
        <v/>
      </c>
      <c r="E258" s="74">
        <f t="array" ref="E258">IF($K258="","",OFFSET($A$1,ROW($B258)-1,11+$D258*4,))</f>
        <v/>
      </c>
      <c r="F258" s="74">
        <f t="array" ref="F258">IF($K258="","",OFFSET($A$1,ROW($B258)-1,12+$D258*4,))</f>
        <v/>
      </c>
      <c r="G258" s="118">
        <f t="array" ref="G258">IF($K258="","",OFFSET($A$1,ROW($B258)-1,13+$D258*4,))</f>
        <v/>
      </c>
      <c r="H258" s="81" t="n"/>
      <c r="I258" s="82" t="n"/>
      <c r="J258" s="75">
        <f>IF(I258="A4",H258/8,IF(I258="A3",H258/4,IF(I258="A2",H258/2,IF(I258="A1",H258/1,IF(I258="A0",H258*2,"")))))</f>
        <v/>
      </c>
      <c r="K258" s="68">
        <f t="array" ref="K258">IFERROR(OFFSET($BZ$11,ROW($B258)-11,MATCH(K$10,$CA258:$FV258,0),),"")</f>
        <v/>
      </c>
      <c r="L258" s="85">
        <f>IF(K258="","",IF(VLOOKUP($B258,INDIRECT("'GRD-"&amp;M258&amp;"'!$B:$R"),16,FALSE)="","",VLOOKUP($B258,INDIRECT("'GRD-"&amp;M258&amp;"'!$B:$R"),16,FALSE)))</f>
        <v/>
      </c>
      <c r="M258" s="130">
        <f t="array" ref="M258">IF(K258="","",IFERROR(OFFSET($BZ$11,0,MATCH($K258,$CA258:$FV258,0),),""))</f>
        <v/>
      </c>
      <c r="N258" s="119">
        <f t="array" ref="N258">IF(K258="","",INDIRECT("'GRD-"&amp;M258&amp;"'!$L$7"))</f>
        <v/>
      </c>
      <c r="O258" s="76">
        <f t="array" ref="O258">IFERROR(OFFSET($BZ$11,ROW($B258)-11,MATCH(O$10,$CA258:$FV258,0),),"")</f>
        <v/>
      </c>
      <c r="P258" s="76">
        <f>IF(O258="","",IF(VLOOKUP($B258,INDIRECT("'GRD-"&amp;Q258&amp;"'!$B:$R"),16,FALSE)="","",VLOOKUP($B258,INDIRECT("'GRD-"&amp;Q258&amp;"'!$B:$R"),16,FALSE)))</f>
        <v/>
      </c>
      <c r="Q258" s="132">
        <f t="array" ref="Q258">IF(O258="","",IFERROR(OFFSET($BZ$11,0,MATCH($O258,$CA258:$FV258,0),),""))</f>
        <v/>
      </c>
      <c r="R258" s="121">
        <f t="array" ref="R258">IF(O258="","",INDIRECT("'GRD-"&amp;Q258&amp;"'!$L$7"))</f>
        <v/>
      </c>
      <c r="S258" s="83">
        <f t="array" ref="S258">IFERROR(OFFSET($BZ$11,ROW($B258)-11,MATCH(S$10,$CA258:$FV258,0),),"")</f>
        <v/>
      </c>
      <c r="T258" s="83">
        <f>IF(S258="","",IF(VLOOKUP($B258,INDIRECT("'GRD-"&amp;U258&amp;"'!$B:$R"),16,FALSE)="","",VLOOKUP($B258,INDIRECT("'GRD-"&amp;U258&amp;"'!$B:$R"),16,FALSE)))</f>
        <v/>
      </c>
      <c r="U258" s="128">
        <f t="array" ref="U258">IF(S258="","",IFERROR(OFFSET($BZ$11,0,MATCH($S258,$CA258:$FV258,0),),""))</f>
        <v/>
      </c>
      <c r="V258" s="133">
        <f t="array" ref="V258">IF(S258="","",INDIRECT("'GRD-"&amp;U258&amp;"'!$L$7"))</f>
        <v/>
      </c>
      <c r="W258" s="84">
        <f t="array" ref="W258">IFERROR(OFFSET($BZ$11,ROW($B258)-11,MATCH(W$10,$CA258:$FV258,0),),"")</f>
        <v/>
      </c>
      <c r="X258" s="84">
        <f>IF(W258="","",IF(VLOOKUP($B258,INDIRECT("'GRD-"&amp;Y258&amp;"'!$B:$R"),16,FALSE)="","",VLOOKUP($B258,INDIRECT("'GRD-"&amp;Y258&amp;"'!$B:$R"),16,FALSE)))</f>
        <v/>
      </c>
      <c r="Y258" s="129">
        <f t="array" ref="Y258">IF(W258="","",IFERROR(OFFSET($BZ$11,0,MATCH($W258,$CA258:$FV258,0),),""))</f>
        <v/>
      </c>
      <c r="Z258" s="134">
        <f t="array" ref="Z258">IF(W258="","",INDIRECT("'GRD-"&amp;Y258&amp;"'!$L$7"))</f>
        <v/>
      </c>
      <c r="AA258" s="85">
        <f t="array" ref="AA258">IFERROR(OFFSET($BZ$11,ROW($B258)-11,MATCH(AA$10,$CA258:$FV258,0),),"")</f>
        <v/>
      </c>
      <c r="AB258" s="85">
        <f>IF(AA258="","",IF(VLOOKUP($B258,INDIRECT("'GRD-"&amp;AC258&amp;"'!$B:$R"),16,FALSE)="","",VLOOKUP($B258,INDIRECT("'GRD-"&amp;AC258&amp;"'!$B:$R"),16,FALSE)))</f>
        <v/>
      </c>
      <c r="AC258" s="130">
        <f t="array" ref="AC258">IF(AA258="","",IFERROR(OFFSET($BZ$11,0,MATCH($AA258,$CA258:$FV258,0),),""))</f>
        <v/>
      </c>
      <c r="AD258" s="131">
        <f t="array" ref="AD258">IF(AA258="","",INDIRECT("'GRD-"&amp;AC258&amp;"'!$L$7"))</f>
        <v/>
      </c>
      <c r="AE258" s="76">
        <f t="array" ref="AE258">IFERROR(OFFSET($BZ$11,ROW($B258)-11,MATCH(AE$10,$CA258:$FV258,0),),"")</f>
        <v/>
      </c>
      <c r="AF258" s="76">
        <f>IF(AE258="","",IF(VLOOKUP($B258,INDIRECT("'GRD-"&amp;AG258&amp;"'!$B:$R"),16,FALSE)="","",VLOOKUP($B258,INDIRECT("'GRD-"&amp;AG258&amp;"'!$B:$R"),16,FALSE)))</f>
        <v/>
      </c>
      <c r="AG258" s="132">
        <f t="array" ref="AG258">IF(AE258="","",IFERROR(OFFSET($BZ$11,0,MATCH($AE258,$CA258:$FV258,0),),""))</f>
        <v/>
      </c>
      <c r="AH258" s="121">
        <f t="array" ref="AH258">IF(AE258="","",INDIRECT("'GRD-"&amp;AG258&amp;"'!$L$7"))</f>
        <v/>
      </c>
      <c r="AI258" s="83">
        <f t="array" ref="AI258">IFERROR(OFFSET($BZ$11,ROW($B258)-11,MATCH(AI$10,$CA258:$FV258,0),),"")</f>
        <v/>
      </c>
      <c r="AJ258" s="83">
        <f>IF(AI258="","",IF(VLOOKUP($B258,INDIRECT("'GRD-"&amp;AK258&amp;"'!$B:$R"),16,FALSE)="","",VLOOKUP($B258,INDIRECT("'GRD-"&amp;AK258&amp;"'!$B:$R"),16,FALSE)))</f>
        <v/>
      </c>
      <c r="AK258" s="128">
        <f t="array" ref="AK258">IF(AI258="","",IFERROR(OFFSET($BZ$11,0,MATCH($AI258,$CA258:$FV258,0),),""))</f>
        <v/>
      </c>
      <c r="AL258" s="133">
        <f t="array" ref="AL258">IF(AI258="","",INDIRECT("'GRD-"&amp;AK258&amp;"'!$L$7"))</f>
        <v/>
      </c>
      <c r="AM258" s="84">
        <f t="array" ref="AM258">IFERROR(OFFSET($BZ$11,ROW($B258)-11,MATCH(AM$10,$CA258:$FV258,0),),"")</f>
        <v/>
      </c>
      <c r="AN258" s="84">
        <f>IF(AM258="","",IF(VLOOKUP($B258,INDIRECT("'GRD-"&amp;AO258&amp;"'!$B:$R"),16,FALSE)="","",VLOOKUP($B258,INDIRECT("'GRD-"&amp;AO258&amp;"'!$B:$R"),16,FALSE)))</f>
        <v/>
      </c>
      <c r="AO258" s="129">
        <f t="array" ref="AO258">IF(AM258="","",IFERROR(OFFSET($BZ$11,0,MATCH($AM258,$CA258:$FV258,0),),""))</f>
        <v/>
      </c>
      <c r="AP258" s="134">
        <f t="array" ref="AP258">IF(AM258="","",INDIRECT("'GRD-"&amp;AO258&amp;"'!$L$7"))</f>
        <v/>
      </c>
      <c r="AQ258" s="85">
        <f t="array" ref="AQ258">IFERROR(OFFSET($BZ$11,ROW($B258)-11,MATCH(AQ$10,$CA258:$FV258,0),),"")</f>
        <v/>
      </c>
      <c r="AR258" s="85">
        <f>IF(AQ258="","",IF(VLOOKUP($B258,INDIRECT("'GRD-"&amp;AS258&amp;"'!$B:$R"),16,FALSE)="","",VLOOKUP($B258,INDIRECT("'GRD-"&amp;AS258&amp;"'!$B:$R"),16,FALSE)))</f>
        <v/>
      </c>
      <c r="AS258" s="130">
        <f t="array" ref="AS258">IF(AQ258="","",IFERROR(OFFSET($BZ$11,0,MATCH($AQ258,$CA258:$FV258,0),),""))</f>
        <v/>
      </c>
      <c r="AT258" s="131">
        <f t="array" ref="AT258">IF(AQ258="","",INDIRECT("'GRD-"&amp;AS258&amp;"'!$L$7"))</f>
        <v/>
      </c>
      <c r="AU258" s="76">
        <f t="array" ref="AU258">IFERROR(OFFSET($BZ$11,ROW($B258)-11,MATCH(AU$10,$CA258:$FV258,0),),"")</f>
        <v/>
      </c>
      <c r="AV258" s="76">
        <f>IF(AU258="","",IF(VLOOKUP($B258,INDIRECT("'GRD-"&amp;AW258&amp;"'!$B:$R"),16,FALSE)="","",VLOOKUP($B258,INDIRECT("'GRD-"&amp;AW258&amp;"'!$B:$R"),16,FALSE)))</f>
        <v/>
      </c>
      <c r="AW258" s="132">
        <f t="array" ref="AW258">IF(AU258="","",IFERROR(OFFSET($BZ$11,0,MATCH($AU258,$CA258:$FV258,0),),""))</f>
        <v/>
      </c>
      <c r="AX258" s="121">
        <f t="array" ref="AX258">IF(AU258="","",INDIRECT("'GRD-"&amp;AW258&amp;"'!$L$7"))</f>
        <v/>
      </c>
      <c r="AY258" s="83">
        <f t="array" ref="AY258">IFERROR(OFFSET($BZ$11,ROW($B258)-11,MATCH(AY$10,$CA258:$FV258,0),),"")</f>
        <v/>
      </c>
      <c r="AZ258" s="83">
        <f>IF(AY258="","",IF(VLOOKUP($B258,INDIRECT("'GRD-"&amp;BA258&amp;"'!$B:$R"),16,FALSE)="","",VLOOKUP($B258,INDIRECT("'GRD-"&amp;BA258&amp;"'!$B:$R"),16,FALSE)))</f>
        <v/>
      </c>
      <c r="BA258" s="128">
        <f t="array" ref="BA258">IF(AY258="","",IFERROR(OFFSET($BZ$11,0,MATCH($AY258,$CA258:$FV258,0),),""))</f>
        <v/>
      </c>
      <c r="BB258" s="133">
        <f t="array" ref="BB258">IF(AY258="","",INDIRECT("'GRD-"&amp;BA258&amp;"'!$L$7"))</f>
        <v/>
      </c>
      <c r="BC258" s="84">
        <f t="array" ref="BC258">IFERROR(OFFSET($BZ$11,ROW($B258)-11,MATCH(BC$10,$CA258:$FV258,0),),"")</f>
        <v/>
      </c>
      <c r="BD258" s="84">
        <f>IF(BC258="","",IF(VLOOKUP($B258,INDIRECT("'GRD-"&amp;BE258&amp;"'!$B:$R"),16,FALSE)="","",VLOOKUP($B258,INDIRECT("'GRD-"&amp;BE258&amp;"'!$B:$R"),16,FALSE)))</f>
        <v/>
      </c>
      <c r="BE258" s="129">
        <f t="array" ref="BE258">IF(BC258="","",IFERROR(OFFSET($BZ$11,0,MATCH($BC258,$CA258:$FV258,0),),""))</f>
        <v/>
      </c>
      <c r="BF258" s="134">
        <f t="array" ref="BF258">IF(BC258="","",INDIRECT("'GRD-"&amp;BE258&amp;"'!$L$7"))</f>
        <v/>
      </c>
      <c r="CA258" s="96">
        <f>IFERROR(VLOOKUP($B258,INDIRECT("'GRD-"&amp;CA$11&amp;"'!B:R"),15,FALSE),"")</f>
        <v/>
      </c>
      <c r="CB258" s="96">
        <f>IFERROR(VLOOKUP($B258,INDIRECT("'GRD-"&amp;CB$11&amp;"'!B:R"),15,FALSE),"")</f>
        <v/>
      </c>
      <c r="CC258" s="96">
        <f>IFERROR(VLOOKUP($B258,INDIRECT("'GRD-"&amp;CC$11&amp;"'!B:R"),15,FALSE),"")</f>
        <v/>
      </c>
      <c r="CD258" s="96">
        <f>IFERROR(VLOOKUP($B258,INDIRECT("'GRD-"&amp;CD$11&amp;"'!B:R"),15,FALSE),"")</f>
        <v/>
      </c>
      <c r="CE258" s="96">
        <f>IFERROR(VLOOKUP($B258,INDIRECT("'GRD-"&amp;CE$11&amp;"'!B:R"),15,FALSE),"")</f>
        <v/>
      </c>
      <c r="CF258" s="96">
        <f>IFERROR(VLOOKUP($B258,INDIRECT("'GRD-"&amp;CF$11&amp;"'!B:R"),15,FALSE),"")</f>
        <v/>
      </c>
      <c r="CG258" s="96">
        <f>IFERROR(VLOOKUP($B258,INDIRECT("'GRD-"&amp;CG$11&amp;"'!B:R"),15,FALSE),"")</f>
        <v/>
      </c>
      <c r="CH258" s="96">
        <f>IFERROR(VLOOKUP($B258,INDIRECT("'GRD-"&amp;CH$11&amp;"'!B:R"),15,FALSE),"")</f>
        <v/>
      </c>
      <c r="CI258" s="96">
        <f>IFERROR(VLOOKUP($B258,INDIRECT("'GRD-"&amp;CI$11&amp;"'!B:R"),15,FALSE),"")</f>
        <v/>
      </c>
      <c r="CJ258" s="96">
        <f>IFERROR(VLOOKUP($B258,INDIRECT("'GRD-"&amp;CJ$11&amp;"'!B:R"),15,FALSE),"")</f>
        <v/>
      </c>
      <c r="CK258" s="96">
        <f>IFERROR(VLOOKUP($B258,INDIRECT("'GRD-"&amp;CK$11&amp;"'!B:R"),15,FALSE),"")</f>
        <v/>
      </c>
      <c r="CL258" s="96">
        <f>IFERROR(VLOOKUP($B258,INDIRECT("'GRD-"&amp;CL$11&amp;"'!B:R"),15,FALSE),"")</f>
        <v/>
      </c>
      <c r="CM258" s="96">
        <f>IFERROR(VLOOKUP($B258,INDIRECT("'GRD-"&amp;CM$11&amp;"'!B:R"),15,FALSE),"")</f>
        <v/>
      </c>
      <c r="CN258" s="96">
        <f>IFERROR(VLOOKUP($B258,INDIRECT("'GRD-"&amp;CN$11&amp;"'!B:R"),15,FALSE),"")</f>
        <v/>
      </c>
      <c r="CO258" s="96">
        <f>IFERROR(VLOOKUP($B258,INDIRECT("'GRD-"&amp;CO$11&amp;"'!B:R"),15,FALSE),"")</f>
        <v/>
      </c>
      <c r="CP258" s="96">
        <f>IFERROR(VLOOKUP($B258,INDIRECT("'GRD-"&amp;CP$11&amp;"'!B:R"),15,FALSE),"")</f>
        <v/>
      </c>
      <c r="CQ258" s="96">
        <f>IFERROR(VLOOKUP($B258,INDIRECT("'GRD-"&amp;CQ$11&amp;"'!B:R"),15,FALSE),"")</f>
        <v/>
      </c>
      <c r="CR258" s="96">
        <f>IFERROR(VLOOKUP($B258,INDIRECT("'GRD-"&amp;CR$11&amp;"'!B:R"),15,FALSE),"")</f>
        <v/>
      </c>
      <c r="CS258" s="96">
        <f>IFERROR(VLOOKUP($B258,INDIRECT("'GRD-"&amp;CS$11&amp;"'!B:R"),15,FALSE),"")</f>
        <v/>
      </c>
      <c r="CT258" s="96">
        <f>IFERROR(VLOOKUP($B258,INDIRECT("'GRD-"&amp;CT$11&amp;"'!B:R"),15,FALSE),"")</f>
        <v/>
      </c>
      <c r="CU258" s="96">
        <f>IFERROR(VLOOKUP($B258,INDIRECT("'GRD-"&amp;CU$11&amp;"'!B:R"),15,FALSE),"")</f>
        <v/>
      </c>
      <c r="CV258" s="96">
        <f>IFERROR(VLOOKUP($B258,INDIRECT("'GRD-"&amp;CV$11&amp;"'!B:R"),15,FALSE),"")</f>
        <v/>
      </c>
      <c r="CW258" s="96">
        <f>IFERROR(VLOOKUP($B258,INDIRECT("'GRD-"&amp;CW$11&amp;"'!B:R"),15,FALSE),"")</f>
        <v/>
      </c>
      <c r="CX258" s="96">
        <f>IFERROR(VLOOKUP($B258,INDIRECT("'GRD-"&amp;CX$11&amp;"'!B:R"),15,FALSE),"")</f>
        <v/>
      </c>
      <c r="CY258" s="96">
        <f>IFERROR(VLOOKUP($B258,INDIRECT("'GRD-"&amp;CY$11&amp;"'!B:R"),15,FALSE),"")</f>
        <v/>
      </c>
      <c r="CZ258" s="96">
        <f>IFERROR(VLOOKUP($B258,INDIRECT("'GRD-"&amp;CZ$11&amp;"'!B:R"),15,FALSE),"")</f>
        <v/>
      </c>
      <c r="DA258" s="96">
        <f>IFERROR(VLOOKUP($B258,INDIRECT("'GRD-"&amp;DA$11&amp;"'!B:R"),15,FALSE),"")</f>
        <v/>
      </c>
      <c r="DB258" s="96">
        <f>IFERROR(VLOOKUP($B258,INDIRECT("'GRD-"&amp;DB$11&amp;"'!B:R"),15,FALSE),"")</f>
        <v/>
      </c>
      <c r="DC258" s="96">
        <f>IFERROR(VLOOKUP($B258,INDIRECT("'GRD-"&amp;DC$11&amp;"'!B:R"),15,FALSE),"")</f>
        <v/>
      </c>
      <c r="DD258" s="96">
        <f>IFERROR(VLOOKUP($B258,INDIRECT("'GRD-"&amp;DD$11&amp;"'!B:R"),15,FALSE),"")</f>
        <v/>
      </c>
      <c r="DE258" s="96">
        <f>IFERROR(VLOOKUP($B258,INDIRECT("'GRD-"&amp;DE$11&amp;"'!B:R"),15,FALSE),"")</f>
        <v/>
      </c>
      <c r="DF258" s="96">
        <f>IFERROR(VLOOKUP($B258,INDIRECT("'GRD-"&amp;DF$11&amp;"'!B:R"),15,FALSE),"")</f>
        <v/>
      </c>
      <c r="DG258" s="96">
        <f>IFERROR(VLOOKUP($B258,INDIRECT("'GRD-"&amp;DG$11&amp;"'!B:R"),15,FALSE),"")</f>
        <v/>
      </c>
      <c r="DH258" s="96">
        <f>IFERROR(VLOOKUP($B258,INDIRECT("'GRD-"&amp;DH$11&amp;"'!B:R"),15,FALSE),"")</f>
        <v/>
      </c>
      <c r="DI258" s="96">
        <f>IFERROR(VLOOKUP($B258,INDIRECT("'GRD-"&amp;DI$11&amp;"'!B:R"),15,FALSE),"")</f>
        <v/>
      </c>
      <c r="DJ258" s="96">
        <f>IFERROR(VLOOKUP($B258,INDIRECT("'GRD-"&amp;DJ$11&amp;"'!B:R"),15,FALSE),"")</f>
        <v/>
      </c>
      <c r="DK258" s="96">
        <f>IFERROR(VLOOKUP($B258,INDIRECT("'GRD-"&amp;DK$11&amp;"'!B:R"),15,FALSE),"")</f>
        <v/>
      </c>
      <c r="DL258" s="96">
        <f>IFERROR(VLOOKUP($B258,INDIRECT("'GRD-"&amp;DL$11&amp;"'!B:R"),15,FALSE),"")</f>
        <v/>
      </c>
      <c r="DM258" s="96">
        <f>IFERROR(VLOOKUP($B258,INDIRECT("'GRD-"&amp;DM$11&amp;"'!B:R"),15,FALSE),"")</f>
        <v/>
      </c>
      <c r="DN258" s="96">
        <f>IFERROR(VLOOKUP($B258,INDIRECT("'GRD-"&amp;DN$11&amp;"'!B:R"),15,FALSE),"")</f>
        <v/>
      </c>
      <c r="DO258" s="96">
        <f>IFERROR(VLOOKUP($B258,INDIRECT("'GRD-"&amp;DO$11&amp;"'!B:R"),15,FALSE),"")</f>
        <v/>
      </c>
      <c r="DP258" s="96">
        <f>IFERROR(VLOOKUP($B258,INDIRECT("'GRD-"&amp;DP$11&amp;"'!B:R"),15,FALSE),"")</f>
        <v/>
      </c>
      <c r="DQ258" s="96">
        <f>IFERROR(VLOOKUP($B258,INDIRECT("'GRD-"&amp;DQ$11&amp;"'!B:R"),15,FALSE),"")</f>
        <v/>
      </c>
      <c r="DR258" s="96">
        <f>IFERROR(VLOOKUP($B258,INDIRECT("'GRD-"&amp;DR$11&amp;"'!B:R"),15,FALSE),"")</f>
        <v/>
      </c>
      <c r="DS258" s="96">
        <f>IFERROR(VLOOKUP($B258,INDIRECT("'GRD-"&amp;DS$11&amp;"'!B:R"),15,FALSE),"")</f>
        <v/>
      </c>
      <c r="DT258" s="96">
        <f>IFERROR(VLOOKUP($B258,INDIRECT("'GRD-"&amp;DT$11&amp;"'!B:R"),15,FALSE),"")</f>
        <v/>
      </c>
      <c r="DU258" s="96">
        <f>IFERROR(VLOOKUP($B258,INDIRECT("'GRD-"&amp;DU$11&amp;"'!B:R"),15,FALSE),"")</f>
        <v/>
      </c>
      <c r="DV258" s="96">
        <f>IFERROR(VLOOKUP($B258,INDIRECT("'GRD-"&amp;DV$11&amp;"'!B:R"),15,FALSE),"")</f>
        <v/>
      </c>
      <c r="DW258" s="96">
        <f>IFERROR(VLOOKUP($B258,INDIRECT("'GRD-"&amp;DW$11&amp;"'!B:R"),15,FALSE),"")</f>
        <v/>
      </c>
      <c r="DX258" s="96">
        <f>IFERROR(VLOOKUP($B258,INDIRECT("'GRD-"&amp;DX$11&amp;"'!B:R"),15,FALSE),"")</f>
        <v/>
      </c>
      <c r="DY258" s="96">
        <f>IFERROR(VLOOKUP($B258,INDIRECT("'GRD-"&amp;DY$11&amp;"'!B:R"),15,FALSE),"")</f>
        <v/>
      </c>
      <c r="DZ258" s="96">
        <f>IFERROR(VLOOKUP($B258,INDIRECT("'GRD-"&amp;DZ$11&amp;"'!B:R"),15,FALSE),"")</f>
        <v/>
      </c>
      <c r="EA258" s="96">
        <f>IFERROR(VLOOKUP($B258,INDIRECT("'GRD-"&amp;EA$11&amp;"'!B:R"),15,FALSE),"")</f>
        <v/>
      </c>
      <c r="EB258" s="96">
        <f>IFERROR(VLOOKUP($B258,INDIRECT("'GRD-"&amp;EB$11&amp;"'!B:R"),15,FALSE),"")</f>
        <v/>
      </c>
      <c r="EC258" s="96">
        <f>IFERROR(VLOOKUP($B258,INDIRECT("'GRD-"&amp;EC$11&amp;"'!B:R"),15,FALSE),"")</f>
        <v/>
      </c>
      <c r="ED258" s="96">
        <f>IFERROR(VLOOKUP($B258,INDIRECT("'GRD-"&amp;ED$11&amp;"'!B:R"),15,FALSE),"")</f>
        <v/>
      </c>
      <c r="EE258" s="96">
        <f>IFERROR(VLOOKUP($B258,INDIRECT("'GRD-"&amp;EE$11&amp;"'!B:R"),15,FALSE),"")</f>
        <v/>
      </c>
      <c r="EF258" s="96">
        <f>IFERROR(VLOOKUP($B258,INDIRECT("'GRD-"&amp;EF$11&amp;"'!B:R"),15,FALSE),"")</f>
        <v/>
      </c>
      <c r="EG258" s="96">
        <f>IFERROR(VLOOKUP($B258,INDIRECT("'GRD-"&amp;EG$11&amp;"'!B:R"),15,FALSE),"")</f>
        <v/>
      </c>
      <c r="EH258" s="96">
        <f>IFERROR(VLOOKUP($B258,INDIRECT("'GRD-"&amp;EH$11&amp;"'!B:R"),15,FALSE),"")</f>
        <v/>
      </c>
      <c r="EI258" s="96">
        <f>IFERROR(VLOOKUP($B258,INDIRECT("'GRD-"&amp;EI$11&amp;"'!B:R"),15,FALSE),"")</f>
        <v/>
      </c>
      <c r="EJ258" s="96">
        <f>IFERROR(VLOOKUP($B258,INDIRECT("'GRD-"&amp;EJ$11&amp;"'!B:R"),15,FALSE),"")</f>
        <v/>
      </c>
      <c r="EK258" s="96">
        <f>IFERROR(VLOOKUP($B258,INDIRECT("'GRD-"&amp;EK$11&amp;"'!B:R"),15,FALSE),"")</f>
        <v/>
      </c>
      <c r="EL258" s="96">
        <f>IFERROR(VLOOKUP($B258,INDIRECT("'GRD-"&amp;EL$11&amp;"'!B:R"),15,FALSE),"")</f>
        <v/>
      </c>
      <c r="EM258" s="96">
        <f>IFERROR(VLOOKUP($B258,INDIRECT("'GRD-"&amp;EM$11&amp;"'!B:R"),15,FALSE),"")</f>
        <v/>
      </c>
      <c r="EN258" s="96">
        <f>IFERROR(VLOOKUP($B258,INDIRECT("'GRD-"&amp;EN$11&amp;"'!B:R"),15,FALSE),"")</f>
        <v/>
      </c>
      <c r="EO258" s="96">
        <f>IFERROR(VLOOKUP($B258,INDIRECT("'GRD-"&amp;EO$11&amp;"'!B:R"),15,FALSE),"")</f>
        <v/>
      </c>
      <c r="EP258" s="96">
        <f>IFERROR(VLOOKUP($B258,INDIRECT("'GRD-"&amp;EP$11&amp;"'!B:R"),15,FALSE),"")</f>
        <v/>
      </c>
      <c r="EQ258" s="96">
        <f>IFERROR(VLOOKUP($B258,INDIRECT("'GRD-"&amp;EQ$11&amp;"'!B:R"),15,FALSE),"")</f>
        <v/>
      </c>
      <c r="ER258" s="96">
        <f>IFERROR(VLOOKUP($B258,INDIRECT("'GRD-"&amp;ER$11&amp;"'!B:R"),15,FALSE),"")</f>
        <v/>
      </c>
      <c r="ES258" s="96">
        <f>IFERROR(VLOOKUP($B258,INDIRECT("'GRD-"&amp;ES$11&amp;"'!B:R"),15,FALSE),"")</f>
        <v/>
      </c>
      <c r="ET258" s="96">
        <f>IFERROR(VLOOKUP($B258,INDIRECT("'GRD-"&amp;ET$11&amp;"'!B:R"),15,FALSE),"")</f>
        <v/>
      </c>
      <c r="EU258" s="96">
        <f>IFERROR(VLOOKUP($B258,INDIRECT("'GRD-"&amp;EU$11&amp;"'!B:R"),15,FALSE),"")</f>
        <v/>
      </c>
      <c r="EV258" s="96">
        <f>IFERROR(VLOOKUP($B258,INDIRECT("'GRD-"&amp;EV$11&amp;"'!B:R"),15,FALSE),"")</f>
        <v/>
      </c>
      <c r="EW258" s="96">
        <f>IFERROR(VLOOKUP($B258,INDIRECT("'GRD-"&amp;EW$11&amp;"'!B:R"),15,FALSE),"")</f>
        <v/>
      </c>
      <c r="EX258" s="96">
        <f>IFERROR(VLOOKUP($B258,INDIRECT("'GRD-"&amp;EX$11&amp;"'!B:R"),15,FALSE),"")</f>
        <v/>
      </c>
      <c r="EY258" s="96">
        <f>IFERROR(VLOOKUP($B258,INDIRECT("'GRD-"&amp;EY$11&amp;"'!B:R"),15,FALSE),"")</f>
        <v/>
      </c>
      <c r="EZ258" s="96">
        <f>IFERROR(VLOOKUP($B258,INDIRECT("'GRD-"&amp;EZ$11&amp;"'!B:R"),15,FALSE),"")</f>
        <v/>
      </c>
      <c r="FA258" s="96">
        <f>IFERROR(VLOOKUP($B258,INDIRECT("'GRD-"&amp;FA$11&amp;"'!B:R"),15,FALSE),"")</f>
        <v/>
      </c>
      <c r="FB258" s="96">
        <f>IFERROR(VLOOKUP($B258,INDIRECT("'GRD-"&amp;FB$11&amp;"'!B:R"),15,FALSE),"")</f>
        <v/>
      </c>
      <c r="FC258" s="96">
        <f>IFERROR(VLOOKUP($B258,INDIRECT("'GRD-"&amp;FC$11&amp;"'!B:R"),15,FALSE),"")</f>
        <v/>
      </c>
      <c r="FD258" s="96">
        <f>IFERROR(VLOOKUP($B258,INDIRECT("'GRD-"&amp;FD$11&amp;"'!B:R"),15,FALSE),"")</f>
        <v/>
      </c>
      <c r="FE258" s="96">
        <f>IFERROR(VLOOKUP($B258,INDIRECT("'GRD-"&amp;FE$11&amp;"'!B:R"),15,FALSE),"")</f>
        <v/>
      </c>
      <c r="FF258" s="96">
        <f>IFERROR(VLOOKUP($B258,INDIRECT("'GRD-"&amp;FF$11&amp;"'!B:R"),15,FALSE),"")</f>
        <v/>
      </c>
      <c r="FG258" s="96">
        <f>IFERROR(VLOOKUP($B258,INDIRECT("'GRD-"&amp;FG$11&amp;"'!B:R"),15,FALSE),"")</f>
        <v/>
      </c>
      <c r="FH258" s="96">
        <f>IFERROR(VLOOKUP($B258,INDIRECT("'GRD-"&amp;FH$11&amp;"'!B:R"),15,FALSE),"")</f>
        <v/>
      </c>
      <c r="FI258" s="96">
        <f>IFERROR(VLOOKUP($B258,INDIRECT("'GRD-"&amp;FI$11&amp;"'!B:R"),15,FALSE),"")</f>
        <v/>
      </c>
      <c r="FJ258" s="96">
        <f>IFERROR(VLOOKUP($B258,INDIRECT("'GRD-"&amp;FJ$11&amp;"'!B:R"),15,FALSE),"")</f>
        <v/>
      </c>
      <c r="FK258" s="96">
        <f>IFERROR(VLOOKUP($B258,INDIRECT("'GRD-"&amp;FK$11&amp;"'!B:R"),15,FALSE),"")</f>
        <v/>
      </c>
      <c r="FL258" s="96">
        <f>IFERROR(VLOOKUP($B258,INDIRECT("'GRD-"&amp;FL$11&amp;"'!B:R"),15,FALSE),"")</f>
        <v/>
      </c>
      <c r="FM258" s="96">
        <f>IFERROR(VLOOKUP($B258,INDIRECT("'GRD-"&amp;FM$11&amp;"'!B:R"),15,FALSE),"")</f>
        <v/>
      </c>
      <c r="FN258" s="96">
        <f>IFERROR(VLOOKUP($B258,INDIRECT("'GRD-"&amp;FN$11&amp;"'!B:R"),15,FALSE),"")</f>
        <v/>
      </c>
      <c r="FO258" s="96">
        <f>IFERROR(VLOOKUP($B258,INDIRECT("'GRD-"&amp;FO$11&amp;"'!B:R"),15,FALSE),"")</f>
        <v/>
      </c>
      <c r="FP258" s="96">
        <f>IFERROR(VLOOKUP($B258,INDIRECT("'GRD-"&amp;FP$11&amp;"'!B:R"),15,FALSE),"")</f>
        <v/>
      </c>
      <c r="FQ258" s="96">
        <f>IFERROR(VLOOKUP($B258,INDIRECT("'GRD-"&amp;FQ$11&amp;"'!B:R"),15,FALSE),"")</f>
        <v/>
      </c>
      <c r="FR258" s="96">
        <f>IFERROR(VLOOKUP($B258,INDIRECT("'GRD-"&amp;FR$11&amp;"'!B:R"),15,FALSE),"")</f>
        <v/>
      </c>
      <c r="FS258" s="96">
        <f>IFERROR(VLOOKUP($B258,INDIRECT("'GRD-"&amp;FS$11&amp;"'!B:R"),15,FALSE),"")</f>
        <v/>
      </c>
      <c r="FT258" s="96">
        <f>IFERROR(VLOOKUP($B258,INDIRECT("'GRD-"&amp;FT$11&amp;"'!B:R"),15,FALSE),"")</f>
        <v/>
      </c>
      <c r="FU258" s="96">
        <f>IFERROR(VLOOKUP($B258,INDIRECT("'GRD-"&amp;FU$11&amp;"'!B:R"),15,FALSE),"")</f>
        <v/>
      </c>
      <c r="FV258" s="96">
        <f>IFERROR(VLOOKUP($B258,INDIRECT("'GRD-"&amp;FV$11&amp;"'!B:R"),15,FALSE),"")</f>
        <v/>
      </c>
    </row>
    <row r="259">
      <c r="B259" s="85" t="n"/>
      <c r="C259" s="93" t="n"/>
      <c r="D259" s="73">
        <f>IF(K259="","",MAX($CA259:$FV259))</f>
        <v/>
      </c>
      <c r="E259" s="74">
        <f t="array" ref="E259">IF($K259="","",OFFSET($A$1,ROW($B259)-1,11+$D259*4,))</f>
        <v/>
      </c>
      <c r="F259" s="74">
        <f t="array" ref="F259">IF($K259="","",OFFSET($A$1,ROW($B259)-1,12+$D259*4,))</f>
        <v/>
      </c>
      <c r="G259" s="118">
        <f t="array" ref="G259">IF($K259="","",OFFSET($A$1,ROW($B259)-1,13+$D259*4,))</f>
        <v/>
      </c>
      <c r="H259" s="81" t="n"/>
      <c r="I259" s="82" t="n"/>
      <c r="J259" s="75">
        <f>IF(I259="A4",H259/8,IF(I259="A3",H259/4,IF(I259="A2",H259/2,IF(I259="A1",H259/1,IF(I259="A0",H259*2,"")))))</f>
        <v/>
      </c>
      <c r="K259" s="68">
        <f t="array" ref="K259">IFERROR(OFFSET($BZ$11,ROW($B259)-11,MATCH(K$10,$CA259:$FV259,0),),"")</f>
        <v/>
      </c>
      <c r="L259" s="85">
        <f>IF(K259="","",IF(VLOOKUP($B259,INDIRECT("'GRD-"&amp;M259&amp;"'!$B:$R"),16,FALSE)="","",VLOOKUP($B259,INDIRECT("'GRD-"&amp;M259&amp;"'!$B:$R"),16,FALSE)))</f>
        <v/>
      </c>
      <c r="M259" s="130">
        <f t="array" ref="M259">IF(K259="","",IFERROR(OFFSET($BZ$11,0,MATCH($K259,$CA259:$FV259,0),),""))</f>
        <v/>
      </c>
      <c r="N259" s="119">
        <f t="array" ref="N259">IF(K259="","",INDIRECT("'GRD-"&amp;M259&amp;"'!$L$7"))</f>
        <v/>
      </c>
      <c r="O259" s="76">
        <f t="array" ref="O259">IFERROR(OFFSET($BZ$11,ROW($B259)-11,MATCH(O$10,$CA259:$FV259,0),),"")</f>
        <v/>
      </c>
      <c r="P259" s="76">
        <f>IF(O259="","",IF(VLOOKUP($B259,INDIRECT("'GRD-"&amp;Q259&amp;"'!$B:$R"),16,FALSE)="","",VLOOKUP($B259,INDIRECT("'GRD-"&amp;Q259&amp;"'!$B:$R"),16,FALSE)))</f>
        <v/>
      </c>
      <c r="Q259" s="132">
        <f t="array" ref="Q259">IF(O259="","",IFERROR(OFFSET($BZ$11,0,MATCH($O259,$CA259:$FV259,0),),""))</f>
        <v/>
      </c>
      <c r="R259" s="121">
        <f t="array" ref="R259">IF(O259="","",INDIRECT("'GRD-"&amp;Q259&amp;"'!$L$7"))</f>
        <v/>
      </c>
      <c r="S259" s="83">
        <f t="array" ref="S259">IFERROR(OFFSET($BZ$11,ROW($B259)-11,MATCH(S$10,$CA259:$FV259,0),),"")</f>
        <v/>
      </c>
      <c r="T259" s="83">
        <f>IF(S259="","",IF(VLOOKUP($B259,INDIRECT("'GRD-"&amp;U259&amp;"'!$B:$R"),16,FALSE)="","",VLOOKUP($B259,INDIRECT("'GRD-"&amp;U259&amp;"'!$B:$R"),16,FALSE)))</f>
        <v/>
      </c>
      <c r="U259" s="128">
        <f t="array" ref="U259">IF(S259="","",IFERROR(OFFSET($BZ$11,0,MATCH($S259,$CA259:$FV259,0),),""))</f>
        <v/>
      </c>
      <c r="V259" s="133">
        <f t="array" ref="V259">IF(S259="","",INDIRECT("'GRD-"&amp;U259&amp;"'!$L$7"))</f>
        <v/>
      </c>
      <c r="W259" s="84">
        <f t="array" ref="W259">IFERROR(OFFSET($BZ$11,ROW($B259)-11,MATCH(W$10,$CA259:$FV259,0),),"")</f>
        <v/>
      </c>
      <c r="X259" s="84">
        <f>IF(W259="","",IF(VLOOKUP($B259,INDIRECT("'GRD-"&amp;Y259&amp;"'!$B:$R"),16,FALSE)="","",VLOOKUP($B259,INDIRECT("'GRD-"&amp;Y259&amp;"'!$B:$R"),16,FALSE)))</f>
        <v/>
      </c>
      <c r="Y259" s="129">
        <f t="array" ref="Y259">IF(W259="","",IFERROR(OFFSET($BZ$11,0,MATCH($W259,$CA259:$FV259,0),),""))</f>
        <v/>
      </c>
      <c r="Z259" s="134">
        <f t="array" ref="Z259">IF(W259="","",INDIRECT("'GRD-"&amp;Y259&amp;"'!$L$7"))</f>
        <v/>
      </c>
      <c r="AA259" s="85">
        <f t="array" ref="AA259">IFERROR(OFFSET($BZ$11,ROW($B259)-11,MATCH(AA$10,$CA259:$FV259,0),),"")</f>
        <v/>
      </c>
      <c r="AB259" s="85">
        <f>IF(AA259="","",IF(VLOOKUP($B259,INDIRECT("'GRD-"&amp;AC259&amp;"'!$B:$R"),16,FALSE)="","",VLOOKUP($B259,INDIRECT("'GRD-"&amp;AC259&amp;"'!$B:$R"),16,FALSE)))</f>
        <v/>
      </c>
      <c r="AC259" s="130">
        <f t="array" ref="AC259">IF(AA259="","",IFERROR(OFFSET($BZ$11,0,MATCH($AA259,$CA259:$FV259,0),),""))</f>
        <v/>
      </c>
      <c r="AD259" s="131">
        <f t="array" ref="AD259">IF(AA259="","",INDIRECT("'GRD-"&amp;AC259&amp;"'!$L$7"))</f>
        <v/>
      </c>
      <c r="AE259" s="76">
        <f t="array" ref="AE259">IFERROR(OFFSET($BZ$11,ROW($B259)-11,MATCH(AE$10,$CA259:$FV259,0),),"")</f>
        <v/>
      </c>
      <c r="AF259" s="76">
        <f>IF(AE259="","",IF(VLOOKUP($B259,INDIRECT("'GRD-"&amp;AG259&amp;"'!$B:$R"),16,FALSE)="","",VLOOKUP($B259,INDIRECT("'GRD-"&amp;AG259&amp;"'!$B:$R"),16,FALSE)))</f>
        <v/>
      </c>
      <c r="AG259" s="132">
        <f t="array" ref="AG259">IF(AE259="","",IFERROR(OFFSET($BZ$11,0,MATCH($AE259,$CA259:$FV259,0),),""))</f>
        <v/>
      </c>
      <c r="AH259" s="121">
        <f t="array" ref="AH259">IF(AE259="","",INDIRECT("'GRD-"&amp;AG259&amp;"'!$L$7"))</f>
        <v/>
      </c>
      <c r="AI259" s="83">
        <f t="array" ref="AI259">IFERROR(OFFSET($BZ$11,ROW($B259)-11,MATCH(AI$10,$CA259:$FV259,0),),"")</f>
        <v/>
      </c>
      <c r="AJ259" s="83">
        <f>IF(AI259="","",IF(VLOOKUP($B259,INDIRECT("'GRD-"&amp;AK259&amp;"'!$B:$R"),16,FALSE)="","",VLOOKUP($B259,INDIRECT("'GRD-"&amp;AK259&amp;"'!$B:$R"),16,FALSE)))</f>
        <v/>
      </c>
      <c r="AK259" s="128">
        <f t="array" ref="AK259">IF(AI259="","",IFERROR(OFFSET($BZ$11,0,MATCH($AI259,$CA259:$FV259,0),),""))</f>
        <v/>
      </c>
      <c r="AL259" s="133">
        <f t="array" ref="AL259">IF(AI259="","",INDIRECT("'GRD-"&amp;AK259&amp;"'!$L$7"))</f>
        <v/>
      </c>
      <c r="AM259" s="84">
        <f t="array" ref="AM259">IFERROR(OFFSET($BZ$11,ROW($B259)-11,MATCH(AM$10,$CA259:$FV259,0),),"")</f>
        <v/>
      </c>
      <c r="AN259" s="84">
        <f>IF(AM259="","",IF(VLOOKUP($B259,INDIRECT("'GRD-"&amp;AO259&amp;"'!$B:$R"),16,FALSE)="","",VLOOKUP($B259,INDIRECT("'GRD-"&amp;AO259&amp;"'!$B:$R"),16,FALSE)))</f>
        <v/>
      </c>
      <c r="AO259" s="129">
        <f t="array" ref="AO259">IF(AM259="","",IFERROR(OFFSET($BZ$11,0,MATCH($AM259,$CA259:$FV259,0),),""))</f>
        <v/>
      </c>
      <c r="AP259" s="134">
        <f t="array" ref="AP259">IF(AM259="","",INDIRECT("'GRD-"&amp;AO259&amp;"'!$L$7"))</f>
        <v/>
      </c>
      <c r="AQ259" s="85">
        <f t="array" ref="AQ259">IFERROR(OFFSET($BZ$11,ROW($B259)-11,MATCH(AQ$10,$CA259:$FV259,0),),"")</f>
        <v/>
      </c>
      <c r="AR259" s="85">
        <f>IF(AQ259="","",IF(VLOOKUP($B259,INDIRECT("'GRD-"&amp;AS259&amp;"'!$B:$R"),16,FALSE)="","",VLOOKUP($B259,INDIRECT("'GRD-"&amp;AS259&amp;"'!$B:$R"),16,FALSE)))</f>
        <v/>
      </c>
      <c r="AS259" s="130">
        <f t="array" ref="AS259">IF(AQ259="","",IFERROR(OFFSET($BZ$11,0,MATCH($AQ259,$CA259:$FV259,0),),""))</f>
        <v/>
      </c>
      <c r="AT259" s="131">
        <f t="array" ref="AT259">IF(AQ259="","",INDIRECT("'GRD-"&amp;AS259&amp;"'!$L$7"))</f>
        <v/>
      </c>
      <c r="AU259" s="76">
        <f t="array" ref="AU259">IFERROR(OFFSET($BZ$11,ROW($B259)-11,MATCH(AU$10,$CA259:$FV259,0),),"")</f>
        <v/>
      </c>
      <c r="AV259" s="76">
        <f>IF(AU259="","",IF(VLOOKUP($B259,INDIRECT("'GRD-"&amp;AW259&amp;"'!$B:$R"),16,FALSE)="","",VLOOKUP($B259,INDIRECT("'GRD-"&amp;AW259&amp;"'!$B:$R"),16,FALSE)))</f>
        <v/>
      </c>
      <c r="AW259" s="132">
        <f t="array" ref="AW259">IF(AU259="","",IFERROR(OFFSET($BZ$11,0,MATCH($AU259,$CA259:$FV259,0),),""))</f>
        <v/>
      </c>
      <c r="AX259" s="121">
        <f t="array" ref="AX259">IF(AU259="","",INDIRECT("'GRD-"&amp;AW259&amp;"'!$L$7"))</f>
        <v/>
      </c>
      <c r="AY259" s="83">
        <f t="array" ref="AY259">IFERROR(OFFSET($BZ$11,ROW($B259)-11,MATCH(AY$10,$CA259:$FV259,0),),"")</f>
        <v/>
      </c>
      <c r="AZ259" s="83">
        <f>IF(AY259="","",IF(VLOOKUP($B259,INDIRECT("'GRD-"&amp;BA259&amp;"'!$B:$R"),16,FALSE)="","",VLOOKUP($B259,INDIRECT("'GRD-"&amp;BA259&amp;"'!$B:$R"),16,FALSE)))</f>
        <v/>
      </c>
      <c r="BA259" s="128">
        <f t="array" ref="BA259">IF(AY259="","",IFERROR(OFFSET($BZ$11,0,MATCH($AY259,$CA259:$FV259,0),),""))</f>
        <v/>
      </c>
      <c r="BB259" s="133">
        <f t="array" ref="BB259">IF(AY259="","",INDIRECT("'GRD-"&amp;BA259&amp;"'!$L$7"))</f>
        <v/>
      </c>
      <c r="BC259" s="84">
        <f t="array" ref="BC259">IFERROR(OFFSET($BZ$11,ROW($B259)-11,MATCH(BC$10,$CA259:$FV259,0),),"")</f>
        <v/>
      </c>
      <c r="BD259" s="84">
        <f>IF(BC259="","",IF(VLOOKUP($B259,INDIRECT("'GRD-"&amp;BE259&amp;"'!$B:$R"),16,FALSE)="","",VLOOKUP($B259,INDIRECT("'GRD-"&amp;BE259&amp;"'!$B:$R"),16,FALSE)))</f>
        <v/>
      </c>
      <c r="BE259" s="129">
        <f t="array" ref="BE259">IF(BC259="","",IFERROR(OFFSET($BZ$11,0,MATCH($BC259,$CA259:$FV259,0),),""))</f>
        <v/>
      </c>
      <c r="BF259" s="134">
        <f t="array" ref="BF259">IF(BC259="","",INDIRECT("'GRD-"&amp;BE259&amp;"'!$L$7"))</f>
        <v/>
      </c>
      <c r="CA259" s="96">
        <f>IFERROR(VLOOKUP($B259,INDIRECT("'GRD-"&amp;CA$11&amp;"'!B:R"),15,FALSE),"")</f>
        <v/>
      </c>
      <c r="CB259" s="96">
        <f>IFERROR(VLOOKUP($B259,INDIRECT("'GRD-"&amp;CB$11&amp;"'!B:R"),15,FALSE),"")</f>
        <v/>
      </c>
      <c r="CC259" s="96">
        <f>IFERROR(VLOOKUP($B259,INDIRECT("'GRD-"&amp;CC$11&amp;"'!B:R"),15,FALSE),"")</f>
        <v/>
      </c>
      <c r="CD259" s="96">
        <f>IFERROR(VLOOKUP($B259,INDIRECT("'GRD-"&amp;CD$11&amp;"'!B:R"),15,FALSE),"")</f>
        <v/>
      </c>
      <c r="CE259" s="96">
        <f>IFERROR(VLOOKUP($B259,INDIRECT("'GRD-"&amp;CE$11&amp;"'!B:R"),15,FALSE),"")</f>
        <v/>
      </c>
      <c r="CF259" s="96">
        <f>IFERROR(VLOOKUP($B259,INDIRECT("'GRD-"&amp;CF$11&amp;"'!B:R"),15,FALSE),"")</f>
        <v/>
      </c>
      <c r="CG259" s="96">
        <f>IFERROR(VLOOKUP($B259,INDIRECT("'GRD-"&amp;CG$11&amp;"'!B:R"),15,FALSE),"")</f>
        <v/>
      </c>
      <c r="CH259" s="96">
        <f>IFERROR(VLOOKUP($B259,INDIRECT("'GRD-"&amp;CH$11&amp;"'!B:R"),15,FALSE),"")</f>
        <v/>
      </c>
      <c r="CI259" s="96">
        <f>IFERROR(VLOOKUP($B259,INDIRECT("'GRD-"&amp;CI$11&amp;"'!B:R"),15,FALSE),"")</f>
        <v/>
      </c>
      <c r="CJ259" s="96">
        <f>IFERROR(VLOOKUP($B259,INDIRECT("'GRD-"&amp;CJ$11&amp;"'!B:R"),15,FALSE),"")</f>
        <v/>
      </c>
      <c r="CK259" s="96">
        <f>IFERROR(VLOOKUP($B259,INDIRECT("'GRD-"&amp;CK$11&amp;"'!B:R"),15,FALSE),"")</f>
        <v/>
      </c>
      <c r="CL259" s="96">
        <f>IFERROR(VLOOKUP($B259,INDIRECT("'GRD-"&amp;CL$11&amp;"'!B:R"),15,FALSE),"")</f>
        <v/>
      </c>
      <c r="CM259" s="96">
        <f>IFERROR(VLOOKUP($B259,INDIRECT("'GRD-"&amp;CM$11&amp;"'!B:R"),15,FALSE),"")</f>
        <v/>
      </c>
      <c r="CN259" s="96">
        <f>IFERROR(VLOOKUP($B259,INDIRECT("'GRD-"&amp;CN$11&amp;"'!B:R"),15,FALSE),"")</f>
        <v/>
      </c>
      <c r="CO259" s="96">
        <f>IFERROR(VLOOKUP($B259,INDIRECT("'GRD-"&amp;CO$11&amp;"'!B:R"),15,FALSE),"")</f>
        <v/>
      </c>
      <c r="CP259" s="96">
        <f>IFERROR(VLOOKUP($B259,INDIRECT("'GRD-"&amp;CP$11&amp;"'!B:R"),15,FALSE),"")</f>
        <v/>
      </c>
      <c r="CQ259" s="96">
        <f>IFERROR(VLOOKUP($B259,INDIRECT("'GRD-"&amp;CQ$11&amp;"'!B:R"),15,FALSE),"")</f>
        <v/>
      </c>
      <c r="CR259" s="96">
        <f>IFERROR(VLOOKUP($B259,INDIRECT("'GRD-"&amp;CR$11&amp;"'!B:R"),15,FALSE),"")</f>
        <v/>
      </c>
      <c r="CS259" s="96">
        <f>IFERROR(VLOOKUP($B259,INDIRECT("'GRD-"&amp;CS$11&amp;"'!B:R"),15,FALSE),"")</f>
        <v/>
      </c>
      <c r="CT259" s="96">
        <f>IFERROR(VLOOKUP($B259,INDIRECT("'GRD-"&amp;CT$11&amp;"'!B:R"),15,FALSE),"")</f>
        <v/>
      </c>
      <c r="CU259" s="96">
        <f>IFERROR(VLOOKUP($B259,INDIRECT("'GRD-"&amp;CU$11&amp;"'!B:R"),15,FALSE),"")</f>
        <v/>
      </c>
      <c r="CV259" s="96">
        <f>IFERROR(VLOOKUP($B259,INDIRECT("'GRD-"&amp;CV$11&amp;"'!B:R"),15,FALSE),"")</f>
        <v/>
      </c>
      <c r="CW259" s="96">
        <f>IFERROR(VLOOKUP($B259,INDIRECT("'GRD-"&amp;CW$11&amp;"'!B:R"),15,FALSE),"")</f>
        <v/>
      </c>
      <c r="CX259" s="96">
        <f>IFERROR(VLOOKUP($B259,INDIRECT("'GRD-"&amp;CX$11&amp;"'!B:R"),15,FALSE),"")</f>
        <v/>
      </c>
      <c r="CY259" s="96">
        <f>IFERROR(VLOOKUP($B259,INDIRECT("'GRD-"&amp;CY$11&amp;"'!B:R"),15,FALSE),"")</f>
        <v/>
      </c>
      <c r="CZ259" s="96">
        <f>IFERROR(VLOOKUP($B259,INDIRECT("'GRD-"&amp;CZ$11&amp;"'!B:R"),15,FALSE),"")</f>
        <v/>
      </c>
      <c r="DA259" s="96">
        <f>IFERROR(VLOOKUP($B259,INDIRECT("'GRD-"&amp;DA$11&amp;"'!B:R"),15,FALSE),"")</f>
        <v/>
      </c>
      <c r="DB259" s="96">
        <f>IFERROR(VLOOKUP($B259,INDIRECT("'GRD-"&amp;DB$11&amp;"'!B:R"),15,FALSE),"")</f>
        <v/>
      </c>
      <c r="DC259" s="96">
        <f>IFERROR(VLOOKUP($B259,INDIRECT("'GRD-"&amp;DC$11&amp;"'!B:R"),15,FALSE),"")</f>
        <v/>
      </c>
      <c r="DD259" s="96">
        <f>IFERROR(VLOOKUP($B259,INDIRECT("'GRD-"&amp;DD$11&amp;"'!B:R"),15,FALSE),"")</f>
        <v/>
      </c>
      <c r="DE259" s="96">
        <f>IFERROR(VLOOKUP($B259,INDIRECT("'GRD-"&amp;DE$11&amp;"'!B:R"),15,FALSE),"")</f>
        <v/>
      </c>
      <c r="DF259" s="96">
        <f>IFERROR(VLOOKUP($B259,INDIRECT("'GRD-"&amp;DF$11&amp;"'!B:R"),15,FALSE),"")</f>
        <v/>
      </c>
      <c r="DG259" s="96">
        <f>IFERROR(VLOOKUP($B259,INDIRECT("'GRD-"&amp;DG$11&amp;"'!B:R"),15,FALSE),"")</f>
        <v/>
      </c>
      <c r="DH259" s="96">
        <f>IFERROR(VLOOKUP($B259,INDIRECT("'GRD-"&amp;DH$11&amp;"'!B:R"),15,FALSE),"")</f>
        <v/>
      </c>
      <c r="DI259" s="96">
        <f>IFERROR(VLOOKUP($B259,INDIRECT("'GRD-"&amp;DI$11&amp;"'!B:R"),15,FALSE),"")</f>
        <v/>
      </c>
      <c r="DJ259" s="96">
        <f>IFERROR(VLOOKUP($B259,INDIRECT("'GRD-"&amp;DJ$11&amp;"'!B:R"),15,FALSE),"")</f>
        <v/>
      </c>
      <c r="DK259" s="96">
        <f>IFERROR(VLOOKUP($B259,INDIRECT("'GRD-"&amp;DK$11&amp;"'!B:R"),15,FALSE),"")</f>
        <v/>
      </c>
      <c r="DL259" s="96">
        <f>IFERROR(VLOOKUP($B259,INDIRECT("'GRD-"&amp;DL$11&amp;"'!B:R"),15,FALSE),"")</f>
        <v/>
      </c>
      <c r="DM259" s="96">
        <f>IFERROR(VLOOKUP($B259,INDIRECT("'GRD-"&amp;DM$11&amp;"'!B:R"),15,FALSE),"")</f>
        <v/>
      </c>
      <c r="DN259" s="96">
        <f>IFERROR(VLOOKUP($B259,INDIRECT("'GRD-"&amp;DN$11&amp;"'!B:R"),15,FALSE),"")</f>
        <v/>
      </c>
      <c r="DO259" s="96">
        <f>IFERROR(VLOOKUP($B259,INDIRECT("'GRD-"&amp;DO$11&amp;"'!B:R"),15,FALSE),"")</f>
        <v/>
      </c>
      <c r="DP259" s="96">
        <f>IFERROR(VLOOKUP($B259,INDIRECT("'GRD-"&amp;DP$11&amp;"'!B:R"),15,FALSE),"")</f>
        <v/>
      </c>
      <c r="DQ259" s="96">
        <f>IFERROR(VLOOKUP($B259,INDIRECT("'GRD-"&amp;DQ$11&amp;"'!B:R"),15,FALSE),"")</f>
        <v/>
      </c>
      <c r="DR259" s="96">
        <f>IFERROR(VLOOKUP($B259,INDIRECT("'GRD-"&amp;DR$11&amp;"'!B:R"),15,FALSE),"")</f>
        <v/>
      </c>
      <c r="DS259" s="96">
        <f>IFERROR(VLOOKUP($B259,INDIRECT("'GRD-"&amp;DS$11&amp;"'!B:R"),15,FALSE),"")</f>
        <v/>
      </c>
      <c r="DT259" s="96">
        <f>IFERROR(VLOOKUP($B259,INDIRECT("'GRD-"&amp;DT$11&amp;"'!B:R"),15,FALSE),"")</f>
        <v/>
      </c>
      <c r="DU259" s="96">
        <f>IFERROR(VLOOKUP($B259,INDIRECT("'GRD-"&amp;DU$11&amp;"'!B:R"),15,FALSE),"")</f>
        <v/>
      </c>
      <c r="DV259" s="96">
        <f>IFERROR(VLOOKUP($B259,INDIRECT("'GRD-"&amp;DV$11&amp;"'!B:R"),15,FALSE),"")</f>
        <v/>
      </c>
      <c r="DW259" s="96">
        <f>IFERROR(VLOOKUP($B259,INDIRECT("'GRD-"&amp;DW$11&amp;"'!B:R"),15,FALSE),"")</f>
        <v/>
      </c>
      <c r="DX259" s="96">
        <f>IFERROR(VLOOKUP($B259,INDIRECT("'GRD-"&amp;DX$11&amp;"'!B:R"),15,FALSE),"")</f>
        <v/>
      </c>
      <c r="DY259" s="96">
        <f>IFERROR(VLOOKUP($B259,INDIRECT("'GRD-"&amp;DY$11&amp;"'!B:R"),15,FALSE),"")</f>
        <v/>
      </c>
      <c r="DZ259" s="96">
        <f>IFERROR(VLOOKUP($B259,INDIRECT("'GRD-"&amp;DZ$11&amp;"'!B:R"),15,FALSE),"")</f>
        <v/>
      </c>
      <c r="EA259" s="96">
        <f>IFERROR(VLOOKUP($B259,INDIRECT("'GRD-"&amp;EA$11&amp;"'!B:R"),15,FALSE),"")</f>
        <v/>
      </c>
      <c r="EB259" s="96">
        <f>IFERROR(VLOOKUP($B259,INDIRECT("'GRD-"&amp;EB$11&amp;"'!B:R"),15,FALSE),"")</f>
        <v/>
      </c>
      <c r="EC259" s="96">
        <f>IFERROR(VLOOKUP($B259,INDIRECT("'GRD-"&amp;EC$11&amp;"'!B:R"),15,FALSE),"")</f>
        <v/>
      </c>
      <c r="ED259" s="96">
        <f>IFERROR(VLOOKUP($B259,INDIRECT("'GRD-"&amp;ED$11&amp;"'!B:R"),15,FALSE),"")</f>
        <v/>
      </c>
      <c r="EE259" s="96">
        <f>IFERROR(VLOOKUP($B259,INDIRECT("'GRD-"&amp;EE$11&amp;"'!B:R"),15,FALSE),"")</f>
        <v/>
      </c>
      <c r="EF259" s="96">
        <f>IFERROR(VLOOKUP($B259,INDIRECT("'GRD-"&amp;EF$11&amp;"'!B:R"),15,FALSE),"")</f>
        <v/>
      </c>
      <c r="EG259" s="96">
        <f>IFERROR(VLOOKUP($B259,INDIRECT("'GRD-"&amp;EG$11&amp;"'!B:R"),15,FALSE),"")</f>
        <v/>
      </c>
      <c r="EH259" s="96">
        <f>IFERROR(VLOOKUP($B259,INDIRECT("'GRD-"&amp;EH$11&amp;"'!B:R"),15,FALSE),"")</f>
        <v/>
      </c>
      <c r="EI259" s="96">
        <f>IFERROR(VLOOKUP($B259,INDIRECT("'GRD-"&amp;EI$11&amp;"'!B:R"),15,FALSE),"")</f>
        <v/>
      </c>
      <c r="EJ259" s="96">
        <f>IFERROR(VLOOKUP($B259,INDIRECT("'GRD-"&amp;EJ$11&amp;"'!B:R"),15,FALSE),"")</f>
        <v/>
      </c>
      <c r="EK259" s="96">
        <f>IFERROR(VLOOKUP($B259,INDIRECT("'GRD-"&amp;EK$11&amp;"'!B:R"),15,FALSE),"")</f>
        <v/>
      </c>
      <c r="EL259" s="96">
        <f>IFERROR(VLOOKUP($B259,INDIRECT("'GRD-"&amp;EL$11&amp;"'!B:R"),15,FALSE),"")</f>
        <v/>
      </c>
      <c r="EM259" s="96">
        <f>IFERROR(VLOOKUP($B259,INDIRECT("'GRD-"&amp;EM$11&amp;"'!B:R"),15,FALSE),"")</f>
        <v/>
      </c>
      <c r="EN259" s="96">
        <f>IFERROR(VLOOKUP($B259,INDIRECT("'GRD-"&amp;EN$11&amp;"'!B:R"),15,FALSE),"")</f>
        <v/>
      </c>
      <c r="EO259" s="96">
        <f>IFERROR(VLOOKUP($B259,INDIRECT("'GRD-"&amp;EO$11&amp;"'!B:R"),15,FALSE),"")</f>
        <v/>
      </c>
      <c r="EP259" s="96">
        <f>IFERROR(VLOOKUP($B259,INDIRECT("'GRD-"&amp;EP$11&amp;"'!B:R"),15,FALSE),"")</f>
        <v/>
      </c>
      <c r="EQ259" s="96">
        <f>IFERROR(VLOOKUP($B259,INDIRECT("'GRD-"&amp;EQ$11&amp;"'!B:R"),15,FALSE),"")</f>
        <v/>
      </c>
      <c r="ER259" s="96">
        <f>IFERROR(VLOOKUP($B259,INDIRECT("'GRD-"&amp;ER$11&amp;"'!B:R"),15,FALSE),"")</f>
        <v/>
      </c>
      <c r="ES259" s="96">
        <f>IFERROR(VLOOKUP($B259,INDIRECT("'GRD-"&amp;ES$11&amp;"'!B:R"),15,FALSE),"")</f>
        <v/>
      </c>
      <c r="ET259" s="96">
        <f>IFERROR(VLOOKUP($B259,INDIRECT("'GRD-"&amp;ET$11&amp;"'!B:R"),15,FALSE),"")</f>
        <v/>
      </c>
      <c r="EU259" s="96">
        <f>IFERROR(VLOOKUP($B259,INDIRECT("'GRD-"&amp;EU$11&amp;"'!B:R"),15,FALSE),"")</f>
        <v/>
      </c>
      <c r="EV259" s="96">
        <f>IFERROR(VLOOKUP($B259,INDIRECT("'GRD-"&amp;EV$11&amp;"'!B:R"),15,FALSE),"")</f>
        <v/>
      </c>
      <c r="EW259" s="96">
        <f>IFERROR(VLOOKUP($B259,INDIRECT("'GRD-"&amp;EW$11&amp;"'!B:R"),15,FALSE),"")</f>
        <v/>
      </c>
      <c r="EX259" s="96">
        <f>IFERROR(VLOOKUP($B259,INDIRECT("'GRD-"&amp;EX$11&amp;"'!B:R"),15,FALSE),"")</f>
        <v/>
      </c>
      <c r="EY259" s="96">
        <f>IFERROR(VLOOKUP($B259,INDIRECT("'GRD-"&amp;EY$11&amp;"'!B:R"),15,FALSE),"")</f>
        <v/>
      </c>
      <c r="EZ259" s="96">
        <f>IFERROR(VLOOKUP($B259,INDIRECT("'GRD-"&amp;EZ$11&amp;"'!B:R"),15,FALSE),"")</f>
        <v/>
      </c>
      <c r="FA259" s="96">
        <f>IFERROR(VLOOKUP($B259,INDIRECT("'GRD-"&amp;FA$11&amp;"'!B:R"),15,FALSE),"")</f>
        <v/>
      </c>
      <c r="FB259" s="96">
        <f>IFERROR(VLOOKUP($B259,INDIRECT("'GRD-"&amp;FB$11&amp;"'!B:R"),15,FALSE),"")</f>
        <v/>
      </c>
      <c r="FC259" s="96">
        <f>IFERROR(VLOOKUP($B259,INDIRECT("'GRD-"&amp;FC$11&amp;"'!B:R"),15,FALSE),"")</f>
        <v/>
      </c>
      <c r="FD259" s="96">
        <f>IFERROR(VLOOKUP($B259,INDIRECT("'GRD-"&amp;FD$11&amp;"'!B:R"),15,FALSE),"")</f>
        <v/>
      </c>
      <c r="FE259" s="96">
        <f>IFERROR(VLOOKUP($B259,INDIRECT("'GRD-"&amp;FE$11&amp;"'!B:R"),15,FALSE),"")</f>
        <v/>
      </c>
      <c r="FF259" s="96">
        <f>IFERROR(VLOOKUP($B259,INDIRECT("'GRD-"&amp;FF$11&amp;"'!B:R"),15,FALSE),"")</f>
        <v/>
      </c>
      <c r="FG259" s="96">
        <f>IFERROR(VLOOKUP($B259,INDIRECT("'GRD-"&amp;FG$11&amp;"'!B:R"),15,FALSE),"")</f>
        <v/>
      </c>
      <c r="FH259" s="96">
        <f>IFERROR(VLOOKUP($B259,INDIRECT("'GRD-"&amp;FH$11&amp;"'!B:R"),15,FALSE),"")</f>
        <v/>
      </c>
      <c r="FI259" s="96">
        <f>IFERROR(VLOOKUP($B259,INDIRECT("'GRD-"&amp;FI$11&amp;"'!B:R"),15,FALSE),"")</f>
        <v/>
      </c>
      <c r="FJ259" s="96">
        <f>IFERROR(VLOOKUP($B259,INDIRECT("'GRD-"&amp;FJ$11&amp;"'!B:R"),15,FALSE),"")</f>
        <v/>
      </c>
      <c r="FK259" s="96">
        <f>IFERROR(VLOOKUP($B259,INDIRECT("'GRD-"&amp;FK$11&amp;"'!B:R"),15,FALSE),"")</f>
        <v/>
      </c>
      <c r="FL259" s="96">
        <f>IFERROR(VLOOKUP($B259,INDIRECT("'GRD-"&amp;FL$11&amp;"'!B:R"),15,FALSE),"")</f>
        <v/>
      </c>
      <c r="FM259" s="96">
        <f>IFERROR(VLOOKUP($B259,INDIRECT("'GRD-"&amp;FM$11&amp;"'!B:R"),15,FALSE),"")</f>
        <v/>
      </c>
      <c r="FN259" s="96">
        <f>IFERROR(VLOOKUP($B259,INDIRECT("'GRD-"&amp;FN$11&amp;"'!B:R"),15,FALSE),"")</f>
        <v/>
      </c>
      <c r="FO259" s="96">
        <f>IFERROR(VLOOKUP($B259,INDIRECT("'GRD-"&amp;FO$11&amp;"'!B:R"),15,FALSE),"")</f>
        <v/>
      </c>
      <c r="FP259" s="96">
        <f>IFERROR(VLOOKUP($B259,INDIRECT("'GRD-"&amp;FP$11&amp;"'!B:R"),15,FALSE),"")</f>
        <v/>
      </c>
      <c r="FQ259" s="96">
        <f>IFERROR(VLOOKUP($B259,INDIRECT("'GRD-"&amp;FQ$11&amp;"'!B:R"),15,FALSE),"")</f>
        <v/>
      </c>
      <c r="FR259" s="96">
        <f>IFERROR(VLOOKUP($B259,INDIRECT("'GRD-"&amp;FR$11&amp;"'!B:R"),15,FALSE),"")</f>
        <v/>
      </c>
      <c r="FS259" s="96">
        <f>IFERROR(VLOOKUP($B259,INDIRECT("'GRD-"&amp;FS$11&amp;"'!B:R"),15,FALSE),"")</f>
        <v/>
      </c>
      <c r="FT259" s="96">
        <f>IFERROR(VLOOKUP($B259,INDIRECT("'GRD-"&amp;FT$11&amp;"'!B:R"),15,FALSE),"")</f>
        <v/>
      </c>
      <c r="FU259" s="96">
        <f>IFERROR(VLOOKUP($B259,INDIRECT("'GRD-"&amp;FU$11&amp;"'!B:R"),15,FALSE),"")</f>
        <v/>
      </c>
      <c r="FV259" s="96">
        <f>IFERROR(VLOOKUP($B259,INDIRECT("'GRD-"&amp;FV$11&amp;"'!B:R"),15,FALSE),"")</f>
        <v/>
      </c>
    </row>
    <row r="260">
      <c r="B260" s="85" t="n"/>
      <c r="C260" s="93" t="n"/>
      <c r="D260" s="73">
        <f>IF(K260="","",MAX($CA260:$FV260))</f>
        <v/>
      </c>
      <c r="E260" s="74">
        <f t="array" ref="E260">IF($K260="","",OFFSET($A$1,ROW($B260)-1,11+$D260*4,))</f>
        <v/>
      </c>
      <c r="F260" s="74">
        <f t="array" ref="F260">IF($K260="","",OFFSET($A$1,ROW($B260)-1,12+$D260*4,))</f>
        <v/>
      </c>
      <c r="G260" s="118">
        <f t="array" ref="G260">IF($K260="","",OFFSET($A$1,ROW($B260)-1,13+$D260*4,))</f>
        <v/>
      </c>
      <c r="H260" s="81" t="n"/>
      <c r="I260" s="82" t="n"/>
      <c r="J260" s="75">
        <f>IF(I260="A4",H260/8,IF(I260="A3",H260/4,IF(I260="A2",H260/2,IF(I260="A1",H260/1,IF(I260="A0",H260*2,"")))))</f>
        <v/>
      </c>
      <c r="K260" s="68">
        <f t="array" ref="K260">IFERROR(OFFSET($BZ$11,ROW($B260)-11,MATCH(K$10,$CA260:$FV260,0),),"")</f>
        <v/>
      </c>
      <c r="L260" s="85">
        <f>IF(K260="","",IF(VLOOKUP($B260,INDIRECT("'GRD-"&amp;M260&amp;"'!$B:$R"),16,FALSE)="","",VLOOKUP($B260,INDIRECT("'GRD-"&amp;M260&amp;"'!$B:$R"),16,FALSE)))</f>
        <v/>
      </c>
      <c r="M260" s="130">
        <f t="array" ref="M260">IF(K260="","",IFERROR(OFFSET($BZ$11,0,MATCH($K260,$CA260:$FV260,0),),""))</f>
        <v/>
      </c>
      <c r="N260" s="119">
        <f t="array" ref="N260">IF(K260="","",INDIRECT("'GRD-"&amp;M260&amp;"'!$L$7"))</f>
        <v/>
      </c>
      <c r="O260" s="76">
        <f t="array" ref="O260">IFERROR(OFFSET($BZ$11,ROW($B260)-11,MATCH(O$10,$CA260:$FV260,0),),"")</f>
        <v/>
      </c>
      <c r="P260" s="76">
        <f>IF(O260="","",IF(VLOOKUP($B260,INDIRECT("'GRD-"&amp;Q260&amp;"'!$B:$R"),16,FALSE)="","",VLOOKUP($B260,INDIRECT("'GRD-"&amp;Q260&amp;"'!$B:$R"),16,FALSE)))</f>
        <v/>
      </c>
      <c r="Q260" s="132">
        <f t="array" ref="Q260">IF(O260="","",IFERROR(OFFSET($BZ$11,0,MATCH($O260,$CA260:$FV260,0),),""))</f>
        <v/>
      </c>
      <c r="R260" s="121">
        <f t="array" ref="R260">IF(O260="","",INDIRECT("'GRD-"&amp;Q260&amp;"'!$L$7"))</f>
        <v/>
      </c>
      <c r="S260" s="83">
        <f t="array" ref="S260">IFERROR(OFFSET($BZ$11,ROW($B260)-11,MATCH(S$10,$CA260:$FV260,0),),"")</f>
        <v/>
      </c>
      <c r="T260" s="83">
        <f>IF(S260="","",IF(VLOOKUP($B260,INDIRECT("'GRD-"&amp;U260&amp;"'!$B:$R"),16,FALSE)="","",VLOOKUP($B260,INDIRECT("'GRD-"&amp;U260&amp;"'!$B:$R"),16,FALSE)))</f>
        <v/>
      </c>
      <c r="U260" s="128">
        <f t="array" ref="U260">IF(S260="","",IFERROR(OFFSET($BZ$11,0,MATCH($S260,$CA260:$FV260,0),),""))</f>
        <v/>
      </c>
      <c r="V260" s="133">
        <f t="array" ref="V260">IF(S260="","",INDIRECT("'GRD-"&amp;U260&amp;"'!$L$7"))</f>
        <v/>
      </c>
      <c r="W260" s="84">
        <f t="array" ref="W260">IFERROR(OFFSET($BZ$11,ROW($B260)-11,MATCH(W$10,$CA260:$FV260,0),),"")</f>
        <v/>
      </c>
      <c r="X260" s="84">
        <f>IF(W260="","",IF(VLOOKUP($B260,INDIRECT("'GRD-"&amp;Y260&amp;"'!$B:$R"),16,FALSE)="","",VLOOKUP($B260,INDIRECT("'GRD-"&amp;Y260&amp;"'!$B:$R"),16,FALSE)))</f>
        <v/>
      </c>
      <c r="Y260" s="129">
        <f t="array" ref="Y260">IF(W260="","",IFERROR(OFFSET($BZ$11,0,MATCH($W260,$CA260:$FV260,0),),""))</f>
        <v/>
      </c>
      <c r="Z260" s="134">
        <f t="array" ref="Z260">IF(W260="","",INDIRECT("'GRD-"&amp;Y260&amp;"'!$L$7"))</f>
        <v/>
      </c>
      <c r="AA260" s="85">
        <f t="array" ref="AA260">IFERROR(OFFSET($BZ$11,ROW($B260)-11,MATCH(AA$10,$CA260:$FV260,0),),"")</f>
        <v/>
      </c>
      <c r="AB260" s="85">
        <f>IF(AA260="","",IF(VLOOKUP($B260,INDIRECT("'GRD-"&amp;AC260&amp;"'!$B:$R"),16,FALSE)="","",VLOOKUP($B260,INDIRECT("'GRD-"&amp;AC260&amp;"'!$B:$R"),16,FALSE)))</f>
        <v/>
      </c>
      <c r="AC260" s="130">
        <f t="array" ref="AC260">IF(AA260="","",IFERROR(OFFSET($BZ$11,0,MATCH($AA260,$CA260:$FV260,0),),""))</f>
        <v/>
      </c>
      <c r="AD260" s="131">
        <f t="array" ref="AD260">IF(AA260="","",INDIRECT("'GRD-"&amp;AC260&amp;"'!$L$7"))</f>
        <v/>
      </c>
      <c r="AE260" s="76">
        <f t="array" ref="AE260">IFERROR(OFFSET($BZ$11,ROW($B260)-11,MATCH(AE$10,$CA260:$FV260,0),),"")</f>
        <v/>
      </c>
      <c r="AF260" s="76">
        <f>IF(AE260="","",IF(VLOOKUP($B260,INDIRECT("'GRD-"&amp;AG260&amp;"'!$B:$R"),16,FALSE)="","",VLOOKUP($B260,INDIRECT("'GRD-"&amp;AG260&amp;"'!$B:$R"),16,FALSE)))</f>
        <v/>
      </c>
      <c r="AG260" s="132">
        <f t="array" ref="AG260">IF(AE260="","",IFERROR(OFFSET($BZ$11,0,MATCH($AE260,$CA260:$FV260,0),),""))</f>
        <v/>
      </c>
      <c r="AH260" s="121">
        <f t="array" ref="AH260">IF(AE260="","",INDIRECT("'GRD-"&amp;AG260&amp;"'!$L$7"))</f>
        <v/>
      </c>
      <c r="AI260" s="83">
        <f t="array" ref="AI260">IFERROR(OFFSET($BZ$11,ROW($B260)-11,MATCH(AI$10,$CA260:$FV260,0),),"")</f>
        <v/>
      </c>
      <c r="AJ260" s="83">
        <f>IF(AI260="","",IF(VLOOKUP($B260,INDIRECT("'GRD-"&amp;AK260&amp;"'!$B:$R"),16,FALSE)="","",VLOOKUP($B260,INDIRECT("'GRD-"&amp;AK260&amp;"'!$B:$R"),16,FALSE)))</f>
        <v/>
      </c>
      <c r="AK260" s="128">
        <f t="array" ref="AK260">IF(AI260="","",IFERROR(OFFSET($BZ$11,0,MATCH($AI260,$CA260:$FV260,0),),""))</f>
        <v/>
      </c>
      <c r="AL260" s="133">
        <f t="array" ref="AL260">IF(AI260="","",INDIRECT("'GRD-"&amp;AK260&amp;"'!$L$7"))</f>
        <v/>
      </c>
      <c r="AM260" s="84">
        <f t="array" ref="AM260">IFERROR(OFFSET($BZ$11,ROW($B260)-11,MATCH(AM$10,$CA260:$FV260,0),),"")</f>
        <v/>
      </c>
      <c r="AN260" s="84">
        <f>IF(AM260="","",IF(VLOOKUP($B260,INDIRECT("'GRD-"&amp;AO260&amp;"'!$B:$R"),16,FALSE)="","",VLOOKUP($B260,INDIRECT("'GRD-"&amp;AO260&amp;"'!$B:$R"),16,FALSE)))</f>
        <v/>
      </c>
      <c r="AO260" s="129">
        <f t="array" ref="AO260">IF(AM260="","",IFERROR(OFFSET($BZ$11,0,MATCH($AM260,$CA260:$FV260,0),),""))</f>
        <v/>
      </c>
      <c r="AP260" s="134">
        <f t="array" ref="AP260">IF(AM260="","",INDIRECT("'GRD-"&amp;AO260&amp;"'!$L$7"))</f>
        <v/>
      </c>
      <c r="AQ260" s="85">
        <f t="array" ref="AQ260">IFERROR(OFFSET($BZ$11,ROW($B260)-11,MATCH(AQ$10,$CA260:$FV260,0),),"")</f>
        <v/>
      </c>
      <c r="AR260" s="85">
        <f>IF(AQ260="","",IF(VLOOKUP($B260,INDIRECT("'GRD-"&amp;AS260&amp;"'!$B:$R"),16,FALSE)="","",VLOOKUP($B260,INDIRECT("'GRD-"&amp;AS260&amp;"'!$B:$R"),16,FALSE)))</f>
        <v/>
      </c>
      <c r="AS260" s="130">
        <f t="array" ref="AS260">IF(AQ260="","",IFERROR(OFFSET($BZ$11,0,MATCH($AQ260,$CA260:$FV260,0),),""))</f>
        <v/>
      </c>
      <c r="AT260" s="131">
        <f t="array" ref="AT260">IF(AQ260="","",INDIRECT("'GRD-"&amp;AS260&amp;"'!$L$7"))</f>
        <v/>
      </c>
      <c r="AU260" s="76">
        <f t="array" ref="AU260">IFERROR(OFFSET($BZ$11,ROW($B260)-11,MATCH(AU$10,$CA260:$FV260,0),),"")</f>
        <v/>
      </c>
      <c r="AV260" s="76">
        <f>IF(AU260="","",IF(VLOOKUP($B260,INDIRECT("'GRD-"&amp;AW260&amp;"'!$B:$R"),16,FALSE)="","",VLOOKUP($B260,INDIRECT("'GRD-"&amp;AW260&amp;"'!$B:$R"),16,FALSE)))</f>
        <v/>
      </c>
      <c r="AW260" s="132">
        <f t="array" ref="AW260">IF(AU260="","",IFERROR(OFFSET($BZ$11,0,MATCH($AU260,$CA260:$FV260,0),),""))</f>
        <v/>
      </c>
      <c r="AX260" s="121">
        <f t="array" ref="AX260">IF(AU260="","",INDIRECT("'GRD-"&amp;AW260&amp;"'!$L$7"))</f>
        <v/>
      </c>
      <c r="AY260" s="83">
        <f t="array" ref="AY260">IFERROR(OFFSET($BZ$11,ROW($B260)-11,MATCH(AY$10,$CA260:$FV260,0),),"")</f>
        <v/>
      </c>
      <c r="AZ260" s="83">
        <f>IF(AY260="","",IF(VLOOKUP($B260,INDIRECT("'GRD-"&amp;BA260&amp;"'!$B:$R"),16,FALSE)="","",VLOOKUP($B260,INDIRECT("'GRD-"&amp;BA260&amp;"'!$B:$R"),16,FALSE)))</f>
        <v/>
      </c>
      <c r="BA260" s="128">
        <f t="array" ref="BA260">IF(AY260="","",IFERROR(OFFSET($BZ$11,0,MATCH($AY260,$CA260:$FV260,0),),""))</f>
        <v/>
      </c>
      <c r="BB260" s="133">
        <f t="array" ref="BB260">IF(AY260="","",INDIRECT("'GRD-"&amp;BA260&amp;"'!$L$7"))</f>
        <v/>
      </c>
      <c r="BC260" s="84">
        <f t="array" ref="BC260">IFERROR(OFFSET($BZ$11,ROW($B260)-11,MATCH(BC$10,$CA260:$FV260,0),),"")</f>
        <v/>
      </c>
      <c r="BD260" s="84">
        <f>IF(BC260="","",IF(VLOOKUP($B260,INDIRECT("'GRD-"&amp;BE260&amp;"'!$B:$R"),16,FALSE)="","",VLOOKUP($B260,INDIRECT("'GRD-"&amp;BE260&amp;"'!$B:$R"),16,FALSE)))</f>
        <v/>
      </c>
      <c r="BE260" s="129">
        <f t="array" ref="BE260">IF(BC260="","",IFERROR(OFFSET($BZ$11,0,MATCH($BC260,$CA260:$FV260,0),),""))</f>
        <v/>
      </c>
      <c r="BF260" s="134">
        <f t="array" ref="BF260">IF(BC260="","",INDIRECT("'GRD-"&amp;BE260&amp;"'!$L$7"))</f>
        <v/>
      </c>
      <c r="CA260" s="96">
        <f>IFERROR(VLOOKUP($B260,INDIRECT("'GRD-"&amp;CA$11&amp;"'!B:R"),15,FALSE),"")</f>
        <v/>
      </c>
      <c r="CB260" s="96">
        <f>IFERROR(VLOOKUP($B260,INDIRECT("'GRD-"&amp;CB$11&amp;"'!B:R"),15,FALSE),"")</f>
        <v/>
      </c>
      <c r="CC260" s="96">
        <f>IFERROR(VLOOKUP($B260,INDIRECT("'GRD-"&amp;CC$11&amp;"'!B:R"),15,FALSE),"")</f>
        <v/>
      </c>
      <c r="CD260" s="96">
        <f>IFERROR(VLOOKUP($B260,INDIRECT("'GRD-"&amp;CD$11&amp;"'!B:R"),15,FALSE),"")</f>
        <v/>
      </c>
      <c r="CE260" s="96">
        <f>IFERROR(VLOOKUP($B260,INDIRECT("'GRD-"&amp;CE$11&amp;"'!B:R"),15,FALSE),"")</f>
        <v/>
      </c>
      <c r="CF260" s="96">
        <f>IFERROR(VLOOKUP($B260,INDIRECT("'GRD-"&amp;CF$11&amp;"'!B:R"),15,FALSE),"")</f>
        <v/>
      </c>
      <c r="CG260" s="96">
        <f>IFERROR(VLOOKUP($B260,INDIRECT("'GRD-"&amp;CG$11&amp;"'!B:R"),15,FALSE),"")</f>
        <v/>
      </c>
      <c r="CH260" s="96">
        <f>IFERROR(VLOOKUP($B260,INDIRECT("'GRD-"&amp;CH$11&amp;"'!B:R"),15,FALSE),"")</f>
        <v/>
      </c>
      <c r="CI260" s="96">
        <f>IFERROR(VLOOKUP($B260,INDIRECT("'GRD-"&amp;CI$11&amp;"'!B:R"),15,FALSE),"")</f>
        <v/>
      </c>
      <c r="CJ260" s="96">
        <f>IFERROR(VLOOKUP($B260,INDIRECT("'GRD-"&amp;CJ$11&amp;"'!B:R"),15,FALSE),"")</f>
        <v/>
      </c>
      <c r="CK260" s="96">
        <f>IFERROR(VLOOKUP($B260,INDIRECT("'GRD-"&amp;CK$11&amp;"'!B:R"),15,FALSE),"")</f>
        <v/>
      </c>
      <c r="CL260" s="96">
        <f>IFERROR(VLOOKUP($B260,INDIRECT("'GRD-"&amp;CL$11&amp;"'!B:R"),15,FALSE),"")</f>
        <v/>
      </c>
      <c r="CM260" s="96">
        <f>IFERROR(VLOOKUP($B260,INDIRECT("'GRD-"&amp;CM$11&amp;"'!B:R"),15,FALSE),"")</f>
        <v/>
      </c>
      <c r="CN260" s="96">
        <f>IFERROR(VLOOKUP($B260,INDIRECT("'GRD-"&amp;CN$11&amp;"'!B:R"),15,FALSE),"")</f>
        <v/>
      </c>
      <c r="CO260" s="96">
        <f>IFERROR(VLOOKUP($B260,INDIRECT("'GRD-"&amp;CO$11&amp;"'!B:R"),15,FALSE),"")</f>
        <v/>
      </c>
      <c r="CP260" s="96">
        <f>IFERROR(VLOOKUP($B260,INDIRECT("'GRD-"&amp;CP$11&amp;"'!B:R"),15,FALSE),"")</f>
        <v/>
      </c>
      <c r="CQ260" s="96">
        <f>IFERROR(VLOOKUP($B260,INDIRECT("'GRD-"&amp;CQ$11&amp;"'!B:R"),15,FALSE),"")</f>
        <v/>
      </c>
      <c r="CR260" s="96">
        <f>IFERROR(VLOOKUP($B260,INDIRECT("'GRD-"&amp;CR$11&amp;"'!B:R"),15,FALSE),"")</f>
        <v/>
      </c>
      <c r="CS260" s="96">
        <f>IFERROR(VLOOKUP($B260,INDIRECT("'GRD-"&amp;CS$11&amp;"'!B:R"),15,FALSE),"")</f>
        <v/>
      </c>
      <c r="CT260" s="96">
        <f>IFERROR(VLOOKUP($B260,INDIRECT("'GRD-"&amp;CT$11&amp;"'!B:R"),15,FALSE),"")</f>
        <v/>
      </c>
      <c r="CU260" s="96">
        <f>IFERROR(VLOOKUP($B260,INDIRECT("'GRD-"&amp;CU$11&amp;"'!B:R"),15,FALSE),"")</f>
        <v/>
      </c>
      <c r="CV260" s="96">
        <f>IFERROR(VLOOKUP($B260,INDIRECT("'GRD-"&amp;CV$11&amp;"'!B:R"),15,FALSE),"")</f>
        <v/>
      </c>
      <c r="CW260" s="96">
        <f>IFERROR(VLOOKUP($B260,INDIRECT("'GRD-"&amp;CW$11&amp;"'!B:R"),15,FALSE),"")</f>
        <v/>
      </c>
      <c r="CX260" s="96">
        <f>IFERROR(VLOOKUP($B260,INDIRECT("'GRD-"&amp;CX$11&amp;"'!B:R"),15,FALSE),"")</f>
        <v/>
      </c>
      <c r="CY260" s="96">
        <f>IFERROR(VLOOKUP($B260,INDIRECT("'GRD-"&amp;CY$11&amp;"'!B:R"),15,FALSE),"")</f>
        <v/>
      </c>
      <c r="CZ260" s="96">
        <f>IFERROR(VLOOKUP($B260,INDIRECT("'GRD-"&amp;CZ$11&amp;"'!B:R"),15,FALSE),"")</f>
        <v/>
      </c>
      <c r="DA260" s="96">
        <f>IFERROR(VLOOKUP($B260,INDIRECT("'GRD-"&amp;DA$11&amp;"'!B:R"),15,FALSE),"")</f>
        <v/>
      </c>
      <c r="DB260" s="96">
        <f>IFERROR(VLOOKUP($B260,INDIRECT("'GRD-"&amp;DB$11&amp;"'!B:R"),15,FALSE),"")</f>
        <v/>
      </c>
      <c r="DC260" s="96">
        <f>IFERROR(VLOOKUP($B260,INDIRECT("'GRD-"&amp;DC$11&amp;"'!B:R"),15,FALSE),"")</f>
        <v/>
      </c>
      <c r="DD260" s="96">
        <f>IFERROR(VLOOKUP($B260,INDIRECT("'GRD-"&amp;DD$11&amp;"'!B:R"),15,FALSE),"")</f>
        <v/>
      </c>
      <c r="DE260" s="96">
        <f>IFERROR(VLOOKUP($B260,INDIRECT("'GRD-"&amp;DE$11&amp;"'!B:R"),15,FALSE),"")</f>
        <v/>
      </c>
      <c r="DF260" s="96">
        <f>IFERROR(VLOOKUP($B260,INDIRECT("'GRD-"&amp;DF$11&amp;"'!B:R"),15,FALSE),"")</f>
        <v/>
      </c>
      <c r="DG260" s="96">
        <f>IFERROR(VLOOKUP($B260,INDIRECT("'GRD-"&amp;DG$11&amp;"'!B:R"),15,FALSE),"")</f>
        <v/>
      </c>
      <c r="DH260" s="96">
        <f>IFERROR(VLOOKUP($B260,INDIRECT("'GRD-"&amp;DH$11&amp;"'!B:R"),15,FALSE),"")</f>
        <v/>
      </c>
      <c r="DI260" s="96">
        <f>IFERROR(VLOOKUP($B260,INDIRECT("'GRD-"&amp;DI$11&amp;"'!B:R"),15,FALSE),"")</f>
        <v/>
      </c>
      <c r="DJ260" s="96">
        <f>IFERROR(VLOOKUP($B260,INDIRECT("'GRD-"&amp;DJ$11&amp;"'!B:R"),15,FALSE),"")</f>
        <v/>
      </c>
      <c r="DK260" s="96">
        <f>IFERROR(VLOOKUP($B260,INDIRECT("'GRD-"&amp;DK$11&amp;"'!B:R"),15,FALSE),"")</f>
        <v/>
      </c>
      <c r="DL260" s="96">
        <f>IFERROR(VLOOKUP($B260,INDIRECT("'GRD-"&amp;DL$11&amp;"'!B:R"),15,FALSE),"")</f>
        <v/>
      </c>
      <c r="DM260" s="96">
        <f>IFERROR(VLOOKUP($B260,INDIRECT("'GRD-"&amp;DM$11&amp;"'!B:R"),15,FALSE),"")</f>
        <v/>
      </c>
      <c r="DN260" s="96">
        <f>IFERROR(VLOOKUP($B260,INDIRECT("'GRD-"&amp;DN$11&amp;"'!B:R"),15,FALSE),"")</f>
        <v/>
      </c>
      <c r="DO260" s="96">
        <f>IFERROR(VLOOKUP($B260,INDIRECT("'GRD-"&amp;DO$11&amp;"'!B:R"),15,FALSE),"")</f>
        <v/>
      </c>
      <c r="DP260" s="96">
        <f>IFERROR(VLOOKUP($B260,INDIRECT("'GRD-"&amp;DP$11&amp;"'!B:R"),15,FALSE),"")</f>
        <v/>
      </c>
      <c r="DQ260" s="96">
        <f>IFERROR(VLOOKUP($B260,INDIRECT("'GRD-"&amp;DQ$11&amp;"'!B:R"),15,FALSE),"")</f>
        <v/>
      </c>
      <c r="DR260" s="96">
        <f>IFERROR(VLOOKUP($B260,INDIRECT("'GRD-"&amp;DR$11&amp;"'!B:R"),15,FALSE),"")</f>
        <v/>
      </c>
      <c r="DS260" s="96">
        <f>IFERROR(VLOOKUP($B260,INDIRECT("'GRD-"&amp;DS$11&amp;"'!B:R"),15,FALSE),"")</f>
        <v/>
      </c>
      <c r="DT260" s="96">
        <f>IFERROR(VLOOKUP($B260,INDIRECT("'GRD-"&amp;DT$11&amp;"'!B:R"),15,FALSE),"")</f>
        <v/>
      </c>
      <c r="DU260" s="96">
        <f>IFERROR(VLOOKUP($B260,INDIRECT("'GRD-"&amp;DU$11&amp;"'!B:R"),15,FALSE),"")</f>
        <v/>
      </c>
      <c r="DV260" s="96">
        <f>IFERROR(VLOOKUP($B260,INDIRECT("'GRD-"&amp;DV$11&amp;"'!B:R"),15,FALSE),"")</f>
        <v/>
      </c>
      <c r="DW260" s="96">
        <f>IFERROR(VLOOKUP($B260,INDIRECT("'GRD-"&amp;DW$11&amp;"'!B:R"),15,FALSE),"")</f>
        <v/>
      </c>
      <c r="DX260" s="96">
        <f>IFERROR(VLOOKUP($B260,INDIRECT("'GRD-"&amp;DX$11&amp;"'!B:R"),15,FALSE),"")</f>
        <v/>
      </c>
      <c r="DY260" s="96">
        <f>IFERROR(VLOOKUP($B260,INDIRECT("'GRD-"&amp;DY$11&amp;"'!B:R"),15,FALSE),"")</f>
        <v/>
      </c>
      <c r="DZ260" s="96">
        <f>IFERROR(VLOOKUP($B260,INDIRECT("'GRD-"&amp;DZ$11&amp;"'!B:R"),15,FALSE),"")</f>
        <v/>
      </c>
      <c r="EA260" s="96">
        <f>IFERROR(VLOOKUP($B260,INDIRECT("'GRD-"&amp;EA$11&amp;"'!B:R"),15,FALSE),"")</f>
        <v/>
      </c>
      <c r="EB260" s="96">
        <f>IFERROR(VLOOKUP($B260,INDIRECT("'GRD-"&amp;EB$11&amp;"'!B:R"),15,FALSE),"")</f>
        <v/>
      </c>
      <c r="EC260" s="96">
        <f>IFERROR(VLOOKUP($B260,INDIRECT("'GRD-"&amp;EC$11&amp;"'!B:R"),15,FALSE),"")</f>
        <v/>
      </c>
      <c r="ED260" s="96">
        <f>IFERROR(VLOOKUP($B260,INDIRECT("'GRD-"&amp;ED$11&amp;"'!B:R"),15,FALSE),"")</f>
        <v/>
      </c>
      <c r="EE260" s="96">
        <f>IFERROR(VLOOKUP($B260,INDIRECT("'GRD-"&amp;EE$11&amp;"'!B:R"),15,FALSE),"")</f>
        <v/>
      </c>
      <c r="EF260" s="96">
        <f>IFERROR(VLOOKUP($B260,INDIRECT("'GRD-"&amp;EF$11&amp;"'!B:R"),15,FALSE),"")</f>
        <v/>
      </c>
      <c r="EG260" s="96">
        <f>IFERROR(VLOOKUP($B260,INDIRECT("'GRD-"&amp;EG$11&amp;"'!B:R"),15,FALSE),"")</f>
        <v/>
      </c>
      <c r="EH260" s="96">
        <f>IFERROR(VLOOKUP($B260,INDIRECT("'GRD-"&amp;EH$11&amp;"'!B:R"),15,FALSE),"")</f>
        <v/>
      </c>
      <c r="EI260" s="96">
        <f>IFERROR(VLOOKUP($B260,INDIRECT("'GRD-"&amp;EI$11&amp;"'!B:R"),15,FALSE),"")</f>
        <v/>
      </c>
      <c r="EJ260" s="96">
        <f>IFERROR(VLOOKUP($B260,INDIRECT("'GRD-"&amp;EJ$11&amp;"'!B:R"),15,FALSE),"")</f>
        <v/>
      </c>
      <c r="EK260" s="96">
        <f>IFERROR(VLOOKUP($B260,INDIRECT("'GRD-"&amp;EK$11&amp;"'!B:R"),15,FALSE),"")</f>
        <v/>
      </c>
      <c r="EL260" s="96">
        <f>IFERROR(VLOOKUP($B260,INDIRECT("'GRD-"&amp;EL$11&amp;"'!B:R"),15,FALSE),"")</f>
        <v/>
      </c>
      <c r="EM260" s="96">
        <f>IFERROR(VLOOKUP($B260,INDIRECT("'GRD-"&amp;EM$11&amp;"'!B:R"),15,FALSE),"")</f>
        <v/>
      </c>
      <c r="EN260" s="96">
        <f>IFERROR(VLOOKUP($B260,INDIRECT("'GRD-"&amp;EN$11&amp;"'!B:R"),15,FALSE),"")</f>
        <v/>
      </c>
      <c r="EO260" s="96">
        <f>IFERROR(VLOOKUP($B260,INDIRECT("'GRD-"&amp;EO$11&amp;"'!B:R"),15,FALSE),"")</f>
        <v/>
      </c>
      <c r="EP260" s="96">
        <f>IFERROR(VLOOKUP($B260,INDIRECT("'GRD-"&amp;EP$11&amp;"'!B:R"),15,FALSE),"")</f>
        <v/>
      </c>
      <c r="EQ260" s="96">
        <f>IFERROR(VLOOKUP($B260,INDIRECT("'GRD-"&amp;EQ$11&amp;"'!B:R"),15,FALSE),"")</f>
        <v/>
      </c>
      <c r="ER260" s="96">
        <f>IFERROR(VLOOKUP($B260,INDIRECT("'GRD-"&amp;ER$11&amp;"'!B:R"),15,FALSE),"")</f>
        <v/>
      </c>
      <c r="ES260" s="96">
        <f>IFERROR(VLOOKUP($B260,INDIRECT("'GRD-"&amp;ES$11&amp;"'!B:R"),15,FALSE),"")</f>
        <v/>
      </c>
      <c r="ET260" s="96">
        <f>IFERROR(VLOOKUP($B260,INDIRECT("'GRD-"&amp;ET$11&amp;"'!B:R"),15,FALSE),"")</f>
        <v/>
      </c>
      <c r="EU260" s="96">
        <f>IFERROR(VLOOKUP($B260,INDIRECT("'GRD-"&amp;EU$11&amp;"'!B:R"),15,FALSE),"")</f>
        <v/>
      </c>
      <c r="EV260" s="96">
        <f>IFERROR(VLOOKUP($B260,INDIRECT("'GRD-"&amp;EV$11&amp;"'!B:R"),15,FALSE),"")</f>
        <v/>
      </c>
      <c r="EW260" s="96">
        <f>IFERROR(VLOOKUP($B260,INDIRECT("'GRD-"&amp;EW$11&amp;"'!B:R"),15,FALSE),"")</f>
        <v/>
      </c>
      <c r="EX260" s="96">
        <f>IFERROR(VLOOKUP($B260,INDIRECT("'GRD-"&amp;EX$11&amp;"'!B:R"),15,FALSE),"")</f>
        <v/>
      </c>
      <c r="EY260" s="96">
        <f>IFERROR(VLOOKUP($B260,INDIRECT("'GRD-"&amp;EY$11&amp;"'!B:R"),15,FALSE),"")</f>
        <v/>
      </c>
      <c r="EZ260" s="96">
        <f>IFERROR(VLOOKUP($B260,INDIRECT("'GRD-"&amp;EZ$11&amp;"'!B:R"),15,FALSE),"")</f>
        <v/>
      </c>
      <c r="FA260" s="96">
        <f>IFERROR(VLOOKUP($B260,INDIRECT("'GRD-"&amp;FA$11&amp;"'!B:R"),15,FALSE),"")</f>
        <v/>
      </c>
      <c r="FB260" s="96">
        <f>IFERROR(VLOOKUP($B260,INDIRECT("'GRD-"&amp;FB$11&amp;"'!B:R"),15,FALSE),"")</f>
        <v/>
      </c>
      <c r="FC260" s="96">
        <f>IFERROR(VLOOKUP($B260,INDIRECT("'GRD-"&amp;FC$11&amp;"'!B:R"),15,FALSE),"")</f>
        <v/>
      </c>
      <c r="FD260" s="96">
        <f>IFERROR(VLOOKUP($B260,INDIRECT("'GRD-"&amp;FD$11&amp;"'!B:R"),15,FALSE),"")</f>
        <v/>
      </c>
      <c r="FE260" s="96">
        <f>IFERROR(VLOOKUP($B260,INDIRECT("'GRD-"&amp;FE$11&amp;"'!B:R"),15,FALSE),"")</f>
        <v/>
      </c>
      <c r="FF260" s="96">
        <f>IFERROR(VLOOKUP($B260,INDIRECT("'GRD-"&amp;FF$11&amp;"'!B:R"),15,FALSE),"")</f>
        <v/>
      </c>
      <c r="FG260" s="96">
        <f>IFERROR(VLOOKUP($B260,INDIRECT("'GRD-"&amp;FG$11&amp;"'!B:R"),15,FALSE),"")</f>
        <v/>
      </c>
      <c r="FH260" s="96">
        <f>IFERROR(VLOOKUP($B260,INDIRECT("'GRD-"&amp;FH$11&amp;"'!B:R"),15,FALSE),"")</f>
        <v/>
      </c>
      <c r="FI260" s="96">
        <f>IFERROR(VLOOKUP($B260,INDIRECT("'GRD-"&amp;FI$11&amp;"'!B:R"),15,FALSE),"")</f>
        <v/>
      </c>
      <c r="FJ260" s="96">
        <f>IFERROR(VLOOKUP($B260,INDIRECT("'GRD-"&amp;FJ$11&amp;"'!B:R"),15,FALSE),"")</f>
        <v/>
      </c>
      <c r="FK260" s="96">
        <f>IFERROR(VLOOKUP($B260,INDIRECT("'GRD-"&amp;FK$11&amp;"'!B:R"),15,FALSE),"")</f>
        <v/>
      </c>
      <c r="FL260" s="96">
        <f>IFERROR(VLOOKUP($B260,INDIRECT("'GRD-"&amp;FL$11&amp;"'!B:R"),15,FALSE),"")</f>
        <v/>
      </c>
      <c r="FM260" s="96">
        <f>IFERROR(VLOOKUP($B260,INDIRECT("'GRD-"&amp;FM$11&amp;"'!B:R"),15,FALSE),"")</f>
        <v/>
      </c>
      <c r="FN260" s="96">
        <f>IFERROR(VLOOKUP($B260,INDIRECT("'GRD-"&amp;FN$11&amp;"'!B:R"),15,FALSE),"")</f>
        <v/>
      </c>
      <c r="FO260" s="96">
        <f>IFERROR(VLOOKUP($B260,INDIRECT("'GRD-"&amp;FO$11&amp;"'!B:R"),15,FALSE),"")</f>
        <v/>
      </c>
      <c r="FP260" s="96">
        <f>IFERROR(VLOOKUP($B260,INDIRECT("'GRD-"&amp;FP$11&amp;"'!B:R"),15,FALSE),"")</f>
        <v/>
      </c>
      <c r="FQ260" s="96">
        <f>IFERROR(VLOOKUP($B260,INDIRECT("'GRD-"&amp;FQ$11&amp;"'!B:R"),15,FALSE),"")</f>
        <v/>
      </c>
      <c r="FR260" s="96">
        <f>IFERROR(VLOOKUP($B260,INDIRECT("'GRD-"&amp;FR$11&amp;"'!B:R"),15,FALSE),"")</f>
        <v/>
      </c>
      <c r="FS260" s="96">
        <f>IFERROR(VLOOKUP($B260,INDIRECT("'GRD-"&amp;FS$11&amp;"'!B:R"),15,FALSE),"")</f>
        <v/>
      </c>
      <c r="FT260" s="96">
        <f>IFERROR(VLOOKUP($B260,INDIRECT("'GRD-"&amp;FT$11&amp;"'!B:R"),15,FALSE),"")</f>
        <v/>
      </c>
      <c r="FU260" s="96">
        <f>IFERROR(VLOOKUP($B260,INDIRECT("'GRD-"&amp;FU$11&amp;"'!B:R"),15,FALSE),"")</f>
        <v/>
      </c>
      <c r="FV260" s="96">
        <f>IFERROR(VLOOKUP($B260,INDIRECT("'GRD-"&amp;FV$11&amp;"'!B:R"),15,FALSE),"")</f>
        <v/>
      </c>
    </row>
    <row r="261">
      <c r="B261" s="85" t="n"/>
      <c r="C261" s="93" t="n"/>
      <c r="D261" s="73">
        <f>IF(K261="","",MAX($CA261:$FV261))</f>
        <v/>
      </c>
      <c r="E261" s="74">
        <f t="array" ref="E261">IF($K261="","",OFFSET($A$1,ROW($B261)-1,11+$D261*4,))</f>
        <v/>
      </c>
      <c r="F261" s="74">
        <f t="array" ref="F261">IF($K261="","",OFFSET($A$1,ROW($B261)-1,12+$D261*4,))</f>
        <v/>
      </c>
      <c r="G261" s="118">
        <f t="array" ref="G261">IF($K261="","",OFFSET($A$1,ROW($B261)-1,13+$D261*4,))</f>
        <v/>
      </c>
      <c r="H261" s="81" t="n"/>
      <c r="I261" s="82" t="n"/>
      <c r="J261" s="75">
        <f>IF(I261="A4",H261/8,IF(I261="A3",H261/4,IF(I261="A2",H261/2,IF(I261="A1",H261/1,IF(I261="A0",H261*2,"")))))</f>
        <v/>
      </c>
      <c r="K261" s="68">
        <f t="array" ref="K261">IFERROR(OFFSET($BZ$11,ROW($B261)-11,MATCH(K$10,$CA261:$FV261,0),),"")</f>
        <v/>
      </c>
      <c r="L261" s="85">
        <f>IF(K261="","",IF(VLOOKUP($B261,INDIRECT("'GRD-"&amp;M261&amp;"'!$B:$R"),16,FALSE)="","",VLOOKUP($B261,INDIRECT("'GRD-"&amp;M261&amp;"'!$B:$R"),16,FALSE)))</f>
        <v/>
      </c>
      <c r="M261" s="130">
        <f t="array" ref="M261">IF(K261="","",IFERROR(OFFSET($BZ$11,0,MATCH($K261,$CA261:$FV261,0),),""))</f>
        <v/>
      </c>
      <c r="N261" s="119">
        <f t="array" ref="N261">IF(K261="","",INDIRECT("'GRD-"&amp;M261&amp;"'!$L$7"))</f>
        <v/>
      </c>
      <c r="O261" s="76">
        <f t="array" ref="O261">IFERROR(OFFSET($BZ$11,ROW($B261)-11,MATCH(O$10,$CA261:$FV261,0),),"")</f>
        <v/>
      </c>
      <c r="P261" s="76">
        <f>IF(O261="","",IF(VLOOKUP($B261,INDIRECT("'GRD-"&amp;Q261&amp;"'!$B:$R"),16,FALSE)="","",VLOOKUP($B261,INDIRECT("'GRD-"&amp;Q261&amp;"'!$B:$R"),16,FALSE)))</f>
        <v/>
      </c>
      <c r="Q261" s="132">
        <f t="array" ref="Q261">IF(O261="","",IFERROR(OFFSET($BZ$11,0,MATCH($O261,$CA261:$FV261,0),),""))</f>
        <v/>
      </c>
      <c r="R261" s="121">
        <f t="array" ref="R261">IF(O261="","",INDIRECT("'GRD-"&amp;Q261&amp;"'!$L$7"))</f>
        <v/>
      </c>
      <c r="S261" s="83">
        <f t="array" ref="S261">IFERROR(OFFSET($BZ$11,ROW($B261)-11,MATCH(S$10,$CA261:$FV261,0),),"")</f>
        <v/>
      </c>
      <c r="T261" s="83">
        <f>IF(S261="","",IF(VLOOKUP($B261,INDIRECT("'GRD-"&amp;U261&amp;"'!$B:$R"),16,FALSE)="","",VLOOKUP($B261,INDIRECT("'GRD-"&amp;U261&amp;"'!$B:$R"),16,FALSE)))</f>
        <v/>
      </c>
      <c r="U261" s="128">
        <f t="array" ref="U261">IF(S261="","",IFERROR(OFFSET($BZ$11,0,MATCH($S261,$CA261:$FV261,0),),""))</f>
        <v/>
      </c>
      <c r="V261" s="133">
        <f t="array" ref="V261">IF(S261="","",INDIRECT("'GRD-"&amp;U261&amp;"'!$L$7"))</f>
        <v/>
      </c>
      <c r="W261" s="84">
        <f t="array" ref="W261">IFERROR(OFFSET($BZ$11,ROW($B261)-11,MATCH(W$10,$CA261:$FV261,0),),"")</f>
        <v/>
      </c>
      <c r="X261" s="84">
        <f>IF(W261="","",IF(VLOOKUP($B261,INDIRECT("'GRD-"&amp;Y261&amp;"'!$B:$R"),16,FALSE)="","",VLOOKUP($B261,INDIRECT("'GRD-"&amp;Y261&amp;"'!$B:$R"),16,FALSE)))</f>
        <v/>
      </c>
      <c r="Y261" s="129">
        <f t="array" ref="Y261">IF(W261="","",IFERROR(OFFSET($BZ$11,0,MATCH($W261,$CA261:$FV261,0),),""))</f>
        <v/>
      </c>
      <c r="Z261" s="134">
        <f t="array" ref="Z261">IF(W261="","",INDIRECT("'GRD-"&amp;Y261&amp;"'!$L$7"))</f>
        <v/>
      </c>
      <c r="AA261" s="85">
        <f t="array" ref="AA261">IFERROR(OFFSET($BZ$11,ROW($B261)-11,MATCH(AA$10,$CA261:$FV261,0),),"")</f>
        <v/>
      </c>
      <c r="AB261" s="85">
        <f>IF(AA261="","",IF(VLOOKUP($B261,INDIRECT("'GRD-"&amp;AC261&amp;"'!$B:$R"),16,FALSE)="","",VLOOKUP($B261,INDIRECT("'GRD-"&amp;AC261&amp;"'!$B:$R"),16,FALSE)))</f>
        <v/>
      </c>
      <c r="AC261" s="130">
        <f t="array" ref="AC261">IF(AA261="","",IFERROR(OFFSET($BZ$11,0,MATCH($AA261,$CA261:$FV261,0),),""))</f>
        <v/>
      </c>
      <c r="AD261" s="131">
        <f t="array" ref="AD261">IF(AA261="","",INDIRECT("'GRD-"&amp;AC261&amp;"'!$L$7"))</f>
        <v/>
      </c>
      <c r="AE261" s="76">
        <f t="array" ref="AE261">IFERROR(OFFSET($BZ$11,ROW($B261)-11,MATCH(AE$10,$CA261:$FV261,0),),"")</f>
        <v/>
      </c>
      <c r="AF261" s="76">
        <f>IF(AE261="","",IF(VLOOKUP($B261,INDIRECT("'GRD-"&amp;AG261&amp;"'!$B:$R"),16,FALSE)="","",VLOOKUP($B261,INDIRECT("'GRD-"&amp;AG261&amp;"'!$B:$R"),16,FALSE)))</f>
        <v/>
      </c>
      <c r="AG261" s="132">
        <f t="array" ref="AG261">IF(AE261="","",IFERROR(OFFSET($BZ$11,0,MATCH($AE261,$CA261:$FV261,0),),""))</f>
        <v/>
      </c>
      <c r="AH261" s="121">
        <f t="array" ref="AH261">IF(AE261="","",INDIRECT("'GRD-"&amp;AG261&amp;"'!$L$7"))</f>
        <v/>
      </c>
      <c r="AI261" s="83">
        <f t="array" ref="AI261">IFERROR(OFFSET($BZ$11,ROW($B261)-11,MATCH(AI$10,$CA261:$FV261,0),),"")</f>
        <v/>
      </c>
      <c r="AJ261" s="83">
        <f>IF(AI261="","",IF(VLOOKUP($B261,INDIRECT("'GRD-"&amp;AK261&amp;"'!$B:$R"),16,FALSE)="","",VLOOKUP($B261,INDIRECT("'GRD-"&amp;AK261&amp;"'!$B:$R"),16,FALSE)))</f>
        <v/>
      </c>
      <c r="AK261" s="128">
        <f t="array" ref="AK261">IF(AI261="","",IFERROR(OFFSET($BZ$11,0,MATCH($AI261,$CA261:$FV261,0),),""))</f>
        <v/>
      </c>
      <c r="AL261" s="133">
        <f t="array" ref="AL261">IF(AI261="","",INDIRECT("'GRD-"&amp;AK261&amp;"'!$L$7"))</f>
        <v/>
      </c>
      <c r="AM261" s="84">
        <f t="array" ref="AM261">IFERROR(OFFSET($BZ$11,ROW($B261)-11,MATCH(AM$10,$CA261:$FV261,0),),"")</f>
        <v/>
      </c>
      <c r="AN261" s="84">
        <f>IF(AM261="","",IF(VLOOKUP($B261,INDIRECT("'GRD-"&amp;AO261&amp;"'!$B:$R"),16,FALSE)="","",VLOOKUP($B261,INDIRECT("'GRD-"&amp;AO261&amp;"'!$B:$R"),16,FALSE)))</f>
        <v/>
      </c>
      <c r="AO261" s="129">
        <f t="array" ref="AO261">IF(AM261="","",IFERROR(OFFSET($BZ$11,0,MATCH($AM261,$CA261:$FV261,0),),""))</f>
        <v/>
      </c>
      <c r="AP261" s="134">
        <f t="array" ref="AP261">IF(AM261="","",INDIRECT("'GRD-"&amp;AO261&amp;"'!$L$7"))</f>
        <v/>
      </c>
      <c r="AQ261" s="85">
        <f t="array" ref="AQ261">IFERROR(OFFSET($BZ$11,ROW($B261)-11,MATCH(AQ$10,$CA261:$FV261,0),),"")</f>
        <v/>
      </c>
      <c r="AR261" s="85">
        <f>IF(AQ261="","",IF(VLOOKUP($B261,INDIRECT("'GRD-"&amp;AS261&amp;"'!$B:$R"),16,FALSE)="","",VLOOKUP($B261,INDIRECT("'GRD-"&amp;AS261&amp;"'!$B:$R"),16,FALSE)))</f>
        <v/>
      </c>
      <c r="AS261" s="130">
        <f t="array" ref="AS261">IF(AQ261="","",IFERROR(OFFSET($BZ$11,0,MATCH($AQ261,$CA261:$FV261,0),),""))</f>
        <v/>
      </c>
      <c r="AT261" s="131">
        <f t="array" ref="AT261">IF(AQ261="","",INDIRECT("'GRD-"&amp;AS261&amp;"'!$L$7"))</f>
        <v/>
      </c>
      <c r="AU261" s="76">
        <f t="array" ref="AU261">IFERROR(OFFSET($BZ$11,ROW($B261)-11,MATCH(AU$10,$CA261:$FV261,0),),"")</f>
        <v/>
      </c>
      <c r="AV261" s="76">
        <f>IF(AU261="","",IF(VLOOKUP($B261,INDIRECT("'GRD-"&amp;AW261&amp;"'!$B:$R"),16,FALSE)="","",VLOOKUP($B261,INDIRECT("'GRD-"&amp;AW261&amp;"'!$B:$R"),16,FALSE)))</f>
        <v/>
      </c>
      <c r="AW261" s="132">
        <f t="array" ref="AW261">IF(AU261="","",IFERROR(OFFSET($BZ$11,0,MATCH($AU261,$CA261:$FV261,0),),""))</f>
        <v/>
      </c>
      <c r="AX261" s="121">
        <f t="array" ref="AX261">IF(AU261="","",INDIRECT("'GRD-"&amp;AW261&amp;"'!$L$7"))</f>
        <v/>
      </c>
      <c r="AY261" s="83">
        <f t="array" ref="AY261">IFERROR(OFFSET($BZ$11,ROW($B261)-11,MATCH(AY$10,$CA261:$FV261,0),),"")</f>
        <v/>
      </c>
      <c r="AZ261" s="83">
        <f>IF(AY261="","",IF(VLOOKUP($B261,INDIRECT("'GRD-"&amp;BA261&amp;"'!$B:$R"),16,FALSE)="","",VLOOKUP($B261,INDIRECT("'GRD-"&amp;BA261&amp;"'!$B:$R"),16,FALSE)))</f>
        <v/>
      </c>
      <c r="BA261" s="128">
        <f t="array" ref="BA261">IF(AY261="","",IFERROR(OFFSET($BZ$11,0,MATCH($AY261,$CA261:$FV261,0),),""))</f>
        <v/>
      </c>
      <c r="BB261" s="133">
        <f t="array" ref="BB261">IF(AY261="","",INDIRECT("'GRD-"&amp;BA261&amp;"'!$L$7"))</f>
        <v/>
      </c>
      <c r="BC261" s="84">
        <f t="array" ref="BC261">IFERROR(OFFSET($BZ$11,ROW($B261)-11,MATCH(BC$10,$CA261:$FV261,0),),"")</f>
        <v/>
      </c>
      <c r="BD261" s="84">
        <f>IF(BC261="","",IF(VLOOKUP($B261,INDIRECT("'GRD-"&amp;BE261&amp;"'!$B:$R"),16,FALSE)="","",VLOOKUP($B261,INDIRECT("'GRD-"&amp;BE261&amp;"'!$B:$R"),16,FALSE)))</f>
        <v/>
      </c>
      <c r="BE261" s="129">
        <f t="array" ref="BE261">IF(BC261="","",IFERROR(OFFSET($BZ$11,0,MATCH($BC261,$CA261:$FV261,0),),""))</f>
        <v/>
      </c>
      <c r="BF261" s="134">
        <f t="array" ref="BF261">IF(BC261="","",INDIRECT("'GRD-"&amp;BE261&amp;"'!$L$7"))</f>
        <v/>
      </c>
      <c r="CA261" s="96">
        <f>IFERROR(VLOOKUP($B261,INDIRECT("'GRD-"&amp;CA$11&amp;"'!B:R"),15,FALSE),"")</f>
        <v/>
      </c>
      <c r="CB261" s="96">
        <f>IFERROR(VLOOKUP($B261,INDIRECT("'GRD-"&amp;CB$11&amp;"'!B:R"),15,FALSE),"")</f>
        <v/>
      </c>
      <c r="CC261" s="96">
        <f>IFERROR(VLOOKUP($B261,INDIRECT("'GRD-"&amp;CC$11&amp;"'!B:R"),15,FALSE),"")</f>
        <v/>
      </c>
      <c r="CD261" s="96">
        <f>IFERROR(VLOOKUP($B261,INDIRECT("'GRD-"&amp;CD$11&amp;"'!B:R"),15,FALSE),"")</f>
        <v/>
      </c>
      <c r="CE261" s="96">
        <f>IFERROR(VLOOKUP($B261,INDIRECT("'GRD-"&amp;CE$11&amp;"'!B:R"),15,FALSE),"")</f>
        <v/>
      </c>
      <c r="CF261" s="96">
        <f>IFERROR(VLOOKUP($B261,INDIRECT("'GRD-"&amp;CF$11&amp;"'!B:R"),15,FALSE),"")</f>
        <v/>
      </c>
      <c r="CG261" s="96">
        <f>IFERROR(VLOOKUP($B261,INDIRECT("'GRD-"&amp;CG$11&amp;"'!B:R"),15,FALSE),"")</f>
        <v/>
      </c>
      <c r="CH261" s="96">
        <f>IFERROR(VLOOKUP($B261,INDIRECT("'GRD-"&amp;CH$11&amp;"'!B:R"),15,FALSE),"")</f>
        <v/>
      </c>
      <c r="CI261" s="96">
        <f>IFERROR(VLOOKUP($B261,INDIRECT("'GRD-"&amp;CI$11&amp;"'!B:R"),15,FALSE),"")</f>
        <v/>
      </c>
      <c r="CJ261" s="96">
        <f>IFERROR(VLOOKUP($B261,INDIRECT("'GRD-"&amp;CJ$11&amp;"'!B:R"),15,FALSE),"")</f>
        <v/>
      </c>
      <c r="CK261" s="96">
        <f>IFERROR(VLOOKUP($B261,INDIRECT("'GRD-"&amp;CK$11&amp;"'!B:R"),15,FALSE),"")</f>
        <v/>
      </c>
      <c r="CL261" s="96">
        <f>IFERROR(VLOOKUP($B261,INDIRECT("'GRD-"&amp;CL$11&amp;"'!B:R"),15,FALSE),"")</f>
        <v/>
      </c>
      <c r="CM261" s="96">
        <f>IFERROR(VLOOKUP($B261,INDIRECT("'GRD-"&amp;CM$11&amp;"'!B:R"),15,FALSE),"")</f>
        <v/>
      </c>
      <c r="CN261" s="96">
        <f>IFERROR(VLOOKUP($B261,INDIRECT("'GRD-"&amp;CN$11&amp;"'!B:R"),15,FALSE),"")</f>
        <v/>
      </c>
      <c r="CO261" s="96">
        <f>IFERROR(VLOOKUP($B261,INDIRECT("'GRD-"&amp;CO$11&amp;"'!B:R"),15,FALSE),"")</f>
        <v/>
      </c>
      <c r="CP261" s="96">
        <f>IFERROR(VLOOKUP($B261,INDIRECT("'GRD-"&amp;CP$11&amp;"'!B:R"),15,FALSE),"")</f>
        <v/>
      </c>
      <c r="CQ261" s="96">
        <f>IFERROR(VLOOKUP($B261,INDIRECT("'GRD-"&amp;CQ$11&amp;"'!B:R"),15,FALSE),"")</f>
        <v/>
      </c>
      <c r="CR261" s="96">
        <f>IFERROR(VLOOKUP($B261,INDIRECT("'GRD-"&amp;CR$11&amp;"'!B:R"),15,FALSE),"")</f>
        <v/>
      </c>
      <c r="CS261" s="96">
        <f>IFERROR(VLOOKUP($B261,INDIRECT("'GRD-"&amp;CS$11&amp;"'!B:R"),15,FALSE),"")</f>
        <v/>
      </c>
      <c r="CT261" s="96">
        <f>IFERROR(VLOOKUP($B261,INDIRECT("'GRD-"&amp;CT$11&amp;"'!B:R"),15,FALSE),"")</f>
        <v/>
      </c>
      <c r="CU261" s="96">
        <f>IFERROR(VLOOKUP($B261,INDIRECT("'GRD-"&amp;CU$11&amp;"'!B:R"),15,FALSE),"")</f>
        <v/>
      </c>
      <c r="CV261" s="96">
        <f>IFERROR(VLOOKUP($B261,INDIRECT("'GRD-"&amp;CV$11&amp;"'!B:R"),15,FALSE),"")</f>
        <v/>
      </c>
      <c r="CW261" s="96">
        <f>IFERROR(VLOOKUP($B261,INDIRECT("'GRD-"&amp;CW$11&amp;"'!B:R"),15,FALSE),"")</f>
        <v/>
      </c>
      <c r="CX261" s="96">
        <f>IFERROR(VLOOKUP($B261,INDIRECT("'GRD-"&amp;CX$11&amp;"'!B:R"),15,FALSE),"")</f>
        <v/>
      </c>
      <c r="CY261" s="96">
        <f>IFERROR(VLOOKUP($B261,INDIRECT("'GRD-"&amp;CY$11&amp;"'!B:R"),15,FALSE),"")</f>
        <v/>
      </c>
      <c r="CZ261" s="96">
        <f>IFERROR(VLOOKUP($B261,INDIRECT("'GRD-"&amp;CZ$11&amp;"'!B:R"),15,FALSE),"")</f>
        <v/>
      </c>
      <c r="DA261" s="96">
        <f>IFERROR(VLOOKUP($B261,INDIRECT("'GRD-"&amp;DA$11&amp;"'!B:R"),15,FALSE),"")</f>
        <v/>
      </c>
      <c r="DB261" s="96">
        <f>IFERROR(VLOOKUP($B261,INDIRECT("'GRD-"&amp;DB$11&amp;"'!B:R"),15,FALSE),"")</f>
        <v/>
      </c>
      <c r="DC261" s="96">
        <f>IFERROR(VLOOKUP($B261,INDIRECT("'GRD-"&amp;DC$11&amp;"'!B:R"),15,FALSE),"")</f>
        <v/>
      </c>
      <c r="DD261" s="96">
        <f>IFERROR(VLOOKUP($B261,INDIRECT("'GRD-"&amp;DD$11&amp;"'!B:R"),15,FALSE),"")</f>
        <v/>
      </c>
      <c r="DE261" s="96">
        <f>IFERROR(VLOOKUP($B261,INDIRECT("'GRD-"&amp;DE$11&amp;"'!B:R"),15,FALSE),"")</f>
        <v/>
      </c>
      <c r="DF261" s="96">
        <f>IFERROR(VLOOKUP($B261,INDIRECT("'GRD-"&amp;DF$11&amp;"'!B:R"),15,FALSE),"")</f>
        <v/>
      </c>
      <c r="DG261" s="96">
        <f>IFERROR(VLOOKUP($B261,INDIRECT("'GRD-"&amp;DG$11&amp;"'!B:R"),15,FALSE),"")</f>
        <v/>
      </c>
      <c r="DH261" s="96">
        <f>IFERROR(VLOOKUP($B261,INDIRECT("'GRD-"&amp;DH$11&amp;"'!B:R"),15,FALSE),"")</f>
        <v/>
      </c>
      <c r="DI261" s="96">
        <f>IFERROR(VLOOKUP($B261,INDIRECT("'GRD-"&amp;DI$11&amp;"'!B:R"),15,FALSE),"")</f>
        <v/>
      </c>
      <c r="DJ261" s="96">
        <f>IFERROR(VLOOKUP($B261,INDIRECT("'GRD-"&amp;DJ$11&amp;"'!B:R"),15,FALSE),"")</f>
        <v/>
      </c>
      <c r="DK261" s="96">
        <f>IFERROR(VLOOKUP($B261,INDIRECT("'GRD-"&amp;DK$11&amp;"'!B:R"),15,FALSE),"")</f>
        <v/>
      </c>
      <c r="DL261" s="96">
        <f>IFERROR(VLOOKUP($B261,INDIRECT("'GRD-"&amp;DL$11&amp;"'!B:R"),15,FALSE),"")</f>
        <v/>
      </c>
      <c r="DM261" s="96">
        <f>IFERROR(VLOOKUP($B261,INDIRECT("'GRD-"&amp;DM$11&amp;"'!B:R"),15,FALSE),"")</f>
        <v/>
      </c>
      <c r="DN261" s="96">
        <f>IFERROR(VLOOKUP($B261,INDIRECT("'GRD-"&amp;DN$11&amp;"'!B:R"),15,FALSE),"")</f>
        <v/>
      </c>
      <c r="DO261" s="96">
        <f>IFERROR(VLOOKUP($B261,INDIRECT("'GRD-"&amp;DO$11&amp;"'!B:R"),15,FALSE),"")</f>
        <v/>
      </c>
      <c r="DP261" s="96">
        <f>IFERROR(VLOOKUP($B261,INDIRECT("'GRD-"&amp;DP$11&amp;"'!B:R"),15,FALSE),"")</f>
        <v/>
      </c>
      <c r="DQ261" s="96">
        <f>IFERROR(VLOOKUP($B261,INDIRECT("'GRD-"&amp;DQ$11&amp;"'!B:R"),15,FALSE),"")</f>
        <v/>
      </c>
      <c r="DR261" s="96">
        <f>IFERROR(VLOOKUP($B261,INDIRECT("'GRD-"&amp;DR$11&amp;"'!B:R"),15,FALSE),"")</f>
        <v/>
      </c>
      <c r="DS261" s="96">
        <f>IFERROR(VLOOKUP($B261,INDIRECT("'GRD-"&amp;DS$11&amp;"'!B:R"),15,FALSE),"")</f>
        <v/>
      </c>
      <c r="DT261" s="96">
        <f>IFERROR(VLOOKUP($B261,INDIRECT("'GRD-"&amp;DT$11&amp;"'!B:R"),15,FALSE),"")</f>
        <v/>
      </c>
      <c r="DU261" s="96">
        <f>IFERROR(VLOOKUP($B261,INDIRECT("'GRD-"&amp;DU$11&amp;"'!B:R"),15,FALSE),"")</f>
        <v/>
      </c>
      <c r="DV261" s="96">
        <f>IFERROR(VLOOKUP($B261,INDIRECT("'GRD-"&amp;DV$11&amp;"'!B:R"),15,FALSE),"")</f>
        <v/>
      </c>
      <c r="DW261" s="96">
        <f>IFERROR(VLOOKUP($B261,INDIRECT("'GRD-"&amp;DW$11&amp;"'!B:R"),15,FALSE),"")</f>
        <v/>
      </c>
      <c r="DX261" s="96">
        <f>IFERROR(VLOOKUP($B261,INDIRECT("'GRD-"&amp;DX$11&amp;"'!B:R"),15,FALSE),"")</f>
        <v/>
      </c>
      <c r="DY261" s="96">
        <f>IFERROR(VLOOKUP($B261,INDIRECT("'GRD-"&amp;DY$11&amp;"'!B:R"),15,FALSE),"")</f>
        <v/>
      </c>
      <c r="DZ261" s="96">
        <f>IFERROR(VLOOKUP($B261,INDIRECT("'GRD-"&amp;DZ$11&amp;"'!B:R"),15,FALSE),"")</f>
        <v/>
      </c>
      <c r="EA261" s="96">
        <f>IFERROR(VLOOKUP($B261,INDIRECT("'GRD-"&amp;EA$11&amp;"'!B:R"),15,FALSE),"")</f>
        <v/>
      </c>
      <c r="EB261" s="96">
        <f>IFERROR(VLOOKUP($B261,INDIRECT("'GRD-"&amp;EB$11&amp;"'!B:R"),15,FALSE),"")</f>
        <v/>
      </c>
      <c r="EC261" s="96">
        <f>IFERROR(VLOOKUP($B261,INDIRECT("'GRD-"&amp;EC$11&amp;"'!B:R"),15,FALSE),"")</f>
        <v/>
      </c>
      <c r="ED261" s="96">
        <f>IFERROR(VLOOKUP($B261,INDIRECT("'GRD-"&amp;ED$11&amp;"'!B:R"),15,FALSE),"")</f>
        <v/>
      </c>
      <c r="EE261" s="96">
        <f>IFERROR(VLOOKUP($B261,INDIRECT("'GRD-"&amp;EE$11&amp;"'!B:R"),15,FALSE),"")</f>
        <v/>
      </c>
      <c r="EF261" s="96">
        <f>IFERROR(VLOOKUP($B261,INDIRECT("'GRD-"&amp;EF$11&amp;"'!B:R"),15,FALSE),"")</f>
        <v/>
      </c>
      <c r="EG261" s="96">
        <f>IFERROR(VLOOKUP($B261,INDIRECT("'GRD-"&amp;EG$11&amp;"'!B:R"),15,FALSE),"")</f>
        <v/>
      </c>
      <c r="EH261" s="96">
        <f>IFERROR(VLOOKUP($B261,INDIRECT("'GRD-"&amp;EH$11&amp;"'!B:R"),15,FALSE),"")</f>
        <v/>
      </c>
      <c r="EI261" s="96">
        <f>IFERROR(VLOOKUP($B261,INDIRECT("'GRD-"&amp;EI$11&amp;"'!B:R"),15,FALSE),"")</f>
        <v/>
      </c>
      <c r="EJ261" s="96">
        <f>IFERROR(VLOOKUP($B261,INDIRECT("'GRD-"&amp;EJ$11&amp;"'!B:R"),15,FALSE),"")</f>
        <v/>
      </c>
      <c r="EK261" s="96">
        <f>IFERROR(VLOOKUP($B261,INDIRECT("'GRD-"&amp;EK$11&amp;"'!B:R"),15,FALSE),"")</f>
        <v/>
      </c>
      <c r="EL261" s="96">
        <f>IFERROR(VLOOKUP($B261,INDIRECT("'GRD-"&amp;EL$11&amp;"'!B:R"),15,FALSE),"")</f>
        <v/>
      </c>
      <c r="EM261" s="96">
        <f>IFERROR(VLOOKUP($B261,INDIRECT("'GRD-"&amp;EM$11&amp;"'!B:R"),15,FALSE),"")</f>
        <v/>
      </c>
      <c r="EN261" s="96">
        <f>IFERROR(VLOOKUP($B261,INDIRECT("'GRD-"&amp;EN$11&amp;"'!B:R"),15,FALSE),"")</f>
        <v/>
      </c>
      <c r="EO261" s="96">
        <f>IFERROR(VLOOKUP($B261,INDIRECT("'GRD-"&amp;EO$11&amp;"'!B:R"),15,FALSE),"")</f>
        <v/>
      </c>
      <c r="EP261" s="96">
        <f>IFERROR(VLOOKUP($B261,INDIRECT("'GRD-"&amp;EP$11&amp;"'!B:R"),15,FALSE),"")</f>
        <v/>
      </c>
      <c r="EQ261" s="96">
        <f>IFERROR(VLOOKUP($B261,INDIRECT("'GRD-"&amp;EQ$11&amp;"'!B:R"),15,FALSE),"")</f>
        <v/>
      </c>
      <c r="ER261" s="96">
        <f>IFERROR(VLOOKUP($B261,INDIRECT("'GRD-"&amp;ER$11&amp;"'!B:R"),15,FALSE),"")</f>
        <v/>
      </c>
      <c r="ES261" s="96">
        <f>IFERROR(VLOOKUP($B261,INDIRECT("'GRD-"&amp;ES$11&amp;"'!B:R"),15,FALSE),"")</f>
        <v/>
      </c>
      <c r="ET261" s="96">
        <f>IFERROR(VLOOKUP($B261,INDIRECT("'GRD-"&amp;ET$11&amp;"'!B:R"),15,FALSE),"")</f>
        <v/>
      </c>
      <c r="EU261" s="96">
        <f>IFERROR(VLOOKUP($B261,INDIRECT("'GRD-"&amp;EU$11&amp;"'!B:R"),15,FALSE),"")</f>
        <v/>
      </c>
      <c r="EV261" s="96">
        <f>IFERROR(VLOOKUP($B261,INDIRECT("'GRD-"&amp;EV$11&amp;"'!B:R"),15,FALSE),"")</f>
        <v/>
      </c>
      <c r="EW261" s="96">
        <f>IFERROR(VLOOKUP($B261,INDIRECT("'GRD-"&amp;EW$11&amp;"'!B:R"),15,FALSE),"")</f>
        <v/>
      </c>
      <c r="EX261" s="96">
        <f>IFERROR(VLOOKUP($B261,INDIRECT("'GRD-"&amp;EX$11&amp;"'!B:R"),15,FALSE),"")</f>
        <v/>
      </c>
      <c r="EY261" s="96">
        <f>IFERROR(VLOOKUP($B261,INDIRECT("'GRD-"&amp;EY$11&amp;"'!B:R"),15,FALSE),"")</f>
        <v/>
      </c>
      <c r="EZ261" s="96">
        <f>IFERROR(VLOOKUP($B261,INDIRECT("'GRD-"&amp;EZ$11&amp;"'!B:R"),15,FALSE),"")</f>
        <v/>
      </c>
      <c r="FA261" s="96">
        <f>IFERROR(VLOOKUP($B261,INDIRECT("'GRD-"&amp;FA$11&amp;"'!B:R"),15,FALSE),"")</f>
        <v/>
      </c>
      <c r="FB261" s="96">
        <f>IFERROR(VLOOKUP($B261,INDIRECT("'GRD-"&amp;FB$11&amp;"'!B:R"),15,FALSE),"")</f>
        <v/>
      </c>
      <c r="FC261" s="96">
        <f>IFERROR(VLOOKUP($B261,INDIRECT("'GRD-"&amp;FC$11&amp;"'!B:R"),15,FALSE),"")</f>
        <v/>
      </c>
      <c r="FD261" s="96">
        <f>IFERROR(VLOOKUP($B261,INDIRECT("'GRD-"&amp;FD$11&amp;"'!B:R"),15,FALSE),"")</f>
        <v/>
      </c>
      <c r="FE261" s="96">
        <f>IFERROR(VLOOKUP($B261,INDIRECT("'GRD-"&amp;FE$11&amp;"'!B:R"),15,FALSE),"")</f>
        <v/>
      </c>
      <c r="FF261" s="96">
        <f>IFERROR(VLOOKUP($B261,INDIRECT("'GRD-"&amp;FF$11&amp;"'!B:R"),15,FALSE),"")</f>
        <v/>
      </c>
      <c r="FG261" s="96">
        <f>IFERROR(VLOOKUP($B261,INDIRECT("'GRD-"&amp;FG$11&amp;"'!B:R"),15,FALSE),"")</f>
        <v/>
      </c>
      <c r="FH261" s="96">
        <f>IFERROR(VLOOKUP($B261,INDIRECT("'GRD-"&amp;FH$11&amp;"'!B:R"),15,FALSE),"")</f>
        <v/>
      </c>
      <c r="FI261" s="96">
        <f>IFERROR(VLOOKUP($B261,INDIRECT("'GRD-"&amp;FI$11&amp;"'!B:R"),15,FALSE),"")</f>
        <v/>
      </c>
      <c r="FJ261" s="96">
        <f>IFERROR(VLOOKUP($B261,INDIRECT("'GRD-"&amp;FJ$11&amp;"'!B:R"),15,FALSE),"")</f>
        <v/>
      </c>
      <c r="FK261" s="96">
        <f>IFERROR(VLOOKUP($B261,INDIRECT("'GRD-"&amp;FK$11&amp;"'!B:R"),15,FALSE),"")</f>
        <v/>
      </c>
      <c r="FL261" s="96">
        <f>IFERROR(VLOOKUP($B261,INDIRECT("'GRD-"&amp;FL$11&amp;"'!B:R"),15,FALSE),"")</f>
        <v/>
      </c>
      <c r="FM261" s="96">
        <f>IFERROR(VLOOKUP($B261,INDIRECT("'GRD-"&amp;FM$11&amp;"'!B:R"),15,FALSE),"")</f>
        <v/>
      </c>
      <c r="FN261" s="96">
        <f>IFERROR(VLOOKUP($B261,INDIRECT("'GRD-"&amp;FN$11&amp;"'!B:R"),15,FALSE),"")</f>
        <v/>
      </c>
      <c r="FO261" s="96">
        <f>IFERROR(VLOOKUP($B261,INDIRECT("'GRD-"&amp;FO$11&amp;"'!B:R"),15,FALSE),"")</f>
        <v/>
      </c>
      <c r="FP261" s="96">
        <f>IFERROR(VLOOKUP($B261,INDIRECT("'GRD-"&amp;FP$11&amp;"'!B:R"),15,FALSE),"")</f>
        <v/>
      </c>
      <c r="FQ261" s="96">
        <f>IFERROR(VLOOKUP($B261,INDIRECT("'GRD-"&amp;FQ$11&amp;"'!B:R"),15,FALSE),"")</f>
        <v/>
      </c>
      <c r="FR261" s="96">
        <f>IFERROR(VLOOKUP($B261,INDIRECT("'GRD-"&amp;FR$11&amp;"'!B:R"),15,FALSE),"")</f>
        <v/>
      </c>
      <c r="FS261" s="96">
        <f>IFERROR(VLOOKUP($B261,INDIRECT("'GRD-"&amp;FS$11&amp;"'!B:R"),15,FALSE),"")</f>
        <v/>
      </c>
      <c r="FT261" s="96">
        <f>IFERROR(VLOOKUP($B261,INDIRECT("'GRD-"&amp;FT$11&amp;"'!B:R"),15,FALSE),"")</f>
        <v/>
      </c>
      <c r="FU261" s="96">
        <f>IFERROR(VLOOKUP($B261,INDIRECT("'GRD-"&amp;FU$11&amp;"'!B:R"),15,FALSE),"")</f>
        <v/>
      </c>
      <c r="FV261" s="96">
        <f>IFERROR(VLOOKUP($B261,INDIRECT("'GRD-"&amp;FV$11&amp;"'!B:R"),15,FALSE),"")</f>
        <v/>
      </c>
    </row>
    <row r="262">
      <c r="B262" s="85" t="n"/>
      <c r="C262" s="93" t="n"/>
      <c r="D262" s="73">
        <f>IF(K262="","",MAX($CA262:$FV262))</f>
        <v/>
      </c>
      <c r="E262" s="74">
        <f t="array" ref="E262">IF($K262="","",OFFSET($A$1,ROW($B262)-1,11+$D262*4,))</f>
        <v/>
      </c>
      <c r="F262" s="74">
        <f t="array" ref="F262">IF($K262="","",OFFSET($A$1,ROW($B262)-1,12+$D262*4,))</f>
        <v/>
      </c>
      <c r="G262" s="118">
        <f t="array" ref="G262">IF($K262="","",OFFSET($A$1,ROW($B262)-1,13+$D262*4,))</f>
        <v/>
      </c>
      <c r="H262" s="81" t="n"/>
      <c r="I262" s="82" t="n"/>
      <c r="J262" s="75">
        <f>IF(I262="A4",H262/8,IF(I262="A3",H262/4,IF(I262="A2",H262/2,IF(I262="A1",H262/1,IF(I262="A0",H262*2,"")))))</f>
        <v/>
      </c>
      <c r="K262" s="68">
        <f t="array" ref="K262">IFERROR(OFFSET($BZ$11,ROW($B262)-11,MATCH(K$10,$CA262:$FV262,0),),"")</f>
        <v/>
      </c>
      <c r="L262" s="85">
        <f>IF(K262="","",IF(VLOOKUP($B262,INDIRECT("'GRD-"&amp;M262&amp;"'!$B:$R"),16,FALSE)="","",VLOOKUP($B262,INDIRECT("'GRD-"&amp;M262&amp;"'!$B:$R"),16,FALSE)))</f>
        <v/>
      </c>
      <c r="M262" s="130">
        <f t="array" ref="M262">IF(K262="","",IFERROR(OFFSET($BZ$11,0,MATCH($K262,$CA262:$FV262,0),),""))</f>
        <v/>
      </c>
      <c r="N262" s="119">
        <f t="array" ref="N262">IF(K262="","",INDIRECT("'GRD-"&amp;M262&amp;"'!$L$7"))</f>
        <v/>
      </c>
      <c r="O262" s="76">
        <f t="array" ref="O262">IFERROR(OFFSET($BZ$11,ROW($B262)-11,MATCH(O$10,$CA262:$FV262,0),),"")</f>
        <v/>
      </c>
      <c r="P262" s="76">
        <f>IF(O262="","",IF(VLOOKUP($B262,INDIRECT("'GRD-"&amp;Q262&amp;"'!$B:$R"),16,FALSE)="","",VLOOKUP($B262,INDIRECT("'GRD-"&amp;Q262&amp;"'!$B:$R"),16,FALSE)))</f>
        <v/>
      </c>
      <c r="Q262" s="132">
        <f t="array" ref="Q262">IF(O262="","",IFERROR(OFFSET($BZ$11,0,MATCH($O262,$CA262:$FV262,0),),""))</f>
        <v/>
      </c>
      <c r="R262" s="121">
        <f t="array" ref="R262">IF(O262="","",INDIRECT("'GRD-"&amp;Q262&amp;"'!$L$7"))</f>
        <v/>
      </c>
      <c r="S262" s="83">
        <f t="array" ref="S262">IFERROR(OFFSET($BZ$11,ROW($B262)-11,MATCH(S$10,$CA262:$FV262,0),),"")</f>
        <v/>
      </c>
      <c r="T262" s="83">
        <f>IF(S262="","",IF(VLOOKUP($B262,INDIRECT("'GRD-"&amp;U262&amp;"'!$B:$R"),16,FALSE)="","",VLOOKUP($B262,INDIRECT("'GRD-"&amp;U262&amp;"'!$B:$R"),16,FALSE)))</f>
        <v/>
      </c>
      <c r="U262" s="128">
        <f t="array" ref="U262">IF(S262="","",IFERROR(OFFSET($BZ$11,0,MATCH($S262,$CA262:$FV262,0),),""))</f>
        <v/>
      </c>
      <c r="V262" s="133">
        <f t="array" ref="V262">IF(S262="","",INDIRECT("'GRD-"&amp;U262&amp;"'!$L$7"))</f>
        <v/>
      </c>
      <c r="W262" s="84">
        <f t="array" ref="W262">IFERROR(OFFSET($BZ$11,ROW($B262)-11,MATCH(W$10,$CA262:$FV262,0),),"")</f>
        <v/>
      </c>
      <c r="X262" s="84">
        <f>IF(W262="","",IF(VLOOKUP($B262,INDIRECT("'GRD-"&amp;Y262&amp;"'!$B:$R"),16,FALSE)="","",VLOOKUP($B262,INDIRECT("'GRD-"&amp;Y262&amp;"'!$B:$R"),16,FALSE)))</f>
        <v/>
      </c>
      <c r="Y262" s="129">
        <f t="array" ref="Y262">IF(W262="","",IFERROR(OFFSET($BZ$11,0,MATCH($W262,$CA262:$FV262,0),),""))</f>
        <v/>
      </c>
      <c r="Z262" s="134">
        <f t="array" ref="Z262">IF(W262="","",INDIRECT("'GRD-"&amp;Y262&amp;"'!$L$7"))</f>
        <v/>
      </c>
      <c r="AA262" s="85">
        <f t="array" ref="AA262">IFERROR(OFFSET($BZ$11,ROW($B262)-11,MATCH(AA$10,$CA262:$FV262,0),),"")</f>
        <v/>
      </c>
      <c r="AB262" s="85">
        <f>IF(AA262="","",IF(VLOOKUP($B262,INDIRECT("'GRD-"&amp;AC262&amp;"'!$B:$R"),16,FALSE)="","",VLOOKUP($B262,INDIRECT("'GRD-"&amp;AC262&amp;"'!$B:$R"),16,FALSE)))</f>
        <v/>
      </c>
      <c r="AC262" s="130">
        <f t="array" ref="AC262">IF(AA262="","",IFERROR(OFFSET($BZ$11,0,MATCH($AA262,$CA262:$FV262,0),),""))</f>
        <v/>
      </c>
      <c r="AD262" s="131">
        <f t="array" ref="AD262">IF(AA262="","",INDIRECT("'GRD-"&amp;AC262&amp;"'!$L$7"))</f>
        <v/>
      </c>
      <c r="AE262" s="76">
        <f t="array" ref="AE262">IFERROR(OFFSET($BZ$11,ROW($B262)-11,MATCH(AE$10,$CA262:$FV262,0),),"")</f>
        <v/>
      </c>
      <c r="AF262" s="76">
        <f>IF(AE262="","",IF(VLOOKUP($B262,INDIRECT("'GRD-"&amp;AG262&amp;"'!$B:$R"),16,FALSE)="","",VLOOKUP($B262,INDIRECT("'GRD-"&amp;AG262&amp;"'!$B:$R"),16,FALSE)))</f>
        <v/>
      </c>
      <c r="AG262" s="132">
        <f t="array" ref="AG262">IF(AE262="","",IFERROR(OFFSET($BZ$11,0,MATCH($AE262,$CA262:$FV262,0),),""))</f>
        <v/>
      </c>
      <c r="AH262" s="121">
        <f t="array" ref="AH262">IF(AE262="","",INDIRECT("'GRD-"&amp;AG262&amp;"'!$L$7"))</f>
        <v/>
      </c>
      <c r="AI262" s="83">
        <f t="array" ref="AI262">IFERROR(OFFSET($BZ$11,ROW($B262)-11,MATCH(AI$10,$CA262:$FV262,0),),"")</f>
        <v/>
      </c>
      <c r="AJ262" s="83">
        <f>IF(AI262="","",IF(VLOOKUP($B262,INDIRECT("'GRD-"&amp;AK262&amp;"'!$B:$R"),16,FALSE)="","",VLOOKUP($B262,INDIRECT("'GRD-"&amp;AK262&amp;"'!$B:$R"),16,FALSE)))</f>
        <v/>
      </c>
      <c r="AK262" s="128">
        <f t="array" ref="AK262">IF(AI262="","",IFERROR(OFFSET($BZ$11,0,MATCH($AI262,$CA262:$FV262,0),),""))</f>
        <v/>
      </c>
      <c r="AL262" s="133">
        <f t="array" ref="AL262">IF(AI262="","",INDIRECT("'GRD-"&amp;AK262&amp;"'!$L$7"))</f>
        <v/>
      </c>
      <c r="AM262" s="84">
        <f t="array" ref="AM262">IFERROR(OFFSET($BZ$11,ROW($B262)-11,MATCH(AM$10,$CA262:$FV262,0),),"")</f>
        <v/>
      </c>
      <c r="AN262" s="84">
        <f>IF(AM262="","",IF(VLOOKUP($B262,INDIRECT("'GRD-"&amp;AO262&amp;"'!$B:$R"),16,FALSE)="","",VLOOKUP($B262,INDIRECT("'GRD-"&amp;AO262&amp;"'!$B:$R"),16,FALSE)))</f>
        <v/>
      </c>
      <c r="AO262" s="129">
        <f t="array" ref="AO262">IF(AM262="","",IFERROR(OFFSET($BZ$11,0,MATCH($AM262,$CA262:$FV262,0),),""))</f>
        <v/>
      </c>
      <c r="AP262" s="134">
        <f t="array" ref="AP262">IF(AM262="","",INDIRECT("'GRD-"&amp;AO262&amp;"'!$L$7"))</f>
        <v/>
      </c>
      <c r="AQ262" s="85">
        <f t="array" ref="AQ262">IFERROR(OFFSET($BZ$11,ROW($B262)-11,MATCH(AQ$10,$CA262:$FV262,0),),"")</f>
        <v/>
      </c>
      <c r="AR262" s="85">
        <f>IF(AQ262="","",IF(VLOOKUP($B262,INDIRECT("'GRD-"&amp;AS262&amp;"'!$B:$R"),16,FALSE)="","",VLOOKUP($B262,INDIRECT("'GRD-"&amp;AS262&amp;"'!$B:$R"),16,FALSE)))</f>
        <v/>
      </c>
      <c r="AS262" s="130">
        <f t="array" ref="AS262">IF(AQ262="","",IFERROR(OFFSET($BZ$11,0,MATCH($AQ262,$CA262:$FV262,0),),""))</f>
        <v/>
      </c>
      <c r="AT262" s="131">
        <f t="array" ref="AT262">IF(AQ262="","",INDIRECT("'GRD-"&amp;AS262&amp;"'!$L$7"))</f>
        <v/>
      </c>
      <c r="AU262" s="76">
        <f t="array" ref="AU262">IFERROR(OFFSET($BZ$11,ROW($B262)-11,MATCH(AU$10,$CA262:$FV262,0),),"")</f>
        <v/>
      </c>
      <c r="AV262" s="76">
        <f>IF(AU262="","",IF(VLOOKUP($B262,INDIRECT("'GRD-"&amp;AW262&amp;"'!$B:$R"),16,FALSE)="","",VLOOKUP($B262,INDIRECT("'GRD-"&amp;AW262&amp;"'!$B:$R"),16,FALSE)))</f>
        <v/>
      </c>
      <c r="AW262" s="132">
        <f t="array" ref="AW262">IF(AU262="","",IFERROR(OFFSET($BZ$11,0,MATCH($AU262,$CA262:$FV262,0),),""))</f>
        <v/>
      </c>
      <c r="AX262" s="121">
        <f t="array" ref="AX262">IF(AU262="","",INDIRECT("'GRD-"&amp;AW262&amp;"'!$L$7"))</f>
        <v/>
      </c>
      <c r="AY262" s="83">
        <f t="array" ref="AY262">IFERROR(OFFSET($BZ$11,ROW($B262)-11,MATCH(AY$10,$CA262:$FV262,0),),"")</f>
        <v/>
      </c>
      <c r="AZ262" s="83">
        <f>IF(AY262="","",IF(VLOOKUP($B262,INDIRECT("'GRD-"&amp;BA262&amp;"'!$B:$R"),16,FALSE)="","",VLOOKUP($B262,INDIRECT("'GRD-"&amp;BA262&amp;"'!$B:$R"),16,FALSE)))</f>
        <v/>
      </c>
      <c r="BA262" s="128">
        <f t="array" ref="BA262">IF(AY262="","",IFERROR(OFFSET($BZ$11,0,MATCH($AY262,$CA262:$FV262,0),),""))</f>
        <v/>
      </c>
      <c r="BB262" s="133">
        <f t="array" ref="BB262">IF(AY262="","",INDIRECT("'GRD-"&amp;BA262&amp;"'!$L$7"))</f>
        <v/>
      </c>
      <c r="BC262" s="84">
        <f t="array" ref="BC262">IFERROR(OFFSET($BZ$11,ROW($B262)-11,MATCH(BC$10,$CA262:$FV262,0),),"")</f>
        <v/>
      </c>
      <c r="BD262" s="84">
        <f>IF(BC262="","",IF(VLOOKUP($B262,INDIRECT("'GRD-"&amp;BE262&amp;"'!$B:$R"),16,FALSE)="","",VLOOKUP($B262,INDIRECT("'GRD-"&amp;BE262&amp;"'!$B:$R"),16,FALSE)))</f>
        <v/>
      </c>
      <c r="BE262" s="129">
        <f t="array" ref="BE262">IF(BC262="","",IFERROR(OFFSET($BZ$11,0,MATCH($BC262,$CA262:$FV262,0),),""))</f>
        <v/>
      </c>
      <c r="BF262" s="134">
        <f t="array" ref="BF262">IF(BC262="","",INDIRECT("'GRD-"&amp;BE262&amp;"'!$L$7"))</f>
        <v/>
      </c>
      <c r="CA262" s="96">
        <f>IFERROR(VLOOKUP($B262,INDIRECT("'GRD-"&amp;CA$11&amp;"'!B:R"),15,FALSE),"")</f>
        <v/>
      </c>
      <c r="CB262" s="96">
        <f>IFERROR(VLOOKUP($B262,INDIRECT("'GRD-"&amp;CB$11&amp;"'!B:R"),15,FALSE),"")</f>
        <v/>
      </c>
      <c r="CC262" s="96">
        <f>IFERROR(VLOOKUP($B262,INDIRECT("'GRD-"&amp;CC$11&amp;"'!B:R"),15,FALSE),"")</f>
        <v/>
      </c>
      <c r="CD262" s="96">
        <f>IFERROR(VLOOKUP($B262,INDIRECT("'GRD-"&amp;CD$11&amp;"'!B:R"),15,FALSE),"")</f>
        <v/>
      </c>
      <c r="CE262" s="96">
        <f>IFERROR(VLOOKUP($B262,INDIRECT("'GRD-"&amp;CE$11&amp;"'!B:R"),15,FALSE),"")</f>
        <v/>
      </c>
      <c r="CF262" s="96">
        <f>IFERROR(VLOOKUP($B262,INDIRECT("'GRD-"&amp;CF$11&amp;"'!B:R"),15,FALSE),"")</f>
        <v/>
      </c>
      <c r="CG262" s="96">
        <f>IFERROR(VLOOKUP($B262,INDIRECT("'GRD-"&amp;CG$11&amp;"'!B:R"),15,FALSE),"")</f>
        <v/>
      </c>
      <c r="CH262" s="96">
        <f>IFERROR(VLOOKUP($B262,INDIRECT("'GRD-"&amp;CH$11&amp;"'!B:R"),15,FALSE),"")</f>
        <v/>
      </c>
      <c r="CI262" s="96">
        <f>IFERROR(VLOOKUP($B262,INDIRECT("'GRD-"&amp;CI$11&amp;"'!B:R"),15,FALSE),"")</f>
        <v/>
      </c>
      <c r="CJ262" s="96">
        <f>IFERROR(VLOOKUP($B262,INDIRECT("'GRD-"&amp;CJ$11&amp;"'!B:R"),15,FALSE),"")</f>
        <v/>
      </c>
      <c r="CK262" s="96">
        <f>IFERROR(VLOOKUP($B262,INDIRECT("'GRD-"&amp;CK$11&amp;"'!B:R"),15,FALSE),"")</f>
        <v/>
      </c>
      <c r="CL262" s="96">
        <f>IFERROR(VLOOKUP($B262,INDIRECT("'GRD-"&amp;CL$11&amp;"'!B:R"),15,FALSE),"")</f>
        <v/>
      </c>
      <c r="CM262" s="96">
        <f>IFERROR(VLOOKUP($B262,INDIRECT("'GRD-"&amp;CM$11&amp;"'!B:R"),15,FALSE),"")</f>
        <v/>
      </c>
      <c r="CN262" s="96">
        <f>IFERROR(VLOOKUP($B262,INDIRECT("'GRD-"&amp;CN$11&amp;"'!B:R"),15,FALSE),"")</f>
        <v/>
      </c>
      <c r="CO262" s="96">
        <f>IFERROR(VLOOKUP($B262,INDIRECT("'GRD-"&amp;CO$11&amp;"'!B:R"),15,FALSE),"")</f>
        <v/>
      </c>
      <c r="CP262" s="96">
        <f>IFERROR(VLOOKUP($B262,INDIRECT("'GRD-"&amp;CP$11&amp;"'!B:R"),15,FALSE),"")</f>
        <v/>
      </c>
      <c r="CQ262" s="96">
        <f>IFERROR(VLOOKUP($B262,INDIRECT("'GRD-"&amp;CQ$11&amp;"'!B:R"),15,FALSE),"")</f>
        <v/>
      </c>
      <c r="CR262" s="96">
        <f>IFERROR(VLOOKUP($B262,INDIRECT("'GRD-"&amp;CR$11&amp;"'!B:R"),15,FALSE),"")</f>
        <v/>
      </c>
      <c r="CS262" s="96">
        <f>IFERROR(VLOOKUP($B262,INDIRECT("'GRD-"&amp;CS$11&amp;"'!B:R"),15,FALSE),"")</f>
        <v/>
      </c>
      <c r="CT262" s="96">
        <f>IFERROR(VLOOKUP($B262,INDIRECT("'GRD-"&amp;CT$11&amp;"'!B:R"),15,FALSE),"")</f>
        <v/>
      </c>
      <c r="CU262" s="96">
        <f>IFERROR(VLOOKUP($B262,INDIRECT("'GRD-"&amp;CU$11&amp;"'!B:R"),15,FALSE),"")</f>
        <v/>
      </c>
      <c r="CV262" s="96">
        <f>IFERROR(VLOOKUP($B262,INDIRECT("'GRD-"&amp;CV$11&amp;"'!B:R"),15,FALSE),"")</f>
        <v/>
      </c>
      <c r="CW262" s="96">
        <f>IFERROR(VLOOKUP($B262,INDIRECT("'GRD-"&amp;CW$11&amp;"'!B:R"),15,FALSE),"")</f>
        <v/>
      </c>
      <c r="CX262" s="96">
        <f>IFERROR(VLOOKUP($B262,INDIRECT("'GRD-"&amp;CX$11&amp;"'!B:R"),15,FALSE),"")</f>
        <v/>
      </c>
      <c r="CY262" s="96">
        <f>IFERROR(VLOOKUP($B262,INDIRECT("'GRD-"&amp;CY$11&amp;"'!B:R"),15,FALSE),"")</f>
        <v/>
      </c>
      <c r="CZ262" s="96">
        <f>IFERROR(VLOOKUP($B262,INDIRECT("'GRD-"&amp;CZ$11&amp;"'!B:R"),15,FALSE),"")</f>
        <v/>
      </c>
      <c r="DA262" s="96">
        <f>IFERROR(VLOOKUP($B262,INDIRECT("'GRD-"&amp;DA$11&amp;"'!B:R"),15,FALSE),"")</f>
        <v/>
      </c>
      <c r="DB262" s="96">
        <f>IFERROR(VLOOKUP($B262,INDIRECT("'GRD-"&amp;DB$11&amp;"'!B:R"),15,FALSE),"")</f>
        <v/>
      </c>
      <c r="DC262" s="96">
        <f>IFERROR(VLOOKUP($B262,INDIRECT("'GRD-"&amp;DC$11&amp;"'!B:R"),15,FALSE),"")</f>
        <v/>
      </c>
      <c r="DD262" s="96">
        <f>IFERROR(VLOOKUP($B262,INDIRECT("'GRD-"&amp;DD$11&amp;"'!B:R"),15,FALSE),"")</f>
        <v/>
      </c>
      <c r="DE262" s="96">
        <f>IFERROR(VLOOKUP($B262,INDIRECT("'GRD-"&amp;DE$11&amp;"'!B:R"),15,FALSE),"")</f>
        <v/>
      </c>
      <c r="DF262" s="96">
        <f>IFERROR(VLOOKUP($B262,INDIRECT("'GRD-"&amp;DF$11&amp;"'!B:R"),15,FALSE),"")</f>
        <v/>
      </c>
      <c r="DG262" s="96">
        <f>IFERROR(VLOOKUP($B262,INDIRECT("'GRD-"&amp;DG$11&amp;"'!B:R"),15,FALSE),"")</f>
        <v/>
      </c>
      <c r="DH262" s="96">
        <f>IFERROR(VLOOKUP($B262,INDIRECT("'GRD-"&amp;DH$11&amp;"'!B:R"),15,FALSE),"")</f>
        <v/>
      </c>
      <c r="DI262" s="96">
        <f>IFERROR(VLOOKUP($B262,INDIRECT("'GRD-"&amp;DI$11&amp;"'!B:R"),15,FALSE),"")</f>
        <v/>
      </c>
      <c r="DJ262" s="96">
        <f>IFERROR(VLOOKUP($B262,INDIRECT("'GRD-"&amp;DJ$11&amp;"'!B:R"),15,FALSE),"")</f>
        <v/>
      </c>
      <c r="DK262" s="96">
        <f>IFERROR(VLOOKUP($B262,INDIRECT("'GRD-"&amp;DK$11&amp;"'!B:R"),15,FALSE),"")</f>
        <v/>
      </c>
      <c r="DL262" s="96">
        <f>IFERROR(VLOOKUP($B262,INDIRECT("'GRD-"&amp;DL$11&amp;"'!B:R"),15,FALSE),"")</f>
        <v/>
      </c>
      <c r="DM262" s="96">
        <f>IFERROR(VLOOKUP($B262,INDIRECT("'GRD-"&amp;DM$11&amp;"'!B:R"),15,FALSE),"")</f>
        <v/>
      </c>
      <c r="DN262" s="96">
        <f>IFERROR(VLOOKUP($B262,INDIRECT("'GRD-"&amp;DN$11&amp;"'!B:R"),15,FALSE),"")</f>
        <v/>
      </c>
      <c r="DO262" s="96">
        <f>IFERROR(VLOOKUP($B262,INDIRECT("'GRD-"&amp;DO$11&amp;"'!B:R"),15,FALSE),"")</f>
        <v/>
      </c>
      <c r="DP262" s="96">
        <f>IFERROR(VLOOKUP($B262,INDIRECT("'GRD-"&amp;DP$11&amp;"'!B:R"),15,FALSE),"")</f>
        <v/>
      </c>
      <c r="DQ262" s="96">
        <f>IFERROR(VLOOKUP($B262,INDIRECT("'GRD-"&amp;DQ$11&amp;"'!B:R"),15,FALSE),"")</f>
        <v/>
      </c>
      <c r="DR262" s="96">
        <f>IFERROR(VLOOKUP($B262,INDIRECT("'GRD-"&amp;DR$11&amp;"'!B:R"),15,FALSE),"")</f>
        <v/>
      </c>
      <c r="DS262" s="96">
        <f>IFERROR(VLOOKUP($B262,INDIRECT("'GRD-"&amp;DS$11&amp;"'!B:R"),15,FALSE),"")</f>
        <v/>
      </c>
      <c r="DT262" s="96">
        <f>IFERROR(VLOOKUP($B262,INDIRECT("'GRD-"&amp;DT$11&amp;"'!B:R"),15,FALSE),"")</f>
        <v/>
      </c>
      <c r="DU262" s="96">
        <f>IFERROR(VLOOKUP($B262,INDIRECT("'GRD-"&amp;DU$11&amp;"'!B:R"),15,FALSE),"")</f>
        <v/>
      </c>
      <c r="DV262" s="96">
        <f>IFERROR(VLOOKUP($B262,INDIRECT("'GRD-"&amp;DV$11&amp;"'!B:R"),15,FALSE),"")</f>
        <v/>
      </c>
      <c r="DW262" s="96">
        <f>IFERROR(VLOOKUP($B262,INDIRECT("'GRD-"&amp;DW$11&amp;"'!B:R"),15,FALSE),"")</f>
        <v/>
      </c>
      <c r="DX262" s="96">
        <f>IFERROR(VLOOKUP($B262,INDIRECT("'GRD-"&amp;DX$11&amp;"'!B:R"),15,FALSE),"")</f>
        <v/>
      </c>
      <c r="DY262" s="96">
        <f>IFERROR(VLOOKUP($B262,INDIRECT("'GRD-"&amp;DY$11&amp;"'!B:R"),15,FALSE),"")</f>
        <v/>
      </c>
      <c r="DZ262" s="96">
        <f>IFERROR(VLOOKUP($B262,INDIRECT("'GRD-"&amp;DZ$11&amp;"'!B:R"),15,FALSE),"")</f>
        <v/>
      </c>
      <c r="EA262" s="96">
        <f>IFERROR(VLOOKUP($B262,INDIRECT("'GRD-"&amp;EA$11&amp;"'!B:R"),15,FALSE),"")</f>
        <v/>
      </c>
      <c r="EB262" s="96">
        <f>IFERROR(VLOOKUP($B262,INDIRECT("'GRD-"&amp;EB$11&amp;"'!B:R"),15,FALSE),"")</f>
        <v/>
      </c>
      <c r="EC262" s="96">
        <f>IFERROR(VLOOKUP($B262,INDIRECT("'GRD-"&amp;EC$11&amp;"'!B:R"),15,FALSE),"")</f>
        <v/>
      </c>
      <c r="ED262" s="96">
        <f>IFERROR(VLOOKUP($B262,INDIRECT("'GRD-"&amp;ED$11&amp;"'!B:R"),15,FALSE),"")</f>
        <v/>
      </c>
      <c r="EE262" s="96">
        <f>IFERROR(VLOOKUP($B262,INDIRECT("'GRD-"&amp;EE$11&amp;"'!B:R"),15,FALSE),"")</f>
        <v/>
      </c>
      <c r="EF262" s="96">
        <f>IFERROR(VLOOKUP($B262,INDIRECT("'GRD-"&amp;EF$11&amp;"'!B:R"),15,FALSE),"")</f>
        <v/>
      </c>
      <c r="EG262" s="96">
        <f>IFERROR(VLOOKUP($B262,INDIRECT("'GRD-"&amp;EG$11&amp;"'!B:R"),15,FALSE),"")</f>
        <v/>
      </c>
      <c r="EH262" s="96">
        <f>IFERROR(VLOOKUP($B262,INDIRECT("'GRD-"&amp;EH$11&amp;"'!B:R"),15,FALSE),"")</f>
        <v/>
      </c>
      <c r="EI262" s="96">
        <f>IFERROR(VLOOKUP($B262,INDIRECT("'GRD-"&amp;EI$11&amp;"'!B:R"),15,FALSE),"")</f>
        <v/>
      </c>
      <c r="EJ262" s="96">
        <f>IFERROR(VLOOKUP($B262,INDIRECT("'GRD-"&amp;EJ$11&amp;"'!B:R"),15,FALSE),"")</f>
        <v/>
      </c>
      <c r="EK262" s="96">
        <f>IFERROR(VLOOKUP($B262,INDIRECT("'GRD-"&amp;EK$11&amp;"'!B:R"),15,FALSE),"")</f>
        <v/>
      </c>
      <c r="EL262" s="96">
        <f>IFERROR(VLOOKUP($B262,INDIRECT("'GRD-"&amp;EL$11&amp;"'!B:R"),15,FALSE),"")</f>
        <v/>
      </c>
      <c r="EM262" s="96">
        <f>IFERROR(VLOOKUP($B262,INDIRECT("'GRD-"&amp;EM$11&amp;"'!B:R"),15,FALSE),"")</f>
        <v/>
      </c>
      <c r="EN262" s="96">
        <f>IFERROR(VLOOKUP($B262,INDIRECT("'GRD-"&amp;EN$11&amp;"'!B:R"),15,FALSE),"")</f>
        <v/>
      </c>
      <c r="EO262" s="96">
        <f>IFERROR(VLOOKUP($B262,INDIRECT("'GRD-"&amp;EO$11&amp;"'!B:R"),15,FALSE),"")</f>
        <v/>
      </c>
      <c r="EP262" s="96">
        <f>IFERROR(VLOOKUP($B262,INDIRECT("'GRD-"&amp;EP$11&amp;"'!B:R"),15,FALSE),"")</f>
        <v/>
      </c>
      <c r="EQ262" s="96">
        <f>IFERROR(VLOOKUP($B262,INDIRECT("'GRD-"&amp;EQ$11&amp;"'!B:R"),15,FALSE),"")</f>
        <v/>
      </c>
      <c r="ER262" s="96">
        <f>IFERROR(VLOOKUP($B262,INDIRECT("'GRD-"&amp;ER$11&amp;"'!B:R"),15,FALSE),"")</f>
        <v/>
      </c>
      <c r="ES262" s="96">
        <f>IFERROR(VLOOKUP($B262,INDIRECT("'GRD-"&amp;ES$11&amp;"'!B:R"),15,FALSE),"")</f>
        <v/>
      </c>
      <c r="ET262" s="96">
        <f>IFERROR(VLOOKUP($B262,INDIRECT("'GRD-"&amp;ET$11&amp;"'!B:R"),15,FALSE),"")</f>
        <v/>
      </c>
      <c r="EU262" s="96">
        <f>IFERROR(VLOOKUP($B262,INDIRECT("'GRD-"&amp;EU$11&amp;"'!B:R"),15,FALSE),"")</f>
        <v/>
      </c>
      <c r="EV262" s="96">
        <f>IFERROR(VLOOKUP($B262,INDIRECT("'GRD-"&amp;EV$11&amp;"'!B:R"),15,FALSE),"")</f>
        <v/>
      </c>
      <c r="EW262" s="96">
        <f>IFERROR(VLOOKUP($B262,INDIRECT("'GRD-"&amp;EW$11&amp;"'!B:R"),15,FALSE),"")</f>
        <v/>
      </c>
      <c r="EX262" s="96">
        <f>IFERROR(VLOOKUP($B262,INDIRECT("'GRD-"&amp;EX$11&amp;"'!B:R"),15,FALSE),"")</f>
        <v/>
      </c>
      <c r="EY262" s="96">
        <f>IFERROR(VLOOKUP($B262,INDIRECT("'GRD-"&amp;EY$11&amp;"'!B:R"),15,FALSE),"")</f>
        <v/>
      </c>
      <c r="EZ262" s="96">
        <f>IFERROR(VLOOKUP($B262,INDIRECT("'GRD-"&amp;EZ$11&amp;"'!B:R"),15,FALSE),"")</f>
        <v/>
      </c>
      <c r="FA262" s="96">
        <f>IFERROR(VLOOKUP($B262,INDIRECT("'GRD-"&amp;FA$11&amp;"'!B:R"),15,FALSE),"")</f>
        <v/>
      </c>
      <c r="FB262" s="96">
        <f>IFERROR(VLOOKUP($B262,INDIRECT("'GRD-"&amp;FB$11&amp;"'!B:R"),15,FALSE),"")</f>
        <v/>
      </c>
      <c r="FC262" s="96">
        <f>IFERROR(VLOOKUP($B262,INDIRECT("'GRD-"&amp;FC$11&amp;"'!B:R"),15,FALSE),"")</f>
        <v/>
      </c>
      <c r="FD262" s="96">
        <f>IFERROR(VLOOKUP($B262,INDIRECT("'GRD-"&amp;FD$11&amp;"'!B:R"),15,FALSE),"")</f>
        <v/>
      </c>
      <c r="FE262" s="96">
        <f>IFERROR(VLOOKUP($B262,INDIRECT("'GRD-"&amp;FE$11&amp;"'!B:R"),15,FALSE),"")</f>
        <v/>
      </c>
      <c r="FF262" s="96">
        <f>IFERROR(VLOOKUP($B262,INDIRECT("'GRD-"&amp;FF$11&amp;"'!B:R"),15,FALSE),"")</f>
        <v/>
      </c>
      <c r="FG262" s="96">
        <f>IFERROR(VLOOKUP($B262,INDIRECT("'GRD-"&amp;FG$11&amp;"'!B:R"),15,FALSE),"")</f>
        <v/>
      </c>
      <c r="FH262" s="96">
        <f>IFERROR(VLOOKUP($B262,INDIRECT("'GRD-"&amp;FH$11&amp;"'!B:R"),15,FALSE),"")</f>
        <v/>
      </c>
      <c r="FI262" s="96">
        <f>IFERROR(VLOOKUP($B262,INDIRECT("'GRD-"&amp;FI$11&amp;"'!B:R"),15,FALSE),"")</f>
        <v/>
      </c>
      <c r="FJ262" s="96">
        <f>IFERROR(VLOOKUP($B262,INDIRECT("'GRD-"&amp;FJ$11&amp;"'!B:R"),15,FALSE),"")</f>
        <v/>
      </c>
      <c r="FK262" s="96">
        <f>IFERROR(VLOOKUP($B262,INDIRECT("'GRD-"&amp;FK$11&amp;"'!B:R"),15,FALSE),"")</f>
        <v/>
      </c>
      <c r="FL262" s="96">
        <f>IFERROR(VLOOKUP($B262,INDIRECT("'GRD-"&amp;FL$11&amp;"'!B:R"),15,FALSE),"")</f>
        <v/>
      </c>
      <c r="FM262" s="96">
        <f>IFERROR(VLOOKUP($B262,INDIRECT("'GRD-"&amp;FM$11&amp;"'!B:R"),15,FALSE),"")</f>
        <v/>
      </c>
      <c r="FN262" s="96">
        <f>IFERROR(VLOOKUP($B262,INDIRECT("'GRD-"&amp;FN$11&amp;"'!B:R"),15,FALSE),"")</f>
        <v/>
      </c>
      <c r="FO262" s="96">
        <f>IFERROR(VLOOKUP($B262,INDIRECT("'GRD-"&amp;FO$11&amp;"'!B:R"),15,FALSE),"")</f>
        <v/>
      </c>
      <c r="FP262" s="96">
        <f>IFERROR(VLOOKUP($B262,INDIRECT("'GRD-"&amp;FP$11&amp;"'!B:R"),15,FALSE),"")</f>
        <v/>
      </c>
      <c r="FQ262" s="96">
        <f>IFERROR(VLOOKUP($B262,INDIRECT("'GRD-"&amp;FQ$11&amp;"'!B:R"),15,FALSE),"")</f>
        <v/>
      </c>
      <c r="FR262" s="96">
        <f>IFERROR(VLOOKUP($B262,INDIRECT("'GRD-"&amp;FR$11&amp;"'!B:R"),15,FALSE),"")</f>
        <v/>
      </c>
      <c r="FS262" s="96">
        <f>IFERROR(VLOOKUP($B262,INDIRECT("'GRD-"&amp;FS$11&amp;"'!B:R"),15,FALSE),"")</f>
        <v/>
      </c>
      <c r="FT262" s="96">
        <f>IFERROR(VLOOKUP($B262,INDIRECT("'GRD-"&amp;FT$11&amp;"'!B:R"),15,FALSE),"")</f>
        <v/>
      </c>
      <c r="FU262" s="96">
        <f>IFERROR(VLOOKUP($B262,INDIRECT("'GRD-"&amp;FU$11&amp;"'!B:R"),15,FALSE),"")</f>
        <v/>
      </c>
      <c r="FV262" s="96">
        <f>IFERROR(VLOOKUP($B262,INDIRECT("'GRD-"&amp;FV$11&amp;"'!B:R"),15,FALSE),"")</f>
        <v/>
      </c>
    </row>
    <row r="263">
      <c r="B263" s="85" t="n"/>
      <c r="C263" s="93" t="n"/>
      <c r="D263" s="73">
        <f>IF(K263="","",MAX($CA263:$FV263))</f>
        <v/>
      </c>
      <c r="E263" s="74">
        <f t="array" ref="E263">IF($K263="","",OFFSET($A$1,ROW($B263)-1,11+$D263*4,))</f>
        <v/>
      </c>
      <c r="F263" s="74">
        <f t="array" ref="F263">IF($K263="","",OFFSET($A$1,ROW($B263)-1,12+$D263*4,))</f>
        <v/>
      </c>
      <c r="G263" s="118">
        <f t="array" ref="G263">IF($K263="","",OFFSET($A$1,ROW($B263)-1,13+$D263*4,))</f>
        <v/>
      </c>
      <c r="H263" s="81" t="n"/>
      <c r="I263" s="82" t="n"/>
      <c r="J263" s="75">
        <f>IF(I263="A4",H263/8,IF(I263="A3",H263/4,IF(I263="A2",H263/2,IF(I263="A1",H263/1,IF(I263="A0",H263*2,"")))))</f>
        <v/>
      </c>
      <c r="K263" s="68">
        <f t="array" ref="K263">IFERROR(OFFSET($BZ$11,ROW($B263)-11,MATCH(K$10,$CA263:$FV263,0),),"")</f>
        <v/>
      </c>
      <c r="L263" s="85">
        <f>IF(K263="","",IF(VLOOKUP($B263,INDIRECT("'GRD-"&amp;M263&amp;"'!$B:$R"),16,FALSE)="","",VLOOKUP($B263,INDIRECT("'GRD-"&amp;M263&amp;"'!$B:$R"),16,FALSE)))</f>
        <v/>
      </c>
      <c r="M263" s="130">
        <f t="array" ref="M263">IF(K263="","",IFERROR(OFFSET($BZ$11,0,MATCH($K263,$CA263:$FV263,0),),""))</f>
        <v/>
      </c>
      <c r="N263" s="119">
        <f t="array" ref="N263">IF(K263="","",INDIRECT("'GRD-"&amp;M263&amp;"'!$L$7"))</f>
        <v/>
      </c>
      <c r="O263" s="76">
        <f t="array" ref="O263">IFERROR(OFFSET($BZ$11,ROW($B263)-11,MATCH(O$10,$CA263:$FV263,0),),"")</f>
        <v/>
      </c>
      <c r="P263" s="76">
        <f>IF(O263="","",IF(VLOOKUP($B263,INDIRECT("'GRD-"&amp;Q263&amp;"'!$B:$R"),16,FALSE)="","",VLOOKUP($B263,INDIRECT("'GRD-"&amp;Q263&amp;"'!$B:$R"),16,FALSE)))</f>
        <v/>
      </c>
      <c r="Q263" s="132">
        <f t="array" ref="Q263">IF(O263="","",IFERROR(OFFSET($BZ$11,0,MATCH($O263,$CA263:$FV263,0),),""))</f>
        <v/>
      </c>
      <c r="R263" s="121">
        <f t="array" ref="R263">IF(O263="","",INDIRECT("'GRD-"&amp;Q263&amp;"'!$L$7"))</f>
        <v/>
      </c>
      <c r="S263" s="83">
        <f t="array" ref="S263">IFERROR(OFFSET($BZ$11,ROW($B263)-11,MATCH(S$10,$CA263:$FV263,0),),"")</f>
        <v/>
      </c>
      <c r="T263" s="83">
        <f>IF(S263="","",IF(VLOOKUP($B263,INDIRECT("'GRD-"&amp;U263&amp;"'!$B:$R"),16,FALSE)="","",VLOOKUP($B263,INDIRECT("'GRD-"&amp;U263&amp;"'!$B:$R"),16,FALSE)))</f>
        <v/>
      </c>
      <c r="U263" s="128">
        <f t="array" ref="U263">IF(S263="","",IFERROR(OFFSET($BZ$11,0,MATCH($S263,$CA263:$FV263,0),),""))</f>
        <v/>
      </c>
      <c r="V263" s="133">
        <f t="array" ref="V263">IF(S263="","",INDIRECT("'GRD-"&amp;U263&amp;"'!$L$7"))</f>
        <v/>
      </c>
      <c r="W263" s="84">
        <f t="array" ref="W263">IFERROR(OFFSET($BZ$11,ROW($B263)-11,MATCH(W$10,$CA263:$FV263,0),),"")</f>
        <v/>
      </c>
      <c r="X263" s="84">
        <f>IF(W263="","",IF(VLOOKUP($B263,INDIRECT("'GRD-"&amp;Y263&amp;"'!$B:$R"),16,FALSE)="","",VLOOKUP($B263,INDIRECT("'GRD-"&amp;Y263&amp;"'!$B:$R"),16,FALSE)))</f>
        <v/>
      </c>
      <c r="Y263" s="129">
        <f t="array" ref="Y263">IF(W263="","",IFERROR(OFFSET($BZ$11,0,MATCH($W263,$CA263:$FV263,0),),""))</f>
        <v/>
      </c>
      <c r="Z263" s="134">
        <f t="array" ref="Z263">IF(W263="","",INDIRECT("'GRD-"&amp;Y263&amp;"'!$L$7"))</f>
        <v/>
      </c>
      <c r="AA263" s="85">
        <f t="array" ref="AA263">IFERROR(OFFSET($BZ$11,ROW($B263)-11,MATCH(AA$10,$CA263:$FV263,0),),"")</f>
        <v/>
      </c>
      <c r="AB263" s="85">
        <f>IF(AA263="","",IF(VLOOKUP($B263,INDIRECT("'GRD-"&amp;AC263&amp;"'!$B:$R"),16,FALSE)="","",VLOOKUP($B263,INDIRECT("'GRD-"&amp;AC263&amp;"'!$B:$R"),16,FALSE)))</f>
        <v/>
      </c>
      <c r="AC263" s="130">
        <f t="array" ref="AC263">IF(AA263="","",IFERROR(OFFSET($BZ$11,0,MATCH($AA263,$CA263:$FV263,0),),""))</f>
        <v/>
      </c>
      <c r="AD263" s="131">
        <f t="array" ref="AD263">IF(AA263="","",INDIRECT("'GRD-"&amp;AC263&amp;"'!$L$7"))</f>
        <v/>
      </c>
      <c r="AE263" s="76">
        <f t="array" ref="AE263">IFERROR(OFFSET($BZ$11,ROW($B263)-11,MATCH(AE$10,$CA263:$FV263,0),),"")</f>
        <v/>
      </c>
      <c r="AF263" s="76">
        <f>IF(AE263="","",IF(VLOOKUP($B263,INDIRECT("'GRD-"&amp;AG263&amp;"'!$B:$R"),16,FALSE)="","",VLOOKUP($B263,INDIRECT("'GRD-"&amp;AG263&amp;"'!$B:$R"),16,FALSE)))</f>
        <v/>
      </c>
      <c r="AG263" s="132">
        <f t="array" ref="AG263">IF(AE263="","",IFERROR(OFFSET($BZ$11,0,MATCH($AE263,$CA263:$FV263,0),),""))</f>
        <v/>
      </c>
      <c r="AH263" s="121">
        <f t="array" ref="AH263">IF(AE263="","",INDIRECT("'GRD-"&amp;AG263&amp;"'!$L$7"))</f>
        <v/>
      </c>
      <c r="AI263" s="83">
        <f t="array" ref="AI263">IFERROR(OFFSET($BZ$11,ROW($B263)-11,MATCH(AI$10,$CA263:$FV263,0),),"")</f>
        <v/>
      </c>
      <c r="AJ263" s="83">
        <f>IF(AI263="","",IF(VLOOKUP($B263,INDIRECT("'GRD-"&amp;AK263&amp;"'!$B:$R"),16,FALSE)="","",VLOOKUP($B263,INDIRECT("'GRD-"&amp;AK263&amp;"'!$B:$R"),16,FALSE)))</f>
        <v/>
      </c>
      <c r="AK263" s="128">
        <f t="array" ref="AK263">IF(AI263="","",IFERROR(OFFSET($BZ$11,0,MATCH($AI263,$CA263:$FV263,0),),""))</f>
        <v/>
      </c>
      <c r="AL263" s="133">
        <f t="array" ref="AL263">IF(AI263="","",INDIRECT("'GRD-"&amp;AK263&amp;"'!$L$7"))</f>
        <v/>
      </c>
      <c r="AM263" s="84">
        <f t="array" ref="AM263">IFERROR(OFFSET($BZ$11,ROW($B263)-11,MATCH(AM$10,$CA263:$FV263,0),),"")</f>
        <v/>
      </c>
      <c r="AN263" s="84">
        <f>IF(AM263="","",IF(VLOOKUP($B263,INDIRECT("'GRD-"&amp;AO263&amp;"'!$B:$R"),16,FALSE)="","",VLOOKUP($B263,INDIRECT("'GRD-"&amp;AO263&amp;"'!$B:$R"),16,FALSE)))</f>
        <v/>
      </c>
      <c r="AO263" s="129">
        <f t="array" ref="AO263">IF(AM263="","",IFERROR(OFFSET($BZ$11,0,MATCH($AM263,$CA263:$FV263,0),),""))</f>
        <v/>
      </c>
      <c r="AP263" s="134">
        <f t="array" ref="AP263">IF(AM263="","",INDIRECT("'GRD-"&amp;AO263&amp;"'!$L$7"))</f>
        <v/>
      </c>
      <c r="AQ263" s="85">
        <f t="array" ref="AQ263">IFERROR(OFFSET($BZ$11,ROW($B263)-11,MATCH(AQ$10,$CA263:$FV263,0),),"")</f>
        <v/>
      </c>
      <c r="AR263" s="85">
        <f>IF(AQ263="","",IF(VLOOKUP($B263,INDIRECT("'GRD-"&amp;AS263&amp;"'!$B:$R"),16,FALSE)="","",VLOOKUP($B263,INDIRECT("'GRD-"&amp;AS263&amp;"'!$B:$R"),16,FALSE)))</f>
        <v/>
      </c>
      <c r="AS263" s="130">
        <f t="array" ref="AS263">IF(AQ263="","",IFERROR(OFFSET($BZ$11,0,MATCH($AQ263,$CA263:$FV263,0),),""))</f>
        <v/>
      </c>
      <c r="AT263" s="131">
        <f t="array" ref="AT263">IF(AQ263="","",INDIRECT("'GRD-"&amp;AS263&amp;"'!$L$7"))</f>
        <v/>
      </c>
      <c r="AU263" s="76">
        <f t="array" ref="AU263">IFERROR(OFFSET($BZ$11,ROW($B263)-11,MATCH(AU$10,$CA263:$FV263,0),),"")</f>
        <v/>
      </c>
      <c r="AV263" s="76">
        <f>IF(AU263="","",IF(VLOOKUP($B263,INDIRECT("'GRD-"&amp;AW263&amp;"'!$B:$R"),16,FALSE)="","",VLOOKUP($B263,INDIRECT("'GRD-"&amp;AW263&amp;"'!$B:$R"),16,FALSE)))</f>
        <v/>
      </c>
      <c r="AW263" s="132">
        <f t="array" ref="AW263">IF(AU263="","",IFERROR(OFFSET($BZ$11,0,MATCH($AU263,$CA263:$FV263,0),),""))</f>
        <v/>
      </c>
      <c r="AX263" s="121">
        <f t="array" ref="AX263">IF(AU263="","",INDIRECT("'GRD-"&amp;AW263&amp;"'!$L$7"))</f>
        <v/>
      </c>
      <c r="AY263" s="83">
        <f t="array" ref="AY263">IFERROR(OFFSET($BZ$11,ROW($B263)-11,MATCH(AY$10,$CA263:$FV263,0),),"")</f>
        <v/>
      </c>
      <c r="AZ263" s="83">
        <f>IF(AY263="","",IF(VLOOKUP($B263,INDIRECT("'GRD-"&amp;BA263&amp;"'!$B:$R"),16,FALSE)="","",VLOOKUP($B263,INDIRECT("'GRD-"&amp;BA263&amp;"'!$B:$R"),16,FALSE)))</f>
        <v/>
      </c>
      <c r="BA263" s="128">
        <f t="array" ref="BA263">IF(AY263="","",IFERROR(OFFSET($BZ$11,0,MATCH($AY263,$CA263:$FV263,0),),""))</f>
        <v/>
      </c>
      <c r="BB263" s="133">
        <f t="array" ref="BB263">IF(AY263="","",INDIRECT("'GRD-"&amp;BA263&amp;"'!$L$7"))</f>
        <v/>
      </c>
      <c r="BC263" s="84">
        <f t="array" ref="BC263">IFERROR(OFFSET($BZ$11,ROW($B263)-11,MATCH(BC$10,$CA263:$FV263,0),),"")</f>
        <v/>
      </c>
      <c r="BD263" s="84">
        <f>IF(BC263="","",IF(VLOOKUP($B263,INDIRECT("'GRD-"&amp;BE263&amp;"'!$B:$R"),16,FALSE)="","",VLOOKUP($B263,INDIRECT("'GRD-"&amp;BE263&amp;"'!$B:$R"),16,FALSE)))</f>
        <v/>
      </c>
      <c r="BE263" s="129">
        <f t="array" ref="BE263">IF(BC263="","",IFERROR(OFFSET($BZ$11,0,MATCH($BC263,$CA263:$FV263,0),),""))</f>
        <v/>
      </c>
      <c r="BF263" s="134">
        <f t="array" ref="BF263">IF(BC263="","",INDIRECT("'GRD-"&amp;BE263&amp;"'!$L$7"))</f>
        <v/>
      </c>
      <c r="CA263" s="96">
        <f>IFERROR(VLOOKUP($B263,INDIRECT("'GRD-"&amp;CA$11&amp;"'!B:R"),15,FALSE),"")</f>
        <v/>
      </c>
      <c r="CB263" s="96">
        <f>IFERROR(VLOOKUP($B263,INDIRECT("'GRD-"&amp;CB$11&amp;"'!B:R"),15,FALSE),"")</f>
        <v/>
      </c>
      <c r="CC263" s="96">
        <f>IFERROR(VLOOKUP($B263,INDIRECT("'GRD-"&amp;CC$11&amp;"'!B:R"),15,FALSE),"")</f>
        <v/>
      </c>
      <c r="CD263" s="96">
        <f>IFERROR(VLOOKUP($B263,INDIRECT("'GRD-"&amp;CD$11&amp;"'!B:R"),15,FALSE),"")</f>
        <v/>
      </c>
      <c r="CE263" s="96">
        <f>IFERROR(VLOOKUP($B263,INDIRECT("'GRD-"&amp;CE$11&amp;"'!B:R"),15,FALSE),"")</f>
        <v/>
      </c>
      <c r="CF263" s="96">
        <f>IFERROR(VLOOKUP($B263,INDIRECT("'GRD-"&amp;CF$11&amp;"'!B:R"),15,FALSE),"")</f>
        <v/>
      </c>
      <c r="CG263" s="96">
        <f>IFERROR(VLOOKUP($B263,INDIRECT("'GRD-"&amp;CG$11&amp;"'!B:R"),15,FALSE),"")</f>
        <v/>
      </c>
      <c r="CH263" s="96">
        <f>IFERROR(VLOOKUP($B263,INDIRECT("'GRD-"&amp;CH$11&amp;"'!B:R"),15,FALSE),"")</f>
        <v/>
      </c>
      <c r="CI263" s="96">
        <f>IFERROR(VLOOKUP($B263,INDIRECT("'GRD-"&amp;CI$11&amp;"'!B:R"),15,FALSE),"")</f>
        <v/>
      </c>
      <c r="CJ263" s="96">
        <f>IFERROR(VLOOKUP($B263,INDIRECT("'GRD-"&amp;CJ$11&amp;"'!B:R"),15,FALSE),"")</f>
        <v/>
      </c>
      <c r="CK263" s="96">
        <f>IFERROR(VLOOKUP($B263,INDIRECT("'GRD-"&amp;CK$11&amp;"'!B:R"),15,FALSE),"")</f>
        <v/>
      </c>
      <c r="CL263" s="96">
        <f>IFERROR(VLOOKUP($B263,INDIRECT("'GRD-"&amp;CL$11&amp;"'!B:R"),15,FALSE),"")</f>
        <v/>
      </c>
      <c r="CM263" s="96">
        <f>IFERROR(VLOOKUP($B263,INDIRECT("'GRD-"&amp;CM$11&amp;"'!B:R"),15,FALSE),"")</f>
        <v/>
      </c>
      <c r="CN263" s="96">
        <f>IFERROR(VLOOKUP($B263,INDIRECT("'GRD-"&amp;CN$11&amp;"'!B:R"),15,FALSE),"")</f>
        <v/>
      </c>
      <c r="CO263" s="96">
        <f>IFERROR(VLOOKUP($B263,INDIRECT("'GRD-"&amp;CO$11&amp;"'!B:R"),15,FALSE),"")</f>
        <v/>
      </c>
      <c r="CP263" s="96">
        <f>IFERROR(VLOOKUP($B263,INDIRECT("'GRD-"&amp;CP$11&amp;"'!B:R"),15,FALSE),"")</f>
        <v/>
      </c>
      <c r="CQ263" s="96">
        <f>IFERROR(VLOOKUP($B263,INDIRECT("'GRD-"&amp;CQ$11&amp;"'!B:R"),15,FALSE),"")</f>
        <v/>
      </c>
      <c r="CR263" s="96">
        <f>IFERROR(VLOOKUP($B263,INDIRECT("'GRD-"&amp;CR$11&amp;"'!B:R"),15,FALSE),"")</f>
        <v/>
      </c>
      <c r="CS263" s="96">
        <f>IFERROR(VLOOKUP($B263,INDIRECT("'GRD-"&amp;CS$11&amp;"'!B:R"),15,FALSE),"")</f>
        <v/>
      </c>
      <c r="CT263" s="96">
        <f>IFERROR(VLOOKUP($B263,INDIRECT("'GRD-"&amp;CT$11&amp;"'!B:R"),15,FALSE),"")</f>
        <v/>
      </c>
      <c r="CU263" s="96">
        <f>IFERROR(VLOOKUP($B263,INDIRECT("'GRD-"&amp;CU$11&amp;"'!B:R"),15,FALSE),"")</f>
        <v/>
      </c>
      <c r="CV263" s="96">
        <f>IFERROR(VLOOKUP($B263,INDIRECT("'GRD-"&amp;CV$11&amp;"'!B:R"),15,FALSE),"")</f>
        <v/>
      </c>
      <c r="CW263" s="96">
        <f>IFERROR(VLOOKUP($B263,INDIRECT("'GRD-"&amp;CW$11&amp;"'!B:R"),15,FALSE),"")</f>
        <v/>
      </c>
      <c r="CX263" s="96">
        <f>IFERROR(VLOOKUP($B263,INDIRECT("'GRD-"&amp;CX$11&amp;"'!B:R"),15,FALSE),"")</f>
        <v/>
      </c>
      <c r="CY263" s="96">
        <f>IFERROR(VLOOKUP($B263,INDIRECT("'GRD-"&amp;CY$11&amp;"'!B:R"),15,FALSE),"")</f>
        <v/>
      </c>
      <c r="CZ263" s="96">
        <f>IFERROR(VLOOKUP($B263,INDIRECT("'GRD-"&amp;CZ$11&amp;"'!B:R"),15,FALSE),"")</f>
        <v/>
      </c>
      <c r="DA263" s="96">
        <f>IFERROR(VLOOKUP($B263,INDIRECT("'GRD-"&amp;DA$11&amp;"'!B:R"),15,FALSE),"")</f>
        <v/>
      </c>
      <c r="DB263" s="96">
        <f>IFERROR(VLOOKUP($B263,INDIRECT("'GRD-"&amp;DB$11&amp;"'!B:R"),15,FALSE),"")</f>
        <v/>
      </c>
      <c r="DC263" s="96">
        <f>IFERROR(VLOOKUP($B263,INDIRECT("'GRD-"&amp;DC$11&amp;"'!B:R"),15,FALSE),"")</f>
        <v/>
      </c>
      <c r="DD263" s="96">
        <f>IFERROR(VLOOKUP($B263,INDIRECT("'GRD-"&amp;DD$11&amp;"'!B:R"),15,FALSE),"")</f>
        <v/>
      </c>
      <c r="DE263" s="96">
        <f>IFERROR(VLOOKUP($B263,INDIRECT("'GRD-"&amp;DE$11&amp;"'!B:R"),15,FALSE),"")</f>
        <v/>
      </c>
      <c r="DF263" s="96">
        <f>IFERROR(VLOOKUP($B263,INDIRECT("'GRD-"&amp;DF$11&amp;"'!B:R"),15,FALSE),"")</f>
        <v/>
      </c>
      <c r="DG263" s="96">
        <f>IFERROR(VLOOKUP($B263,INDIRECT("'GRD-"&amp;DG$11&amp;"'!B:R"),15,FALSE),"")</f>
        <v/>
      </c>
      <c r="DH263" s="96">
        <f>IFERROR(VLOOKUP($B263,INDIRECT("'GRD-"&amp;DH$11&amp;"'!B:R"),15,FALSE),"")</f>
        <v/>
      </c>
      <c r="DI263" s="96">
        <f>IFERROR(VLOOKUP($B263,INDIRECT("'GRD-"&amp;DI$11&amp;"'!B:R"),15,FALSE),"")</f>
        <v/>
      </c>
      <c r="DJ263" s="96">
        <f>IFERROR(VLOOKUP($B263,INDIRECT("'GRD-"&amp;DJ$11&amp;"'!B:R"),15,FALSE),"")</f>
        <v/>
      </c>
      <c r="DK263" s="96">
        <f>IFERROR(VLOOKUP($B263,INDIRECT("'GRD-"&amp;DK$11&amp;"'!B:R"),15,FALSE),"")</f>
        <v/>
      </c>
      <c r="DL263" s="96">
        <f>IFERROR(VLOOKUP($B263,INDIRECT("'GRD-"&amp;DL$11&amp;"'!B:R"),15,FALSE),"")</f>
        <v/>
      </c>
      <c r="DM263" s="96">
        <f>IFERROR(VLOOKUP($B263,INDIRECT("'GRD-"&amp;DM$11&amp;"'!B:R"),15,FALSE),"")</f>
        <v/>
      </c>
      <c r="DN263" s="96">
        <f>IFERROR(VLOOKUP($B263,INDIRECT("'GRD-"&amp;DN$11&amp;"'!B:R"),15,FALSE),"")</f>
        <v/>
      </c>
      <c r="DO263" s="96">
        <f>IFERROR(VLOOKUP($B263,INDIRECT("'GRD-"&amp;DO$11&amp;"'!B:R"),15,FALSE),"")</f>
        <v/>
      </c>
      <c r="DP263" s="96">
        <f>IFERROR(VLOOKUP($B263,INDIRECT("'GRD-"&amp;DP$11&amp;"'!B:R"),15,FALSE),"")</f>
        <v/>
      </c>
      <c r="DQ263" s="96">
        <f>IFERROR(VLOOKUP($B263,INDIRECT("'GRD-"&amp;DQ$11&amp;"'!B:R"),15,FALSE),"")</f>
        <v/>
      </c>
      <c r="DR263" s="96">
        <f>IFERROR(VLOOKUP($B263,INDIRECT("'GRD-"&amp;DR$11&amp;"'!B:R"),15,FALSE),"")</f>
        <v/>
      </c>
      <c r="DS263" s="96">
        <f>IFERROR(VLOOKUP($B263,INDIRECT("'GRD-"&amp;DS$11&amp;"'!B:R"),15,FALSE),"")</f>
        <v/>
      </c>
      <c r="DT263" s="96">
        <f>IFERROR(VLOOKUP($B263,INDIRECT("'GRD-"&amp;DT$11&amp;"'!B:R"),15,FALSE),"")</f>
        <v/>
      </c>
      <c r="DU263" s="96">
        <f>IFERROR(VLOOKUP($B263,INDIRECT("'GRD-"&amp;DU$11&amp;"'!B:R"),15,FALSE),"")</f>
        <v/>
      </c>
      <c r="DV263" s="96">
        <f>IFERROR(VLOOKUP($B263,INDIRECT("'GRD-"&amp;DV$11&amp;"'!B:R"),15,FALSE),"")</f>
        <v/>
      </c>
      <c r="DW263" s="96">
        <f>IFERROR(VLOOKUP($B263,INDIRECT("'GRD-"&amp;DW$11&amp;"'!B:R"),15,FALSE),"")</f>
        <v/>
      </c>
      <c r="DX263" s="96">
        <f>IFERROR(VLOOKUP($B263,INDIRECT("'GRD-"&amp;DX$11&amp;"'!B:R"),15,FALSE),"")</f>
        <v/>
      </c>
      <c r="DY263" s="96">
        <f>IFERROR(VLOOKUP($B263,INDIRECT("'GRD-"&amp;DY$11&amp;"'!B:R"),15,FALSE),"")</f>
        <v/>
      </c>
      <c r="DZ263" s="96">
        <f>IFERROR(VLOOKUP($B263,INDIRECT("'GRD-"&amp;DZ$11&amp;"'!B:R"),15,FALSE),"")</f>
        <v/>
      </c>
      <c r="EA263" s="96">
        <f>IFERROR(VLOOKUP($B263,INDIRECT("'GRD-"&amp;EA$11&amp;"'!B:R"),15,FALSE),"")</f>
        <v/>
      </c>
      <c r="EB263" s="96">
        <f>IFERROR(VLOOKUP($B263,INDIRECT("'GRD-"&amp;EB$11&amp;"'!B:R"),15,FALSE),"")</f>
        <v/>
      </c>
      <c r="EC263" s="96">
        <f>IFERROR(VLOOKUP($B263,INDIRECT("'GRD-"&amp;EC$11&amp;"'!B:R"),15,FALSE),"")</f>
        <v/>
      </c>
      <c r="ED263" s="96">
        <f>IFERROR(VLOOKUP($B263,INDIRECT("'GRD-"&amp;ED$11&amp;"'!B:R"),15,FALSE),"")</f>
        <v/>
      </c>
      <c r="EE263" s="96">
        <f>IFERROR(VLOOKUP($B263,INDIRECT("'GRD-"&amp;EE$11&amp;"'!B:R"),15,FALSE),"")</f>
        <v/>
      </c>
      <c r="EF263" s="96">
        <f>IFERROR(VLOOKUP($B263,INDIRECT("'GRD-"&amp;EF$11&amp;"'!B:R"),15,FALSE),"")</f>
        <v/>
      </c>
      <c r="EG263" s="96">
        <f>IFERROR(VLOOKUP($B263,INDIRECT("'GRD-"&amp;EG$11&amp;"'!B:R"),15,FALSE),"")</f>
        <v/>
      </c>
      <c r="EH263" s="96">
        <f>IFERROR(VLOOKUP($B263,INDIRECT("'GRD-"&amp;EH$11&amp;"'!B:R"),15,FALSE),"")</f>
        <v/>
      </c>
      <c r="EI263" s="96">
        <f>IFERROR(VLOOKUP($B263,INDIRECT("'GRD-"&amp;EI$11&amp;"'!B:R"),15,FALSE),"")</f>
        <v/>
      </c>
      <c r="EJ263" s="96">
        <f>IFERROR(VLOOKUP($B263,INDIRECT("'GRD-"&amp;EJ$11&amp;"'!B:R"),15,FALSE),"")</f>
        <v/>
      </c>
      <c r="EK263" s="96">
        <f>IFERROR(VLOOKUP($B263,INDIRECT("'GRD-"&amp;EK$11&amp;"'!B:R"),15,FALSE),"")</f>
        <v/>
      </c>
      <c r="EL263" s="96">
        <f>IFERROR(VLOOKUP($B263,INDIRECT("'GRD-"&amp;EL$11&amp;"'!B:R"),15,FALSE),"")</f>
        <v/>
      </c>
      <c r="EM263" s="96">
        <f>IFERROR(VLOOKUP($B263,INDIRECT("'GRD-"&amp;EM$11&amp;"'!B:R"),15,FALSE),"")</f>
        <v/>
      </c>
      <c r="EN263" s="96">
        <f>IFERROR(VLOOKUP($B263,INDIRECT("'GRD-"&amp;EN$11&amp;"'!B:R"),15,FALSE),"")</f>
        <v/>
      </c>
      <c r="EO263" s="96">
        <f>IFERROR(VLOOKUP($B263,INDIRECT("'GRD-"&amp;EO$11&amp;"'!B:R"),15,FALSE),"")</f>
        <v/>
      </c>
      <c r="EP263" s="96">
        <f>IFERROR(VLOOKUP($B263,INDIRECT("'GRD-"&amp;EP$11&amp;"'!B:R"),15,FALSE),"")</f>
        <v/>
      </c>
      <c r="EQ263" s="96">
        <f>IFERROR(VLOOKUP($B263,INDIRECT("'GRD-"&amp;EQ$11&amp;"'!B:R"),15,FALSE),"")</f>
        <v/>
      </c>
      <c r="ER263" s="96">
        <f>IFERROR(VLOOKUP($B263,INDIRECT("'GRD-"&amp;ER$11&amp;"'!B:R"),15,FALSE),"")</f>
        <v/>
      </c>
      <c r="ES263" s="96">
        <f>IFERROR(VLOOKUP($B263,INDIRECT("'GRD-"&amp;ES$11&amp;"'!B:R"),15,FALSE),"")</f>
        <v/>
      </c>
      <c r="ET263" s="96">
        <f>IFERROR(VLOOKUP($B263,INDIRECT("'GRD-"&amp;ET$11&amp;"'!B:R"),15,FALSE),"")</f>
        <v/>
      </c>
      <c r="EU263" s="96">
        <f>IFERROR(VLOOKUP($B263,INDIRECT("'GRD-"&amp;EU$11&amp;"'!B:R"),15,FALSE),"")</f>
        <v/>
      </c>
      <c r="EV263" s="96">
        <f>IFERROR(VLOOKUP($B263,INDIRECT("'GRD-"&amp;EV$11&amp;"'!B:R"),15,FALSE),"")</f>
        <v/>
      </c>
      <c r="EW263" s="96">
        <f>IFERROR(VLOOKUP($B263,INDIRECT("'GRD-"&amp;EW$11&amp;"'!B:R"),15,FALSE),"")</f>
        <v/>
      </c>
      <c r="EX263" s="96">
        <f>IFERROR(VLOOKUP($B263,INDIRECT("'GRD-"&amp;EX$11&amp;"'!B:R"),15,FALSE),"")</f>
        <v/>
      </c>
      <c r="EY263" s="96">
        <f>IFERROR(VLOOKUP($B263,INDIRECT("'GRD-"&amp;EY$11&amp;"'!B:R"),15,FALSE),"")</f>
        <v/>
      </c>
      <c r="EZ263" s="96">
        <f>IFERROR(VLOOKUP($B263,INDIRECT("'GRD-"&amp;EZ$11&amp;"'!B:R"),15,FALSE),"")</f>
        <v/>
      </c>
      <c r="FA263" s="96">
        <f>IFERROR(VLOOKUP($B263,INDIRECT("'GRD-"&amp;FA$11&amp;"'!B:R"),15,FALSE),"")</f>
        <v/>
      </c>
      <c r="FB263" s="96">
        <f>IFERROR(VLOOKUP($B263,INDIRECT("'GRD-"&amp;FB$11&amp;"'!B:R"),15,FALSE),"")</f>
        <v/>
      </c>
      <c r="FC263" s="96">
        <f>IFERROR(VLOOKUP($B263,INDIRECT("'GRD-"&amp;FC$11&amp;"'!B:R"),15,FALSE),"")</f>
        <v/>
      </c>
      <c r="FD263" s="96">
        <f>IFERROR(VLOOKUP($B263,INDIRECT("'GRD-"&amp;FD$11&amp;"'!B:R"),15,FALSE),"")</f>
        <v/>
      </c>
      <c r="FE263" s="96">
        <f>IFERROR(VLOOKUP($B263,INDIRECT("'GRD-"&amp;FE$11&amp;"'!B:R"),15,FALSE),"")</f>
        <v/>
      </c>
      <c r="FF263" s="96">
        <f>IFERROR(VLOOKUP($B263,INDIRECT("'GRD-"&amp;FF$11&amp;"'!B:R"),15,FALSE),"")</f>
        <v/>
      </c>
      <c r="FG263" s="96">
        <f>IFERROR(VLOOKUP($B263,INDIRECT("'GRD-"&amp;FG$11&amp;"'!B:R"),15,FALSE),"")</f>
        <v/>
      </c>
      <c r="FH263" s="96">
        <f>IFERROR(VLOOKUP($B263,INDIRECT("'GRD-"&amp;FH$11&amp;"'!B:R"),15,FALSE),"")</f>
        <v/>
      </c>
      <c r="FI263" s="96">
        <f>IFERROR(VLOOKUP($B263,INDIRECT("'GRD-"&amp;FI$11&amp;"'!B:R"),15,FALSE),"")</f>
        <v/>
      </c>
      <c r="FJ263" s="96">
        <f>IFERROR(VLOOKUP($B263,INDIRECT("'GRD-"&amp;FJ$11&amp;"'!B:R"),15,FALSE),"")</f>
        <v/>
      </c>
      <c r="FK263" s="96">
        <f>IFERROR(VLOOKUP($B263,INDIRECT("'GRD-"&amp;FK$11&amp;"'!B:R"),15,FALSE),"")</f>
        <v/>
      </c>
      <c r="FL263" s="96">
        <f>IFERROR(VLOOKUP($B263,INDIRECT("'GRD-"&amp;FL$11&amp;"'!B:R"),15,FALSE),"")</f>
        <v/>
      </c>
      <c r="FM263" s="96">
        <f>IFERROR(VLOOKUP($B263,INDIRECT("'GRD-"&amp;FM$11&amp;"'!B:R"),15,FALSE),"")</f>
        <v/>
      </c>
      <c r="FN263" s="96">
        <f>IFERROR(VLOOKUP($B263,INDIRECT("'GRD-"&amp;FN$11&amp;"'!B:R"),15,FALSE),"")</f>
        <v/>
      </c>
      <c r="FO263" s="96">
        <f>IFERROR(VLOOKUP($B263,INDIRECT("'GRD-"&amp;FO$11&amp;"'!B:R"),15,FALSE),"")</f>
        <v/>
      </c>
      <c r="FP263" s="96">
        <f>IFERROR(VLOOKUP($B263,INDIRECT("'GRD-"&amp;FP$11&amp;"'!B:R"),15,FALSE),"")</f>
        <v/>
      </c>
      <c r="FQ263" s="96">
        <f>IFERROR(VLOOKUP($B263,INDIRECT("'GRD-"&amp;FQ$11&amp;"'!B:R"),15,FALSE),"")</f>
        <v/>
      </c>
      <c r="FR263" s="96">
        <f>IFERROR(VLOOKUP($B263,INDIRECT("'GRD-"&amp;FR$11&amp;"'!B:R"),15,FALSE),"")</f>
        <v/>
      </c>
      <c r="FS263" s="96">
        <f>IFERROR(VLOOKUP($B263,INDIRECT("'GRD-"&amp;FS$11&amp;"'!B:R"),15,FALSE),"")</f>
        <v/>
      </c>
      <c r="FT263" s="96">
        <f>IFERROR(VLOOKUP($B263,INDIRECT("'GRD-"&amp;FT$11&amp;"'!B:R"),15,FALSE),"")</f>
        <v/>
      </c>
      <c r="FU263" s="96">
        <f>IFERROR(VLOOKUP($B263,INDIRECT("'GRD-"&amp;FU$11&amp;"'!B:R"),15,FALSE),"")</f>
        <v/>
      </c>
      <c r="FV263" s="96">
        <f>IFERROR(VLOOKUP($B263,INDIRECT("'GRD-"&amp;FV$11&amp;"'!B:R"),15,FALSE),"")</f>
        <v/>
      </c>
    </row>
    <row r="264">
      <c r="B264" s="85" t="n"/>
      <c r="C264" s="93" t="n"/>
      <c r="D264" s="73">
        <f>IF(K264="","",MAX($CA264:$FV264))</f>
        <v/>
      </c>
      <c r="E264" s="74">
        <f t="array" ref="E264">IF($K264="","",OFFSET($A$1,ROW($B264)-1,11+$D264*4,))</f>
        <v/>
      </c>
      <c r="F264" s="74">
        <f t="array" ref="F264">IF($K264="","",OFFSET($A$1,ROW($B264)-1,12+$D264*4,))</f>
        <v/>
      </c>
      <c r="G264" s="118">
        <f t="array" ref="G264">IF($K264="","",OFFSET($A$1,ROW($B264)-1,13+$D264*4,))</f>
        <v/>
      </c>
      <c r="H264" s="81" t="n"/>
      <c r="I264" s="82" t="n"/>
      <c r="J264" s="75">
        <f>IF(I264="A4",H264/8,IF(I264="A3",H264/4,IF(I264="A2",H264/2,IF(I264="A1",H264/1,IF(I264="A0",H264*2,"")))))</f>
        <v/>
      </c>
      <c r="K264" s="68">
        <f t="array" ref="K264">IFERROR(OFFSET($BZ$11,ROW($B264)-11,MATCH(K$10,$CA264:$FV264,0),),"")</f>
        <v/>
      </c>
      <c r="L264" s="85">
        <f>IF(K264="","",IF(VLOOKUP($B264,INDIRECT("'GRD-"&amp;M264&amp;"'!$B:$R"),16,FALSE)="","",VLOOKUP($B264,INDIRECT("'GRD-"&amp;M264&amp;"'!$B:$R"),16,FALSE)))</f>
        <v/>
      </c>
      <c r="M264" s="130">
        <f t="array" ref="M264">IF(K264="","",IFERROR(OFFSET($BZ$11,0,MATCH($K264,$CA264:$FV264,0),),""))</f>
        <v/>
      </c>
      <c r="N264" s="119">
        <f t="array" ref="N264">IF(K264="","",INDIRECT("'GRD-"&amp;M264&amp;"'!$L$7"))</f>
        <v/>
      </c>
      <c r="O264" s="76">
        <f t="array" ref="O264">IFERROR(OFFSET($BZ$11,ROW($B264)-11,MATCH(O$10,$CA264:$FV264,0),),"")</f>
        <v/>
      </c>
      <c r="P264" s="76">
        <f>IF(O264="","",IF(VLOOKUP($B264,INDIRECT("'GRD-"&amp;Q264&amp;"'!$B:$R"),16,FALSE)="","",VLOOKUP($B264,INDIRECT("'GRD-"&amp;Q264&amp;"'!$B:$R"),16,FALSE)))</f>
        <v/>
      </c>
      <c r="Q264" s="132">
        <f t="array" ref="Q264">IF(O264="","",IFERROR(OFFSET($BZ$11,0,MATCH($O264,$CA264:$FV264,0),),""))</f>
        <v/>
      </c>
      <c r="R264" s="121">
        <f t="array" ref="R264">IF(O264="","",INDIRECT("'GRD-"&amp;Q264&amp;"'!$L$7"))</f>
        <v/>
      </c>
      <c r="S264" s="83">
        <f t="array" ref="S264">IFERROR(OFFSET($BZ$11,ROW($B264)-11,MATCH(S$10,$CA264:$FV264,0),),"")</f>
        <v/>
      </c>
      <c r="T264" s="83">
        <f>IF(S264="","",IF(VLOOKUP($B264,INDIRECT("'GRD-"&amp;U264&amp;"'!$B:$R"),16,FALSE)="","",VLOOKUP($B264,INDIRECT("'GRD-"&amp;U264&amp;"'!$B:$R"),16,FALSE)))</f>
        <v/>
      </c>
      <c r="U264" s="128">
        <f t="array" ref="U264">IF(S264="","",IFERROR(OFFSET($BZ$11,0,MATCH($S264,$CA264:$FV264,0),),""))</f>
        <v/>
      </c>
      <c r="V264" s="133">
        <f t="array" ref="V264">IF(S264="","",INDIRECT("'GRD-"&amp;U264&amp;"'!$L$7"))</f>
        <v/>
      </c>
      <c r="W264" s="84">
        <f t="array" ref="W264">IFERROR(OFFSET($BZ$11,ROW($B264)-11,MATCH(W$10,$CA264:$FV264,0),),"")</f>
        <v/>
      </c>
      <c r="X264" s="84">
        <f>IF(W264="","",IF(VLOOKUP($B264,INDIRECT("'GRD-"&amp;Y264&amp;"'!$B:$R"),16,FALSE)="","",VLOOKUP($B264,INDIRECT("'GRD-"&amp;Y264&amp;"'!$B:$R"),16,FALSE)))</f>
        <v/>
      </c>
      <c r="Y264" s="129">
        <f t="array" ref="Y264">IF(W264="","",IFERROR(OFFSET($BZ$11,0,MATCH($W264,$CA264:$FV264,0),),""))</f>
        <v/>
      </c>
      <c r="Z264" s="134">
        <f t="array" ref="Z264">IF(W264="","",INDIRECT("'GRD-"&amp;Y264&amp;"'!$L$7"))</f>
        <v/>
      </c>
      <c r="AA264" s="85">
        <f t="array" ref="AA264">IFERROR(OFFSET($BZ$11,ROW($B264)-11,MATCH(AA$10,$CA264:$FV264,0),),"")</f>
        <v/>
      </c>
      <c r="AB264" s="85">
        <f>IF(AA264="","",IF(VLOOKUP($B264,INDIRECT("'GRD-"&amp;AC264&amp;"'!$B:$R"),16,FALSE)="","",VLOOKUP($B264,INDIRECT("'GRD-"&amp;AC264&amp;"'!$B:$R"),16,FALSE)))</f>
        <v/>
      </c>
      <c r="AC264" s="130">
        <f t="array" ref="AC264">IF(AA264="","",IFERROR(OFFSET($BZ$11,0,MATCH($AA264,$CA264:$FV264,0),),""))</f>
        <v/>
      </c>
      <c r="AD264" s="131">
        <f t="array" ref="AD264">IF(AA264="","",INDIRECT("'GRD-"&amp;AC264&amp;"'!$L$7"))</f>
        <v/>
      </c>
      <c r="AE264" s="76">
        <f t="array" ref="AE264">IFERROR(OFFSET($BZ$11,ROW($B264)-11,MATCH(AE$10,$CA264:$FV264,0),),"")</f>
        <v/>
      </c>
      <c r="AF264" s="76">
        <f>IF(AE264="","",IF(VLOOKUP($B264,INDIRECT("'GRD-"&amp;AG264&amp;"'!$B:$R"),16,FALSE)="","",VLOOKUP($B264,INDIRECT("'GRD-"&amp;AG264&amp;"'!$B:$R"),16,FALSE)))</f>
        <v/>
      </c>
      <c r="AG264" s="132">
        <f t="array" ref="AG264">IF(AE264="","",IFERROR(OFFSET($BZ$11,0,MATCH($AE264,$CA264:$FV264,0),),""))</f>
        <v/>
      </c>
      <c r="AH264" s="121">
        <f t="array" ref="AH264">IF(AE264="","",INDIRECT("'GRD-"&amp;AG264&amp;"'!$L$7"))</f>
        <v/>
      </c>
      <c r="AI264" s="83">
        <f t="array" ref="AI264">IFERROR(OFFSET($BZ$11,ROW($B264)-11,MATCH(AI$10,$CA264:$FV264,0),),"")</f>
        <v/>
      </c>
      <c r="AJ264" s="83">
        <f>IF(AI264="","",IF(VLOOKUP($B264,INDIRECT("'GRD-"&amp;AK264&amp;"'!$B:$R"),16,FALSE)="","",VLOOKUP($B264,INDIRECT("'GRD-"&amp;AK264&amp;"'!$B:$R"),16,FALSE)))</f>
        <v/>
      </c>
      <c r="AK264" s="128">
        <f t="array" ref="AK264">IF(AI264="","",IFERROR(OFFSET($BZ$11,0,MATCH($AI264,$CA264:$FV264,0),),""))</f>
        <v/>
      </c>
      <c r="AL264" s="133">
        <f t="array" ref="AL264">IF(AI264="","",INDIRECT("'GRD-"&amp;AK264&amp;"'!$L$7"))</f>
        <v/>
      </c>
      <c r="AM264" s="84">
        <f t="array" ref="AM264">IFERROR(OFFSET($BZ$11,ROW($B264)-11,MATCH(AM$10,$CA264:$FV264,0),),"")</f>
        <v/>
      </c>
      <c r="AN264" s="84">
        <f>IF(AM264="","",IF(VLOOKUP($B264,INDIRECT("'GRD-"&amp;AO264&amp;"'!$B:$R"),16,FALSE)="","",VLOOKUP($B264,INDIRECT("'GRD-"&amp;AO264&amp;"'!$B:$R"),16,FALSE)))</f>
        <v/>
      </c>
      <c r="AO264" s="129">
        <f t="array" ref="AO264">IF(AM264="","",IFERROR(OFFSET($BZ$11,0,MATCH($AM264,$CA264:$FV264,0),),""))</f>
        <v/>
      </c>
      <c r="AP264" s="134">
        <f t="array" ref="AP264">IF(AM264="","",INDIRECT("'GRD-"&amp;AO264&amp;"'!$L$7"))</f>
        <v/>
      </c>
      <c r="AQ264" s="85">
        <f t="array" ref="AQ264">IFERROR(OFFSET($BZ$11,ROW($B264)-11,MATCH(AQ$10,$CA264:$FV264,0),),"")</f>
        <v/>
      </c>
      <c r="AR264" s="85">
        <f>IF(AQ264="","",IF(VLOOKUP($B264,INDIRECT("'GRD-"&amp;AS264&amp;"'!$B:$R"),16,FALSE)="","",VLOOKUP($B264,INDIRECT("'GRD-"&amp;AS264&amp;"'!$B:$R"),16,FALSE)))</f>
        <v/>
      </c>
      <c r="AS264" s="130">
        <f t="array" ref="AS264">IF(AQ264="","",IFERROR(OFFSET($BZ$11,0,MATCH($AQ264,$CA264:$FV264,0),),""))</f>
        <v/>
      </c>
      <c r="AT264" s="131">
        <f t="array" ref="AT264">IF(AQ264="","",INDIRECT("'GRD-"&amp;AS264&amp;"'!$L$7"))</f>
        <v/>
      </c>
      <c r="AU264" s="76">
        <f t="array" ref="AU264">IFERROR(OFFSET($BZ$11,ROW($B264)-11,MATCH(AU$10,$CA264:$FV264,0),),"")</f>
        <v/>
      </c>
      <c r="AV264" s="76">
        <f>IF(AU264="","",IF(VLOOKUP($B264,INDIRECT("'GRD-"&amp;AW264&amp;"'!$B:$R"),16,FALSE)="","",VLOOKUP($B264,INDIRECT("'GRD-"&amp;AW264&amp;"'!$B:$R"),16,FALSE)))</f>
        <v/>
      </c>
      <c r="AW264" s="132">
        <f t="array" ref="AW264">IF(AU264="","",IFERROR(OFFSET($BZ$11,0,MATCH($AU264,$CA264:$FV264,0),),""))</f>
        <v/>
      </c>
      <c r="AX264" s="121">
        <f t="array" ref="AX264">IF(AU264="","",INDIRECT("'GRD-"&amp;AW264&amp;"'!$L$7"))</f>
        <v/>
      </c>
      <c r="AY264" s="83">
        <f t="array" ref="AY264">IFERROR(OFFSET($BZ$11,ROW($B264)-11,MATCH(AY$10,$CA264:$FV264,0),),"")</f>
        <v/>
      </c>
      <c r="AZ264" s="83">
        <f>IF(AY264="","",IF(VLOOKUP($B264,INDIRECT("'GRD-"&amp;BA264&amp;"'!$B:$R"),16,FALSE)="","",VLOOKUP($B264,INDIRECT("'GRD-"&amp;BA264&amp;"'!$B:$R"),16,FALSE)))</f>
        <v/>
      </c>
      <c r="BA264" s="128">
        <f t="array" ref="BA264">IF(AY264="","",IFERROR(OFFSET($BZ$11,0,MATCH($AY264,$CA264:$FV264,0),),""))</f>
        <v/>
      </c>
      <c r="BB264" s="133">
        <f t="array" ref="BB264">IF(AY264="","",INDIRECT("'GRD-"&amp;BA264&amp;"'!$L$7"))</f>
        <v/>
      </c>
      <c r="BC264" s="84">
        <f t="array" ref="BC264">IFERROR(OFFSET($BZ$11,ROW($B264)-11,MATCH(BC$10,$CA264:$FV264,0),),"")</f>
        <v/>
      </c>
      <c r="BD264" s="84">
        <f>IF(BC264="","",IF(VLOOKUP($B264,INDIRECT("'GRD-"&amp;BE264&amp;"'!$B:$R"),16,FALSE)="","",VLOOKUP($B264,INDIRECT("'GRD-"&amp;BE264&amp;"'!$B:$R"),16,FALSE)))</f>
        <v/>
      </c>
      <c r="BE264" s="129">
        <f t="array" ref="BE264">IF(BC264="","",IFERROR(OFFSET($BZ$11,0,MATCH($BC264,$CA264:$FV264,0),),""))</f>
        <v/>
      </c>
      <c r="BF264" s="134">
        <f t="array" ref="BF264">IF(BC264="","",INDIRECT("'GRD-"&amp;BE264&amp;"'!$L$7"))</f>
        <v/>
      </c>
      <c r="CA264" s="96">
        <f>IFERROR(VLOOKUP($B264,INDIRECT("'GRD-"&amp;CA$11&amp;"'!B:R"),15,FALSE),"")</f>
        <v/>
      </c>
      <c r="CB264" s="96">
        <f>IFERROR(VLOOKUP($B264,INDIRECT("'GRD-"&amp;CB$11&amp;"'!B:R"),15,FALSE),"")</f>
        <v/>
      </c>
      <c r="CC264" s="96">
        <f>IFERROR(VLOOKUP($B264,INDIRECT("'GRD-"&amp;CC$11&amp;"'!B:R"),15,FALSE),"")</f>
        <v/>
      </c>
      <c r="CD264" s="96">
        <f>IFERROR(VLOOKUP($B264,INDIRECT("'GRD-"&amp;CD$11&amp;"'!B:R"),15,FALSE),"")</f>
        <v/>
      </c>
      <c r="CE264" s="96">
        <f>IFERROR(VLOOKUP($B264,INDIRECT("'GRD-"&amp;CE$11&amp;"'!B:R"),15,FALSE),"")</f>
        <v/>
      </c>
      <c r="CF264" s="96">
        <f>IFERROR(VLOOKUP($B264,INDIRECT("'GRD-"&amp;CF$11&amp;"'!B:R"),15,FALSE),"")</f>
        <v/>
      </c>
      <c r="CG264" s="96">
        <f>IFERROR(VLOOKUP($B264,INDIRECT("'GRD-"&amp;CG$11&amp;"'!B:R"),15,FALSE),"")</f>
        <v/>
      </c>
      <c r="CH264" s="96">
        <f>IFERROR(VLOOKUP($B264,INDIRECT("'GRD-"&amp;CH$11&amp;"'!B:R"),15,FALSE),"")</f>
        <v/>
      </c>
      <c r="CI264" s="96">
        <f>IFERROR(VLOOKUP($B264,INDIRECT("'GRD-"&amp;CI$11&amp;"'!B:R"),15,FALSE),"")</f>
        <v/>
      </c>
      <c r="CJ264" s="96">
        <f>IFERROR(VLOOKUP($B264,INDIRECT("'GRD-"&amp;CJ$11&amp;"'!B:R"),15,FALSE),"")</f>
        <v/>
      </c>
      <c r="CK264" s="96">
        <f>IFERROR(VLOOKUP($B264,INDIRECT("'GRD-"&amp;CK$11&amp;"'!B:R"),15,FALSE),"")</f>
        <v/>
      </c>
      <c r="CL264" s="96">
        <f>IFERROR(VLOOKUP($B264,INDIRECT("'GRD-"&amp;CL$11&amp;"'!B:R"),15,FALSE),"")</f>
        <v/>
      </c>
      <c r="CM264" s="96">
        <f>IFERROR(VLOOKUP($B264,INDIRECT("'GRD-"&amp;CM$11&amp;"'!B:R"),15,FALSE),"")</f>
        <v/>
      </c>
      <c r="CN264" s="96">
        <f>IFERROR(VLOOKUP($B264,INDIRECT("'GRD-"&amp;CN$11&amp;"'!B:R"),15,FALSE),"")</f>
        <v/>
      </c>
      <c r="CO264" s="96">
        <f>IFERROR(VLOOKUP($B264,INDIRECT("'GRD-"&amp;CO$11&amp;"'!B:R"),15,FALSE),"")</f>
        <v/>
      </c>
      <c r="CP264" s="96">
        <f>IFERROR(VLOOKUP($B264,INDIRECT("'GRD-"&amp;CP$11&amp;"'!B:R"),15,FALSE),"")</f>
        <v/>
      </c>
      <c r="CQ264" s="96">
        <f>IFERROR(VLOOKUP($B264,INDIRECT("'GRD-"&amp;CQ$11&amp;"'!B:R"),15,FALSE),"")</f>
        <v/>
      </c>
      <c r="CR264" s="96">
        <f>IFERROR(VLOOKUP($B264,INDIRECT("'GRD-"&amp;CR$11&amp;"'!B:R"),15,FALSE),"")</f>
        <v/>
      </c>
      <c r="CS264" s="96">
        <f>IFERROR(VLOOKUP($B264,INDIRECT("'GRD-"&amp;CS$11&amp;"'!B:R"),15,FALSE),"")</f>
        <v/>
      </c>
      <c r="CT264" s="96">
        <f>IFERROR(VLOOKUP($B264,INDIRECT("'GRD-"&amp;CT$11&amp;"'!B:R"),15,FALSE),"")</f>
        <v/>
      </c>
      <c r="CU264" s="96">
        <f>IFERROR(VLOOKUP($B264,INDIRECT("'GRD-"&amp;CU$11&amp;"'!B:R"),15,FALSE),"")</f>
        <v/>
      </c>
      <c r="CV264" s="96">
        <f>IFERROR(VLOOKUP($B264,INDIRECT("'GRD-"&amp;CV$11&amp;"'!B:R"),15,FALSE),"")</f>
        <v/>
      </c>
      <c r="CW264" s="96">
        <f>IFERROR(VLOOKUP($B264,INDIRECT("'GRD-"&amp;CW$11&amp;"'!B:R"),15,FALSE),"")</f>
        <v/>
      </c>
      <c r="CX264" s="96">
        <f>IFERROR(VLOOKUP($B264,INDIRECT("'GRD-"&amp;CX$11&amp;"'!B:R"),15,FALSE),"")</f>
        <v/>
      </c>
      <c r="CY264" s="96">
        <f>IFERROR(VLOOKUP($B264,INDIRECT("'GRD-"&amp;CY$11&amp;"'!B:R"),15,FALSE),"")</f>
        <v/>
      </c>
      <c r="CZ264" s="96">
        <f>IFERROR(VLOOKUP($B264,INDIRECT("'GRD-"&amp;CZ$11&amp;"'!B:R"),15,FALSE),"")</f>
        <v/>
      </c>
      <c r="DA264" s="96">
        <f>IFERROR(VLOOKUP($B264,INDIRECT("'GRD-"&amp;DA$11&amp;"'!B:R"),15,FALSE),"")</f>
        <v/>
      </c>
      <c r="DB264" s="96">
        <f>IFERROR(VLOOKUP($B264,INDIRECT("'GRD-"&amp;DB$11&amp;"'!B:R"),15,FALSE),"")</f>
        <v/>
      </c>
      <c r="DC264" s="96">
        <f>IFERROR(VLOOKUP($B264,INDIRECT("'GRD-"&amp;DC$11&amp;"'!B:R"),15,FALSE),"")</f>
        <v/>
      </c>
      <c r="DD264" s="96">
        <f>IFERROR(VLOOKUP($B264,INDIRECT("'GRD-"&amp;DD$11&amp;"'!B:R"),15,FALSE),"")</f>
        <v/>
      </c>
      <c r="DE264" s="96">
        <f>IFERROR(VLOOKUP($B264,INDIRECT("'GRD-"&amp;DE$11&amp;"'!B:R"),15,FALSE),"")</f>
        <v/>
      </c>
      <c r="DF264" s="96">
        <f>IFERROR(VLOOKUP($B264,INDIRECT("'GRD-"&amp;DF$11&amp;"'!B:R"),15,FALSE),"")</f>
        <v/>
      </c>
      <c r="DG264" s="96">
        <f>IFERROR(VLOOKUP($B264,INDIRECT("'GRD-"&amp;DG$11&amp;"'!B:R"),15,FALSE),"")</f>
        <v/>
      </c>
      <c r="DH264" s="96">
        <f>IFERROR(VLOOKUP($B264,INDIRECT("'GRD-"&amp;DH$11&amp;"'!B:R"),15,FALSE),"")</f>
        <v/>
      </c>
      <c r="DI264" s="96">
        <f>IFERROR(VLOOKUP($B264,INDIRECT("'GRD-"&amp;DI$11&amp;"'!B:R"),15,FALSE),"")</f>
        <v/>
      </c>
      <c r="DJ264" s="96">
        <f>IFERROR(VLOOKUP($B264,INDIRECT("'GRD-"&amp;DJ$11&amp;"'!B:R"),15,FALSE),"")</f>
        <v/>
      </c>
      <c r="DK264" s="96">
        <f>IFERROR(VLOOKUP($B264,INDIRECT("'GRD-"&amp;DK$11&amp;"'!B:R"),15,FALSE),"")</f>
        <v/>
      </c>
      <c r="DL264" s="96">
        <f>IFERROR(VLOOKUP($B264,INDIRECT("'GRD-"&amp;DL$11&amp;"'!B:R"),15,FALSE),"")</f>
        <v/>
      </c>
      <c r="DM264" s="96">
        <f>IFERROR(VLOOKUP($B264,INDIRECT("'GRD-"&amp;DM$11&amp;"'!B:R"),15,FALSE),"")</f>
        <v/>
      </c>
      <c r="DN264" s="96">
        <f>IFERROR(VLOOKUP($B264,INDIRECT("'GRD-"&amp;DN$11&amp;"'!B:R"),15,FALSE),"")</f>
        <v/>
      </c>
      <c r="DO264" s="96">
        <f>IFERROR(VLOOKUP($B264,INDIRECT("'GRD-"&amp;DO$11&amp;"'!B:R"),15,FALSE),"")</f>
        <v/>
      </c>
      <c r="DP264" s="96">
        <f>IFERROR(VLOOKUP($B264,INDIRECT("'GRD-"&amp;DP$11&amp;"'!B:R"),15,FALSE),"")</f>
        <v/>
      </c>
      <c r="DQ264" s="96">
        <f>IFERROR(VLOOKUP($B264,INDIRECT("'GRD-"&amp;DQ$11&amp;"'!B:R"),15,FALSE),"")</f>
        <v/>
      </c>
      <c r="DR264" s="96">
        <f>IFERROR(VLOOKUP($B264,INDIRECT("'GRD-"&amp;DR$11&amp;"'!B:R"),15,FALSE),"")</f>
        <v/>
      </c>
      <c r="DS264" s="96">
        <f>IFERROR(VLOOKUP($B264,INDIRECT("'GRD-"&amp;DS$11&amp;"'!B:R"),15,FALSE),"")</f>
        <v/>
      </c>
      <c r="DT264" s="96">
        <f>IFERROR(VLOOKUP($B264,INDIRECT("'GRD-"&amp;DT$11&amp;"'!B:R"),15,FALSE),"")</f>
        <v/>
      </c>
      <c r="DU264" s="96">
        <f>IFERROR(VLOOKUP($B264,INDIRECT("'GRD-"&amp;DU$11&amp;"'!B:R"),15,FALSE),"")</f>
        <v/>
      </c>
      <c r="DV264" s="96">
        <f>IFERROR(VLOOKUP($B264,INDIRECT("'GRD-"&amp;DV$11&amp;"'!B:R"),15,FALSE),"")</f>
        <v/>
      </c>
      <c r="DW264" s="96">
        <f>IFERROR(VLOOKUP($B264,INDIRECT("'GRD-"&amp;DW$11&amp;"'!B:R"),15,FALSE),"")</f>
        <v/>
      </c>
      <c r="DX264" s="96">
        <f>IFERROR(VLOOKUP($B264,INDIRECT("'GRD-"&amp;DX$11&amp;"'!B:R"),15,FALSE),"")</f>
        <v/>
      </c>
      <c r="DY264" s="96">
        <f>IFERROR(VLOOKUP($B264,INDIRECT("'GRD-"&amp;DY$11&amp;"'!B:R"),15,FALSE),"")</f>
        <v/>
      </c>
      <c r="DZ264" s="96">
        <f>IFERROR(VLOOKUP($B264,INDIRECT("'GRD-"&amp;DZ$11&amp;"'!B:R"),15,FALSE),"")</f>
        <v/>
      </c>
      <c r="EA264" s="96">
        <f>IFERROR(VLOOKUP($B264,INDIRECT("'GRD-"&amp;EA$11&amp;"'!B:R"),15,FALSE),"")</f>
        <v/>
      </c>
      <c r="EB264" s="96">
        <f>IFERROR(VLOOKUP($B264,INDIRECT("'GRD-"&amp;EB$11&amp;"'!B:R"),15,FALSE),"")</f>
        <v/>
      </c>
      <c r="EC264" s="96">
        <f>IFERROR(VLOOKUP($B264,INDIRECT("'GRD-"&amp;EC$11&amp;"'!B:R"),15,FALSE),"")</f>
        <v/>
      </c>
      <c r="ED264" s="96">
        <f>IFERROR(VLOOKUP($B264,INDIRECT("'GRD-"&amp;ED$11&amp;"'!B:R"),15,FALSE),"")</f>
        <v/>
      </c>
      <c r="EE264" s="96">
        <f>IFERROR(VLOOKUP($B264,INDIRECT("'GRD-"&amp;EE$11&amp;"'!B:R"),15,FALSE),"")</f>
        <v/>
      </c>
      <c r="EF264" s="96">
        <f>IFERROR(VLOOKUP($B264,INDIRECT("'GRD-"&amp;EF$11&amp;"'!B:R"),15,FALSE),"")</f>
        <v/>
      </c>
      <c r="EG264" s="96">
        <f>IFERROR(VLOOKUP($B264,INDIRECT("'GRD-"&amp;EG$11&amp;"'!B:R"),15,FALSE),"")</f>
        <v/>
      </c>
      <c r="EH264" s="96">
        <f>IFERROR(VLOOKUP($B264,INDIRECT("'GRD-"&amp;EH$11&amp;"'!B:R"),15,FALSE),"")</f>
        <v/>
      </c>
      <c r="EI264" s="96">
        <f>IFERROR(VLOOKUP($B264,INDIRECT("'GRD-"&amp;EI$11&amp;"'!B:R"),15,FALSE),"")</f>
        <v/>
      </c>
      <c r="EJ264" s="96">
        <f>IFERROR(VLOOKUP($B264,INDIRECT("'GRD-"&amp;EJ$11&amp;"'!B:R"),15,FALSE),"")</f>
        <v/>
      </c>
      <c r="EK264" s="96">
        <f>IFERROR(VLOOKUP($B264,INDIRECT("'GRD-"&amp;EK$11&amp;"'!B:R"),15,FALSE),"")</f>
        <v/>
      </c>
      <c r="EL264" s="96">
        <f>IFERROR(VLOOKUP($B264,INDIRECT("'GRD-"&amp;EL$11&amp;"'!B:R"),15,FALSE),"")</f>
        <v/>
      </c>
      <c r="EM264" s="96">
        <f>IFERROR(VLOOKUP($B264,INDIRECT("'GRD-"&amp;EM$11&amp;"'!B:R"),15,FALSE),"")</f>
        <v/>
      </c>
      <c r="EN264" s="96">
        <f>IFERROR(VLOOKUP($B264,INDIRECT("'GRD-"&amp;EN$11&amp;"'!B:R"),15,FALSE),"")</f>
        <v/>
      </c>
      <c r="EO264" s="96">
        <f>IFERROR(VLOOKUP($B264,INDIRECT("'GRD-"&amp;EO$11&amp;"'!B:R"),15,FALSE),"")</f>
        <v/>
      </c>
      <c r="EP264" s="96">
        <f>IFERROR(VLOOKUP($B264,INDIRECT("'GRD-"&amp;EP$11&amp;"'!B:R"),15,FALSE),"")</f>
        <v/>
      </c>
      <c r="EQ264" s="96">
        <f>IFERROR(VLOOKUP($B264,INDIRECT("'GRD-"&amp;EQ$11&amp;"'!B:R"),15,FALSE),"")</f>
        <v/>
      </c>
      <c r="ER264" s="96">
        <f>IFERROR(VLOOKUP($B264,INDIRECT("'GRD-"&amp;ER$11&amp;"'!B:R"),15,FALSE),"")</f>
        <v/>
      </c>
      <c r="ES264" s="96">
        <f>IFERROR(VLOOKUP($B264,INDIRECT("'GRD-"&amp;ES$11&amp;"'!B:R"),15,FALSE),"")</f>
        <v/>
      </c>
      <c r="ET264" s="96">
        <f>IFERROR(VLOOKUP($B264,INDIRECT("'GRD-"&amp;ET$11&amp;"'!B:R"),15,FALSE),"")</f>
        <v/>
      </c>
      <c r="EU264" s="96">
        <f>IFERROR(VLOOKUP($B264,INDIRECT("'GRD-"&amp;EU$11&amp;"'!B:R"),15,FALSE),"")</f>
        <v/>
      </c>
      <c r="EV264" s="96">
        <f>IFERROR(VLOOKUP($B264,INDIRECT("'GRD-"&amp;EV$11&amp;"'!B:R"),15,FALSE),"")</f>
        <v/>
      </c>
      <c r="EW264" s="96">
        <f>IFERROR(VLOOKUP($B264,INDIRECT("'GRD-"&amp;EW$11&amp;"'!B:R"),15,FALSE),"")</f>
        <v/>
      </c>
      <c r="EX264" s="96">
        <f>IFERROR(VLOOKUP($B264,INDIRECT("'GRD-"&amp;EX$11&amp;"'!B:R"),15,FALSE),"")</f>
        <v/>
      </c>
      <c r="EY264" s="96">
        <f>IFERROR(VLOOKUP($B264,INDIRECT("'GRD-"&amp;EY$11&amp;"'!B:R"),15,FALSE),"")</f>
        <v/>
      </c>
      <c r="EZ264" s="96">
        <f>IFERROR(VLOOKUP($B264,INDIRECT("'GRD-"&amp;EZ$11&amp;"'!B:R"),15,FALSE),"")</f>
        <v/>
      </c>
      <c r="FA264" s="96">
        <f>IFERROR(VLOOKUP($B264,INDIRECT("'GRD-"&amp;FA$11&amp;"'!B:R"),15,FALSE),"")</f>
        <v/>
      </c>
      <c r="FB264" s="96">
        <f>IFERROR(VLOOKUP($B264,INDIRECT("'GRD-"&amp;FB$11&amp;"'!B:R"),15,FALSE),"")</f>
        <v/>
      </c>
      <c r="FC264" s="96">
        <f>IFERROR(VLOOKUP($B264,INDIRECT("'GRD-"&amp;FC$11&amp;"'!B:R"),15,FALSE),"")</f>
        <v/>
      </c>
      <c r="FD264" s="96">
        <f>IFERROR(VLOOKUP($B264,INDIRECT("'GRD-"&amp;FD$11&amp;"'!B:R"),15,FALSE),"")</f>
        <v/>
      </c>
      <c r="FE264" s="96">
        <f>IFERROR(VLOOKUP($B264,INDIRECT("'GRD-"&amp;FE$11&amp;"'!B:R"),15,FALSE),"")</f>
        <v/>
      </c>
      <c r="FF264" s="96">
        <f>IFERROR(VLOOKUP($B264,INDIRECT("'GRD-"&amp;FF$11&amp;"'!B:R"),15,FALSE),"")</f>
        <v/>
      </c>
      <c r="FG264" s="96">
        <f>IFERROR(VLOOKUP($B264,INDIRECT("'GRD-"&amp;FG$11&amp;"'!B:R"),15,FALSE),"")</f>
        <v/>
      </c>
      <c r="FH264" s="96">
        <f>IFERROR(VLOOKUP($B264,INDIRECT("'GRD-"&amp;FH$11&amp;"'!B:R"),15,FALSE),"")</f>
        <v/>
      </c>
      <c r="FI264" s="96">
        <f>IFERROR(VLOOKUP($B264,INDIRECT("'GRD-"&amp;FI$11&amp;"'!B:R"),15,FALSE),"")</f>
        <v/>
      </c>
      <c r="FJ264" s="96">
        <f>IFERROR(VLOOKUP($B264,INDIRECT("'GRD-"&amp;FJ$11&amp;"'!B:R"),15,FALSE),"")</f>
        <v/>
      </c>
      <c r="FK264" s="96">
        <f>IFERROR(VLOOKUP($B264,INDIRECT("'GRD-"&amp;FK$11&amp;"'!B:R"),15,FALSE),"")</f>
        <v/>
      </c>
      <c r="FL264" s="96">
        <f>IFERROR(VLOOKUP($B264,INDIRECT("'GRD-"&amp;FL$11&amp;"'!B:R"),15,FALSE),"")</f>
        <v/>
      </c>
      <c r="FM264" s="96">
        <f>IFERROR(VLOOKUP($B264,INDIRECT("'GRD-"&amp;FM$11&amp;"'!B:R"),15,FALSE),"")</f>
        <v/>
      </c>
      <c r="FN264" s="96">
        <f>IFERROR(VLOOKUP($B264,INDIRECT("'GRD-"&amp;FN$11&amp;"'!B:R"),15,FALSE),"")</f>
        <v/>
      </c>
      <c r="FO264" s="96">
        <f>IFERROR(VLOOKUP($B264,INDIRECT("'GRD-"&amp;FO$11&amp;"'!B:R"),15,FALSE),"")</f>
        <v/>
      </c>
      <c r="FP264" s="96">
        <f>IFERROR(VLOOKUP($B264,INDIRECT("'GRD-"&amp;FP$11&amp;"'!B:R"),15,FALSE),"")</f>
        <v/>
      </c>
      <c r="FQ264" s="96">
        <f>IFERROR(VLOOKUP($B264,INDIRECT("'GRD-"&amp;FQ$11&amp;"'!B:R"),15,FALSE),"")</f>
        <v/>
      </c>
      <c r="FR264" s="96">
        <f>IFERROR(VLOOKUP($B264,INDIRECT("'GRD-"&amp;FR$11&amp;"'!B:R"),15,FALSE),"")</f>
        <v/>
      </c>
      <c r="FS264" s="96">
        <f>IFERROR(VLOOKUP($B264,INDIRECT("'GRD-"&amp;FS$11&amp;"'!B:R"),15,FALSE),"")</f>
        <v/>
      </c>
      <c r="FT264" s="96">
        <f>IFERROR(VLOOKUP($B264,INDIRECT("'GRD-"&amp;FT$11&amp;"'!B:R"),15,FALSE),"")</f>
        <v/>
      </c>
      <c r="FU264" s="96">
        <f>IFERROR(VLOOKUP($B264,INDIRECT("'GRD-"&amp;FU$11&amp;"'!B:R"),15,FALSE),"")</f>
        <v/>
      </c>
      <c r="FV264" s="96">
        <f>IFERROR(VLOOKUP($B264,INDIRECT("'GRD-"&amp;FV$11&amp;"'!B:R"),15,FALSE),"")</f>
        <v/>
      </c>
    </row>
    <row r="265">
      <c r="B265" s="85" t="n"/>
      <c r="C265" s="93" t="n"/>
      <c r="D265" s="73">
        <f>IF(K265="","",MAX($CA265:$FV265))</f>
        <v/>
      </c>
      <c r="E265" s="74">
        <f t="array" ref="E265">IF($K265="","",OFFSET($A$1,ROW($B265)-1,11+$D265*4,))</f>
        <v/>
      </c>
      <c r="F265" s="74">
        <f t="array" ref="F265">IF($K265="","",OFFSET($A$1,ROW($B265)-1,12+$D265*4,))</f>
        <v/>
      </c>
      <c r="G265" s="118">
        <f t="array" ref="G265">IF($K265="","",OFFSET($A$1,ROW($B265)-1,13+$D265*4,))</f>
        <v/>
      </c>
      <c r="H265" s="81" t="n"/>
      <c r="I265" s="82" t="n"/>
      <c r="J265" s="75">
        <f>IF(I265="A4",H265/8,IF(I265="A3",H265/4,IF(I265="A2",H265/2,IF(I265="A1",H265/1,IF(I265="A0",H265*2,"")))))</f>
        <v/>
      </c>
      <c r="K265" s="68">
        <f t="array" ref="K265">IFERROR(OFFSET($BZ$11,ROW($B265)-11,MATCH(K$10,$CA265:$FV265,0),),"")</f>
        <v/>
      </c>
      <c r="L265" s="85">
        <f>IF(K265="","",IF(VLOOKUP($B265,INDIRECT("'GRD-"&amp;M265&amp;"'!$B:$R"),16,FALSE)="","",VLOOKUP($B265,INDIRECT("'GRD-"&amp;M265&amp;"'!$B:$R"),16,FALSE)))</f>
        <v/>
      </c>
      <c r="M265" s="130">
        <f t="array" ref="M265">IF(K265="","",IFERROR(OFFSET($BZ$11,0,MATCH($K265,$CA265:$FV265,0),),""))</f>
        <v/>
      </c>
      <c r="N265" s="119">
        <f t="array" ref="N265">IF(K265="","",INDIRECT("'GRD-"&amp;M265&amp;"'!$L$7"))</f>
        <v/>
      </c>
      <c r="O265" s="76">
        <f t="array" ref="O265">IFERROR(OFFSET($BZ$11,ROW($B265)-11,MATCH(O$10,$CA265:$FV265,0),),"")</f>
        <v/>
      </c>
      <c r="P265" s="76">
        <f>IF(O265="","",IF(VLOOKUP($B265,INDIRECT("'GRD-"&amp;Q265&amp;"'!$B:$R"),16,FALSE)="","",VLOOKUP($B265,INDIRECT("'GRD-"&amp;Q265&amp;"'!$B:$R"),16,FALSE)))</f>
        <v/>
      </c>
      <c r="Q265" s="132">
        <f t="array" ref="Q265">IF(O265="","",IFERROR(OFFSET($BZ$11,0,MATCH($O265,$CA265:$FV265,0),),""))</f>
        <v/>
      </c>
      <c r="R265" s="121">
        <f t="array" ref="R265">IF(O265="","",INDIRECT("'GRD-"&amp;Q265&amp;"'!$L$7"))</f>
        <v/>
      </c>
      <c r="S265" s="83">
        <f t="array" ref="S265">IFERROR(OFFSET($BZ$11,ROW($B265)-11,MATCH(S$10,$CA265:$FV265,0),),"")</f>
        <v/>
      </c>
      <c r="T265" s="83">
        <f>IF(S265="","",IF(VLOOKUP($B265,INDIRECT("'GRD-"&amp;U265&amp;"'!$B:$R"),16,FALSE)="","",VLOOKUP($B265,INDIRECT("'GRD-"&amp;U265&amp;"'!$B:$R"),16,FALSE)))</f>
        <v/>
      </c>
      <c r="U265" s="128">
        <f t="array" ref="U265">IF(S265="","",IFERROR(OFFSET($BZ$11,0,MATCH($S265,$CA265:$FV265,0),),""))</f>
        <v/>
      </c>
      <c r="V265" s="133">
        <f t="array" ref="V265">IF(S265="","",INDIRECT("'GRD-"&amp;U265&amp;"'!$L$7"))</f>
        <v/>
      </c>
      <c r="W265" s="84">
        <f t="array" ref="W265">IFERROR(OFFSET($BZ$11,ROW($B265)-11,MATCH(W$10,$CA265:$FV265,0),),"")</f>
        <v/>
      </c>
      <c r="X265" s="84">
        <f>IF(W265="","",IF(VLOOKUP($B265,INDIRECT("'GRD-"&amp;Y265&amp;"'!$B:$R"),16,FALSE)="","",VLOOKUP($B265,INDIRECT("'GRD-"&amp;Y265&amp;"'!$B:$R"),16,FALSE)))</f>
        <v/>
      </c>
      <c r="Y265" s="129">
        <f t="array" ref="Y265">IF(W265="","",IFERROR(OFFSET($BZ$11,0,MATCH($W265,$CA265:$FV265,0),),""))</f>
        <v/>
      </c>
      <c r="Z265" s="134">
        <f t="array" ref="Z265">IF(W265="","",INDIRECT("'GRD-"&amp;Y265&amp;"'!$L$7"))</f>
        <v/>
      </c>
      <c r="AA265" s="85">
        <f t="array" ref="AA265">IFERROR(OFFSET($BZ$11,ROW($B265)-11,MATCH(AA$10,$CA265:$FV265,0),),"")</f>
        <v/>
      </c>
      <c r="AB265" s="85">
        <f>IF(AA265="","",IF(VLOOKUP($B265,INDIRECT("'GRD-"&amp;AC265&amp;"'!$B:$R"),16,FALSE)="","",VLOOKUP($B265,INDIRECT("'GRD-"&amp;AC265&amp;"'!$B:$R"),16,FALSE)))</f>
        <v/>
      </c>
      <c r="AC265" s="130">
        <f t="array" ref="AC265">IF(AA265="","",IFERROR(OFFSET($BZ$11,0,MATCH($AA265,$CA265:$FV265,0),),""))</f>
        <v/>
      </c>
      <c r="AD265" s="131">
        <f t="array" ref="AD265">IF(AA265="","",INDIRECT("'GRD-"&amp;AC265&amp;"'!$L$7"))</f>
        <v/>
      </c>
      <c r="AE265" s="76">
        <f t="array" ref="AE265">IFERROR(OFFSET($BZ$11,ROW($B265)-11,MATCH(AE$10,$CA265:$FV265,0),),"")</f>
        <v/>
      </c>
      <c r="AF265" s="76">
        <f>IF(AE265="","",IF(VLOOKUP($B265,INDIRECT("'GRD-"&amp;AG265&amp;"'!$B:$R"),16,FALSE)="","",VLOOKUP($B265,INDIRECT("'GRD-"&amp;AG265&amp;"'!$B:$R"),16,FALSE)))</f>
        <v/>
      </c>
      <c r="AG265" s="132">
        <f t="array" ref="AG265">IF(AE265="","",IFERROR(OFFSET($BZ$11,0,MATCH($AE265,$CA265:$FV265,0),),""))</f>
        <v/>
      </c>
      <c r="AH265" s="121">
        <f t="array" ref="AH265">IF(AE265="","",INDIRECT("'GRD-"&amp;AG265&amp;"'!$L$7"))</f>
        <v/>
      </c>
      <c r="AI265" s="83">
        <f t="array" ref="AI265">IFERROR(OFFSET($BZ$11,ROW($B265)-11,MATCH(AI$10,$CA265:$FV265,0),),"")</f>
        <v/>
      </c>
      <c r="AJ265" s="83">
        <f>IF(AI265="","",IF(VLOOKUP($B265,INDIRECT("'GRD-"&amp;AK265&amp;"'!$B:$R"),16,FALSE)="","",VLOOKUP($B265,INDIRECT("'GRD-"&amp;AK265&amp;"'!$B:$R"),16,FALSE)))</f>
        <v/>
      </c>
      <c r="AK265" s="128">
        <f t="array" ref="AK265">IF(AI265="","",IFERROR(OFFSET($BZ$11,0,MATCH($AI265,$CA265:$FV265,0),),""))</f>
        <v/>
      </c>
      <c r="AL265" s="133">
        <f t="array" ref="AL265">IF(AI265="","",INDIRECT("'GRD-"&amp;AK265&amp;"'!$L$7"))</f>
        <v/>
      </c>
      <c r="AM265" s="84">
        <f t="array" ref="AM265">IFERROR(OFFSET($BZ$11,ROW($B265)-11,MATCH(AM$10,$CA265:$FV265,0),),"")</f>
        <v/>
      </c>
      <c r="AN265" s="84">
        <f>IF(AM265="","",IF(VLOOKUP($B265,INDIRECT("'GRD-"&amp;AO265&amp;"'!$B:$R"),16,FALSE)="","",VLOOKUP($B265,INDIRECT("'GRD-"&amp;AO265&amp;"'!$B:$R"),16,FALSE)))</f>
        <v/>
      </c>
      <c r="AO265" s="129">
        <f t="array" ref="AO265">IF(AM265="","",IFERROR(OFFSET($BZ$11,0,MATCH($AM265,$CA265:$FV265,0),),""))</f>
        <v/>
      </c>
      <c r="AP265" s="134">
        <f t="array" ref="AP265">IF(AM265="","",INDIRECT("'GRD-"&amp;AO265&amp;"'!$L$7"))</f>
        <v/>
      </c>
      <c r="AQ265" s="85">
        <f t="array" ref="AQ265">IFERROR(OFFSET($BZ$11,ROW($B265)-11,MATCH(AQ$10,$CA265:$FV265,0),),"")</f>
        <v/>
      </c>
      <c r="AR265" s="85">
        <f>IF(AQ265="","",IF(VLOOKUP($B265,INDIRECT("'GRD-"&amp;AS265&amp;"'!$B:$R"),16,FALSE)="","",VLOOKUP($B265,INDIRECT("'GRD-"&amp;AS265&amp;"'!$B:$R"),16,FALSE)))</f>
        <v/>
      </c>
      <c r="AS265" s="130">
        <f t="array" ref="AS265">IF(AQ265="","",IFERROR(OFFSET($BZ$11,0,MATCH($AQ265,$CA265:$FV265,0),),""))</f>
        <v/>
      </c>
      <c r="AT265" s="131">
        <f t="array" ref="AT265">IF(AQ265="","",INDIRECT("'GRD-"&amp;AS265&amp;"'!$L$7"))</f>
        <v/>
      </c>
      <c r="AU265" s="76">
        <f t="array" ref="AU265">IFERROR(OFFSET($BZ$11,ROW($B265)-11,MATCH(AU$10,$CA265:$FV265,0),),"")</f>
        <v/>
      </c>
      <c r="AV265" s="76">
        <f>IF(AU265="","",IF(VLOOKUP($B265,INDIRECT("'GRD-"&amp;AW265&amp;"'!$B:$R"),16,FALSE)="","",VLOOKUP($B265,INDIRECT("'GRD-"&amp;AW265&amp;"'!$B:$R"),16,FALSE)))</f>
        <v/>
      </c>
      <c r="AW265" s="132">
        <f t="array" ref="AW265">IF(AU265="","",IFERROR(OFFSET($BZ$11,0,MATCH($AU265,$CA265:$FV265,0),),""))</f>
        <v/>
      </c>
      <c r="AX265" s="121">
        <f t="array" ref="AX265">IF(AU265="","",INDIRECT("'GRD-"&amp;AW265&amp;"'!$L$7"))</f>
        <v/>
      </c>
      <c r="AY265" s="83">
        <f t="array" ref="AY265">IFERROR(OFFSET($BZ$11,ROW($B265)-11,MATCH(AY$10,$CA265:$FV265,0),),"")</f>
        <v/>
      </c>
      <c r="AZ265" s="83">
        <f>IF(AY265="","",IF(VLOOKUP($B265,INDIRECT("'GRD-"&amp;BA265&amp;"'!$B:$R"),16,FALSE)="","",VLOOKUP($B265,INDIRECT("'GRD-"&amp;BA265&amp;"'!$B:$R"),16,FALSE)))</f>
        <v/>
      </c>
      <c r="BA265" s="128">
        <f t="array" ref="BA265">IF(AY265="","",IFERROR(OFFSET($BZ$11,0,MATCH($AY265,$CA265:$FV265,0),),""))</f>
        <v/>
      </c>
      <c r="BB265" s="133">
        <f t="array" ref="BB265">IF(AY265="","",INDIRECT("'GRD-"&amp;BA265&amp;"'!$L$7"))</f>
        <v/>
      </c>
      <c r="BC265" s="84">
        <f t="array" ref="BC265">IFERROR(OFFSET($BZ$11,ROW($B265)-11,MATCH(BC$10,$CA265:$FV265,0),),"")</f>
        <v/>
      </c>
      <c r="BD265" s="84">
        <f>IF(BC265="","",IF(VLOOKUP($B265,INDIRECT("'GRD-"&amp;BE265&amp;"'!$B:$R"),16,FALSE)="","",VLOOKUP($B265,INDIRECT("'GRD-"&amp;BE265&amp;"'!$B:$R"),16,FALSE)))</f>
        <v/>
      </c>
      <c r="BE265" s="129">
        <f t="array" ref="BE265">IF(BC265="","",IFERROR(OFFSET($BZ$11,0,MATCH($BC265,$CA265:$FV265,0),),""))</f>
        <v/>
      </c>
      <c r="BF265" s="134">
        <f t="array" ref="BF265">IF(BC265="","",INDIRECT("'GRD-"&amp;BE265&amp;"'!$L$7"))</f>
        <v/>
      </c>
      <c r="CA265" s="96">
        <f>IFERROR(VLOOKUP($B265,INDIRECT("'GRD-"&amp;CA$11&amp;"'!B:R"),15,FALSE),"")</f>
        <v/>
      </c>
      <c r="CB265" s="96">
        <f>IFERROR(VLOOKUP($B265,INDIRECT("'GRD-"&amp;CB$11&amp;"'!B:R"),15,FALSE),"")</f>
        <v/>
      </c>
      <c r="CC265" s="96">
        <f>IFERROR(VLOOKUP($B265,INDIRECT("'GRD-"&amp;CC$11&amp;"'!B:R"),15,FALSE),"")</f>
        <v/>
      </c>
      <c r="CD265" s="96">
        <f>IFERROR(VLOOKUP($B265,INDIRECT("'GRD-"&amp;CD$11&amp;"'!B:R"),15,FALSE),"")</f>
        <v/>
      </c>
      <c r="CE265" s="96">
        <f>IFERROR(VLOOKUP($B265,INDIRECT("'GRD-"&amp;CE$11&amp;"'!B:R"),15,FALSE),"")</f>
        <v/>
      </c>
      <c r="CF265" s="96">
        <f>IFERROR(VLOOKUP($B265,INDIRECT("'GRD-"&amp;CF$11&amp;"'!B:R"),15,FALSE),"")</f>
        <v/>
      </c>
      <c r="CG265" s="96">
        <f>IFERROR(VLOOKUP($B265,INDIRECT("'GRD-"&amp;CG$11&amp;"'!B:R"),15,FALSE),"")</f>
        <v/>
      </c>
      <c r="CH265" s="96">
        <f>IFERROR(VLOOKUP($B265,INDIRECT("'GRD-"&amp;CH$11&amp;"'!B:R"),15,FALSE),"")</f>
        <v/>
      </c>
      <c r="CI265" s="96">
        <f>IFERROR(VLOOKUP($B265,INDIRECT("'GRD-"&amp;CI$11&amp;"'!B:R"),15,FALSE),"")</f>
        <v/>
      </c>
      <c r="CJ265" s="96">
        <f>IFERROR(VLOOKUP($B265,INDIRECT("'GRD-"&amp;CJ$11&amp;"'!B:R"),15,FALSE),"")</f>
        <v/>
      </c>
      <c r="CK265" s="96">
        <f>IFERROR(VLOOKUP($B265,INDIRECT("'GRD-"&amp;CK$11&amp;"'!B:R"),15,FALSE),"")</f>
        <v/>
      </c>
      <c r="CL265" s="96">
        <f>IFERROR(VLOOKUP($B265,INDIRECT("'GRD-"&amp;CL$11&amp;"'!B:R"),15,FALSE),"")</f>
        <v/>
      </c>
      <c r="CM265" s="96">
        <f>IFERROR(VLOOKUP($B265,INDIRECT("'GRD-"&amp;CM$11&amp;"'!B:R"),15,FALSE),"")</f>
        <v/>
      </c>
      <c r="CN265" s="96">
        <f>IFERROR(VLOOKUP($B265,INDIRECT("'GRD-"&amp;CN$11&amp;"'!B:R"),15,FALSE),"")</f>
        <v/>
      </c>
      <c r="CO265" s="96">
        <f>IFERROR(VLOOKUP($B265,INDIRECT("'GRD-"&amp;CO$11&amp;"'!B:R"),15,FALSE),"")</f>
        <v/>
      </c>
      <c r="CP265" s="96">
        <f>IFERROR(VLOOKUP($B265,INDIRECT("'GRD-"&amp;CP$11&amp;"'!B:R"),15,FALSE),"")</f>
        <v/>
      </c>
      <c r="CQ265" s="96">
        <f>IFERROR(VLOOKUP($B265,INDIRECT("'GRD-"&amp;CQ$11&amp;"'!B:R"),15,FALSE),"")</f>
        <v/>
      </c>
      <c r="CR265" s="96">
        <f>IFERROR(VLOOKUP($B265,INDIRECT("'GRD-"&amp;CR$11&amp;"'!B:R"),15,FALSE),"")</f>
        <v/>
      </c>
      <c r="CS265" s="96">
        <f>IFERROR(VLOOKUP($B265,INDIRECT("'GRD-"&amp;CS$11&amp;"'!B:R"),15,FALSE),"")</f>
        <v/>
      </c>
      <c r="CT265" s="96">
        <f>IFERROR(VLOOKUP($B265,INDIRECT("'GRD-"&amp;CT$11&amp;"'!B:R"),15,FALSE),"")</f>
        <v/>
      </c>
      <c r="CU265" s="96">
        <f>IFERROR(VLOOKUP($B265,INDIRECT("'GRD-"&amp;CU$11&amp;"'!B:R"),15,FALSE),"")</f>
        <v/>
      </c>
      <c r="CV265" s="96">
        <f>IFERROR(VLOOKUP($B265,INDIRECT("'GRD-"&amp;CV$11&amp;"'!B:R"),15,FALSE),"")</f>
        <v/>
      </c>
      <c r="CW265" s="96">
        <f>IFERROR(VLOOKUP($B265,INDIRECT("'GRD-"&amp;CW$11&amp;"'!B:R"),15,FALSE),"")</f>
        <v/>
      </c>
      <c r="CX265" s="96">
        <f>IFERROR(VLOOKUP($B265,INDIRECT("'GRD-"&amp;CX$11&amp;"'!B:R"),15,FALSE),"")</f>
        <v/>
      </c>
      <c r="CY265" s="96">
        <f>IFERROR(VLOOKUP($B265,INDIRECT("'GRD-"&amp;CY$11&amp;"'!B:R"),15,FALSE),"")</f>
        <v/>
      </c>
      <c r="CZ265" s="96">
        <f>IFERROR(VLOOKUP($B265,INDIRECT("'GRD-"&amp;CZ$11&amp;"'!B:R"),15,FALSE),"")</f>
        <v/>
      </c>
      <c r="DA265" s="96">
        <f>IFERROR(VLOOKUP($B265,INDIRECT("'GRD-"&amp;DA$11&amp;"'!B:R"),15,FALSE),"")</f>
        <v/>
      </c>
      <c r="DB265" s="96">
        <f>IFERROR(VLOOKUP($B265,INDIRECT("'GRD-"&amp;DB$11&amp;"'!B:R"),15,FALSE),"")</f>
        <v/>
      </c>
      <c r="DC265" s="96">
        <f>IFERROR(VLOOKUP($B265,INDIRECT("'GRD-"&amp;DC$11&amp;"'!B:R"),15,FALSE),"")</f>
        <v/>
      </c>
      <c r="DD265" s="96">
        <f>IFERROR(VLOOKUP($B265,INDIRECT("'GRD-"&amp;DD$11&amp;"'!B:R"),15,FALSE),"")</f>
        <v/>
      </c>
      <c r="DE265" s="96">
        <f>IFERROR(VLOOKUP($B265,INDIRECT("'GRD-"&amp;DE$11&amp;"'!B:R"),15,FALSE),"")</f>
        <v/>
      </c>
      <c r="DF265" s="96">
        <f>IFERROR(VLOOKUP($B265,INDIRECT("'GRD-"&amp;DF$11&amp;"'!B:R"),15,FALSE),"")</f>
        <v/>
      </c>
      <c r="DG265" s="96">
        <f>IFERROR(VLOOKUP($B265,INDIRECT("'GRD-"&amp;DG$11&amp;"'!B:R"),15,FALSE),"")</f>
        <v/>
      </c>
      <c r="DH265" s="96">
        <f>IFERROR(VLOOKUP($B265,INDIRECT("'GRD-"&amp;DH$11&amp;"'!B:R"),15,FALSE),"")</f>
        <v/>
      </c>
      <c r="DI265" s="96">
        <f>IFERROR(VLOOKUP($B265,INDIRECT("'GRD-"&amp;DI$11&amp;"'!B:R"),15,FALSE),"")</f>
        <v/>
      </c>
      <c r="DJ265" s="96">
        <f>IFERROR(VLOOKUP($B265,INDIRECT("'GRD-"&amp;DJ$11&amp;"'!B:R"),15,FALSE),"")</f>
        <v/>
      </c>
      <c r="DK265" s="96">
        <f>IFERROR(VLOOKUP($B265,INDIRECT("'GRD-"&amp;DK$11&amp;"'!B:R"),15,FALSE),"")</f>
        <v/>
      </c>
      <c r="DL265" s="96">
        <f>IFERROR(VLOOKUP($B265,INDIRECT("'GRD-"&amp;DL$11&amp;"'!B:R"),15,FALSE),"")</f>
        <v/>
      </c>
      <c r="DM265" s="96">
        <f>IFERROR(VLOOKUP($B265,INDIRECT("'GRD-"&amp;DM$11&amp;"'!B:R"),15,FALSE),"")</f>
        <v/>
      </c>
      <c r="DN265" s="96">
        <f>IFERROR(VLOOKUP($B265,INDIRECT("'GRD-"&amp;DN$11&amp;"'!B:R"),15,FALSE),"")</f>
        <v/>
      </c>
      <c r="DO265" s="96">
        <f>IFERROR(VLOOKUP($B265,INDIRECT("'GRD-"&amp;DO$11&amp;"'!B:R"),15,FALSE),"")</f>
        <v/>
      </c>
      <c r="DP265" s="96">
        <f>IFERROR(VLOOKUP($B265,INDIRECT("'GRD-"&amp;DP$11&amp;"'!B:R"),15,FALSE),"")</f>
        <v/>
      </c>
      <c r="DQ265" s="96">
        <f>IFERROR(VLOOKUP($B265,INDIRECT("'GRD-"&amp;DQ$11&amp;"'!B:R"),15,FALSE),"")</f>
        <v/>
      </c>
      <c r="DR265" s="96">
        <f>IFERROR(VLOOKUP($B265,INDIRECT("'GRD-"&amp;DR$11&amp;"'!B:R"),15,FALSE),"")</f>
        <v/>
      </c>
      <c r="DS265" s="96">
        <f>IFERROR(VLOOKUP($B265,INDIRECT("'GRD-"&amp;DS$11&amp;"'!B:R"),15,FALSE),"")</f>
        <v/>
      </c>
      <c r="DT265" s="96">
        <f>IFERROR(VLOOKUP($B265,INDIRECT("'GRD-"&amp;DT$11&amp;"'!B:R"),15,FALSE),"")</f>
        <v/>
      </c>
      <c r="DU265" s="96">
        <f>IFERROR(VLOOKUP($B265,INDIRECT("'GRD-"&amp;DU$11&amp;"'!B:R"),15,FALSE),"")</f>
        <v/>
      </c>
      <c r="DV265" s="96">
        <f>IFERROR(VLOOKUP($B265,INDIRECT("'GRD-"&amp;DV$11&amp;"'!B:R"),15,FALSE),"")</f>
        <v/>
      </c>
      <c r="DW265" s="96">
        <f>IFERROR(VLOOKUP($B265,INDIRECT("'GRD-"&amp;DW$11&amp;"'!B:R"),15,FALSE),"")</f>
        <v/>
      </c>
      <c r="DX265" s="96">
        <f>IFERROR(VLOOKUP($B265,INDIRECT("'GRD-"&amp;DX$11&amp;"'!B:R"),15,FALSE),"")</f>
        <v/>
      </c>
      <c r="DY265" s="96">
        <f>IFERROR(VLOOKUP($B265,INDIRECT("'GRD-"&amp;DY$11&amp;"'!B:R"),15,FALSE),"")</f>
        <v/>
      </c>
      <c r="DZ265" s="96">
        <f>IFERROR(VLOOKUP($B265,INDIRECT("'GRD-"&amp;DZ$11&amp;"'!B:R"),15,FALSE),"")</f>
        <v/>
      </c>
      <c r="EA265" s="96">
        <f>IFERROR(VLOOKUP($B265,INDIRECT("'GRD-"&amp;EA$11&amp;"'!B:R"),15,FALSE),"")</f>
        <v/>
      </c>
      <c r="EB265" s="96">
        <f>IFERROR(VLOOKUP($B265,INDIRECT("'GRD-"&amp;EB$11&amp;"'!B:R"),15,FALSE),"")</f>
        <v/>
      </c>
      <c r="EC265" s="96">
        <f>IFERROR(VLOOKUP($B265,INDIRECT("'GRD-"&amp;EC$11&amp;"'!B:R"),15,FALSE),"")</f>
        <v/>
      </c>
      <c r="ED265" s="96">
        <f>IFERROR(VLOOKUP($B265,INDIRECT("'GRD-"&amp;ED$11&amp;"'!B:R"),15,FALSE),"")</f>
        <v/>
      </c>
      <c r="EE265" s="96">
        <f>IFERROR(VLOOKUP($B265,INDIRECT("'GRD-"&amp;EE$11&amp;"'!B:R"),15,FALSE),"")</f>
        <v/>
      </c>
      <c r="EF265" s="96">
        <f>IFERROR(VLOOKUP($B265,INDIRECT("'GRD-"&amp;EF$11&amp;"'!B:R"),15,FALSE),"")</f>
        <v/>
      </c>
      <c r="EG265" s="96">
        <f>IFERROR(VLOOKUP($B265,INDIRECT("'GRD-"&amp;EG$11&amp;"'!B:R"),15,FALSE),"")</f>
        <v/>
      </c>
      <c r="EH265" s="96">
        <f>IFERROR(VLOOKUP($B265,INDIRECT("'GRD-"&amp;EH$11&amp;"'!B:R"),15,FALSE),"")</f>
        <v/>
      </c>
      <c r="EI265" s="96">
        <f>IFERROR(VLOOKUP($B265,INDIRECT("'GRD-"&amp;EI$11&amp;"'!B:R"),15,FALSE),"")</f>
        <v/>
      </c>
      <c r="EJ265" s="96">
        <f>IFERROR(VLOOKUP($B265,INDIRECT("'GRD-"&amp;EJ$11&amp;"'!B:R"),15,FALSE),"")</f>
        <v/>
      </c>
      <c r="EK265" s="96">
        <f>IFERROR(VLOOKUP($B265,INDIRECT("'GRD-"&amp;EK$11&amp;"'!B:R"),15,FALSE),"")</f>
        <v/>
      </c>
      <c r="EL265" s="96">
        <f>IFERROR(VLOOKUP($B265,INDIRECT("'GRD-"&amp;EL$11&amp;"'!B:R"),15,FALSE),"")</f>
        <v/>
      </c>
      <c r="EM265" s="96">
        <f>IFERROR(VLOOKUP($B265,INDIRECT("'GRD-"&amp;EM$11&amp;"'!B:R"),15,FALSE),"")</f>
        <v/>
      </c>
      <c r="EN265" s="96">
        <f>IFERROR(VLOOKUP($B265,INDIRECT("'GRD-"&amp;EN$11&amp;"'!B:R"),15,FALSE),"")</f>
        <v/>
      </c>
      <c r="EO265" s="96">
        <f>IFERROR(VLOOKUP($B265,INDIRECT("'GRD-"&amp;EO$11&amp;"'!B:R"),15,FALSE),"")</f>
        <v/>
      </c>
      <c r="EP265" s="96">
        <f>IFERROR(VLOOKUP($B265,INDIRECT("'GRD-"&amp;EP$11&amp;"'!B:R"),15,FALSE),"")</f>
        <v/>
      </c>
      <c r="EQ265" s="96">
        <f>IFERROR(VLOOKUP($B265,INDIRECT("'GRD-"&amp;EQ$11&amp;"'!B:R"),15,FALSE),"")</f>
        <v/>
      </c>
      <c r="ER265" s="96">
        <f>IFERROR(VLOOKUP($B265,INDIRECT("'GRD-"&amp;ER$11&amp;"'!B:R"),15,FALSE),"")</f>
        <v/>
      </c>
      <c r="ES265" s="96">
        <f>IFERROR(VLOOKUP($B265,INDIRECT("'GRD-"&amp;ES$11&amp;"'!B:R"),15,FALSE),"")</f>
        <v/>
      </c>
      <c r="ET265" s="96">
        <f>IFERROR(VLOOKUP($B265,INDIRECT("'GRD-"&amp;ET$11&amp;"'!B:R"),15,FALSE),"")</f>
        <v/>
      </c>
      <c r="EU265" s="96">
        <f>IFERROR(VLOOKUP($B265,INDIRECT("'GRD-"&amp;EU$11&amp;"'!B:R"),15,FALSE),"")</f>
        <v/>
      </c>
      <c r="EV265" s="96">
        <f>IFERROR(VLOOKUP($B265,INDIRECT("'GRD-"&amp;EV$11&amp;"'!B:R"),15,FALSE),"")</f>
        <v/>
      </c>
      <c r="EW265" s="96">
        <f>IFERROR(VLOOKUP($B265,INDIRECT("'GRD-"&amp;EW$11&amp;"'!B:R"),15,FALSE),"")</f>
        <v/>
      </c>
      <c r="EX265" s="96">
        <f>IFERROR(VLOOKUP($B265,INDIRECT("'GRD-"&amp;EX$11&amp;"'!B:R"),15,FALSE),"")</f>
        <v/>
      </c>
      <c r="EY265" s="96">
        <f>IFERROR(VLOOKUP($B265,INDIRECT("'GRD-"&amp;EY$11&amp;"'!B:R"),15,FALSE),"")</f>
        <v/>
      </c>
      <c r="EZ265" s="96">
        <f>IFERROR(VLOOKUP($B265,INDIRECT("'GRD-"&amp;EZ$11&amp;"'!B:R"),15,FALSE),"")</f>
        <v/>
      </c>
      <c r="FA265" s="96">
        <f>IFERROR(VLOOKUP($B265,INDIRECT("'GRD-"&amp;FA$11&amp;"'!B:R"),15,FALSE),"")</f>
        <v/>
      </c>
      <c r="FB265" s="96">
        <f>IFERROR(VLOOKUP($B265,INDIRECT("'GRD-"&amp;FB$11&amp;"'!B:R"),15,FALSE),"")</f>
        <v/>
      </c>
      <c r="FC265" s="96">
        <f>IFERROR(VLOOKUP($B265,INDIRECT("'GRD-"&amp;FC$11&amp;"'!B:R"),15,FALSE),"")</f>
        <v/>
      </c>
      <c r="FD265" s="96">
        <f>IFERROR(VLOOKUP($B265,INDIRECT("'GRD-"&amp;FD$11&amp;"'!B:R"),15,FALSE),"")</f>
        <v/>
      </c>
      <c r="FE265" s="96">
        <f>IFERROR(VLOOKUP($B265,INDIRECT("'GRD-"&amp;FE$11&amp;"'!B:R"),15,FALSE),"")</f>
        <v/>
      </c>
      <c r="FF265" s="96">
        <f>IFERROR(VLOOKUP($B265,INDIRECT("'GRD-"&amp;FF$11&amp;"'!B:R"),15,FALSE),"")</f>
        <v/>
      </c>
      <c r="FG265" s="96">
        <f>IFERROR(VLOOKUP($B265,INDIRECT("'GRD-"&amp;FG$11&amp;"'!B:R"),15,FALSE),"")</f>
        <v/>
      </c>
      <c r="FH265" s="96">
        <f>IFERROR(VLOOKUP($B265,INDIRECT("'GRD-"&amp;FH$11&amp;"'!B:R"),15,FALSE),"")</f>
        <v/>
      </c>
      <c r="FI265" s="96">
        <f>IFERROR(VLOOKUP($B265,INDIRECT("'GRD-"&amp;FI$11&amp;"'!B:R"),15,FALSE),"")</f>
        <v/>
      </c>
      <c r="FJ265" s="96">
        <f>IFERROR(VLOOKUP($B265,INDIRECT("'GRD-"&amp;FJ$11&amp;"'!B:R"),15,FALSE),"")</f>
        <v/>
      </c>
      <c r="FK265" s="96">
        <f>IFERROR(VLOOKUP($B265,INDIRECT("'GRD-"&amp;FK$11&amp;"'!B:R"),15,FALSE),"")</f>
        <v/>
      </c>
      <c r="FL265" s="96">
        <f>IFERROR(VLOOKUP($B265,INDIRECT("'GRD-"&amp;FL$11&amp;"'!B:R"),15,FALSE),"")</f>
        <v/>
      </c>
      <c r="FM265" s="96">
        <f>IFERROR(VLOOKUP($B265,INDIRECT("'GRD-"&amp;FM$11&amp;"'!B:R"),15,FALSE),"")</f>
        <v/>
      </c>
      <c r="FN265" s="96">
        <f>IFERROR(VLOOKUP($B265,INDIRECT("'GRD-"&amp;FN$11&amp;"'!B:R"),15,FALSE),"")</f>
        <v/>
      </c>
      <c r="FO265" s="96">
        <f>IFERROR(VLOOKUP($B265,INDIRECT("'GRD-"&amp;FO$11&amp;"'!B:R"),15,FALSE),"")</f>
        <v/>
      </c>
      <c r="FP265" s="96">
        <f>IFERROR(VLOOKUP($B265,INDIRECT("'GRD-"&amp;FP$11&amp;"'!B:R"),15,FALSE),"")</f>
        <v/>
      </c>
      <c r="FQ265" s="96">
        <f>IFERROR(VLOOKUP($B265,INDIRECT("'GRD-"&amp;FQ$11&amp;"'!B:R"),15,FALSE),"")</f>
        <v/>
      </c>
      <c r="FR265" s="96">
        <f>IFERROR(VLOOKUP($B265,INDIRECT("'GRD-"&amp;FR$11&amp;"'!B:R"),15,FALSE),"")</f>
        <v/>
      </c>
      <c r="FS265" s="96">
        <f>IFERROR(VLOOKUP($B265,INDIRECT("'GRD-"&amp;FS$11&amp;"'!B:R"),15,FALSE),"")</f>
        <v/>
      </c>
      <c r="FT265" s="96">
        <f>IFERROR(VLOOKUP($B265,INDIRECT("'GRD-"&amp;FT$11&amp;"'!B:R"),15,FALSE),"")</f>
        <v/>
      </c>
      <c r="FU265" s="96">
        <f>IFERROR(VLOOKUP($B265,INDIRECT("'GRD-"&amp;FU$11&amp;"'!B:R"),15,FALSE),"")</f>
        <v/>
      </c>
      <c r="FV265" s="96">
        <f>IFERROR(VLOOKUP($B265,INDIRECT("'GRD-"&amp;FV$11&amp;"'!B:R"),15,FALSE),"")</f>
        <v/>
      </c>
    </row>
    <row r="266">
      <c r="B266" s="85" t="n"/>
      <c r="C266" s="93" t="n"/>
      <c r="D266" s="73">
        <f>IF(K266="","",MAX($CA266:$FV266))</f>
        <v/>
      </c>
      <c r="E266" s="74">
        <f t="array" ref="E266">IF($K266="","",OFFSET($A$1,ROW($B266)-1,11+$D266*4,))</f>
        <v/>
      </c>
      <c r="F266" s="74">
        <f t="array" ref="F266">IF($K266="","",OFFSET($A$1,ROW($B266)-1,12+$D266*4,))</f>
        <v/>
      </c>
      <c r="G266" s="118">
        <f t="array" ref="G266">IF($K266="","",OFFSET($A$1,ROW($B266)-1,13+$D266*4,))</f>
        <v/>
      </c>
      <c r="H266" s="81" t="n"/>
      <c r="I266" s="82" t="n"/>
      <c r="J266" s="75">
        <f>IF(I266="A4",H266/8,IF(I266="A3",H266/4,IF(I266="A2",H266/2,IF(I266="A1",H266/1,IF(I266="A0",H266*2,"")))))</f>
        <v/>
      </c>
      <c r="K266" s="68">
        <f t="array" ref="K266">IFERROR(OFFSET($BZ$11,ROW($B266)-11,MATCH(K$10,$CA266:$FV266,0),),"")</f>
        <v/>
      </c>
      <c r="L266" s="85">
        <f>IF(K266="","",IF(VLOOKUP($B266,INDIRECT("'GRD-"&amp;M266&amp;"'!$B:$R"),16,FALSE)="","",VLOOKUP($B266,INDIRECT("'GRD-"&amp;M266&amp;"'!$B:$R"),16,FALSE)))</f>
        <v/>
      </c>
      <c r="M266" s="130">
        <f t="array" ref="M266">IF(K266="","",IFERROR(OFFSET($BZ$11,0,MATCH($K266,$CA266:$FV266,0),),""))</f>
        <v/>
      </c>
      <c r="N266" s="119">
        <f t="array" ref="N266">IF(K266="","",INDIRECT("'GRD-"&amp;M266&amp;"'!$L$7"))</f>
        <v/>
      </c>
      <c r="O266" s="76">
        <f t="array" ref="O266">IFERROR(OFFSET($BZ$11,ROW($B266)-11,MATCH(O$10,$CA266:$FV266,0),),"")</f>
        <v/>
      </c>
      <c r="P266" s="76">
        <f>IF(O266="","",IF(VLOOKUP($B266,INDIRECT("'GRD-"&amp;Q266&amp;"'!$B:$R"),16,FALSE)="","",VLOOKUP($B266,INDIRECT("'GRD-"&amp;Q266&amp;"'!$B:$R"),16,FALSE)))</f>
        <v/>
      </c>
      <c r="Q266" s="132">
        <f t="array" ref="Q266">IF(O266="","",IFERROR(OFFSET($BZ$11,0,MATCH($O266,$CA266:$FV266,0),),""))</f>
        <v/>
      </c>
      <c r="R266" s="121">
        <f t="array" ref="R266">IF(O266="","",INDIRECT("'GRD-"&amp;Q266&amp;"'!$L$7"))</f>
        <v/>
      </c>
      <c r="S266" s="83">
        <f t="array" ref="S266">IFERROR(OFFSET($BZ$11,ROW($B266)-11,MATCH(S$10,$CA266:$FV266,0),),"")</f>
        <v/>
      </c>
      <c r="T266" s="83">
        <f>IF(S266="","",IF(VLOOKUP($B266,INDIRECT("'GRD-"&amp;U266&amp;"'!$B:$R"),16,FALSE)="","",VLOOKUP($B266,INDIRECT("'GRD-"&amp;U266&amp;"'!$B:$R"),16,FALSE)))</f>
        <v/>
      </c>
      <c r="U266" s="128">
        <f t="array" ref="U266">IF(S266="","",IFERROR(OFFSET($BZ$11,0,MATCH($S266,$CA266:$FV266,0),),""))</f>
        <v/>
      </c>
      <c r="V266" s="133">
        <f t="array" ref="V266">IF(S266="","",INDIRECT("'GRD-"&amp;U266&amp;"'!$L$7"))</f>
        <v/>
      </c>
      <c r="W266" s="84">
        <f t="array" ref="W266">IFERROR(OFFSET($BZ$11,ROW($B266)-11,MATCH(W$10,$CA266:$FV266,0),),"")</f>
        <v/>
      </c>
      <c r="X266" s="84">
        <f>IF(W266="","",IF(VLOOKUP($B266,INDIRECT("'GRD-"&amp;Y266&amp;"'!$B:$R"),16,FALSE)="","",VLOOKUP($B266,INDIRECT("'GRD-"&amp;Y266&amp;"'!$B:$R"),16,FALSE)))</f>
        <v/>
      </c>
      <c r="Y266" s="129">
        <f t="array" ref="Y266">IF(W266="","",IFERROR(OFFSET($BZ$11,0,MATCH($W266,$CA266:$FV266,0),),""))</f>
        <v/>
      </c>
      <c r="Z266" s="134">
        <f t="array" ref="Z266">IF(W266="","",INDIRECT("'GRD-"&amp;Y266&amp;"'!$L$7"))</f>
        <v/>
      </c>
      <c r="AA266" s="85">
        <f t="array" ref="AA266">IFERROR(OFFSET($BZ$11,ROW($B266)-11,MATCH(AA$10,$CA266:$FV266,0),),"")</f>
        <v/>
      </c>
      <c r="AB266" s="85">
        <f>IF(AA266="","",IF(VLOOKUP($B266,INDIRECT("'GRD-"&amp;AC266&amp;"'!$B:$R"),16,FALSE)="","",VLOOKUP($B266,INDIRECT("'GRD-"&amp;AC266&amp;"'!$B:$R"),16,FALSE)))</f>
        <v/>
      </c>
      <c r="AC266" s="130">
        <f t="array" ref="AC266">IF(AA266="","",IFERROR(OFFSET($BZ$11,0,MATCH($AA266,$CA266:$FV266,0),),""))</f>
        <v/>
      </c>
      <c r="AD266" s="131">
        <f t="array" ref="AD266">IF(AA266="","",INDIRECT("'GRD-"&amp;AC266&amp;"'!$L$7"))</f>
        <v/>
      </c>
      <c r="AE266" s="76">
        <f t="array" ref="AE266">IFERROR(OFFSET($BZ$11,ROW($B266)-11,MATCH(AE$10,$CA266:$FV266,0),),"")</f>
        <v/>
      </c>
      <c r="AF266" s="76">
        <f>IF(AE266="","",IF(VLOOKUP($B266,INDIRECT("'GRD-"&amp;AG266&amp;"'!$B:$R"),16,FALSE)="","",VLOOKUP($B266,INDIRECT("'GRD-"&amp;AG266&amp;"'!$B:$R"),16,FALSE)))</f>
        <v/>
      </c>
      <c r="AG266" s="132">
        <f t="array" ref="AG266">IF(AE266="","",IFERROR(OFFSET($BZ$11,0,MATCH($AE266,$CA266:$FV266,0),),""))</f>
        <v/>
      </c>
      <c r="AH266" s="121">
        <f t="array" ref="AH266">IF(AE266="","",INDIRECT("'GRD-"&amp;AG266&amp;"'!$L$7"))</f>
        <v/>
      </c>
      <c r="AI266" s="83">
        <f t="array" ref="AI266">IFERROR(OFFSET($BZ$11,ROW($B266)-11,MATCH(AI$10,$CA266:$FV266,0),),"")</f>
        <v/>
      </c>
      <c r="AJ266" s="83">
        <f>IF(AI266="","",IF(VLOOKUP($B266,INDIRECT("'GRD-"&amp;AK266&amp;"'!$B:$R"),16,FALSE)="","",VLOOKUP($B266,INDIRECT("'GRD-"&amp;AK266&amp;"'!$B:$R"),16,FALSE)))</f>
        <v/>
      </c>
      <c r="AK266" s="128">
        <f t="array" ref="AK266">IF(AI266="","",IFERROR(OFFSET($BZ$11,0,MATCH($AI266,$CA266:$FV266,0),),""))</f>
        <v/>
      </c>
      <c r="AL266" s="133">
        <f t="array" ref="AL266">IF(AI266="","",INDIRECT("'GRD-"&amp;AK266&amp;"'!$L$7"))</f>
        <v/>
      </c>
      <c r="AM266" s="84">
        <f t="array" ref="AM266">IFERROR(OFFSET($BZ$11,ROW($B266)-11,MATCH(AM$10,$CA266:$FV266,0),),"")</f>
        <v/>
      </c>
      <c r="AN266" s="84">
        <f>IF(AM266="","",IF(VLOOKUP($B266,INDIRECT("'GRD-"&amp;AO266&amp;"'!$B:$R"),16,FALSE)="","",VLOOKUP($B266,INDIRECT("'GRD-"&amp;AO266&amp;"'!$B:$R"),16,FALSE)))</f>
        <v/>
      </c>
      <c r="AO266" s="129">
        <f t="array" ref="AO266">IF(AM266="","",IFERROR(OFFSET($BZ$11,0,MATCH($AM266,$CA266:$FV266,0),),""))</f>
        <v/>
      </c>
      <c r="AP266" s="134">
        <f t="array" ref="AP266">IF(AM266="","",INDIRECT("'GRD-"&amp;AO266&amp;"'!$L$7"))</f>
        <v/>
      </c>
      <c r="AQ266" s="85">
        <f t="array" ref="AQ266">IFERROR(OFFSET($BZ$11,ROW($B266)-11,MATCH(AQ$10,$CA266:$FV266,0),),"")</f>
        <v/>
      </c>
      <c r="AR266" s="85">
        <f>IF(AQ266="","",IF(VLOOKUP($B266,INDIRECT("'GRD-"&amp;AS266&amp;"'!$B:$R"),16,FALSE)="","",VLOOKUP($B266,INDIRECT("'GRD-"&amp;AS266&amp;"'!$B:$R"),16,FALSE)))</f>
        <v/>
      </c>
      <c r="AS266" s="130">
        <f t="array" ref="AS266">IF(AQ266="","",IFERROR(OFFSET($BZ$11,0,MATCH($AQ266,$CA266:$FV266,0),),""))</f>
        <v/>
      </c>
      <c r="AT266" s="131">
        <f t="array" ref="AT266">IF(AQ266="","",INDIRECT("'GRD-"&amp;AS266&amp;"'!$L$7"))</f>
        <v/>
      </c>
      <c r="AU266" s="76">
        <f t="array" ref="AU266">IFERROR(OFFSET($BZ$11,ROW($B266)-11,MATCH(AU$10,$CA266:$FV266,0),),"")</f>
        <v/>
      </c>
      <c r="AV266" s="76">
        <f>IF(AU266="","",IF(VLOOKUP($B266,INDIRECT("'GRD-"&amp;AW266&amp;"'!$B:$R"),16,FALSE)="","",VLOOKUP($B266,INDIRECT("'GRD-"&amp;AW266&amp;"'!$B:$R"),16,FALSE)))</f>
        <v/>
      </c>
      <c r="AW266" s="132">
        <f t="array" ref="AW266">IF(AU266="","",IFERROR(OFFSET($BZ$11,0,MATCH($AU266,$CA266:$FV266,0),),""))</f>
        <v/>
      </c>
      <c r="AX266" s="121">
        <f t="array" ref="AX266">IF(AU266="","",INDIRECT("'GRD-"&amp;AW266&amp;"'!$L$7"))</f>
        <v/>
      </c>
      <c r="AY266" s="83">
        <f t="array" ref="AY266">IFERROR(OFFSET($BZ$11,ROW($B266)-11,MATCH(AY$10,$CA266:$FV266,0),),"")</f>
        <v/>
      </c>
      <c r="AZ266" s="83">
        <f>IF(AY266="","",IF(VLOOKUP($B266,INDIRECT("'GRD-"&amp;BA266&amp;"'!$B:$R"),16,FALSE)="","",VLOOKUP($B266,INDIRECT("'GRD-"&amp;BA266&amp;"'!$B:$R"),16,FALSE)))</f>
        <v/>
      </c>
      <c r="BA266" s="128">
        <f t="array" ref="BA266">IF(AY266="","",IFERROR(OFFSET($BZ$11,0,MATCH($AY266,$CA266:$FV266,0),),""))</f>
        <v/>
      </c>
      <c r="BB266" s="133">
        <f t="array" ref="BB266">IF(AY266="","",INDIRECT("'GRD-"&amp;BA266&amp;"'!$L$7"))</f>
        <v/>
      </c>
      <c r="BC266" s="84">
        <f t="array" ref="BC266">IFERROR(OFFSET($BZ$11,ROW($B266)-11,MATCH(BC$10,$CA266:$FV266,0),),"")</f>
        <v/>
      </c>
      <c r="BD266" s="84">
        <f>IF(BC266="","",IF(VLOOKUP($B266,INDIRECT("'GRD-"&amp;BE266&amp;"'!$B:$R"),16,FALSE)="","",VLOOKUP($B266,INDIRECT("'GRD-"&amp;BE266&amp;"'!$B:$R"),16,FALSE)))</f>
        <v/>
      </c>
      <c r="BE266" s="129">
        <f t="array" ref="BE266">IF(BC266="","",IFERROR(OFFSET($BZ$11,0,MATCH($BC266,$CA266:$FV266,0),),""))</f>
        <v/>
      </c>
      <c r="BF266" s="134">
        <f t="array" ref="BF266">IF(BC266="","",INDIRECT("'GRD-"&amp;BE266&amp;"'!$L$7"))</f>
        <v/>
      </c>
      <c r="CA266" s="96">
        <f>IFERROR(VLOOKUP($B266,INDIRECT("'GRD-"&amp;CA$11&amp;"'!B:R"),15,FALSE),"")</f>
        <v/>
      </c>
      <c r="CB266" s="96">
        <f>IFERROR(VLOOKUP($B266,INDIRECT("'GRD-"&amp;CB$11&amp;"'!B:R"),15,FALSE),"")</f>
        <v/>
      </c>
      <c r="CC266" s="96">
        <f>IFERROR(VLOOKUP($B266,INDIRECT("'GRD-"&amp;CC$11&amp;"'!B:R"),15,FALSE),"")</f>
        <v/>
      </c>
      <c r="CD266" s="96">
        <f>IFERROR(VLOOKUP($B266,INDIRECT("'GRD-"&amp;CD$11&amp;"'!B:R"),15,FALSE),"")</f>
        <v/>
      </c>
      <c r="CE266" s="96">
        <f>IFERROR(VLOOKUP($B266,INDIRECT("'GRD-"&amp;CE$11&amp;"'!B:R"),15,FALSE),"")</f>
        <v/>
      </c>
      <c r="CF266" s="96">
        <f>IFERROR(VLOOKUP($B266,INDIRECT("'GRD-"&amp;CF$11&amp;"'!B:R"),15,FALSE),"")</f>
        <v/>
      </c>
      <c r="CG266" s="96">
        <f>IFERROR(VLOOKUP($B266,INDIRECT("'GRD-"&amp;CG$11&amp;"'!B:R"),15,FALSE),"")</f>
        <v/>
      </c>
      <c r="CH266" s="96">
        <f>IFERROR(VLOOKUP($B266,INDIRECT("'GRD-"&amp;CH$11&amp;"'!B:R"),15,FALSE),"")</f>
        <v/>
      </c>
      <c r="CI266" s="96">
        <f>IFERROR(VLOOKUP($B266,INDIRECT("'GRD-"&amp;CI$11&amp;"'!B:R"),15,FALSE),"")</f>
        <v/>
      </c>
      <c r="CJ266" s="96">
        <f>IFERROR(VLOOKUP($B266,INDIRECT("'GRD-"&amp;CJ$11&amp;"'!B:R"),15,FALSE),"")</f>
        <v/>
      </c>
      <c r="CK266" s="96">
        <f>IFERROR(VLOOKUP($B266,INDIRECT("'GRD-"&amp;CK$11&amp;"'!B:R"),15,FALSE),"")</f>
        <v/>
      </c>
      <c r="CL266" s="96">
        <f>IFERROR(VLOOKUP($B266,INDIRECT("'GRD-"&amp;CL$11&amp;"'!B:R"),15,FALSE),"")</f>
        <v/>
      </c>
      <c r="CM266" s="96">
        <f>IFERROR(VLOOKUP($B266,INDIRECT("'GRD-"&amp;CM$11&amp;"'!B:R"),15,FALSE),"")</f>
        <v/>
      </c>
      <c r="CN266" s="96">
        <f>IFERROR(VLOOKUP($B266,INDIRECT("'GRD-"&amp;CN$11&amp;"'!B:R"),15,FALSE),"")</f>
        <v/>
      </c>
      <c r="CO266" s="96">
        <f>IFERROR(VLOOKUP($B266,INDIRECT("'GRD-"&amp;CO$11&amp;"'!B:R"),15,FALSE),"")</f>
        <v/>
      </c>
      <c r="CP266" s="96">
        <f>IFERROR(VLOOKUP($B266,INDIRECT("'GRD-"&amp;CP$11&amp;"'!B:R"),15,FALSE),"")</f>
        <v/>
      </c>
      <c r="CQ266" s="96">
        <f>IFERROR(VLOOKUP($B266,INDIRECT("'GRD-"&amp;CQ$11&amp;"'!B:R"),15,FALSE),"")</f>
        <v/>
      </c>
      <c r="CR266" s="96">
        <f>IFERROR(VLOOKUP($B266,INDIRECT("'GRD-"&amp;CR$11&amp;"'!B:R"),15,FALSE),"")</f>
        <v/>
      </c>
      <c r="CS266" s="96">
        <f>IFERROR(VLOOKUP($B266,INDIRECT("'GRD-"&amp;CS$11&amp;"'!B:R"),15,FALSE),"")</f>
        <v/>
      </c>
      <c r="CT266" s="96">
        <f>IFERROR(VLOOKUP($B266,INDIRECT("'GRD-"&amp;CT$11&amp;"'!B:R"),15,FALSE),"")</f>
        <v/>
      </c>
      <c r="CU266" s="96">
        <f>IFERROR(VLOOKUP($B266,INDIRECT("'GRD-"&amp;CU$11&amp;"'!B:R"),15,FALSE),"")</f>
        <v/>
      </c>
      <c r="CV266" s="96">
        <f>IFERROR(VLOOKUP($B266,INDIRECT("'GRD-"&amp;CV$11&amp;"'!B:R"),15,FALSE),"")</f>
        <v/>
      </c>
      <c r="CW266" s="96">
        <f>IFERROR(VLOOKUP($B266,INDIRECT("'GRD-"&amp;CW$11&amp;"'!B:R"),15,FALSE),"")</f>
        <v/>
      </c>
      <c r="CX266" s="96">
        <f>IFERROR(VLOOKUP($B266,INDIRECT("'GRD-"&amp;CX$11&amp;"'!B:R"),15,FALSE),"")</f>
        <v/>
      </c>
      <c r="CY266" s="96">
        <f>IFERROR(VLOOKUP($B266,INDIRECT("'GRD-"&amp;CY$11&amp;"'!B:R"),15,FALSE),"")</f>
        <v/>
      </c>
      <c r="CZ266" s="96">
        <f>IFERROR(VLOOKUP($B266,INDIRECT("'GRD-"&amp;CZ$11&amp;"'!B:R"),15,FALSE),"")</f>
        <v/>
      </c>
      <c r="DA266" s="96">
        <f>IFERROR(VLOOKUP($B266,INDIRECT("'GRD-"&amp;DA$11&amp;"'!B:R"),15,FALSE),"")</f>
        <v/>
      </c>
      <c r="DB266" s="96">
        <f>IFERROR(VLOOKUP($B266,INDIRECT("'GRD-"&amp;DB$11&amp;"'!B:R"),15,FALSE),"")</f>
        <v/>
      </c>
      <c r="DC266" s="96">
        <f>IFERROR(VLOOKUP($B266,INDIRECT("'GRD-"&amp;DC$11&amp;"'!B:R"),15,FALSE),"")</f>
        <v/>
      </c>
      <c r="DD266" s="96">
        <f>IFERROR(VLOOKUP($B266,INDIRECT("'GRD-"&amp;DD$11&amp;"'!B:R"),15,FALSE),"")</f>
        <v/>
      </c>
      <c r="DE266" s="96">
        <f>IFERROR(VLOOKUP($B266,INDIRECT("'GRD-"&amp;DE$11&amp;"'!B:R"),15,FALSE),"")</f>
        <v/>
      </c>
      <c r="DF266" s="96">
        <f>IFERROR(VLOOKUP($B266,INDIRECT("'GRD-"&amp;DF$11&amp;"'!B:R"),15,FALSE),"")</f>
        <v/>
      </c>
      <c r="DG266" s="96">
        <f>IFERROR(VLOOKUP($B266,INDIRECT("'GRD-"&amp;DG$11&amp;"'!B:R"),15,FALSE),"")</f>
        <v/>
      </c>
      <c r="DH266" s="96">
        <f>IFERROR(VLOOKUP($B266,INDIRECT("'GRD-"&amp;DH$11&amp;"'!B:R"),15,FALSE),"")</f>
        <v/>
      </c>
      <c r="DI266" s="96">
        <f>IFERROR(VLOOKUP($B266,INDIRECT("'GRD-"&amp;DI$11&amp;"'!B:R"),15,FALSE),"")</f>
        <v/>
      </c>
      <c r="DJ266" s="96">
        <f>IFERROR(VLOOKUP($B266,INDIRECT("'GRD-"&amp;DJ$11&amp;"'!B:R"),15,FALSE),"")</f>
        <v/>
      </c>
      <c r="DK266" s="96">
        <f>IFERROR(VLOOKUP($B266,INDIRECT("'GRD-"&amp;DK$11&amp;"'!B:R"),15,FALSE),"")</f>
        <v/>
      </c>
      <c r="DL266" s="96">
        <f>IFERROR(VLOOKUP($B266,INDIRECT("'GRD-"&amp;DL$11&amp;"'!B:R"),15,FALSE),"")</f>
        <v/>
      </c>
      <c r="DM266" s="96">
        <f>IFERROR(VLOOKUP($B266,INDIRECT("'GRD-"&amp;DM$11&amp;"'!B:R"),15,FALSE),"")</f>
        <v/>
      </c>
      <c r="DN266" s="96">
        <f>IFERROR(VLOOKUP($B266,INDIRECT("'GRD-"&amp;DN$11&amp;"'!B:R"),15,FALSE),"")</f>
        <v/>
      </c>
      <c r="DO266" s="96">
        <f>IFERROR(VLOOKUP($B266,INDIRECT("'GRD-"&amp;DO$11&amp;"'!B:R"),15,FALSE),"")</f>
        <v/>
      </c>
      <c r="DP266" s="96">
        <f>IFERROR(VLOOKUP($B266,INDIRECT("'GRD-"&amp;DP$11&amp;"'!B:R"),15,FALSE),"")</f>
        <v/>
      </c>
      <c r="DQ266" s="96">
        <f>IFERROR(VLOOKUP($B266,INDIRECT("'GRD-"&amp;DQ$11&amp;"'!B:R"),15,FALSE),"")</f>
        <v/>
      </c>
      <c r="DR266" s="96">
        <f>IFERROR(VLOOKUP($B266,INDIRECT("'GRD-"&amp;DR$11&amp;"'!B:R"),15,FALSE),"")</f>
        <v/>
      </c>
      <c r="DS266" s="96">
        <f>IFERROR(VLOOKUP($B266,INDIRECT("'GRD-"&amp;DS$11&amp;"'!B:R"),15,FALSE),"")</f>
        <v/>
      </c>
      <c r="DT266" s="96">
        <f>IFERROR(VLOOKUP($B266,INDIRECT("'GRD-"&amp;DT$11&amp;"'!B:R"),15,FALSE),"")</f>
        <v/>
      </c>
      <c r="DU266" s="96">
        <f>IFERROR(VLOOKUP($B266,INDIRECT("'GRD-"&amp;DU$11&amp;"'!B:R"),15,FALSE),"")</f>
        <v/>
      </c>
      <c r="DV266" s="96">
        <f>IFERROR(VLOOKUP($B266,INDIRECT("'GRD-"&amp;DV$11&amp;"'!B:R"),15,FALSE),"")</f>
        <v/>
      </c>
      <c r="DW266" s="96">
        <f>IFERROR(VLOOKUP($B266,INDIRECT("'GRD-"&amp;DW$11&amp;"'!B:R"),15,FALSE),"")</f>
        <v/>
      </c>
      <c r="DX266" s="96">
        <f>IFERROR(VLOOKUP($B266,INDIRECT("'GRD-"&amp;DX$11&amp;"'!B:R"),15,FALSE),"")</f>
        <v/>
      </c>
      <c r="DY266" s="96">
        <f>IFERROR(VLOOKUP($B266,INDIRECT("'GRD-"&amp;DY$11&amp;"'!B:R"),15,FALSE),"")</f>
        <v/>
      </c>
      <c r="DZ266" s="96">
        <f>IFERROR(VLOOKUP($B266,INDIRECT("'GRD-"&amp;DZ$11&amp;"'!B:R"),15,FALSE),"")</f>
        <v/>
      </c>
      <c r="EA266" s="96">
        <f>IFERROR(VLOOKUP($B266,INDIRECT("'GRD-"&amp;EA$11&amp;"'!B:R"),15,FALSE),"")</f>
        <v/>
      </c>
      <c r="EB266" s="96">
        <f>IFERROR(VLOOKUP($B266,INDIRECT("'GRD-"&amp;EB$11&amp;"'!B:R"),15,FALSE),"")</f>
        <v/>
      </c>
      <c r="EC266" s="96">
        <f>IFERROR(VLOOKUP($B266,INDIRECT("'GRD-"&amp;EC$11&amp;"'!B:R"),15,FALSE),"")</f>
        <v/>
      </c>
      <c r="ED266" s="96">
        <f>IFERROR(VLOOKUP($B266,INDIRECT("'GRD-"&amp;ED$11&amp;"'!B:R"),15,FALSE),"")</f>
        <v/>
      </c>
      <c r="EE266" s="96">
        <f>IFERROR(VLOOKUP($B266,INDIRECT("'GRD-"&amp;EE$11&amp;"'!B:R"),15,FALSE),"")</f>
        <v/>
      </c>
      <c r="EF266" s="96">
        <f>IFERROR(VLOOKUP($B266,INDIRECT("'GRD-"&amp;EF$11&amp;"'!B:R"),15,FALSE),"")</f>
        <v/>
      </c>
      <c r="EG266" s="96">
        <f>IFERROR(VLOOKUP($B266,INDIRECT("'GRD-"&amp;EG$11&amp;"'!B:R"),15,FALSE),"")</f>
        <v/>
      </c>
      <c r="EH266" s="96">
        <f>IFERROR(VLOOKUP($B266,INDIRECT("'GRD-"&amp;EH$11&amp;"'!B:R"),15,FALSE),"")</f>
        <v/>
      </c>
      <c r="EI266" s="96">
        <f>IFERROR(VLOOKUP($B266,INDIRECT("'GRD-"&amp;EI$11&amp;"'!B:R"),15,FALSE),"")</f>
        <v/>
      </c>
      <c r="EJ266" s="96">
        <f>IFERROR(VLOOKUP($B266,INDIRECT("'GRD-"&amp;EJ$11&amp;"'!B:R"),15,FALSE),"")</f>
        <v/>
      </c>
      <c r="EK266" s="96">
        <f>IFERROR(VLOOKUP($B266,INDIRECT("'GRD-"&amp;EK$11&amp;"'!B:R"),15,FALSE),"")</f>
        <v/>
      </c>
      <c r="EL266" s="96">
        <f>IFERROR(VLOOKUP($B266,INDIRECT("'GRD-"&amp;EL$11&amp;"'!B:R"),15,FALSE),"")</f>
        <v/>
      </c>
      <c r="EM266" s="96">
        <f>IFERROR(VLOOKUP($B266,INDIRECT("'GRD-"&amp;EM$11&amp;"'!B:R"),15,FALSE),"")</f>
        <v/>
      </c>
      <c r="EN266" s="96">
        <f>IFERROR(VLOOKUP($B266,INDIRECT("'GRD-"&amp;EN$11&amp;"'!B:R"),15,FALSE),"")</f>
        <v/>
      </c>
      <c r="EO266" s="96">
        <f>IFERROR(VLOOKUP($B266,INDIRECT("'GRD-"&amp;EO$11&amp;"'!B:R"),15,FALSE),"")</f>
        <v/>
      </c>
      <c r="EP266" s="96">
        <f>IFERROR(VLOOKUP($B266,INDIRECT("'GRD-"&amp;EP$11&amp;"'!B:R"),15,FALSE),"")</f>
        <v/>
      </c>
      <c r="EQ266" s="96">
        <f>IFERROR(VLOOKUP($B266,INDIRECT("'GRD-"&amp;EQ$11&amp;"'!B:R"),15,FALSE),"")</f>
        <v/>
      </c>
      <c r="ER266" s="96">
        <f>IFERROR(VLOOKUP($B266,INDIRECT("'GRD-"&amp;ER$11&amp;"'!B:R"),15,FALSE),"")</f>
        <v/>
      </c>
      <c r="ES266" s="96">
        <f>IFERROR(VLOOKUP($B266,INDIRECT("'GRD-"&amp;ES$11&amp;"'!B:R"),15,FALSE),"")</f>
        <v/>
      </c>
      <c r="ET266" s="96">
        <f>IFERROR(VLOOKUP($B266,INDIRECT("'GRD-"&amp;ET$11&amp;"'!B:R"),15,FALSE),"")</f>
        <v/>
      </c>
      <c r="EU266" s="96">
        <f>IFERROR(VLOOKUP($B266,INDIRECT("'GRD-"&amp;EU$11&amp;"'!B:R"),15,FALSE),"")</f>
        <v/>
      </c>
      <c r="EV266" s="96">
        <f>IFERROR(VLOOKUP($B266,INDIRECT("'GRD-"&amp;EV$11&amp;"'!B:R"),15,FALSE),"")</f>
        <v/>
      </c>
      <c r="EW266" s="96">
        <f>IFERROR(VLOOKUP($B266,INDIRECT("'GRD-"&amp;EW$11&amp;"'!B:R"),15,FALSE),"")</f>
        <v/>
      </c>
      <c r="EX266" s="96">
        <f>IFERROR(VLOOKUP($B266,INDIRECT("'GRD-"&amp;EX$11&amp;"'!B:R"),15,FALSE),"")</f>
        <v/>
      </c>
      <c r="EY266" s="96">
        <f>IFERROR(VLOOKUP($B266,INDIRECT("'GRD-"&amp;EY$11&amp;"'!B:R"),15,FALSE),"")</f>
        <v/>
      </c>
      <c r="EZ266" s="96">
        <f>IFERROR(VLOOKUP($B266,INDIRECT("'GRD-"&amp;EZ$11&amp;"'!B:R"),15,FALSE),"")</f>
        <v/>
      </c>
      <c r="FA266" s="96">
        <f>IFERROR(VLOOKUP($B266,INDIRECT("'GRD-"&amp;FA$11&amp;"'!B:R"),15,FALSE),"")</f>
        <v/>
      </c>
      <c r="FB266" s="96">
        <f>IFERROR(VLOOKUP($B266,INDIRECT("'GRD-"&amp;FB$11&amp;"'!B:R"),15,FALSE),"")</f>
        <v/>
      </c>
      <c r="FC266" s="96">
        <f>IFERROR(VLOOKUP($B266,INDIRECT("'GRD-"&amp;FC$11&amp;"'!B:R"),15,FALSE),"")</f>
        <v/>
      </c>
      <c r="FD266" s="96">
        <f>IFERROR(VLOOKUP($B266,INDIRECT("'GRD-"&amp;FD$11&amp;"'!B:R"),15,FALSE),"")</f>
        <v/>
      </c>
      <c r="FE266" s="96">
        <f>IFERROR(VLOOKUP($B266,INDIRECT("'GRD-"&amp;FE$11&amp;"'!B:R"),15,FALSE),"")</f>
        <v/>
      </c>
      <c r="FF266" s="96">
        <f>IFERROR(VLOOKUP($B266,INDIRECT("'GRD-"&amp;FF$11&amp;"'!B:R"),15,FALSE),"")</f>
        <v/>
      </c>
      <c r="FG266" s="96">
        <f>IFERROR(VLOOKUP($B266,INDIRECT("'GRD-"&amp;FG$11&amp;"'!B:R"),15,FALSE),"")</f>
        <v/>
      </c>
      <c r="FH266" s="96">
        <f>IFERROR(VLOOKUP($B266,INDIRECT("'GRD-"&amp;FH$11&amp;"'!B:R"),15,FALSE),"")</f>
        <v/>
      </c>
      <c r="FI266" s="96">
        <f>IFERROR(VLOOKUP($B266,INDIRECT("'GRD-"&amp;FI$11&amp;"'!B:R"),15,FALSE),"")</f>
        <v/>
      </c>
      <c r="FJ266" s="96">
        <f>IFERROR(VLOOKUP($B266,INDIRECT("'GRD-"&amp;FJ$11&amp;"'!B:R"),15,FALSE),"")</f>
        <v/>
      </c>
      <c r="FK266" s="96">
        <f>IFERROR(VLOOKUP($B266,INDIRECT("'GRD-"&amp;FK$11&amp;"'!B:R"),15,FALSE),"")</f>
        <v/>
      </c>
      <c r="FL266" s="96">
        <f>IFERROR(VLOOKUP($B266,INDIRECT("'GRD-"&amp;FL$11&amp;"'!B:R"),15,FALSE),"")</f>
        <v/>
      </c>
      <c r="FM266" s="96">
        <f>IFERROR(VLOOKUP($B266,INDIRECT("'GRD-"&amp;FM$11&amp;"'!B:R"),15,FALSE),"")</f>
        <v/>
      </c>
      <c r="FN266" s="96">
        <f>IFERROR(VLOOKUP($B266,INDIRECT("'GRD-"&amp;FN$11&amp;"'!B:R"),15,FALSE),"")</f>
        <v/>
      </c>
      <c r="FO266" s="96">
        <f>IFERROR(VLOOKUP($B266,INDIRECT("'GRD-"&amp;FO$11&amp;"'!B:R"),15,FALSE),"")</f>
        <v/>
      </c>
      <c r="FP266" s="96">
        <f>IFERROR(VLOOKUP($B266,INDIRECT("'GRD-"&amp;FP$11&amp;"'!B:R"),15,FALSE),"")</f>
        <v/>
      </c>
      <c r="FQ266" s="96">
        <f>IFERROR(VLOOKUP($B266,INDIRECT("'GRD-"&amp;FQ$11&amp;"'!B:R"),15,FALSE),"")</f>
        <v/>
      </c>
      <c r="FR266" s="96">
        <f>IFERROR(VLOOKUP($B266,INDIRECT("'GRD-"&amp;FR$11&amp;"'!B:R"),15,FALSE),"")</f>
        <v/>
      </c>
      <c r="FS266" s="96">
        <f>IFERROR(VLOOKUP($B266,INDIRECT("'GRD-"&amp;FS$11&amp;"'!B:R"),15,FALSE),"")</f>
        <v/>
      </c>
      <c r="FT266" s="96">
        <f>IFERROR(VLOOKUP($B266,INDIRECT("'GRD-"&amp;FT$11&amp;"'!B:R"),15,FALSE),"")</f>
        <v/>
      </c>
      <c r="FU266" s="96">
        <f>IFERROR(VLOOKUP($B266,INDIRECT("'GRD-"&amp;FU$11&amp;"'!B:R"),15,FALSE),"")</f>
        <v/>
      </c>
      <c r="FV266" s="96">
        <f>IFERROR(VLOOKUP($B266,INDIRECT("'GRD-"&amp;FV$11&amp;"'!B:R"),15,FALSE),"")</f>
        <v/>
      </c>
    </row>
    <row r="267">
      <c r="B267" s="85" t="n"/>
      <c r="C267" s="93" t="n"/>
      <c r="D267" s="73">
        <f>IF(K267="","",MAX($CA267:$FV267))</f>
        <v/>
      </c>
      <c r="E267" s="74">
        <f t="array" ref="E267">IF($K267="","",OFFSET($A$1,ROW($B267)-1,11+$D267*4,))</f>
        <v/>
      </c>
      <c r="F267" s="74">
        <f t="array" ref="F267">IF($K267="","",OFFSET($A$1,ROW($B267)-1,12+$D267*4,))</f>
        <v/>
      </c>
      <c r="G267" s="118">
        <f t="array" ref="G267">IF($K267="","",OFFSET($A$1,ROW($B267)-1,13+$D267*4,))</f>
        <v/>
      </c>
      <c r="H267" s="81" t="n"/>
      <c r="I267" s="82" t="n"/>
      <c r="J267" s="75">
        <f>IF(I267="A4",H267/8,IF(I267="A3",H267/4,IF(I267="A2",H267/2,IF(I267="A1",H267/1,IF(I267="A0",H267*2,"")))))</f>
        <v/>
      </c>
      <c r="K267" s="68">
        <f t="array" ref="K267">IFERROR(OFFSET($BZ$11,ROW($B267)-11,MATCH(K$10,$CA267:$FV267,0),),"")</f>
        <v/>
      </c>
      <c r="L267" s="85">
        <f>IF(K267="","",IF(VLOOKUP($B267,INDIRECT("'GRD-"&amp;M267&amp;"'!$B:$R"),16,FALSE)="","",VLOOKUP($B267,INDIRECT("'GRD-"&amp;M267&amp;"'!$B:$R"),16,FALSE)))</f>
        <v/>
      </c>
      <c r="M267" s="130">
        <f t="array" ref="M267">IF(K267="","",IFERROR(OFFSET($BZ$11,0,MATCH($K267,$CA267:$FV267,0),),""))</f>
        <v/>
      </c>
      <c r="N267" s="119">
        <f t="array" ref="N267">IF(K267="","",INDIRECT("'GRD-"&amp;M267&amp;"'!$L$7"))</f>
        <v/>
      </c>
      <c r="O267" s="76">
        <f t="array" ref="O267">IFERROR(OFFSET($BZ$11,ROW($B267)-11,MATCH(O$10,$CA267:$FV267,0),),"")</f>
        <v/>
      </c>
      <c r="P267" s="76">
        <f>IF(O267="","",IF(VLOOKUP($B267,INDIRECT("'GRD-"&amp;Q267&amp;"'!$B:$R"),16,FALSE)="","",VLOOKUP($B267,INDIRECT("'GRD-"&amp;Q267&amp;"'!$B:$R"),16,FALSE)))</f>
        <v/>
      </c>
      <c r="Q267" s="132">
        <f t="array" ref="Q267">IF(O267="","",IFERROR(OFFSET($BZ$11,0,MATCH($O267,$CA267:$FV267,0),),""))</f>
        <v/>
      </c>
      <c r="R267" s="121">
        <f t="array" ref="R267">IF(O267="","",INDIRECT("'GRD-"&amp;Q267&amp;"'!$L$7"))</f>
        <v/>
      </c>
      <c r="S267" s="83">
        <f t="array" ref="S267">IFERROR(OFFSET($BZ$11,ROW($B267)-11,MATCH(S$10,$CA267:$FV267,0),),"")</f>
        <v/>
      </c>
      <c r="T267" s="83">
        <f>IF(S267="","",IF(VLOOKUP($B267,INDIRECT("'GRD-"&amp;U267&amp;"'!$B:$R"),16,FALSE)="","",VLOOKUP($B267,INDIRECT("'GRD-"&amp;U267&amp;"'!$B:$R"),16,FALSE)))</f>
        <v/>
      </c>
      <c r="U267" s="128">
        <f t="array" ref="U267">IF(S267="","",IFERROR(OFFSET($BZ$11,0,MATCH($S267,$CA267:$FV267,0),),""))</f>
        <v/>
      </c>
      <c r="V267" s="133">
        <f t="array" ref="V267">IF(S267="","",INDIRECT("'GRD-"&amp;U267&amp;"'!$L$7"))</f>
        <v/>
      </c>
      <c r="W267" s="84">
        <f t="array" ref="W267">IFERROR(OFFSET($BZ$11,ROW($B267)-11,MATCH(W$10,$CA267:$FV267,0),),"")</f>
        <v/>
      </c>
      <c r="X267" s="84">
        <f>IF(W267="","",IF(VLOOKUP($B267,INDIRECT("'GRD-"&amp;Y267&amp;"'!$B:$R"),16,FALSE)="","",VLOOKUP($B267,INDIRECT("'GRD-"&amp;Y267&amp;"'!$B:$R"),16,FALSE)))</f>
        <v/>
      </c>
      <c r="Y267" s="129">
        <f t="array" ref="Y267">IF(W267="","",IFERROR(OFFSET($BZ$11,0,MATCH($W267,$CA267:$FV267,0),),""))</f>
        <v/>
      </c>
      <c r="Z267" s="134">
        <f t="array" ref="Z267">IF(W267="","",INDIRECT("'GRD-"&amp;Y267&amp;"'!$L$7"))</f>
        <v/>
      </c>
      <c r="AA267" s="85">
        <f t="array" ref="AA267">IFERROR(OFFSET($BZ$11,ROW($B267)-11,MATCH(AA$10,$CA267:$FV267,0),),"")</f>
        <v/>
      </c>
      <c r="AB267" s="85">
        <f>IF(AA267="","",IF(VLOOKUP($B267,INDIRECT("'GRD-"&amp;AC267&amp;"'!$B:$R"),16,FALSE)="","",VLOOKUP($B267,INDIRECT("'GRD-"&amp;AC267&amp;"'!$B:$R"),16,FALSE)))</f>
        <v/>
      </c>
      <c r="AC267" s="130">
        <f t="array" ref="AC267">IF(AA267="","",IFERROR(OFFSET($BZ$11,0,MATCH($AA267,$CA267:$FV267,0),),""))</f>
        <v/>
      </c>
      <c r="AD267" s="131">
        <f t="array" ref="AD267">IF(AA267="","",INDIRECT("'GRD-"&amp;AC267&amp;"'!$L$7"))</f>
        <v/>
      </c>
      <c r="AE267" s="76">
        <f t="array" ref="AE267">IFERROR(OFFSET($BZ$11,ROW($B267)-11,MATCH(AE$10,$CA267:$FV267,0),),"")</f>
        <v/>
      </c>
      <c r="AF267" s="76">
        <f>IF(AE267="","",IF(VLOOKUP($B267,INDIRECT("'GRD-"&amp;AG267&amp;"'!$B:$R"),16,FALSE)="","",VLOOKUP($B267,INDIRECT("'GRD-"&amp;AG267&amp;"'!$B:$R"),16,FALSE)))</f>
        <v/>
      </c>
      <c r="AG267" s="132">
        <f t="array" ref="AG267">IF(AE267="","",IFERROR(OFFSET($BZ$11,0,MATCH($AE267,$CA267:$FV267,0),),""))</f>
        <v/>
      </c>
      <c r="AH267" s="121">
        <f t="array" ref="AH267">IF(AE267="","",INDIRECT("'GRD-"&amp;AG267&amp;"'!$L$7"))</f>
        <v/>
      </c>
      <c r="AI267" s="83">
        <f t="array" ref="AI267">IFERROR(OFFSET($BZ$11,ROW($B267)-11,MATCH(AI$10,$CA267:$FV267,0),),"")</f>
        <v/>
      </c>
      <c r="AJ267" s="83">
        <f>IF(AI267="","",IF(VLOOKUP($B267,INDIRECT("'GRD-"&amp;AK267&amp;"'!$B:$R"),16,FALSE)="","",VLOOKUP($B267,INDIRECT("'GRD-"&amp;AK267&amp;"'!$B:$R"),16,FALSE)))</f>
        <v/>
      </c>
      <c r="AK267" s="128">
        <f t="array" ref="AK267">IF(AI267="","",IFERROR(OFFSET($BZ$11,0,MATCH($AI267,$CA267:$FV267,0),),""))</f>
        <v/>
      </c>
      <c r="AL267" s="133">
        <f t="array" ref="AL267">IF(AI267="","",INDIRECT("'GRD-"&amp;AK267&amp;"'!$L$7"))</f>
        <v/>
      </c>
      <c r="AM267" s="84">
        <f t="array" ref="AM267">IFERROR(OFFSET($BZ$11,ROW($B267)-11,MATCH(AM$10,$CA267:$FV267,0),),"")</f>
        <v/>
      </c>
      <c r="AN267" s="84">
        <f>IF(AM267="","",IF(VLOOKUP($B267,INDIRECT("'GRD-"&amp;AO267&amp;"'!$B:$R"),16,FALSE)="","",VLOOKUP($B267,INDIRECT("'GRD-"&amp;AO267&amp;"'!$B:$R"),16,FALSE)))</f>
        <v/>
      </c>
      <c r="AO267" s="129">
        <f t="array" ref="AO267">IF(AM267="","",IFERROR(OFFSET($BZ$11,0,MATCH($AM267,$CA267:$FV267,0),),""))</f>
        <v/>
      </c>
      <c r="AP267" s="134">
        <f t="array" ref="AP267">IF(AM267="","",INDIRECT("'GRD-"&amp;AO267&amp;"'!$L$7"))</f>
        <v/>
      </c>
      <c r="AQ267" s="85">
        <f t="array" ref="AQ267">IFERROR(OFFSET($BZ$11,ROW($B267)-11,MATCH(AQ$10,$CA267:$FV267,0),),"")</f>
        <v/>
      </c>
      <c r="AR267" s="85">
        <f>IF(AQ267="","",IF(VLOOKUP($B267,INDIRECT("'GRD-"&amp;AS267&amp;"'!$B:$R"),16,FALSE)="","",VLOOKUP($B267,INDIRECT("'GRD-"&amp;AS267&amp;"'!$B:$R"),16,FALSE)))</f>
        <v/>
      </c>
      <c r="AS267" s="130">
        <f t="array" ref="AS267">IF(AQ267="","",IFERROR(OFFSET($BZ$11,0,MATCH($AQ267,$CA267:$FV267,0),),""))</f>
        <v/>
      </c>
      <c r="AT267" s="131">
        <f t="array" ref="AT267">IF(AQ267="","",INDIRECT("'GRD-"&amp;AS267&amp;"'!$L$7"))</f>
        <v/>
      </c>
      <c r="AU267" s="76">
        <f t="array" ref="AU267">IFERROR(OFFSET($BZ$11,ROW($B267)-11,MATCH(AU$10,$CA267:$FV267,0),),"")</f>
        <v/>
      </c>
      <c r="AV267" s="76">
        <f>IF(AU267="","",IF(VLOOKUP($B267,INDIRECT("'GRD-"&amp;AW267&amp;"'!$B:$R"),16,FALSE)="","",VLOOKUP($B267,INDIRECT("'GRD-"&amp;AW267&amp;"'!$B:$R"),16,FALSE)))</f>
        <v/>
      </c>
      <c r="AW267" s="132">
        <f t="array" ref="AW267">IF(AU267="","",IFERROR(OFFSET($BZ$11,0,MATCH($AU267,$CA267:$FV267,0),),""))</f>
        <v/>
      </c>
      <c r="AX267" s="121">
        <f t="array" ref="AX267">IF(AU267="","",INDIRECT("'GRD-"&amp;AW267&amp;"'!$L$7"))</f>
        <v/>
      </c>
      <c r="AY267" s="83">
        <f t="array" ref="AY267">IFERROR(OFFSET($BZ$11,ROW($B267)-11,MATCH(AY$10,$CA267:$FV267,0),),"")</f>
        <v/>
      </c>
      <c r="AZ267" s="83">
        <f>IF(AY267="","",IF(VLOOKUP($B267,INDIRECT("'GRD-"&amp;BA267&amp;"'!$B:$R"),16,FALSE)="","",VLOOKUP($B267,INDIRECT("'GRD-"&amp;BA267&amp;"'!$B:$R"),16,FALSE)))</f>
        <v/>
      </c>
      <c r="BA267" s="128">
        <f t="array" ref="BA267">IF(AY267="","",IFERROR(OFFSET($BZ$11,0,MATCH($AY267,$CA267:$FV267,0),),""))</f>
        <v/>
      </c>
      <c r="BB267" s="133">
        <f t="array" ref="BB267">IF(AY267="","",INDIRECT("'GRD-"&amp;BA267&amp;"'!$L$7"))</f>
        <v/>
      </c>
      <c r="BC267" s="84">
        <f t="array" ref="BC267">IFERROR(OFFSET($BZ$11,ROW($B267)-11,MATCH(BC$10,$CA267:$FV267,0),),"")</f>
        <v/>
      </c>
      <c r="BD267" s="84">
        <f>IF(BC267="","",IF(VLOOKUP($B267,INDIRECT("'GRD-"&amp;BE267&amp;"'!$B:$R"),16,FALSE)="","",VLOOKUP($B267,INDIRECT("'GRD-"&amp;BE267&amp;"'!$B:$R"),16,FALSE)))</f>
        <v/>
      </c>
      <c r="BE267" s="129">
        <f t="array" ref="BE267">IF(BC267="","",IFERROR(OFFSET($BZ$11,0,MATCH($BC267,$CA267:$FV267,0),),""))</f>
        <v/>
      </c>
      <c r="BF267" s="134">
        <f t="array" ref="BF267">IF(BC267="","",INDIRECT("'GRD-"&amp;BE267&amp;"'!$L$7"))</f>
        <v/>
      </c>
      <c r="CA267" s="96">
        <f>IFERROR(VLOOKUP($B267,INDIRECT("'GRD-"&amp;CA$11&amp;"'!B:R"),15,FALSE),"")</f>
        <v/>
      </c>
      <c r="CB267" s="96">
        <f>IFERROR(VLOOKUP($B267,INDIRECT("'GRD-"&amp;CB$11&amp;"'!B:R"),15,FALSE),"")</f>
        <v/>
      </c>
      <c r="CC267" s="96">
        <f>IFERROR(VLOOKUP($B267,INDIRECT("'GRD-"&amp;CC$11&amp;"'!B:R"),15,FALSE),"")</f>
        <v/>
      </c>
      <c r="CD267" s="96">
        <f>IFERROR(VLOOKUP($B267,INDIRECT("'GRD-"&amp;CD$11&amp;"'!B:R"),15,FALSE),"")</f>
        <v/>
      </c>
      <c r="CE267" s="96">
        <f>IFERROR(VLOOKUP($B267,INDIRECT("'GRD-"&amp;CE$11&amp;"'!B:R"),15,FALSE),"")</f>
        <v/>
      </c>
      <c r="CF267" s="96">
        <f>IFERROR(VLOOKUP($B267,INDIRECT("'GRD-"&amp;CF$11&amp;"'!B:R"),15,FALSE),"")</f>
        <v/>
      </c>
      <c r="CG267" s="96">
        <f>IFERROR(VLOOKUP($B267,INDIRECT("'GRD-"&amp;CG$11&amp;"'!B:R"),15,FALSE),"")</f>
        <v/>
      </c>
      <c r="CH267" s="96">
        <f>IFERROR(VLOOKUP($B267,INDIRECT("'GRD-"&amp;CH$11&amp;"'!B:R"),15,FALSE),"")</f>
        <v/>
      </c>
      <c r="CI267" s="96">
        <f>IFERROR(VLOOKUP($B267,INDIRECT("'GRD-"&amp;CI$11&amp;"'!B:R"),15,FALSE),"")</f>
        <v/>
      </c>
      <c r="CJ267" s="96">
        <f>IFERROR(VLOOKUP($B267,INDIRECT("'GRD-"&amp;CJ$11&amp;"'!B:R"),15,FALSE),"")</f>
        <v/>
      </c>
      <c r="CK267" s="96">
        <f>IFERROR(VLOOKUP($B267,INDIRECT("'GRD-"&amp;CK$11&amp;"'!B:R"),15,FALSE),"")</f>
        <v/>
      </c>
      <c r="CL267" s="96">
        <f>IFERROR(VLOOKUP($B267,INDIRECT("'GRD-"&amp;CL$11&amp;"'!B:R"),15,FALSE),"")</f>
        <v/>
      </c>
      <c r="CM267" s="96">
        <f>IFERROR(VLOOKUP($B267,INDIRECT("'GRD-"&amp;CM$11&amp;"'!B:R"),15,FALSE),"")</f>
        <v/>
      </c>
      <c r="CN267" s="96">
        <f>IFERROR(VLOOKUP($B267,INDIRECT("'GRD-"&amp;CN$11&amp;"'!B:R"),15,FALSE),"")</f>
        <v/>
      </c>
      <c r="CO267" s="96">
        <f>IFERROR(VLOOKUP($B267,INDIRECT("'GRD-"&amp;CO$11&amp;"'!B:R"),15,FALSE),"")</f>
        <v/>
      </c>
      <c r="CP267" s="96">
        <f>IFERROR(VLOOKUP($B267,INDIRECT("'GRD-"&amp;CP$11&amp;"'!B:R"),15,FALSE),"")</f>
        <v/>
      </c>
      <c r="CQ267" s="96">
        <f>IFERROR(VLOOKUP($B267,INDIRECT("'GRD-"&amp;CQ$11&amp;"'!B:R"),15,FALSE),"")</f>
        <v/>
      </c>
      <c r="CR267" s="96">
        <f>IFERROR(VLOOKUP($B267,INDIRECT("'GRD-"&amp;CR$11&amp;"'!B:R"),15,FALSE),"")</f>
        <v/>
      </c>
      <c r="CS267" s="96">
        <f>IFERROR(VLOOKUP($B267,INDIRECT("'GRD-"&amp;CS$11&amp;"'!B:R"),15,FALSE),"")</f>
        <v/>
      </c>
      <c r="CT267" s="96">
        <f>IFERROR(VLOOKUP($B267,INDIRECT("'GRD-"&amp;CT$11&amp;"'!B:R"),15,FALSE),"")</f>
        <v/>
      </c>
      <c r="CU267" s="96">
        <f>IFERROR(VLOOKUP($B267,INDIRECT("'GRD-"&amp;CU$11&amp;"'!B:R"),15,FALSE),"")</f>
        <v/>
      </c>
      <c r="CV267" s="96">
        <f>IFERROR(VLOOKUP($B267,INDIRECT("'GRD-"&amp;CV$11&amp;"'!B:R"),15,FALSE),"")</f>
        <v/>
      </c>
      <c r="CW267" s="96">
        <f>IFERROR(VLOOKUP($B267,INDIRECT("'GRD-"&amp;CW$11&amp;"'!B:R"),15,FALSE),"")</f>
        <v/>
      </c>
      <c r="CX267" s="96">
        <f>IFERROR(VLOOKUP($B267,INDIRECT("'GRD-"&amp;CX$11&amp;"'!B:R"),15,FALSE),"")</f>
        <v/>
      </c>
      <c r="CY267" s="96">
        <f>IFERROR(VLOOKUP($B267,INDIRECT("'GRD-"&amp;CY$11&amp;"'!B:R"),15,FALSE),"")</f>
        <v/>
      </c>
      <c r="CZ267" s="96">
        <f>IFERROR(VLOOKUP($B267,INDIRECT("'GRD-"&amp;CZ$11&amp;"'!B:R"),15,FALSE),"")</f>
        <v/>
      </c>
      <c r="DA267" s="96">
        <f>IFERROR(VLOOKUP($B267,INDIRECT("'GRD-"&amp;DA$11&amp;"'!B:R"),15,FALSE),"")</f>
        <v/>
      </c>
      <c r="DB267" s="96">
        <f>IFERROR(VLOOKUP($B267,INDIRECT("'GRD-"&amp;DB$11&amp;"'!B:R"),15,FALSE),"")</f>
        <v/>
      </c>
      <c r="DC267" s="96">
        <f>IFERROR(VLOOKUP($B267,INDIRECT("'GRD-"&amp;DC$11&amp;"'!B:R"),15,FALSE),"")</f>
        <v/>
      </c>
      <c r="DD267" s="96">
        <f>IFERROR(VLOOKUP($B267,INDIRECT("'GRD-"&amp;DD$11&amp;"'!B:R"),15,FALSE),"")</f>
        <v/>
      </c>
      <c r="DE267" s="96">
        <f>IFERROR(VLOOKUP($B267,INDIRECT("'GRD-"&amp;DE$11&amp;"'!B:R"),15,FALSE),"")</f>
        <v/>
      </c>
      <c r="DF267" s="96">
        <f>IFERROR(VLOOKUP($B267,INDIRECT("'GRD-"&amp;DF$11&amp;"'!B:R"),15,FALSE),"")</f>
        <v/>
      </c>
      <c r="DG267" s="96">
        <f>IFERROR(VLOOKUP($B267,INDIRECT("'GRD-"&amp;DG$11&amp;"'!B:R"),15,FALSE),"")</f>
        <v/>
      </c>
      <c r="DH267" s="96">
        <f>IFERROR(VLOOKUP($B267,INDIRECT("'GRD-"&amp;DH$11&amp;"'!B:R"),15,FALSE),"")</f>
        <v/>
      </c>
      <c r="DI267" s="96">
        <f>IFERROR(VLOOKUP($B267,INDIRECT("'GRD-"&amp;DI$11&amp;"'!B:R"),15,FALSE),"")</f>
        <v/>
      </c>
      <c r="DJ267" s="96">
        <f>IFERROR(VLOOKUP($B267,INDIRECT("'GRD-"&amp;DJ$11&amp;"'!B:R"),15,FALSE),"")</f>
        <v/>
      </c>
      <c r="DK267" s="96">
        <f>IFERROR(VLOOKUP($B267,INDIRECT("'GRD-"&amp;DK$11&amp;"'!B:R"),15,FALSE),"")</f>
        <v/>
      </c>
      <c r="DL267" s="96">
        <f>IFERROR(VLOOKUP($B267,INDIRECT("'GRD-"&amp;DL$11&amp;"'!B:R"),15,FALSE),"")</f>
        <v/>
      </c>
      <c r="DM267" s="96">
        <f>IFERROR(VLOOKUP($B267,INDIRECT("'GRD-"&amp;DM$11&amp;"'!B:R"),15,FALSE),"")</f>
        <v/>
      </c>
      <c r="DN267" s="96">
        <f>IFERROR(VLOOKUP($B267,INDIRECT("'GRD-"&amp;DN$11&amp;"'!B:R"),15,FALSE),"")</f>
        <v/>
      </c>
      <c r="DO267" s="96">
        <f>IFERROR(VLOOKUP($B267,INDIRECT("'GRD-"&amp;DO$11&amp;"'!B:R"),15,FALSE),"")</f>
        <v/>
      </c>
      <c r="DP267" s="96">
        <f>IFERROR(VLOOKUP($B267,INDIRECT("'GRD-"&amp;DP$11&amp;"'!B:R"),15,FALSE),"")</f>
        <v/>
      </c>
      <c r="DQ267" s="96">
        <f>IFERROR(VLOOKUP($B267,INDIRECT("'GRD-"&amp;DQ$11&amp;"'!B:R"),15,FALSE),"")</f>
        <v/>
      </c>
      <c r="DR267" s="96">
        <f>IFERROR(VLOOKUP($B267,INDIRECT("'GRD-"&amp;DR$11&amp;"'!B:R"),15,FALSE),"")</f>
        <v/>
      </c>
      <c r="DS267" s="96">
        <f>IFERROR(VLOOKUP($B267,INDIRECT("'GRD-"&amp;DS$11&amp;"'!B:R"),15,FALSE),"")</f>
        <v/>
      </c>
      <c r="DT267" s="96">
        <f>IFERROR(VLOOKUP($B267,INDIRECT("'GRD-"&amp;DT$11&amp;"'!B:R"),15,FALSE),"")</f>
        <v/>
      </c>
      <c r="DU267" s="96">
        <f>IFERROR(VLOOKUP($B267,INDIRECT("'GRD-"&amp;DU$11&amp;"'!B:R"),15,FALSE),"")</f>
        <v/>
      </c>
      <c r="DV267" s="96">
        <f>IFERROR(VLOOKUP($B267,INDIRECT("'GRD-"&amp;DV$11&amp;"'!B:R"),15,FALSE),"")</f>
        <v/>
      </c>
      <c r="DW267" s="96">
        <f>IFERROR(VLOOKUP($B267,INDIRECT("'GRD-"&amp;DW$11&amp;"'!B:R"),15,FALSE),"")</f>
        <v/>
      </c>
      <c r="DX267" s="96">
        <f>IFERROR(VLOOKUP($B267,INDIRECT("'GRD-"&amp;DX$11&amp;"'!B:R"),15,FALSE),"")</f>
        <v/>
      </c>
      <c r="DY267" s="96">
        <f>IFERROR(VLOOKUP($B267,INDIRECT("'GRD-"&amp;DY$11&amp;"'!B:R"),15,FALSE),"")</f>
        <v/>
      </c>
      <c r="DZ267" s="96">
        <f>IFERROR(VLOOKUP($B267,INDIRECT("'GRD-"&amp;DZ$11&amp;"'!B:R"),15,FALSE),"")</f>
        <v/>
      </c>
      <c r="EA267" s="96">
        <f>IFERROR(VLOOKUP($B267,INDIRECT("'GRD-"&amp;EA$11&amp;"'!B:R"),15,FALSE),"")</f>
        <v/>
      </c>
      <c r="EB267" s="96">
        <f>IFERROR(VLOOKUP($B267,INDIRECT("'GRD-"&amp;EB$11&amp;"'!B:R"),15,FALSE),"")</f>
        <v/>
      </c>
      <c r="EC267" s="96">
        <f>IFERROR(VLOOKUP($B267,INDIRECT("'GRD-"&amp;EC$11&amp;"'!B:R"),15,FALSE),"")</f>
        <v/>
      </c>
      <c r="ED267" s="96">
        <f>IFERROR(VLOOKUP($B267,INDIRECT("'GRD-"&amp;ED$11&amp;"'!B:R"),15,FALSE),"")</f>
        <v/>
      </c>
      <c r="EE267" s="96">
        <f>IFERROR(VLOOKUP($B267,INDIRECT("'GRD-"&amp;EE$11&amp;"'!B:R"),15,FALSE),"")</f>
        <v/>
      </c>
      <c r="EF267" s="96">
        <f>IFERROR(VLOOKUP($B267,INDIRECT("'GRD-"&amp;EF$11&amp;"'!B:R"),15,FALSE),"")</f>
        <v/>
      </c>
      <c r="EG267" s="96">
        <f>IFERROR(VLOOKUP($B267,INDIRECT("'GRD-"&amp;EG$11&amp;"'!B:R"),15,FALSE),"")</f>
        <v/>
      </c>
      <c r="EH267" s="96">
        <f>IFERROR(VLOOKUP($B267,INDIRECT("'GRD-"&amp;EH$11&amp;"'!B:R"),15,FALSE),"")</f>
        <v/>
      </c>
      <c r="EI267" s="96">
        <f>IFERROR(VLOOKUP($B267,INDIRECT("'GRD-"&amp;EI$11&amp;"'!B:R"),15,FALSE),"")</f>
        <v/>
      </c>
      <c r="EJ267" s="96">
        <f>IFERROR(VLOOKUP($B267,INDIRECT("'GRD-"&amp;EJ$11&amp;"'!B:R"),15,FALSE),"")</f>
        <v/>
      </c>
      <c r="EK267" s="96">
        <f>IFERROR(VLOOKUP($B267,INDIRECT("'GRD-"&amp;EK$11&amp;"'!B:R"),15,FALSE),"")</f>
        <v/>
      </c>
      <c r="EL267" s="96">
        <f>IFERROR(VLOOKUP($B267,INDIRECT("'GRD-"&amp;EL$11&amp;"'!B:R"),15,FALSE),"")</f>
        <v/>
      </c>
      <c r="EM267" s="96">
        <f>IFERROR(VLOOKUP($B267,INDIRECT("'GRD-"&amp;EM$11&amp;"'!B:R"),15,FALSE),"")</f>
        <v/>
      </c>
      <c r="EN267" s="96">
        <f>IFERROR(VLOOKUP($B267,INDIRECT("'GRD-"&amp;EN$11&amp;"'!B:R"),15,FALSE),"")</f>
        <v/>
      </c>
      <c r="EO267" s="96">
        <f>IFERROR(VLOOKUP($B267,INDIRECT("'GRD-"&amp;EO$11&amp;"'!B:R"),15,FALSE),"")</f>
        <v/>
      </c>
      <c r="EP267" s="96">
        <f>IFERROR(VLOOKUP($B267,INDIRECT("'GRD-"&amp;EP$11&amp;"'!B:R"),15,FALSE),"")</f>
        <v/>
      </c>
      <c r="EQ267" s="96">
        <f>IFERROR(VLOOKUP($B267,INDIRECT("'GRD-"&amp;EQ$11&amp;"'!B:R"),15,FALSE),"")</f>
        <v/>
      </c>
      <c r="ER267" s="96">
        <f>IFERROR(VLOOKUP($B267,INDIRECT("'GRD-"&amp;ER$11&amp;"'!B:R"),15,FALSE),"")</f>
        <v/>
      </c>
      <c r="ES267" s="96">
        <f>IFERROR(VLOOKUP($B267,INDIRECT("'GRD-"&amp;ES$11&amp;"'!B:R"),15,FALSE),"")</f>
        <v/>
      </c>
      <c r="ET267" s="96">
        <f>IFERROR(VLOOKUP($B267,INDIRECT("'GRD-"&amp;ET$11&amp;"'!B:R"),15,FALSE),"")</f>
        <v/>
      </c>
      <c r="EU267" s="96">
        <f>IFERROR(VLOOKUP($B267,INDIRECT("'GRD-"&amp;EU$11&amp;"'!B:R"),15,FALSE),"")</f>
        <v/>
      </c>
      <c r="EV267" s="96">
        <f>IFERROR(VLOOKUP($B267,INDIRECT("'GRD-"&amp;EV$11&amp;"'!B:R"),15,FALSE),"")</f>
        <v/>
      </c>
      <c r="EW267" s="96">
        <f>IFERROR(VLOOKUP($B267,INDIRECT("'GRD-"&amp;EW$11&amp;"'!B:R"),15,FALSE),"")</f>
        <v/>
      </c>
      <c r="EX267" s="96">
        <f>IFERROR(VLOOKUP($B267,INDIRECT("'GRD-"&amp;EX$11&amp;"'!B:R"),15,FALSE),"")</f>
        <v/>
      </c>
      <c r="EY267" s="96">
        <f>IFERROR(VLOOKUP($B267,INDIRECT("'GRD-"&amp;EY$11&amp;"'!B:R"),15,FALSE),"")</f>
        <v/>
      </c>
      <c r="EZ267" s="96">
        <f>IFERROR(VLOOKUP($B267,INDIRECT("'GRD-"&amp;EZ$11&amp;"'!B:R"),15,FALSE),"")</f>
        <v/>
      </c>
      <c r="FA267" s="96">
        <f>IFERROR(VLOOKUP($B267,INDIRECT("'GRD-"&amp;FA$11&amp;"'!B:R"),15,FALSE),"")</f>
        <v/>
      </c>
      <c r="FB267" s="96">
        <f>IFERROR(VLOOKUP($B267,INDIRECT("'GRD-"&amp;FB$11&amp;"'!B:R"),15,FALSE),"")</f>
        <v/>
      </c>
      <c r="FC267" s="96">
        <f>IFERROR(VLOOKUP($B267,INDIRECT("'GRD-"&amp;FC$11&amp;"'!B:R"),15,FALSE),"")</f>
        <v/>
      </c>
      <c r="FD267" s="96">
        <f>IFERROR(VLOOKUP($B267,INDIRECT("'GRD-"&amp;FD$11&amp;"'!B:R"),15,FALSE),"")</f>
        <v/>
      </c>
      <c r="FE267" s="96">
        <f>IFERROR(VLOOKUP($B267,INDIRECT("'GRD-"&amp;FE$11&amp;"'!B:R"),15,FALSE),"")</f>
        <v/>
      </c>
      <c r="FF267" s="96">
        <f>IFERROR(VLOOKUP($B267,INDIRECT("'GRD-"&amp;FF$11&amp;"'!B:R"),15,FALSE),"")</f>
        <v/>
      </c>
      <c r="FG267" s="96">
        <f>IFERROR(VLOOKUP($B267,INDIRECT("'GRD-"&amp;FG$11&amp;"'!B:R"),15,FALSE),"")</f>
        <v/>
      </c>
      <c r="FH267" s="96">
        <f>IFERROR(VLOOKUP($B267,INDIRECT("'GRD-"&amp;FH$11&amp;"'!B:R"),15,FALSE),"")</f>
        <v/>
      </c>
      <c r="FI267" s="96">
        <f>IFERROR(VLOOKUP($B267,INDIRECT("'GRD-"&amp;FI$11&amp;"'!B:R"),15,FALSE),"")</f>
        <v/>
      </c>
      <c r="FJ267" s="96">
        <f>IFERROR(VLOOKUP($B267,INDIRECT("'GRD-"&amp;FJ$11&amp;"'!B:R"),15,FALSE),"")</f>
        <v/>
      </c>
      <c r="FK267" s="96">
        <f>IFERROR(VLOOKUP($B267,INDIRECT("'GRD-"&amp;FK$11&amp;"'!B:R"),15,FALSE),"")</f>
        <v/>
      </c>
      <c r="FL267" s="96">
        <f>IFERROR(VLOOKUP($B267,INDIRECT("'GRD-"&amp;FL$11&amp;"'!B:R"),15,FALSE),"")</f>
        <v/>
      </c>
      <c r="FM267" s="96">
        <f>IFERROR(VLOOKUP($B267,INDIRECT("'GRD-"&amp;FM$11&amp;"'!B:R"),15,FALSE),"")</f>
        <v/>
      </c>
      <c r="FN267" s="96">
        <f>IFERROR(VLOOKUP($B267,INDIRECT("'GRD-"&amp;FN$11&amp;"'!B:R"),15,FALSE),"")</f>
        <v/>
      </c>
      <c r="FO267" s="96">
        <f>IFERROR(VLOOKUP($B267,INDIRECT("'GRD-"&amp;FO$11&amp;"'!B:R"),15,FALSE),"")</f>
        <v/>
      </c>
      <c r="FP267" s="96">
        <f>IFERROR(VLOOKUP($B267,INDIRECT("'GRD-"&amp;FP$11&amp;"'!B:R"),15,FALSE),"")</f>
        <v/>
      </c>
      <c r="FQ267" s="96">
        <f>IFERROR(VLOOKUP($B267,INDIRECT("'GRD-"&amp;FQ$11&amp;"'!B:R"),15,FALSE),"")</f>
        <v/>
      </c>
      <c r="FR267" s="96">
        <f>IFERROR(VLOOKUP($B267,INDIRECT("'GRD-"&amp;FR$11&amp;"'!B:R"),15,FALSE),"")</f>
        <v/>
      </c>
      <c r="FS267" s="96">
        <f>IFERROR(VLOOKUP($B267,INDIRECT("'GRD-"&amp;FS$11&amp;"'!B:R"),15,FALSE),"")</f>
        <v/>
      </c>
      <c r="FT267" s="96">
        <f>IFERROR(VLOOKUP($B267,INDIRECT("'GRD-"&amp;FT$11&amp;"'!B:R"),15,FALSE),"")</f>
        <v/>
      </c>
      <c r="FU267" s="96">
        <f>IFERROR(VLOOKUP($B267,INDIRECT("'GRD-"&amp;FU$11&amp;"'!B:R"),15,FALSE),"")</f>
        <v/>
      </c>
      <c r="FV267" s="96">
        <f>IFERROR(VLOOKUP($B267,INDIRECT("'GRD-"&amp;FV$11&amp;"'!B:R"),15,FALSE),"")</f>
        <v/>
      </c>
    </row>
    <row r="268">
      <c r="B268" s="85" t="n"/>
      <c r="C268" s="93" t="n"/>
      <c r="D268" s="73">
        <f>IF(K268="","",MAX($CA268:$FV268))</f>
        <v/>
      </c>
      <c r="E268" s="74">
        <f t="array" ref="E268">IF($K268="","",OFFSET($A$1,ROW($B268)-1,11+$D268*4,))</f>
        <v/>
      </c>
      <c r="F268" s="74">
        <f t="array" ref="F268">IF($K268="","",OFFSET($A$1,ROW($B268)-1,12+$D268*4,))</f>
        <v/>
      </c>
      <c r="G268" s="118">
        <f t="array" ref="G268">IF($K268="","",OFFSET($A$1,ROW($B268)-1,13+$D268*4,))</f>
        <v/>
      </c>
      <c r="H268" s="81" t="n"/>
      <c r="I268" s="82" t="n"/>
      <c r="J268" s="75">
        <f>IF(I268="A4",H268/8,IF(I268="A3",H268/4,IF(I268="A2",H268/2,IF(I268="A1",H268/1,IF(I268="A0",H268*2,"")))))</f>
        <v/>
      </c>
      <c r="K268" s="68">
        <f t="array" ref="K268">IFERROR(OFFSET($BZ$11,ROW($B268)-11,MATCH(K$10,$CA268:$FV268,0),),"")</f>
        <v/>
      </c>
      <c r="L268" s="85">
        <f>IF(K268="","",IF(VLOOKUP($B268,INDIRECT("'GRD-"&amp;M268&amp;"'!$B:$R"),16,FALSE)="","",VLOOKUP($B268,INDIRECT("'GRD-"&amp;M268&amp;"'!$B:$R"),16,FALSE)))</f>
        <v/>
      </c>
      <c r="M268" s="130">
        <f t="array" ref="M268">IF(K268="","",IFERROR(OFFSET($BZ$11,0,MATCH($K268,$CA268:$FV268,0),),""))</f>
        <v/>
      </c>
      <c r="N268" s="119">
        <f t="array" ref="N268">IF(K268="","",INDIRECT("'GRD-"&amp;M268&amp;"'!$L$7"))</f>
        <v/>
      </c>
      <c r="O268" s="76">
        <f t="array" ref="O268">IFERROR(OFFSET($BZ$11,ROW($B268)-11,MATCH(O$10,$CA268:$FV268,0),),"")</f>
        <v/>
      </c>
      <c r="P268" s="76">
        <f>IF(O268="","",IF(VLOOKUP($B268,INDIRECT("'GRD-"&amp;Q268&amp;"'!$B:$R"),16,FALSE)="","",VLOOKUP($B268,INDIRECT("'GRD-"&amp;Q268&amp;"'!$B:$R"),16,FALSE)))</f>
        <v/>
      </c>
      <c r="Q268" s="132">
        <f t="array" ref="Q268">IF(O268="","",IFERROR(OFFSET($BZ$11,0,MATCH($O268,$CA268:$FV268,0),),""))</f>
        <v/>
      </c>
      <c r="R268" s="121">
        <f t="array" ref="R268">IF(O268="","",INDIRECT("'GRD-"&amp;Q268&amp;"'!$L$7"))</f>
        <v/>
      </c>
      <c r="S268" s="83">
        <f t="array" ref="S268">IFERROR(OFFSET($BZ$11,ROW($B268)-11,MATCH(S$10,$CA268:$FV268,0),),"")</f>
        <v/>
      </c>
      <c r="T268" s="83">
        <f>IF(S268="","",IF(VLOOKUP($B268,INDIRECT("'GRD-"&amp;U268&amp;"'!$B:$R"),16,FALSE)="","",VLOOKUP($B268,INDIRECT("'GRD-"&amp;U268&amp;"'!$B:$R"),16,FALSE)))</f>
        <v/>
      </c>
      <c r="U268" s="128">
        <f t="array" ref="U268">IF(S268="","",IFERROR(OFFSET($BZ$11,0,MATCH($S268,$CA268:$FV268,0),),""))</f>
        <v/>
      </c>
      <c r="V268" s="133">
        <f t="array" ref="V268">IF(S268="","",INDIRECT("'GRD-"&amp;U268&amp;"'!$L$7"))</f>
        <v/>
      </c>
      <c r="W268" s="84">
        <f t="array" ref="W268">IFERROR(OFFSET($BZ$11,ROW($B268)-11,MATCH(W$10,$CA268:$FV268,0),),"")</f>
        <v/>
      </c>
      <c r="X268" s="84">
        <f>IF(W268="","",IF(VLOOKUP($B268,INDIRECT("'GRD-"&amp;Y268&amp;"'!$B:$R"),16,FALSE)="","",VLOOKUP($B268,INDIRECT("'GRD-"&amp;Y268&amp;"'!$B:$R"),16,FALSE)))</f>
        <v/>
      </c>
      <c r="Y268" s="129">
        <f t="array" ref="Y268">IF(W268="","",IFERROR(OFFSET($BZ$11,0,MATCH($W268,$CA268:$FV268,0),),""))</f>
        <v/>
      </c>
      <c r="Z268" s="134">
        <f t="array" ref="Z268">IF(W268="","",INDIRECT("'GRD-"&amp;Y268&amp;"'!$L$7"))</f>
        <v/>
      </c>
      <c r="AA268" s="85">
        <f t="array" ref="AA268">IFERROR(OFFSET($BZ$11,ROW($B268)-11,MATCH(AA$10,$CA268:$FV268,0),),"")</f>
        <v/>
      </c>
      <c r="AB268" s="85">
        <f>IF(AA268="","",IF(VLOOKUP($B268,INDIRECT("'GRD-"&amp;AC268&amp;"'!$B:$R"),16,FALSE)="","",VLOOKUP($B268,INDIRECT("'GRD-"&amp;AC268&amp;"'!$B:$R"),16,FALSE)))</f>
        <v/>
      </c>
      <c r="AC268" s="130">
        <f t="array" ref="AC268">IF(AA268="","",IFERROR(OFFSET($BZ$11,0,MATCH($AA268,$CA268:$FV268,0),),""))</f>
        <v/>
      </c>
      <c r="AD268" s="131">
        <f t="array" ref="AD268">IF(AA268="","",INDIRECT("'GRD-"&amp;AC268&amp;"'!$L$7"))</f>
        <v/>
      </c>
      <c r="AE268" s="76">
        <f t="array" ref="AE268">IFERROR(OFFSET($BZ$11,ROW($B268)-11,MATCH(AE$10,$CA268:$FV268,0),),"")</f>
        <v/>
      </c>
      <c r="AF268" s="76">
        <f>IF(AE268="","",IF(VLOOKUP($B268,INDIRECT("'GRD-"&amp;AG268&amp;"'!$B:$R"),16,FALSE)="","",VLOOKUP($B268,INDIRECT("'GRD-"&amp;AG268&amp;"'!$B:$R"),16,FALSE)))</f>
        <v/>
      </c>
      <c r="AG268" s="132">
        <f t="array" ref="AG268">IF(AE268="","",IFERROR(OFFSET($BZ$11,0,MATCH($AE268,$CA268:$FV268,0),),""))</f>
        <v/>
      </c>
      <c r="AH268" s="121">
        <f t="array" ref="AH268">IF(AE268="","",INDIRECT("'GRD-"&amp;AG268&amp;"'!$L$7"))</f>
        <v/>
      </c>
      <c r="AI268" s="83">
        <f t="array" ref="AI268">IFERROR(OFFSET($BZ$11,ROW($B268)-11,MATCH(AI$10,$CA268:$FV268,0),),"")</f>
        <v/>
      </c>
      <c r="AJ268" s="83">
        <f>IF(AI268="","",IF(VLOOKUP($B268,INDIRECT("'GRD-"&amp;AK268&amp;"'!$B:$R"),16,FALSE)="","",VLOOKUP($B268,INDIRECT("'GRD-"&amp;AK268&amp;"'!$B:$R"),16,FALSE)))</f>
        <v/>
      </c>
      <c r="AK268" s="128">
        <f t="array" ref="AK268">IF(AI268="","",IFERROR(OFFSET($BZ$11,0,MATCH($AI268,$CA268:$FV268,0),),""))</f>
        <v/>
      </c>
      <c r="AL268" s="133">
        <f t="array" ref="AL268">IF(AI268="","",INDIRECT("'GRD-"&amp;AK268&amp;"'!$L$7"))</f>
        <v/>
      </c>
      <c r="AM268" s="84">
        <f t="array" ref="AM268">IFERROR(OFFSET($BZ$11,ROW($B268)-11,MATCH(AM$10,$CA268:$FV268,0),),"")</f>
        <v/>
      </c>
      <c r="AN268" s="84">
        <f>IF(AM268="","",IF(VLOOKUP($B268,INDIRECT("'GRD-"&amp;AO268&amp;"'!$B:$R"),16,FALSE)="","",VLOOKUP($B268,INDIRECT("'GRD-"&amp;AO268&amp;"'!$B:$R"),16,FALSE)))</f>
        <v/>
      </c>
      <c r="AO268" s="129">
        <f t="array" ref="AO268">IF(AM268="","",IFERROR(OFFSET($BZ$11,0,MATCH($AM268,$CA268:$FV268,0),),""))</f>
        <v/>
      </c>
      <c r="AP268" s="134">
        <f t="array" ref="AP268">IF(AM268="","",INDIRECT("'GRD-"&amp;AO268&amp;"'!$L$7"))</f>
        <v/>
      </c>
      <c r="AQ268" s="85">
        <f t="array" ref="AQ268">IFERROR(OFFSET($BZ$11,ROW($B268)-11,MATCH(AQ$10,$CA268:$FV268,0),),"")</f>
        <v/>
      </c>
      <c r="AR268" s="85">
        <f>IF(AQ268="","",IF(VLOOKUP($B268,INDIRECT("'GRD-"&amp;AS268&amp;"'!$B:$R"),16,FALSE)="","",VLOOKUP($B268,INDIRECT("'GRD-"&amp;AS268&amp;"'!$B:$R"),16,FALSE)))</f>
        <v/>
      </c>
      <c r="AS268" s="130">
        <f t="array" ref="AS268">IF(AQ268="","",IFERROR(OFFSET($BZ$11,0,MATCH($AQ268,$CA268:$FV268,0),),""))</f>
        <v/>
      </c>
      <c r="AT268" s="131">
        <f t="array" ref="AT268">IF(AQ268="","",INDIRECT("'GRD-"&amp;AS268&amp;"'!$L$7"))</f>
        <v/>
      </c>
      <c r="AU268" s="76">
        <f t="array" ref="AU268">IFERROR(OFFSET($BZ$11,ROW($B268)-11,MATCH(AU$10,$CA268:$FV268,0),),"")</f>
        <v/>
      </c>
      <c r="AV268" s="76">
        <f>IF(AU268="","",IF(VLOOKUP($B268,INDIRECT("'GRD-"&amp;AW268&amp;"'!$B:$R"),16,FALSE)="","",VLOOKUP($B268,INDIRECT("'GRD-"&amp;AW268&amp;"'!$B:$R"),16,FALSE)))</f>
        <v/>
      </c>
      <c r="AW268" s="132">
        <f t="array" ref="AW268">IF(AU268="","",IFERROR(OFFSET($BZ$11,0,MATCH($AU268,$CA268:$FV268,0),),""))</f>
        <v/>
      </c>
      <c r="AX268" s="121">
        <f t="array" ref="AX268">IF(AU268="","",INDIRECT("'GRD-"&amp;AW268&amp;"'!$L$7"))</f>
        <v/>
      </c>
      <c r="AY268" s="83">
        <f t="array" ref="AY268">IFERROR(OFFSET($BZ$11,ROW($B268)-11,MATCH(AY$10,$CA268:$FV268,0),),"")</f>
        <v/>
      </c>
      <c r="AZ268" s="83">
        <f>IF(AY268="","",IF(VLOOKUP($B268,INDIRECT("'GRD-"&amp;BA268&amp;"'!$B:$R"),16,FALSE)="","",VLOOKUP($B268,INDIRECT("'GRD-"&amp;BA268&amp;"'!$B:$R"),16,FALSE)))</f>
        <v/>
      </c>
      <c r="BA268" s="128">
        <f t="array" ref="BA268">IF(AY268="","",IFERROR(OFFSET($BZ$11,0,MATCH($AY268,$CA268:$FV268,0),),""))</f>
        <v/>
      </c>
      <c r="BB268" s="133">
        <f t="array" ref="BB268">IF(AY268="","",INDIRECT("'GRD-"&amp;BA268&amp;"'!$L$7"))</f>
        <v/>
      </c>
      <c r="BC268" s="84">
        <f t="array" ref="BC268">IFERROR(OFFSET($BZ$11,ROW($B268)-11,MATCH(BC$10,$CA268:$FV268,0),),"")</f>
        <v/>
      </c>
      <c r="BD268" s="84">
        <f>IF(BC268="","",IF(VLOOKUP($B268,INDIRECT("'GRD-"&amp;BE268&amp;"'!$B:$R"),16,FALSE)="","",VLOOKUP($B268,INDIRECT("'GRD-"&amp;BE268&amp;"'!$B:$R"),16,FALSE)))</f>
        <v/>
      </c>
      <c r="BE268" s="129">
        <f t="array" ref="BE268">IF(BC268="","",IFERROR(OFFSET($BZ$11,0,MATCH($BC268,$CA268:$FV268,0),),""))</f>
        <v/>
      </c>
      <c r="BF268" s="134">
        <f t="array" ref="BF268">IF(BC268="","",INDIRECT("'GRD-"&amp;BE268&amp;"'!$L$7"))</f>
        <v/>
      </c>
      <c r="CA268" s="96">
        <f>IFERROR(VLOOKUP($B268,INDIRECT("'GRD-"&amp;CA$11&amp;"'!B:R"),15,FALSE),"")</f>
        <v/>
      </c>
      <c r="CB268" s="96">
        <f>IFERROR(VLOOKUP($B268,INDIRECT("'GRD-"&amp;CB$11&amp;"'!B:R"),15,FALSE),"")</f>
        <v/>
      </c>
      <c r="CC268" s="96">
        <f>IFERROR(VLOOKUP($B268,INDIRECT("'GRD-"&amp;CC$11&amp;"'!B:R"),15,FALSE),"")</f>
        <v/>
      </c>
      <c r="CD268" s="96">
        <f>IFERROR(VLOOKUP($B268,INDIRECT("'GRD-"&amp;CD$11&amp;"'!B:R"),15,FALSE),"")</f>
        <v/>
      </c>
      <c r="CE268" s="96">
        <f>IFERROR(VLOOKUP($B268,INDIRECT("'GRD-"&amp;CE$11&amp;"'!B:R"),15,FALSE),"")</f>
        <v/>
      </c>
      <c r="CF268" s="96">
        <f>IFERROR(VLOOKUP($B268,INDIRECT("'GRD-"&amp;CF$11&amp;"'!B:R"),15,FALSE),"")</f>
        <v/>
      </c>
      <c r="CG268" s="96">
        <f>IFERROR(VLOOKUP($B268,INDIRECT("'GRD-"&amp;CG$11&amp;"'!B:R"),15,FALSE),"")</f>
        <v/>
      </c>
      <c r="CH268" s="96">
        <f>IFERROR(VLOOKUP($B268,INDIRECT("'GRD-"&amp;CH$11&amp;"'!B:R"),15,FALSE),"")</f>
        <v/>
      </c>
      <c r="CI268" s="96">
        <f>IFERROR(VLOOKUP($B268,INDIRECT("'GRD-"&amp;CI$11&amp;"'!B:R"),15,FALSE),"")</f>
        <v/>
      </c>
      <c r="CJ268" s="96">
        <f>IFERROR(VLOOKUP($B268,INDIRECT("'GRD-"&amp;CJ$11&amp;"'!B:R"),15,FALSE),"")</f>
        <v/>
      </c>
      <c r="CK268" s="96">
        <f>IFERROR(VLOOKUP($B268,INDIRECT("'GRD-"&amp;CK$11&amp;"'!B:R"),15,FALSE),"")</f>
        <v/>
      </c>
      <c r="CL268" s="96">
        <f>IFERROR(VLOOKUP($B268,INDIRECT("'GRD-"&amp;CL$11&amp;"'!B:R"),15,FALSE),"")</f>
        <v/>
      </c>
      <c r="CM268" s="96">
        <f>IFERROR(VLOOKUP($B268,INDIRECT("'GRD-"&amp;CM$11&amp;"'!B:R"),15,FALSE),"")</f>
        <v/>
      </c>
      <c r="CN268" s="96">
        <f>IFERROR(VLOOKUP($B268,INDIRECT("'GRD-"&amp;CN$11&amp;"'!B:R"),15,FALSE),"")</f>
        <v/>
      </c>
      <c r="CO268" s="96">
        <f>IFERROR(VLOOKUP($B268,INDIRECT("'GRD-"&amp;CO$11&amp;"'!B:R"),15,FALSE),"")</f>
        <v/>
      </c>
      <c r="CP268" s="96">
        <f>IFERROR(VLOOKUP($B268,INDIRECT("'GRD-"&amp;CP$11&amp;"'!B:R"),15,FALSE),"")</f>
        <v/>
      </c>
      <c r="CQ268" s="96">
        <f>IFERROR(VLOOKUP($B268,INDIRECT("'GRD-"&amp;CQ$11&amp;"'!B:R"),15,FALSE),"")</f>
        <v/>
      </c>
      <c r="CR268" s="96">
        <f>IFERROR(VLOOKUP($B268,INDIRECT("'GRD-"&amp;CR$11&amp;"'!B:R"),15,FALSE),"")</f>
        <v/>
      </c>
      <c r="CS268" s="96">
        <f>IFERROR(VLOOKUP($B268,INDIRECT("'GRD-"&amp;CS$11&amp;"'!B:R"),15,FALSE),"")</f>
        <v/>
      </c>
      <c r="CT268" s="96">
        <f>IFERROR(VLOOKUP($B268,INDIRECT("'GRD-"&amp;CT$11&amp;"'!B:R"),15,FALSE),"")</f>
        <v/>
      </c>
      <c r="CU268" s="96">
        <f>IFERROR(VLOOKUP($B268,INDIRECT("'GRD-"&amp;CU$11&amp;"'!B:R"),15,FALSE),"")</f>
        <v/>
      </c>
      <c r="CV268" s="96">
        <f>IFERROR(VLOOKUP($B268,INDIRECT("'GRD-"&amp;CV$11&amp;"'!B:R"),15,FALSE),"")</f>
        <v/>
      </c>
      <c r="CW268" s="96">
        <f>IFERROR(VLOOKUP($B268,INDIRECT("'GRD-"&amp;CW$11&amp;"'!B:R"),15,FALSE),"")</f>
        <v/>
      </c>
      <c r="CX268" s="96">
        <f>IFERROR(VLOOKUP($B268,INDIRECT("'GRD-"&amp;CX$11&amp;"'!B:R"),15,FALSE),"")</f>
        <v/>
      </c>
      <c r="CY268" s="96">
        <f>IFERROR(VLOOKUP($B268,INDIRECT("'GRD-"&amp;CY$11&amp;"'!B:R"),15,FALSE),"")</f>
        <v/>
      </c>
      <c r="CZ268" s="96">
        <f>IFERROR(VLOOKUP($B268,INDIRECT("'GRD-"&amp;CZ$11&amp;"'!B:R"),15,FALSE),"")</f>
        <v/>
      </c>
      <c r="DA268" s="96">
        <f>IFERROR(VLOOKUP($B268,INDIRECT("'GRD-"&amp;DA$11&amp;"'!B:R"),15,FALSE),"")</f>
        <v/>
      </c>
      <c r="DB268" s="96">
        <f>IFERROR(VLOOKUP($B268,INDIRECT("'GRD-"&amp;DB$11&amp;"'!B:R"),15,FALSE),"")</f>
        <v/>
      </c>
      <c r="DC268" s="96">
        <f>IFERROR(VLOOKUP($B268,INDIRECT("'GRD-"&amp;DC$11&amp;"'!B:R"),15,FALSE),"")</f>
        <v/>
      </c>
      <c r="DD268" s="96">
        <f>IFERROR(VLOOKUP($B268,INDIRECT("'GRD-"&amp;DD$11&amp;"'!B:R"),15,FALSE),"")</f>
        <v/>
      </c>
      <c r="DE268" s="96">
        <f>IFERROR(VLOOKUP($B268,INDIRECT("'GRD-"&amp;DE$11&amp;"'!B:R"),15,FALSE),"")</f>
        <v/>
      </c>
      <c r="DF268" s="96">
        <f>IFERROR(VLOOKUP($B268,INDIRECT("'GRD-"&amp;DF$11&amp;"'!B:R"),15,FALSE),"")</f>
        <v/>
      </c>
      <c r="DG268" s="96">
        <f>IFERROR(VLOOKUP($B268,INDIRECT("'GRD-"&amp;DG$11&amp;"'!B:R"),15,FALSE),"")</f>
        <v/>
      </c>
      <c r="DH268" s="96">
        <f>IFERROR(VLOOKUP($B268,INDIRECT("'GRD-"&amp;DH$11&amp;"'!B:R"),15,FALSE),"")</f>
        <v/>
      </c>
      <c r="DI268" s="96">
        <f>IFERROR(VLOOKUP($B268,INDIRECT("'GRD-"&amp;DI$11&amp;"'!B:R"),15,FALSE),"")</f>
        <v/>
      </c>
      <c r="DJ268" s="96">
        <f>IFERROR(VLOOKUP($B268,INDIRECT("'GRD-"&amp;DJ$11&amp;"'!B:R"),15,FALSE),"")</f>
        <v/>
      </c>
      <c r="DK268" s="96">
        <f>IFERROR(VLOOKUP($B268,INDIRECT("'GRD-"&amp;DK$11&amp;"'!B:R"),15,FALSE),"")</f>
        <v/>
      </c>
      <c r="DL268" s="96">
        <f>IFERROR(VLOOKUP($B268,INDIRECT("'GRD-"&amp;DL$11&amp;"'!B:R"),15,FALSE),"")</f>
        <v/>
      </c>
      <c r="DM268" s="96">
        <f>IFERROR(VLOOKUP($B268,INDIRECT("'GRD-"&amp;DM$11&amp;"'!B:R"),15,FALSE),"")</f>
        <v/>
      </c>
      <c r="DN268" s="96">
        <f>IFERROR(VLOOKUP($B268,INDIRECT("'GRD-"&amp;DN$11&amp;"'!B:R"),15,FALSE),"")</f>
        <v/>
      </c>
      <c r="DO268" s="96">
        <f>IFERROR(VLOOKUP($B268,INDIRECT("'GRD-"&amp;DO$11&amp;"'!B:R"),15,FALSE),"")</f>
        <v/>
      </c>
      <c r="DP268" s="96">
        <f>IFERROR(VLOOKUP($B268,INDIRECT("'GRD-"&amp;DP$11&amp;"'!B:R"),15,FALSE),"")</f>
        <v/>
      </c>
      <c r="DQ268" s="96">
        <f>IFERROR(VLOOKUP($B268,INDIRECT("'GRD-"&amp;DQ$11&amp;"'!B:R"),15,FALSE),"")</f>
        <v/>
      </c>
      <c r="DR268" s="96">
        <f>IFERROR(VLOOKUP($B268,INDIRECT("'GRD-"&amp;DR$11&amp;"'!B:R"),15,FALSE),"")</f>
        <v/>
      </c>
      <c r="DS268" s="96">
        <f>IFERROR(VLOOKUP($B268,INDIRECT("'GRD-"&amp;DS$11&amp;"'!B:R"),15,FALSE),"")</f>
        <v/>
      </c>
      <c r="DT268" s="96">
        <f>IFERROR(VLOOKUP($B268,INDIRECT("'GRD-"&amp;DT$11&amp;"'!B:R"),15,FALSE),"")</f>
        <v/>
      </c>
      <c r="DU268" s="96">
        <f>IFERROR(VLOOKUP($B268,INDIRECT("'GRD-"&amp;DU$11&amp;"'!B:R"),15,FALSE),"")</f>
        <v/>
      </c>
      <c r="DV268" s="96">
        <f>IFERROR(VLOOKUP($B268,INDIRECT("'GRD-"&amp;DV$11&amp;"'!B:R"),15,FALSE),"")</f>
        <v/>
      </c>
      <c r="DW268" s="96">
        <f>IFERROR(VLOOKUP($B268,INDIRECT("'GRD-"&amp;DW$11&amp;"'!B:R"),15,FALSE),"")</f>
        <v/>
      </c>
      <c r="DX268" s="96">
        <f>IFERROR(VLOOKUP($B268,INDIRECT("'GRD-"&amp;DX$11&amp;"'!B:R"),15,FALSE),"")</f>
        <v/>
      </c>
      <c r="DY268" s="96">
        <f>IFERROR(VLOOKUP($B268,INDIRECT("'GRD-"&amp;DY$11&amp;"'!B:R"),15,FALSE),"")</f>
        <v/>
      </c>
      <c r="DZ268" s="96">
        <f>IFERROR(VLOOKUP($B268,INDIRECT("'GRD-"&amp;DZ$11&amp;"'!B:R"),15,FALSE),"")</f>
        <v/>
      </c>
      <c r="EA268" s="96">
        <f>IFERROR(VLOOKUP($B268,INDIRECT("'GRD-"&amp;EA$11&amp;"'!B:R"),15,FALSE),"")</f>
        <v/>
      </c>
      <c r="EB268" s="96">
        <f>IFERROR(VLOOKUP($B268,INDIRECT("'GRD-"&amp;EB$11&amp;"'!B:R"),15,FALSE),"")</f>
        <v/>
      </c>
      <c r="EC268" s="96">
        <f>IFERROR(VLOOKUP($B268,INDIRECT("'GRD-"&amp;EC$11&amp;"'!B:R"),15,FALSE),"")</f>
        <v/>
      </c>
      <c r="ED268" s="96">
        <f>IFERROR(VLOOKUP($B268,INDIRECT("'GRD-"&amp;ED$11&amp;"'!B:R"),15,FALSE),"")</f>
        <v/>
      </c>
      <c r="EE268" s="96">
        <f>IFERROR(VLOOKUP($B268,INDIRECT("'GRD-"&amp;EE$11&amp;"'!B:R"),15,FALSE),"")</f>
        <v/>
      </c>
      <c r="EF268" s="96">
        <f>IFERROR(VLOOKUP($B268,INDIRECT("'GRD-"&amp;EF$11&amp;"'!B:R"),15,FALSE),"")</f>
        <v/>
      </c>
      <c r="EG268" s="96">
        <f>IFERROR(VLOOKUP($B268,INDIRECT("'GRD-"&amp;EG$11&amp;"'!B:R"),15,FALSE),"")</f>
        <v/>
      </c>
      <c r="EH268" s="96">
        <f>IFERROR(VLOOKUP($B268,INDIRECT("'GRD-"&amp;EH$11&amp;"'!B:R"),15,FALSE),"")</f>
        <v/>
      </c>
      <c r="EI268" s="96">
        <f>IFERROR(VLOOKUP($B268,INDIRECT("'GRD-"&amp;EI$11&amp;"'!B:R"),15,FALSE),"")</f>
        <v/>
      </c>
      <c r="EJ268" s="96">
        <f>IFERROR(VLOOKUP($B268,INDIRECT("'GRD-"&amp;EJ$11&amp;"'!B:R"),15,FALSE),"")</f>
        <v/>
      </c>
      <c r="EK268" s="96">
        <f>IFERROR(VLOOKUP($B268,INDIRECT("'GRD-"&amp;EK$11&amp;"'!B:R"),15,FALSE),"")</f>
        <v/>
      </c>
      <c r="EL268" s="96">
        <f>IFERROR(VLOOKUP($B268,INDIRECT("'GRD-"&amp;EL$11&amp;"'!B:R"),15,FALSE),"")</f>
        <v/>
      </c>
      <c r="EM268" s="96">
        <f>IFERROR(VLOOKUP($B268,INDIRECT("'GRD-"&amp;EM$11&amp;"'!B:R"),15,FALSE),"")</f>
        <v/>
      </c>
      <c r="EN268" s="96">
        <f>IFERROR(VLOOKUP($B268,INDIRECT("'GRD-"&amp;EN$11&amp;"'!B:R"),15,FALSE),"")</f>
        <v/>
      </c>
      <c r="EO268" s="96">
        <f>IFERROR(VLOOKUP($B268,INDIRECT("'GRD-"&amp;EO$11&amp;"'!B:R"),15,FALSE),"")</f>
        <v/>
      </c>
      <c r="EP268" s="96">
        <f>IFERROR(VLOOKUP($B268,INDIRECT("'GRD-"&amp;EP$11&amp;"'!B:R"),15,FALSE),"")</f>
        <v/>
      </c>
      <c r="EQ268" s="96">
        <f>IFERROR(VLOOKUP($B268,INDIRECT("'GRD-"&amp;EQ$11&amp;"'!B:R"),15,FALSE),"")</f>
        <v/>
      </c>
      <c r="ER268" s="96">
        <f>IFERROR(VLOOKUP($B268,INDIRECT("'GRD-"&amp;ER$11&amp;"'!B:R"),15,FALSE),"")</f>
        <v/>
      </c>
      <c r="ES268" s="96">
        <f>IFERROR(VLOOKUP($B268,INDIRECT("'GRD-"&amp;ES$11&amp;"'!B:R"),15,FALSE),"")</f>
        <v/>
      </c>
      <c r="ET268" s="96">
        <f>IFERROR(VLOOKUP($B268,INDIRECT("'GRD-"&amp;ET$11&amp;"'!B:R"),15,FALSE),"")</f>
        <v/>
      </c>
      <c r="EU268" s="96">
        <f>IFERROR(VLOOKUP($B268,INDIRECT("'GRD-"&amp;EU$11&amp;"'!B:R"),15,FALSE),"")</f>
        <v/>
      </c>
      <c r="EV268" s="96">
        <f>IFERROR(VLOOKUP($B268,INDIRECT("'GRD-"&amp;EV$11&amp;"'!B:R"),15,FALSE),"")</f>
        <v/>
      </c>
      <c r="EW268" s="96">
        <f>IFERROR(VLOOKUP($B268,INDIRECT("'GRD-"&amp;EW$11&amp;"'!B:R"),15,FALSE),"")</f>
        <v/>
      </c>
      <c r="EX268" s="96">
        <f>IFERROR(VLOOKUP($B268,INDIRECT("'GRD-"&amp;EX$11&amp;"'!B:R"),15,FALSE),"")</f>
        <v/>
      </c>
      <c r="EY268" s="96">
        <f>IFERROR(VLOOKUP($B268,INDIRECT("'GRD-"&amp;EY$11&amp;"'!B:R"),15,FALSE),"")</f>
        <v/>
      </c>
      <c r="EZ268" s="96">
        <f>IFERROR(VLOOKUP($B268,INDIRECT("'GRD-"&amp;EZ$11&amp;"'!B:R"),15,FALSE),"")</f>
        <v/>
      </c>
      <c r="FA268" s="96">
        <f>IFERROR(VLOOKUP($B268,INDIRECT("'GRD-"&amp;FA$11&amp;"'!B:R"),15,FALSE),"")</f>
        <v/>
      </c>
      <c r="FB268" s="96">
        <f>IFERROR(VLOOKUP($B268,INDIRECT("'GRD-"&amp;FB$11&amp;"'!B:R"),15,FALSE),"")</f>
        <v/>
      </c>
      <c r="FC268" s="96">
        <f>IFERROR(VLOOKUP($B268,INDIRECT("'GRD-"&amp;FC$11&amp;"'!B:R"),15,FALSE),"")</f>
        <v/>
      </c>
      <c r="FD268" s="96">
        <f>IFERROR(VLOOKUP($B268,INDIRECT("'GRD-"&amp;FD$11&amp;"'!B:R"),15,FALSE),"")</f>
        <v/>
      </c>
      <c r="FE268" s="96">
        <f>IFERROR(VLOOKUP($B268,INDIRECT("'GRD-"&amp;FE$11&amp;"'!B:R"),15,FALSE),"")</f>
        <v/>
      </c>
      <c r="FF268" s="96">
        <f>IFERROR(VLOOKUP($B268,INDIRECT("'GRD-"&amp;FF$11&amp;"'!B:R"),15,FALSE),"")</f>
        <v/>
      </c>
      <c r="FG268" s="96">
        <f>IFERROR(VLOOKUP($B268,INDIRECT("'GRD-"&amp;FG$11&amp;"'!B:R"),15,FALSE),"")</f>
        <v/>
      </c>
      <c r="FH268" s="96">
        <f>IFERROR(VLOOKUP($B268,INDIRECT("'GRD-"&amp;FH$11&amp;"'!B:R"),15,FALSE),"")</f>
        <v/>
      </c>
      <c r="FI268" s="96">
        <f>IFERROR(VLOOKUP($B268,INDIRECT("'GRD-"&amp;FI$11&amp;"'!B:R"),15,FALSE),"")</f>
        <v/>
      </c>
      <c r="FJ268" s="96">
        <f>IFERROR(VLOOKUP($B268,INDIRECT("'GRD-"&amp;FJ$11&amp;"'!B:R"),15,FALSE),"")</f>
        <v/>
      </c>
      <c r="FK268" s="96">
        <f>IFERROR(VLOOKUP($B268,INDIRECT("'GRD-"&amp;FK$11&amp;"'!B:R"),15,FALSE),"")</f>
        <v/>
      </c>
      <c r="FL268" s="96">
        <f>IFERROR(VLOOKUP($B268,INDIRECT("'GRD-"&amp;FL$11&amp;"'!B:R"),15,FALSE),"")</f>
        <v/>
      </c>
      <c r="FM268" s="96">
        <f>IFERROR(VLOOKUP($B268,INDIRECT("'GRD-"&amp;FM$11&amp;"'!B:R"),15,FALSE),"")</f>
        <v/>
      </c>
      <c r="FN268" s="96">
        <f>IFERROR(VLOOKUP($B268,INDIRECT("'GRD-"&amp;FN$11&amp;"'!B:R"),15,FALSE),"")</f>
        <v/>
      </c>
      <c r="FO268" s="96">
        <f>IFERROR(VLOOKUP($B268,INDIRECT("'GRD-"&amp;FO$11&amp;"'!B:R"),15,FALSE),"")</f>
        <v/>
      </c>
      <c r="FP268" s="96">
        <f>IFERROR(VLOOKUP($B268,INDIRECT("'GRD-"&amp;FP$11&amp;"'!B:R"),15,FALSE),"")</f>
        <v/>
      </c>
      <c r="FQ268" s="96">
        <f>IFERROR(VLOOKUP($B268,INDIRECT("'GRD-"&amp;FQ$11&amp;"'!B:R"),15,FALSE),"")</f>
        <v/>
      </c>
      <c r="FR268" s="96">
        <f>IFERROR(VLOOKUP($B268,INDIRECT("'GRD-"&amp;FR$11&amp;"'!B:R"),15,FALSE),"")</f>
        <v/>
      </c>
      <c r="FS268" s="96">
        <f>IFERROR(VLOOKUP($B268,INDIRECT("'GRD-"&amp;FS$11&amp;"'!B:R"),15,FALSE),"")</f>
        <v/>
      </c>
      <c r="FT268" s="96">
        <f>IFERROR(VLOOKUP($B268,INDIRECT("'GRD-"&amp;FT$11&amp;"'!B:R"),15,FALSE),"")</f>
        <v/>
      </c>
      <c r="FU268" s="96">
        <f>IFERROR(VLOOKUP($B268,INDIRECT("'GRD-"&amp;FU$11&amp;"'!B:R"),15,FALSE),"")</f>
        <v/>
      </c>
      <c r="FV268" s="96">
        <f>IFERROR(VLOOKUP($B268,INDIRECT("'GRD-"&amp;FV$11&amp;"'!B:R"),15,FALSE),"")</f>
        <v/>
      </c>
    </row>
    <row r="269">
      <c r="B269" s="85" t="n"/>
      <c r="C269" s="93" t="n"/>
      <c r="D269" s="73">
        <f>IF(K269="","",MAX($CA269:$FV269))</f>
        <v/>
      </c>
      <c r="E269" s="74">
        <f t="array" ref="E269">IF($K269="","",OFFSET($A$1,ROW($B269)-1,11+$D269*4,))</f>
        <v/>
      </c>
      <c r="F269" s="74">
        <f t="array" ref="F269">IF($K269="","",OFFSET($A$1,ROW($B269)-1,12+$D269*4,))</f>
        <v/>
      </c>
      <c r="G269" s="118">
        <f t="array" ref="G269">IF($K269="","",OFFSET($A$1,ROW($B269)-1,13+$D269*4,))</f>
        <v/>
      </c>
      <c r="H269" s="81" t="n"/>
      <c r="I269" s="82" t="n"/>
      <c r="J269" s="75">
        <f>IF(I269="A4",H269/8,IF(I269="A3",H269/4,IF(I269="A2",H269/2,IF(I269="A1",H269/1,IF(I269="A0",H269*2,"")))))</f>
        <v/>
      </c>
      <c r="K269" s="68">
        <f t="array" ref="K269">IFERROR(OFFSET($BZ$11,ROW($B269)-11,MATCH(K$10,$CA269:$FV269,0),),"")</f>
        <v/>
      </c>
      <c r="L269" s="85">
        <f>IF(K269="","",IF(VLOOKUP($B269,INDIRECT("'GRD-"&amp;M269&amp;"'!$B:$R"),16,FALSE)="","",VLOOKUP($B269,INDIRECT("'GRD-"&amp;M269&amp;"'!$B:$R"),16,FALSE)))</f>
        <v/>
      </c>
      <c r="M269" s="130">
        <f t="array" ref="M269">IF(K269="","",IFERROR(OFFSET($BZ$11,0,MATCH($K269,$CA269:$FV269,0),),""))</f>
        <v/>
      </c>
      <c r="N269" s="119">
        <f t="array" ref="N269">IF(K269="","",INDIRECT("'GRD-"&amp;M269&amp;"'!$L$7"))</f>
        <v/>
      </c>
      <c r="O269" s="76">
        <f t="array" ref="O269">IFERROR(OFFSET($BZ$11,ROW($B269)-11,MATCH(O$10,$CA269:$FV269,0),),"")</f>
        <v/>
      </c>
      <c r="P269" s="76">
        <f>IF(O269="","",IF(VLOOKUP($B269,INDIRECT("'GRD-"&amp;Q269&amp;"'!$B:$R"),16,FALSE)="","",VLOOKUP($B269,INDIRECT("'GRD-"&amp;Q269&amp;"'!$B:$R"),16,FALSE)))</f>
        <v/>
      </c>
      <c r="Q269" s="132">
        <f t="array" ref="Q269">IF(O269="","",IFERROR(OFFSET($BZ$11,0,MATCH($O269,$CA269:$FV269,0),),""))</f>
        <v/>
      </c>
      <c r="R269" s="121">
        <f t="array" ref="R269">IF(O269="","",INDIRECT("'GRD-"&amp;Q269&amp;"'!$L$7"))</f>
        <v/>
      </c>
      <c r="S269" s="83">
        <f t="array" ref="S269">IFERROR(OFFSET($BZ$11,ROW($B269)-11,MATCH(S$10,$CA269:$FV269,0),),"")</f>
        <v/>
      </c>
      <c r="T269" s="83">
        <f>IF(S269="","",IF(VLOOKUP($B269,INDIRECT("'GRD-"&amp;U269&amp;"'!$B:$R"),16,FALSE)="","",VLOOKUP($B269,INDIRECT("'GRD-"&amp;U269&amp;"'!$B:$R"),16,FALSE)))</f>
        <v/>
      </c>
      <c r="U269" s="128">
        <f t="array" ref="U269">IF(S269="","",IFERROR(OFFSET($BZ$11,0,MATCH($S269,$CA269:$FV269,0),),""))</f>
        <v/>
      </c>
      <c r="V269" s="133">
        <f t="array" ref="V269">IF(S269="","",INDIRECT("'GRD-"&amp;U269&amp;"'!$L$7"))</f>
        <v/>
      </c>
      <c r="W269" s="84">
        <f t="array" ref="W269">IFERROR(OFFSET($BZ$11,ROW($B269)-11,MATCH(W$10,$CA269:$FV269,0),),"")</f>
        <v/>
      </c>
      <c r="X269" s="84">
        <f>IF(W269="","",IF(VLOOKUP($B269,INDIRECT("'GRD-"&amp;Y269&amp;"'!$B:$R"),16,FALSE)="","",VLOOKUP($B269,INDIRECT("'GRD-"&amp;Y269&amp;"'!$B:$R"),16,FALSE)))</f>
        <v/>
      </c>
      <c r="Y269" s="129">
        <f t="array" ref="Y269">IF(W269="","",IFERROR(OFFSET($BZ$11,0,MATCH($W269,$CA269:$FV269,0),),""))</f>
        <v/>
      </c>
      <c r="Z269" s="134">
        <f t="array" ref="Z269">IF(W269="","",INDIRECT("'GRD-"&amp;Y269&amp;"'!$L$7"))</f>
        <v/>
      </c>
      <c r="AA269" s="85">
        <f t="array" ref="AA269">IFERROR(OFFSET($BZ$11,ROW($B269)-11,MATCH(AA$10,$CA269:$FV269,0),),"")</f>
        <v/>
      </c>
      <c r="AB269" s="85">
        <f>IF(AA269="","",IF(VLOOKUP($B269,INDIRECT("'GRD-"&amp;AC269&amp;"'!$B:$R"),16,FALSE)="","",VLOOKUP($B269,INDIRECT("'GRD-"&amp;AC269&amp;"'!$B:$R"),16,FALSE)))</f>
        <v/>
      </c>
      <c r="AC269" s="130">
        <f t="array" ref="AC269">IF(AA269="","",IFERROR(OFFSET($BZ$11,0,MATCH($AA269,$CA269:$FV269,0),),""))</f>
        <v/>
      </c>
      <c r="AD269" s="131">
        <f t="array" ref="AD269">IF(AA269="","",INDIRECT("'GRD-"&amp;AC269&amp;"'!$L$7"))</f>
        <v/>
      </c>
      <c r="AE269" s="76">
        <f t="array" ref="AE269">IFERROR(OFFSET($BZ$11,ROW($B269)-11,MATCH(AE$10,$CA269:$FV269,0),),"")</f>
        <v/>
      </c>
      <c r="AF269" s="76">
        <f>IF(AE269="","",IF(VLOOKUP($B269,INDIRECT("'GRD-"&amp;AG269&amp;"'!$B:$R"),16,FALSE)="","",VLOOKUP($B269,INDIRECT("'GRD-"&amp;AG269&amp;"'!$B:$R"),16,FALSE)))</f>
        <v/>
      </c>
      <c r="AG269" s="132">
        <f t="array" ref="AG269">IF(AE269="","",IFERROR(OFFSET($BZ$11,0,MATCH($AE269,$CA269:$FV269,0),),""))</f>
        <v/>
      </c>
      <c r="AH269" s="121">
        <f t="array" ref="AH269">IF(AE269="","",INDIRECT("'GRD-"&amp;AG269&amp;"'!$L$7"))</f>
        <v/>
      </c>
      <c r="AI269" s="83">
        <f t="array" ref="AI269">IFERROR(OFFSET($BZ$11,ROW($B269)-11,MATCH(AI$10,$CA269:$FV269,0),),"")</f>
        <v/>
      </c>
      <c r="AJ269" s="83">
        <f>IF(AI269="","",IF(VLOOKUP($B269,INDIRECT("'GRD-"&amp;AK269&amp;"'!$B:$R"),16,FALSE)="","",VLOOKUP($B269,INDIRECT("'GRD-"&amp;AK269&amp;"'!$B:$R"),16,FALSE)))</f>
        <v/>
      </c>
      <c r="AK269" s="128">
        <f t="array" ref="AK269">IF(AI269="","",IFERROR(OFFSET($BZ$11,0,MATCH($AI269,$CA269:$FV269,0),),""))</f>
        <v/>
      </c>
      <c r="AL269" s="133">
        <f t="array" ref="AL269">IF(AI269="","",INDIRECT("'GRD-"&amp;AK269&amp;"'!$L$7"))</f>
        <v/>
      </c>
      <c r="AM269" s="84">
        <f t="array" ref="AM269">IFERROR(OFFSET($BZ$11,ROW($B269)-11,MATCH(AM$10,$CA269:$FV269,0),),"")</f>
        <v/>
      </c>
      <c r="AN269" s="84">
        <f>IF(AM269="","",IF(VLOOKUP($B269,INDIRECT("'GRD-"&amp;AO269&amp;"'!$B:$R"),16,FALSE)="","",VLOOKUP($B269,INDIRECT("'GRD-"&amp;AO269&amp;"'!$B:$R"),16,FALSE)))</f>
        <v/>
      </c>
      <c r="AO269" s="129">
        <f t="array" ref="AO269">IF(AM269="","",IFERROR(OFFSET($BZ$11,0,MATCH($AM269,$CA269:$FV269,0),),""))</f>
        <v/>
      </c>
      <c r="AP269" s="134">
        <f t="array" ref="AP269">IF(AM269="","",INDIRECT("'GRD-"&amp;AO269&amp;"'!$L$7"))</f>
        <v/>
      </c>
      <c r="AQ269" s="85">
        <f t="array" ref="AQ269">IFERROR(OFFSET($BZ$11,ROW($B269)-11,MATCH(AQ$10,$CA269:$FV269,0),),"")</f>
        <v/>
      </c>
      <c r="AR269" s="85">
        <f>IF(AQ269="","",IF(VLOOKUP($B269,INDIRECT("'GRD-"&amp;AS269&amp;"'!$B:$R"),16,FALSE)="","",VLOOKUP($B269,INDIRECT("'GRD-"&amp;AS269&amp;"'!$B:$R"),16,FALSE)))</f>
        <v/>
      </c>
      <c r="AS269" s="130">
        <f t="array" ref="AS269">IF(AQ269="","",IFERROR(OFFSET($BZ$11,0,MATCH($AQ269,$CA269:$FV269,0),),""))</f>
        <v/>
      </c>
      <c r="AT269" s="131">
        <f t="array" ref="AT269">IF(AQ269="","",INDIRECT("'GRD-"&amp;AS269&amp;"'!$L$7"))</f>
        <v/>
      </c>
      <c r="AU269" s="76">
        <f t="array" ref="AU269">IFERROR(OFFSET($BZ$11,ROW($B269)-11,MATCH(AU$10,$CA269:$FV269,0),),"")</f>
        <v/>
      </c>
      <c r="AV269" s="76">
        <f>IF(AU269="","",IF(VLOOKUP($B269,INDIRECT("'GRD-"&amp;AW269&amp;"'!$B:$R"),16,FALSE)="","",VLOOKUP($B269,INDIRECT("'GRD-"&amp;AW269&amp;"'!$B:$R"),16,FALSE)))</f>
        <v/>
      </c>
      <c r="AW269" s="132">
        <f t="array" ref="AW269">IF(AU269="","",IFERROR(OFFSET($BZ$11,0,MATCH($AU269,$CA269:$FV269,0),),""))</f>
        <v/>
      </c>
      <c r="AX269" s="121">
        <f t="array" ref="AX269">IF(AU269="","",INDIRECT("'GRD-"&amp;AW269&amp;"'!$L$7"))</f>
        <v/>
      </c>
      <c r="AY269" s="83">
        <f t="array" ref="AY269">IFERROR(OFFSET($BZ$11,ROW($B269)-11,MATCH(AY$10,$CA269:$FV269,0),),"")</f>
        <v/>
      </c>
      <c r="AZ269" s="83">
        <f>IF(AY269="","",IF(VLOOKUP($B269,INDIRECT("'GRD-"&amp;BA269&amp;"'!$B:$R"),16,FALSE)="","",VLOOKUP($B269,INDIRECT("'GRD-"&amp;BA269&amp;"'!$B:$R"),16,FALSE)))</f>
        <v/>
      </c>
      <c r="BA269" s="128">
        <f t="array" ref="BA269">IF(AY269="","",IFERROR(OFFSET($BZ$11,0,MATCH($AY269,$CA269:$FV269,0),),""))</f>
        <v/>
      </c>
      <c r="BB269" s="133">
        <f t="array" ref="BB269">IF(AY269="","",INDIRECT("'GRD-"&amp;BA269&amp;"'!$L$7"))</f>
        <v/>
      </c>
      <c r="BC269" s="84">
        <f t="array" ref="BC269">IFERROR(OFFSET($BZ$11,ROW($B269)-11,MATCH(BC$10,$CA269:$FV269,0),),"")</f>
        <v/>
      </c>
      <c r="BD269" s="84">
        <f>IF(BC269="","",IF(VLOOKUP($B269,INDIRECT("'GRD-"&amp;BE269&amp;"'!$B:$R"),16,FALSE)="","",VLOOKUP($B269,INDIRECT("'GRD-"&amp;BE269&amp;"'!$B:$R"),16,FALSE)))</f>
        <v/>
      </c>
      <c r="BE269" s="129">
        <f t="array" ref="BE269">IF(BC269="","",IFERROR(OFFSET($BZ$11,0,MATCH($BC269,$CA269:$FV269,0),),""))</f>
        <v/>
      </c>
      <c r="BF269" s="134">
        <f t="array" ref="BF269">IF(BC269="","",INDIRECT("'GRD-"&amp;BE269&amp;"'!$L$7"))</f>
        <v/>
      </c>
      <c r="CA269" s="96">
        <f>IFERROR(VLOOKUP($B269,INDIRECT("'GRD-"&amp;CA$11&amp;"'!B:R"),15,FALSE),"")</f>
        <v/>
      </c>
      <c r="CB269" s="96">
        <f>IFERROR(VLOOKUP($B269,INDIRECT("'GRD-"&amp;CB$11&amp;"'!B:R"),15,FALSE),"")</f>
        <v/>
      </c>
      <c r="CC269" s="96">
        <f>IFERROR(VLOOKUP($B269,INDIRECT("'GRD-"&amp;CC$11&amp;"'!B:R"),15,FALSE),"")</f>
        <v/>
      </c>
      <c r="CD269" s="96">
        <f>IFERROR(VLOOKUP($B269,INDIRECT("'GRD-"&amp;CD$11&amp;"'!B:R"),15,FALSE),"")</f>
        <v/>
      </c>
      <c r="CE269" s="96">
        <f>IFERROR(VLOOKUP($B269,INDIRECT("'GRD-"&amp;CE$11&amp;"'!B:R"),15,FALSE),"")</f>
        <v/>
      </c>
      <c r="CF269" s="96">
        <f>IFERROR(VLOOKUP($B269,INDIRECT("'GRD-"&amp;CF$11&amp;"'!B:R"),15,FALSE),"")</f>
        <v/>
      </c>
      <c r="CG269" s="96">
        <f>IFERROR(VLOOKUP($B269,INDIRECT("'GRD-"&amp;CG$11&amp;"'!B:R"),15,FALSE),"")</f>
        <v/>
      </c>
      <c r="CH269" s="96">
        <f>IFERROR(VLOOKUP($B269,INDIRECT("'GRD-"&amp;CH$11&amp;"'!B:R"),15,FALSE),"")</f>
        <v/>
      </c>
      <c r="CI269" s="96">
        <f>IFERROR(VLOOKUP($B269,INDIRECT("'GRD-"&amp;CI$11&amp;"'!B:R"),15,FALSE),"")</f>
        <v/>
      </c>
      <c r="CJ269" s="96">
        <f>IFERROR(VLOOKUP($B269,INDIRECT("'GRD-"&amp;CJ$11&amp;"'!B:R"),15,FALSE),"")</f>
        <v/>
      </c>
      <c r="CK269" s="96">
        <f>IFERROR(VLOOKUP($B269,INDIRECT("'GRD-"&amp;CK$11&amp;"'!B:R"),15,FALSE),"")</f>
        <v/>
      </c>
      <c r="CL269" s="96">
        <f>IFERROR(VLOOKUP($B269,INDIRECT("'GRD-"&amp;CL$11&amp;"'!B:R"),15,FALSE),"")</f>
        <v/>
      </c>
      <c r="CM269" s="96">
        <f>IFERROR(VLOOKUP($B269,INDIRECT("'GRD-"&amp;CM$11&amp;"'!B:R"),15,FALSE),"")</f>
        <v/>
      </c>
      <c r="CN269" s="96">
        <f>IFERROR(VLOOKUP($B269,INDIRECT("'GRD-"&amp;CN$11&amp;"'!B:R"),15,FALSE),"")</f>
        <v/>
      </c>
      <c r="CO269" s="96">
        <f>IFERROR(VLOOKUP($B269,INDIRECT("'GRD-"&amp;CO$11&amp;"'!B:R"),15,FALSE),"")</f>
        <v/>
      </c>
      <c r="CP269" s="96">
        <f>IFERROR(VLOOKUP($B269,INDIRECT("'GRD-"&amp;CP$11&amp;"'!B:R"),15,FALSE),"")</f>
        <v/>
      </c>
      <c r="CQ269" s="96">
        <f>IFERROR(VLOOKUP($B269,INDIRECT("'GRD-"&amp;CQ$11&amp;"'!B:R"),15,FALSE),"")</f>
        <v/>
      </c>
      <c r="CR269" s="96">
        <f>IFERROR(VLOOKUP($B269,INDIRECT("'GRD-"&amp;CR$11&amp;"'!B:R"),15,FALSE),"")</f>
        <v/>
      </c>
      <c r="CS269" s="96">
        <f>IFERROR(VLOOKUP($B269,INDIRECT("'GRD-"&amp;CS$11&amp;"'!B:R"),15,FALSE),"")</f>
        <v/>
      </c>
      <c r="CT269" s="96">
        <f>IFERROR(VLOOKUP($B269,INDIRECT("'GRD-"&amp;CT$11&amp;"'!B:R"),15,FALSE),"")</f>
        <v/>
      </c>
      <c r="CU269" s="96">
        <f>IFERROR(VLOOKUP($B269,INDIRECT("'GRD-"&amp;CU$11&amp;"'!B:R"),15,FALSE),"")</f>
        <v/>
      </c>
      <c r="CV269" s="96">
        <f>IFERROR(VLOOKUP($B269,INDIRECT("'GRD-"&amp;CV$11&amp;"'!B:R"),15,FALSE),"")</f>
        <v/>
      </c>
      <c r="CW269" s="96">
        <f>IFERROR(VLOOKUP($B269,INDIRECT("'GRD-"&amp;CW$11&amp;"'!B:R"),15,FALSE),"")</f>
        <v/>
      </c>
      <c r="CX269" s="96">
        <f>IFERROR(VLOOKUP($B269,INDIRECT("'GRD-"&amp;CX$11&amp;"'!B:R"),15,FALSE),"")</f>
        <v/>
      </c>
      <c r="CY269" s="96">
        <f>IFERROR(VLOOKUP($B269,INDIRECT("'GRD-"&amp;CY$11&amp;"'!B:R"),15,FALSE),"")</f>
        <v/>
      </c>
      <c r="CZ269" s="96">
        <f>IFERROR(VLOOKUP($B269,INDIRECT("'GRD-"&amp;CZ$11&amp;"'!B:R"),15,FALSE),"")</f>
        <v/>
      </c>
      <c r="DA269" s="96">
        <f>IFERROR(VLOOKUP($B269,INDIRECT("'GRD-"&amp;DA$11&amp;"'!B:R"),15,FALSE),"")</f>
        <v/>
      </c>
      <c r="DB269" s="96">
        <f>IFERROR(VLOOKUP($B269,INDIRECT("'GRD-"&amp;DB$11&amp;"'!B:R"),15,FALSE),"")</f>
        <v/>
      </c>
      <c r="DC269" s="96">
        <f>IFERROR(VLOOKUP($B269,INDIRECT("'GRD-"&amp;DC$11&amp;"'!B:R"),15,FALSE),"")</f>
        <v/>
      </c>
      <c r="DD269" s="96">
        <f>IFERROR(VLOOKUP($B269,INDIRECT("'GRD-"&amp;DD$11&amp;"'!B:R"),15,FALSE),"")</f>
        <v/>
      </c>
      <c r="DE269" s="96">
        <f>IFERROR(VLOOKUP($B269,INDIRECT("'GRD-"&amp;DE$11&amp;"'!B:R"),15,FALSE),"")</f>
        <v/>
      </c>
      <c r="DF269" s="96">
        <f>IFERROR(VLOOKUP($B269,INDIRECT("'GRD-"&amp;DF$11&amp;"'!B:R"),15,FALSE),"")</f>
        <v/>
      </c>
      <c r="DG269" s="96">
        <f>IFERROR(VLOOKUP($B269,INDIRECT("'GRD-"&amp;DG$11&amp;"'!B:R"),15,FALSE),"")</f>
        <v/>
      </c>
      <c r="DH269" s="96">
        <f>IFERROR(VLOOKUP($B269,INDIRECT("'GRD-"&amp;DH$11&amp;"'!B:R"),15,FALSE),"")</f>
        <v/>
      </c>
      <c r="DI269" s="96">
        <f>IFERROR(VLOOKUP($B269,INDIRECT("'GRD-"&amp;DI$11&amp;"'!B:R"),15,FALSE),"")</f>
        <v/>
      </c>
      <c r="DJ269" s="96">
        <f>IFERROR(VLOOKUP($B269,INDIRECT("'GRD-"&amp;DJ$11&amp;"'!B:R"),15,FALSE),"")</f>
        <v/>
      </c>
      <c r="DK269" s="96">
        <f>IFERROR(VLOOKUP($B269,INDIRECT("'GRD-"&amp;DK$11&amp;"'!B:R"),15,FALSE),"")</f>
        <v/>
      </c>
      <c r="DL269" s="96">
        <f>IFERROR(VLOOKUP($B269,INDIRECT("'GRD-"&amp;DL$11&amp;"'!B:R"),15,FALSE),"")</f>
        <v/>
      </c>
      <c r="DM269" s="96">
        <f>IFERROR(VLOOKUP($B269,INDIRECT("'GRD-"&amp;DM$11&amp;"'!B:R"),15,FALSE),"")</f>
        <v/>
      </c>
      <c r="DN269" s="96">
        <f>IFERROR(VLOOKUP($B269,INDIRECT("'GRD-"&amp;DN$11&amp;"'!B:R"),15,FALSE),"")</f>
        <v/>
      </c>
      <c r="DO269" s="96">
        <f>IFERROR(VLOOKUP($B269,INDIRECT("'GRD-"&amp;DO$11&amp;"'!B:R"),15,FALSE),"")</f>
        <v/>
      </c>
      <c r="DP269" s="96">
        <f>IFERROR(VLOOKUP($B269,INDIRECT("'GRD-"&amp;DP$11&amp;"'!B:R"),15,FALSE),"")</f>
        <v/>
      </c>
      <c r="DQ269" s="96">
        <f>IFERROR(VLOOKUP($B269,INDIRECT("'GRD-"&amp;DQ$11&amp;"'!B:R"),15,FALSE),"")</f>
        <v/>
      </c>
      <c r="DR269" s="96">
        <f>IFERROR(VLOOKUP($B269,INDIRECT("'GRD-"&amp;DR$11&amp;"'!B:R"),15,FALSE),"")</f>
        <v/>
      </c>
      <c r="DS269" s="96">
        <f>IFERROR(VLOOKUP($B269,INDIRECT("'GRD-"&amp;DS$11&amp;"'!B:R"),15,FALSE),"")</f>
        <v/>
      </c>
      <c r="DT269" s="96">
        <f>IFERROR(VLOOKUP($B269,INDIRECT("'GRD-"&amp;DT$11&amp;"'!B:R"),15,FALSE),"")</f>
        <v/>
      </c>
      <c r="DU269" s="96">
        <f>IFERROR(VLOOKUP($B269,INDIRECT("'GRD-"&amp;DU$11&amp;"'!B:R"),15,FALSE),"")</f>
        <v/>
      </c>
      <c r="DV269" s="96">
        <f>IFERROR(VLOOKUP($B269,INDIRECT("'GRD-"&amp;DV$11&amp;"'!B:R"),15,FALSE),"")</f>
        <v/>
      </c>
      <c r="DW269" s="96">
        <f>IFERROR(VLOOKUP($B269,INDIRECT("'GRD-"&amp;DW$11&amp;"'!B:R"),15,FALSE),"")</f>
        <v/>
      </c>
      <c r="DX269" s="96">
        <f>IFERROR(VLOOKUP($B269,INDIRECT("'GRD-"&amp;DX$11&amp;"'!B:R"),15,FALSE),"")</f>
        <v/>
      </c>
      <c r="DY269" s="96">
        <f>IFERROR(VLOOKUP($B269,INDIRECT("'GRD-"&amp;DY$11&amp;"'!B:R"),15,FALSE),"")</f>
        <v/>
      </c>
      <c r="DZ269" s="96">
        <f>IFERROR(VLOOKUP($B269,INDIRECT("'GRD-"&amp;DZ$11&amp;"'!B:R"),15,FALSE),"")</f>
        <v/>
      </c>
      <c r="EA269" s="96">
        <f>IFERROR(VLOOKUP($B269,INDIRECT("'GRD-"&amp;EA$11&amp;"'!B:R"),15,FALSE),"")</f>
        <v/>
      </c>
      <c r="EB269" s="96">
        <f>IFERROR(VLOOKUP($B269,INDIRECT("'GRD-"&amp;EB$11&amp;"'!B:R"),15,FALSE),"")</f>
        <v/>
      </c>
      <c r="EC269" s="96">
        <f>IFERROR(VLOOKUP($B269,INDIRECT("'GRD-"&amp;EC$11&amp;"'!B:R"),15,FALSE),"")</f>
        <v/>
      </c>
      <c r="ED269" s="96">
        <f>IFERROR(VLOOKUP($B269,INDIRECT("'GRD-"&amp;ED$11&amp;"'!B:R"),15,FALSE),"")</f>
        <v/>
      </c>
      <c r="EE269" s="96">
        <f>IFERROR(VLOOKUP($B269,INDIRECT("'GRD-"&amp;EE$11&amp;"'!B:R"),15,FALSE),"")</f>
        <v/>
      </c>
      <c r="EF269" s="96">
        <f>IFERROR(VLOOKUP($B269,INDIRECT("'GRD-"&amp;EF$11&amp;"'!B:R"),15,FALSE),"")</f>
        <v/>
      </c>
      <c r="EG269" s="96">
        <f>IFERROR(VLOOKUP($B269,INDIRECT("'GRD-"&amp;EG$11&amp;"'!B:R"),15,FALSE),"")</f>
        <v/>
      </c>
      <c r="EH269" s="96">
        <f>IFERROR(VLOOKUP($B269,INDIRECT("'GRD-"&amp;EH$11&amp;"'!B:R"),15,FALSE),"")</f>
        <v/>
      </c>
      <c r="EI269" s="96">
        <f>IFERROR(VLOOKUP($B269,INDIRECT("'GRD-"&amp;EI$11&amp;"'!B:R"),15,FALSE),"")</f>
        <v/>
      </c>
      <c r="EJ269" s="96">
        <f>IFERROR(VLOOKUP($B269,INDIRECT("'GRD-"&amp;EJ$11&amp;"'!B:R"),15,FALSE),"")</f>
        <v/>
      </c>
      <c r="EK269" s="96">
        <f>IFERROR(VLOOKUP($B269,INDIRECT("'GRD-"&amp;EK$11&amp;"'!B:R"),15,FALSE),"")</f>
        <v/>
      </c>
      <c r="EL269" s="96">
        <f>IFERROR(VLOOKUP($B269,INDIRECT("'GRD-"&amp;EL$11&amp;"'!B:R"),15,FALSE),"")</f>
        <v/>
      </c>
      <c r="EM269" s="96">
        <f>IFERROR(VLOOKUP($B269,INDIRECT("'GRD-"&amp;EM$11&amp;"'!B:R"),15,FALSE),"")</f>
        <v/>
      </c>
      <c r="EN269" s="96">
        <f>IFERROR(VLOOKUP($B269,INDIRECT("'GRD-"&amp;EN$11&amp;"'!B:R"),15,FALSE),"")</f>
        <v/>
      </c>
      <c r="EO269" s="96">
        <f>IFERROR(VLOOKUP($B269,INDIRECT("'GRD-"&amp;EO$11&amp;"'!B:R"),15,FALSE),"")</f>
        <v/>
      </c>
      <c r="EP269" s="96">
        <f>IFERROR(VLOOKUP($B269,INDIRECT("'GRD-"&amp;EP$11&amp;"'!B:R"),15,FALSE),"")</f>
        <v/>
      </c>
      <c r="EQ269" s="96">
        <f>IFERROR(VLOOKUP($B269,INDIRECT("'GRD-"&amp;EQ$11&amp;"'!B:R"),15,FALSE),"")</f>
        <v/>
      </c>
      <c r="ER269" s="96">
        <f>IFERROR(VLOOKUP($B269,INDIRECT("'GRD-"&amp;ER$11&amp;"'!B:R"),15,FALSE),"")</f>
        <v/>
      </c>
      <c r="ES269" s="96">
        <f>IFERROR(VLOOKUP($B269,INDIRECT("'GRD-"&amp;ES$11&amp;"'!B:R"),15,FALSE),"")</f>
        <v/>
      </c>
      <c r="ET269" s="96">
        <f>IFERROR(VLOOKUP($B269,INDIRECT("'GRD-"&amp;ET$11&amp;"'!B:R"),15,FALSE),"")</f>
        <v/>
      </c>
      <c r="EU269" s="96">
        <f>IFERROR(VLOOKUP($B269,INDIRECT("'GRD-"&amp;EU$11&amp;"'!B:R"),15,FALSE),"")</f>
        <v/>
      </c>
      <c r="EV269" s="96">
        <f>IFERROR(VLOOKUP($B269,INDIRECT("'GRD-"&amp;EV$11&amp;"'!B:R"),15,FALSE),"")</f>
        <v/>
      </c>
      <c r="EW269" s="96">
        <f>IFERROR(VLOOKUP($B269,INDIRECT("'GRD-"&amp;EW$11&amp;"'!B:R"),15,FALSE),"")</f>
        <v/>
      </c>
      <c r="EX269" s="96">
        <f>IFERROR(VLOOKUP($B269,INDIRECT("'GRD-"&amp;EX$11&amp;"'!B:R"),15,FALSE),"")</f>
        <v/>
      </c>
      <c r="EY269" s="96">
        <f>IFERROR(VLOOKUP($B269,INDIRECT("'GRD-"&amp;EY$11&amp;"'!B:R"),15,FALSE),"")</f>
        <v/>
      </c>
      <c r="EZ269" s="96">
        <f>IFERROR(VLOOKUP($B269,INDIRECT("'GRD-"&amp;EZ$11&amp;"'!B:R"),15,FALSE),"")</f>
        <v/>
      </c>
      <c r="FA269" s="96">
        <f>IFERROR(VLOOKUP($B269,INDIRECT("'GRD-"&amp;FA$11&amp;"'!B:R"),15,FALSE),"")</f>
        <v/>
      </c>
      <c r="FB269" s="96">
        <f>IFERROR(VLOOKUP($B269,INDIRECT("'GRD-"&amp;FB$11&amp;"'!B:R"),15,FALSE),"")</f>
        <v/>
      </c>
      <c r="FC269" s="96">
        <f>IFERROR(VLOOKUP($B269,INDIRECT("'GRD-"&amp;FC$11&amp;"'!B:R"),15,FALSE),"")</f>
        <v/>
      </c>
      <c r="FD269" s="96">
        <f>IFERROR(VLOOKUP($B269,INDIRECT("'GRD-"&amp;FD$11&amp;"'!B:R"),15,FALSE),"")</f>
        <v/>
      </c>
      <c r="FE269" s="96">
        <f>IFERROR(VLOOKUP($B269,INDIRECT("'GRD-"&amp;FE$11&amp;"'!B:R"),15,FALSE),"")</f>
        <v/>
      </c>
      <c r="FF269" s="96">
        <f>IFERROR(VLOOKUP($B269,INDIRECT("'GRD-"&amp;FF$11&amp;"'!B:R"),15,FALSE),"")</f>
        <v/>
      </c>
      <c r="FG269" s="96">
        <f>IFERROR(VLOOKUP($B269,INDIRECT("'GRD-"&amp;FG$11&amp;"'!B:R"),15,FALSE),"")</f>
        <v/>
      </c>
      <c r="FH269" s="96">
        <f>IFERROR(VLOOKUP($B269,INDIRECT("'GRD-"&amp;FH$11&amp;"'!B:R"),15,FALSE),"")</f>
        <v/>
      </c>
      <c r="FI269" s="96">
        <f>IFERROR(VLOOKUP($B269,INDIRECT("'GRD-"&amp;FI$11&amp;"'!B:R"),15,FALSE),"")</f>
        <v/>
      </c>
      <c r="FJ269" s="96">
        <f>IFERROR(VLOOKUP($B269,INDIRECT("'GRD-"&amp;FJ$11&amp;"'!B:R"),15,FALSE),"")</f>
        <v/>
      </c>
      <c r="FK269" s="96">
        <f>IFERROR(VLOOKUP($B269,INDIRECT("'GRD-"&amp;FK$11&amp;"'!B:R"),15,FALSE),"")</f>
        <v/>
      </c>
      <c r="FL269" s="96">
        <f>IFERROR(VLOOKUP($B269,INDIRECT("'GRD-"&amp;FL$11&amp;"'!B:R"),15,FALSE),"")</f>
        <v/>
      </c>
      <c r="FM269" s="96">
        <f>IFERROR(VLOOKUP($B269,INDIRECT("'GRD-"&amp;FM$11&amp;"'!B:R"),15,FALSE),"")</f>
        <v/>
      </c>
      <c r="FN269" s="96">
        <f>IFERROR(VLOOKUP($B269,INDIRECT("'GRD-"&amp;FN$11&amp;"'!B:R"),15,FALSE),"")</f>
        <v/>
      </c>
      <c r="FO269" s="96">
        <f>IFERROR(VLOOKUP($B269,INDIRECT("'GRD-"&amp;FO$11&amp;"'!B:R"),15,FALSE),"")</f>
        <v/>
      </c>
      <c r="FP269" s="96">
        <f>IFERROR(VLOOKUP($B269,INDIRECT("'GRD-"&amp;FP$11&amp;"'!B:R"),15,FALSE),"")</f>
        <v/>
      </c>
      <c r="FQ269" s="96">
        <f>IFERROR(VLOOKUP($B269,INDIRECT("'GRD-"&amp;FQ$11&amp;"'!B:R"),15,FALSE),"")</f>
        <v/>
      </c>
      <c r="FR269" s="96">
        <f>IFERROR(VLOOKUP($B269,INDIRECT("'GRD-"&amp;FR$11&amp;"'!B:R"),15,FALSE),"")</f>
        <v/>
      </c>
      <c r="FS269" s="96">
        <f>IFERROR(VLOOKUP($B269,INDIRECT("'GRD-"&amp;FS$11&amp;"'!B:R"),15,FALSE),"")</f>
        <v/>
      </c>
      <c r="FT269" s="96">
        <f>IFERROR(VLOOKUP($B269,INDIRECT("'GRD-"&amp;FT$11&amp;"'!B:R"),15,FALSE),"")</f>
        <v/>
      </c>
      <c r="FU269" s="96">
        <f>IFERROR(VLOOKUP($B269,INDIRECT("'GRD-"&amp;FU$11&amp;"'!B:R"),15,FALSE),"")</f>
        <v/>
      </c>
      <c r="FV269" s="96">
        <f>IFERROR(VLOOKUP($B269,INDIRECT("'GRD-"&amp;FV$11&amp;"'!B:R"),15,FALSE),"")</f>
        <v/>
      </c>
    </row>
    <row r="270">
      <c r="B270" s="85" t="n"/>
      <c r="C270" s="93" t="n"/>
      <c r="D270" s="73">
        <f>IF(K270="","",MAX($CA270:$FV270))</f>
        <v/>
      </c>
      <c r="E270" s="74">
        <f t="array" ref="E270">IF($K270="","",OFFSET($A$1,ROW($B270)-1,11+$D270*4,))</f>
        <v/>
      </c>
      <c r="F270" s="74">
        <f t="array" ref="F270">IF($K270="","",OFFSET($A$1,ROW($B270)-1,12+$D270*4,))</f>
        <v/>
      </c>
      <c r="G270" s="118">
        <f t="array" ref="G270">IF($K270="","",OFFSET($A$1,ROW($B270)-1,13+$D270*4,))</f>
        <v/>
      </c>
      <c r="H270" s="81" t="n"/>
      <c r="I270" s="82" t="n"/>
      <c r="J270" s="75">
        <f>IF(I270="A4",H270/8,IF(I270="A3",H270/4,IF(I270="A2",H270/2,IF(I270="A1",H270/1,IF(I270="A0",H270*2,"")))))</f>
        <v/>
      </c>
      <c r="K270" s="68">
        <f t="array" ref="K270">IFERROR(OFFSET($BZ$11,ROW($B270)-11,MATCH(K$10,$CA270:$FV270,0),),"")</f>
        <v/>
      </c>
      <c r="L270" s="85">
        <f>IF(K270="","",IF(VLOOKUP($B270,INDIRECT("'GRD-"&amp;M270&amp;"'!$B:$R"),16,FALSE)="","",VLOOKUP($B270,INDIRECT("'GRD-"&amp;M270&amp;"'!$B:$R"),16,FALSE)))</f>
        <v/>
      </c>
      <c r="M270" s="130">
        <f t="array" ref="M270">IF(K270="","",IFERROR(OFFSET($BZ$11,0,MATCH($K270,$CA270:$FV270,0),),""))</f>
        <v/>
      </c>
      <c r="N270" s="119">
        <f t="array" ref="N270">IF(K270="","",INDIRECT("'GRD-"&amp;M270&amp;"'!$L$7"))</f>
        <v/>
      </c>
      <c r="O270" s="76">
        <f t="array" ref="O270">IFERROR(OFFSET($BZ$11,ROW($B270)-11,MATCH(O$10,$CA270:$FV270,0),),"")</f>
        <v/>
      </c>
      <c r="P270" s="76">
        <f>IF(O270="","",IF(VLOOKUP($B270,INDIRECT("'GRD-"&amp;Q270&amp;"'!$B:$R"),16,FALSE)="","",VLOOKUP($B270,INDIRECT("'GRD-"&amp;Q270&amp;"'!$B:$R"),16,FALSE)))</f>
        <v/>
      </c>
      <c r="Q270" s="132">
        <f t="array" ref="Q270">IF(O270="","",IFERROR(OFFSET($BZ$11,0,MATCH($O270,$CA270:$FV270,0),),""))</f>
        <v/>
      </c>
      <c r="R270" s="121">
        <f t="array" ref="R270">IF(O270="","",INDIRECT("'GRD-"&amp;Q270&amp;"'!$L$7"))</f>
        <v/>
      </c>
      <c r="S270" s="83">
        <f t="array" ref="S270">IFERROR(OFFSET($BZ$11,ROW($B270)-11,MATCH(S$10,$CA270:$FV270,0),),"")</f>
        <v/>
      </c>
      <c r="T270" s="83">
        <f>IF(S270="","",IF(VLOOKUP($B270,INDIRECT("'GRD-"&amp;U270&amp;"'!$B:$R"),16,FALSE)="","",VLOOKUP($B270,INDIRECT("'GRD-"&amp;U270&amp;"'!$B:$R"),16,FALSE)))</f>
        <v/>
      </c>
      <c r="U270" s="128">
        <f t="array" ref="U270">IF(S270="","",IFERROR(OFFSET($BZ$11,0,MATCH($S270,$CA270:$FV270,0),),""))</f>
        <v/>
      </c>
      <c r="V270" s="133">
        <f t="array" ref="V270">IF(S270="","",INDIRECT("'GRD-"&amp;U270&amp;"'!$L$7"))</f>
        <v/>
      </c>
      <c r="W270" s="84">
        <f t="array" ref="W270">IFERROR(OFFSET($BZ$11,ROW($B270)-11,MATCH(W$10,$CA270:$FV270,0),),"")</f>
        <v/>
      </c>
      <c r="X270" s="84">
        <f>IF(W270="","",IF(VLOOKUP($B270,INDIRECT("'GRD-"&amp;Y270&amp;"'!$B:$R"),16,FALSE)="","",VLOOKUP($B270,INDIRECT("'GRD-"&amp;Y270&amp;"'!$B:$R"),16,FALSE)))</f>
        <v/>
      </c>
      <c r="Y270" s="129">
        <f t="array" ref="Y270">IF(W270="","",IFERROR(OFFSET($BZ$11,0,MATCH($W270,$CA270:$FV270,0),),""))</f>
        <v/>
      </c>
      <c r="Z270" s="134">
        <f t="array" ref="Z270">IF(W270="","",INDIRECT("'GRD-"&amp;Y270&amp;"'!$L$7"))</f>
        <v/>
      </c>
      <c r="AA270" s="85">
        <f t="array" ref="AA270">IFERROR(OFFSET($BZ$11,ROW($B270)-11,MATCH(AA$10,$CA270:$FV270,0),),"")</f>
        <v/>
      </c>
      <c r="AB270" s="85">
        <f>IF(AA270="","",IF(VLOOKUP($B270,INDIRECT("'GRD-"&amp;AC270&amp;"'!$B:$R"),16,FALSE)="","",VLOOKUP($B270,INDIRECT("'GRD-"&amp;AC270&amp;"'!$B:$R"),16,FALSE)))</f>
        <v/>
      </c>
      <c r="AC270" s="130">
        <f t="array" ref="AC270">IF(AA270="","",IFERROR(OFFSET($BZ$11,0,MATCH($AA270,$CA270:$FV270,0),),""))</f>
        <v/>
      </c>
      <c r="AD270" s="131">
        <f t="array" ref="AD270">IF(AA270="","",INDIRECT("'GRD-"&amp;AC270&amp;"'!$L$7"))</f>
        <v/>
      </c>
      <c r="AE270" s="76">
        <f t="array" ref="AE270">IFERROR(OFFSET($BZ$11,ROW($B270)-11,MATCH(AE$10,$CA270:$FV270,0),),"")</f>
        <v/>
      </c>
      <c r="AF270" s="76">
        <f>IF(AE270="","",IF(VLOOKUP($B270,INDIRECT("'GRD-"&amp;AG270&amp;"'!$B:$R"),16,FALSE)="","",VLOOKUP($B270,INDIRECT("'GRD-"&amp;AG270&amp;"'!$B:$R"),16,FALSE)))</f>
        <v/>
      </c>
      <c r="AG270" s="132">
        <f t="array" ref="AG270">IF(AE270="","",IFERROR(OFFSET($BZ$11,0,MATCH($AE270,$CA270:$FV270,0),),""))</f>
        <v/>
      </c>
      <c r="AH270" s="121">
        <f t="array" ref="AH270">IF(AE270="","",INDIRECT("'GRD-"&amp;AG270&amp;"'!$L$7"))</f>
        <v/>
      </c>
      <c r="AI270" s="83">
        <f t="array" ref="AI270">IFERROR(OFFSET($BZ$11,ROW($B270)-11,MATCH(AI$10,$CA270:$FV270,0),),"")</f>
        <v/>
      </c>
      <c r="AJ270" s="83">
        <f>IF(AI270="","",IF(VLOOKUP($B270,INDIRECT("'GRD-"&amp;AK270&amp;"'!$B:$R"),16,FALSE)="","",VLOOKUP($B270,INDIRECT("'GRD-"&amp;AK270&amp;"'!$B:$R"),16,FALSE)))</f>
        <v/>
      </c>
      <c r="AK270" s="128">
        <f t="array" ref="AK270">IF(AI270="","",IFERROR(OFFSET($BZ$11,0,MATCH($AI270,$CA270:$FV270,0),),""))</f>
        <v/>
      </c>
      <c r="AL270" s="133">
        <f t="array" ref="AL270">IF(AI270="","",INDIRECT("'GRD-"&amp;AK270&amp;"'!$L$7"))</f>
        <v/>
      </c>
      <c r="AM270" s="84">
        <f t="array" ref="AM270">IFERROR(OFFSET($BZ$11,ROW($B270)-11,MATCH(AM$10,$CA270:$FV270,0),),"")</f>
        <v/>
      </c>
      <c r="AN270" s="84">
        <f>IF(AM270="","",IF(VLOOKUP($B270,INDIRECT("'GRD-"&amp;AO270&amp;"'!$B:$R"),16,FALSE)="","",VLOOKUP($B270,INDIRECT("'GRD-"&amp;AO270&amp;"'!$B:$R"),16,FALSE)))</f>
        <v/>
      </c>
      <c r="AO270" s="129">
        <f t="array" ref="AO270">IF(AM270="","",IFERROR(OFFSET($BZ$11,0,MATCH($AM270,$CA270:$FV270,0),),""))</f>
        <v/>
      </c>
      <c r="AP270" s="134">
        <f t="array" ref="AP270">IF(AM270="","",INDIRECT("'GRD-"&amp;AO270&amp;"'!$L$7"))</f>
        <v/>
      </c>
      <c r="AQ270" s="85">
        <f t="array" ref="AQ270">IFERROR(OFFSET($BZ$11,ROW($B270)-11,MATCH(AQ$10,$CA270:$FV270,0),),"")</f>
        <v/>
      </c>
      <c r="AR270" s="85">
        <f>IF(AQ270="","",IF(VLOOKUP($B270,INDIRECT("'GRD-"&amp;AS270&amp;"'!$B:$R"),16,FALSE)="","",VLOOKUP($B270,INDIRECT("'GRD-"&amp;AS270&amp;"'!$B:$R"),16,FALSE)))</f>
        <v/>
      </c>
      <c r="AS270" s="130">
        <f t="array" ref="AS270">IF(AQ270="","",IFERROR(OFFSET($BZ$11,0,MATCH($AQ270,$CA270:$FV270,0),),""))</f>
        <v/>
      </c>
      <c r="AT270" s="131">
        <f t="array" ref="AT270">IF(AQ270="","",INDIRECT("'GRD-"&amp;AS270&amp;"'!$L$7"))</f>
        <v/>
      </c>
      <c r="AU270" s="76">
        <f t="array" ref="AU270">IFERROR(OFFSET($BZ$11,ROW($B270)-11,MATCH(AU$10,$CA270:$FV270,0),),"")</f>
        <v/>
      </c>
      <c r="AV270" s="76">
        <f>IF(AU270="","",IF(VLOOKUP($B270,INDIRECT("'GRD-"&amp;AW270&amp;"'!$B:$R"),16,FALSE)="","",VLOOKUP($B270,INDIRECT("'GRD-"&amp;AW270&amp;"'!$B:$R"),16,FALSE)))</f>
        <v/>
      </c>
      <c r="AW270" s="132">
        <f t="array" ref="AW270">IF(AU270="","",IFERROR(OFFSET($BZ$11,0,MATCH($AU270,$CA270:$FV270,0),),""))</f>
        <v/>
      </c>
      <c r="AX270" s="121">
        <f t="array" ref="AX270">IF(AU270="","",INDIRECT("'GRD-"&amp;AW270&amp;"'!$L$7"))</f>
        <v/>
      </c>
      <c r="AY270" s="83">
        <f t="array" ref="AY270">IFERROR(OFFSET($BZ$11,ROW($B270)-11,MATCH(AY$10,$CA270:$FV270,0),),"")</f>
        <v/>
      </c>
      <c r="AZ270" s="83">
        <f>IF(AY270="","",IF(VLOOKUP($B270,INDIRECT("'GRD-"&amp;BA270&amp;"'!$B:$R"),16,FALSE)="","",VLOOKUP($B270,INDIRECT("'GRD-"&amp;BA270&amp;"'!$B:$R"),16,FALSE)))</f>
        <v/>
      </c>
      <c r="BA270" s="128">
        <f t="array" ref="BA270">IF(AY270="","",IFERROR(OFFSET($BZ$11,0,MATCH($AY270,$CA270:$FV270,0),),""))</f>
        <v/>
      </c>
      <c r="BB270" s="133">
        <f t="array" ref="BB270">IF(AY270="","",INDIRECT("'GRD-"&amp;BA270&amp;"'!$L$7"))</f>
        <v/>
      </c>
      <c r="BC270" s="84">
        <f t="array" ref="BC270">IFERROR(OFFSET($BZ$11,ROW($B270)-11,MATCH(BC$10,$CA270:$FV270,0),),"")</f>
        <v/>
      </c>
      <c r="BD270" s="84">
        <f>IF(BC270="","",IF(VLOOKUP($B270,INDIRECT("'GRD-"&amp;BE270&amp;"'!$B:$R"),16,FALSE)="","",VLOOKUP($B270,INDIRECT("'GRD-"&amp;BE270&amp;"'!$B:$R"),16,FALSE)))</f>
        <v/>
      </c>
      <c r="BE270" s="129">
        <f t="array" ref="BE270">IF(BC270="","",IFERROR(OFFSET($BZ$11,0,MATCH($BC270,$CA270:$FV270,0),),""))</f>
        <v/>
      </c>
      <c r="BF270" s="134">
        <f t="array" ref="BF270">IF(BC270="","",INDIRECT("'GRD-"&amp;BE270&amp;"'!$L$7"))</f>
        <v/>
      </c>
      <c r="CA270" s="96">
        <f>IFERROR(VLOOKUP($B270,INDIRECT("'GRD-"&amp;CA$11&amp;"'!B:R"),15,FALSE),"")</f>
        <v/>
      </c>
      <c r="CB270" s="96">
        <f>IFERROR(VLOOKUP($B270,INDIRECT("'GRD-"&amp;CB$11&amp;"'!B:R"),15,FALSE),"")</f>
        <v/>
      </c>
      <c r="CC270" s="96">
        <f>IFERROR(VLOOKUP($B270,INDIRECT("'GRD-"&amp;CC$11&amp;"'!B:R"),15,FALSE),"")</f>
        <v/>
      </c>
      <c r="CD270" s="96">
        <f>IFERROR(VLOOKUP($B270,INDIRECT("'GRD-"&amp;CD$11&amp;"'!B:R"),15,FALSE),"")</f>
        <v/>
      </c>
      <c r="CE270" s="96">
        <f>IFERROR(VLOOKUP($B270,INDIRECT("'GRD-"&amp;CE$11&amp;"'!B:R"),15,FALSE),"")</f>
        <v/>
      </c>
      <c r="CF270" s="96">
        <f>IFERROR(VLOOKUP($B270,INDIRECT("'GRD-"&amp;CF$11&amp;"'!B:R"),15,FALSE),"")</f>
        <v/>
      </c>
      <c r="CG270" s="96">
        <f>IFERROR(VLOOKUP($B270,INDIRECT("'GRD-"&amp;CG$11&amp;"'!B:R"),15,FALSE),"")</f>
        <v/>
      </c>
      <c r="CH270" s="96">
        <f>IFERROR(VLOOKUP($B270,INDIRECT("'GRD-"&amp;CH$11&amp;"'!B:R"),15,FALSE),"")</f>
        <v/>
      </c>
      <c r="CI270" s="96">
        <f>IFERROR(VLOOKUP($B270,INDIRECT("'GRD-"&amp;CI$11&amp;"'!B:R"),15,FALSE),"")</f>
        <v/>
      </c>
      <c r="CJ270" s="96">
        <f>IFERROR(VLOOKUP($B270,INDIRECT("'GRD-"&amp;CJ$11&amp;"'!B:R"),15,FALSE),"")</f>
        <v/>
      </c>
      <c r="CK270" s="96">
        <f>IFERROR(VLOOKUP($B270,INDIRECT("'GRD-"&amp;CK$11&amp;"'!B:R"),15,FALSE),"")</f>
        <v/>
      </c>
      <c r="CL270" s="96">
        <f>IFERROR(VLOOKUP($B270,INDIRECT("'GRD-"&amp;CL$11&amp;"'!B:R"),15,FALSE),"")</f>
        <v/>
      </c>
      <c r="CM270" s="96">
        <f>IFERROR(VLOOKUP($B270,INDIRECT("'GRD-"&amp;CM$11&amp;"'!B:R"),15,FALSE),"")</f>
        <v/>
      </c>
      <c r="CN270" s="96">
        <f>IFERROR(VLOOKUP($B270,INDIRECT("'GRD-"&amp;CN$11&amp;"'!B:R"),15,FALSE),"")</f>
        <v/>
      </c>
      <c r="CO270" s="96">
        <f>IFERROR(VLOOKUP($B270,INDIRECT("'GRD-"&amp;CO$11&amp;"'!B:R"),15,FALSE),"")</f>
        <v/>
      </c>
      <c r="CP270" s="96">
        <f>IFERROR(VLOOKUP($B270,INDIRECT("'GRD-"&amp;CP$11&amp;"'!B:R"),15,FALSE),"")</f>
        <v/>
      </c>
      <c r="CQ270" s="96">
        <f>IFERROR(VLOOKUP($B270,INDIRECT("'GRD-"&amp;CQ$11&amp;"'!B:R"),15,FALSE),"")</f>
        <v/>
      </c>
      <c r="CR270" s="96">
        <f>IFERROR(VLOOKUP($B270,INDIRECT("'GRD-"&amp;CR$11&amp;"'!B:R"),15,FALSE),"")</f>
        <v/>
      </c>
      <c r="CS270" s="96">
        <f>IFERROR(VLOOKUP($B270,INDIRECT("'GRD-"&amp;CS$11&amp;"'!B:R"),15,FALSE),"")</f>
        <v/>
      </c>
      <c r="CT270" s="96">
        <f>IFERROR(VLOOKUP($B270,INDIRECT("'GRD-"&amp;CT$11&amp;"'!B:R"),15,FALSE),"")</f>
        <v/>
      </c>
      <c r="CU270" s="96">
        <f>IFERROR(VLOOKUP($B270,INDIRECT("'GRD-"&amp;CU$11&amp;"'!B:R"),15,FALSE),"")</f>
        <v/>
      </c>
      <c r="CV270" s="96">
        <f>IFERROR(VLOOKUP($B270,INDIRECT("'GRD-"&amp;CV$11&amp;"'!B:R"),15,FALSE),"")</f>
        <v/>
      </c>
      <c r="CW270" s="96">
        <f>IFERROR(VLOOKUP($B270,INDIRECT("'GRD-"&amp;CW$11&amp;"'!B:R"),15,FALSE),"")</f>
        <v/>
      </c>
      <c r="CX270" s="96">
        <f>IFERROR(VLOOKUP($B270,INDIRECT("'GRD-"&amp;CX$11&amp;"'!B:R"),15,FALSE),"")</f>
        <v/>
      </c>
      <c r="CY270" s="96">
        <f>IFERROR(VLOOKUP($B270,INDIRECT("'GRD-"&amp;CY$11&amp;"'!B:R"),15,FALSE),"")</f>
        <v/>
      </c>
      <c r="CZ270" s="96">
        <f>IFERROR(VLOOKUP($B270,INDIRECT("'GRD-"&amp;CZ$11&amp;"'!B:R"),15,FALSE),"")</f>
        <v/>
      </c>
      <c r="DA270" s="96">
        <f>IFERROR(VLOOKUP($B270,INDIRECT("'GRD-"&amp;DA$11&amp;"'!B:R"),15,FALSE),"")</f>
        <v/>
      </c>
      <c r="DB270" s="96">
        <f>IFERROR(VLOOKUP($B270,INDIRECT("'GRD-"&amp;DB$11&amp;"'!B:R"),15,FALSE),"")</f>
        <v/>
      </c>
      <c r="DC270" s="96">
        <f>IFERROR(VLOOKUP($B270,INDIRECT("'GRD-"&amp;DC$11&amp;"'!B:R"),15,FALSE),"")</f>
        <v/>
      </c>
      <c r="DD270" s="96">
        <f>IFERROR(VLOOKUP($B270,INDIRECT("'GRD-"&amp;DD$11&amp;"'!B:R"),15,FALSE),"")</f>
        <v/>
      </c>
      <c r="DE270" s="96">
        <f>IFERROR(VLOOKUP($B270,INDIRECT("'GRD-"&amp;DE$11&amp;"'!B:R"),15,FALSE),"")</f>
        <v/>
      </c>
      <c r="DF270" s="96">
        <f>IFERROR(VLOOKUP($B270,INDIRECT("'GRD-"&amp;DF$11&amp;"'!B:R"),15,FALSE),"")</f>
        <v/>
      </c>
      <c r="DG270" s="96">
        <f>IFERROR(VLOOKUP($B270,INDIRECT("'GRD-"&amp;DG$11&amp;"'!B:R"),15,FALSE),"")</f>
        <v/>
      </c>
      <c r="DH270" s="96">
        <f>IFERROR(VLOOKUP($B270,INDIRECT("'GRD-"&amp;DH$11&amp;"'!B:R"),15,FALSE),"")</f>
        <v/>
      </c>
      <c r="DI270" s="96">
        <f>IFERROR(VLOOKUP($B270,INDIRECT("'GRD-"&amp;DI$11&amp;"'!B:R"),15,FALSE),"")</f>
        <v/>
      </c>
      <c r="DJ270" s="96">
        <f>IFERROR(VLOOKUP($B270,INDIRECT("'GRD-"&amp;DJ$11&amp;"'!B:R"),15,FALSE),"")</f>
        <v/>
      </c>
      <c r="DK270" s="96">
        <f>IFERROR(VLOOKUP($B270,INDIRECT("'GRD-"&amp;DK$11&amp;"'!B:R"),15,FALSE),"")</f>
        <v/>
      </c>
      <c r="DL270" s="96">
        <f>IFERROR(VLOOKUP($B270,INDIRECT("'GRD-"&amp;DL$11&amp;"'!B:R"),15,FALSE),"")</f>
        <v/>
      </c>
      <c r="DM270" s="96">
        <f>IFERROR(VLOOKUP($B270,INDIRECT("'GRD-"&amp;DM$11&amp;"'!B:R"),15,FALSE),"")</f>
        <v/>
      </c>
      <c r="DN270" s="96">
        <f>IFERROR(VLOOKUP($B270,INDIRECT("'GRD-"&amp;DN$11&amp;"'!B:R"),15,FALSE),"")</f>
        <v/>
      </c>
      <c r="DO270" s="96">
        <f>IFERROR(VLOOKUP($B270,INDIRECT("'GRD-"&amp;DO$11&amp;"'!B:R"),15,FALSE),"")</f>
        <v/>
      </c>
      <c r="DP270" s="96">
        <f>IFERROR(VLOOKUP($B270,INDIRECT("'GRD-"&amp;DP$11&amp;"'!B:R"),15,FALSE),"")</f>
        <v/>
      </c>
      <c r="DQ270" s="96">
        <f>IFERROR(VLOOKUP($B270,INDIRECT("'GRD-"&amp;DQ$11&amp;"'!B:R"),15,FALSE),"")</f>
        <v/>
      </c>
      <c r="DR270" s="96">
        <f>IFERROR(VLOOKUP($B270,INDIRECT("'GRD-"&amp;DR$11&amp;"'!B:R"),15,FALSE),"")</f>
        <v/>
      </c>
      <c r="DS270" s="96">
        <f>IFERROR(VLOOKUP($B270,INDIRECT("'GRD-"&amp;DS$11&amp;"'!B:R"),15,FALSE),"")</f>
        <v/>
      </c>
      <c r="DT270" s="96">
        <f>IFERROR(VLOOKUP($B270,INDIRECT("'GRD-"&amp;DT$11&amp;"'!B:R"),15,FALSE),"")</f>
        <v/>
      </c>
      <c r="DU270" s="96">
        <f>IFERROR(VLOOKUP($B270,INDIRECT("'GRD-"&amp;DU$11&amp;"'!B:R"),15,FALSE),"")</f>
        <v/>
      </c>
      <c r="DV270" s="96">
        <f>IFERROR(VLOOKUP($B270,INDIRECT("'GRD-"&amp;DV$11&amp;"'!B:R"),15,FALSE),"")</f>
        <v/>
      </c>
      <c r="DW270" s="96">
        <f>IFERROR(VLOOKUP($B270,INDIRECT("'GRD-"&amp;DW$11&amp;"'!B:R"),15,FALSE),"")</f>
        <v/>
      </c>
      <c r="DX270" s="96">
        <f>IFERROR(VLOOKUP($B270,INDIRECT("'GRD-"&amp;DX$11&amp;"'!B:R"),15,FALSE),"")</f>
        <v/>
      </c>
      <c r="DY270" s="96">
        <f>IFERROR(VLOOKUP($B270,INDIRECT("'GRD-"&amp;DY$11&amp;"'!B:R"),15,FALSE),"")</f>
        <v/>
      </c>
      <c r="DZ270" s="96">
        <f>IFERROR(VLOOKUP($B270,INDIRECT("'GRD-"&amp;DZ$11&amp;"'!B:R"),15,FALSE),"")</f>
        <v/>
      </c>
      <c r="EA270" s="96">
        <f>IFERROR(VLOOKUP($B270,INDIRECT("'GRD-"&amp;EA$11&amp;"'!B:R"),15,FALSE),"")</f>
        <v/>
      </c>
      <c r="EB270" s="96">
        <f>IFERROR(VLOOKUP($B270,INDIRECT("'GRD-"&amp;EB$11&amp;"'!B:R"),15,FALSE),"")</f>
        <v/>
      </c>
      <c r="EC270" s="96">
        <f>IFERROR(VLOOKUP($B270,INDIRECT("'GRD-"&amp;EC$11&amp;"'!B:R"),15,FALSE),"")</f>
        <v/>
      </c>
      <c r="ED270" s="96">
        <f>IFERROR(VLOOKUP($B270,INDIRECT("'GRD-"&amp;ED$11&amp;"'!B:R"),15,FALSE),"")</f>
        <v/>
      </c>
      <c r="EE270" s="96">
        <f>IFERROR(VLOOKUP($B270,INDIRECT("'GRD-"&amp;EE$11&amp;"'!B:R"),15,FALSE),"")</f>
        <v/>
      </c>
      <c r="EF270" s="96">
        <f>IFERROR(VLOOKUP($B270,INDIRECT("'GRD-"&amp;EF$11&amp;"'!B:R"),15,FALSE),"")</f>
        <v/>
      </c>
      <c r="EG270" s="96">
        <f>IFERROR(VLOOKUP($B270,INDIRECT("'GRD-"&amp;EG$11&amp;"'!B:R"),15,FALSE),"")</f>
        <v/>
      </c>
      <c r="EH270" s="96">
        <f>IFERROR(VLOOKUP($B270,INDIRECT("'GRD-"&amp;EH$11&amp;"'!B:R"),15,FALSE),"")</f>
        <v/>
      </c>
      <c r="EI270" s="96">
        <f>IFERROR(VLOOKUP($B270,INDIRECT("'GRD-"&amp;EI$11&amp;"'!B:R"),15,FALSE),"")</f>
        <v/>
      </c>
      <c r="EJ270" s="96">
        <f>IFERROR(VLOOKUP($B270,INDIRECT("'GRD-"&amp;EJ$11&amp;"'!B:R"),15,FALSE),"")</f>
        <v/>
      </c>
      <c r="EK270" s="96">
        <f>IFERROR(VLOOKUP($B270,INDIRECT("'GRD-"&amp;EK$11&amp;"'!B:R"),15,FALSE),"")</f>
        <v/>
      </c>
      <c r="EL270" s="96">
        <f>IFERROR(VLOOKUP($B270,INDIRECT("'GRD-"&amp;EL$11&amp;"'!B:R"),15,FALSE),"")</f>
        <v/>
      </c>
      <c r="EM270" s="96">
        <f>IFERROR(VLOOKUP($B270,INDIRECT("'GRD-"&amp;EM$11&amp;"'!B:R"),15,FALSE),"")</f>
        <v/>
      </c>
      <c r="EN270" s="96">
        <f>IFERROR(VLOOKUP($B270,INDIRECT("'GRD-"&amp;EN$11&amp;"'!B:R"),15,FALSE),"")</f>
        <v/>
      </c>
      <c r="EO270" s="96">
        <f>IFERROR(VLOOKUP($B270,INDIRECT("'GRD-"&amp;EO$11&amp;"'!B:R"),15,FALSE),"")</f>
        <v/>
      </c>
      <c r="EP270" s="96">
        <f>IFERROR(VLOOKUP($B270,INDIRECT("'GRD-"&amp;EP$11&amp;"'!B:R"),15,FALSE),"")</f>
        <v/>
      </c>
      <c r="EQ270" s="96">
        <f>IFERROR(VLOOKUP($B270,INDIRECT("'GRD-"&amp;EQ$11&amp;"'!B:R"),15,FALSE),"")</f>
        <v/>
      </c>
      <c r="ER270" s="96">
        <f>IFERROR(VLOOKUP($B270,INDIRECT("'GRD-"&amp;ER$11&amp;"'!B:R"),15,FALSE),"")</f>
        <v/>
      </c>
      <c r="ES270" s="96">
        <f>IFERROR(VLOOKUP($B270,INDIRECT("'GRD-"&amp;ES$11&amp;"'!B:R"),15,FALSE),"")</f>
        <v/>
      </c>
      <c r="ET270" s="96">
        <f>IFERROR(VLOOKUP($B270,INDIRECT("'GRD-"&amp;ET$11&amp;"'!B:R"),15,FALSE),"")</f>
        <v/>
      </c>
      <c r="EU270" s="96">
        <f>IFERROR(VLOOKUP($B270,INDIRECT("'GRD-"&amp;EU$11&amp;"'!B:R"),15,FALSE),"")</f>
        <v/>
      </c>
      <c r="EV270" s="96">
        <f>IFERROR(VLOOKUP($B270,INDIRECT("'GRD-"&amp;EV$11&amp;"'!B:R"),15,FALSE),"")</f>
        <v/>
      </c>
      <c r="EW270" s="96">
        <f>IFERROR(VLOOKUP($B270,INDIRECT("'GRD-"&amp;EW$11&amp;"'!B:R"),15,FALSE),"")</f>
        <v/>
      </c>
      <c r="EX270" s="96">
        <f>IFERROR(VLOOKUP($B270,INDIRECT("'GRD-"&amp;EX$11&amp;"'!B:R"),15,FALSE),"")</f>
        <v/>
      </c>
      <c r="EY270" s="96">
        <f>IFERROR(VLOOKUP($B270,INDIRECT("'GRD-"&amp;EY$11&amp;"'!B:R"),15,FALSE),"")</f>
        <v/>
      </c>
      <c r="EZ270" s="96">
        <f>IFERROR(VLOOKUP($B270,INDIRECT("'GRD-"&amp;EZ$11&amp;"'!B:R"),15,FALSE),"")</f>
        <v/>
      </c>
      <c r="FA270" s="96">
        <f>IFERROR(VLOOKUP($B270,INDIRECT("'GRD-"&amp;FA$11&amp;"'!B:R"),15,FALSE),"")</f>
        <v/>
      </c>
      <c r="FB270" s="96">
        <f>IFERROR(VLOOKUP($B270,INDIRECT("'GRD-"&amp;FB$11&amp;"'!B:R"),15,FALSE),"")</f>
        <v/>
      </c>
      <c r="FC270" s="96">
        <f>IFERROR(VLOOKUP($B270,INDIRECT("'GRD-"&amp;FC$11&amp;"'!B:R"),15,FALSE),"")</f>
        <v/>
      </c>
      <c r="FD270" s="96">
        <f>IFERROR(VLOOKUP($B270,INDIRECT("'GRD-"&amp;FD$11&amp;"'!B:R"),15,FALSE),"")</f>
        <v/>
      </c>
      <c r="FE270" s="96">
        <f>IFERROR(VLOOKUP($B270,INDIRECT("'GRD-"&amp;FE$11&amp;"'!B:R"),15,FALSE),"")</f>
        <v/>
      </c>
      <c r="FF270" s="96">
        <f>IFERROR(VLOOKUP($B270,INDIRECT("'GRD-"&amp;FF$11&amp;"'!B:R"),15,FALSE),"")</f>
        <v/>
      </c>
      <c r="FG270" s="96">
        <f>IFERROR(VLOOKUP($B270,INDIRECT("'GRD-"&amp;FG$11&amp;"'!B:R"),15,FALSE),"")</f>
        <v/>
      </c>
      <c r="FH270" s="96">
        <f>IFERROR(VLOOKUP($B270,INDIRECT("'GRD-"&amp;FH$11&amp;"'!B:R"),15,FALSE),"")</f>
        <v/>
      </c>
      <c r="FI270" s="96">
        <f>IFERROR(VLOOKUP($B270,INDIRECT("'GRD-"&amp;FI$11&amp;"'!B:R"),15,FALSE),"")</f>
        <v/>
      </c>
      <c r="FJ270" s="96">
        <f>IFERROR(VLOOKUP($B270,INDIRECT("'GRD-"&amp;FJ$11&amp;"'!B:R"),15,FALSE),"")</f>
        <v/>
      </c>
      <c r="FK270" s="96">
        <f>IFERROR(VLOOKUP($B270,INDIRECT("'GRD-"&amp;FK$11&amp;"'!B:R"),15,FALSE),"")</f>
        <v/>
      </c>
      <c r="FL270" s="96">
        <f>IFERROR(VLOOKUP($B270,INDIRECT("'GRD-"&amp;FL$11&amp;"'!B:R"),15,FALSE),"")</f>
        <v/>
      </c>
      <c r="FM270" s="96">
        <f>IFERROR(VLOOKUP($B270,INDIRECT("'GRD-"&amp;FM$11&amp;"'!B:R"),15,FALSE),"")</f>
        <v/>
      </c>
      <c r="FN270" s="96">
        <f>IFERROR(VLOOKUP($B270,INDIRECT("'GRD-"&amp;FN$11&amp;"'!B:R"),15,FALSE),"")</f>
        <v/>
      </c>
      <c r="FO270" s="96">
        <f>IFERROR(VLOOKUP($B270,INDIRECT("'GRD-"&amp;FO$11&amp;"'!B:R"),15,FALSE),"")</f>
        <v/>
      </c>
      <c r="FP270" s="96">
        <f>IFERROR(VLOOKUP($B270,INDIRECT("'GRD-"&amp;FP$11&amp;"'!B:R"),15,FALSE),"")</f>
        <v/>
      </c>
      <c r="FQ270" s="96">
        <f>IFERROR(VLOOKUP($B270,INDIRECT("'GRD-"&amp;FQ$11&amp;"'!B:R"),15,FALSE),"")</f>
        <v/>
      </c>
      <c r="FR270" s="96">
        <f>IFERROR(VLOOKUP($B270,INDIRECT("'GRD-"&amp;FR$11&amp;"'!B:R"),15,FALSE),"")</f>
        <v/>
      </c>
      <c r="FS270" s="96">
        <f>IFERROR(VLOOKUP($B270,INDIRECT("'GRD-"&amp;FS$11&amp;"'!B:R"),15,FALSE),"")</f>
        <v/>
      </c>
      <c r="FT270" s="96">
        <f>IFERROR(VLOOKUP($B270,INDIRECT("'GRD-"&amp;FT$11&amp;"'!B:R"),15,FALSE),"")</f>
        <v/>
      </c>
      <c r="FU270" s="96">
        <f>IFERROR(VLOOKUP($B270,INDIRECT("'GRD-"&amp;FU$11&amp;"'!B:R"),15,FALSE),"")</f>
        <v/>
      </c>
      <c r="FV270" s="96">
        <f>IFERROR(VLOOKUP($B270,INDIRECT("'GRD-"&amp;FV$11&amp;"'!B:R"),15,FALSE),"")</f>
        <v/>
      </c>
    </row>
    <row r="271">
      <c r="B271" s="85" t="n"/>
      <c r="C271" s="93" t="n"/>
      <c r="D271" s="73">
        <f>IF(K271="","",MAX($CA271:$FV271))</f>
        <v/>
      </c>
      <c r="E271" s="74">
        <f t="array" ref="E271">IF($K271="","",OFFSET($A$1,ROW($B271)-1,11+$D271*4,))</f>
        <v/>
      </c>
      <c r="F271" s="74">
        <f t="array" ref="F271">IF($K271="","",OFFSET($A$1,ROW($B271)-1,12+$D271*4,))</f>
        <v/>
      </c>
      <c r="G271" s="118">
        <f t="array" ref="G271">IF($K271="","",OFFSET($A$1,ROW($B271)-1,13+$D271*4,))</f>
        <v/>
      </c>
      <c r="H271" s="81" t="n"/>
      <c r="I271" s="82" t="n"/>
      <c r="J271" s="75">
        <f>IF(I271="A4",H271/8,IF(I271="A3",H271/4,IF(I271="A2",H271/2,IF(I271="A1",H271/1,IF(I271="A0",H271*2,"")))))</f>
        <v/>
      </c>
      <c r="K271" s="68">
        <f t="array" ref="K271">IFERROR(OFFSET($BZ$11,ROW($B271)-11,MATCH(K$10,$CA271:$FV271,0),),"")</f>
        <v/>
      </c>
      <c r="L271" s="85">
        <f>IF(K271="","",IF(VLOOKUP($B271,INDIRECT("'GRD-"&amp;M271&amp;"'!$B:$R"),16,FALSE)="","",VLOOKUP($B271,INDIRECT("'GRD-"&amp;M271&amp;"'!$B:$R"),16,FALSE)))</f>
        <v/>
      </c>
      <c r="M271" s="130">
        <f t="array" ref="M271">IF(K271="","",IFERROR(OFFSET($BZ$11,0,MATCH($K271,$CA271:$FV271,0),),""))</f>
        <v/>
      </c>
      <c r="N271" s="119">
        <f t="array" ref="N271">IF(K271="","",INDIRECT("'GRD-"&amp;M271&amp;"'!$L$7"))</f>
        <v/>
      </c>
      <c r="O271" s="76">
        <f t="array" ref="O271">IFERROR(OFFSET($BZ$11,ROW($B271)-11,MATCH(O$10,$CA271:$FV271,0),),"")</f>
        <v/>
      </c>
      <c r="P271" s="76">
        <f>IF(O271="","",IF(VLOOKUP($B271,INDIRECT("'GRD-"&amp;Q271&amp;"'!$B:$R"),16,FALSE)="","",VLOOKUP($B271,INDIRECT("'GRD-"&amp;Q271&amp;"'!$B:$R"),16,FALSE)))</f>
        <v/>
      </c>
      <c r="Q271" s="132">
        <f t="array" ref="Q271">IF(O271="","",IFERROR(OFFSET($BZ$11,0,MATCH($O271,$CA271:$FV271,0),),""))</f>
        <v/>
      </c>
      <c r="R271" s="121">
        <f t="array" ref="R271">IF(O271="","",INDIRECT("'GRD-"&amp;Q271&amp;"'!$L$7"))</f>
        <v/>
      </c>
      <c r="S271" s="83">
        <f t="array" ref="S271">IFERROR(OFFSET($BZ$11,ROW($B271)-11,MATCH(S$10,$CA271:$FV271,0),),"")</f>
        <v/>
      </c>
      <c r="T271" s="83">
        <f>IF(S271="","",IF(VLOOKUP($B271,INDIRECT("'GRD-"&amp;U271&amp;"'!$B:$R"),16,FALSE)="","",VLOOKUP($B271,INDIRECT("'GRD-"&amp;U271&amp;"'!$B:$R"),16,FALSE)))</f>
        <v/>
      </c>
      <c r="U271" s="128">
        <f t="array" ref="U271">IF(S271="","",IFERROR(OFFSET($BZ$11,0,MATCH($S271,$CA271:$FV271,0),),""))</f>
        <v/>
      </c>
      <c r="V271" s="133">
        <f t="array" ref="V271">IF(S271="","",INDIRECT("'GRD-"&amp;U271&amp;"'!$L$7"))</f>
        <v/>
      </c>
      <c r="W271" s="84">
        <f t="array" ref="W271">IFERROR(OFFSET($BZ$11,ROW($B271)-11,MATCH(W$10,$CA271:$FV271,0),),"")</f>
        <v/>
      </c>
      <c r="X271" s="84">
        <f>IF(W271="","",IF(VLOOKUP($B271,INDIRECT("'GRD-"&amp;Y271&amp;"'!$B:$R"),16,FALSE)="","",VLOOKUP($B271,INDIRECT("'GRD-"&amp;Y271&amp;"'!$B:$R"),16,FALSE)))</f>
        <v/>
      </c>
      <c r="Y271" s="129">
        <f t="array" ref="Y271">IF(W271="","",IFERROR(OFFSET($BZ$11,0,MATCH($W271,$CA271:$FV271,0),),""))</f>
        <v/>
      </c>
      <c r="Z271" s="134">
        <f t="array" ref="Z271">IF(W271="","",INDIRECT("'GRD-"&amp;Y271&amp;"'!$L$7"))</f>
        <v/>
      </c>
      <c r="AA271" s="85">
        <f t="array" ref="AA271">IFERROR(OFFSET($BZ$11,ROW($B271)-11,MATCH(AA$10,$CA271:$FV271,0),),"")</f>
        <v/>
      </c>
      <c r="AB271" s="85">
        <f>IF(AA271="","",IF(VLOOKUP($B271,INDIRECT("'GRD-"&amp;AC271&amp;"'!$B:$R"),16,FALSE)="","",VLOOKUP($B271,INDIRECT("'GRD-"&amp;AC271&amp;"'!$B:$R"),16,FALSE)))</f>
        <v/>
      </c>
      <c r="AC271" s="130">
        <f t="array" ref="AC271">IF(AA271="","",IFERROR(OFFSET($BZ$11,0,MATCH($AA271,$CA271:$FV271,0),),""))</f>
        <v/>
      </c>
      <c r="AD271" s="131">
        <f t="array" ref="AD271">IF(AA271="","",INDIRECT("'GRD-"&amp;AC271&amp;"'!$L$7"))</f>
        <v/>
      </c>
      <c r="AE271" s="76">
        <f t="array" ref="AE271">IFERROR(OFFSET($BZ$11,ROW($B271)-11,MATCH(AE$10,$CA271:$FV271,0),),"")</f>
        <v/>
      </c>
      <c r="AF271" s="76">
        <f>IF(AE271="","",IF(VLOOKUP($B271,INDIRECT("'GRD-"&amp;AG271&amp;"'!$B:$R"),16,FALSE)="","",VLOOKUP($B271,INDIRECT("'GRD-"&amp;AG271&amp;"'!$B:$R"),16,FALSE)))</f>
        <v/>
      </c>
      <c r="AG271" s="132">
        <f t="array" ref="AG271">IF(AE271="","",IFERROR(OFFSET($BZ$11,0,MATCH($AE271,$CA271:$FV271,0),),""))</f>
        <v/>
      </c>
      <c r="AH271" s="121">
        <f t="array" ref="AH271">IF(AE271="","",INDIRECT("'GRD-"&amp;AG271&amp;"'!$L$7"))</f>
        <v/>
      </c>
      <c r="AI271" s="83">
        <f t="array" ref="AI271">IFERROR(OFFSET($BZ$11,ROW($B271)-11,MATCH(AI$10,$CA271:$FV271,0),),"")</f>
        <v/>
      </c>
      <c r="AJ271" s="83">
        <f>IF(AI271="","",IF(VLOOKUP($B271,INDIRECT("'GRD-"&amp;AK271&amp;"'!$B:$R"),16,FALSE)="","",VLOOKUP($B271,INDIRECT("'GRD-"&amp;AK271&amp;"'!$B:$R"),16,FALSE)))</f>
        <v/>
      </c>
      <c r="AK271" s="128">
        <f t="array" ref="AK271">IF(AI271="","",IFERROR(OFFSET($BZ$11,0,MATCH($AI271,$CA271:$FV271,0),),""))</f>
        <v/>
      </c>
      <c r="AL271" s="133">
        <f t="array" ref="AL271">IF(AI271="","",INDIRECT("'GRD-"&amp;AK271&amp;"'!$L$7"))</f>
        <v/>
      </c>
      <c r="AM271" s="84">
        <f t="array" ref="AM271">IFERROR(OFFSET($BZ$11,ROW($B271)-11,MATCH(AM$10,$CA271:$FV271,0),),"")</f>
        <v/>
      </c>
      <c r="AN271" s="84">
        <f>IF(AM271="","",IF(VLOOKUP($B271,INDIRECT("'GRD-"&amp;AO271&amp;"'!$B:$R"),16,FALSE)="","",VLOOKUP($B271,INDIRECT("'GRD-"&amp;AO271&amp;"'!$B:$R"),16,FALSE)))</f>
        <v/>
      </c>
      <c r="AO271" s="129">
        <f t="array" ref="AO271">IF(AM271="","",IFERROR(OFFSET($BZ$11,0,MATCH($AM271,$CA271:$FV271,0),),""))</f>
        <v/>
      </c>
      <c r="AP271" s="134">
        <f t="array" ref="AP271">IF(AM271="","",INDIRECT("'GRD-"&amp;AO271&amp;"'!$L$7"))</f>
        <v/>
      </c>
      <c r="AQ271" s="85">
        <f t="array" ref="AQ271">IFERROR(OFFSET($BZ$11,ROW($B271)-11,MATCH(AQ$10,$CA271:$FV271,0),),"")</f>
        <v/>
      </c>
      <c r="AR271" s="85">
        <f>IF(AQ271="","",IF(VLOOKUP($B271,INDIRECT("'GRD-"&amp;AS271&amp;"'!$B:$R"),16,FALSE)="","",VLOOKUP($B271,INDIRECT("'GRD-"&amp;AS271&amp;"'!$B:$R"),16,FALSE)))</f>
        <v/>
      </c>
      <c r="AS271" s="130">
        <f t="array" ref="AS271">IF(AQ271="","",IFERROR(OFFSET($BZ$11,0,MATCH($AQ271,$CA271:$FV271,0),),""))</f>
        <v/>
      </c>
      <c r="AT271" s="131">
        <f t="array" ref="AT271">IF(AQ271="","",INDIRECT("'GRD-"&amp;AS271&amp;"'!$L$7"))</f>
        <v/>
      </c>
      <c r="AU271" s="76">
        <f t="array" ref="AU271">IFERROR(OFFSET($BZ$11,ROW($B271)-11,MATCH(AU$10,$CA271:$FV271,0),),"")</f>
        <v/>
      </c>
      <c r="AV271" s="76">
        <f>IF(AU271="","",IF(VLOOKUP($B271,INDIRECT("'GRD-"&amp;AW271&amp;"'!$B:$R"),16,FALSE)="","",VLOOKUP($B271,INDIRECT("'GRD-"&amp;AW271&amp;"'!$B:$R"),16,FALSE)))</f>
        <v/>
      </c>
      <c r="AW271" s="132">
        <f t="array" ref="AW271">IF(AU271="","",IFERROR(OFFSET($BZ$11,0,MATCH($AU271,$CA271:$FV271,0),),""))</f>
        <v/>
      </c>
      <c r="AX271" s="121">
        <f t="array" ref="AX271">IF(AU271="","",INDIRECT("'GRD-"&amp;AW271&amp;"'!$L$7"))</f>
        <v/>
      </c>
      <c r="AY271" s="83">
        <f t="array" ref="AY271">IFERROR(OFFSET($BZ$11,ROW($B271)-11,MATCH(AY$10,$CA271:$FV271,0),),"")</f>
        <v/>
      </c>
      <c r="AZ271" s="83">
        <f>IF(AY271="","",IF(VLOOKUP($B271,INDIRECT("'GRD-"&amp;BA271&amp;"'!$B:$R"),16,FALSE)="","",VLOOKUP($B271,INDIRECT("'GRD-"&amp;BA271&amp;"'!$B:$R"),16,FALSE)))</f>
        <v/>
      </c>
      <c r="BA271" s="128">
        <f t="array" ref="BA271">IF(AY271="","",IFERROR(OFFSET($BZ$11,0,MATCH($AY271,$CA271:$FV271,0),),""))</f>
        <v/>
      </c>
      <c r="BB271" s="133">
        <f t="array" ref="BB271">IF(AY271="","",INDIRECT("'GRD-"&amp;BA271&amp;"'!$L$7"))</f>
        <v/>
      </c>
      <c r="BC271" s="84">
        <f t="array" ref="BC271">IFERROR(OFFSET($BZ$11,ROW($B271)-11,MATCH(BC$10,$CA271:$FV271,0),),"")</f>
        <v/>
      </c>
      <c r="BD271" s="84">
        <f>IF(BC271="","",IF(VLOOKUP($B271,INDIRECT("'GRD-"&amp;BE271&amp;"'!$B:$R"),16,FALSE)="","",VLOOKUP($B271,INDIRECT("'GRD-"&amp;BE271&amp;"'!$B:$R"),16,FALSE)))</f>
        <v/>
      </c>
      <c r="BE271" s="129">
        <f t="array" ref="BE271">IF(BC271="","",IFERROR(OFFSET($BZ$11,0,MATCH($BC271,$CA271:$FV271,0),),""))</f>
        <v/>
      </c>
      <c r="BF271" s="134">
        <f t="array" ref="BF271">IF(BC271="","",INDIRECT("'GRD-"&amp;BE271&amp;"'!$L$7"))</f>
        <v/>
      </c>
      <c r="CA271" s="96">
        <f>IFERROR(VLOOKUP($B271,INDIRECT("'GRD-"&amp;CA$11&amp;"'!B:R"),15,FALSE),"")</f>
        <v/>
      </c>
      <c r="CB271" s="96">
        <f>IFERROR(VLOOKUP($B271,INDIRECT("'GRD-"&amp;CB$11&amp;"'!B:R"),15,FALSE),"")</f>
        <v/>
      </c>
      <c r="CC271" s="96">
        <f>IFERROR(VLOOKUP($B271,INDIRECT("'GRD-"&amp;CC$11&amp;"'!B:R"),15,FALSE),"")</f>
        <v/>
      </c>
      <c r="CD271" s="96">
        <f>IFERROR(VLOOKUP($B271,INDIRECT("'GRD-"&amp;CD$11&amp;"'!B:R"),15,FALSE),"")</f>
        <v/>
      </c>
      <c r="CE271" s="96">
        <f>IFERROR(VLOOKUP($B271,INDIRECT("'GRD-"&amp;CE$11&amp;"'!B:R"),15,FALSE),"")</f>
        <v/>
      </c>
      <c r="CF271" s="96">
        <f>IFERROR(VLOOKUP($B271,INDIRECT("'GRD-"&amp;CF$11&amp;"'!B:R"),15,FALSE),"")</f>
        <v/>
      </c>
      <c r="CG271" s="96">
        <f>IFERROR(VLOOKUP($B271,INDIRECT("'GRD-"&amp;CG$11&amp;"'!B:R"),15,FALSE),"")</f>
        <v/>
      </c>
      <c r="CH271" s="96">
        <f>IFERROR(VLOOKUP($B271,INDIRECT("'GRD-"&amp;CH$11&amp;"'!B:R"),15,FALSE),"")</f>
        <v/>
      </c>
      <c r="CI271" s="96">
        <f>IFERROR(VLOOKUP($B271,INDIRECT("'GRD-"&amp;CI$11&amp;"'!B:R"),15,FALSE),"")</f>
        <v/>
      </c>
      <c r="CJ271" s="96">
        <f>IFERROR(VLOOKUP($B271,INDIRECT("'GRD-"&amp;CJ$11&amp;"'!B:R"),15,FALSE),"")</f>
        <v/>
      </c>
      <c r="CK271" s="96">
        <f>IFERROR(VLOOKUP($B271,INDIRECT("'GRD-"&amp;CK$11&amp;"'!B:R"),15,FALSE),"")</f>
        <v/>
      </c>
      <c r="CL271" s="96">
        <f>IFERROR(VLOOKUP($B271,INDIRECT("'GRD-"&amp;CL$11&amp;"'!B:R"),15,FALSE),"")</f>
        <v/>
      </c>
      <c r="CM271" s="96">
        <f>IFERROR(VLOOKUP($B271,INDIRECT("'GRD-"&amp;CM$11&amp;"'!B:R"),15,FALSE),"")</f>
        <v/>
      </c>
      <c r="CN271" s="96">
        <f>IFERROR(VLOOKUP($B271,INDIRECT("'GRD-"&amp;CN$11&amp;"'!B:R"),15,FALSE),"")</f>
        <v/>
      </c>
      <c r="CO271" s="96">
        <f>IFERROR(VLOOKUP($B271,INDIRECT("'GRD-"&amp;CO$11&amp;"'!B:R"),15,FALSE),"")</f>
        <v/>
      </c>
      <c r="CP271" s="96">
        <f>IFERROR(VLOOKUP($B271,INDIRECT("'GRD-"&amp;CP$11&amp;"'!B:R"),15,FALSE),"")</f>
        <v/>
      </c>
      <c r="CQ271" s="96">
        <f>IFERROR(VLOOKUP($B271,INDIRECT("'GRD-"&amp;CQ$11&amp;"'!B:R"),15,FALSE),"")</f>
        <v/>
      </c>
      <c r="CR271" s="96">
        <f>IFERROR(VLOOKUP($B271,INDIRECT("'GRD-"&amp;CR$11&amp;"'!B:R"),15,FALSE),"")</f>
        <v/>
      </c>
      <c r="CS271" s="96">
        <f>IFERROR(VLOOKUP($B271,INDIRECT("'GRD-"&amp;CS$11&amp;"'!B:R"),15,FALSE),"")</f>
        <v/>
      </c>
      <c r="CT271" s="96">
        <f>IFERROR(VLOOKUP($B271,INDIRECT("'GRD-"&amp;CT$11&amp;"'!B:R"),15,FALSE),"")</f>
        <v/>
      </c>
      <c r="CU271" s="96">
        <f>IFERROR(VLOOKUP($B271,INDIRECT("'GRD-"&amp;CU$11&amp;"'!B:R"),15,FALSE),"")</f>
        <v/>
      </c>
      <c r="CV271" s="96">
        <f>IFERROR(VLOOKUP($B271,INDIRECT("'GRD-"&amp;CV$11&amp;"'!B:R"),15,FALSE),"")</f>
        <v/>
      </c>
      <c r="CW271" s="96">
        <f>IFERROR(VLOOKUP($B271,INDIRECT("'GRD-"&amp;CW$11&amp;"'!B:R"),15,FALSE),"")</f>
        <v/>
      </c>
      <c r="CX271" s="96">
        <f>IFERROR(VLOOKUP($B271,INDIRECT("'GRD-"&amp;CX$11&amp;"'!B:R"),15,FALSE),"")</f>
        <v/>
      </c>
      <c r="CY271" s="96">
        <f>IFERROR(VLOOKUP($B271,INDIRECT("'GRD-"&amp;CY$11&amp;"'!B:R"),15,FALSE),"")</f>
        <v/>
      </c>
      <c r="CZ271" s="96">
        <f>IFERROR(VLOOKUP($B271,INDIRECT("'GRD-"&amp;CZ$11&amp;"'!B:R"),15,FALSE),"")</f>
        <v/>
      </c>
      <c r="DA271" s="96">
        <f>IFERROR(VLOOKUP($B271,INDIRECT("'GRD-"&amp;DA$11&amp;"'!B:R"),15,FALSE),"")</f>
        <v/>
      </c>
      <c r="DB271" s="96">
        <f>IFERROR(VLOOKUP($B271,INDIRECT("'GRD-"&amp;DB$11&amp;"'!B:R"),15,FALSE),"")</f>
        <v/>
      </c>
      <c r="DC271" s="96">
        <f>IFERROR(VLOOKUP($B271,INDIRECT("'GRD-"&amp;DC$11&amp;"'!B:R"),15,FALSE),"")</f>
        <v/>
      </c>
      <c r="DD271" s="96">
        <f>IFERROR(VLOOKUP($B271,INDIRECT("'GRD-"&amp;DD$11&amp;"'!B:R"),15,FALSE),"")</f>
        <v/>
      </c>
      <c r="DE271" s="96">
        <f>IFERROR(VLOOKUP($B271,INDIRECT("'GRD-"&amp;DE$11&amp;"'!B:R"),15,FALSE),"")</f>
        <v/>
      </c>
      <c r="DF271" s="96">
        <f>IFERROR(VLOOKUP($B271,INDIRECT("'GRD-"&amp;DF$11&amp;"'!B:R"),15,FALSE),"")</f>
        <v/>
      </c>
      <c r="DG271" s="96">
        <f>IFERROR(VLOOKUP($B271,INDIRECT("'GRD-"&amp;DG$11&amp;"'!B:R"),15,FALSE),"")</f>
        <v/>
      </c>
      <c r="DH271" s="96">
        <f>IFERROR(VLOOKUP($B271,INDIRECT("'GRD-"&amp;DH$11&amp;"'!B:R"),15,FALSE),"")</f>
        <v/>
      </c>
      <c r="DI271" s="96">
        <f>IFERROR(VLOOKUP($B271,INDIRECT("'GRD-"&amp;DI$11&amp;"'!B:R"),15,FALSE),"")</f>
        <v/>
      </c>
      <c r="DJ271" s="96">
        <f>IFERROR(VLOOKUP($B271,INDIRECT("'GRD-"&amp;DJ$11&amp;"'!B:R"),15,FALSE),"")</f>
        <v/>
      </c>
      <c r="DK271" s="96">
        <f>IFERROR(VLOOKUP($B271,INDIRECT("'GRD-"&amp;DK$11&amp;"'!B:R"),15,FALSE),"")</f>
        <v/>
      </c>
      <c r="DL271" s="96">
        <f>IFERROR(VLOOKUP($B271,INDIRECT("'GRD-"&amp;DL$11&amp;"'!B:R"),15,FALSE),"")</f>
        <v/>
      </c>
      <c r="DM271" s="96">
        <f>IFERROR(VLOOKUP($B271,INDIRECT("'GRD-"&amp;DM$11&amp;"'!B:R"),15,FALSE),"")</f>
        <v/>
      </c>
      <c r="DN271" s="96">
        <f>IFERROR(VLOOKUP($B271,INDIRECT("'GRD-"&amp;DN$11&amp;"'!B:R"),15,FALSE),"")</f>
        <v/>
      </c>
      <c r="DO271" s="96">
        <f>IFERROR(VLOOKUP($B271,INDIRECT("'GRD-"&amp;DO$11&amp;"'!B:R"),15,FALSE),"")</f>
        <v/>
      </c>
      <c r="DP271" s="96">
        <f>IFERROR(VLOOKUP($B271,INDIRECT("'GRD-"&amp;DP$11&amp;"'!B:R"),15,FALSE),"")</f>
        <v/>
      </c>
      <c r="DQ271" s="96">
        <f>IFERROR(VLOOKUP($B271,INDIRECT("'GRD-"&amp;DQ$11&amp;"'!B:R"),15,FALSE),"")</f>
        <v/>
      </c>
      <c r="DR271" s="96">
        <f>IFERROR(VLOOKUP($B271,INDIRECT("'GRD-"&amp;DR$11&amp;"'!B:R"),15,FALSE),"")</f>
        <v/>
      </c>
      <c r="DS271" s="96">
        <f>IFERROR(VLOOKUP($B271,INDIRECT("'GRD-"&amp;DS$11&amp;"'!B:R"),15,FALSE),"")</f>
        <v/>
      </c>
      <c r="DT271" s="96">
        <f>IFERROR(VLOOKUP($B271,INDIRECT("'GRD-"&amp;DT$11&amp;"'!B:R"),15,FALSE),"")</f>
        <v/>
      </c>
      <c r="DU271" s="96">
        <f>IFERROR(VLOOKUP($B271,INDIRECT("'GRD-"&amp;DU$11&amp;"'!B:R"),15,FALSE),"")</f>
        <v/>
      </c>
      <c r="DV271" s="96">
        <f>IFERROR(VLOOKUP($B271,INDIRECT("'GRD-"&amp;DV$11&amp;"'!B:R"),15,FALSE),"")</f>
        <v/>
      </c>
      <c r="DW271" s="96">
        <f>IFERROR(VLOOKUP($B271,INDIRECT("'GRD-"&amp;DW$11&amp;"'!B:R"),15,FALSE),"")</f>
        <v/>
      </c>
      <c r="DX271" s="96">
        <f>IFERROR(VLOOKUP($B271,INDIRECT("'GRD-"&amp;DX$11&amp;"'!B:R"),15,FALSE),"")</f>
        <v/>
      </c>
      <c r="DY271" s="96">
        <f>IFERROR(VLOOKUP($B271,INDIRECT("'GRD-"&amp;DY$11&amp;"'!B:R"),15,FALSE),"")</f>
        <v/>
      </c>
      <c r="DZ271" s="96">
        <f>IFERROR(VLOOKUP($B271,INDIRECT("'GRD-"&amp;DZ$11&amp;"'!B:R"),15,FALSE),"")</f>
        <v/>
      </c>
      <c r="EA271" s="96">
        <f>IFERROR(VLOOKUP($B271,INDIRECT("'GRD-"&amp;EA$11&amp;"'!B:R"),15,FALSE),"")</f>
        <v/>
      </c>
      <c r="EB271" s="96">
        <f>IFERROR(VLOOKUP($B271,INDIRECT("'GRD-"&amp;EB$11&amp;"'!B:R"),15,FALSE),"")</f>
        <v/>
      </c>
      <c r="EC271" s="96">
        <f>IFERROR(VLOOKUP($B271,INDIRECT("'GRD-"&amp;EC$11&amp;"'!B:R"),15,FALSE),"")</f>
        <v/>
      </c>
      <c r="ED271" s="96">
        <f>IFERROR(VLOOKUP($B271,INDIRECT("'GRD-"&amp;ED$11&amp;"'!B:R"),15,FALSE),"")</f>
        <v/>
      </c>
      <c r="EE271" s="96">
        <f>IFERROR(VLOOKUP($B271,INDIRECT("'GRD-"&amp;EE$11&amp;"'!B:R"),15,FALSE),"")</f>
        <v/>
      </c>
      <c r="EF271" s="96">
        <f>IFERROR(VLOOKUP($B271,INDIRECT("'GRD-"&amp;EF$11&amp;"'!B:R"),15,FALSE),"")</f>
        <v/>
      </c>
      <c r="EG271" s="96">
        <f>IFERROR(VLOOKUP($B271,INDIRECT("'GRD-"&amp;EG$11&amp;"'!B:R"),15,FALSE),"")</f>
        <v/>
      </c>
      <c r="EH271" s="96">
        <f>IFERROR(VLOOKUP($B271,INDIRECT("'GRD-"&amp;EH$11&amp;"'!B:R"),15,FALSE),"")</f>
        <v/>
      </c>
      <c r="EI271" s="96">
        <f>IFERROR(VLOOKUP($B271,INDIRECT("'GRD-"&amp;EI$11&amp;"'!B:R"),15,FALSE),"")</f>
        <v/>
      </c>
      <c r="EJ271" s="96">
        <f>IFERROR(VLOOKUP($B271,INDIRECT("'GRD-"&amp;EJ$11&amp;"'!B:R"),15,FALSE),"")</f>
        <v/>
      </c>
      <c r="EK271" s="96">
        <f>IFERROR(VLOOKUP($B271,INDIRECT("'GRD-"&amp;EK$11&amp;"'!B:R"),15,FALSE),"")</f>
        <v/>
      </c>
      <c r="EL271" s="96">
        <f>IFERROR(VLOOKUP($B271,INDIRECT("'GRD-"&amp;EL$11&amp;"'!B:R"),15,FALSE),"")</f>
        <v/>
      </c>
      <c r="EM271" s="96">
        <f>IFERROR(VLOOKUP($B271,INDIRECT("'GRD-"&amp;EM$11&amp;"'!B:R"),15,FALSE),"")</f>
        <v/>
      </c>
      <c r="EN271" s="96">
        <f>IFERROR(VLOOKUP($B271,INDIRECT("'GRD-"&amp;EN$11&amp;"'!B:R"),15,FALSE),"")</f>
        <v/>
      </c>
      <c r="EO271" s="96">
        <f>IFERROR(VLOOKUP($B271,INDIRECT("'GRD-"&amp;EO$11&amp;"'!B:R"),15,FALSE),"")</f>
        <v/>
      </c>
      <c r="EP271" s="96">
        <f>IFERROR(VLOOKUP($B271,INDIRECT("'GRD-"&amp;EP$11&amp;"'!B:R"),15,FALSE),"")</f>
        <v/>
      </c>
      <c r="EQ271" s="96">
        <f>IFERROR(VLOOKUP($B271,INDIRECT("'GRD-"&amp;EQ$11&amp;"'!B:R"),15,FALSE),"")</f>
        <v/>
      </c>
      <c r="ER271" s="96">
        <f>IFERROR(VLOOKUP($B271,INDIRECT("'GRD-"&amp;ER$11&amp;"'!B:R"),15,FALSE),"")</f>
        <v/>
      </c>
      <c r="ES271" s="96">
        <f>IFERROR(VLOOKUP($B271,INDIRECT("'GRD-"&amp;ES$11&amp;"'!B:R"),15,FALSE),"")</f>
        <v/>
      </c>
      <c r="ET271" s="96">
        <f>IFERROR(VLOOKUP($B271,INDIRECT("'GRD-"&amp;ET$11&amp;"'!B:R"),15,FALSE),"")</f>
        <v/>
      </c>
      <c r="EU271" s="96">
        <f>IFERROR(VLOOKUP($B271,INDIRECT("'GRD-"&amp;EU$11&amp;"'!B:R"),15,FALSE),"")</f>
        <v/>
      </c>
      <c r="EV271" s="96">
        <f>IFERROR(VLOOKUP($B271,INDIRECT("'GRD-"&amp;EV$11&amp;"'!B:R"),15,FALSE),"")</f>
        <v/>
      </c>
      <c r="EW271" s="96">
        <f>IFERROR(VLOOKUP($B271,INDIRECT("'GRD-"&amp;EW$11&amp;"'!B:R"),15,FALSE),"")</f>
        <v/>
      </c>
      <c r="EX271" s="96">
        <f>IFERROR(VLOOKUP($B271,INDIRECT("'GRD-"&amp;EX$11&amp;"'!B:R"),15,FALSE),"")</f>
        <v/>
      </c>
      <c r="EY271" s="96">
        <f>IFERROR(VLOOKUP($B271,INDIRECT("'GRD-"&amp;EY$11&amp;"'!B:R"),15,FALSE),"")</f>
        <v/>
      </c>
      <c r="EZ271" s="96">
        <f>IFERROR(VLOOKUP($B271,INDIRECT("'GRD-"&amp;EZ$11&amp;"'!B:R"),15,FALSE),"")</f>
        <v/>
      </c>
      <c r="FA271" s="96">
        <f>IFERROR(VLOOKUP($B271,INDIRECT("'GRD-"&amp;FA$11&amp;"'!B:R"),15,FALSE),"")</f>
        <v/>
      </c>
      <c r="FB271" s="96">
        <f>IFERROR(VLOOKUP($B271,INDIRECT("'GRD-"&amp;FB$11&amp;"'!B:R"),15,FALSE),"")</f>
        <v/>
      </c>
      <c r="FC271" s="96">
        <f>IFERROR(VLOOKUP($B271,INDIRECT("'GRD-"&amp;FC$11&amp;"'!B:R"),15,FALSE),"")</f>
        <v/>
      </c>
      <c r="FD271" s="96">
        <f>IFERROR(VLOOKUP($B271,INDIRECT("'GRD-"&amp;FD$11&amp;"'!B:R"),15,FALSE),"")</f>
        <v/>
      </c>
      <c r="FE271" s="96">
        <f>IFERROR(VLOOKUP($B271,INDIRECT("'GRD-"&amp;FE$11&amp;"'!B:R"),15,FALSE),"")</f>
        <v/>
      </c>
      <c r="FF271" s="96">
        <f>IFERROR(VLOOKUP($B271,INDIRECT("'GRD-"&amp;FF$11&amp;"'!B:R"),15,FALSE),"")</f>
        <v/>
      </c>
      <c r="FG271" s="96">
        <f>IFERROR(VLOOKUP($B271,INDIRECT("'GRD-"&amp;FG$11&amp;"'!B:R"),15,FALSE),"")</f>
        <v/>
      </c>
      <c r="FH271" s="96">
        <f>IFERROR(VLOOKUP($B271,INDIRECT("'GRD-"&amp;FH$11&amp;"'!B:R"),15,FALSE),"")</f>
        <v/>
      </c>
      <c r="FI271" s="96">
        <f>IFERROR(VLOOKUP($B271,INDIRECT("'GRD-"&amp;FI$11&amp;"'!B:R"),15,FALSE),"")</f>
        <v/>
      </c>
      <c r="FJ271" s="96">
        <f>IFERROR(VLOOKUP($B271,INDIRECT("'GRD-"&amp;FJ$11&amp;"'!B:R"),15,FALSE),"")</f>
        <v/>
      </c>
      <c r="FK271" s="96">
        <f>IFERROR(VLOOKUP($B271,INDIRECT("'GRD-"&amp;FK$11&amp;"'!B:R"),15,FALSE),"")</f>
        <v/>
      </c>
      <c r="FL271" s="96">
        <f>IFERROR(VLOOKUP($B271,INDIRECT("'GRD-"&amp;FL$11&amp;"'!B:R"),15,FALSE),"")</f>
        <v/>
      </c>
      <c r="FM271" s="96">
        <f>IFERROR(VLOOKUP($B271,INDIRECT("'GRD-"&amp;FM$11&amp;"'!B:R"),15,FALSE),"")</f>
        <v/>
      </c>
      <c r="FN271" s="96">
        <f>IFERROR(VLOOKUP($B271,INDIRECT("'GRD-"&amp;FN$11&amp;"'!B:R"),15,FALSE),"")</f>
        <v/>
      </c>
      <c r="FO271" s="96">
        <f>IFERROR(VLOOKUP($B271,INDIRECT("'GRD-"&amp;FO$11&amp;"'!B:R"),15,FALSE),"")</f>
        <v/>
      </c>
      <c r="FP271" s="96">
        <f>IFERROR(VLOOKUP($B271,INDIRECT("'GRD-"&amp;FP$11&amp;"'!B:R"),15,FALSE),"")</f>
        <v/>
      </c>
      <c r="FQ271" s="96">
        <f>IFERROR(VLOOKUP($B271,INDIRECT("'GRD-"&amp;FQ$11&amp;"'!B:R"),15,FALSE),"")</f>
        <v/>
      </c>
      <c r="FR271" s="96">
        <f>IFERROR(VLOOKUP($B271,INDIRECT("'GRD-"&amp;FR$11&amp;"'!B:R"),15,FALSE),"")</f>
        <v/>
      </c>
      <c r="FS271" s="96">
        <f>IFERROR(VLOOKUP($B271,INDIRECT("'GRD-"&amp;FS$11&amp;"'!B:R"),15,FALSE),"")</f>
        <v/>
      </c>
      <c r="FT271" s="96">
        <f>IFERROR(VLOOKUP($B271,INDIRECT("'GRD-"&amp;FT$11&amp;"'!B:R"),15,FALSE),"")</f>
        <v/>
      </c>
      <c r="FU271" s="96">
        <f>IFERROR(VLOOKUP($B271,INDIRECT("'GRD-"&amp;FU$11&amp;"'!B:R"),15,FALSE),"")</f>
        <v/>
      </c>
      <c r="FV271" s="96">
        <f>IFERROR(VLOOKUP($B271,INDIRECT("'GRD-"&amp;FV$11&amp;"'!B:R"),15,FALSE),"")</f>
        <v/>
      </c>
    </row>
    <row r="272">
      <c r="B272" s="85" t="n"/>
      <c r="C272" s="93" t="n"/>
      <c r="D272" s="73">
        <f>IF(K272="","",MAX($CA272:$FV272))</f>
        <v/>
      </c>
      <c r="E272" s="74">
        <f t="array" ref="E272">IF($K272="","",OFFSET($A$1,ROW($B272)-1,11+$D272*4,))</f>
        <v/>
      </c>
      <c r="F272" s="74">
        <f t="array" ref="F272">IF($K272="","",OFFSET($A$1,ROW($B272)-1,12+$D272*4,))</f>
        <v/>
      </c>
      <c r="G272" s="118">
        <f t="array" ref="G272">IF($K272="","",OFFSET($A$1,ROW($B272)-1,13+$D272*4,))</f>
        <v/>
      </c>
      <c r="H272" s="81" t="n"/>
      <c r="I272" s="82" t="n"/>
      <c r="J272" s="75">
        <f>IF(I272="A4",H272/8,IF(I272="A3",H272/4,IF(I272="A2",H272/2,IF(I272="A1",H272/1,IF(I272="A0",H272*2,"")))))</f>
        <v/>
      </c>
      <c r="K272" s="68">
        <f t="array" ref="K272">IFERROR(OFFSET($BZ$11,ROW($B272)-11,MATCH(K$10,$CA272:$FV272,0),),"")</f>
        <v/>
      </c>
      <c r="L272" s="85">
        <f>IF(K272="","",IF(VLOOKUP($B272,INDIRECT("'GRD-"&amp;M272&amp;"'!$B:$R"),16,FALSE)="","",VLOOKUP($B272,INDIRECT("'GRD-"&amp;M272&amp;"'!$B:$R"),16,FALSE)))</f>
        <v/>
      </c>
      <c r="M272" s="130">
        <f t="array" ref="M272">IF(K272="","",IFERROR(OFFSET($BZ$11,0,MATCH($K272,$CA272:$FV272,0),),""))</f>
        <v/>
      </c>
      <c r="N272" s="119">
        <f t="array" ref="N272">IF(K272="","",INDIRECT("'GRD-"&amp;M272&amp;"'!$L$7"))</f>
        <v/>
      </c>
      <c r="O272" s="76">
        <f t="array" ref="O272">IFERROR(OFFSET($BZ$11,ROW($B272)-11,MATCH(O$10,$CA272:$FV272,0),),"")</f>
        <v/>
      </c>
      <c r="P272" s="76">
        <f>IF(O272="","",IF(VLOOKUP($B272,INDIRECT("'GRD-"&amp;Q272&amp;"'!$B:$R"),16,FALSE)="","",VLOOKUP($B272,INDIRECT("'GRD-"&amp;Q272&amp;"'!$B:$R"),16,FALSE)))</f>
        <v/>
      </c>
      <c r="Q272" s="132">
        <f t="array" ref="Q272">IF(O272="","",IFERROR(OFFSET($BZ$11,0,MATCH($O272,$CA272:$FV272,0),),""))</f>
        <v/>
      </c>
      <c r="R272" s="121">
        <f t="array" ref="R272">IF(O272="","",INDIRECT("'GRD-"&amp;Q272&amp;"'!$L$7"))</f>
        <v/>
      </c>
      <c r="S272" s="83">
        <f t="array" ref="S272">IFERROR(OFFSET($BZ$11,ROW($B272)-11,MATCH(S$10,$CA272:$FV272,0),),"")</f>
        <v/>
      </c>
      <c r="T272" s="83">
        <f>IF(S272="","",IF(VLOOKUP($B272,INDIRECT("'GRD-"&amp;U272&amp;"'!$B:$R"),16,FALSE)="","",VLOOKUP($B272,INDIRECT("'GRD-"&amp;U272&amp;"'!$B:$R"),16,FALSE)))</f>
        <v/>
      </c>
      <c r="U272" s="128">
        <f t="array" ref="U272">IF(S272="","",IFERROR(OFFSET($BZ$11,0,MATCH($S272,$CA272:$FV272,0),),""))</f>
        <v/>
      </c>
      <c r="V272" s="133">
        <f t="array" ref="V272">IF(S272="","",INDIRECT("'GRD-"&amp;U272&amp;"'!$L$7"))</f>
        <v/>
      </c>
      <c r="W272" s="84">
        <f t="array" ref="W272">IFERROR(OFFSET($BZ$11,ROW($B272)-11,MATCH(W$10,$CA272:$FV272,0),),"")</f>
        <v/>
      </c>
      <c r="X272" s="84">
        <f>IF(W272="","",IF(VLOOKUP($B272,INDIRECT("'GRD-"&amp;Y272&amp;"'!$B:$R"),16,FALSE)="","",VLOOKUP($B272,INDIRECT("'GRD-"&amp;Y272&amp;"'!$B:$R"),16,FALSE)))</f>
        <v/>
      </c>
      <c r="Y272" s="129">
        <f t="array" ref="Y272">IF(W272="","",IFERROR(OFFSET($BZ$11,0,MATCH($W272,$CA272:$FV272,0),),""))</f>
        <v/>
      </c>
      <c r="Z272" s="134">
        <f t="array" ref="Z272">IF(W272="","",INDIRECT("'GRD-"&amp;Y272&amp;"'!$L$7"))</f>
        <v/>
      </c>
      <c r="AA272" s="85">
        <f t="array" ref="AA272">IFERROR(OFFSET($BZ$11,ROW($B272)-11,MATCH(AA$10,$CA272:$FV272,0),),"")</f>
        <v/>
      </c>
      <c r="AB272" s="85">
        <f>IF(AA272="","",IF(VLOOKUP($B272,INDIRECT("'GRD-"&amp;AC272&amp;"'!$B:$R"),16,FALSE)="","",VLOOKUP($B272,INDIRECT("'GRD-"&amp;AC272&amp;"'!$B:$R"),16,FALSE)))</f>
        <v/>
      </c>
      <c r="AC272" s="130">
        <f t="array" ref="AC272">IF(AA272="","",IFERROR(OFFSET($BZ$11,0,MATCH($AA272,$CA272:$FV272,0),),""))</f>
        <v/>
      </c>
      <c r="AD272" s="131">
        <f t="array" ref="AD272">IF(AA272="","",INDIRECT("'GRD-"&amp;AC272&amp;"'!$L$7"))</f>
        <v/>
      </c>
      <c r="AE272" s="76">
        <f t="array" ref="AE272">IFERROR(OFFSET($BZ$11,ROW($B272)-11,MATCH(AE$10,$CA272:$FV272,0),),"")</f>
        <v/>
      </c>
      <c r="AF272" s="76">
        <f>IF(AE272="","",IF(VLOOKUP($B272,INDIRECT("'GRD-"&amp;AG272&amp;"'!$B:$R"),16,FALSE)="","",VLOOKUP($B272,INDIRECT("'GRD-"&amp;AG272&amp;"'!$B:$R"),16,FALSE)))</f>
        <v/>
      </c>
      <c r="AG272" s="132">
        <f t="array" ref="AG272">IF(AE272="","",IFERROR(OFFSET($BZ$11,0,MATCH($AE272,$CA272:$FV272,0),),""))</f>
        <v/>
      </c>
      <c r="AH272" s="121">
        <f t="array" ref="AH272">IF(AE272="","",INDIRECT("'GRD-"&amp;AG272&amp;"'!$L$7"))</f>
        <v/>
      </c>
      <c r="AI272" s="83">
        <f t="array" ref="AI272">IFERROR(OFFSET($BZ$11,ROW($B272)-11,MATCH(AI$10,$CA272:$FV272,0),),"")</f>
        <v/>
      </c>
      <c r="AJ272" s="83">
        <f>IF(AI272="","",IF(VLOOKUP($B272,INDIRECT("'GRD-"&amp;AK272&amp;"'!$B:$R"),16,FALSE)="","",VLOOKUP($B272,INDIRECT("'GRD-"&amp;AK272&amp;"'!$B:$R"),16,FALSE)))</f>
        <v/>
      </c>
      <c r="AK272" s="128">
        <f t="array" ref="AK272">IF(AI272="","",IFERROR(OFFSET($BZ$11,0,MATCH($AI272,$CA272:$FV272,0),),""))</f>
        <v/>
      </c>
      <c r="AL272" s="133">
        <f t="array" ref="AL272">IF(AI272="","",INDIRECT("'GRD-"&amp;AK272&amp;"'!$L$7"))</f>
        <v/>
      </c>
      <c r="AM272" s="84">
        <f t="array" ref="AM272">IFERROR(OFFSET($BZ$11,ROW($B272)-11,MATCH(AM$10,$CA272:$FV272,0),),"")</f>
        <v/>
      </c>
      <c r="AN272" s="84">
        <f>IF(AM272="","",IF(VLOOKUP($B272,INDIRECT("'GRD-"&amp;AO272&amp;"'!$B:$R"),16,FALSE)="","",VLOOKUP($B272,INDIRECT("'GRD-"&amp;AO272&amp;"'!$B:$R"),16,FALSE)))</f>
        <v/>
      </c>
      <c r="AO272" s="129">
        <f t="array" ref="AO272">IF(AM272="","",IFERROR(OFFSET($BZ$11,0,MATCH($AM272,$CA272:$FV272,0),),""))</f>
        <v/>
      </c>
      <c r="AP272" s="134">
        <f t="array" ref="AP272">IF(AM272="","",INDIRECT("'GRD-"&amp;AO272&amp;"'!$L$7"))</f>
        <v/>
      </c>
      <c r="AQ272" s="85">
        <f t="array" ref="AQ272">IFERROR(OFFSET($BZ$11,ROW($B272)-11,MATCH(AQ$10,$CA272:$FV272,0),),"")</f>
        <v/>
      </c>
      <c r="AR272" s="85">
        <f>IF(AQ272="","",IF(VLOOKUP($B272,INDIRECT("'GRD-"&amp;AS272&amp;"'!$B:$R"),16,FALSE)="","",VLOOKUP($B272,INDIRECT("'GRD-"&amp;AS272&amp;"'!$B:$R"),16,FALSE)))</f>
        <v/>
      </c>
      <c r="AS272" s="130">
        <f t="array" ref="AS272">IF(AQ272="","",IFERROR(OFFSET($BZ$11,0,MATCH($AQ272,$CA272:$FV272,0),),""))</f>
        <v/>
      </c>
      <c r="AT272" s="131">
        <f t="array" ref="AT272">IF(AQ272="","",INDIRECT("'GRD-"&amp;AS272&amp;"'!$L$7"))</f>
        <v/>
      </c>
      <c r="AU272" s="76">
        <f t="array" ref="AU272">IFERROR(OFFSET($BZ$11,ROW($B272)-11,MATCH(AU$10,$CA272:$FV272,0),),"")</f>
        <v/>
      </c>
      <c r="AV272" s="76">
        <f>IF(AU272="","",IF(VLOOKUP($B272,INDIRECT("'GRD-"&amp;AW272&amp;"'!$B:$R"),16,FALSE)="","",VLOOKUP($B272,INDIRECT("'GRD-"&amp;AW272&amp;"'!$B:$R"),16,FALSE)))</f>
        <v/>
      </c>
      <c r="AW272" s="132">
        <f t="array" ref="AW272">IF(AU272="","",IFERROR(OFFSET($BZ$11,0,MATCH($AU272,$CA272:$FV272,0),),""))</f>
        <v/>
      </c>
      <c r="AX272" s="121">
        <f t="array" ref="AX272">IF(AU272="","",INDIRECT("'GRD-"&amp;AW272&amp;"'!$L$7"))</f>
        <v/>
      </c>
      <c r="AY272" s="83">
        <f t="array" ref="AY272">IFERROR(OFFSET($BZ$11,ROW($B272)-11,MATCH(AY$10,$CA272:$FV272,0),),"")</f>
        <v/>
      </c>
      <c r="AZ272" s="83">
        <f>IF(AY272="","",IF(VLOOKUP($B272,INDIRECT("'GRD-"&amp;BA272&amp;"'!$B:$R"),16,FALSE)="","",VLOOKUP($B272,INDIRECT("'GRD-"&amp;BA272&amp;"'!$B:$R"),16,FALSE)))</f>
        <v/>
      </c>
      <c r="BA272" s="128">
        <f t="array" ref="BA272">IF(AY272="","",IFERROR(OFFSET($BZ$11,0,MATCH($AY272,$CA272:$FV272,0),),""))</f>
        <v/>
      </c>
      <c r="BB272" s="133">
        <f t="array" ref="BB272">IF(AY272="","",INDIRECT("'GRD-"&amp;BA272&amp;"'!$L$7"))</f>
        <v/>
      </c>
      <c r="BC272" s="84">
        <f t="array" ref="BC272">IFERROR(OFFSET($BZ$11,ROW($B272)-11,MATCH(BC$10,$CA272:$FV272,0),),"")</f>
        <v/>
      </c>
      <c r="BD272" s="84">
        <f>IF(BC272="","",IF(VLOOKUP($B272,INDIRECT("'GRD-"&amp;BE272&amp;"'!$B:$R"),16,FALSE)="","",VLOOKUP($B272,INDIRECT("'GRD-"&amp;BE272&amp;"'!$B:$R"),16,FALSE)))</f>
        <v/>
      </c>
      <c r="BE272" s="129">
        <f t="array" ref="BE272">IF(BC272="","",IFERROR(OFFSET($BZ$11,0,MATCH($BC272,$CA272:$FV272,0),),""))</f>
        <v/>
      </c>
      <c r="BF272" s="134">
        <f t="array" ref="BF272">IF(BC272="","",INDIRECT("'GRD-"&amp;BE272&amp;"'!$L$7"))</f>
        <v/>
      </c>
      <c r="CA272" s="96">
        <f>IFERROR(VLOOKUP($B272,INDIRECT("'GRD-"&amp;CA$11&amp;"'!B:R"),15,FALSE),"")</f>
        <v/>
      </c>
      <c r="CB272" s="96">
        <f>IFERROR(VLOOKUP($B272,INDIRECT("'GRD-"&amp;CB$11&amp;"'!B:R"),15,FALSE),"")</f>
        <v/>
      </c>
      <c r="CC272" s="96">
        <f>IFERROR(VLOOKUP($B272,INDIRECT("'GRD-"&amp;CC$11&amp;"'!B:R"),15,FALSE),"")</f>
        <v/>
      </c>
      <c r="CD272" s="96">
        <f>IFERROR(VLOOKUP($B272,INDIRECT("'GRD-"&amp;CD$11&amp;"'!B:R"),15,FALSE),"")</f>
        <v/>
      </c>
      <c r="CE272" s="96">
        <f>IFERROR(VLOOKUP($B272,INDIRECT("'GRD-"&amp;CE$11&amp;"'!B:R"),15,FALSE),"")</f>
        <v/>
      </c>
      <c r="CF272" s="96">
        <f>IFERROR(VLOOKUP($B272,INDIRECT("'GRD-"&amp;CF$11&amp;"'!B:R"),15,FALSE),"")</f>
        <v/>
      </c>
      <c r="CG272" s="96">
        <f>IFERROR(VLOOKUP($B272,INDIRECT("'GRD-"&amp;CG$11&amp;"'!B:R"),15,FALSE),"")</f>
        <v/>
      </c>
      <c r="CH272" s="96">
        <f>IFERROR(VLOOKUP($B272,INDIRECT("'GRD-"&amp;CH$11&amp;"'!B:R"),15,FALSE),"")</f>
        <v/>
      </c>
      <c r="CI272" s="96">
        <f>IFERROR(VLOOKUP($B272,INDIRECT("'GRD-"&amp;CI$11&amp;"'!B:R"),15,FALSE),"")</f>
        <v/>
      </c>
      <c r="CJ272" s="96">
        <f>IFERROR(VLOOKUP($B272,INDIRECT("'GRD-"&amp;CJ$11&amp;"'!B:R"),15,FALSE),"")</f>
        <v/>
      </c>
      <c r="CK272" s="96">
        <f>IFERROR(VLOOKUP($B272,INDIRECT("'GRD-"&amp;CK$11&amp;"'!B:R"),15,FALSE),"")</f>
        <v/>
      </c>
      <c r="CL272" s="96">
        <f>IFERROR(VLOOKUP($B272,INDIRECT("'GRD-"&amp;CL$11&amp;"'!B:R"),15,FALSE),"")</f>
        <v/>
      </c>
      <c r="CM272" s="96">
        <f>IFERROR(VLOOKUP($B272,INDIRECT("'GRD-"&amp;CM$11&amp;"'!B:R"),15,FALSE),"")</f>
        <v/>
      </c>
      <c r="CN272" s="96">
        <f>IFERROR(VLOOKUP($B272,INDIRECT("'GRD-"&amp;CN$11&amp;"'!B:R"),15,FALSE),"")</f>
        <v/>
      </c>
      <c r="CO272" s="96">
        <f>IFERROR(VLOOKUP($B272,INDIRECT("'GRD-"&amp;CO$11&amp;"'!B:R"),15,FALSE),"")</f>
        <v/>
      </c>
      <c r="CP272" s="96">
        <f>IFERROR(VLOOKUP($B272,INDIRECT("'GRD-"&amp;CP$11&amp;"'!B:R"),15,FALSE),"")</f>
        <v/>
      </c>
      <c r="CQ272" s="96">
        <f>IFERROR(VLOOKUP($B272,INDIRECT("'GRD-"&amp;CQ$11&amp;"'!B:R"),15,FALSE),"")</f>
        <v/>
      </c>
      <c r="CR272" s="96">
        <f>IFERROR(VLOOKUP($B272,INDIRECT("'GRD-"&amp;CR$11&amp;"'!B:R"),15,FALSE),"")</f>
        <v/>
      </c>
      <c r="CS272" s="96">
        <f>IFERROR(VLOOKUP($B272,INDIRECT("'GRD-"&amp;CS$11&amp;"'!B:R"),15,FALSE),"")</f>
        <v/>
      </c>
      <c r="CT272" s="96">
        <f>IFERROR(VLOOKUP($B272,INDIRECT("'GRD-"&amp;CT$11&amp;"'!B:R"),15,FALSE),"")</f>
        <v/>
      </c>
      <c r="CU272" s="96">
        <f>IFERROR(VLOOKUP($B272,INDIRECT("'GRD-"&amp;CU$11&amp;"'!B:R"),15,FALSE),"")</f>
        <v/>
      </c>
      <c r="CV272" s="96">
        <f>IFERROR(VLOOKUP($B272,INDIRECT("'GRD-"&amp;CV$11&amp;"'!B:R"),15,FALSE),"")</f>
        <v/>
      </c>
      <c r="CW272" s="96">
        <f>IFERROR(VLOOKUP($B272,INDIRECT("'GRD-"&amp;CW$11&amp;"'!B:R"),15,FALSE),"")</f>
        <v/>
      </c>
      <c r="CX272" s="96">
        <f>IFERROR(VLOOKUP($B272,INDIRECT("'GRD-"&amp;CX$11&amp;"'!B:R"),15,FALSE),"")</f>
        <v/>
      </c>
      <c r="CY272" s="96">
        <f>IFERROR(VLOOKUP($B272,INDIRECT("'GRD-"&amp;CY$11&amp;"'!B:R"),15,FALSE),"")</f>
        <v/>
      </c>
      <c r="CZ272" s="96">
        <f>IFERROR(VLOOKUP($B272,INDIRECT("'GRD-"&amp;CZ$11&amp;"'!B:R"),15,FALSE),"")</f>
        <v/>
      </c>
      <c r="DA272" s="96">
        <f>IFERROR(VLOOKUP($B272,INDIRECT("'GRD-"&amp;DA$11&amp;"'!B:R"),15,FALSE),"")</f>
        <v/>
      </c>
      <c r="DB272" s="96">
        <f>IFERROR(VLOOKUP($B272,INDIRECT("'GRD-"&amp;DB$11&amp;"'!B:R"),15,FALSE),"")</f>
        <v/>
      </c>
      <c r="DC272" s="96">
        <f>IFERROR(VLOOKUP($B272,INDIRECT("'GRD-"&amp;DC$11&amp;"'!B:R"),15,FALSE),"")</f>
        <v/>
      </c>
      <c r="DD272" s="96">
        <f>IFERROR(VLOOKUP($B272,INDIRECT("'GRD-"&amp;DD$11&amp;"'!B:R"),15,FALSE),"")</f>
        <v/>
      </c>
      <c r="DE272" s="96">
        <f>IFERROR(VLOOKUP($B272,INDIRECT("'GRD-"&amp;DE$11&amp;"'!B:R"),15,FALSE),"")</f>
        <v/>
      </c>
      <c r="DF272" s="96">
        <f>IFERROR(VLOOKUP($B272,INDIRECT("'GRD-"&amp;DF$11&amp;"'!B:R"),15,FALSE),"")</f>
        <v/>
      </c>
      <c r="DG272" s="96">
        <f>IFERROR(VLOOKUP($B272,INDIRECT("'GRD-"&amp;DG$11&amp;"'!B:R"),15,FALSE),"")</f>
        <v/>
      </c>
      <c r="DH272" s="96">
        <f>IFERROR(VLOOKUP($B272,INDIRECT("'GRD-"&amp;DH$11&amp;"'!B:R"),15,FALSE),"")</f>
        <v/>
      </c>
      <c r="DI272" s="96">
        <f>IFERROR(VLOOKUP($B272,INDIRECT("'GRD-"&amp;DI$11&amp;"'!B:R"),15,FALSE),"")</f>
        <v/>
      </c>
      <c r="DJ272" s="96">
        <f>IFERROR(VLOOKUP($B272,INDIRECT("'GRD-"&amp;DJ$11&amp;"'!B:R"),15,FALSE),"")</f>
        <v/>
      </c>
      <c r="DK272" s="96">
        <f>IFERROR(VLOOKUP($B272,INDIRECT("'GRD-"&amp;DK$11&amp;"'!B:R"),15,FALSE),"")</f>
        <v/>
      </c>
      <c r="DL272" s="96">
        <f>IFERROR(VLOOKUP($B272,INDIRECT("'GRD-"&amp;DL$11&amp;"'!B:R"),15,FALSE),"")</f>
        <v/>
      </c>
      <c r="DM272" s="96">
        <f>IFERROR(VLOOKUP($B272,INDIRECT("'GRD-"&amp;DM$11&amp;"'!B:R"),15,FALSE),"")</f>
        <v/>
      </c>
      <c r="DN272" s="96">
        <f>IFERROR(VLOOKUP($B272,INDIRECT("'GRD-"&amp;DN$11&amp;"'!B:R"),15,FALSE),"")</f>
        <v/>
      </c>
      <c r="DO272" s="96">
        <f>IFERROR(VLOOKUP($B272,INDIRECT("'GRD-"&amp;DO$11&amp;"'!B:R"),15,FALSE),"")</f>
        <v/>
      </c>
      <c r="DP272" s="96">
        <f>IFERROR(VLOOKUP($B272,INDIRECT("'GRD-"&amp;DP$11&amp;"'!B:R"),15,FALSE),"")</f>
        <v/>
      </c>
      <c r="DQ272" s="96">
        <f>IFERROR(VLOOKUP($B272,INDIRECT("'GRD-"&amp;DQ$11&amp;"'!B:R"),15,FALSE),"")</f>
        <v/>
      </c>
      <c r="DR272" s="96">
        <f>IFERROR(VLOOKUP($B272,INDIRECT("'GRD-"&amp;DR$11&amp;"'!B:R"),15,FALSE),"")</f>
        <v/>
      </c>
      <c r="DS272" s="96">
        <f>IFERROR(VLOOKUP($B272,INDIRECT("'GRD-"&amp;DS$11&amp;"'!B:R"),15,FALSE),"")</f>
        <v/>
      </c>
      <c r="DT272" s="96">
        <f>IFERROR(VLOOKUP($B272,INDIRECT("'GRD-"&amp;DT$11&amp;"'!B:R"),15,FALSE),"")</f>
        <v/>
      </c>
      <c r="DU272" s="96">
        <f>IFERROR(VLOOKUP($B272,INDIRECT("'GRD-"&amp;DU$11&amp;"'!B:R"),15,FALSE),"")</f>
        <v/>
      </c>
      <c r="DV272" s="96">
        <f>IFERROR(VLOOKUP($B272,INDIRECT("'GRD-"&amp;DV$11&amp;"'!B:R"),15,FALSE),"")</f>
        <v/>
      </c>
      <c r="DW272" s="96">
        <f>IFERROR(VLOOKUP($B272,INDIRECT("'GRD-"&amp;DW$11&amp;"'!B:R"),15,FALSE),"")</f>
        <v/>
      </c>
      <c r="DX272" s="96">
        <f>IFERROR(VLOOKUP($B272,INDIRECT("'GRD-"&amp;DX$11&amp;"'!B:R"),15,FALSE),"")</f>
        <v/>
      </c>
      <c r="DY272" s="96">
        <f>IFERROR(VLOOKUP($B272,INDIRECT("'GRD-"&amp;DY$11&amp;"'!B:R"),15,FALSE),"")</f>
        <v/>
      </c>
      <c r="DZ272" s="96">
        <f>IFERROR(VLOOKUP($B272,INDIRECT("'GRD-"&amp;DZ$11&amp;"'!B:R"),15,FALSE),"")</f>
        <v/>
      </c>
      <c r="EA272" s="96">
        <f>IFERROR(VLOOKUP($B272,INDIRECT("'GRD-"&amp;EA$11&amp;"'!B:R"),15,FALSE),"")</f>
        <v/>
      </c>
      <c r="EB272" s="96">
        <f>IFERROR(VLOOKUP($B272,INDIRECT("'GRD-"&amp;EB$11&amp;"'!B:R"),15,FALSE),"")</f>
        <v/>
      </c>
      <c r="EC272" s="96">
        <f>IFERROR(VLOOKUP($B272,INDIRECT("'GRD-"&amp;EC$11&amp;"'!B:R"),15,FALSE),"")</f>
        <v/>
      </c>
      <c r="ED272" s="96">
        <f>IFERROR(VLOOKUP($B272,INDIRECT("'GRD-"&amp;ED$11&amp;"'!B:R"),15,FALSE),"")</f>
        <v/>
      </c>
      <c r="EE272" s="96">
        <f>IFERROR(VLOOKUP($B272,INDIRECT("'GRD-"&amp;EE$11&amp;"'!B:R"),15,FALSE),"")</f>
        <v/>
      </c>
      <c r="EF272" s="96">
        <f>IFERROR(VLOOKUP($B272,INDIRECT("'GRD-"&amp;EF$11&amp;"'!B:R"),15,FALSE),"")</f>
        <v/>
      </c>
      <c r="EG272" s="96">
        <f>IFERROR(VLOOKUP($B272,INDIRECT("'GRD-"&amp;EG$11&amp;"'!B:R"),15,FALSE),"")</f>
        <v/>
      </c>
      <c r="EH272" s="96">
        <f>IFERROR(VLOOKUP($B272,INDIRECT("'GRD-"&amp;EH$11&amp;"'!B:R"),15,FALSE),"")</f>
        <v/>
      </c>
      <c r="EI272" s="96">
        <f>IFERROR(VLOOKUP($B272,INDIRECT("'GRD-"&amp;EI$11&amp;"'!B:R"),15,FALSE),"")</f>
        <v/>
      </c>
      <c r="EJ272" s="96">
        <f>IFERROR(VLOOKUP($B272,INDIRECT("'GRD-"&amp;EJ$11&amp;"'!B:R"),15,FALSE),"")</f>
        <v/>
      </c>
      <c r="EK272" s="96">
        <f>IFERROR(VLOOKUP($B272,INDIRECT("'GRD-"&amp;EK$11&amp;"'!B:R"),15,FALSE),"")</f>
        <v/>
      </c>
      <c r="EL272" s="96">
        <f>IFERROR(VLOOKUP($B272,INDIRECT("'GRD-"&amp;EL$11&amp;"'!B:R"),15,FALSE),"")</f>
        <v/>
      </c>
      <c r="EM272" s="96">
        <f>IFERROR(VLOOKUP($B272,INDIRECT("'GRD-"&amp;EM$11&amp;"'!B:R"),15,FALSE),"")</f>
        <v/>
      </c>
      <c r="EN272" s="96">
        <f>IFERROR(VLOOKUP($B272,INDIRECT("'GRD-"&amp;EN$11&amp;"'!B:R"),15,FALSE),"")</f>
        <v/>
      </c>
      <c r="EO272" s="96">
        <f>IFERROR(VLOOKUP($B272,INDIRECT("'GRD-"&amp;EO$11&amp;"'!B:R"),15,FALSE),"")</f>
        <v/>
      </c>
      <c r="EP272" s="96">
        <f>IFERROR(VLOOKUP($B272,INDIRECT("'GRD-"&amp;EP$11&amp;"'!B:R"),15,FALSE),"")</f>
        <v/>
      </c>
      <c r="EQ272" s="96">
        <f>IFERROR(VLOOKUP($B272,INDIRECT("'GRD-"&amp;EQ$11&amp;"'!B:R"),15,FALSE),"")</f>
        <v/>
      </c>
      <c r="ER272" s="96">
        <f>IFERROR(VLOOKUP($B272,INDIRECT("'GRD-"&amp;ER$11&amp;"'!B:R"),15,FALSE),"")</f>
        <v/>
      </c>
      <c r="ES272" s="96">
        <f>IFERROR(VLOOKUP($B272,INDIRECT("'GRD-"&amp;ES$11&amp;"'!B:R"),15,FALSE),"")</f>
        <v/>
      </c>
      <c r="ET272" s="96">
        <f>IFERROR(VLOOKUP($B272,INDIRECT("'GRD-"&amp;ET$11&amp;"'!B:R"),15,FALSE),"")</f>
        <v/>
      </c>
      <c r="EU272" s="96">
        <f>IFERROR(VLOOKUP($B272,INDIRECT("'GRD-"&amp;EU$11&amp;"'!B:R"),15,FALSE),"")</f>
        <v/>
      </c>
      <c r="EV272" s="96">
        <f>IFERROR(VLOOKUP($B272,INDIRECT("'GRD-"&amp;EV$11&amp;"'!B:R"),15,FALSE),"")</f>
        <v/>
      </c>
      <c r="EW272" s="96">
        <f>IFERROR(VLOOKUP($B272,INDIRECT("'GRD-"&amp;EW$11&amp;"'!B:R"),15,FALSE),"")</f>
        <v/>
      </c>
      <c r="EX272" s="96">
        <f>IFERROR(VLOOKUP($B272,INDIRECT("'GRD-"&amp;EX$11&amp;"'!B:R"),15,FALSE),"")</f>
        <v/>
      </c>
      <c r="EY272" s="96">
        <f>IFERROR(VLOOKUP($B272,INDIRECT("'GRD-"&amp;EY$11&amp;"'!B:R"),15,FALSE),"")</f>
        <v/>
      </c>
      <c r="EZ272" s="96">
        <f>IFERROR(VLOOKUP($B272,INDIRECT("'GRD-"&amp;EZ$11&amp;"'!B:R"),15,FALSE),"")</f>
        <v/>
      </c>
      <c r="FA272" s="96">
        <f>IFERROR(VLOOKUP($B272,INDIRECT("'GRD-"&amp;FA$11&amp;"'!B:R"),15,FALSE),"")</f>
        <v/>
      </c>
      <c r="FB272" s="96">
        <f>IFERROR(VLOOKUP($B272,INDIRECT("'GRD-"&amp;FB$11&amp;"'!B:R"),15,FALSE),"")</f>
        <v/>
      </c>
      <c r="FC272" s="96">
        <f>IFERROR(VLOOKUP($B272,INDIRECT("'GRD-"&amp;FC$11&amp;"'!B:R"),15,FALSE),"")</f>
        <v/>
      </c>
      <c r="FD272" s="96">
        <f>IFERROR(VLOOKUP($B272,INDIRECT("'GRD-"&amp;FD$11&amp;"'!B:R"),15,FALSE),"")</f>
        <v/>
      </c>
      <c r="FE272" s="96">
        <f>IFERROR(VLOOKUP($B272,INDIRECT("'GRD-"&amp;FE$11&amp;"'!B:R"),15,FALSE),"")</f>
        <v/>
      </c>
      <c r="FF272" s="96">
        <f>IFERROR(VLOOKUP($B272,INDIRECT("'GRD-"&amp;FF$11&amp;"'!B:R"),15,FALSE),"")</f>
        <v/>
      </c>
      <c r="FG272" s="96">
        <f>IFERROR(VLOOKUP($B272,INDIRECT("'GRD-"&amp;FG$11&amp;"'!B:R"),15,FALSE),"")</f>
        <v/>
      </c>
      <c r="FH272" s="96">
        <f>IFERROR(VLOOKUP($B272,INDIRECT("'GRD-"&amp;FH$11&amp;"'!B:R"),15,FALSE),"")</f>
        <v/>
      </c>
      <c r="FI272" s="96">
        <f>IFERROR(VLOOKUP($B272,INDIRECT("'GRD-"&amp;FI$11&amp;"'!B:R"),15,FALSE),"")</f>
        <v/>
      </c>
      <c r="FJ272" s="96">
        <f>IFERROR(VLOOKUP($B272,INDIRECT("'GRD-"&amp;FJ$11&amp;"'!B:R"),15,FALSE),"")</f>
        <v/>
      </c>
      <c r="FK272" s="96">
        <f>IFERROR(VLOOKUP($B272,INDIRECT("'GRD-"&amp;FK$11&amp;"'!B:R"),15,FALSE),"")</f>
        <v/>
      </c>
      <c r="FL272" s="96">
        <f>IFERROR(VLOOKUP($B272,INDIRECT("'GRD-"&amp;FL$11&amp;"'!B:R"),15,FALSE),"")</f>
        <v/>
      </c>
      <c r="FM272" s="96">
        <f>IFERROR(VLOOKUP($B272,INDIRECT("'GRD-"&amp;FM$11&amp;"'!B:R"),15,FALSE),"")</f>
        <v/>
      </c>
      <c r="FN272" s="96">
        <f>IFERROR(VLOOKUP($B272,INDIRECT("'GRD-"&amp;FN$11&amp;"'!B:R"),15,FALSE),"")</f>
        <v/>
      </c>
      <c r="FO272" s="96">
        <f>IFERROR(VLOOKUP($B272,INDIRECT("'GRD-"&amp;FO$11&amp;"'!B:R"),15,FALSE),"")</f>
        <v/>
      </c>
      <c r="FP272" s="96">
        <f>IFERROR(VLOOKUP($B272,INDIRECT("'GRD-"&amp;FP$11&amp;"'!B:R"),15,FALSE),"")</f>
        <v/>
      </c>
      <c r="FQ272" s="96">
        <f>IFERROR(VLOOKUP($B272,INDIRECT("'GRD-"&amp;FQ$11&amp;"'!B:R"),15,FALSE),"")</f>
        <v/>
      </c>
      <c r="FR272" s="96">
        <f>IFERROR(VLOOKUP($B272,INDIRECT("'GRD-"&amp;FR$11&amp;"'!B:R"),15,FALSE),"")</f>
        <v/>
      </c>
      <c r="FS272" s="96">
        <f>IFERROR(VLOOKUP($B272,INDIRECT("'GRD-"&amp;FS$11&amp;"'!B:R"),15,FALSE),"")</f>
        <v/>
      </c>
      <c r="FT272" s="96">
        <f>IFERROR(VLOOKUP($B272,INDIRECT("'GRD-"&amp;FT$11&amp;"'!B:R"),15,FALSE),"")</f>
        <v/>
      </c>
      <c r="FU272" s="96">
        <f>IFERROR(VLOOKUP($B272,INDIRECT("'GRD-"&amp;FU$11&amp;"'!B:R"),15,FALSE),"")</f>
        <v/>
      </c>
      <c r="FV272" s="96">
        <f>IFERROR(VLOOKUP($B272,INDIRECT("'GRD-"&amp;FV$11&amp;"'!B:R"),15,FALSE),"")</f>
        <v/>
      </c>
    </row>
    <row r="273">
      <c r="B273" s="85" t="n"/>
      <c r="C273" s="93" t="n"/>
      <c r="D273" s="73">
        <f>IF(K273="","",MAX($CA273:$FV273))</f>
        <v/>
      </c>
      <c r="E273" s="74">
        <f t="array" ref="E273">IF($K273="","",OFFSET($A$1,ROW($B273)-1,11+$D273*4,))</f>
        <v/>
      </c>
      <c r="F273" s="74">
        <f t="array" ref="F273">IF($K273="","",OFFSET($A$1,ROW($B273)-1,12+$D273*4,))</f>
        <v/>
      </c>
      <c r="G273" s="118">
        <f t="array" ref="G273">IF($K273="","",OFFSET($A$1,ROW($B273)-1,13+$D273*4,))</f>
        <v/>
      </c>
      <c r="H273" s="81" t="n"/>
      <c r="I273" s="82" t="n"/>
      <c r="J273" s="75">
        <f>IF(I273="A4",H273/8,IF(I273="A3",H273/4,IF(I273="A2",H273/2,IF(I273="A1",H273/1,IF(I273="A0",H273*2,"")))))</f>
        <v/>
      </c>
      <c r="K273" s="68">
        <f t="array" ref="K273">IFERROR(OFFSET($BZ$11,ROW($B273)-11,MATCH(K$10,$CA273:$FV273,0),),"")</f>
        <v/>
      </c>
      <c r="L273" s="85">
        <f>IF(K273="","",IF(VLOOKUP($B273,INDIRECT("'GRD-"&amp;M273&amp;"'!$B:$R"),16,FALSE)="","",VLOOKUP($B273,INDIRECT("'GRD-"&amp;M273&amp;"'!$B:$R"),16,FALSE)))</f>
        <v/>
      </c>
      <c r="M273" s="130">
        <f t="array" ref="M273">IF(K273="","",IFERROR(OFFSET($BZ$11,0,MATCH($K273,$CA273:$FV273,0),),""))</f>
        <v/>
      </c>
      <c r="N273" s="119">
        <f t="array" ref="N273">IF(K273="","",INDIRECT("'GRD-"&amp;M273&amp;"'!$L$7"))</f>
        <v/>
      </c>
      <c r="O273" s="76">
        <f t="array" ref="O273">IFERROR(OFFSET($BZ$11,ROW($B273)-11,MATCH(O$10,$CA273:$FV273,0),),"")</f>
        <v/>
      </c>
      <c r="P273" s="76">
        <f>IF(O273="","",IF(VLOOKUP($B273,INDIRECT("'GRD-"&amp;Q273&amp;"'!$B:$R"),16,FALSE)="","",VLOOKUP($B273,INDIRECT("'GRD-"&amp;Q273&amp;"'!$B:$R"),16,FALSE)))</f>
        <v/>
      </c>
      <c r="Q273" s="132">
        <f t="array" ref="Q273">IF(O273="","",IFERROR(OFFSET($BZ$11,0,MATCH($O273,$CA273:$FV273,0),),""))</f>
        <v/>
      </c>
      <c r="R273" s="121">
        <f t="array" ref="R273">IF(O273="","",INDIRECT("'GRD-"&amp;Q273&amp;"'!$L$7"))</f>
        <v/>
      </c>
      <c r="S273" s="83">
        <f t="array" ref="S273">IFERROR(OFFSET($BZ$11,ROW($B273)-11,MATCH(S$10,$CA273:$FV273,0),),"")</f>
        <v/>
      </c>
      <c r="T273" s="83">
        <f>IF(S273="","",IF(VLOOKUP($B273,INDIRECT("'GRD-"&amp;U273&amp;"'!$B:$R"),16,FALSE)="","",VLOOKUP($B273,INDIRECT("'GRD-"&amp;U273&amp;"'!$B:$R"),16,FALSE)))</f>
        <v/>
      </c>
      <c r="U273" s="128">
        <f t="array" ref="U273">IF(S273="","",IFERROR(OFFSET($BZ$11,0,MATCH($S273,$CA273:$FV273,0),),""))</f>
        <v/>
      </c>
      <c r="V273" s="133">
        <f t="array" ref="V273">IF(S273="","",INDIRECT("'GRD-"&amp;U273&amp;"'!$L$7"))</f>
        <v/>
      </c>
      <c r="W273" s="84">
        <f t="array" ref="W273">IFERROR(OFFSET($BZ$11,ROW($B273)-11,MATCH(W$10,$CA273:$FV273,0),),"")</f>
        <v/>
      </c>
      <c r="X273" s="84">
        <f>IF(W273="","",IF(VLOOKUP($B273,INDIRECT("'GRD-"&amp;Y273&amp;"'!$B:$R"),16,FALSE)="","",VLOOKUP($B273,INDIRECT("'GRD-"&amp;Y273&amp;"'!$B:$R"),16,FALSE)))</f>
        <v/>
      </c>
      <c r="Y273" s="129">
        <f t="array" ref="Y273">IF(W273="","",IFERROR(OFFSET($BZ$11,0,MATCH($W273,$CA273:$FV273,0),),""))</f>
        <v/>
      </c>
      <c r="Z273" s="134">
        <f t="array" ref="Z273">IF(W273="","",INDIRECT("'GRD-"&amp;Y273&amp;"'!$L$7"))</f>
        <v/>
      </c>
      <c r="AA273" s="85">
        <f t="array" ref="AA273">IFERROR(OFFSET($BZ$11,ROW($B273)-11,MATCH(AA$10,$CA273:$FV273,0),),"")</f>
        <v/>
      </c>
      <c r="AB273" s="85">
        <f>IF(AA273="","",IF(VLOOKUP($B273,INDIRECT("'GRD-"&amp;AC273&amp;"'!$B:$R"),16,FALSE)="","",VLOOKUP($B273,INDIRECT("'GRD-"&amp;AC273&amp;"'!$B:$R"),16,FALSE)))</f>
        <v/>
      </c>
      <c r="AC273" s="130">
        <f t="array" ref="AC273">IF(AA273="","",IFERROR(OFFSET($BZ$11,0,MATCH($AA273,$CA273:$FV273,0),),""))</f>
        <v/>
      </c>
      <c r="AD273" s="131">
        <f t="array" ref="AD273">IF(AA273="","",INDIRECT("'GRD-"&amp;AC273&amp;"'!$L$7"))</f>
        <v/>
      </c>
      <c r="AE273" s="76">
        <f t="array" ref="AE273">IFERROR(OFFSET($BZ$11,ROW($B273)-11,MATCH(AE$10,$CA273:$FV273,0),),"")</f>
        <v/>
      </c>
      <c r="AF273" s="76">
        <f>IF(AE273="","",IF(VLOOKUP($B273,INDIRECT("'GRD-"&amp;AG273&amp;"'!$B:$R"),16,FALSE)="","",VLOOKUP($B273,INDIRECT("'GRD-"&amp;AG273&amp;"'!$B:$R"),16,FALSE)))</f>
        <v/>
      </c>
      <c r="AG273" s="132">
        <f t="array" ref="AG273">IF(AE273="","",IFERROR(OFFSET($BZ$11,0,MATCH($AE273,$CA273:$FV273,0),),""))</f>
        <v/>
      </c>
      <c r="AH273" s="121">
        <f t="array" ref="AH273">IF(AE273="","",INDIRECT("'GRD-"&amp;AG273&amp;"'!$L$7"))</f>
        <v/>
      </c>
      <c r="AI273" s="83">
        <f t="array" ref="AI273">IFERROR(OFFSET($BZ$11,ROW($B273)-11,MATCH(AI$10,$CA273:$FV273,0),),"")</f>
        <v/>
      </c>
      <c r="AJ273" s="83">
        <f>IF(AI273="","",IF(VLOOKUP($B273,INDIRECT("'GRD-"&amp;AK273&amp;"'!$B:$R"),16,FALSE)="","",VLOOKUP($B273,INDIRECT("'GRD-"&amp;AK273&amp;"'!$B:$R"),16,FALSE)))</f>
        <v/>
      </c>
      <c r="AK273" s="128">
        <f t="array" ref="AK273">IF(AI273="","",IFERROR(OFFSET($BZ$11,0,MATCH($AI273,$CA273:$FV273,0),),""))</f>
        <v/>
      </c>
      <c r="AL273" s="133">
        <f t="array" ref="AL273">IF(AI273="","",INDIRECT("'GRD-"&amp;AK273&amp;"'!$L$7"))</f>
        <v/>
      </c>
      <c r="AM273" s="84">
        <f t="array" ref="AM273">IFERROR(OFFSET($BZ$11,ROW($B273)-11,MATCH(AM$10,$CA273:$FV273,0),),"")</f>
        <v/>
      </c>
      <c r="AN273" s="84">
        <f>IF(AM273="","",IF(VLOOKUP($B273,INDIRECT("'GRD-"&amp;AO273&amp;"'!$B:$R"),16,FALSE)="","",VLOOKUP($B273,INDIRECT("'GRD-"&amp;AO273&amp;"'!$B:$R"),16,FALSE)))</f>
        <v/>
      </c>
      <c r="AO273" s="129">
        <f t="array" ref="AO273">IF(AM273="","",IFERROR(OFFSET($BZ$11,0,MATCH($AM273,$CA273:$FV273,0),),""))</f>
        <v/>
      </c>
      <c r="AP273" s="134">
        <f t="array" ref="AP273">IF(AM273="","",INDIRECT("'GRD-"&amp;AO273&amp;"'!$L$7"))</f>
        <v/>
      </c>
      <c r="AQ273" s="85">
        <f t="array" ref="AQ273">IFERROR(OFFSET($BZ$11,ROW($B273)-11,MATCH(AQ$10,$CA273:$FV273,0),),"")</f>
        <v/>
      </c>
      <c r="AR273" s="85">
        <f>IF(AQ273="","",IF(VLOOKUP($B273,INDIRECT("'GRD-"&amp;AS273&amp;"'!$B:$R"),16,FALSE)="","",VLOOKUP($B273,INDIRECT("'GRD-"&amp;AS273&amp;"'!$B:$R"),16,FALSE)))</f>
        <v/>
      </c>
      <c r="AS273" s="130">
        <f t="array" ref="AS273">IF(AQ273="","",IFERROR(OFFSET($BZ$11,0,MATCH($AQ273,$CA273:$FV273,0),),""))</f>
        <v/>
      </c>
      <c r="AT273" s="131">
        <f t="array" ref="AT273">IF(AQ273="","",INDIRECT("'GRD-"&amp;AS273&amp;"'!$L$7"))</f>
        <v/>
      </c>
      <c r="AU273" s="76">
        <f t="array" ref="AU273">IFERROR(OFFSET($BZ$11,ROW($B273)-11,MATCH(AU$10,$CA273:$FV273,0),),"")</f>
        <v/>
      </c>
      <c r="AV273" s="76">
        <f>IF(AU273="","",IF(VLOOKUP($B273,INDIRECT("'GRD-"&amp;AW273&amp;"'!$B:$R"),16,FALSE)="","",VLOOKUP($B273,INDIRECT("'GRD-"&amp;AW273&amp;"'!$B:$R"),16,FALSE)))</f>
        <v/>
      </c>
      <c r="AW273" s="132">
        <f t="array" ref="AW273">IF(AU273="","",IFERROR(OFFSET($BZ$11,0,MATCH($AU273,$CA273:$FV273,0),),""))</f>
        <v/>
      </c>
      <c r="AX273" s="121">
        <f t="array" ref="AX273">IF(AU273="","",INDIRECT("'GRD-"&amp;AW273&amp;"'!$L$7"))</f>
        <v/>
      </c>
      <c r="AY273" s="83">
        <f t="array" ref="AY273">IFERROR(OFFSET($BZ$11,ROW($B273)-11,MATCH(AY$10,$CA273:$FV273,0),),"")</f>
        <v/>
      </c>
      <c r="AZ273" s="83">
        <f>IF(AY273="","",IF(VLOOKUP($B273,INDIRECT("'GRD-"&amp;BA273&amp;"'!$B:$R"),16,FALSE)="","",VLOOKUP($B273,INDIRECT("'GRD-"&amp;BA273&amp;"'!$B:$R"),16,FALSE)))</f>
        <v/>
      </c>
      <c r="BA273" s="128">
        <f t="array" ref="BA273">IF(AY273="","",IFERROR(OFFSET($BZ$11,0,MATCH($AY273,$CA273:$FV273,0),),""))</f>
        <v/>
      </c>
      <c r="BB273" s="133">
        <f t="array" ref="BB273">IF(AY273="","",INDIRECT("'GRD-"&amp;BA273&amp;"'!$L$7"))</f>
        <v/>
      </c>
      <c r="BC273" s="84">
        <f t="array" ref="BC273">IFERROR(OFFSET($BZ$11,ROW($B273)-11,MATCH(BC$10,$CA273:$FV273,0),),"")</f>
        <v/>
      </c>
      <c r="BD273" s="84">
        <f>IF(BC273="","",IF(VLOOKUP($B273,INDIRECT("'GRD-"&amp;BE273&amp;"'!$B:$R"),16,FALSE)="","",VLOOKUP($B273,INDIRECT("'GRD-"&amp;BE273&amp;"'!$B:$R"),16,FALSE)))</f>
        <v/>
      </c>
      <c r="BE273" s="129">
        <f t="array" ref="BE273">IF(BC273="","",IFERROR(OFFSET($BZ$11,0,MATCH($BC273,$CA273:$FV273,0),),""))</f>
        <v/>
      </c>
      <c r="BF273" s="134">
        <f t="array" ref="BF273">IF(BC273="","",INDIRECT("'GRD-"&amp;BE273&amp;"'!$L$7"))</f>
        <v/>
      </c>
      <c r="CA273" s="96">
        <f>IFERROR(VLOOKUP($B273,INDIRECT("'GRD-"&amp;CA$11&amp;"'!B:R"),15,FALSE),"")</f>
        <v/>
      </c>
      <c r="CB273" s="96">
        <f>IFERROR(VLOOKUP($B273,INDIRECT("'GRD-"&amp;CB$11&amp;"'!B:R"),15,FALSE),"")</f>
        <v/>
      </c>
      <c r="CC273" s="96">
        <f>IFERROR(VLOOKUP($B273,INDIRECT("'GRD-"&amp;CC$11&amp;"'!B:R"),15,FALSE),"")</f>
        <v/>
      </c>
      <c r="CD273" s="96">
        <f>IFERROR(VLOOKUP($B273,INDIRECT("'GRD-"&amp;CD$11&amp;"'!B:R"),15,FALSE),"")</f>
        <v/>
      </c>
      <c r="CE273" s="96">
        <f>IFERROR(VLOOKUP($B273,INDIRECT("'GRD-"&amp;CE$11&amp;"'!B:R"),15,FALSE),"")</f>
        <v/>
      </c>
      <c r="CF273" s="96">
        <f>IFERROR(VLOOKUP($B273,INDIRECT("'GRD-"&amp;CF$11&amp;"'!B:R"),15,FALSE),"")</f>
        <v/>
      </c>
      <c r="CG273" s="96">
        <f>IFERROR(VLOOKUP($B273,INDIRECT("'GRD-"&amp;CG$11&amp;"'!B:R"),15,FALSE),"")</f>
        <v/>
      </c>
      <c r="CH273" s="96">
        <f>IFERROR(VLOOKUP($B273,INDIRECT("'GRD-"&amp;CH$11&amp;"'!B:R"),15,FALSE),"")</f>
        <v/>
      </c>
      <c r="CI273" s="96">
        <f>IFERROR(VLOOKUP($B273,INDIRECT("'GRD-"&amp;CI$11&amp;"'!B:R"),15,FALSE),"")</f>
        <v/>
      </c>
      <c r="CJ273" s="96">
        <f>IFERROR(VLOOKUP($B273,INDIRECT("'GRD-"&amp;CJ$11&amp;"'!B:R"),15,FALSE),"")</f>
        <v/>
      </c>
      <c r="CK273" s="96">
        <f>IFERROR(VLOOKUP($B273,INDIRECT("'GRD-"&amp;CK$11&amp;"'!B:R"),15,FALSE),"")</f>
        <v/>
      </c>
      <c r="CL273" s="96">
        <f>IFERROR(VLOOKUP($B273,INDIRECT("'GRD-"&amp;CL$11&amp;"'!B:R"),15,FALSE),"")</f>
        <v/>
      </c>
      <c r="CM273" s="96">
        <f>IFERROR(VLOOKUP($B273,INDIRECT("'GRD-"&amp;CM$11&amp;"'!B:R"),15,FALSE),"")</f>
        <v/>
      </c>
      <c r="CN273" s="96">
        <f>IFERROR(VLOOKUP($B273,INDIRECT("'GRD-"&amp;CN$11&amp;"'!B:R"),15,FALSE),"")</f>
        <v/>
      </c>
      <c r="CO273" s="96">
        <f>IFERROR(VLOOKUP($B273,INDIRECT("'GRD-"&amp;CO$11&amp;"'!B:R"),15,FALSE),"")</f>
        <v/>
      </c>
      <c r="CP273" s="96">
        <f>IFERROR(VLOOKUP($B273,INDIRECT("'GRD-"&amp;CP$11&amp;"'!B:R"),15,FALSE),"")</f>
        <v/>
      </c>
      <c r="CQ273" s="96">
        <f>IFERROR(VLOOKUP($B273,INDIRECT("'GRD-"&amp;CQ$11&amp;"'!B:R"),15,FALSE),"")</f>
        <v/>
      </c>
      <c r="CR273" s="96">
        <f>IFERROR(VLOOKUP($B273,INDIRECT("'GRD-"&amp;CR$11&amp;"'!B:R"),15,FALSE),"")</f>
        <v/>
      </c>
      <c r="CS273" s="96">
        <f>IFERROR(VLOOKUP($B273,INDIRECT("'GRD-"&amp;CS$11&amp;"'!B:R"),15,FALSE),"")</f>
        <v/>
      </c>
      <c r="CT273" s="96">
        <f>IFERROR(VLOOKUP($B273,INDIRECT("'GRD-"&amp;CT$11&amp;"'!B:R"),15,FALSE),"")</f>
        <v/>
      </c>
      <c r="CU273" s="96">
        <f>IFERROR(VLOOKUP($B273,INDIRECT("'GRD-"&amp;CU$11&amp;"'!B:R"),15,FALSE),"")</f>
        <v/>
      </c>
      <c r="CV273" s="96">
        <f>IFERROR(VLOOKUP($B273,INDIRECT("'GRD-"&amp;CV$11&amp;"'!B:R"),15,FALSE),"")</f>
        <v/>
      </c>
      <c r="CW273" s="96">
        <f>IFERROR(VLOOKUP($B273,INDIRECT("'GRD-"&amp;CW$11&amp;"'!B:R"),15,FALSE),"")</f>
        <v/>
      </c>
      <c r="CX273" s="96">
        <f>IFERROR(VLOOKUP($B273,INDIRECT("'GRD-"&amp;CX$11&amp;"'!B:R"),15,FALSE),"")</f>
        <v/>
      </c>
      <c r="CY273" s="96">
        <f>IFERROR(VLOOKUP($B273,INDIRECT("'GRD-"&amp;CY$11&amp;"'!B:R"),15,FALSE),"")</f>
        <v/>
      </c>
      <c r="CZ273" s="96">
        <f>IFERROR(VLOOKUP($B273,INDIRECT("'GRD-"&amp;CZ$11&amp;"'!B:R"),15,FALSE),"")</f>
        <v/>
      </c>
      <c r="DA273" s="96">
        <f>IFERROR(VLOOKUP($B273,INDIRECT("'GRD-"&amp;DA$11&amp;"'!B:R"),15,FALSE),"")</f>
        <v/>
      </c>
      <c r="DB273" s="96">
        <f>IFERROR(VLOOKUP($B273,INDIRECT("'GRD-"&amp;DB$11&amp;"'!B:R"),15,FALSE),"")</f>
        <v/>
      </c>
      <c r="DC273" s="96">
        <f>IFERROR(VLOOKUP($B273,INDIRECT("'GRD-"&amp;DC$11&amp;"'!B:R"),15,FALSE),"")</f>
        <v/>
      </c>
      <c r="DD273" s="96">
        <f>IFERROR(VLOOKUP($B273,INDIRECT("'GRD-"&amp;DD$11&amp;"'!B:R"),15,FALSE),"")</f>
        <v/>
      </c>
      <c r="DE273" s="96">
        <f>IFERROR(VLOOKUP($B273,INDIRECT("'GRD-"&amp;DE$11&amp;"'!B:R"),15,FALSE),"")</f>
        <v/>
      </c>
      <c r="DF273" s="96">
        <f>IFERROR(VLOOKUP($B273,INDIRECT("'GRD-"&amp;DF$11&amp;"'!B:R"),15,FALSE),"")</f>
        <v/>
      </c>
      <c r="DG273" s="96">
        <f>IFERROR(VLOOKUP($B273,INDIRECT("'GRD-"&amp;DG$11&amp;"'!B:R"),15,FALSE),"")</f>
        <v/>
      </c>
      <c r="DH273" s="96">
        <f>IFERROR(VLOOKUP($B273,INDIRECT("'GRD-"&amp;DH$11&amp;"'!B:R"),15,FALSE),"")</f>
        <v/>
      </c>
      <c r="DI273" s="96">
        <f>IFERROR(VLOOKUP($B273,INDIRECT("'GRD-"&amp;DI$11&amp;"'!B:R"),15,FALSE),"")</f>
        <v/>
      </c>
      <c r="DJ273" s="96">
        <f>IFERROR(VLOOKUP($B273,INDIRECT("'GRD-"&amp;DJ$11&amp;"'!B:R"),15,FALSE),"")</f>
        <v/>
      </c>
      <c r="DK273" s="96">
        <f>IFERROR(VLOOKUP($B273,INDIRECT("'GRD-"&amp;DK$11&amp;"'!B:R"),15,FALSE),"")</f>
        <v/>
      </c>
      <c r="DL273" s="96">
        <f>IFERROR(VLOOKUP($B273,INDIRECT("'GRD-"&amp;DL$11&amp;"'!B:R"),15,FALSE),"")</f>
        <v/>
      </c>
      <c r="DM273" s="96">
        <f>IFERROR(VLOOKUP($B273,INDIRECT("'GRD-"&amp;DM$11&amp;"'!B:R"),15,FALSE),"")</f>
        <v/>
      </c>
      <c r="DN273" s="96">
        <f>IFERROR(VLOOKUP($B273,INDIRECT("'GRD-"&amp;DN$11&amp;"'!B:R"),15,FALSE),"")</f>
        <v/>
      </c>
      <c r="DO273" s="96">
        <f>IFERROR(VLOOKUP($B273,INDIRECT("'GRD-"&amp;DO$11&amp;"'!B:R"),15,FALSE),"")</f>
        <v/>
      </c>
      <c r="DP273" s="96">
        <f>IFERROR(VLOOKUP($B273,INDIRECT("'GRD-"&amp;DP$11&amp;"'!B:R"),15,FALSE),"")</f>
        <v/>
      </c>
      <c r="DQ273" s="96">
        <f>IFERROR(VLOOKUP($B273,INDIRECT("'GRD-"&amp;DQ$11&amp;"'!B:R"),15,FALSE),"")</f>
        <v/>
      </c>
      <c r="DR273" s="96">
        <f>IFERROR(VLOOKUP($B273,INDIRECT("'GRD-"&amp;DR$11&amp;"'!B:R"),15,FALSE),"")</f>
        <v/>
      </c>
      <c r="DS273" s="96">
        <f>IFERROR(VLOOKUP($B273,INDIRECT("'GRD-"&amp;DS$11&amp;"'!B:R"),15,FALSE),"")</f>
        <v/>
      </c>
      <c r="DT273" s="96">
        <f>IFERROR(VLOOKUP($B273,INDIRECT("'GRD-"&amp;DT$11&amp;"'!B:R"),15,FALSE),"")</f>
        <v/>
      </c>
      <c r="DU273" s="96">
        <f>IFERROR(VLOOKUP($B273,INDIRECT("'GRD-"&amp;DU$11&amp;"'!B:R"),15,FALSE),"")</f>
        <v/>
      </c>
      <c r="DV273" s="96">
        <f>IFERROR(VLOOKUP($B273,INDIRECT("'GRD-"&amp;DV$11&amp;"'!B:R"),15,FALSE),"")</f>
        <v/>
      </c>
      <c r="DW273" s="96">
        <f>IFERROR(VLOOKUP($B273,INDIRECT("'GRD-"&amp;DW$11&amp;"'!B:R"),15,FALSE),"")</f>
        <v/>
      </c>
      <c r="DX273" s="96">
        <f>IFERROR(VLOOKUP($B273,INDIRECT("'GRD-"&amp;DX$11&amp;"'!B:R"),15,FALSE),"")</f>
        <v/>
      </c>
      <c r="DY273" s="96">
        <f>IFERROR(VLOOKUP($B273,INDIRECT("'GRD-"&amp;DY$11&amp;"'!B:R"),15,FALSE),"")</f>
        <v/>
      </c>
      <c r="DZ273" s="96">
        <f>IFERROR(VLOOKUP($B273,INDIRECT("'GRD-"&amp;DZ$11&amp;"'!B:R"),15,FALSE),"")</f>
        <v/>
      </c>
      <c r="EA273" s="96">
        <f>IFERROR(VLOOKUP($B273,INDIRECT("'GRD-"&amp;EA$11&amp;"'!B:R"),15,FALSE),"")</f>
        <v/>
      </c>
      <c r="EB273" s="96">
        <f>IFERROR(VLOOKUP($B273,INDIRECT("'GRD-"&amp;EB$11&amp;"'!B:R"),15,FALSE),"")</f>
        <v/>
      </c>
      <c r="EC273" s="96">
        <f>IFERROR(VLOOKUP($B273,INDIRECT("'GRD-"&amp;EC$11&amp;"'!B:R"),15,FALSE),"")</f>
        <v/>
      </c>
      <c r="ED273" s="96">
        <f>IFERROR(VLOOKUP($B273,INDIRECT("'GRD-"&amp;ED$11&amp;"'!B:R"),15,FALSE),"")</f>
        <v/>
      </c>
      <c r="EE273" s="96">
        <f>IFERROR(VLOOKUP($B273,INDIRECT("'GRD-"&amp;EE$11&amp;"'!B:R"),15,FALSE),"")</f>
        <v/>
      </c>
      <c r="EF273" s="96">
        <f>IFERROR(VLOOKUP($B273,INDIRECT("'GRD-"&amp;EF$11&amp;"'!B:R"),15,FALSE),"")</f>
        <v/>
      </c>
      <c r="EG273" s="96">
        <f>IFERROR(VLOOKUP($B273,INDIRECT("'GRD-"&amp;EG$11&amp;"'!B:R"),15,FALSE),"")</f>
        <v/>
      </c>
      <c r="EH273" s="96">
        <f>IFERROR(VLOOKUP($B273,INDIRECT("'GRD-"&amp;EH$11&amp;"'!B:R"),15,FALSE),"")</f>
        <v/>
      </c>
      <c r="EI273" s="96">
        <f>IFERROR(VLOOKUP($B273,INDIRECT("'GRD-"&amp;EI$11&amp;"'!B:R"),15,FALSE),"")</f>
        <v/>
      </c>
      <c r="EJ273" s="96">
        <f>IFERROR(VLOOKUP($B273,INDIRECT("'GRD-"&amp;EJ$11&amp;"'!B:R"),15,FALSE),"")</f>
        <v/>
      </c>
      <c r="EK273" s="96">
        <f>IFERROR(VLOOKUP($B273,INDIRECT("'GRD-"&amp;EK$11&amp;"'!B:R"),15,FALSE),"")</f>
        <v/>
      </c>
      <c r="EL273" s="96">
        <f>IFERROR(VLOOKUP($B273,INDIRECT("'GRD-"&amp;EL$11&amp;"'!B:R"),15,FALSE),"")</f>
        <v/>
      </c>
      <c r="EM273" s="96">
        <f>IFERROR(VLOOKUP($B273,INDIRECT("'GRD-"&amp;EM$11&amp;"'!B:R"),15,FALSE),"")</f>
        <v/>
      </c>
      <c r="EN273" s="96">
        <f>IFERROR(VLOOKUP($B273,INDIRECT("'GRD-"&amp;EN$11&amp;"'!B:R"),15,FALSE),"")</f>
        <v/>
      </c>
      <c r="EO273" s="96">
        <f>IFERROR(VLOOKUP($B273,INDIRECT("'GRD-"&amp;EO$11&amp;"'!B:R"),15,FALSE),"")</f>
        <v/>
      </c>
      <c r="EP273" s="96">
        <f>IFERROR(VLOOKUP($B273,INDIRECT("'GRD-"&amp;EP$11&amp;"'!B:R"),15,FALSE),"")</f>
        <v/>
      </c>
      <c r="EQ273" s="96">
        <f>IFERROR(VLOOKUP($B273,INDIRECT("'GRD-"&amp;EQ$11&amp;"'!B:R"),15,FALSE),"")</f>
        <v/>
      </c>
      <c r="ER273" s="96">
        <f>IFERROR(VLOOKUP($B273,INDIRECT("'GRD-"&amp;ER$11&amp;"'!B:R"),15,FALSE),"")</f>
        <v/>
      </c>
      <c r="ES273" s="96">
        <f>IFERROR(VLOOKUP($B273,INDIRECT("'GRD-"&amp;ES$11&amp;"'!B:R"),15,FALSE),"")</f>
        <v/>
      </c>
      <c r="ET273" s="96">
        <f>IFERROR(VLOOKUP($B273,INDIRECT("'GRD-"&amp;ET$11&amp;"'!B:R"),15,FALSE),"")</f>
        <v/>
      </c>
      <c r="EU273" s="96">
        <f>IFERROR(VLOOKUP($B273,INDIRECT("'GRD-"&amp;EU$11&amp;"'!B:R"),15,FALSE),"")</f>
        <v/>
      </c>
      <c r="EV273" s="96">
        <f>IFERROR(VLOOKUP($B273,INDIRECT("'GRD-"&amp;EV$11&amp;"'!B:R"),15,FALSE),"")</f>
        <v/>
      </c>
      <c r="EW273" s="96">
        <f>IFERROR(VLOOKUP($B273,INDIRECT("'GRD-"&amp;EW$11&amp;"'!B:R"),15,FALSE),"")</f>
        <v/>
      </c>
      <c r="EX273" s="96">
        <f>IFERROR(VLOOKUP($B273,INDIRECT("'GRD-"&amp;EX$11&amp;"'!B:R"),15,FALSE),"")</f>
        <v/>
      </c>
      <c r="EY273" s="96">
        <f>IFERROR(VLOOKUP($B273,INDIRECT("'GRD-"&amp;EY$11&amp;"'!B:R"),15,FALSE),"")</f>
        <v/>
      </c>
      <c r="EZ273" s="96">
        <f>IFERROR(VLOOKUP($B273,INDIRECT("'GRD-"&amp;EZ$11&amp;"'!B:R"),15,FALSE),"")</f>
        <v/>
      </c>
      <c r="FA273" s="96">
        <f>IFERROR(VLOOKUP($B273,INDIRECT("'GRD-"&amp;FA$11&amp;"'!B:R"),15,FALSE),"")</f>
        <v/>
      </c>
      <c r="FB273" s="96">
        <f>IFERROR(VLOOKUP($B273,INDIRECT("'GRD-"&amp;FB$11&amp;"'!B:R"),15,FALSE),"")</f>
        <v/>
      </c>
      <c r="FC273" s="96">
        <f>IFERROR(VLOOKUP($B273,INDIRECT("'GRD-"&amp;FC$11&amp;"'!B:R"),15,FALSE),"")</f>
        <v/>
      </c>
      <c r="FD273" s="96">
        <f>IFERROR(VLOOKUP($B273,INDIRECT("'GRD-"&amp;FD$11&amp;"'!B:R"),15,FALSE),"")</f>
        <v/>
      </c>
      <c r="FE273" s="96">
        <f>IFERROR(VLOOKUP($B273,INDIRECT("'GRD-"&amp;FE$11&amp;"'!B:R"),15,FALSE),"")</f>
        <v/>
      </c>
      <c r="FF273" s="96">
        <f>IFERROR(VLOOKUP($B273,INDIRECT("'GRD-"&amp;FF$11&amp;"'!B:R"),15,FALSE),"")</f>
        <v/>
      </c>
      <c r="FG273" s="96">
        <f>IFERROR(VLOOKUP($B273,INDIRECT("'GRD-"&amp;FG$11&amp;"'!B:R"),15,FALSE),"")</f>
        <v/>
      </c>
      <c r="FH273" s="96">
        <f>IFERROR(VLOOKUP($B273,INDIRECT("'GRD-"&amp;FH$11&amp;"'!B:R"),15,FALSE),"")</f>
        <v/>
      </c>
      <c r="FI273" s="96">
        <f>IFERROR(VLOOKUP($B273,INDIRECT("'GRD-"&amp;FI$11&amp;"'!B:R"),15,FALSE),"")</f>
        <v/>
      </c>
      <c r="FJ273" s="96">
        <f>IFERROR(VLOOKUP($B273,INDIRECT("'GRD-"&amp;FJ$11&amp;"'!B:R"),15,FALSE),"")</f>
        <v/>
      </c>
      <c r="FK273" s="96">
        <f>IFERROR(VLOOKUP($B273,INDIRECT("'GRD-"&amp;FK$11&amp;"'!B:R"),15,FALSE),"")</f>
        <v/>
      </c>
      <c r="FL273" s="96">
        <f>IFERROR(VLOOKUP($B273,INDIRECT("'GRD-"&amp;FL$11&amp;"'!B:R"),15,FALSE),"")</f>
        <v/>
      </c>
      <c r="FM273" s="96">
        <f>IFERROR(VLOOKUP($B273,INDIRECT("'GRD-"&amp;FM$11&amp;"'!B:R"),15,FALSE),"")</f>
        <v/>
      </c>
      <c r="FN273" s="96">
        <f>IFERROR(VLOOKUP($B273,INDIRECT("'GRD-"&amp;FN$11&amp;"'!B:R"),15,FALSE),"")</f>
        <v/>
      </c>
      <c r="FO273" s="96">
        <f>IFERROR(VLOOKUP($B273,INDIRECT("'GRD-"&amp;FO$11&amp;"'!B:R"),15,FALSE),"")</f>
        <v/>
      </c>
      <c r="FP273" s="96">
        <f>IFERROR(VLOOKUP($B273,INDIRECT("'GRD-"&amp;FP$11&amp;"'!B:R"),15,FALSE),"")</f>
        <v/>
      </c>
      <c r="FQ273" s="96">
        <f>IFERROR(VLOOKUP($B273,INDIRECT("'GRD-"&amp;FQ$11&amp;"'!B:R"),15,FALSE),"")</f>
        <v/>
      </c>
      <c r="FR273" s="96">
        <f>IFERROR(VLOOKUP($B273,INDIRECT("'GRD-"&amp;FR$11&amp;"'!B:R"),15,FALSE),"")</f>
        <v/>
      </c>
      <c r="FS273" s="96">
        <f>IFERROR(VLOOKUP($B273,INDIRECT("'GRD-"&amp;FS$11&amp;"'!B:R"),15,FALSE),"")</f>
        <v/>
      </c>
      <c r="FT273" s="96">
        <f>IFERROR(VLOOKUP($B273,INDIRECT("'GRD-"&amp;FT$11&amp;"'!B:R"),15,FALSE),"")</f>
        <v/>
      </c>
      <c r="FU273" s="96">
        <f>IFERROR(VLOOKUP($B273,INDIRECT("'GRD-"&amp;FU$11&amp;"'!B:R"),15,FALSE),"")</f>
        <v/>
      </c>
      <c r="FV273" s="96">
        <f>IFERROR(VLOOKUP($B273,INDIRECT("'GRD-"&amp;FV$11&amp;"'!B:R"),15,FALSE),"")</f>
        <v/>
      </c>
    </row>
    <row r="274">
      <c r="B274" s="85" t="n"/>
      <c r="C274" s="93" t="n"/>
      <c r="D274" s="73">
        <f>IF(K274="","",MAX($CA274:$FV274))</f>
        <v/>
      </c>
      <c r="E274" s="74">
        <f t="array" ref="E274">IF($K274="","",OFFSET($A$1,ROW($B274)-1,11+$D274*4,))</f>
        <v/>
      </c>
      <c r="F274" s="74">
        <f t="array" ref="F274">IF($K274="","",OFFSET($A$1,ROW($B274)-1,12+$D274*4,))</f>
        <v/>
      </c>
      <c r="G274" s="118">
        <f t="array" ref="G274">IF($K274="","",OFFSET($A$1,ROW($B274)-1,13+$D274*4,))</f>
        <v/>
      </c>
      <c r="H274" s="81" t="n"/>
      <c r="I274" s="82" t="n"/>
      <c r="J274" s="75">
        <f>IF(I274="A4",H274/8,IF(I274="A3",H274/4,IF(I274="A2",H274/2,IF(I274="A1",H274/1,IF(I274="A0",H274*2,"")))))</f>
        <v/>
      </c>
      <c r="K274" s="68">
        <f t="array" ref="K274">IFERROR(OFFSET($BZ$11,ROW($B274)-11,MATCH(K$10,$CA274:$FV274,0),),"")</f>
        <v/>
      </c>
      <c r="L274" s="85">
        <f>IF(K274="","",IF(VLOOKUP($B274,INDIRECT("'GRD-"&amp;M274&amp;"'!$B:$R"),16,FALSE)="","",VLOOKUP($B274,INDIRECT("'GRD-"&amp;M274&amp;"'!$B:$R"),16,FALSE)))</f>
        <v/>
      </c>
      <c r="M274" s="130">
        <f t="array" ref="M274">IF(K274="","",IFERROR(OFFSET($BZ$11,0,MATCH($K274,$CA274:$FV274,0),),""))</f>
        <v/>
      </c>
      <c r="N274" s="119">
        <f t="array" ref="N274">IF(K274="","",INDIRECT("'GRD-"&amp;M274&amp;"'!$L$7"))</f>
        <v/>
      </c>
      <c r="O274" s="76">
        <f t="array" ref="O274">IFERROR(OFFSET($BZ$11,ROW($B274)-11,MATCH(O$10,$CA274:$FV274,0),),"")</f>
        <v/>
      </c>
      <c r="P274" s="76">
        <f>IF(O274="","",IF(VLOOKUP($B274,INDIRECT("'GRD-"&amp;Q274&amp;"'!$B:$R"),16,FALSE)="","",VLOOKUP($B274,INDIRECT("'GRD-"&amp;Q274&amp;"'!$B:$R"),16,FALSE)))</f>
        <v/>
      </c>
      <c r="Q274" s="132">
        <f t="array" ref="Q274">IF(O274="","",IFERROR(OFFSET($BZ$11,0,MATCH($O274,$CA274:$FV274,0),),""))</f>
        <v/>
      </c>
      <c r="R274" s="121">
        <f t="array" ref="R274">IF(O274="","",INDIRECT("'GRD-"&amp;Q274&amp;"'!$L$7"))</f>
        <v/>
      </c>
      <c r="S274" s="83">
        <f t="array" ref="S274">IFERROR(OFFSET($BZ$11,ROW($B274)-11,MATCH(S$10,$CA274:$FV274,0),),"")</f>
        <v/>
      </c>
      <c r="T274" s="83">
        <f>IF(S274="","",IF(VLOOKUP($B274,INDIRECT("'GRD-"&amp;U274&amp;"'!$B:$R"),16,FALSE)="","",VLOOKUP($B274,INDIRECT("'GRD-"&amp;U274&amp;"'!$B:$R"),16,FALSE)))</f>
        <v/>
      </c>
      <c r="U274" s="128">
        <f t="array" ref="U274">IF(S274="","",IFERROR(OFFSET($BZ$11,0,MATCH($S274,$CA274:$FV274,0),),""))</f>
        <v/>
      </c>
      <c r="V274" s="133">
        <f t="array" ref="V274">IF(S274="","",INDIRECT("'GRD-"&amp;U274&amp;"'!$L$7"))</f>
        <v/>
      </c>
      <c r="W274" s="84">
        <f t="array" ref="W274">IFERROR(OFFSET($BZ$11,ROW($B274)-11,MATCH(W$10,$CA274:$FV274,0),),"")</f>
        <v/>
      </c>
      <c r="X274" s="84">
        <f>IF(W274="","",IF(VLOOKUP($B274,INDIRECT("'GRD-"&amp;Y274&amp;"'!$B:$R"),16,FALSE)="","",VLOOKUP($B274,INDIRECT("'GRD-"&amp;Y274&amp;"'!$B:$R"),16,FALSE)))</f>
        <v/>
      </c>
      <c r="Y274" s="129">
        <f t="array" ref="Y274">IF(W274="","",IFERROR(OFFSET($BZ$11,0,MATCH($W274,$CA274:$FV274,0),),""))</f>
        <v/>
      </c>
      <c r="Z274" s="134">
        <f t="array" ref="Z274">IF(W274="","",INDIRECT("'GRD-"&amp;Y274&amp;"'!$L$7"))</f>
        <v/>
      </c>
      <c r="AA274" s="85">
        <f t="array" ref="AA274">IFERROR(OFFSET($BZ$11,ROW($B274)-11,MATCH(AA$10,$CA274:$FV274,0),),"")</f>
        <v/>
      </c>
      <c r="AB274" s="85">
        <f>IF(AA274="","",IF(VLOOKUP($B274,INDIRECT("'GRD-"&amp;AC274&amp;"'!$B:$R"),16,FALSE)="","",VLOOKUP($B274,INDIRECT("'GRD-"&amp;AC274&amp;"'!$B:$R"),16,FALSE)))</f>
        <v/>
      </c>
      <c r="AC274" s="130">
        <f t="array" ref="AC274">IF(AA274="","",IFERROR(OFFSET($BZ$11,0,MATCH($AA274,$CA274:$FV274,0),),""))</f>
        <v/>
      </c>
      <c r="AD274" s="131">
        <f t="array" ref="AD274">IF(AA274="","",INDIRECT("'GRD-"&amp;AC274&amp;"'!$L$7"))</f>
        <v/>
      </c>
      <c r="AE274" s="76">
        <f t="array" ref="AE274">IFERROR(OFFSET($BZ$11,ROW($B274)-11,MATCH(AE$10,$CA274:$FV274,0),),"")</f>
        <v/>
      </c>
      <c r="AF274" s="76">
        <f>IF(AE274="","",IF(VLOOKUP($B274,INDIRECT("'GRD-"&amp;AG274&amp;"'!$B:$R"),16,FALSE)="","",VLOOKUP($B274,INDIRECT("'GRD-"&amp;AG274&amp;"'!$B:$R"),16,FALSE)))</f>
        <v/>
      </c>
      <c r="AG274" s="132">
        <f t="array" ref="AG274">IF(AE274="","",IFERROR(OFFSET($BZ$11,0,MATCH($AE274,$CA274:$FV274,0),),""))</f>
        <v/>
      </c>
      <c r="AH274" s="121">
        <f t="array" ref="AH274">IF(AE274="","",INDIRECT("'GRD-"&amp;AG274&amp;"'!$L$7"))</f>
        <v/>
      </c>
      <c r="AI274" s="83">
        <f t="array" ref="AI274">IFERROR(OFFSET($BZ$11,ROW($B274)-11,MATCH(AI$10,$CA274:$FV274,0),),"")</f>
        <v/>
      </c>
      <c r="AJ274" s="83">
        <f>IF(AI274="","",IF(VLOOKUP($B274,INDIRECT("'GRD-"&amp;AK274&amp;"'!$B:$R"),16,FALSE)="","",VLOOKUP($B274,INDIRECT("'GRD-"&amp;AK274&amp;"'!$B:$R"),16,FALSE)))</f>
        <v/>
      </c>
      <c r="AK274" s="128">
        <f t="array" ref="AK274">IF(AI274="","",IFERROR(OFFSET($BZ$11,0,MATCH($AI274,$CA274:$FV274,0),),""))</f>
        <v/>
      </c>
      <c r="AL274" s="133">
        <f t="array" ref="AL274">IF(AI274="","",INDIRECT("'GRD-"&amp;AK274&amp;"'!$L$7"))</f>
        <v/>
      </c>
      <c r="AM274" s="84">
        <f t="array" ref="AM274">IFERROR(OFFSET($BZ$11,ROW($B274)-11,MATCH(AM$10,$CA274:$FV274,0),),"")</f>
        <v/>
      </c>
      <c r="AN274" s="84">
        <f>IF(AM274="","",IF(VLOOKUP($B274,INDIRECT("'GRD-"&amp;AO274&amp;"'!$B:$R"),16,FALSE)="","",VLOOKUP($B274,INDIRECT("'GRD-"&amp;AO274&amp;"'!$B:$R"),16,FALSE)))</f>
        <v/>
      </c>
      <c r="AO274" s="129">
        <f t="array" ref="AO274">IF(AM274="","",IFERROR(OFFSET($BZ$11,0,MATCH($AM274,$CA274:$FV274,0),),""))</f>
        <v/>
      </c>
      <c r="AP274" s="134">
        <f t="array" ref="AP274">IF(AM274="","",INDIRECT("'GRD-"&amp;AO274&amp;"'!$L$7"))</f>
        <v/>
      </c>
      <c r="AQ274" s="85">
        <f t="array" ref="AQ274">IFERROR(OFFSET($BZ$11,ROW($B274)-11,MATCH(AQ$10,$CA274:$FV274,0),),"")</f>
        <v/>
      </c>
      <c r="AR274" s="85">
        <f>IF(AQ274="","",IF(VLOOKUP($B274,INDIRECT("'GRD-"&amp;AS274&amp;"'!$B:$R"),16,FALSE)="","",VLOOKUP($B274,INDIRECT("'GRD-"&amp;AS274&amp;"'!$B:$R"),16,FALSE)))</f>
        <v/>
      </c>
      <c r="AS274" s="130">
        <f t="array" ref="AS274">IF(AQ274="","",IFERROR(OFFSET($BZ$11,0,MATCH($AQ274,$CA274:$FV274,0),),""))</f>
        <v/>
      </c>
      <c r="AT274" s="131">
        <f t="array" ref="AT274">IF(AQ274="","",INDIRECT("'GRD-"&amp;AS274&amp;"'!$L$7"))</f>
        <v/>
      </c>
      <c r="AU274" s="76">
        <f t="array" ref="AU274">IFERROR(OFFSET($BZ$11,ROW($B274)-11,MATCH(AU$10,$CA274:$FV274,0),),"")</f>
        <v/>
      </c>
      <c r="AV274" s="76">
        <f>IF(AU274="","",IF(VLOOKUP($B274,INDIRECT("'GRD-"&amp;AW274&amp;"'!$B:$R"),16,FALSE)="","",VLOOKUP($B274,INDIRECT("'GRD-"&amp;AW274&amp;"'!$B:$R"),16,FALSE)))</f>
        <v/>
      </c>
      <c r="AW274" s="132">
        <f t="array" ref="AW274">IF(AU274="","",IFERROR(OFFSET($BZ$11,0,MATCH($AU274,$CA274:$FV274,0),),""))</f>
        <v/>
      </c>
      <c r="AX274" s="121">
        <f t="array" ref="AX274">IF(AU274="","",INDIRECT("'GRD-"&amp;AW274&amp;"'!$L$7"))</f>
        <v/>
      </c>
      <c r="AY274" s="83">
        <f t="array" ref="AY274">IFERROR(OFFSET($BZ$11,ROW($B274)-11,MATCH(AY$10,$CA274:$FV274,0),),"")</f>
        <v/>
      </c>
      <c r="AZ274" s="83">
        <f>IF(AY274="","",IF(VLOOKUP($B274,INDIRECT("'GRD-"&amp;BA274&amp;"'!$B:$R"),16,FALSE)="","",VLOOKUP($B274,INDIRECT("'GRD-"&amp;BA274&amp;"'!$B:$R"),16,FALSE)))</f>
        <v/>
      </c>
      <c r="BA274" s="128">
        <f t="array" ref="BA274">IF(AY274="","",IFERROR(OFFSET($BZ$11,0,MATCH($AY274,$CA274:$FV274,0),),""))</f>
        <v/>
      </c>
      <c r="BB274" s="133">
        <f t="array" ref="BB274">IF(AY274="","",INDIRECT("'GRD-"&amp;BA274&amp;"'!$L$7"))</f>
        <v/>
      </c>
      <c r="BC274" s="84">
        <f t="array" ref="BC274">IFERROR(OFFSET($BZ$11,ROW($B274)-11,MATCH(BC$10,$CA274:$FV274,0),),"")</f>
        <v/>
      </c>
      <c r="BD274" s="84">
        <f>IF(BC274="","",IF(VLOOKUP($B274,INDIRECT("'GRD-"&amp;BE274&amp;"'!$B:$R"),16,FALSE)="","",VLOOKUP($B274,INDIRECT("'GRD-"&amp;BE274&amp;"'!$B:$R"),16,FALSE)))</f>
        <v/>
      </c>
      <c r="BE274" s="129">
        <f t="array" ref="BE274">IF(BC274="","",IFERROR(OFFSET($BZ$11,0,MATCH($BC274,$CA274:$FV274,0),),""))</f>
        <v/>
      </c>
      <c r="BF274" s="134">
        <f t="array" ref="BF274">IF(BC274="","",INDIRECT("'GRD-"&amp;BE274&amp;"'!$L$7"))</f>
        <v/>
      </c>
      <c r="CA274" s="96">
        <f>IFERROR(VLOOKUP($B274,INDIRECT("'GRD-"&amp;CA$11&amp;"'!B:R"),15,FALSE),"")</f>
        <v/>
      </c>
      <c r="CB274" s="96">
        <f>IFERROR(VLOOKUP($B274,INDIRECT("'GRD-"&amp;CB$11&amp;"'!B:R"),15,FALSE),"")</f>
        <v/>
      </c>
      <c r="CC274" s="96">
        <f>IFERROR(VLOOKUP($B274,INDIRECT("'GRD-"&amp;CC$11&amp;"'!B:R"),15,FALSE),"")</f>
        <v/>
      </c>
      <c r="CD274" s="96">
        <f>IFERROR(VLOOKUP($B274,INDIRECT("'GRD-"&amp;CD$11&amp;"'!B:R"),15,FALSE),"")</f>
        <v/>
      </c>
      <c r="CE274" s="96">
        <f>IFERROR(VLOOKUP($B274,INDIRECT("'GRD-"&amp;CE$11&amp;"'!B:R"),15,FALSE),"")</f>
        <v/>
      </c>
      <c r="CF274" s="96">
        <f>IFERROR(VLOOKUP($B274,INDIRECT("'GRD-"&amp;CF$11&amp;"'!B:R"),15,FALSE),"")</f>
        <v/>
      </c>
      <c r="CG274" s="96">
        <f>IFERROR(VLOOKUP($B274,INDIRECT("'GRD-"&amp;CG$11&amp;"'!B:R"),15,FALSE),"")</f>
        <v/>
      </c>
      <c r="CH274" s="96">
        <f>IFERROR(VLOOKUP($B274,INDIRECT("'GRD-"&amp;CH$11&amp;"'!B:R"),15,FALSE),"")</f>
        <v/>
      </c>
      <c r="CI274" s="96">
        <f>IFERROR(VLOOKUP($B274,INDIRECT("'GRD-"&amp;CI$11&amp;"'!B:R"),15,FALSE),"")</f>
        <v/>
      </c>
      <c r="CJ274" s="96">
        <f>IFERROR(VLOOKUP($B274,INDIRECT("'GRD-"&amp;CJ$11&amp;"'!B:R"),15,FALSE),"")</f>
        <v/>
      </c>
      <c r="CK274" s="96">
        <f>IFERROR(VLOOKUP($B274,INDIRECT("'GRD-"&amp;CK$11&amp;"'!B:R"),15,FALSE),"")</f>
        <v/>
      </c>
      <c r="CL274" s="96">
        <f>IFERROR(VLOOKUP($B274,INDIRECT("'GRD-"&amp;CL$11&amp;"'!B:R"),15,FALSE),"")</f>
        <v/>
      </c>
      <c r="CM274" s="96">
        <f>IFERROR(VLOOKUP($B274,INDIRECT("'GRD-"&amp;CM$11&amp;"'!B:R"),15,FALSE),"")</f>
        <v/>
      </c>
      <c r="CN274" s="96">
        <f>IFERROR(VLOOKUP($B274,INDIRECT("'GRD-"&amp;CN$11&amp;"'!B:R"),15,FALSE),"")</f>
        <v/>
      </c>
      <c r="CO274" s="96">
        <f>IFERROR(VLOOKUP($B274,INDIRECT("'GRD-"&amp;CO$11&amp;"'!B:R"),15,FALSE),"")</f>
        <v/>
      </c>
      <c r="CP274" s="96">
        <f>IFERROR(VLOOKUP($B274,INDIRECT("'GRD-"&amp;CP$11&amp;"'!B:R"),15,FALSE),"")</f>
        <v/>
      </c>
      <c r="CQ274" s="96">
        <f>IFERROR(VLOOKUP($B274,INDIRECT("'GRD-"&amp;CQ$11&amp;"'!B:R"),15,FALSE),"")</f>
        <v/>
      </c>
      <c r="CR274" s="96">
        <f>IFERROR(VLOOKUP($B274,INDIRECT("'GRD-"&amp;CR$11&amp;"'!B:R"),15,FALSE),"")</f>
        <v/>
      </c>
      <c r="CS274" s="96">
        <f>IFERROR(VLOOKUP($B274,INDIRECT("'GRD-"&amp;CS$11&amp;"'!B:R"),15,FALSE),"")</f>
        <v/>
      </c>
      <c r="CT274" s="96">
        <f>IFERROR(VLOOKUP($B274,INDIRECT("'GRD-"&amp;CT$11&amp;"'!B:R"),15,FALSE),"")</f>
        <v/>
      </c>
      <c r="CU274" s="96">
        <f>IFERROR(VLOOKUP($B274,INDIRECT("'GRD-"&amp;CU$11&amp;"'!B:R"),15,FALSE),"")</f>
        <v/>
      </c>
      <c r="CV274" s="96">
        <f>IFERROR(VLOOKUP($B274,INDIRECT("'GRD-"&amp;CV$11&amp;"'!B:R"),15,FALSE),"")</f>
        <v/>
      </c>
      <c r="CW274" s="96">
        <f>IFERROR(VLOOKUP($B274,INDIRECT("'GRD-"&amp;CW$11&amp;"'!B:R"),15,FALSE),"")</f>
        <v/>
      </c>
      <c r="CX274" s="96">
        <f>IFERROR(VLOOKUP($B274,INDIRECT("'GRD-"&amp;CX$11&amp;"'!B:R"),15,FALSE),"")</f>
        <v/>
      </c>
      <c r="CY274" s="96">
        <f>IFERROR(VLOOKUP($B274,INDIRECT("'GRD-"&amp;CY$11&amp;"'!B:R"),15,FALSE),"")</f>
        <v/>
      </c>
      <c r="CZ274" s="96">
        <f>IFERROR(VLOOKUP($B274,INDIRECT("'GRD-"&amp;CZ$11&amp;"'!B:R"),15,FALSE),"")</f>
        <v/>
      </c>
      <c r="DA274" s="96">
        <f>IFERROR(VLOOKUP($B274,INDIRECT("'GRD-"&amp;DA$11&amp;"'!B:R"),15,FALSE),"")</f>
        <v/>
      </c>
      <c r="DB274" s="96">
        <f>IFERROR(VLOOKUP($B274,INDIRECT("'GRD-"&amp;DB$11&amp;"'!B:R"),15,FALSE),"")</f>
        <v/>
      </c>
      <c r="DC274" s="96">
        <f>IFERROR(VLOOKUP($B274,INDIRECT("'GRD-"&amp;DC$11&amp;"'!B:R"),15,FALSE),"")</f>
        <v/>
      </c>
      <c r="DD274" s="96">
        <f>IFERROR(VLOOKUP($B274,INDIRECT("'GRD-"&amp;DD$11&amp;"'!B:R"),15,FALSE),"")</f>
        <v/>
      </c>
      <c r="DE274" s="96">
        <f>IFERROR(VLOOKUP($B274,INDIRECT("'GRD-"&amp;DE$11&amp;"'!B:R"),15,FALSE),"")</f>
        <v/>
      </c>
      <c r="DF274" s="96">
        <f>IFERROR(VLOOKUP($B274,INDIRECT("'GRD-"&amp;DF$11&amp;"'!B:R"),15,FALSE),"")</f>
        <v/>
      </c>
      <c r="DG274" s="96">
        <f>IFERROR(VLOOKUP($B274,INDIRECT("'GRD-"&amp;DG$11&amp;"'!B:R"),15,FALSE),"")</f>
        <v/>
      </c>
      <c r="DH274" s="96">
        <f>IFERROR(VLOOKUP($B274,INDIRECT("'GRD-"&amp;DH$11&amp;"'!B:R"),15,FALSE),"")</f>
        <v/>
      </c>
      <c r="DI274" s="96">
        <f>IFERROR(VLOOKUP($B274,INDIRECT("'GRD-"&amp;DI$11&amp;"'!B:R"),15,FALSE),"")</f>
        <v/>
      </c>
      <c r="DJ274" s="96">
        <f>IFERROR(VLOOKUP($B274,INDIRECT("'GRD-"&amp;DJ$11&amp;"'!B:R"),15,FALSE),"")</f>
        <v/>
      </c>
      <c r="DK274" s="96">
        <f>IFERROR(VLOOKUP($B274,INDIRECT("'GRD-"&amp;DK$11&amp;"'!B:R"),15,FALSE),"")</f>
        <v/>
      </c>
      <c r="DL274" s="96">
        <f>IFERROR(VLOOKUP($B274,INDIRECT("'GRD-"&amp;DL$11&amp;"'!B:R"),15,FALSE),"")</f>
        <v/>
      </c>
      <c r="DM274" s="96">
        <f>IFERROR(VLOOKUP($B274,INDIRECT("'GRD-"&amp;DM$11&amp;"'!B:R"),15,FALSE),"")</f>
        <v/>
      </c>
      <c r="DN274" s="96">
        <f>IFERROR(VLOOKUP($B274,INDIRECT("'GRD-"&amp;DN$11&amp;"'!B:R"),15,FALSE),"")</f>
        <v/>
      </c>
      <c r="DO274" s="96">
        <f>IFERROR(VLOOKUP($B274,INDIRECT("'GRD-"&amp;DO$11&amp;"'!B:R"),15,FALSE),"")</f>
        <v/>
      </c>
      <c r="DP274" s="96">
        <f>IFERROR(VLOOKUP($B274,INDIRECT("'GRD-"&amp;DP$11&amp;"'!B:R"),15,FALSE),"")</f>
        <v/>
      </c>
      <c r="DQ274" s="96">
        <f>IFERROR(VLOOKUP($B274,INDIRECT("'GRD-"&amp;DQ$11&amp;"'!B:R"),15,FALSE),"")</f>
        <v/>
      </c>
      <c r="DR274" s="96">
        <f>IFERROR(VLOOKUP($B274,INDIRECT("'GRD-"&amp;DR$11&amp;"'!B:R"),15,FALSE),"")</f>
        <v/>
      </c>
      <c r="DS274" s="96">
        <f>IFERROR(VLOOKUP($B274,INDIRECT("'GRD-"&amp;DS$11&amp;"'!B:R"),15,FALSE),"")</f>
        <v/>
      </c>
      <c r="DT274" s="96">
        <f>IFERROR(VLOOKUP($B274,INDIRECT("'GRD-"&amp;DT$11&amp;"'!B:R"),15,FALSE),"")</f>
        <v/>
      </c>
      <c r="DU274" s="96">
        <f>IFERROR(VLOOKUP($B274,INDIRECT("'GRD-"&amp;DU$11&amp;"'!B:R"),15,FALSE),"")</f>
        <v/>
      </c>
      <c r="DV274" s="96">
        <f>IFERROR(VLOOKUP($B274,INDIRECT("'GRD-"&amp;DV$11&amp;"'!B:R"),15,FALSE),"")</f>
        <v/>
      </c>
      <c r="DW274" s="96">
        <f>IFERROR(VLOOKUP($B274,INDIRECT("'GRD-"&amp;DW$11&amp;"'!B:R"),15,FALSE),"")</f>
        <v/>
      </c>
      <c r="DX274" s="96">
        <f>IFERROR(VLOOKUP($B274,INDIRECT("'GRD-"&amp;DX$11&amp;"'!B:R"),15,FALSE),"")</f>
        <v/>
      </c>
      <c r="DY274" s="96">
        <f>IFERROR(VLOOKUP($B274,INDIRECT("'GRD-"&amp;DY$11&amp;"'!B:R"),15,FALSE),"")</f>
        <v/>
      </c>
      <c r="DZ274" s="96">
        <f>IFERROR(VLOOKUP($B274,INDIRECT("'GRD-"&amp;DZ$11&amp;"'!B:R"),15,FALSE),"")</f>
        <v/>
      </c>
      <c r="EA274" s="96">
        <f>IFERROR(VLOOKUP($B274,INDIRECT("'GRD-"&amp;EA$11&amp;"'!B:R"),15,FALSE),"")</f>
        <v/>
      </c>
      <c r="EB274" s="96">
        <f>IFERROR(VLOOKUP($B274,INDIRECT("'GRD-"&amp;EB$11&amp;"'!B:R"),15,FALSE),"")</f>
        <v/>
      </c>
      <c r="EC274" s="96">
        <f>IFERROR(VLOOKUP($B274,INDIRECT("'GRD-"&amp;EC$11&amp;"'!B:R"),15,FALSE),"")</f>
        <v/>
      </c>
      <c r="ED274" s="96">
        <f>IFERROR(VLOOKUP($B274,INDIRECT("'GRD-"&amp;ED$11&amp;"'!B:R"),15,FALSE),"")</f>
        <v/>
      </c>
      <c r="EE274" s="96">
        <f>IFERROR(VLOOKUP($B274,INDIRECT("'GRD-"&amp;EE$11&amp;"'!B:R"),15,FALSE),"")</f>
        <v/>
      </c>
      <c r="EF274" s="96">
        <f>IFERROR(VLOOKUP($B274,INDIRECT("'GRD-"&amp;EF$11&amp;"'!B:R"),15,FALSE),"")</f>
        <v/>
      </c>
      <c r="EG274" s="96">
        <f>IFERROR(VLOOKUP($B274,INDIRECT("'GRD-"&amp;EG$11&amp;"'!B:R"),15,FALSE),"")</f>
        <v/>
      </c>
      <c r="EH274" s="96">
        <f>IFERROR(VLOOKUP($B274,INDIRECT("'GRD-"&amp;EH$11&amp;"'!B:R"),15,FALSE),"")</f>
        <v/>
      </c>
      <c r="EI274" s="96">
        <f>IFERROR(VLOOKUP($B274,INDIRECT("'GRD-"&amp;EI$11&amp;"'!B:R"),15,FALSE),"")</f>
        <v/>
      </c>
      <c r="EJ274" s="96">
        <f>IFERROR(VLOOKUP($B274,INDIRECT("'GRD-"&amp;EJ$11&amp;"'!B:R"),15,FALSE),"")</f>
        <v/>
      </c>
      <c r="EK274" s="96">
        <f>IFERROR(VLOOKUP($B274,INDIRECT("'GRD-"&amp;EK$11&amp;"'!B:R"),15,FALSE),"")</f>
        <v/>
      </c>
      <c r="EL274" s="96">
        <f>IFERROR(VLOOKUP($B274,INDIRECT("'GRD-"&amp;EL$11&amp;"'!B:R"),15,FALSE),"")</f>
        <v/>
      </c>
      <c r="EM274" s="96">
        <f>IFERROR(VLOOKUP($B274,INDIRECT("'GRD-"&amp;EM$11&amp;"'!B:R"),15,FALSE),"")</f>
        <v/>
      </c>
      <c r="EN274" s="96">
        <f>IFERROR(VLOOKUP($B274,INDIRECT("'GRD-"&amp;EN$11&amp;"'!B:R"),15,FALSE),"")</f>
        <v/>
      </c>
      <c r="EO274" s="96">
        <f>IFERROR(VLOOKUP($B274,INDIRECT("'GRD-"&amp;EO$11&amp;"'!B:R"),15,FALSE),"")</f>
        <v/>
      </c>
      <c r="EP274" s="96">
        <f>IFERROR(VLOOKUP($B274,INDIRECT("'GRD-"&amp;EP$11&amp;"'!B:R"),15,FALSE),"")</f>
        <v/>
      </c>
      <c r="EQ274" s="96">
        <f>IFERROR(VLOOKUP($B274,INDIRECT("'GRD-"&amp;EQ$11&amp;"'!B:R"),15,FALSE),"")</f>
        <v/>
      </c>
      <c r="ER274" s="96">
        <f>IFERROR(VLOOKUP($B274,INDIRECT("'GRD-"&amp;ER$11&amp;"'!B:R"),15,FALSE),"")</f>
        <v/>
      </c>
      <c r="ES274" s="96">
        <f>IFERROR(VLOOKUP($B274,INDIRECT("'GRD-"&amp;ES$11&amp;"'!B:R"),15,FALSE),"")</f>
        <v/>
      </c>
      <c r="ET274" s="96">
        <f>IFERROR(VLOOKUP($B274,INDIRECT("'GRD-"&amp;ET$11&amp;"'!B:R"),15,FALSE),"")</f>
        <v/>
      </c>
      <c r="EU274" s="96">
        <f>IFERROR(VLOOKUP($B274,INDIRECT("'GRD-"&amp;EU$11&amp;"'!B:R"),15,FALSE),"")</f>
        <v/>
      </c>
      <c r="EV274" s="96">
        <f>IFERROR(VLOOKUP($B274,INDIRECT("'GRD-"&amp;EV$11&amp;"'!B:R"),15,FALSE),"")</f>
        <v/>
      </c>
      <c r="EW274" s="96">
        <f>IFERROR(VLOOKUP($B274,INDIRECT("'GRD-"&amp;EW$11&amp;"'!B:R"),15,FALSE),"")</f>
        <v/>
      </c>
      <c r="EX274" s="96">
        <f>IFERROR(VLOOKUP($B274,INDIRECT("'GRD-"&amp;EX$11&amp;"'!B:R"),15,FALSE),"")</f>
        <v/>
      </c>
      <c r="EY274" s="96">
        <f>IFERROR(VLOOKUP($B274,INDIRECT("'GRD-"&amp;EY$11&amp;"'!B:R"),15,FALSE),"")</f>
        <v/>
      </c>
      <c r="EZ274" s="96">
        <f>IFERROR(VLOOKUP($B274,INDIRECT("'GRD-"&amp;EZ$11&amp;"'!B:R"),15,FALSE),"")</f>
        <v/>
      </c>
      <c r="FA274" s="96">
        <f>IFERROR(VLOOKUP($B274,INDIRECT("'GRD-"&amp;FA$11&amp;"'!B:R"),15,FALSE),"")</f>
        <v/>
      </c>
      <c r="FB274" s="96">
        <f>IFERROR(VLOOKUP($B274,INDIRECT("'GRD-"&amp;FB$11&amp;"'!B:R"),15,FALSE),"")</f>
        <v/>
      </c>
      <c r="FC274" s="96">
        <f>IFERROR(VLOOKUP($B274,INDIRECT("'GRD-"&amp;FC$11&amp;"'!B:R"),15,FALSE),"")</f>
        <v/>
      </c>
      <c r="FD274" s="96">
        <f>IFERROR(VLOOKUP($B274,INDIRECT("'GRD-"&amp;FD$11&amp;"'!B:R"),15,FALSE),"")</f>
        <v/>
      </c>
      <c r="FE274" s="96">
        <f>IFERROR(VLOOKUP($B274,INDIRECT("'GRD-"&amp;FE$11&amp;"'!B:R"),15,FALSE),"")</f>
        <v/>
      </c>
      <c r="FF274" s="96">
        <f>IFERROR(VLOOKUP($B274,INDIRECT("'GRD-"&amp;FF$11&amp;"'!B:R"),15,FALSE),"")</f>
        <v/>
      </c>
      <c r="FG274" s="96">
        <f>IFERROR(VLOOKUP($B274,INDIRECT("'GRD-"&amp;FG$11&amp;"'!B:R"),15,FALSE),"")</f>
        <v/>
      </c>
      <c r="FH274" s="96">
        <f>IFERROR(VLOOKUP($B274,INDIRECT("'GRD-"&amp;FH$11&amp;"'!B:R"),15,FALSE),"")</f>
        <v/>
      </c>
      <c r="FI274" s="96">
        <f>IFERROR(VLOOKUP($B274,INDIRECT("'GRD-"&amp;FI$11&amp;"'!B:R"),15,FALSE),"")</f>
        <v/>
      </c>
      <c r="FJ274" s="96">
        <f>IFERROR(VLOOKUP($B274,INDIRECT("'GRD-"&amp;FJ$11&amp;"'!B:R"),15,FALSE),"")</f>
        <v/>
      </c>
      <c r="FK274" s="96">
        <f>IFERROR(VLOOKUP($B274,INDIRECT("'GRD-"&amp;FK$11&amp;"'!B:R"),15,FALSE),"")</f>
        <v/>
      </c>
      <c r="FL274" s="96">
        <f>IFERROR(VLOOKUP($B274,INDIRECT("'GRD-"&amp;FL$11&amp;"'!B:R"),15,FALSE),"")</f>
        <v/>
      </c>
      <c r="FM274" s="96">
        <f>IFERROR(VLOOKUP($B274,INDIRECT("'GRD-"&amp;FM$11&amp;"'!B:R"),15,FALSE),"")</f>
        <v/>
      </c>
      <c r="FN274" s="96">
        <f>IFERROR(VLOOKUP($B274,INDIRECT("'GRD-"&amp;FN$11&amp;"'!B:R"),15,FALSE),"")</f>
        <v/>
      </c>
      <c r="FO274" s="96">
        <f>IFERROR(VLOOKUP($B274,INDIRECT("'GRD-"&amp;FO$11&amp;"'!B:R"),15,FALSE),"")</f>
        <v/>
      </c>
      <c r="FP274" s="96">
        <f>IFERROR(VLOOKUP($B274,INDIRECT("'GRD-"&amp;FP$11&amp;"'!B:R"),15,FALSE),"")</f>
        <v/>
      </c>
      <c r="FQ274" s="96">
        <f>IFERROR(VLOOKUP($B274,INDIRECT("'GRD-"&amp;FQ$11&amp;"'!B:R"),15,FALSE),"")</f>
        <v/>
      </c>
      <c r="FR274" s="96">
        <f>IFERROR(VLOOKUP($B274,INDIRECT("'GRD-"&amp;FR$11&amp;"'!B:R"),15,FALSE),"")</f>
        <v/>
      </c>
      <c r="FS274" s="96">
        <f>IFERROR(VLOOKUP($B274,INDIRECT("'GRD-"&amp;FS$11&amp;"'!B:R"),15,FALSE),"")</f>
        <v/>
      </c>
      <c r="FT274" s="96">
        <f>IFERROR(VLOOKUP($B274,INDIRECT("'GRD-"&amp;FT$11&amp;"'!B:R"),15,FALSE),"")</f>
        <v/>
      </c>
      <c r="FU274" s="96">
        <f>IFERROR(VLOOKUP($B274,INDIRECT("'GRD-"&amp;FU$11&amp;"'!B:R"),15,FALSE),"")</f>
        <v/>
      </c>
      <c r="FV274" s="96">
        <f>IFERROR(VLOOKUP($B274,INDIRECT("'GRD-"&amp;FV$11&amp;"'!B:R"),15,FALSE),"")</f>
        <v/>
      </c>
    </row>
    <row r="275">
      <c r="B275" s="85" t="n"/>
      <c r="C275" s="93" t="n"/>
      <c r="D275" s="73">
        <f>IF(K275="","",MAX($CA275:$FV275))</f>
        <v/>
      </c>
      <c r="E275" s="74">
        <f t="array" ref="E275">IF($K275="","",OFFSET($A$1,ROW($B275)-1,11+$D275*4,))</f>
        <v/>
      </c>
      <c r="F275" s="74">
        <f t="array" ref="F275">IF($K275="","",OFFSET($A$1,ROW($B275)-1,12+$D275*4,))</f>
        <v/>
      </c>
      <c r="G275" s="118">
        <f t="array" ref="G275">IF($K275="","",OFFSET($A$1,ROW($B275)-1,13+$D275*4,))</f>
        <v/>
      </c>
      <c r="H275" s="81" t="n"/>
      <c r="I275" s="82" t="n"/>
      <c r="J275" s="75">
        <f>IF(I275="A4",H275/8,IF(I275="A3",H275/4,IF(I275="A2",H275/2,IF(I275="A1",H275/1,IF(I275="A0",H275*2,"")))))</f>
        <v/>
      </c>
      <c r="K275" s="68">
        <f t="array" ref="K275">IFERROR(OFFSET($BZ$11,ROW($B275)-11,MATCH(K$10,$CA275:$FV275,0),),"")</f>
        <v/>
      </c>
      <c r="L275" s="85">
        <f>IF(K275="","",IF(VLOOKUP($B275,INDIRECT("'GRD-"&amp;M275&amp;"'!$B:$R"),16,FALSE)="","",VLOOKUP($B275,INDIRECT("'GRD-"&amp;M275&amp;"'!$B:$R"),16,FALSE)))</f>
        <v/>
      </c>
      <c r="M275" s="130">
        <f t="array" ref="M275">IF(K275="","",IFERROR(OFFSET($BZ$11,0,MATCH($K275,$CA275:$FV275,0),),""))</f>
        <v/>
      </c>
      <c r="N275" s="119">
        <f t="array" ref="N275">IF(K275="","",INDIRECT("'GRD-"&amp;M275&amp;"'!$L$7"))</f>
        <v/>
      </c>
      <c r="O275" s="76">
        <f t="array" ref="O275">IFERROR(OFFSET($BZ$11,ROW($B275)-11,MATCH(O$10,$CA275:$FV275,0),),"")</f>
        <v/>
      </c>
      <c r="P275" s="76">
        <f>IF(O275="","",IF(VLOOKUP($B275,INDIRECT("'GRD-"&amp;Q275&amp;"'!$B:$R"),16,FALSE)="","",VLOOKUP($B275,INDIRECT("'GRD-"&amp;Q275&amp;"'!$B:$R"),16,FALSE)))</f>
        <v/>
      </c>
      <c r="Q275" s="132">
        <f t="array" ref="Q275">IF(O275="","",IFERROR(OFFSET($BZ$11,0,MATCH($O275,$CA275:$FV275,0),),""))</f>
        <v/>
      </c>
      <c r="R275" s="121">
        <f t="array" ref="R275">IF(O275="","",INDIRECT("'GRD-"&amp;Q275&amp;"'!$L$7"))</f>
        <v/>
      </c>
      <c r="S275" s="83">
        <f t="array" ref="S275">IFERROR(OFFSET($BZ$11,ROW($B275)-11,MATCH(S$10,$CA275:$FV275,0),),"")</f>
        <v/>
      </c>
      <c r="T275" s="83">
        <f>IF(S275="","",IF(VLOOKUP($B275,INDIRECT("'GRD-"&amp;U275&amp;"'!$B:$R"),16,FALSE)="","",VLOOKUP($B275,INDIRECT("'GRD-"&amp;U275&amp;"'!$B:$R"),16,FALSE)))</f>
        <v/>
      </c>
      <c r="U275" s="128">
        <f t="array" ref="U275">IF(S275="","",IFERROR(OFFSET($BZ$11,0,MATCH($S275,$CA275:$FV275,0),),""))</f>
        <v/>
      </c>
      <c r="V275" s="133">
        <f t="array" ref="V275">IF(S275="","",INDIRECT("'GRD-"&amp;U275&amp;"'!$L$7"))</f>
        <v/>
      </c>
      <c r="W275" s="84">
        <f t="array" ref="W275">IFERROR(OFFSET($BZ$11,ROW($B275)-11,MATCH(W$10,$CA275:$FV275,0),),"")</f>
        <v/>
      </c>
      <c r="X275" s="84">
        <f>IF(W275="","",IF(VLOOKUP($B275,INDIRECT("'GRD-"&amp;Y275&amp;"'!$B:$R"),16,FALSE)="","",VLOOKUP($B275,INDIRECT("'GRD-"&amp;Y275&amp;"'!$B:$R"),16,FALSE)))</f>
        <v/>
      </c>
      <c r="Y275" s="129">
        <f t="array" ref="Y275">IF(W275="","",IFERROR(OFFSET($BZ$11,0,MATCH($W275,$CA275:$FV275,0),),""))</f>
        <v/>
      </c>
      <c r="Z275" s="134">
        <f t="array" ref="Z275">IF(W275="","",INDIRECT("'GRD-"&amp;Y275&amp;"'!$L$7"))</f>
        <v/>
      </c>
      <c r="AA275" s="85">
        <f t="array" ref="AA275">IFERROR(OFFSET($BZ$11,ROW($B275)-11,MATCH(AA$10,$CA275:$FV275,0),),"")</f>
        <v/>
      </c>
      <c r="AB275" s="85">
        <f>IF(AA275="","",IF(VLOOKUP($B275,INDIRECT("'GRD-"&amp;AC275&amp;"'!$B:$R"),16,FALSE)="","",VLOOKUP($B275,INDIRECT("'GRD-"&amp;AC275&amp;"'!$B:$R"),16,FALSE)))</f>
        <v/>
      </c>
      <c r="AC275" s="130">
        <f t="array" ref="AC275">IF(AA275="","",IFERROR(OFFSET($BZ$11,0,MATCH($AA275,$CA275:$FV275,0),),""))</f>
        <v/>
      </c>
      <c r="AD275" s="131">
        <f t="array" ref="AD275">IF(AA275="","",INDIRECT("'GRD-"&amp;AC275&amp;"'!$L$7"))</f>
        <v/>
      </c>
      <c r="AE275" s="76">
        <f t="array" ref="AE275">IFERROR(OFFSET($BZ$11,ROW($B275)-11,MATCH(AE$10,$CA275:$FV275,0),),"")</f>
        <v/>
      </c>
      <c r="AF275" s="76">
        <f>IF(AE275="","",IF(VLOOKUP($B275,INDIRECT("'GRD-"&amp;AG275&amp;"'!$B:$R"),16,FALSE)="","",VLOOKUP($B275,INDIRECT("'GRD-"&amp;AG275&amp;"'!$B:$R"),16,FALSE)))</f>
        <v/>
      </c>
      <c r="AG275" s="132">
        <f t="array" ref="AG275">IF(AE275="","",IFERROR(OFFSET($BZ$11,0,MATCH($AE275,$CA275:$FV275,0),),""))</f>
        <v/>
      </c>
      <c r="AH275" s="121">
        <f t="array" ref="AH275">IF(AE275="","",INDIRECT("'GRD-"&amp;AG275&amp;"'!$L$7"))</f>
        <v/>
      </c>
      <c r="AI275" s="83">
        <f t="array" ref="AI275">IFERROR(OFFSET($BZ$11,ROW($B275)-11,MATCH(AI$10,$CA275:$FV275,0),),"")</f>
        <v/>
      </c>
      <c r="AJ275" s="83">
        <f>IF(AI275="","",IF(VLOOKUP($B275,INDIRECT("'GRD-"&amp;AK275&amp;"'!$B:$R"),16,FALSE)="","",VLOOKUP($B275,INDIRECT("'GRD-"&amp;AK275&amp;"'!$B:$R"),16,FALSE)))</f>
        <v/>
      </c>
      <c r="AK275" s="128">
        <f t="array" ref="AK275">IF(AI275="","",IFERROR(OFFSET($BZ$11,0,MATCH($AI275,$CA275:$FV275,0),),""))</f>
        <v/>
      </c>
      <c r="AL275" s="133">
        <f t="array" ref="AL275">IF(AI275="","",INDIRECT("'GRD-"&amp;AK275&amp;"'!$L$7"))</f>
        <v/>
      </c>
      <c r="AM275" s="84">
        <f t="array" ref="AM275">IFERROR(OFFSET($BZ$11,ROW($B275)-11,MATCH(AM$10,$CA275:$FV275,0),),"")</f>
        <v/>
      </c>
      <c r="AN275" s="84">
        <f>IF(AM275="","",IF(VLOOKUP($B275,INDIRECT("'GRD-"&amp;AO275&amp;"'!$B:$R"),16,FALSE)="","",VLOOKUP($B275,INDIRECT("'GRD-"&amp;AO275&amp;"'!$B:$R"),16,FALSE)))</f>
        <v/>
      </c>
      <c r="AO275" s="129">
        <f t="array" ref="AO275">IF(AM275="","",IFERROR(OFFSET($BZ$11,0,MATCH($AM275,$CA275:$FV275,0),),""))</f>
        <v/>
      </c>
      <c r="AP275" s="134">
        <f t="array" ref="AP275">IF(AM275="","",INDIRECT("'GRD-"&amp;AO275&amp;"'!$L$7"))</f>
        <v/>
      </c>
      <c r="AQ275" s="85">
        <f t="array" ref="AQ275">IFERROR(OFFSET($BZ$11,ROW($B275)-11,MATCH(AQ$10,$CA275:$FV275,0),),"")</f>
        <v/>
      </c>
      <c r="AR275" s="85">
        <f>IF(AQ275="","",IF(VLOOKUP($B275,INDIRECT("'GRD-"&amp;AS275&amp;"'!$B:$R"),16,FALSE)="","",VLOOKUP($B275,INDIRECT("'GRD-"&amp;AS275&amp;"'!$B:$R"),16,FALSE)))</f>
        <v/>
      </c>
      <c r="AS275" s="130">
        <f t="array" ref="AS275">IF(AQ275="","",IFERROR(OFFSET($BZ$11,0,MATCH($AQ275,$CA275:$FV275,0),),""))</f>
        <v/>
      </c>
      <c r="AT275" s="131">
        <f t="array" ref="AT275">IF(AQ275="","",INDIRECT("'GRD-"&amp;AS275&amp;"'!$L$7"))</f>
        <v/>
      </c>
      <c r="AU275" s="76">
        <f t="array" ref="AU275">IFERROR(OFFSET($BZ$11,ROW($B275)-11,MATCH(AU$10,$CA275:$FV275,0),),"")</f>
        <v/>
      </c>
      <c r="AV275" s="76">
        <f>IF(AU275="","",IF(VLOOKUP($B275,INDIRECT("'GRD-"&amp;AW275&amp;"'!$B:$R"),16,FALSE)="","",VLOOKUP($B275,INDIRECT("'GRD-"&amp;AW275&amp;"'!$B:$R"),16,FALSE)))</f>
        <v/>
      </c>
      <c r="AW275" s="132">
        <f t="array" ref="AW275">IF(AU275="","",IFERROR(OFFSET($BZ$11,0,MATCH($AU275,$CA275:$FV275,0),),""))</f>
        <v/>
      </c>
      <c r="AX275" s="121">
        <f t="array" ref="AX275">IF(AU275="","",INDIRECT("'GRD-"&amp;AW275&amp;"'!$L$7"))</f>
        <v/>
      </c>
      <c r="AY275" s="83">
        <f t="array" ref="AY275">IFERROR(OFFSET($BZ$11,ROW($B275)-11,MATCH(AY$10,$CA275:$FV275,0),),"")</f>
        <v/>
      </c>
      <c r="AZ275" s="83">
        <f>IF(AY275="","",IF(VLOOKUP($B275,INDIRECT("'GRD-"&amp;BA275&amp;"'!$B:$R"),16,FALSE)="","",VLOOKUP($B275,INDIRECT("'GRD-"&amp;BA275&amp;"'!$B:$R"),16,FALSE)))</f>
        <v/>
      </c>
      <c r="BA275" s="128">
        <f t="array" ref="BA275">IF(AY275="","",IFERROR(OFFSET($BZ$11,0,MATCH($AY275,$CA275:$FV275,0),),""))</f>
        <v/>
      </c>
      <c r="BB275" s="133">
        <f t="array" ref="BB275">IF(AY275="","",INDIRECT("'GRD-"&amp;BA275&amp;"'!$L$7"))</f>
        <v/>
      </c>
      <c r="BC275" s="84">
        <f t="array" ref="BC275">IFERROR(OFFSET($BZ$11,ROW($B275)-11,MATCH(BC$10,$CA275:$FV275,0),),"")</f>
        <v/>
      </c>
      <c r="BD275" s="84">
        <f>IF(BC275="","",IF(VLOOKUP($B275,INDIRECT("'GRD-"&amp;BE275&amp;"'!$B:$R"),16,FALSE)="","",VLOOKUP($B275,INDIRECT("'GRD-"&amp;BE275&amp;"'!$B:$R"),16,FALSE)))</f>
        <v/>
      </c>
      <c r="BE275" s="129">
        <f t="array" ref="BE275">IF(BC275="","",IFERROR(OFFSET($BZ$11,0,MATCH($BC275,$CA275:$FV275,0),),""))</f>
        <v/>
      </c>
      <c r="BF275" s="134">
        <f t="array" ref="BF275">IF(BC275="","",INDIRECT("'GRD-"&amp;BE275&amp;"'!$L$7"))</f>
        <v/>
      </c>
      <c r="CA275" s="96">
        <f>IFERROR(VLOOKUP($B275,INDIRECT("'GRD-"&amp;CA$11&amp;"'!B:R"),15,FALSE),"")</f>
        <v/>
      </c>
      <c r="CB275" s="96">
        <f>IFERROR(VLOOKUP($B275,INDIRECT("'GRD-"&amp;CB$11&amp;"'!B:R"),15,FALSE),"")</f>
        <v/>
      </c>
      <c r="CC275" s="96">
        <f>IFERROR(VLOOKUP($B275,INDIRECT("'GRD-"&amp;CC$11&amp;"'!B:R"),15,FALSE),"")</f>
        <v/>
      </c>
      <c r="CD275" s="96">
        <f>IFERROR(VLOOKUP($B275,INDIRECT("'GRD-"&amp;CD$11&amp;"'!B:R"),15,FALSE),"")</f>
        <v/>
      </c>
      <c r="CE275" s="96">
        <f>IFERROR(VLOOKUP($B275,INDIRECT("'GRD-"&amp;CE$11&amp;"'!B:R"),15,FALSE),"")</f>
        <v/>
      </c>
      <c r="CF275" s="96">
        <f>IFERROR(VLOOKUP($B275,INDIRECT("'GRD-"&amp;CF$11&amp;"'!B:R"),15,FALSE),"")</f>
        <v/>
      </c>
      <c r="CG275" s="96">
        <f>IFERROR(VLOOKUP($B275,INDIRECT("'GRD-"&amp;CG$11&amp;"'!B:R"),15,FALSE),"")</f>
        <v/>
      </c>
      <c r="CH275" s="96">
        <f>IFERROR(VLOOKUP($B275,INDIRECT("'GRD-"&amp;CH$11&amp;"'!B:R"),15,FALSE),"")</f>
        <v/>
      </c>
      <c r="CI275" s="96">
        <f>IFERROR(VLOOKUP($B275,INDIRECT("'GRD-"&amp;CI$11&amp;"'!B:R"),15,FALSE),"")</f>
        <v/>
      </c>
      <c r="CJ275" s="96">
        <f>IFERROR(VLOOKUP($B275,INDIRECT("'GRD-"&amp;CJ$11&amp;"'!B:R"),15,FALSE),"")</f>
        <v/>
      </c>
      <c r="CK275" s="96">
        <f>IFERROR(VLOOKUP($B275,INDIRECT("'GRD-"&amp;CK$11&amp;"'!B:R"),15,FALSE),"")</f>
        <v/>
      </c>
      <c r="CL275" s="96">
        <f>IFERROR(VLOOKUP($B275,INDIRECT("'GRD-"&amp;CL$11&amp;"'!B:R"),15,FALSE),"")</f>
        <v/>
      </c>
      <c r="CM275" s="96">
        <f>IFERROR(VLOOKUP($B275,INDIRECT("'GRD-"&amp;CM$11&amp;"'!B:R"),15,FALSE),"")</f>
        <v/>
      </c>
      <c r="CN275" s="96">
        <f>IFERROR(VLOOKUP($B275,INDIRECT("'GRD-"&amp;CN$11&amp;"'!B:R"),15,FALSE),"")</f>
        <v/>
      </c>
      <c r="CO275" s="96">
        <f>IFERROR(VLOOKUP($B275,INDIRECT("'GRD-"&amp;CO$11&amp;"'!B:R"),15,FALSE),"")</f>
        <v/>
      </c>
      <c r="CP275" s="96">
        <f>IFERROR(VLOOKUP($B275,INDIRECT("'GRD-"&amp;CP$11&amp;"'!B:R"),15,FALSE),"")</f>
        <v/>
      </c>
      <c r="CQ275" s="96">
        <f>IFERROR(VLOOKUP($B275,INDIRECT("'GRD-"&amp;CQ$11&amp;"'!B:R"),15,FALSE),"")</f>
        <v/>
      </c>
      <c r="CR275" s="96">
        <f>IFERROR(VLOOKUP($B275,INDIRECT("'GRD-"&amp;CR$11&amp;"'!B:R"),15,FALSE),"")</f>
        <v/>
      </c>
      <c r="CS275" s="96">
        <f>IFERROR(VLOOKUP($B275,INDIRECT("'GRD-"&amp;CS$11&amp;"'!B:R"),15,FALSE),"")</f>
        <v/>
      </c>
      <c r="CT275" s="96">
        <f>IFERROR(VLOOKUP($B275,INDIRECT("'GRD-"&amp;CT$11&amp;"'!B:R"),15,FALSE),"")</f>
        <v/>
      </c>
      <c r="CU275" s="96">
        <f>IFERROR(VLOOKUP($B275,INDIRECT("'GRD-"&amp;CU$11&amp;"'!B:R"),15,FALSE),"")</f>
        <v/>
      </c>
      <c r="CV275" s="96">
        <f>IFERROR(VLOOKUP($B275,INDIRECT("'GRD-"&amp;CV$11&amp;"'!B:R"),15,FALSE),"")</f>
        <v/>
      </c>
      <c r="CW275" s="96">
        <f>IFERROR(VLOOKUP($B275,INDIRECT("'GRD-"&amp;CW$11&amp;"'!B:R"),15,FALSE),"")</f>
        <v/>
      </c>
      <c r="CX275" s="96">
        <f>IFERROR(VLOOKUP($B275,INDIRECT("'GRD-"&amp;CX$11&amp;"'!B:R"),15,FALSE),"")</f>
        <v/>
      </c>
      <c r="CY275" s="96">
        <f>IFERROR(VLOOKUP($B275,INDIRECT("'GRD-"&amp;CY$11&amp;"'!B:R"),15,FALSE),"")</f>
        <v/>
      </c>
      <c r="CZ275" s="96">
        <f>IFERROR(VLOOKUP($B275,INDIRECT("'GRD-"&amp;CZ$11&amp;"'!B:R"),15,FALSE),"")</f>
        <v/>
      </c>
      <c r="DA275" s="96">
        <f>IFERROR(VLOOKUP($B275,INDIRECT("'GRD-"&amp;DA$11&amp;"'!B:R"),15,FALSE),"")</f>
        <v/>
      </c>
      <c r="DB275" s="96">
        <f>IFERROR(VLOOKUP($B275,INDIRECT("'GRD-"&amp;DB$11&amp;"'!B:R"),15,FALSE),"")</f>
        <v/>
      </c>
      <c r="DC275" s="96">
        <f>IFERROR(VLOOKUP($B275,INDIRECT("'GRD-"&amp;DC$11&amp;"'!B:R"),15,FALSE),"")</f>
        <v/>
      </c>
      <c r="DD275" s="96">
        <f>IFERROR(VLOOKUP($B275,INDIRECT("'GRD-"&amp;DD$11&amp;"'!B:R"),15,FALSE),"")</f>
        <v/>
      </c>
      <c r="DE275" s="96">
        <f>IFERROR(VLOOKUP($B275,INDIRECT("'GRD-"&amp;DE$11&amp;"'!B:R"),15,FALSE),"")</f>
        <v/>
      </c>
      <c r="DF275" s="96">
        <f>IFERROR(VLOOKUP($B275,INDIRECT("'GRD-"&amp;DF$11&amp;"'!B:R"),15,FALSE),"")</f>
        <v/>
      </c>
      <c r="DG275" s="96">
        <f>IFERROR(VLOOKUP($B275,INDIRECT("'GRD-"&amp;DG$11&amp;"'!B:R"),15,FALSE),"")</f>
        <v/>
      </c>
      <c r="DH275" s="96">
        <f>IFERROR(VLOOKUP($B275,INDIRECT("'GRD-"&amp;DH$11&amp;"'!B:R"),15,FALSE),"")</f>
        <v/>
      </c>
      <c r="DI275" s="96">
        <f>IFERROR(VLOOKUP($B275,INDIRECT("'GRD-"&amp;DI$11&amp;"'!B:R"),15,FALSE),"")</f>
        <v/>
      </c>
      <c r="DJ275" s="96">
        <f>IFERROR(VLOOKUP($B275,INDIRECT("'GRD-"&amp;DJ$11&amp;"'!B:R"),15,FALSE),"")</f>
        <v/>
      </c>
      <c r="DK275" s="96">
        <f>IFERROR(VLOOKUP($B275,INDIRECT("'GRD-"&amp;DK$11&amp;"'!B:R"),15,FALSE),"")</f>
        <v/>
      </c>
      <c r="DL275" s="96">
        <f>IFERROR(VLOOKUP($B275,INDIRECT("'GRD-"&amp;DL$11&amp;"'!B:R"),15,FALSE),"")</f>
        <v/>
      </c>
      <c r="DM275" s="96">
        <f>IFERROR(VLOOKUP($B275,INDIRECT("'GRD-"&amp;DM$11&amp;"'!B:R"),15,FALSE),"")</f>
        <v/>
      </c>
      <c r="DN275" s="96">
        <f>IFERROR(VLOOKUP($B275,INDIRECT("'GRD-"&amp;DN$11&amp;"'!B:R"),15,FALSE),"")</f>
        <v/>
      </c>
      <c r="DO275" s="96">
        <f>IFERROR(VLOOKUP($B275,INDIRECT("'GRD-"&amp;DO$11&amp;"'!B:R"),15,FALSE),"")</f>
        <v/>
      </c>
      <c r="DP275" s="96">
        <f>IFERROR(VLOOKUP($B275,INDIRECT("'GRD-"&amp;DP$11&amp;"'!B:R"),15,FALSE),"")</f>
        <v/>
      </c>
      <c r="DQ275" s="96">
        <f>IFERROR(VLOOKUP($B275,INDIRECT("'GRD-"&amp;DQ$11&amp;"'!B:R"),15,FALSE),"")</f>
        <v/>
      </c>
      <c r="DR275" s="96">
        <f>IFERROR(VLOOKUP($B275,INDIRECT("'GRD-"&amp;DR$11&amp;"'!B:R"),15,FALSE),"")</f>
        <v/>
      </c>
      <c r="DS275" s="96">
        <f>IFERROR(VLOOKUP($B275,INDIRECT("'GRD-"&amp;DS$11&amp;"'!B:R"),15,FALSE),"")</f>
        <v/>
      </c>
      <c r="DT275" s="96">
        <f>IFERROR(VLOOKUP($B275,INDIRECT("'GRD-"&amp;DT$11&amp;"'!B:R"),15,FALSE),"")</f>
        <v/>
      </c>
      <c r="DU275" s="96">
        <f>IFERROR(VLOOKUP($B275,INDIRECT("'GRD-"&amp;DU$11&amp;"'!B:R"),15,FALSE),"")</f>
        <v/>
      </c>
      <c r="DV275" s="96">
        <f>IFERROR(VLOOKUP($B275,INDIRECT("'GRD-"&amp;DV$11&amp;"'!B:R"),15,FALSE),"")</f>
        <v/>
      </c>
      <c r="DW275" s="96">
        <f>IFERROR(VLOOKUP($B275,INDIRECT("'GRD-"&amp;DW$11&amp;"'!B:R"),15,FALSE),"")</f>
        <v/>
      </c>
      <c r="DX275" s="96">
        <f>IFERROR(VLOOKUP($B275,INDIRECT("'GRD-"&amp;DX$11&amp;"'!B:R"),15,FALSE),"")</f>
        <v/>
      </c>
      <c r="DY275" s="96">
        <f>IFERROR(VLOOKUP($B275,INDIRECT("'GRD-"&amp;DY$11&amp;"'!B:R"),15,FALSE),"")</f>
        <v/>
      </c>
      <c r="DZ275" s="96">
        <f>IFERROR(VLOOKUP($B275,INDIRECT("'GRD-"&amp;DZ$11&amp;"'!B:R"),15,FALSE),"")</f>
        <v/>
      </c>
      <c r="EA275" s="96">
        <f>IFERROR(VLOOKUP($B275,INDIRECT("'GRD-"&amp;EA$11&amp;"'!B:R"),15,FALSE),"")</f>
        <v/>
      </c>
      <c r="EB275" s="96">
        <f>IFERROR(VLOOKUP($B275,INDIRECT("'GRD-"&amp;EB$11&amp;"'!B:R"),15,FALSE),"")</f>
        <v/>
      </c>
      <c r="EC275" s="96">
        <f>IFERROR(VLOOKUP($B275,INDIRECT("'GRD-"&amp;EC$11&amp;"'!B:R"),15,FALSE),"")</f>
        <v/>
      </c>
      <c r="ED275" s="96">
        <f>IFERROR(VLOOKUP($B275,INDIRECT("'GRD-"&amp;ED$11&amp;"'!B:R"),15,FALSE),"")</f>
        <v/>
      </c>
      <c r="EE275" s="96">
        <f>IFERROR(VLOOKUP($B275,INDIRECT("'GRD-"&amp;EE$11&amp;"'!B:R"),15,FALSE),"")</f>
        <v/>
      </c>
      <c r="EF275" s="96">
        <f>IFERROR(VLOOKUP($B275,INDIRECT("'GRD-"&amp;EF$11&amp;"'!B:R"),15,FALSE),"")</f>
        <v/>
      </c>
      <c r="EG275" s="96">
        <f>IFERROR(VLOOKUP($B275,INDIRECT("'GRD-"&amp;EG$11&amp;"'!B:R"),15,FALSE),"")</f>
        <v/>
      </c>
      <c r="EH275" s="96">
        <f>IFERROR(VLOOKUP($B275,INDIRECT("'GRD-"&amp;EH$11&amp;"'!B:R"),15,FALSE),"")</f>
        <v/>
      </c>
      <c r="EI275" s="96">
        <f>IFERROR(VLOOKUP($B275,INDIRECT("'GRD-"&amp;EI$11&amp;"'!B:R"),15,FALSE),"")</f>
        <v/>
      </c>
      <c r="EJ275" s="96">
        <f>IFERROR(VLOOKUP($B275,INDIRECT("'GRD-"&amp;EJ$11&amp;"'!B:R"),15,FALSE),"")</f>
        <v/>
      </c>
      <c r="EK275" s="96">
        <f>IFERROR(VLOOKUP($B275,INDIRECT("'GRD-"&amp;EK$11&amp;"'!B:R"),15,FALSE),"")</f>
        <v/>
      </c>
      <c r="EL275" s="96">
        <f>IFERROR(VLOOKUP($B275,INDIRECT("'GRD-"&amp;EL$11&amp;"'!B:R"),15,FALSE),"")</f>
        <v/>
      </c>
      <c r="EM275" s="96">
        <f>IFERROR(VLOOKUP($B275,INDIRECT("'GRD-"&amp;EM$11&amp;"'!B:R"),15,FALSE),"")</f>
        <v/>
      </c>
      <c r="EN275" s="96">
        <f>IFERROR(VLOOKUP($B275,INDIRECT("'GRD-"&amp;EN$11&amp;"'!B:R"),15,FALSE),"")</f>
        <v/>
      </c>
      <c r="EO275" s="96">
        <f>IFERROR(VLOOKUP($B275,INDIRECT("'GRD-"&amp;EO$11&amp;"'!B:R"),15,FALSE),"")</f>
        <v/>
      </c>
      <c r="EP275" s="96">
        <f>IFERROR(VLOOKUP($B275,INDIRECT("'GRD-"&amp;EP$11&amp;"'!B:R"),15,FALSE),"")</f>
        <v/>
      </c>
      <c r="EQ275" s="96">
        <f>IFERROR(VLOOKUP($B275,INDIRECT("'GRD-"&amp;EQ$11&amp;"'!B:R"),15,FALSE),"")</f>
        <v/>
      </c>
      <c r="ER275" s="96">
        <f>IFERROR(VLOOKUP($B275,INDIRECT("'GRD-"&amp;ER$11&amp;"'!B:R"),15,FALSE),"")</f>
        <v/>
      </c>
      <c r="ES275" s="96">
        <f>IFERROR(VLOOKUP($B275,INDIRECT("'GRD-"&amp;ES$11&amp;"'!B:R"),15,FALSE),"")</f>
        <v/>
      </c>
      <c r="ET275" s="96">
        <f>IFERROR(VLOOKUP($B275,INDIRECT("'GRD-"&amp;ET$11&amp;"'!B:R"),15,FALSE),"")</f>
        <v/>
      </c>
      <c r="EU275" s="96">
        <f>IFERROR(VLOOKUP($B275,INDIRECT("'GRD-"&amp;EU$11&amp;"'!B:R"),15,FALSE),"")</f>
        <v/>
      </c>
      <c r="EV275" s="96">
        <f>IFERROR(VLOOKUP($B275,INDIRECT("'GRD-"&amp;EV$11&amp;"'!B:R"),15,FALSE),"")</f>
        <v/>
      </c>
      <c r="EW275" s="96">
        <f>IFERROR(VLOOKUP($B275,INDIRECT("'GRD-"&amp;EW$11&amp;"'!B:R"),15,FALSE),"")</f>
        <v/>
      </c>
      <c r="EX275" s="96">
        <f>IFERROR(VLOOKUP($B275,INDIRECT("'GRD-"&amp;EX$11&amp;"'!B:R"),15,FALSE),"")</f>
        <v/>
      </c>
      <c r="EY275" s="96">
        <f>IFERROR(VLOOKUP($B275,INDIRECT("'GRD-"&amp;EY$11&amp;"'!B:R"),15,FALSE),"")</f>
        <v/>
      </c>
      <c r="EZ275" s="96">
        <f>IFERROR(VLOOKUP($B275,INDIRECT("'GRD-"&amp;EZ$11&amp;"'!B:R"),15,FALSE),"")</f>
        <v/>
      </c>
      <c r="FA275" s="96">
        <f>IFERROR(VLOOKUP($B275,INDIRECT("'GRD-"&amp;FA$11&amp;"'!B:R"),15,FALSE),"")</f>
        <v/>
      </c>
      <c r="FB275" s="96">
        <f>IFERROR(VLOOKUP($B275,INDIRECT("'GRD-"&amp;FB$11&amp;"'!B:R"),15,FALSE),"")</f>
        <v/>
      </c>
      <c r="FC275" s="96">
        <f>IFERROR(VLOOKUP($B275,INDIRECT("'GRD-"&amp;FC$11&amp;"'!B:R"),15,FALSE),"")</f>
        <v/>
      </c>
      <c r="FD275" s="96">
        <f>IFERROR(VLOOKUP($B275,INDIRECT("'GRD-"&amp;FD$11&amp;"'!B:R"),15,FALSE),"")</f>
        <v/>
      </c>
      <c r="FE275" s="96">
        <f>IFERROR(VLOOKUP($B275,INDIRECT("'GRD-"&amp;FE$11&amp;"'!B:R"),15,FALSE),"")</f>
        <v/>
      </c>
      <c r="FF275" s="96">
        <f>IFERROR(VLOOKUP($B275,INDIRECT("'GRD-"&amp;FF$11&amp;"'!B:R"),15,FALSE),"")</f>
        <v/>
      </c>
      <c r="FG275" s="96">
        <f>IFERROR(VLOOKUP($B275,INDIRECT("'GRD-"&amp;FG$11&amp;"'!B:R"),15,FALSE),"")</f>
        <v/>
      </c>
      <c r="FH275" s="96">
        <f>IFERROR(VLOOKUP($B275,INDIRECT("'GRD-"&amp;FH$11&amp;"'!B:R"),15,FALSE),"")</f>
        <v/>
      </c>
      <c r="FI275" s="96">
        <f>IFERROR(VLOOKUP($B275,INDIRECT("'GRD-"&amp;FI$11&amp;"'!B:R"),15,FALSE),"")</f>
        <v/>
      </c>
      <c r="FJ275" s="96">
        <f>IFERROR(VLOOKUP($B275,INDIRECT("'GRD-"&amp;FJ$11&amp;"'!B:R"),15,FALSE),"")</f>
        <v/>
      </c>
      <c r="FK275" s="96">
        <f>IFERROR(VLOOKUP($B275,INDIRECT("'GRD-"&amp;FK$11&amp;"'!B:R"),15,FALSE),"")</f>
        <v/>
      </c>
      <c r="FL275" s="96">
        <f>IFERROR(VLOOKUP($B275,INDIRECT("'GRD-"&amp;FL$11&amp;"'!B:R"),15,FALSE),"")</f>
        <v/>
      </c>
      <c r="FM275" s="96">
        <f>IFERROR(VLOOKUP($B275,INDIRECT("'GRD-"&amp;FM$11&amp;"'!B:R"),15,FALSE),"")</f>
        <v/>
      </c>
      <c r="FN275" s="96">
        <f>IFERROR(VLOOKUP($B275,INDIRECT("'GRD-"&amp;FN$11&amp;"'!B:R"),15,FALSE),"")</f>
        <v/>
      </c>
      <c r="FO275" s="96">
        <f>IFERROR(VLOOKUP($B275,INDIRECT("'GRD-"&amp;FO$11&amp;"'!B:R"),15,FALSE),"")</f>
        <v/>
      </c>
      <c r="FP275" s="96">
        <f>IFERROR(VLOOKUP($B275,INDIRECT("'GRD-"&amp;FP$11&amp;"'!B:R"),15,FALSE),"")</f>
        <v/>
      </c>
      <c r="FQ275" s="96">
        <f>IFERROR(VLOOKUP($B275,INDIRECT("'GRD-"&amp;FQ$11&amp;"'!B:R"),15,FALSE),"")</f>
        <v/>
      </c>
      <c r="FR275" s="96">
        <f>IFERROR(VLOOKUP($B275,INDIRECT("'GRD-"&amp;FR$11&amp;"'!B:R"),15,FALSE),"")</f>
        <v/>
      </c>
      <c r="FS275" s="96">
        <f>IFERROR(VLOOKUP($B275,INDIRECT("'GRD-"&amp;FS$11&amp;"'!B:R"),15,FALSE),"")</f>
        <v/>
      </c>
      <c r="FT275" s="96">
        <f>IFERROR(VLOOKUP($B275,INDIRECT("'GRD-"&amp;FT$11&amp;"'!B:R"),15,FALSE),"")</f>
        <v/>
      </c>
      <c r="FU275" s="96">
        <f>IFERROR(VLOOKUP($B275,INDIRECT("'GRD-"&amp;FU$11&amp;"'!B:R"),15,FALSE),"")</f>
        <v/>
      </c>
      <c r="FV275" s="96">
        <f>IFERROR(VLOOKUP($B275,INDIRECT("'GRD-"&amp;FV$11&amp;"'!B:R"),15,FALSE),"")</f>
        <v/>
      </c>
    </row>
    <row r="276">
      <c r="B276" s="85" t="n"/>
      <c r="C276" s="93" t="n"/>
      <c r="D276" s="73">
        <f>IF(K276="","",MAX($CA276:$FV276))</f>
        <v/>
      </c>
      <c r="E276" s="74">
        <f t="array" ref="E276">IF($K276="","",OFFSET($A$1,ROW($B276)-1,11+$D276*4,))</f>
        <v/>
      </c>
      <c r="F276" s="74">
        <f t="array" ref="F276">IF($K276="","",OFFSET($A$1,ROW($B276)-1,12+$D276*4,))</f>
        <v/>
      </c>
      <c r="G276" s="118">
        <f t="array" ref="G276">IF($K276="","",OFFSET($A$1,ROW($B276)-1,13+$D276*4,))</f>
        <v/>
      </c>
      <c r="H276" s="81" t="n"/>
      <c r="I276" s="82" t="n"/>
      <c r="J276" s="75">
        <f>IF(I276="A4",H276/8,IF(I276="A3",H276/4,IF(I276="A2",H276/2,IF(I276="A1",H276/1,IF(I276="A0",H276*2,"")))))</f>
        <v/>
      </c>
      <c r="K276" s="68">
        <f t="array" ref="K276">IFERROR(OFFSET($BZ$11,ROW($B276)-11,MATCH(K$10,$CA276:$FV276,0),),"")</f>
        <v/>
      </c>
      <c r="L276" s="85">
        <f>IF(K276="","",IF(VLOOKUP($B276,INDIRECT("'GRD-"&amp;M276&amp;"'!$B:$R"),16,FALSE)="","",VLOOKUP($B276,INDIRECT("'GRD-"&amp;M276&amp;"'!$B:$R"),16,FALSE)))</f>
        <v/>
      </c>
      <c r="M276" s="130">
        <f t="array" ref="M276">IF(K276="","",IFERROR(OFFSET($BZ$11,0,MATCH($K276,$CA276:$FV276,0),),""))</f>
        <v/>
      </c>
      <c r="N276" s="119">
        <f t="array" ref="N276">IF(K276="","",INDIRECT("'GRD-"&amp;M276&amp;"'!$L$7"))</f>
        <v/>
      </c>
      <c r="O276" s="76">
        <f t="array" ref="O276">IFERROR(OFFSET($BZ$11,ROW($B276)-11,MATCH(O$10,$CA276:$FV276,0),),"")</f>
        <v/>
      </c>
      <c r="P276" s="76">
        <f>IF(O276="","",IF(VLOOKUP($B276,INDIRECT("'GRD-"&amp;Q276&amp;"'!$B:$R"),16,FALSE)="","",VLOOKUP($B276,INDIRECT("'GRD-"&amp;Q276&amp;"'!$B:$R"),16,FALSE)))</f>
        <v/>
      </c>
      <c r="Q276" s="132">
        <f t="array" ref="Q276">IF(O276="","",IFERROR(OFFSET($BZ$11,0,MATCH($O276,$CA276:$FV276,0),),""))</f>
        <v/>
      </c>
      <c r="R276" s="121">
        <f t="array" ref="R276">IF(O276="","",INDIRECT("'GRD-"&amp;Q276&amp;"'!$L$7"))</f>
        <v/>
      </c>
      <c r="S276" s="83">
        <f t="array" ref="S276">IFERROR(OFFSET($BZ$11,ROW($B276)-11,MATCH(S$10,$CA276:$FV276,0),),"")</f>
        <v/>
      </c>
      <c r="T276" s="83">
        <f>IF(S276="","",IF(VLOOKUP($B276,INDIRECT("'GRD-"&amp;U276&amp;"'!$B:$R"),16,FALSE)="","",VLOOKUP($B276,INDIRECT("'GRD-"&amp;U276&amp;"'!$B:$R"),16,FALSE)))</f>
        <v/>
      </c>
      <c r="U276" s="128">
        <f t="array" ref="U276">IF(S276="","",IFERROR(OFFSET($BZ$11,0,MATCH($S276,$CA276:$FV276,0),),""))</f>
        <v/>
      </c>
      <c r="V276" s="133">
        <f t="array" ref="V276">IF(S276="","",INDIRECT("'GRD-"&amp;U276&amp;"'!$L$7"))</f>
        <v/>
      </c>
      <c r="W276" s="84">
        <f t="array" ref="W276">IFERROR(OFFSET($BZ$11,ROW($B276)-11,MATCH(W$10,$CA276:$FV276,0),),"")</f>
        <v/>
      </c>
      <c r="X276" s="84">
        <f>IF(W276="","",IF(VLOOKUP($B276,INDIRECT("'GRD-"&amp;Y276&amp;"'!$B:$R"),16,FALSE)="","",VLOOKUP($B276,INDIRECT("'GRD-"&amp;Y276&amp;"'!$B:$R"),16,FALSE)))</f>
        <v/>
      </c>
      <c r="Y276" s="129">
        <f t="array" ref="Y276">IF(W276="","",IFERROR(OFFSET($BZ$11,0,MATCH($W276,$CA276:$FV276,0),),""))</f>
        <v/>
      </c>
      <c r="Z276" s="134">
        <f t="array" ref="Z276">IF(W276="","",INDIRECT("'GRD-"&amp;Y276&amp;"'!$L$7"))</f>
        <v/>
      </c>
      <c r="AA276" s="85">
        <f t="array" ref="AA276">IFERROR(OFFSET($BZ$11,ROW($B276)-11,MATCH(AA$10,$CA276:$FV276,0),),"")</f>
        <v/>
      </c>
      <c r="AB276" s="85">
        <f>IF(AA276="","",IF(VLOOKUP($B276,INDIRECT("'GRD-"&amp;AC276&amp;"'!$B:$R"),16,FALSE)="","",VLOOKUP($B276,INDIRECT("'GRD-"&amp;AC276&amp;"'!$B:$R"),16,FALSE)))</f>
        <v/>
      </c>
      <c r="AC276" s="130">
        <f t="array" ref="AC276">IF(AA276="","",IFERROR(OFFSET($BZ$11,0,MATCH($AA276,$CA276:$FV276,0),),""))</f>
        <v/>
      </c>
      <c r="AD276" s="131">
        <f t="array" ref="AD276">IF(AA276="","",INDIRECT("'GRD-"&amp;AC276&amp;"'!$L$7"))</f>
        <v/>
      </c>
      <c r="AE276" s="76">
        <f t="array" ref="AE276">IFERROR(OFFSET($BZ$11,ROW($B276)-11,MATCH(AE$10,$CA276:$FV276,0),),"")</f>
        <v/>
      </c>
      <c r="AF276" s="76">
        <f>IF(AE276="","",IF(VLOOKUP($B276,INDIRECT("'GRD-"&amp;AG276&amp;"'!$B:$R"),16,FALSE)="","",VLOOKUP($B276,INDIRECT("'GRD-"&amp;AG276&amp;"'!$B:$R"),16,FALSE)))</f>
        <v/>
      </c>
      <c r="AG276" s="132">
        <f t="array" ref="AG276">IF(AE276="","",IFERROR(OFFSET($BZ$11,0,MATCH($AE276,$CA276:$FV276,0),),""))</f>
        <v/>
      </c>
      <c r="AH276" s="121">
        <f t="array" ref="AH276">IF(AE276="","",INDIRECT("'GRD-"&amp;AG276&amp;"'!$L$7"))</f>
        <v/>
      </c>
      <c r="AI276" s="83">
        <f t="array" ref="AI276">IFERROR(OFFSET($BZ$11,ROW($B276)-11,MATCH(AI$10,$CA276:$FV276,0),),"")</f>
        <v/>
      </c>
      <c r="AJ276" s="83">
        <f>IF(AI276="","",IF(VLOOKUP($B276,INDIRECT("'GRD-"&amp;AK276&amp;"'!$B:$R"),16,FALSE)="","",VLOOKUP($B276,INDIRECT("'GRD-"&amp;AK276&amp;"'!$B:$R"),16,FALSE)))</f>
        <v/>
      </c>
      <c r="AK276" s="128">
        <f t="array" ref="AK276">IF(AI276="","",IFERROR(OFFSET($BZ$11,0,MATCH($AI276,$CA276:$FV276,0),),""))</f>
        <v/>
      </c>
      <c r="AL276" s="133">
        <f t="array" ref="AL276">IF(AI276="","",INDIRECT("'GRD-"&amp;AK276&amp;"'!$L$7"))</f>
        <v/>
      </c>
      <c r="AM276" s="84">
        <f t="array" ref="AM276">IFERROR(OFFSET($BZ$11,ROW($B276)-11,MATCH(AM$10,$CA276:$FV276,0),),"")</f>
        <v/>
      </c>
      <c r="AN276" s="84">
        <f>IF(AM276="","",IF(VLOOKUP($B276,INDIRECT("'GRD-"&amp;AO276&amp;"'!$B:$R"),16,FALSE)="","",VLOOKUP($B276,INDIRECT("'GRD-"&amp;AO276&amp;"'!$B:$R"),16,FALSE)))</f>
        <v/>
      </c>
      <c r="AO276" s="129">
        <f t="array" ref="AO276">IF(AM276="","",IFERROR(OFFSET($BZ$11,0,MATCH($AM276,$CA276:$FV276,0),),""))</f>
        <v/>
      </c>
      <c r="AP276" s="134">
        <f t="array" ref="AP276">IF(AM276="","",INDIRECT("'GRD-"&amp;AO276&amp;"'!$L$7"))</f>
        <v/>
      </c>
      <c r="AQ276" s="85">
        <f t="array" ref="AQ276">IFERROR(OFFSET($BZ$11,ROW($B276)-11,MATCH(AQ$10,$CA276:$FV276,0),),"")</f>
        <v/>
      </c>
      <c r="AR276" s="85">
        <f>IF(AQ276="","",IF(VLOOKUP($B276,INDIRECT("'GRD-"&amp;AS276&amp;"'!$B:$R"),16,FALSE)="","",VLOOKUP($B276,INDIRECT("'GRD-"&amp;AS276&amp;"'!$B:$R"),16,FALSE)))</f>
        <v/>
      </c>
      <c r="AS276" s="130">
        <f t="array" ref="AS276">IF(AQ276="","",IFERROR(OFFSET($BZ$11,0,MATCH($AQ276,$CA276:$FV276,0),),""))</f>
        <v/>
      </c>
      <c r="AT276" s="131">
        <f t="array" ref="AT276">IF(AQ276="","",INDIRECT("'GRD-"&amp;AS276&amp;"'!$L$7"))</f>
        <v/>
      </c>
      <c r="AU276" s="76">
        <f t="array" ref="AU276">IFERROR(OFFSET($BZ$11,ROW($B276)-11,MATCH(AU$10,$CA276:$FV276,0),),"")</f>
        <v/>
      </c>
      <c r="AV276" s="76">
        <f>IF(AU276="","",IF(VLOOKUP($B276,INDIRECT("'GRD-"&amp;AW276&amp;"'!$B:$R"),16,FALSE)="","",VLOOKUP($B276,INDIRECT("'GRD-"&amp;AW276&amp;"'!$B:$R"),16,FALSE)))</f>
        <v/>
      </c>
      <c r="AW276" s="132">
        <f t="array" ref="AW276">IF(AU276="","",IFERROR(OFFSET($BZ$11,0,MATCH($AU276,$CA276:$FV276,0),),""))</f>
        <v/>
      </c>
      <c r="AX276" s="121">
        <f t="array" ref="AX276">IF(AU276="","",INDIRECT("'GRD-"&amp;AW276&amp;"'!$L$7"))</f>
        <v/>
      </c>
      <c r="AY276" s="83">
        <f t="array" ref="AY276">IFERROR(OFFSET($BZ$11,ROW($B276)-11,MATCH(AY$10,$CA276:$FV276,0),),"")</f>
        <v/>
      </c>
      <c r="AZ276" s="83">
        <f>IF(AY276="","",IF(VLOOKUP($B276,INDIRECT("'GRD-"&amp;BA276&amp;"'!$B:$R"),16,FALSE)="","",VLOOKUP($B276,INDIRECT("'GRD-"&amp;BA276&amp;"'!$B:$R"),16,FALSE)))</f>
        <v/>
      </c>
      <c r="BA276" s="128">
        <f t="array" ref="BA276">IF(AY276="","",IFERROR(OFFSET($BZ$11,0,MATCH($AY276,$CA276:$FV276,0),),""))</f>
        <v/>
      </c>
      <c r="BB276" s="133">
        <f t="array" ref="BB276">IF(AY276="","",INDIRECT("'GRD-"&amp;BA276&amp;"'!$L$7"))</f>
        <v/>
      </c>
      <c r="BC276" s="84">
        <f t="array" ref="BC276">IFERROR(OFFSET($BZ$11,ROW($B276)-11,MATCH(BC$10,$CA276:$FV276,0),),"")</f>
        <v/>
      </c>
      <c r="BD276" s="84">
        <f>IF(BC276="","",IF(VLOOKUP($B276,INDIRECT("'GRD-"&amp;BE276&amp;"'!$B:$R"),16,FALSE)="","",VLOOKUP($B276,INDIRECT("'GRD-"&amp;BE276&amp;"'!$B:$R"),16,FALSE)))</f>
        <v/>
      </c>
      <c r="BE276" s="129">
        <f t="array" ref="BE276">IF(BC276="","",IFERROR(OFFSET($BZ$11,0,MATCH($BC276,$CA276:$FV276,0),),""))</f>
        <v/>
      </c>
      <c r="BF276" s="134">
        <f t="array" ref="BF276">IF(BC276="","",INDIRECT("'GRD-"&amp;BE276&amp;"'!$L$7"))</f>
        <v/>
      </c>
      <c r="CA276" s="96">
        <f>IFERROR(VLOOKUP($B276,INDIRECT("'GRD-"&amp;CA$11&amp;"'!B:R"),15,FALSE),"")</f>
        <v/>
      </c>
      <c r="CB276" s="96">
        <f>IFERROR(VLOOKUP($B276,INDIRECT("'GRD-"&amp;CB$11&amp;"'!B:R"),15,FALSE),"")</f>
        <v/>
      </c>
      <c r="CC276" s="96">
        <f>IFERROR(VLOOKUP($B276,INDIRECT("'GRD-"&amp;CC$11&amp;"'!B:R"),15,FALSE),"")</f>
        <v/>
      </c>
      <c r="CD276" s="96">
        <f>IFERROR(VLOOKUP($B276,INDIRECT("'GRD-"&amp;CD$11&amp;"'!B:R"),15,FALSE),"")</f>
        <v/>
      </c>
      <c r="CE276" s="96">
        <f>IFERROR(VLOOKUP($B276,INDIRECT("'GRD-"&amp;CE$11&amp;"'!B:R"),15,FALSE),"")</f>
        <v/>
      </c>
      <c r="CF276" s="96">
        <f>IFERROR(VLOOKUP($B276,INDIRECT("'GRD-"&amp;CF$11&amp;"'!B:R"),15,FALSE),"")</f>
        <v/>
      </c>
      <c r="CG276" s="96">
        <f>IFERROR(VLOOKUP($B276,INDIRECT("'GRD-"&amp;CG$11&amp;"'!B:R"),15,FALSE),"")</f>
        <v/>
      </c>
      <c r="CH276" s="96">
        <f>IFERROR(VLOOKUP($B276,INDIRECT("'GRD-"&amp;CH$11&amp;"'!B:R"),15,FALSE),"")</f>
        <v/>
      </c>
      <c r="CI276" s="96">
        <f>IFERROR(VLOOKUP($B276,INDIRECT("'GRD-"&amp;CI$11&amp;"'!B:R"),15,FALSE),"")</f>
        <v/>
      </c>
      <c r="CJ276" s="96">
        <f>IFERROR(VLOOKUP($B276,INDIRECT("'GRD-"&amp;CJ$11&amp;"'!B:R"),15,FALSE),"")</f>
        <v/>
      </c>
      <c r="CK276" s="96">
        <f>IFERROR(VLOOKUP($B276,INDIRECT("'GRD-"&amp;CK$11&amp;"'!B:R"),15,FALSE),"")</f>
        <v/>
      </c>
      <c r="CL276" s="96">
        <f>IFERROR(VLOOKUP($B276,INDIRECT("'GRD-"&amp;CL$11&amp;"'!B:R"),15,FALSE),"")</f>
        <v/>
      </c>
      <c r="CM276" s="96">
        <f>IFERROR(VLOOKUP($B276,INDIRECT("'GRD-"&amp;CM$11&amp;"'!B:R"),15,FALSE),"")</f>
        <v/>
      </c>
      <c r="CN276" s="96">
        <f>IFERROR(VLOOKUP($B276,INDIRECT("'GRD-"&amp;CN$11&amp;"'!B:R"),15,FALSE),"")</f>
        <v/>
      </c>
      <c r="CO276" s="96">
        <f>IFERROR(VLOOKUP($B276,INDIRECT("'GRD-"&amp;CO$11&amp;"'!B:R"),15,FALSE),"")</f>
        <v/>
      </c>
      <c r="CP276" s="96">
        <f>IFERROR(VLOOKUP($B276,INDIRECT("'GRD-"&amp;CP$11&amp;"'!B:R"),15,FALSE),"")</f>
        <v/>
      </c>
      <c r="CQ276" s="96">
        <f>IFERROR(VLOOKUP($B276,INDIRECT("'GRD-"&amp;CQ$11&amp;"'!B:R"),15,FALSE),"")</f>
        <v/>
      </c>
      <c r="CR276" s="96">
        <f>IFERROR(VLOOKUP($B276,INDIRECT("'GRD-"&amp;CR$11&amp;"'!B:R"),15,FALSE),"")</f>
        <v/>
      </c>
      <c r="CS276" s="96">
        <f>IFERROR(VLOOKUP($B276,INDIRECT("'GRD-"&amp;CS$11&amp;"'!B:R"),15,FALSE),"")</f>
        <v/>
      </c>
      <c r="CT276" s="96">
        <f>IFERROR(VLOOKUP($B276,INDIRECT("'GRD-"&amp;CT$11&amp;"'!B:R"),15,FALSE),"")</f>
        <v/>
      </c>
      <c r="CU276" s="96">
        <f>IFERROR(VLOOKUP($B276,INDIRECT("'GRD-"&amp;CU$11&amp;"'!B:R"),15,FALSE),"")</f>
        <v/>
      </c>
      <c r="CV276" s="96">
        <f>IFERROR(VLOOKUP($B276,INDIRECT("'GRD-"&amp;CV$11&amp;"'!B:R"),15,FALSE),"")</f>
        <v/>
      </c>
      <c r="CW276" s="96">
        <f>IFERROR(VLOOKUP($B276,INDIRECT("'GRD-"&amp;CW$11&amp;"'!B:R"),15,FALSE),"")</f>
        <v/>
      </c>
      <c r="CX276" s="96">
        <f>IFERROR(VLOOKUP($B276,INDIRECT("'GRD-"&amp;CX$11&amp;"'!B:R"),15,FALSE),"")</f>
        <v/>
      </c>
      <c r="CY276" s="96">
        <f>IFERROR(VLOOKUP($B276,INDIRECT("'GRD-"&amp;CY$11&amp;"'!B:R"),15,FALSE),"")</f>
        <v/>
      </c>
      <c r="CZ276" s="96">
        <f>IFERROR(VLOOKUP($B276,INDIRECT("'GRD-"&amp;CZ$11&amp;"'!B:R"),15,FALSE),"")</f>
        <v/>
      </c>
      <c r="DA276" s="96">
        <f>IFERROR(VLOOKUP($B276,INDIRECT("'GRD-"&amp;DA$11&amp;"'!B:R"),15,FALSE),"")</f>
        <v/>
      </c>
      <c r="DB276" s="96">
        <f>IFERROR(VLOOKUP($B276,INDIRECT("'GRD-"&amp;DB$11&amp;"'!B:R"),15,FALSE),"")</f>
        <v/>
      </c>
      <c r="DC276" s="96">
        <f>IFERROR(VLOOKUP($B276,INDIRECT("'GRD-"&amp;DC$11&amp;"'!B:R"),15,FALSE),"")</f>
        <v/>
      </c>
      <c r="DD276" s="96">
        <f>IFERROR(VLOOKUP($B276,INDIRECT("'GRD-"&amp;DD$11&amp;"'!B:R"),15,FALSE),"")</f>
        <v/>
      </c>
      <c r="DE276" s="96">
        <f>IFERROR(VLOOKUP($B276,INDIRECT("'GRD-"&amp;DE$11&amp;"'!B:R"),15,FALSE),"")</f>
        <v/>
      </c>
      <c r="DF276" s="96">
        <f>IFERROR(VLOOKUP($B276,INDIRECT("'GRD-"&amp;DF$11&amp;"'!B:R"),15,FALSE),"")</f>
        <v/>
      </c>
      <c r="DG276" s="96">
        <f>IFERROR(VLOOKUP($B276,INDIRECT("'GRD-"&amp;DG$11&amp;"'!B:R"),15,FALSE),"")</f>
        <v/>
      </c>
      <c r="DH276" s="96">
        <f>IFERROR(VLOOKUP($B276,INDIRECT("'GRD-"&amp;DH$11&amp;"'!B:R"),15,FALSE),"")</f>
        <v/>
      </c>
      <c r="DI276" s="96">
        <f>IFERROR(VLOOKUP($B276,INDIRECT("'GRD-"&amp;DI$11&amp;"'!B:R"),15,FALSE),"")</f>
        <v/>
      </c>
      <c r="DJ276" s="96">
        <f>IFERROR(VLOOKUP($B276,INDIRECT("'GRD-"&amp;DJ$11&amp;"'!B:R"),15,FALSE),"")</f>
        <v/>
      </c>
      <c r="DK276" s="96">
        <f>IFERROR(VLOOKUP($B276,INDIRECT("'GRD-"&amp;DK$11&amp;"'!B:R"),15,FALSE),"")</f>
        <v/>
      </c>
      <c r="DL276" s="96">
        <f>IFERROR(VLOOKUP($B276,INDIRECT("'GRD-"&amp;DL$11&amp;"'!B:R"),15,FALSE),"")</f>
        <v/>
      </c>
      <c r="DM276" s="96">
        <f>IFERROR(VLOOKUP($B276,INDIRECT("'GRD-"&amp;DM$11&amp;"'!B:R"),15,FALSE),"")</f>
        <v/>
      </c>
      <c r="DN276" s="96">
        <f>IFERROR(VLOOKUP($B276,INDIRECT("'GRD-"&amp;DN$11&amp;"'!B:R"),15,FALSE),"")</f>
        <v/>
      </c>
      <c r="DO276" s="96">
        <f>IFERROR(VLOOKUP($B276,INDIRECT("'GRD-"&amp;DO$11&amp;"'!B:R"),15,FALSE),"")</f>
        <v/>
      </c>
      <c r="DP276" s="96">
        <f>IFERROR(VLOOKUP($B276,INDIRECT("'GRD-"&amp;DP$11&amp;"'!B:R"),15,FALSE),"")</f>
        <v/>
      </c>
      <c r="DQ276" s="96">
        <f>IFERROR(VLOOKUP($B276,INDIRECT("'GRD-"&amp;DQ$11&amp;"'!B:R"),15,FALSE),"")</f>
        <v/>
      </c>
      <c r="DR276" s="96">
        <f>IFERROR(VLOOKUP($B276,INDIRECT("'GRD-"&amp;DR$11&amp;"'!B:R"),15,FALSE),"")</f>
        <v/>
      </c>
      <c r="DS276" s="96">
        <f>IFERROR(VLOOKUP($B276,INDIRECT("'GRD-"&amp;DS$11&amp;"'!B:R"),15,FALSE),"")</f>
        <v/>
      </c>
      <c r="DT276" s="96">
        <f>IFERROR(VLOOKUP($B276,INDIRECT("'GRD-"&amp;DT$11&amp;"'!B:R"),15,FALSE),"")</f>
        <v/>
      </c>
      <c r="DU276" s="96">
        <f>IFERROR(VLOOKUP($B276,INDIRECT("'GRD-"&amp;DU$11&amp;"'!B:R"),15,FALSE),"")</f>
        <v/>
      </c>
      <c r="DV276" s="96">
        <f>IFERROR(VLOOKUP($B276,INDIRECT("'GRD-"&amp;DV$11&amp;"'!B:R"),15,FALSE),"")</f>
        <v/>
      </c>
      <c r="DW276" s="96">
        <f>IFERROR(VLOOKUP($B276,INDIRECT("'GRD-"&amp;DW$11&amp;"'!B:R"),15,FALSE),"")</f>
        <v/>
      </c>
      <c r="DX276" s="96">
        <f>IFERROR(VLOOKUP($B276,INDIRECT("'GRD-"&amp;DX$11&amp;"'!B:R"),15,FALSE),"")</f>
        <v/>
      </c>
      <c r="DY276" s="96">
        <f>IFERROR(VLOOKUP($B276,INDIRECT("'GRD-"&amp;DY$11&amp;"'!B:R"),15,FALSE),"")</f>
        <v/>
      </c>
      <c r="DZ276" s="96">
        <f>IFERROR(VLOOKUP($B276,INDIRECT("'GRD-"&amp;DZ$11&amp;"'!B:R"),15,FALSE),"")</f>
        <v/>
      </c>
      <c r="EA276" s="96">
        <f>IFERROR(VLOOKUP($B276,INDIRECT("'GRD-"&amp;EA$11&amp;"'!B:R"),15,FALSE),"")</f>
        <v/>
      </c>
      <c r="EB276" s="96">
        <f>IFERROR(VLOOKUP($B276,INDIRECT("'GRD-"&amp;EB$11&amp;"'!B:R"),15,FALSE),"")</f>
        <v/>
      </c>
      <c r="EC276" s="96">
        <f>IFERROR(VLOOKUP($B276,INDIRECT("'GRD-"&amp;EC$11&amp;"'!B:R"),15,FALSE),"")</f>
        <v/>
      </c>
      <c r="ED276" s="96">
        <f>IFERROR(VLOOKUP($B276,INDIRECT("'GRD-"&amp;ED$11&amp;"'!B:R"),15,FALSE),"")</f>
        <v/>
      </c>
      <c r="EE276" s="96">
        <f>IFERROR(VLOOKUP($B276,INDIRECT("'GRD-"&amp;EE$11&amp;"'!B:R"),15,FALSE),"")</f>
        <v/>
      </c>
      <c r="EF276" s="96">
        <f>IFERROR(VLOOKUP($B276,INDIRECT("'GRD-"&amp;EF$11&amp;"'!B:R"),15,FALSE),"")</f>
        <v/>
      </c>
      <c r="EG276" s="96">
        <f>IFERROR(VLOOKUP($B276,INDIRECT("'GRD-"&amp;EG$11&amp;"'!B:R"),15,FALSE),"")</f>
        <v/>
      </c>
      <c r="EH276" s="96">
        <f>IFERROR(VLOOKUP($B276,INDIRECT("'GRD-"&amp;EH$11&amp;"'!B:R"),15,FALSE),"")</f>
        <v/>
      </c>
      <c r="EI276" s="96">
        <f>IFERROR(VLOOKUP($B276,INDIRECT("'GRD-"&amp;EI$11&amp;"'!B:R"),15,FALSE),"")</f>
        <v/>
      </c>
      <c r="EJ276" s="96">
        <f>IFERROR(VLOOKUP($B276,INDIRECT("'GRD-"&amp;EJ$11&amp;"'!B:R"),15,FALSE),"")</f>
        <v/>
      </c>
      <c r="EK276" s="96">
        <f>IFERROR(VLOOKUP($B276,INDIRECT("'GRD-"&amp;EK$11&amp;"'!B:R"),15,FALSE),"")</f>
        <v/>
      </c>
      <c r="EL276" s="96">
        <f>IFERROR(VLOOKUP($B276,INDIRECT("'GRD-"&amp;EL$11&amp;"'!B:R"),15,FALSE),"")</f>
        <v/>
      </c>
      <c r="EM276" s="96">
        <f>IFERROR(VLOOKUP($B276,INDIRECT("'GRD-"&amp;EM$11&amp;"'!B:R"),15,FALSE),"")</f>
        <v/>
      </c>
      <c r="EN276" s="96">
        <f>IFERROR(VLOOKUP($B276,INDIRECT("'GRD-"&amp;EN$11&amp;"'!B:R"),15,FALSE),"")</f>
        <v/>
      </c>
      <c r="EO276" s="96">
        <f>IFERROR(VLOOKUP($B276,INDIRECT("'GRD-"&amp;EO$11&amp;"'!B:R"),15,FALSE),"")</f>
        <v/>
      </c>
      <c r="EP276" s="96">
        <f>IFERROR(VLOOKUP($B276,INDIRECT("'GRD-"&amp;EP$11&amp;"'!B:R"),15,FALSE),"")</f>
        <v/>
      </c>
      <c r="EQ276" s="96">
        <f>IFERROR(VLOOKUP($B276,INDIRECT("'GRD-"&amp;EQ$11&amp;"'!B:R"),15,FALSE),"")</f>
        <v/>
      </c>
      <c r="ER276" s="96">
        <f>IFERROR(VLOOKUP($B276,INDIRECT("'GRD-"&amp;ER$11&amp;"'!B:R"),15,FALSE),"")</f>
        <v/>
      </c>
      <c r="ES276" s="96">
        <f>IFERROR(VLOOKUP($B276,INDIRECT("'GRD-"&amp;ES$11&amp;"'!B:R"),15,FALSE),"")</f>
        <v/>
      </c>
      <c r="ET276" s="96">
        <f>IFERROR(VLOOKUP($B276,INDIRECT("'GRD-"&amp;ET$11&amp;"'!B:R"),15,FALSE),"")</f>
        <v/>
      </c>
      <c r="EU276" s="96">
        <f>IFERROR(VLOOKUP($B276,INDIRECT("'GRD-"&amp;EU$11&amp;"'!B:R"),15,FALSE),"")</f>
        <v/>
      </c>
      <c r="EV276" s="96">
        <f>IFERROR(VLOOKUP($B276,INDIRECT("'GRD-"&amp;EV$11&amp;"'!B:R"),15,FALSE),"")</f>
        <v/>
      </c>
      <c r="EW276" s="96">
        <f>IFERROR(VLOOKUP($B276,INDIRECT("'GRD-"&amp;EW$11&amp;"'!B:R"),15,FALSE),"")</f>
        <v/>
      </c>
      <c r="EX276" s="96">
        <f>IFERROR(VLOOKUP($B276,INDIRECT("'GRD-"&amp;EX$11&amp;"'!B:R"),15,FALSE),"")</f>
        <v/>
      </c>
      <c r="EY276" s="96">
        <f>IFERROR(VLOOKUP($B276,INDIRECT("'GRD-"&amp;EY$11&amp;"'!B:R"),15,FALSE),"")</f>
        <v/>
      </c>
      <c r="EZ276" s="96">
        <f>IFERROR(VLOOKUP($B276,INDIRECT("'GRD-"&amp;EZ$11&amp;"'!B:R"),15,FALSE),"")</f>
        <v/>
      </c>
      <c r="FA276" s="96">
        <f>IFERROR(VLOOKUP($B276,INDIRECT("'GRD-"&amp;FA$11&amp;"'!B:R"),15,FALSE),"")</f>
        <v/>
      </c>
      <c r="FB276" s="96">
        <f>IFERROR(VLOOKUP($B276,INDIRECT("'GRD-"&amp;FB$11&amp;"'!B:R"),15,FALSE),"")</f>
        <v/>
      </c>
      <c r="FC276" s="96">
        <f>IFERROR(VLOOKUP($B276,INDIRECT("'GRD-"&amp;FC$11&amp;"'!B:R"),15,FALSE),"")</f>
        <v/>
      </c>
      <c r="FD276" s="96">
        <f>IFERROR(VLOOKUP($B276,INDIRECT("'GRD-"&amp;FD$11&amp;"'!B:R"),15,FALSE),"")</f>
        <v/>
      </c>
      <c r="FE276" s="96">
        <f>IFERROR(VLOOKUP($B276,INDIRECT("'GRD-"&amp;FE$11&amp;"'!B:R"),15,FALSE),"")</f>
        <v/>
      </c>
      <c r="FF276" s="96">
        <f>IFERROR(VLOOKUP($B276,INDIRECT("'GRD-"&amp;FF$11&amp;"'!B:R"),15,FALSE),"")</f>
        <v/>
      </c>
      <c r="FG276" s="96">
        <f>IFERROR(VLOOKUP($B276,INDIRECT("'GRD-"&amp;FG$11&amp;"'!B:R"),15,FALSE),"")</f>
        <v/>
      </c>
      <c r="FH276" s="96">
        <f>IFERROR(VLOOKUP($B276,INDIRECT("'GRD-"&amp;FH$11&amp;"'!B:R"),15,FALSE),"")</f>
        <v/>
      </c>
      <c r="FI276" s="96">
        <f>IFERROR(VLOOKUP($B276,INDIRECT("'GRD-"&amp;FI$11&amp;"'!B:R"),15,FALSE),"")</f>
        <v/>
      </c>
      <c r="FJ276" s="96">
        <f>IFERROR(VLOOKUP($B276,INDIRECT("'GRD-"&amp;FJ$11&amp;"'!B:R"),15,FALSE),"")</f>
        <v/>
      </c>
      <c r="FK276" s="96">
        <f>IFERROR(VLOOKUP($B276,INDIRECT("'GRD-"&amp;FK$11&amp;"'!B:R"),15,FALSE),"")</f>
        <v/>
      </c>
      <c r="FL276" s="96">
        <f>IFERROR(VLOOKUP($B276,INDIRECT("'GRD-"&amp;FL$11&amp;"'!B:R"),15,FALSE),"")</f>
        <v/>
      </c>
      <c r="FM276" s="96">
        <f>IFERROR(VLOOKUP($B276,INDIRECT("'GRD-"&amp;FM$11&amp;"'!B:R"),15,FALSE),"")</f>
        <v/>
      </c>
      <c r="FN276" s="96">
        <f>IFERROR(VLOOKUP($B276,INDIRECT("'GRD-"&amp;FN$11&amp;"'!B:R"),15,FALSE),"")</f>
        <v/>
      </c>
      <c r="FO276" s="96">
        <f>IFERROR(VLOOKUP($B276,INDIRECT("'GRD-"&amp;FO$11&amp;"'!B:R"),15,FALSE),"")</f>
        <v/>
      </c>
      <c r="FP276" s="96">
        <f>IFERROR(VLOOKUP($B276,INDIRECT("'GRD-"&amp;FP$11&amp;"'!B:R"),15,FALSE),"")</f>
        <v/>
      </c>
      <c r="FQ276" s="96">
        <f>IFERROR(VLOOKUP($B276,INDIRECT("'GRD-"&amp;FQ$11&amp;"'!B:R"),15,FALSE),"")</f>
        <v/>
      </c>
      <c r="FR276" s="96">
        <f>IFERROR(VLOOKUP($B276,INDIRECT("'GRD-"&amp;FR$11&amp;"'!B:R"),15,FALSE),"")</f>
        <v/>
      </c>
      <c r="FS276" s="96">
        <f>IFERROR(VLOOKUP($B276,INDIRECT("'GRD-"&amp;FS$11&amp;"'!B:R"),15,FALSE),"")</f>
        <v/>
      </c>
      <c r="FT276" s="96">
        <f>IFERROR(VLOOKUP($B276,INDIRECT("'GRD-"&amp;FT$11&amp;"'!B:R"),15,FALSE),"")</f>
        <v/>
      </c>
      <c r="FU276" s="96">
        <f>IFERROR(VLOOKUP($B276,INDIRECT("'GRD-"&amp;FU$11&amp;"'!B:R"),15,FALSE),"")</f>
        <v/>
      </c>
      <c r="FV276" s="96">
        <f>IFERROR(VLOOKUP($B276,INDIRECT("'GRD-"&amp;FV$11&amp;"'!B:R"),15,FALSE),"")</f>
        <v/>
      </c>
    </row>
    <row r="277">
      <c r="B277" s="85" t="n"/>
      <c r="C277" s="93" t="n"/>
      <c r="D277" s="73">
        <f>IF(K277="","",MAX($CA277:$FV277))</f>
        <v/>
      </c>
      <c r="E277" s="74">
        <f t="array" ref="E277">IF($K277="","",OFFSET($A$1,ROW($B277)-1,11+$D277*4,))</f>
        <v/>
      </c>
      <c r="F277" s="74">
        <f t="array" ref="F277">IF($K277="","",OFFSET($A$1,ROW($B277)-1,12+$D277*4,))</f>
        <v/>
      </c>
      <c r="G277" s="118">
        <f t="array" ref="G277">IF($K277="","",OFFSET($A$1,ROW($B277)-1,13+$D277*4,))</f>
        <v/>
      </c>
      <c r="H277" s="81" t="n"/>
      <c r="I277" s="82" t="n"/>
      <c r="J277" s="75">
        <f>IF(I277="A4",H277/8,IF(I277="A3",H277/4,IF(I277="A2",H277/2,IF(I277="A1",H277/1,IF(I277="A0",H277*2,"")))))</f>
        <v/>
      </c>
      <c r="K277" s="68">
        <f t="array" ref="K277">IFERROR(OFFSET($BZ$11,ROW($B277)-11,MATCH(K$10,$CA277:$FV277,0),),"")</f>
        <v/>
      </c>
      <c r="L277" s="85">
        <f>IF(K277="","",IF(VLOOKUP($B277,INDIRECT("'GRD-"&amp;M277&amp;"'!$B:$R"),16,FALSE)="","",VLOOKUP($B277,INDIRECT("'GRD-"&amp;M277&amp;"'!$B:$R"),16,FALSE)))</f>
        <v/>
      </c>
      <c r="M277" s="130">
        <f t="array" ref="M277">IF(K277="","",IFERROR(OFFSET($BZ$11,0,MATCH($K277,$CA277:$FV277,0),),""))</f>
        <v/>
      </c>
      <c r="N277" s="119">
        <f t="array" ref="N277">IF(K277="","",INDIRECT("'GRD-"&amp;M277&amp;"'!$L$7"))</f>
        <v/>
      </c>
      <c r="O277" s="76">
        <f t="array" ref="O277">IFERROR(OFFSET($BZ$11,ROW($B277)-11,MATCH(O$10,$CA277:$FV277,0),),"")</f>
        <v/>
      </c>
      <c r="P277" s="76">
        <f>IF(O277="","",IF(VLOOKUP($B277,INDIRECT("'GRD-"&amp;Q277&amp;"'!$B:$R"),16,FALSE)="","",VLOOKUP($B277,INDIRECT("'GRD-"&amp;Q277&amp;"'!$B:$R"),16,FALSE)))</f>
        <v/>
      </c>
      <c r="Q277" s="132">
        <f t="array" ref="Q277">IF(O277="","",IFERROR(OFFSET($BZ$11,0,MATCH($O277,$CA277:$FV277,0),),""))</f>
        <v/>
      </c>
      <c r="R277" s="121">
        <f t="array" ref="R277">IF(O277="","",INDIRECT("'GRD-"&amp;Q277&amp;"'!$L$7"))</f>
        <v/>
      </c>
      <c r="S277" s="83">
        <f t="array" ref="S277">IFERROR(OFFSET($BZ$11,ROW($B277)-11,MATCH(S$10,$CA277:$FV277,0),),"")</f>
        <v/>
      </c>
      <c r="T277" s="83">
        <f>IF(S277="","",IF(VLOOKUP($B277,INDIRECT("'GRD-"&amp;U277&amp;"'!$B:$R"),16,FALSE)="","",VLOOKUP($B277,INDIRECT("'GRD-"&amp;U277&amp;"'!$B:$R"),16,FALSE)))</f>
        <v/>
      </c>
      <c r="U277" s="128">
        <f t="array" ref="U277">IF(S277="","",IFERROR(OFFSET($BZ$11,0,MATCH($S277,$CA277:$FV277,0),),""))</f>
        <v/>
      </c>
      <c r="V277" s="133">
        <f t="array" ref="V277">IF(S277="","",INDIRECT("'GRD-"&amp;U277&amp;"'!$L$7"))</f>
        <v/>
      </c>
      <c r="W277" s="84">
        <f t="array" ref="W277">IFERROR(OFFSET($BZ$11,ROW($B277)-11,MATCH(W$10,$CA277:$FV277,0),),"")</f>
        <v/>
      </c>
      <c r="X277" s="84">
        <f>IF(W277="","",IF(VLOOKUP($B277,INDIRECT("'GRD-"&amp;Y277&amp;"'!$B:$R"),16,FALSE)="","",VLOOKUP($B277,INDIRECT("'GRD-"&amp;Y277&amp;"'!$B:$R"),16,FALSE)))</f>
        <v/>
      </c>
      <c r="Y277" s="129">
        <f t="array" ref="Y277">IF(W277="","",IFERROR(OFFSET($BZ$11,0,MATCH($W277,$CA277:$FV277,0),),""))</f>
        <v/>
      </c>
      <c r="Z277" s="134">
        <f t="array" ref="Z277">IF(W277="","",INDIRECT("'GRD-"&amp;Y277&amp;"'!$L$7"))</f>
        <v/>
      </c>
      <c r="AA277" s="85">
        <f t="array" ref="AA277">IFERROR(OFFSET($BZ$11,ROW($B277)-11,MATCH(AA$10,$CA277:$FV277,0),),"")</f>
        <v/>
      </c>
      <c r="AB277" s="85">
        <f>IF(AA277="","",IF(VLOOKUP($B277,INDIRECT("'GRD-"&amp;AC277&amp;"'!$B:$R"),16,FALSE)="","",VLOOKUP($B277,INDIRECT("'GRD-"&amp;AC277&amp;"'!$B:$R"),16,FALSE)))</f>
        <v/>
      </c>
      <c r="AC277" s="130">
        <f t="array" ref="AC277">IF(AA277="","",IFERROR(OFFSET($BZ$11,0,MATCH($AA277,$CA277:$FV277,0),),""))</f>
        <v/>
      </c>
      <c r="AD277" s="131">
        <f t="array" ref="AD277">IF(AA277="","",INDIRECT("'GRD-"&amp;AC277&amp;"'!$L$7"))</f>
        <v/>
      </c>
      <c r="AE277" s="76">
        <f t="array" ref="AE277">IFERROR(OFFSET($BZ$11,ROW($B277)-11,MATCH(AE$10,$CA277:$FV277,0),),"")</f>
        <v/>
      </c>
      <c r="AF277" s="76">
        <f>IF(AE277="","",IF(VLOOKUP($B277,INDIRECT("'GRD-"&amp;AG277&amp;"'!$B:$R"),16,FALSE)="","",VLOOKUP($B277,INDIRECT("'GRD-"&amp;AG277&amp;"'!$B:$R"),16,FALSE)))</f>
        <v/>
      </c>
      <c r="AG277" s="132">
        <f t="array" ref="AG277">IF(AE277="","",IFERROR(OFFSET($BZ$11,0,MATCH($AE277,$CA277:$FV277,0),),""))</f>
        <v/>
      </c>
      <c r="AH277" s="121">
        <f t="array" ref="AH277">IF(AE277="","",INDIRECT("'GRD-"&amp;AG277&amp;"'!$L$7"))</f>
        <v/>
      </c>
      <c r="AI277" s="83">
        <f t="array" ref="AI277">IFERROR(OFFSET($BZ$11,ROW($B277)-11,MATCH(AI$10,$CA277:$FV277,0),),"")</f>
        <v/>
      </c>
      <c r="AJ277" s="83">
        <f>IF(AI277="","",IF(VLOOKUP($B277,INDIRECT("'GRD-"&amp;AK277&amp;"'!$B:$R"),16,FALSE)="","",VLOOKUP($B277,INDIRECT("'GRD-"&amp;AK277&amp;"'!$B:$R"),16,FALSE)))</f>
        <v/>
      </c>
      <c r="AK277" s="128">
        <f t="array" ref="AK277">IF(AI277="","",IFERROR(OFFSET($BZ$11,0,MATCH($AI277,$CA277:$FV277,0),),""))</f>
        <v/>
      </c>
      <c r="AL277" s="133">
        <f t="array" ref="AL277">IF(AI277="","",INDIRECT("'GRD-"&amp;AK277&amp;"'!$L$7"))</f>
        <v/>
      </c>
      <c r="AM277" s="84">
        <f t="array" ref="AM277">IFERROR(OFFSET($BZ$11,ROW($B277)-11,MATCH(AM$10,$CA277:$FV277,0),),"")</f>
        <v/>
      </c>
      <c r="AN277" s="84">
        <f>IF(AM277="","",IF(VLOOKUP($B277,INDIRECT("'GRD-"&amp;AO277&amp;"'!$B:$R"),16,FALSE)="","",VLOOKUP($B277,INDIRECT("'GRD-"&amp;AO277&amp;"'!$B:$R"),16,FALSE)))</f>
        <v/>
      </c>
      <c r="AO277" s="129">
        <f t="array" ref="AO277">IF(AM277="","",IFERROR(OFFSET($BZ$11,0,MATCH($AM277,$CA277:$FV277,0),),""))</f>
        <v/>
      </c>
      <c r="AP277" s="134">
        <f t="array" ref="AP277">IF(AM277="","",INDIRECT("'GRD-"&amp;AO277&amp;"'!$L$7"))</f>
        <v/>
      </c>
      <c r="AQ277" s="85">
        <f t="array" ref="AQ277">IFERROR(OFFSET($BZ$11,ROW($B277)-11,MATCH(AQ$10,$CA277:$FV277,0),),"")</f>
        <v/>
      </c>
      <c r="AR277" s="85">
        <f>IF(AQ277="","",IF(VLOOKUP($B277,INDIRECT("'GRD-"&amp;AS277&amp;"'!$B:$R"),16,FALSE)="","",VLOOKUP($B277,INDIRECT("'GRD-"&amp;AS277&amp;"'!$B:$R"),16,FALSE)))</f>
        <v/>
      </c>
      <c r="AS277" s="130">
        <f t="array" ref="AS277">IF(AQ277="","",IFERROR(OFFSET($BZ$11,0,MATCH($AQ277,$CA277:$FV277,0),),""))</f>
        <v/>
      </c>
      <c r="AT277" s="131">
        <f t="array" ref="AT277">IF(AQ277="","",INDIRECT("'GRD-"&amp;AS277&amp;"'!$L$7"))</f>
        <v/>
      </c>
      <c r="AU277" s="76">
        <f t="array" ref="AU277">IFERROR(OFFSET($BZ$11,ROW($B277)-11,MATCH(AU$10,$CA277:$FV277,0),),"")</f>
        <v/>
      </c>
      <c r="AV277" s="76">
        <f>IF(AU277="","",IF(VLOOKUP($B277,INDIRECT("'GRD-"&amp;AW277&amp;"'!$B:$R"),16,FALSE)="","",VLOOKUP($B277,INDIRECT("'GRD-"&amp;AW277&amp;"'!$B:$R"),16,FALSE)))</f>
        <v/>
      </c>
      <c r="AW277" s="132">
        <f t="array" ref="AW277">IF(AU277="","",IFERROR(OFFSET($BZ$11,0,MATCH($AU277,$CA277:$FV277,0),),""))</f>
        <v/>
      </c>
      <c r="AX277" s="121">
        <f t="array" ref="AX277">IF(AU277="","",INDIRECT("'GRD-"&amp;AW277&amp;"'!$L$7"))</f>
        <v/>
      </c>
      <c r="AY277" s="83">
        <f t="array" ref="AY277">IFERROR(OFFSET($BZ$11,ROW($B277)-11,MATCH(AY$10,$CA277:$FV277,0),),"")</f>
        <v/>
      </c>
      <c r="AZ277" s="83">
        <f>IF(AY277="","",IF(VLOOKUP($B277,INDIRECT("'GRD-"&amp;BA277&amp;"'!$B:$R"),16,FALSE)="","",VLOOKUP($B277,INDIRECT("'GRD-"&amp;BA277&amp;"'!$B:$R"),16,FALSE)))</f>
        <v/>
      </c>
      <c r="BA277" s="128">
        <f t="array" ref="BA277">IF(AY277="","",IFERROR(OFFSET($BZ$11,0,MATCH($AY277,$CA277:$FV277,0),),""))</f>
        <v/>
      </c>
      <c r="BB277" s="133">
        <f t="array" ref="BB277">IF(AY277="","",INDIRECT("'GRD-"&amp;BA277&amp;"'!$L$7"))</f>
        <v/>
      </c>
      <c r="BC277" s="84">
        <f t="array" ref="BC277">IFERROR(OFFSET($BZ$11,ROW($B277)-11,MATCH(BC$10,$CA277:$FV277,0),),"")</f>
        <v/>
      </c>
      <c r="BD277" s="84">
        <f>IF(BC277="","",IF(VLOOKUP($B277,INDIRECT("'GRD-"&amp;BE277&amp;"'!$B:$R"),16,FALSE)="","",VLOOKUP($B277,INDIRECT("'GRD-"&amp;BE277&amp;"'!$B:$R"),16,FALSE)))</f>
        <v/>
      </c>
      <c r="BE277" s="129">
        <f t="array" ref="BE277">IF(BC277="","",IFERROR(OFFSET($BZ$11,0,MATCH($BC277,$CA277:$FV277,0),),""))</f>
        <v/>
      </c>
      <c r="BF277" s="134">
        <f t="array" ref="BF277">IF(BC277="","",INDIRECT("'GRD-"&amp;BE277&amp;"'!$L$7"))</f>
        <v/>
      </c>
      <c r="CA277" s="96">
        <f>IFERROR(VLOOKUP($B277,INDIRECT("'GRD-"&amp;CA$11&amp;"'!B:R"),15,FALSE),"")</f>
        <v/>
      </c>
      <c r="CB277" s="96">
        <f>IFERROR(VLOOKUP($B277,INDIRECT("'GRD-"&amp;CB$11&amp;"'!B:R"),15,FALSE),"")</f>
        <v/>
      </c>
      <c r="CC277" s="96">
        <f>IFERROR(VLOOKUP($B277,INDIRECT("'GRD-"&amp;CC$11&amp;"'!B:R"),15,FALSE),"")</f>
        <v/>
      </c>
      <c r="CD277" s="96">
        <f>IFERROR(VLOOKUP($B277,INDIRECT("'GRD-"&amp;CD$11&amp;"'!B:R"),15,FALSE),"")</f>
        <v/>
      </c>
      <c r="CE277" s="96">
        <f>IFERROR(VLOOKUP($B277,INDIRECT("'GRD-"&amp;CE$11&amp;"'!B:R"),15,FALSE),"")</f>
        <v/>
      </c>
      <c r="CF277" s="96">
        <f>IFERROR(VLOOKUP($B277,INDIRECT("'GRD-"&amp;CF$11&amp;"'!B:R"),15,FALSE),"")</f>
        <v/>
      </c>
      <c r="CG277" s="96">
        <f>IFERROR(VLOOKUP($B277,INDIRECT("'GRD-"&amp;CG$11&amp;"'!B:R"),15,FALSE),"")</f>
        <v/>
      </c>
      <c r="CH277" s="96">
        <f>IFERROR(VLOOKUP($B277,INDIRECT("'GRD-"&amp;CH$11&amp;"'!B:R"),15,FALSE),"")</f>
        <v/>
      </c>
      <c r="CI277" s="96">
        <f>IFERROR(VLOOKUP($B277,INDIRECT("'GRD-"&amp;CI$11&amp;"'!B:R"),15,FALSE),"")</f>
        <v/>
      </c>
      <c r="CJ277" s="96">
        <f>IFERROR(VLOOKUP($B277,INDIRECT("'GRD-"&amp;CJ$11&amp;"'!B:R"),15,FALSE),"")</f>
        <v/>
      </c>
      <c r="CK277" s="96">
        <f>IFERROR(VLOOKUP($B277,INDIRECT("'GRD-"&amp;CK$11&amp;"'!B:R"),15,FALSE),"")</f>
        <v/>
      </c>
      <c r="CL277" s="96">
        <f>IFERROR(VLOOKUP($B277,INDIRECT("'GRD-"&amp;CL$11&amp;"'!B:R"),15,FALSE),"")</f>
        <v/>
      </c>
      <c r="CM277" s="96">
        <f>IFERROR(VLOOKUP($B277,INDIRECT("'GRD-"&amp;CM$11&amp;"'!B:R"),15,FALSE),"")</f>
        <v/>
      </c>
      <c r="CN277" s="96">
        <f>IFERROR(VLOOKUP($B277,INDIRECT("'GRD-"&amp;CN$11&amp;"'!B:R"),15,FALSE),"")</f>
        <v/>
      </c>
      <c r="CO277" s="96">
        <f>IFERROR(VLOOKUP($B277,INDIRECT("'GRD-"&amp;CO$11&amp;"'!B:R"),15,FALSE),"")</f>
        <v/>
      </c>
      <c r="CP277" s="96">
        <f>IFERROR(VLOOKUP($B277,INDIRECT("'GRD-"&amp;CP$11&amp;"'!B:R"),15,FALSE),"")</f>
        <v/>
      </c>
      <c r="CQ277" s="96">
        <f>IFERROR(VLOOKUP($B277,INDIRECT("'GRD-"&amp;CQ$11&amp;"'!B:R"),15,FALSE),"")</f>
        <v/>
      </c>
      <c r="CR277" s="96">
        <f>IFERROR(VLOOKUP($B277,INDIRECT("'GRD-"&amp;CR$11&amp;"'!B:R"),15,FALSE),"")</f>
        <v/>
      </c>
      <c r="CS277" s="96">
        <f>IFERROR(VLOOKUP($B277,INDIRECT("'GRD-"&amp;CS$11&amp;"'!B:R"),15,FALSE),"")</f>
        <v/>
      </c>
      <c r="CT277" s="96">
        <f>IFERROR(VLOOKUP($B277,INDIRECT("'GRD-"&amp;CT$11&amp;"'!B:R"),15,FALSE),"")</f>
        <v/>
      </c>
      <c r="CU277" s="96">
        <f>IFERROR(VLOOKUP($B277,INDIRECT("'GRD-"&amp;CU$11&amp;"'!B:R"),15,FALSE),"")</f>
        <v/>
      </c>
      <c r="CV277" s="96">
        <f>IFERROR(VLOOKUP($B277,INDIRECT("'GRD-"&amp;CV$11&amp;"'!B:R"),15,FALSE),"")</f>
        <v/>
      </c>
      <c r="CW277" s="96">
        <f>IFERROR(VLOOKUP($B277,INDIRECT("'GRD-"&amp;CW$11&amp;"'!B:R"),15,FALSE),"")</f>
        <v/>
      </c>
      <c r="CX277" s="96">
        <f>IFERROR(VLOOKUP($B277,INDIRECT("'GRD-"&amp;CX$11&amp;"'!B:R"),15,FALSE),"")</f>
        <v/>
      </c>
      <c r="CY277" s="96">
        <f>IFERROR(VLOOKUP($B277,INDIRECT("'GRD-"&amp;CY$11&amp;"'!B:R"),15,FALSE),"")</f>
        <v/>
      </c>
      <c r="CZ277" s="96">
        <f>IFERROR(VLOOKUP($B277,INDIRECT("'GRD-"&amp;CZ$11&amp;"'!B:R"),15,FALSE),"")</f>
        <v/>
      </c>
      <c r="DA277" s="96">
        <f>IFERROR(VLOOKUP($B277,INDIRECT("'GRD-"&amp;DA$11&amp;"'!B:R"),15,FALSE),"")</f>
        <v/>
      </c>
      <c r="DB277" s="96">
        <f>IFERROR(VLOOKUP($B277,INDIRECT("'GRD-"&amp;DB$11&amp;"'!B:R"),15,FALSE),"")</f>
        <v/>
      </c>
      <c r="DC277" s="96">
        <f>IFERROR(VLOOKUP($B277,INDIRECT("'GRD-"&amp;DC$11&amp;"'!B:R"),15,FALSE),"")</f>
        <v/>
      </c>
      <c r="DD277" s="96">
        <f>IFERROR(VLOOKUP($B277,INDIRECT("'GRD-"&amp;DD$11&amp;"'!B:R"),15,FALSE),"")</f>
        <v/>
      </c>
      <c r="DE277" s="96">
        <f>IFERROR(VLOOKUP($B277,INDIRECT("'GRD-"&amp;DE$11&amp;"'!B:R"),15,FALSE),"")</f>
        <v/>
      </c>
      <c r="DF277" s="96">
        <f>IFERROR(VLOOKUP($B277,INDIRECT("'GRD-"&amp;DF$11&amp;"'!B:R"),15,FALSE),"")</f>
        <v/>
      </c>
      <c r="DG277" s="96">
        <f>IFERROR(VLOOKUP($B277,INDIRECT("'GRD-"&amp;DG$11&amp;"'!B:R"),15,FALSE),"")</f>
        <v/>
      </c>
      <c r="DH277" s="96">
        <f>IFERROR(VLOOKUP($B277,INDIRECT("'GRD-"&amp;DH$11&amp;"'!B:R"),15,FALSE),"")</f>
        <v/>
      </c>
      <c r="DI277" s="96">
        <f>IFERROR(VLOOKUP($B277,INDIRECT("'GRD-"&amp;DI$11&amp;"'!B:R"),15,FALSE),"")</f>
        <v/>
      </c>
      <c r="DJ277" s="96">
        <f>IFERROR(VLOOKUP($B277,INDIRECT("'GRD-"&amp;DJ$11&amp;"'!B:R"),15,FALSE),"")</f>
        <v/>
      </c>
      <c r="DK277" s="96">
        <f>IFERROR(VLOOKUP($B277,INDIRECT("'GRD-"&amp;DK$11&amp;"'!B:R"),15,FALSE),"")</f>
        <v/>
      </c>
      <c r="DL277" s="96">
        <f>IFERROR(VLOOKUP($B277,INDIRECT("'GRD-"&amp;DL$11&amp;"'!B:R"),15,FALSE),"")</f>
        <v/>
      </c>
      <c r="DM277" s="96">
        <f>IFERROR(VLOOKUP($B277,INDIRECT("'GRD-"&amp;DM$11&amp;"'!B:R"),15,FALSE),"")</f>
        <v/>
      </c>
      <c r="DN277" s="96">
        <f>IFERROR(VLOOKUP($B277,INDIRECT("'GRD-"&amp;DN$11&amp;"'!B:R"),15,FALSE),"")</f>
        <v/>
      </c>
      <c r="DO277" s="96">
        <f>IFERROR(VLOOKUP($B277,INDIRECT("'GRD-"&amp;DO$11&amp;"'!B:R"),15,FALSE),"")</f>
        <v/>
      </c>
      <c r="DP277" s="96">
        <f>IFERROR(VLOOKUP($B277,INDIRECT("'GRD-"&amp;DP$11&amp;"'!B:R"),15,FALSE),"")</f>
        <v/>
      </c>
      <c r="DQ277" s="96">
        <f>IFERROR(VLOOKUP($B277,INDIRECT("'GRD-"&amp;DQ$11&amp;"'!B:R"),15,FALSE),"")</f>
        <v/>
      </c>
      <c r="DR277" s="96">
        <f>IFERROR(VLOOKUP($B277,INDIRECT("'GRD-"&amp;DR$11&amp;"'!B:R"),15,FALSE),"")</f>
        <v/>
      </c>
      <c r="DS277" s="96">
        <f>IFERROR(VLOOKUP($B277,INDIRECT("'GRD-"&amp;DS$11&amp;"'!B:R"),15,FALSE),"")</f>
        <v/>
      </c>
      <c r="DT277" s="96">
        <f>IFERROR(VLOOKUP($B277,INDIRECT("'GRD-"&amp;DT$11&amp;"'!B:R"),15,FALSE),"")</f>
        <v/>
      </c>
      <c r="DU277" s="96">
        <f>IFERROR(VLOOKUP($B277,INDIRECT("'GRD-"&amp;DU$11&amp;"'!B:R"),15,FALSE),"")</f>
        <v/>
      </c>
      <c r="DV277" s="96">
        <f>IFERROR(VLOOKUP($B277,INDIRECT("'GRD-"&amp;DV$11&amp;"'!B:R"),15,FALSE),"")</f>
        <v/>
      </c>
      <c r="DW277" s="96">
        <f>IFERROR(VLOOKUP($B277,INDIRECT("'GRD-"&amp;DW$11&amp;"'!B:R"),15,FALSE),"")</f>
        <v/>
      </c>
      <c r="DX277" s="96">
        <f>IFERROR(VLOOKUP($B277,INDIRECT("'GRD-"&amp;DX$11&amp;"'!B:R"),15,FALSE),"")</f>
        <v/>
      </c>
      <c r="DY277" s="96">
        <f>IFERROR(VLOOKUP($B277,INDIRECT("'GRD-"&amp;DY$11&amp;"'!B:R"),15,FALSE),"")</f>
        <v/>
      </c>
      <c r="DZ277" s="96">
        <f>IFERROR(VLOOKUP($B277,INDIRECT("'GRD-"&amp;DZ$11&amp;"'!B:R"),15,FALSE),"")</f>
        <v/>
      </c>
      <c r="EA277" s="96">
        <f>IFERROR(VLOOKUP($B277,INDIRECT("'GRD-"&amp;EA$11&amp;"'!B:R"),15,FALSE),"")</f>
        <v/>
      </c>
      <c r="EB277" s="96">
        <f>IFERROR(VLOOKUP($B277,INDIRECT("'GRD-"&amp;EB$11&amp;"'!B:R"),15,FALSE),"")</f>
        <v/>
      </c>
      <c r="EC277" s="96">
        <f>IFERROR(VLOOKUP($B277,INDIRECT("'GRD-"&amp;EC$11&amp;"'!B:R"),15,FALSE),"")</f>
        <v/>
      </c>
      <c r="ED277" s="96">
        <f>IFERROR(VLOOKUP($B277,INDIRECT("'GRD-"&amp;ED$11&amp;"'!B:R"),15,FALSE),"")</f>
        <v/>
      </c>
      <c r="EE277" s="96">
        <f>IFERROR(VLOOKUP($B277,INDIRECT("'GRD-"&amp;EE$11&amp;"'!B:R"),15,FALSE),"")</f>
        <v/>
      </c>
      <c r="EF277" s="96">
        <f>IFERROR(VLOOKUP($B277,INDIRECT("'GRD-"&amp;EF$11&amp;"'!B:R"),15,FALSE),"")</f>
        <v/>
      </c>
      <c r="EG277" s="96">
        <f>IFERROR(VLOOKUP($B277,INDIRECT("'GRD-"&amp;EG$11&amp;"'!B:R"),15,FALSE),"")</f>
        <v/>
      </c>
      <c r="EH277" s="96">
        <f>IFERROR(VLOOKUP($B277,INDIRECT("'GRD-"&amp;EH$11&amp;"'!B:R"),15,FALSE),"")</f>
        <v/>
      </c>
      <c r="EI277" s="96">
        <f>IFERROR(VLOOKUP($B277,INDIRECT("'GRD-"&amp;EI$11&amp;"'!B:R"),15,FALSE),"")</f>
        <v/>
      </c>
      <c r="EJ277" s="96">
        <f>IFERROR(VLOOKUP($B277,INDIRECT("'GRD-"&amp;EJ$11&amp;"'!B:R"),15,FALSE),"")</f>
        <v/>
      </c>
      <c r="EK277" s="96">
        <f>IFERROR(VLOOKUP($B277,INDIRECT("'GRD-"&amp;EK$11&amp;"'!B:R"),15,FALSE),"")</f>
        <v/>
      </c>
      <c r="EL277" s="96">
        <f>IFERROR(VLOOKUP($B277,INDIRECT("'GRD-"&amp;EL$11&amp;"'!B:R"),15,FALSE),"")</f>
        <v/>
      </c>
      <c r="EM277" s="96">
        <f>IFERROR(VLOOKUP($B277,INDIRECT("'GRD-"&amp;EM$11&amp;"'!B:R"),15,FALSE),"")</f>
        <v/>
      </c>
      <c r="EN277" s="96">
        <f>IFERROR(VLOOKUP($B277,INDIRECT("'GRD-"&amp;EN$11&amp;"'!B:R"),15,FALSE),"")</f>
        <v/>
      </c>
      <c r="EO277" s="96">
        <f>IFERROR(VLOOKUP($B277,INDIRECT("'GRD-"&amp;EO$11&amp;"'!B:R"),15,FALSE),"")</f>
        <v/>
      </c>
      <c r="EP277" s="96">
        <f>IFERROR(VLOOKUP($B277,INDIRECT("'GRD-"&amp;EP$11&amp;"'!B:R"),15,FALSE),"")</f>
        <v/>
      </c>
      <c r="EQ277" s="96">
        <f>IFERROR(VLOOKUP($B277,INDIRECT("'GRD-"&amp;EQ$11&amp;"'!B:R"),15,FALSE),"")</f>
        <v/>
      </c>
      <c r="ER277" s="96">
        <f>IFERROR(VLOOKUP($B277,INDIRECT("'GRD-"&amp;ER$11&amp;"'!B:R"),15,FALSE),"")</f>
        <v/>
      </c>
      <c r="ES277" s="96">
        <f>IFERROR(VLOOKUP($B277,INDIRECT("'GRD-"&amp;ES$11&amp;"'!B:R"),15,FALSE),"")</f>
        <v/>
      </c>
      <c r="ET277" s="96">
        <f>IFERROR(VLOOKUP($B277,INDIRECT("'GRD-"&amp;ET$11&amp;"'!B:R"),15,FALSE),"")</f>
        <v/>
      </c>
      <c r="EU277" s="96">
        <f>IFERROR(VLOOKUP($B277,INDIRECT("'GRD-"&amp;EU$11&amp;"'!B:R"),15,FALSE),"")</f>
        <v/>
      </c>
      <c r="EV277" s="96">
        <f>IFERROR(VLOOKUP($B277,INDIRECT("'GRD-"&amp;EV$11&amp;"'!B:R"),15,FALSE),"")</f>
        <v/>
      </c>
      <c r="EW277" s="96">
        <f>IFERROR(VLOOKUP($B277,INDIRECT("'GRD-"&amp;EW$11&amp;"'!B:R"),15,FALSE),"")</f>
        <v/>
      </c>
      <c r="EX277" s="96">
        <f>IFERROR(VLOOKUP($B277,INDIRECT("'GRD-"&amp;EX$11&amp;"'!B:R"),15,FALSE),"")</f>
        <v/>
      </c>
      <c r="EY277" s="96">
        <f>IFERROR(VLOOKUP($B277,INDIRECT("'GRD-"&amp;EY$11&amp;"'!B:R"),15,FALSE),"")</f>
        <v/>
      </c>
      <c r="EZ277" s="96">
        <f>IFERROR(VLOOKUP($B277,INDIRECT("'GRD-"&amp;EZ$11&amp;"'!B:R"),15,FALSE),"")</f>
        <v/>
      </c>
      <c r="FA277" s="96">
        <f>IFERROR(VLOOKUP($B277,INDIRECT("'GRD-"&amp;FA$11&amp;"'!B:R"),15,FALSE),"")</f>
        <v/>
      </c>
      <c r="FB277" s="96">
        <f>IFERROR(VLOOKUP($B277,INDIRECT("'GRD-"&amp;FB$11&amp;"'!B:R"),15,FALSE),"")</f>
        <v/>
      </c>
      <c r="FC277" s="96">
        <f>IFERROR(VLOOKUP($B277,INDIRECT("'GRD-"&amp;FC$11&amp;"'!B:R"),15,FALSE),"")</f>
        <v/>
      </c>
      <c r="FD277" s="96">
        <f>IFERROR(VLOOKUP($B277,INDIRECT("'GRD-"&amp;FD$11&amp;"'!B:R"),15,FALSE),"")</f>
        <v/>
      </c>
      <c r="FE277" s="96">
        <f>IFERROR(VLOOKUP($B277,INDIRECT("'GRD-"&amp;FE$11&amp;"'!B:R"),15,FALSE),"")</f>
        <v/>
      </c>
      <c r="FF277" s="96">
        <f>IFERROR(VLOOKUP($B277,INDIRECT("'GRD-"&amp;FF$11&amp;"'!B:R"),15,FALSE),"")</f>
        <v/>
      </c>
      <c r="FG277" s="96">
        <f>IFERROR(VLOOKUP($B277,INDIRECT("'GRD-"&amp;FG$11&amp;"'!B:R"),15,FALSE),"")</f>
        <v/>
      </c>
      <c r="FH277" s="96">
        <f>IFERROR(VLOOKUP($B277,INDIRECT("'GRD-"&amp;FH$11&amp;"'!B:R"),15,FALSE),"")</f>
        <v/>
      </c>
      <c r="FI277" s="96">
        <f>IFERROR(VLOOKUP($B277,INDIRECT("'GRD-"&amp;FI$11&amp;"'!B:R"),15,FALSE),"")</f>
        <v/>
      </c>
      <c r="FJ277" s="96">
        <f>IFERROR(VLOOKUP($B277,INDIRECT("'GRD-"&amp;FJ$11&amp;"'!B:R"),15,FALSE),"")</f>
        <v/>
      </c>
      <c r="FK277" s="96">
        <f>IFERROR(VLOOKUP($B277,INDIRECT("'GRD-"&amp;FK$11&amp;"'!B:R"),15,FALSE),"")</f>
        <v/>
      </c>
      <c r="FL277" s="96">
        <f>IFERROR(VLOOKUP($B277,INDIRECT("'GRD-"&amp;FL$11&amp;"'!B:R"),15,FALSE),"")</f>
        <v/>
      </c>
      <c r="FM277" s="96">
        <f>IFERROR(VLOOKUP($B277,INDIRECT("'GRD-"&amp;FM$11&amp;"'!B:R"),15,FALSE),"")</f>
        <v/>
      </c>
      <c r="FN277" s="96">
        <f>IFERROR(VLOOKUP($B277,INDIRECT("'GRD-"&amp;FN$11&amp;"'!B:R"),15,FALSE),"")</f>
        <v/>
      </c>
      <c r="FO277" s="96">
        <f>IFERROR(VLOOKUP($B277,INDIRECT("'GRD-"&amp;FO$11&amp;"'!B:R"),15,FALSE),"")</f>
        <v/>
      </c>
      <c r="FP277" s="96">
        <f>IFERROR(VLOOKUP($B277,INDIRECT("'GRD-"&amp;FP$11&amp;"'!B:R"),15,FALSE),"")</f>
        <v/>
      </c>
      <c r="FQ277" s="96">
        <f>IFERROR(VLOOKUP($B277,INDIRECT("'GRD-"&amp;FQ$11&amp;"'!B:R"),15,FALSE),"")</f>
        <v/>
      </c>
      <c r="FR277" s="96">
        <f>IFERROR(VLOOKUP($B277,INDIRECT("'GRD-"&amp;FR$11&amp;"'!B:R"),15,FALSE),"")</f>
        <v/>
      </c>
      <c r="FS277" s="96">
        <f>IFERROR(VLOOKUP($B277,INDIRECT("'GRD-"&amp;FS$11&amp;"'!B:R"),15,FALSE),"")</f>
        <v/>
      </c>
      <c r="FT277" s="96">
        <f>IFERROR(VLOOKUP($B277,INDIRECT("'GRD-"&amp;FT$11&amp;"'!B:R"),15,FALSE),"")</f>
        <v/>
      </c>
      <c r="FU277" s="96">
        <f>IFERROR(VLOOKUP($B277,INDIRECT("'GRD-"&amp;FU$11&amp;"'!B:R"),15,FALSE),"")</f>
        <v/>
      </c>
      <c r="FV277" s="96">
        <f>IFERROR(VLOOKUP($B277,INDIRECT("'GRD-"&amp;FV$11&amp;"'!B:R"),15,FALSE),"")</f>
        <v/>
      </c>
    </row>
    <row r="278">
      <c r="B278" s="85" t="n"/>
      <c r="C278" s="93" t="n"/>
      <c r="D278" s="73">
        <f>IF(K278="","",MAX($CA278:$FV278))</f>
        <v/>
      </c>
      <c r="E278" s="74">
        <f t="array" ref="E278">IF($K278="","",OFFSET($A$1,ROW($B278)-1,11+$D278*4,))</f>
        <v/>
      </c>
      <c r="F278" s="74">
        <f t="array" ref="F278">IF($K278="","",OFFSET($A$1,ROW($B278)-1,12+$D278*4,))</f>
        <v/>
      </c>
      <c r="G278" s="118">
        <f t="array" ref="G278">IF($K278="","",OFFSET($A$1,ROW($B278)-1,13+$D278*4,))</f>
        <v/>
      </c>
      <c r="H278" s="81" t="n"/>
      <c r="I278" s="82" t="n"/>
      <c r="J278" s="75">
        <f>IF(I278="A4",H278/8,IF(I278="A3",H278/4,IF(I278="A2",H278/2,IF(I278="A1",H278/1,IF(I278="A0",H278*2,"")))))</f>
        <v/>
      </c>
      <c r="K278" s="68">
        <f t="array" ref="K278">IFERROR(OFFSET($BZ$11,ROW($B278)-11,MATCH(K$10,$CA278:$FV278,0),),"")</f>
        <v/>
      </c>
      <c r="L278" s="85">
        <f>IF(K278="","",IF(VLOOKUP($B278,INDIRECT("'GRD-"&amp;M278&amp;"'!$B:$R"),16,FALSE)="","",VLOOKUP($B278,INDIRECT("'GRD-"&amp;M278&amp;"'!$B:$R"),16,FALSE)))</f>
        <v/>
      </c>
      <c r="M278" s="130">
        <f t="array" ref="M278">IF(K278="","",IFERROR(OFFSET($BZ$11,0,MATCH($K278,$CA278:$FV278,0),),""))</f>
        <v/>
      </c>
      <c r="N278" s="119">
        <f t="array" ref="N278">IF(K278="","",INDIRECT("'GRD-"&amp;M278&amp;"'!$L$7"))</f>
        <v/>
      </c>
      <c r="O278" s="76">
        <f t="array" ref="O278">IFERROR(OFFSET($BZ$11,ROW($B278)-11,MATCH(O$10,$CA278:$FV278,0),),"")</f>
        <v/>
      </c>
      <c r="P278" s="76">
        <f>IF(O278="","",IF(VLOOKUP($B278,INDIRECT("'GRD-"&amp;Q278&amp;"'!$B:$R"),16,FALSE)="","",VLOOKUP($B278,INDIRECT("'GRD-"&amp;Q278&amp;"'!$B:$R"),16,FALSE)))</f>
        <v/>
      </c>
      <c r="Q278" s="132">
        <f t="array" ref="Q278">IF(O278="","",IFERROR(OFFSET($BZ$11,0,MATCH($O278,$CA278:$FV278,0),),""))</f>
        <v/>
      </c>
      <c r="R278" s="121">
        <f t="array" ref="R278">IF(O278="","",INDIRECT("'GRD-"&amp;Q278&amp;"'!$L$7"))</f>
        <v/>
      </c>
      <c r="S278" s="83">
        <f t="array" ref="S278">IFERROR(OFFSET($BZ$11,ROW($B278)-11,MATCH(S$10,$CA278:$FV278,0),),"")</f>
        <v/>
      </c>
      <c r="T278" s="83">
        <f>IF(S278="","",IF(VLOOKUP($B278,INDIRECT("'GRD-"&amp;U278&amp;"'!$B:$R"),16,FALSE)="","",VLOOKUP($B278,INDIRECT("'GRD-"&amp;U278&amp;"'!$B:$R"),16,FALSE)))</f>
        <v/>
      </c>
      <c r="U278" s="128">
        <f t="array" ref="U278">IF(S278="","",IFERROR(OFFSET($BZ$11,0,MATCH($S278,$CA278:$FV278,0),),""))</f>
        <v/>
      </c>
      <c r="V278" s="133">
        <f t="array" ref="V278">IF(S278="","",INDIRECT("'GRD-"&amp;U278&amp;"'!$L$7"))</f>
        <v/>
      </c>
      <c r="W278" s="84">
        <f t="array" ref="W278">IFERROR(OFFSET($BZ$11,ROW($B278)-11,MATCH(W$10,$CA278:$FV278,0),),"")</f>
        <v/>
      </c>
      <c r="X278" s="84">
        <f>IF(W278="","",IF(VLOOKUP($B278,INDIRECT("'GRD-"&amp;Y278&amp;"'!$B:$R"),16,FALSE)="","",VLOOKUP($B278,INDIRECT("'GRD-"&amp;Y278&amp;"'!$B:$R"),16,FALSE)))</f>
        <v/>
      </c>
      <c r="Y278" s="129">
        <f t="array" ref="Y278">IF(W278="","",IFERROR(OFFSET($BZ$11,0,MATCH($W278,$CA278:$FV278,0),),""))</f>
        <v/>
      </c>
      <c r="Z278" s="134">
        <f t="array" ref="Z278">IF(W278="","",INDIRECT("'GRD-"&amp;Y278&amp;"'!$L$7"))</f>
        <v/>
      </c>
      <c r="AA278" s="85">
        <f t="array" ref="AA278">IFERROR(OFFSET($BZ$11,ROW($B278)-11,MATCH(AA$10,$CA278:$FV278,0),),"")</f>
        <v/>
      </c>
      <c r="AB278" s="85">
        <f>IF(AA278="","",IF(VLOOKUP($B278,INDIRECT("'GRD-"&amp;AC278&amp;"'!$B:$R"),16,FALSE)="","",VLOOKUP($B278,INDIRECT("'GRD-"&amp;AC278&amp;"'!$B:$R"),16,FALSE)))</f>
        <v/>
      </c>
      <c r="AC278" s="130">
        <f t="array" ref="AC278">IF(AA278="","",IFERROR(OFFSET($BZ$11,0,MATCH($AA278,$CA278:$FV278,0),),""))</f>
        <v/>
      </c>
      <c r="AD278" s="131">
        <f t="array" ref="AD278">IF(AA278="","",INDIRECT("'GRD-"&amp;AC278&amp;"'!$L$7"))</f>
        <v/>
      </c>
      <c r="AE278" s="76">
        <f t="array" ref="AE278">IFERROR(OFFSET($BZ$11,ROW($B278)-11,MATCH(AE$10,$CA278:$FV278,0),),"")</f>
        <v/>
      </c>
      <c r="AF278" s="76">
        <f>IF(AE278="","",IF(VLOOKUP($B278,INDIRECT("'GRD-"&amp;AG278&amp;"'!$B:$R"),16,FALSE)="","",VLOOKUP($B278,INDIRECT("'GRD-"&amp;AG278&amp;"'!$B:$R"),16,FALSE)))</f>
        <v/>
      </c>
      <c r="AG278" s="132">
        <f t="array" ref="AG278">IF(AE278="","",IFERROR(OFFSET($BZ$11,0,MATCH($AE278,$CA278:$FV278,0),),""))</f>
        <v/>
      </c>
      <c r="AH278" s="121">
        <f t="array" ref="AH278">IF(AE278="","",INDIRECT("'GRD-"&amp;AG278&amp;"'!$L$7"))</f>
        <v/>
      </c>
      <c r="AI278" s="83">
        <f t="array" ref="AI278">IFERROR(OFFSET($BZ$11,ROW($B278)-11,MATCH(AI$10,$CA278:$FV278,0),),"")</f>
        <v/>
      </c>
      <c r="AJ278" s="83">
        <f>IF(AI278="","",IF(VLOOKUP($B278,INDIRECT("'GRD-"&amp;AK278&amp;"'!$B:$R"),16,FALSE)="","",VLOOKUP($B278,INDIRECT("'GRD-"&amp;AK278&amp;"'!$B:$R"),16,FALSE)))</f>
        <v/>
      </c>
      <c r="AK278" s="128">
        <f t="array" ref="AK278">IF(AI278="","",IFERROR(OFFSET($BZ$11,0,MATCH($AI278,$CA278:$FV278,0),),""))</f>
        <v/>
      </c>
      <c r="AL278" s="133">
        <f t="array" ref="AL278">IF(AI278="","",INDIRECT("'GRD-"&amp;AK278&amp;"'!$L$7"))</f>
        <v/>
      </c>
      <c r="AM278" s="84">
        <f t="array" ref="AM278">IFERROR(OFFSET($BZ$11,ROW($B278)-11,MATCH(AM$10,$CA278:$FV278,0),),"")</f>
        <v/>
      </c>
      <c r="AN278" s="84">
        <f>IF(AM278="","",IF(VLOOKUP($B278,INDIRECT("'GRD-"&amp;AO278&amp;"'!$B:$R"),16,FALSE)="","",VLOOKUP($B278,INDIRECT("'GRD-"&amp;AO278&amp;"'!$B:$R"),16,FALSE)))</f>
        <v/>
      </c>
      <c r="AO278" s="129">
        <f t="array" ref="AO278">IF(AM278="","",IFERROR(OFFSET($BZ$11,0,MATCH($AM278,$CA278:$FV278,0),),""))</f>
        <v/>
      </c>
      <c r="AP278" s="134">
        <f t="array" ref="AP278">IF(AM278="","",INDIRECT("'GRD-"&amp;AO278&amp;"'!$L$7"))</f>
        <v/>
      </c>
      <c r="AQ278" s="85">
        <f t="array" ref="AQ278">IFERROR(OFFSET($BZ$11,ROW($B278)-11,MATCH(AQ$10,$CA278:$FV278,0),),"")</f>
        <v/>
      </c>
      <c r="AR278" s="85">
        <f>IF(AQ278="","",IF(VLOOKUP($B278,INDIRECT("'GRD-"&amp;AS278&amp;"'!$B:$R"),16,FALSE)="","",VLOOKUP($B278,INDIRECT("'GRD-"&amp;AS278&amp;"'!$B:$R"),16,FALSE)))</f>
        <v/>
      </c>
      <c r="AS278" s="130">
        <f t="array" ref="AS278">IF(AQ278="","",IFERROR(OFFSET($BZ$11,0,MATCH($AQ278,$CA278:$FV278,0),),""))</f>
        <v/>
      </c>
      <c r="AT278" s="131">
        <f t="array" ref="AT278">IF(AQ278="","",INDIRECT("'GRD-"&amp;AS278&amp;"'!$L$7"))</f>
        <v/>
      </c>
      <c r="AU278" s="76">
        <f t="array" ref="AU278">IFERROR(OFFSET($BZ$11,ROW($B278)-11,MATCH(AU$10,$CA278:$FV278,0),),"")</f>
        <v/>
      </c>
      <c r="AV278" s="76">
        <f>IF(AU278="","",IF(VLOOKUP($B278,INDIRECT("'GRD-"&amp;AW278&amp;"'!$B:$R"),16,FALSE)="","",VLOOKUP($B278,INDIRECT("'GRD-"&amp;AW278&amp;"'!$B:$R"),16,FALSE)))</f>
        <v/>
      </c>
      <c r="AW278" s="132">
        <f t="array" ref="AW278">IF(AU278="","",IFERROR(OFFSET($BZ$11,0,MATCH($AU278,$CA278:$FV278,0),),""))</f>
        <v/>
      </c>
      <c r="AX278" s="121">
        <f t="array" ref="AX278">IF(AU278="","",INDIRECT("'GRD-"&amp;AW278&amp;"'!$L$7"))</f>
        <v/>
      </c>
      <c r="AY278" s="83">
        <f t="array" ref="AY278">IFERROR(OFFSET($BZ$11,ROW($B278)-11,MATCH(AY$10,$CA278:$FV278,0),),"")</f>
        <v/>
      </c>
      <c r="AZ278" s="83">
        <f>IF(AY278="","",IF(VLOOKUP($B278,INDIRECT("'GRD-"&amp;BA278&amp;"'!$B:$R"),16,FALSE)="","",VLOOKUP($B278,INDIRECT("'GRD-"&amp;BA278&amp;"'!$B:$R"),16,FALSE)))</f>
        <v/>
      </c>
      <c r="BA278" s="128">
        <f t="array" ref="BA278">IF(AY278="","",IFERROR(OFFSET($BZ$11,0,MATCH($AY278,$CA278:$FV278,0),),""))</f>
        <v/>
      </c>
      <c r="BB278" s="133">
        <f t="array" ref="BB278">IF(AY278="","",INDIRECT("'GRD-"&amp;BA278&amp;"'!$L$7"))</f>
        <v/>
      </c>
      <c r="BC278" s="84">
        <f t="array" ref="BC278">IFERROR(OFFSET($BZ$11,ROW($B278)-11,MATCH(BC$10,$CA278:$FV278,0),),"")</f>
        <v/>
      </c>
      <c r="BD278" s="84">
        <f>IF(BC278="","",IF(VLOOKUP($B278,INDIRECT("'GRD-"&amp;BE278&amp;"'!$B:$R"),16,FALSE)="","",VLOOKUP($B278,INDIRECT("'GRD-"&amp;BE278&amp;"'!$B:$R"),16,FALSE)))</f>
        <v/>
      </c>
      <c r="BE278" s="129">
        <f t="array" ref="BE278">IF(BC278="","",IFERROR(OFFSET($BZ$11,0,MATCH($BC278,$CA278:$FV278,0),),""))</f>
        <v/>
      </c>
      <c r="BF278" s="134">
        <f t="array" ref="BF278">IF(BC278="","",INDIRECT("'GRD-"&amp;BE278&amp;"'!$L$7"))</f>
        <v/>
      </c>
      <c r="CA278" s="96">
        <f>IFERROR(VLOOKUP($B278,INDIRECT("'GRD-"&amp;CA$11&amp;"'!B:R"),15,FALSE),"")</f>
        <v/>
      </c>
      <c r="CB278" s="96">
        <f>IFERROR(VLOOKUP($B278,INDIRECT("'GRD-"&amp;CB$11&amp;"'!B:R"),15,FALSE),"")</f>
        <v/>
      </c>
      <c r="CC278" s="96">
        <f>IFERROR(VLOOKUP($B278,INDIRECT("'GRD-"&amp;CC$11&amp;"'!B:R"),15,FALSE),"")</f>
        <v/>
      </c>
      <c r="CD278" s="96">
        <f>IFERROR(VLOOKUP($B278,INDIRECT("'GRD-"&amp;CD$11&amp;"'!B:R"),15,FALSE),"")</f>
        <v/>
      </c>
      <c r="CE278" s="96">
        <f>IFERROR(VLOOKUP($B278,INDIRECT("'GRD-"&amp;CE$11&amp;"'!B:R"),15,FALSE),"")</f>
        <v/>
      </c>
      <c r="CF278" s="96">
        <f>IFERROR(VLOOKUP($B278,INDIRECT("'GRD-"&amp;CF$11&amp;"'!B:R"),15,FALSE),"")</f>
        <v/>
      </c>
      <c r="CG278" s="96">
        <f>IFERROR(VLOOKUP($B278,INDIRECT("'GRD-"&amp;CG$11&amp;"'!B:R"),15,FALSE),"")</f>
        <v/>
      </c>
      <c r="CH278" s="96">
        <f>IFERROR(VLOOKUP($B278,INDIRECT("'GRD-"&amp;CH$11&amp;"'!B:R"),15,FALSE),"")</f>
        <v/>
      </c>
      <c r="CI278" s="96">
        <f>IFERROR(VLOOKUP($B278,INDIRECT("'GRD-"&amp;CI$11&amp;"'!B:R"),15,FALSE),"")</f>
        <v/>
      </c>
      <c r="CJ278" s="96">
        <f>IFERROR(VLOOKUP($B278,INDIRECT("'GRD-"&amp;CJ$11&amp;"'!B:R"),15,FALSE),"")</f>
        <v/>
      </c>
      <c r="CK278" s="96">
        <f>IFERROR(VLOOKUP($B278,INDIRECT("'GRD-"&amp;CK$11&amp;"'!B:R"),15,FALSE),"")</f>
        <v/>
      </c>
      <c r="CL278" s="96">
        <f>IFERROR(VLOOKUP($B278,INDIRECT("'GRD-"&amp;CL$11&amp;"'!B:R"),15,FALSE),"")</f>
        <v/>
      </c>
      <c r="CM278" s="96">
        <f>IFERROR(VLOOKUP($B278,INDIRECT("'GRD-"&amp;CM$11&amp;"'!B:R"),15,FALSE),"")</f>
        <v/>
      </c>
      <c r="CN278" s="96">
        <f>IFERROR(VLOOKUP($B278,INDIRECT("'GRD-"&amp;CN$11&amp;"'!B:R"),15,FALSE),"")</f>
        <v/>
      </c>
      <c r="CO278" s="96">
        <f>IFERROR(VLOOKUP($B278,INDIRECT("'GRD-"&amp;CO$11&amp;"'!B:R"),15,FALSE),"")</f>
        <v/>
      </c>
      <c r="CP278" s="96">
        <f>IFERROR(VLOOKUP($B278,INDIRECT("'GRD-"&amp;CP$11&amp;"'!B:R"),15,FALSE),"")</f>
        <v/>
      </c>
      <c r="CQ278" s="96">
        <f>IFERROR(VLOOKUP($B278,INDIRECT("'GRD-"&amp;CQ$11&amp;"'!B:R"),15,FALSE),"")</f>
        <v/>
      </c>
      <c r="CR278" s="96">
        <f>IFERROR(VLOOKUP($B278,INDIRECT("'GRD-"&amp;CR$11&amp;"'!B:R"),15,FALSE),"")</f>
        <v/>
      </c>
      <c r="CS278" s="96">
        <f>IFERROR(VLOOKUP($B278,INDIRECT("'GRD-"&amp;CS$11&amp;"'!B:R"),15,FALSE),"")</f>
        <v/>
      </c>
      <c r="CT278" s="96">
        <f>IFERROR(VLOOKUP($B278,INDIRECT("'GRD-"&amp;CT$11&amp;"'!B:R"),15,FALSE),"")</f>
        <v/>
      </c>
      <c r="CU278" s="96">
        <f>IFERROR(VLOOKUP($B278,INDIRECT("'GRD-"&amp;CU$11&amp;"'!B:R"),15,FALSE),"")</f>
        <v/>
      </c>
      <c r="CV278" s="96">
        <f>IFERROR(VLOOKUP($B278,INDIRECT("'GRD-"&amp;CV$11&amp;"'!B:R"),15,FALSE),"")</f>
        <v/>
      </c>
      <c r="CW278" s="96">
        <f>IFERROR(VLOOKUP($B278,INDIRECT("'GRD-"&amp;CW$11&amp;"'!B:R"),15,FALSE),"")</f>
        <v/>
      </c>
      <c r="CX278" s="96">
        <f>IFERROR(VLOOKUP($B278,INDIRECT("'GRD-"&amp;CX$11&amp;"'!B:R"),15,FALSE),"")</f>
        <v/>
      </c>
      <c r="CY278" s="96">
        <f>IFERROR(VLOOKUP($B278,INDIRECT("'GRD-"&amp;CY$11&amp;"'!B:R"),15,FALSE),"")</f>
        <v/>
      </c>
      <c r="CZ278" s="96">
        <f>IFERROR(VLOOKUP($B278,INDIRECT("'GRD-"&amp;CZ$11&amp;"'!B:R"),15,FALSE),"")</f>
        <v/>
      </c>
      <c r="DA278" s="96">
        <f>IFERROR(VLOOKUP($B278,INDIRECT("'GRD-"&amp;DA$11&amp;"'!B:R"),15,FALSE),"")</f>
        <v/>
      </c>
      <c r="DB278" s="96">
        <f>IFERROR(VLOOKUP($B278,INDIRECT("'GRD-"&amp;DB$11&amp;"'!B:R"),15,FALSE),"")</f>
        <v/>
      </c>
      <c r="DC278" s="96">
        <f>IFERROR(VLOOKUP($B278,INDIRECT("'GRD-"&amp;DC$11&amp;"'!B:R"),15,FALSE),"")</f>
        <v/>
      </c>
      <c r="DD278" s="96">
        <f>IFERROR(VLOOKUP($B278,INDIRECT("'GRD-"&amp;DD$11&amp;"'!B:R"),15,FALSE),"")</f>
        <v/>
      </c>
      <c r="DE278" s="96">
        <f>IFERROR(VLOOKUP($B278,INDIRECT("'GRD-"&amp;DE$11&amp;"'!B:R"),15,FALSE),"")</f>
        <v/>
      </c>
      <c r="DF278" s="96">
        <f>IFERROR(VLOOKUP($B278,INDIRECT("'GRD-"&amp;DF$11&amp;"'!B:R"),15,FALSE),"")</f>
        <v/>
      </c>
      <c r="DG278" s="96">
        <f>IFERROR(VLOOKUP($B278,INDIRECT("'GRD-"&amp;DG$11&amp;"'!B:R"),15,FALSE),"")</f>
        <v/>
      </c>
      <c r="DH278" s="96">
        <f>IFERROR(VLOOKUP($B278,INDIRECT("'GRD-"&amp;DH$11&amp;"'!B:R"),15,FALSE),"")</f>
        <v/>
      </c>
      <c r="DI278" s="96">
        <f>IFERROR(VLOOKUP($B278,INDIRECT("'GRD-"&amp;DI$11&amp;"'!B:R"),15,FALSE),"")</f>
        <v/>
      </c>
      <c r="DJ278" s="96">
        <f>IFERROR(VLOOKUP($B278,INDIRECT("'GRD-"&amp;DJ$11&amp;"'!B:R"),15,FALSE),"")</f>
        <v/>
      </c>
      <c r="DK278" s="96">
        <f>IFERROR(VLOOKUP($B278,INDIRECT("'GRD-"&amp;DK$11&amp;"'!B:R"),15,FALSE),"")</f>
        <v/>
      </c>
      <c r="DL278" s="96">
        <f>IFERROR(VLOOKUP($B278,INDIRECT("'GRD-"&amp;DL$11&amp;"'!B:R"),15,FALSE),"")</f>
        <v/>
      </c>
      <c r="DM278" s="96">
        <f>IFERROR(VLOOKUP($B278,INDIRECT("'GRD-"&amp;DM$11&amp;"'!B:R"),15,FALSE),"")</f>
        <v/>
      </c>
      <c r="DN278" s="96">
        <f>IFERROR(VLOOKUP($B278,INDIRECT("'GRD-"&amp;DN$11&amp;"'!B:R"),15,FALSE),"")</f>
        <v/>
      </c>
      <c r="DO278" s="96">
        <f>IFERROR(VLOOKUP($B278,INDIRECT("'GRD-"&amp;DO$11&amp;"'!B:R"),15,FALSE),"")</f>
        <v/>
      </c>
      <c r="DP278" s="96">
        <f>IFERROR(VLOOKUP($B278,INDIRECT("'GRD-"&amp;DP$11&amp;"'!B:R"),15,FALSE),"")</f>
        <v/>
      </c>
      <c r="DQ278" s="96">
        <f>IFERROR(VLOOKUP($B278,INDIRECT("'GRD-"&amp;DQ$11&amp;"'!B:R"),15,FALSE),"")</f>
        <v/>
      </c>
      <c r="DR278" s="96">
        <f>IFERROR(VLOOKUP($B278,INDIRECT("'GRD-"&amp;DR$11&amp;"'!B:R"),15,FALSE),"")</f>
        <v/>
      </c>
      <c r="DS278" s="96">
        <f>IFERROR(VLOOKUP($B278,INDIRECT("'GRD-"&amp;DS$11&amp;"'!B:R"),15,FALSE),"")</f>
        <v/>
      </c>
      <c r="DT278" s="96">
        <f>IFERROR(VLOOKUP($B278,INDIRECT("'GRD-"&amp;DT$11&amp;"'!B:R"),15,FALSE),"")</f>
        <v/>
      </c>
      <c r="DU278" s="96">
        <f>IFERROR(VLOOKUP($B278,INDIRECT("'GRD-"&amp;DU$11&amp;"'!B:R"),15,FALSE),"")</f>
        <v/>
      </c>
      <c r="DV278" s="96">
        <f>IFERROR(VLOOKUP($B278,INDIRECT("'GRD-"&amp;DV$11&amp;"'!B:R"),15,FALSE),"")</f>
        <v/>
      </c>
      <c r="DW278" s="96">
        <f>IFERROR(VLOOKUP($B278,INDIRECT("'GRD-"&amp;DW$11&amp;"'!B:R"),15,FALSE),"")</f>
        <v/>
      </c>
      <c r="DX278" s="96">
        <f>IFERROR(VLOOKUP($B278,INDIRECT("'GRD-"&amp;DX$11&amp;"'!B:R"),15,FALSE),"")</f>
        <v/>
      </c>
      <c r="DY278" s="96">
        <f>IFERROR(VLOOKUP($B278,INDIRECT("'GRD-"&amp;DY$11&amp;"'!B:R"),15,FALSE),"")</f>
        <v/>
      </c>
      <c r="DZ278" s="96">
        <f>IFERROR(VLOOKUP($B278,INDIRECT("'GRD-"&amp;DZ$11&amp;"'!B:R"),15,FALSE),"")</f>
        <v/>
      </c>
      <c r="EA278" s="96">
        <f>IFERROR(VLOOKUP($B278,INDIRECT("'GRD-"&amp;EA$11&amp;"'!B:R"),15,FALSE),"")</f>
        <v/>
      </c>
      <c r="EB278" s="96">
        <f>IFERROR(VLOOKUP($B278,INDIRECT("'GRD-"&amp;EB$11&amp;"'!B:R"),15,FALSE),"")</f>
        <v/>
      </c>
      <c r="EC278" s="96">
        <f>IFERROR(VLOOKUP($B278,INDIRECT("'GRD-"&amp;EC$11&amp;"'!B:R"),15,FALSE),"")</f>
        <v/>
      </c>
      <c r="ED278" s="96">
        <f>IFERROR(VLOOKUP($B278,INDIRECT("'GRD-"&amp;ED$11&amp;"'!B:R"),15,FALSE),"")</f>
        <v/>
      </c>
      <c r="EE278" s="96">
        <f>IFERROR(VLOOKUP($B278,INDIRECT("'GRD-"&amp;EE$11&amp;"'!B:R"),15,FALSE),"")</f>
        <v/>
      </c>
      <c r="EF278" s="96">
        <f>IFERROR(VLOOKUP($B278,INDIRECT("'GRD-"&amp;EF$11&amp;"'!B:R"),15,FALSE),"")</f>
        <v/>
      </c>
      <c r="EG278" s="96">
        <f>IFERROR(VLOOKUP($B278,INDIRECT("'GRD-"&amp;EG$11&amp;"'!B:R"),15,FALSE),"")</f>
        <v/>
      </c>
      <c r="EH278" s="96">
        <f>IFERROR(VLOOKUP($B278,INDIRECT("'GRD-"&amp;EH$11&amp;"'!B:R"),15,FALSE),"")</f>
        <v/>
      </c>
      <c r="EI278" s="96">
        <f>IFERROR(VLOOKUP($B278,INDIRECT("'GRD-"&amp;EI$11&amp;"'!B:R"),15,FALSE),"")</f>
        <v/>
      </c>
      <c r="EJ278" s="96">
        <f>IFERROR(VLOOKUP($B278,INDIRECT("'GRD-"&amp;EJ$11&amp;"'!B:R"),15,FALSE),"")</f>
        <v/>
      </c>
      <c r="EK278" s="96">
        <f>IFERROR(VLOOKUP($B278,INDIRECT("'GRD-"&amp;EK$11&amp;"'!B:R"),15,FALSE),"")</f>
        <v/>
      </c>
      <c r="EL278" s="96">
        <f>IFERROR(VLOOKUP($B278,INDIRECT("'GRD-"&amp;EL$11&amp;"'!B:R"),15,FALSE),"")</f>
        <v/>
      </c>
      <c r="EM278" s="96">
        <f>IFERROR(VLOOKUP($B278,INDIRECT("'GRD-"&amp;EM$11&amp;"'!B:R"),15,FALSE),"")</f>
        <v/>
      </c>
      <c r="EN278" s="96">
        <f>IFERROR(VLOOKUP($B278,INDIRECT("'GRD-"&amp;EN$11&amp;"'!B:R"),15,FALSE),"")</f>
        <v/>
      </c>
      <c r="EO278" s="96">
        <f>IFERROR(VLOOKUP($B278,INDIRECT("'GRD-"&amp;EO$11&amp;"'!B:R"),15,FALSE),"")</f>
        <v/>
      </c>
      <c r="EP278" s="96">
        <f>IFERROR(VLOOKUP($B278,INDIRECT("'GRD-"&amp;EP$11&amp;"'!B:R"),15,FALSE),"")</f>
        <v/>
      </c>
      <c r="EQ278" s="96">
        <f>IFERROR(VLOOKUP($B278,INDIRECT("'GRD-"&amp;EQ$11&amp;"'!B:R"),15,FALSE),"")</f>
        <v/>
      </c>
      <c r="ER278" s="96">
        <f>IFERROR(VLOOKUP($B278,INDIRECT("'GRD-"&amp;ER$11&amp;"'!B:R"),15,FALSE),"")</f>
        <v/>
      </c>
      <c r="ES278" s="96">
        <f>IFERROR(VLOOKUP($B278,INDIRECT("'GRD-"&amp;ES$11&amp;"'!B:R"),15,FALSE),"")</f>
        <v/>
      </c>
      <c r="ET278" s="96">
        <f>IFERROR(VLOOKUP($B278,INDIRECT("'GRD-"&amp;ET$11&amp;"'!B:R"),15,FALSE),"")</f>
        <v/>
      </c>
      <c r="EU278" s="96">
        <f>IFERROR(VLOOKUP($B278,INDIRECT("'GRD-"&amp;EU$11&amp;"'!B:R"),15,FALSE),"")</f>
        <v/>
      </c>
      <c r="EV278" s="96">
        <f>IFERROR(VLOOKUP($B278,INDIRECT("'GRD-"&amp;EV$11&amp;"'!B:R"),15,FALSE),"")</f>
        <v/>
      </c>
      <c r="EW278" s="96">
        <f>IFERROR(VLOOKUP($B278,INDIRECT("'GRD-"&amp;EW$11&amp;"'!B:R"),15,FALSE),"")</f>
        <v/>
      </c>
      <c r="EX278" s="96">
        <f>IFERROR(VLOOKUP($B278,INDIRECT("'GRD-"&amp;EX$11&amp;"'!B:R"),15,FALSE),"")</f>
        <v/>
      </c>
      <c r="EY278" s="96">
        <f>IFERROR(VLOOKUP($B278,INDIRECT("'GRD-"&amp;EY$11&amp;"'!B:R"),15,FALSE),"")</f>
        <v/>
      </c>
      <c r="EZ278" s="96">
        <f>IFERROR(VLOOKUP($B278,INDIRECT("'GRD-"&amp;EZ$11&amp;"'!B:R"),15,FALSE),"")</f>
        <v/>
      </c>
      <c r="FA278" s="96">
        <f>IFERROR(VLOOKUP($B278,INDIRECT("'GRD-"&amp;FA$11&amp;"'!B:R"),15,FALSE),"")</f>
        <v/>
      </c>
      <c r="FB278" s="96">
        <f>IFERROR(VLOOKUP($B278,INDIRECT("'GRD-"&amp;FB$11&amp;"'!B:R"),15,FALSE),"")</f>
        <v/>
      </c>
      <c r="FC278" s="96">
        <f>IFERROR(VLOOKUP($B278,INDIRECT("'GRD-"&amp;FC$11&amp;"'!B:R"),15,FALSE),"")</f>
        <v/>
      </c>
      <c r="FD278" s="96">
        <f>IFERROR(VLOOKUP($B278,INDIRECT("'GRD-"&amp;FD$11&amp;"'!B:R"),15,FALSE),"")</f>
        <v/>
      </c>
      <c r="FE278" s="96">
        <f>IFERROR(VLOOKUP($B278,INDIRECT("'GRD-"&amp;FE$11&amp;"'!B:R"),15,FALSE),"")</f>
        <v/>
      </c>
      <c r="FF278" s="96">
        <f>IFERROR(VLOOKUP($B278,INDIRECT("'GRD-"&amp;FF$11&amp;"'!B:R"),15,FALSE),"")</f>
        <v/>
      </c>
      <c r="FG278" s="96">
        <f>IFERROR(VLOOKUP($B278,INDIRECT("'GRD-"&amp;FG$11&amp;"'!B:R"),15,FALSE),"")</f>
        <v/>
      </c>
      <c r="FH278" s="96">
        <f>IFERROR(VLOOKUP($B278,INDIRECT("'GRD-"&amp;FH$11&amp;"'!B:R"),15,FALSE),"")</f>
        <v/>
      </c>
      <c r="FI278" s="96">
        <f>IFERROR(VLOOKUP($B278,INDIRECT("'GRD-"&amp;FI$11&amp;"'!B:R"),15,FALSE),"")</f>
        <v/>
      </c>
      <c r="FJ278" s="96">
        <f>IFERROR(VLOOKUP($B278,INDIRECT("'GRD-"&amp;FJ$11&amp;"'!B:R"),15,FALSE),"")</f>
        <v/>
      </c>
      <c r="FK278" s="96">
        <f>IFERROR(VLOOKUP($B278,INDIRECT("'GRD-"&amp;FK$11&amp;"'!B:R"),15,FALSE),"")</f>
        <v/>
      </c>
      <c r="FL278" s="96">
        <f>IFERROR(VLOOKUP($B278,INDIRECT("'GRD-"&amp;FL$11&amp;"'!B:R"),15,FALSE),"")</f>
        <v/>
      </c>
      <c r="FM278" s="96">
        <f>IFERROR(VLOOKUP($B278,INDIRECT("'GRD-"&amp;FM$11&amp;"'!B:R"),15,FALSE),"")</f>
        <v/>
      </c>
      <c r="FN278" s="96">
        <f>IFERROR(VLOOKUP($B278,INDIRECT("'GRD-"&amp;FN$11&amp;"'!B:R"),15,FALSE),"")</f>
        <v/>
      </c>
      <c r="FO278" s="96">
        <f>IFERROR(VLOOKUP($B278,INDIRECT("'GRD-"&amp;FO$11&amp;"'!B:R"),15,FALSE),"")</f>
        <v/>
      </c>
      <c r="FP278" s="96">
        <f>IFERROR(VLOOKUP($B278,INDIRECT("'GRD-"&amp;FP$11&amp;"'!B:R"),15,FALSE),"")</f>
        <v/>
      </c>
      <c r="FQ278" s="96">
        <f>IFERROR(VLOOKUP($B278,INDIRECT("'GRD-"&amp;FQ$11&amp;"'!B:R"),15,FALSE),"")</f>
        <v/>
      </c>
      <c r="FR278" s="96">
        <f>IFERROR(VLOOKUP($B278,INDIRECT("'GRD-"&amp;FR$11&amp;"'!B:R"),15,FALSE),"")</f>
        <v/>
      </c>
      <c r="FS278" s="96">
        <f>IFERROR(VLOOKUP($B278,INDIRECT("'GRD-"&amp;FS$11&amp;"'!B:R"),15,FALSE),"")</f>
        <v/>
      </c>
      <c r="FT278" s="96">
        <f>IFERROR(VLOOKUP($B278,INDIRECT("'GRD-"&amp;FT$11&amp;"'!B:R"),15,FALSE),"")</f>
        <v/>
      </c>
      <c r="FU278" s="96">
        <f>IFERROR(VLOOKUP($B278,INDIRECT("'GRD-"&amp;FU$11&amp;"'!B:R"),15,FALSE),"")</f>
        <v/>
      </c>
      <c r="FV278" s="96">
        <f>IFERROR(VLOOKUP($B278,INDIRECT("'GRD-"&amp;FV$11&amp;"'!B:R"),15,FALSE),"")</f>
        <v/>
      </c>
    </row>
    <row r="279">
      <c r="B279" s="85" t="n"/>
      <c r="C279" s="93" t="n"/>
      <c r="D279" s="73">
        <f>IF(K279="","",MAX($CA279:$FV279))</f>
        <v/>
      </c>
      <c r="E279" s="74">
        <f t="array" ref="E279">IF($K279="","",OFFSET($A$1,ROW($B279)-1,11+$D279*4,))</f>
        <v/>
      </c>
      <c r="F279" s="74">
        <f t="array" ref="F279">IF($K279="","",OFFSET($A$1,ROW($B279)-1,12+$D279*4,))</f>
        <v/>
      </c>
      <c r="G279" s="118">
        <f t="array" ref="G279">IF($K279="","",OFFSET($A$1,ROW($B279)-1,13+$D279*4,))</f>
        <v/>
      </c>
      <c r="H279" s="81" t="n"/>
      <c r="I279" s="82" t="n"/>
      <c r="J279" s="75">
        <f>IF(I279="A4",H279/8,IF(I279="A3",H279/4,IF(I279="A2",H279/2,IF(I279="A1",H279/1,IF(I279="A0",H279*2,"")))))</f>
        <v/>
      </c>
      <c r="K279" s="68">
        <f t="array" ref="K279">IFERROR(OFFSET($BZ$11,ROW($B279)-11,MATCH(K$10,$CA279:$FV279,0),),"")</f>
        <v/>
      </c>
      <c r="L279" s="85">
        <f>IF(K279="","",IF(VLOOKUP($B279,INDIRECT("'GRD-"&amp;M279&amp;"'!$B:$R"),16,FALSE)="","",VLOOKUP($B279,INDIRECT("'GRD-"&amp;M279&amp;"'!$B:$R"),16,FALSE)))</f>
        <v/>
      </c>
      <c r="M279" s="130">
        <f t="array" ref="M279">IF(K279="","",IFERROR(OFFSET($BZ$11,0,MATCH($K279,$CA279:$FV279,0),),""))</f>
        <v/>
      </c>
      <c r="N279" s="119">
        <f t="array" ref="N279">IF(K279="","",INDIRECT("'GRD-"&amp;M279&amp;"'!$L$7"))</f>
        <v/>
      </c>
      <c r="O279" s="76">
        <f t="array" ref="O279">IFERROR(OFFSET($BZ$11,ROW($B279)-11,MATCH(O$10,$CA279:$FV279,0),),"")</f>
        <v/>
      </c>
      <c r="P279" s="76">
        <f>IF(O279="","",IF(VLOOKUP($B279,INDIRECT("'GRD-"&amp;Q279&amp;"'!$B:$R"),16,FALSE)="","",VLOOKUP($B279,INDIRECT("'GRD-"&amp;Q279&amp;"'!$B:$R"),16,FALSE)))</f>
        <v/>
      </c>
      <c r="Q279" s="132">
        <f t="array" ref="Q279">IF(O279="","",IFERROR(OFFSET($BZ$11,0,MATCH($O279,$CA279:$FV279,0),),""))</f>
        <v/>
      </c>
      <c r="R279" s="121">
        <f t="array" ref="R279">IF(O279="","",INDIRECT("'GRD-"&amp;Q279&amp;"'!$L$7"))</f>
        <v/>
      </c>
      <c r="S279" s="83">
        <f t="array" ref="S279">IFERROR(OFFSET($BZ$11,ROW($B279)-11,MATCH(S$10,$CA279:$FV279,0),),"")</f>
        <v/>
      </c>
      <c r="T279" s="83">
        <f>IF(S279="","",IF(VLOOKUP($B279,INDIRECT("'GRD-"&amp;U279&amp;"'!$B:$R"),16,FALSE)="","",VLOOKUP($B279,INDIRECT("'GRD-"&amp;U279&amp;"'!$B:$R"),16,FALSE)))</f>
        <v/>
      </c>
      <c r="U279" s="128">
        <f t="array" ref="U279">IF(S279="","",IFERROR(OFFSET($BZ$11,0,MATCH($S279,$CA279:$FV279,0),),""))</f>
        <v/>
      </c>
      <c r="V279" s="133">
        <f t="array" ref="V279">IF(S279="","",INDIRECT("'GRD-"&amp;U279&amp;"'!$L$7"))</f>
        <v/>
      </c>
      <c r="W279" s="84">
        <f t="array" ref="W279">IFERROR(OFFSET($BZ$11,ROW($B279)-11,MATCH(W$10,$CA279:$FV279,0),),"")</f>
        <v/>
      </c>
      <c r="X279" s="84">
        <f>IF(W279="","",IF(VLOOKUP($B279,INDIRECT("'GRD-"&amp;Y279&amp;"'!$B:$R"),16,FALSE)="","",VLOOKUP($B279,INDIRECT("'GRD-"&amp;Y279&amp;"'!$B:$R"),16,FALSE)))</f>
        <v/>
      </c>
      <c r="Y279" s="129">
        <f t="array" ref="Y279">IF(W279="","",IFERROR(OFFSET($BZ$11,0,MATCH($W279,$CA279:$FV279,0),),""))</f>
        <v/>
      </c>
      <c r="Z279" s="134">
        <f t="array" ref="Z279">IF(W279="","",INDIRECT("'GRD-"&amp;Y279&amp;"'!$L$7"))</f>
        <v/>
      </c>
      <c r="AA279" s="85">
        <f t="array" ref="AA279">IFERROR(OFFSET($BZ$11,ROW($B279)-11,MATCH(AA$10,$CA279:$FV279,0),),"")</f>
        <v/>
      </c>
      <c r="AB279" s="85">
        <f>IF(AA279="","",IF(VLOOKUP($B279,INDIRECT("'GRD-"&amp;AC279&amp;"'!$B:$R"),16,FALSE)="","",VLOOKUP($B279,INDIRECT("'GRD-"&amp;AC279&amp;"'!$B:$R"),16,FALSE)))</f>
        <v/>
      </c>
      <c r="AC279" s="130">
        <f t="array" ref="AC279">IF(AA279="","",IFERROR(OFFSET($BZ$11,0,MATCH($AA279,$CA279:$FV279,0),),""))</f>
        <v/>
      </c>
      <c r="AD279" s="131">
        <f t="array" ref="AD279">IF(AA279="","",INDIRECT("'GRD-"&amp;AC279&amp;"'!$L$7"))</f>
        <v/>
      </c>
      <c r="AE279" s="76">
        <f t="array" ref="AE279">IFERROR(OFFSET($BZ$11,ROW($B279)-11,MATCH(AE$10,$CA279:$FV279,0),),"")</f>
        <v/>
      </c>
      <c r="AF279" s="76">
        <f>IF(AE279="","",IF(VLOOKUP($B279,INDIRECT("'GRD-"&amp;AG279&amp;"'!$B:$R"),16,FALSE)="","",VLOOKUP($B279,INDIRECT("'GRD-"&amp;AG279&amp;"'!$B:$R"),16,FALSE)))</f>
        <v/>
      </c>
      <c r="AG279" s="132">
        <f t="array" ref="AG279">IF(AE279="","",IFERROR(OFFSET($BZ$11,0,MATCH($AE279,$CA279:$FV279,0),),""))</f>
        <v/>
      </c>
      <c r="AH279" s="121">
        <f t="array" ref="AH279">IF(AE279="","",INDIRECT("'GRD-"&amp;AG279&amp;"'!$L$7"))</f>
        <v/>
      </c>
      <c r="AI279" s="83">
        <f t="array" ref="AI279">IFERROR(OFFSET($BZ$11,ROW($B279)-11,MATCH(AI$10,$CA279:$FV279,0),),"")</f>
        <v/>
      </c>
      <c r="AJ279" s="83">
        <f>IF(AI279="","",IF(VLOOKUP($B279,INDIRECT("'GRD-"&amp;AK279&amp;"'!$B:$R"),16,FALSE)="","",VLOOKUP($B279,INDIRECT("'GRD-"&amp;AK279&amp;"'!$B:$R"),16,FALSE)))</f>
        <v/>
      </c>
      <c r="AK279" s="128">
        <f t="array" ref="AK279">IF(AI279="","",IFERROR(OFFSET($BZ$11,0,MATCH($AI279,$CA279:$FV279,0),),""))</f>
        <v/>
      </c>
      <c r="AL279" s="133">
        <f t="array" ref="AL279">IF(AI279="","",INDIRECT("'GRD-"&amp;AK279&amp;"'!$L$7"))</f>
        <v/>
      </c>
      <c r="AM279" s="84">
        <f t="array" ref="AM279">IFERROR(OFFSET($BZ$11,ROW($B279)-11,MATCH(AM$10,$CA279:$FV279,0),),"")</f>
        <v/>
      </c>
      <c r="AN279" s="84">
        <f>IF(AM279="","",IF(VLOOKUP($B279,INDIRECT("'GRD-"&amp;AO279&amp;"'!$B:$R"),16,FALSE)="","",VLOOKUP($B279,INDIRECT("'GRD-"&amp;AO279&amp;"'!$B:$R"),16,FALSE)))</f>
        <v/>
      </c>
      <c r="AO279" s="129">
        <f t="array" ref="AO279">IF(AM279="","",IFERROR(OFFSET($BZ$11,0,MATCH($AM279,$CA279:$FV279,0),),""))</f>
        <v/>
      </c>
      <c r="AP279" s="134">
        <f t="array" ref="AP279">IF(AM279="","",INDIRECT("'GRD-"&amp;AO279&amp;"'!$L$7"))</f>
        <v/>
      </c>
      <c r="AQ279" s="85">
        <f t="array" ref="AQ279">IFERROR(OFFSET($BZ$11,ROW($B279)-11,MATCH(AQ$10,$CA279:$FV279,0),),"")</f>
        <v/>
      </c>
      <c r="AR279" s="85">
        <f>IF(AQ279="","",IF(VLOOKUP($B279,INDIRECT("'GRD-"&amp;AS279&amp;"'!$B:$R"),16,FALSE)="","",VLOOKUP($B279,INDIRECT("'GRD-"&amp;AS279&amp;"'!$B:$R"),16,FALSE)))</f>
        <v/>
      </c>
      <c r="AS279" s="130">
        <f t="array" ref="AS279">IF(AQ279="","",IFERROR(OFFSET($BZ$11,0,MATCH($AQ279,$CA279:$FV279,0),),""))</f>
        <v/>
      </c>
      <c r="AT279" s="131">
        <f t="array" ref="AT279">IF(AQ279="","",INDIRECT("'GRD-"&amp;AS279&amp;"'!$L$7"))</f>
        <v/>
      </c>
      <c r="AU279" s="76">
        <f t="array" ref="AU279">IFERROR(OFFSET($BZ$11,ROW($B279)-11,MATCH(AU$10,$CA279:$FV279,0),),"")</f>
        <v/>
      </c>
      <c r="AV279" s="76">
        <f>IF(AU279="","",IF(VLOOKUP($B279,INDIRECT("'GRD-"&amp;AW279&amp;"'!$B:$R"),16,FALSE)="","",VLOOKUP($B279,INDIRECT("'GRD-"&amp;AW279&amp;"'!$B:$R"),16,FALSE)))</f>
        <v/>
      </c>
      <c r="AW279" s="132">
        <f t="array" ref="AW279">IF(AU279="","",IFERROR(OFFSET($BZ$11,0,MATCH($AU279,$CA279:$FV279,0),),""))</f>
        <v/>
      </c>
      <c r="AX279" s="121">
        <f t="array" ref="AX279">IF(AU279="","",INDIRECT("'GRD-"&amp;AW279&amp;"'!$L$7"))</f>
        <v/>
      </c>
      <c r="AY279" s="83">
        <f t="array" ref="AY279">IFERROR(OFFSET($BZ$11,ROW($B279)-11,MATCH(AY$10,$CA279:$FV279,0),),"")</f>
        <v/>
      </c>
      <c r="AZ279" s="83">
        <f>IF(AY279="","",IF(VLOOKUP($B279,INDIRECT("'GRD-"&amp;BA279&amp;"'!$B:$R"),16,FALSE)="","",VLOOKUP($B279,INDIRECT("'GRD-"&amp;BA279&amp;"'!$B:$R"),16,FALSE)))</f>
        <v/>
      </c>
      <c r="BA279" s="128">
        <f t="array" ref="BA279">IF(AY279="","",IFERROR(OFFSET($BZ$11,0,MATCH($AY279,$CA279:$FV279,0),),""))</f>
        <v/>
      </c>
      <c r="BB279" s="133">
        <f t="array" ref="BB279">IF(AY279="","",INDIRECT("'GRD-"&amp;BA279&amp;"'!$L$7"))</f>
        <v/>
      </c>
      <c r="BC279" s="84">
        <f t="array" ref="BC279">IFERROR(OFFSET($BZ$11,ROW($B279)-11,MATCH(BC$10,$CA279:$FV279,0),),"")</f>
        <v/>
      </c>
      <c r="BD279" s="84">
        <f>IF(BC279="","",IF(VLOOKUP($B279,INDIRECT("'GRD-"&amp;BE279&amp;"'!$B:$R"),16,FALSE)="","",VLOOKUP($B279,INDIRECT("'GRD-"&amp;BE279&amp;"'!$B:$R"),16,FALSE)))</f>
        <v/>
      </c>
      <c r="BE279" s="129">
        <f t="array" ref="BE279">IF(BC279="","",IFERROR(OFFSET($BZ$11,0,MATCH($BC279,$CA279:$FV279,0),),""))</f>
        <v/>
      </c>
      <c r="BF279" s="134">
        <f t="array" ref="BF279">IF(BC279="","",INDIRECT("'GRD-"&amp;BE279&amp;"'!$L$7"))</f>
        <v/>
      </c>
      <c r="CA279" s="96">
        <f>IFERROR(VLOOKUP($B279,INDIRECT("'GRD-"&amp;CA$11&amp;"'!B:R"),15,FALSE),"")</f>
        <v/>
      </c>
      <c r="CB279" s="96">
        <f>IFERROR(VLOOKUP($B279,INDIRECT("'GRD-"&amp;CB$11&amp;"'!B:R"),15,FALSE),"")</f>
        <v/>
      </c>
      <c r="CC279" s="96">
        <f>IFERROR(VLOOKUP($B279,INDIRECT("'GRD-"&amp;CC$11&amp;"'!B:R"),15,FALSE),"")</f>
        <v/>
      </c>
      <c r="CD279" s="96">
        <f>IFERROR(VLOOKUP($B279,INDIRECT("'GRD-"&amp;CD$11&amp;"'!B:R"),15,FALSE),"")</f>
        <v/>
      </c>
      <c r="CE279" s="96">
        <f>IFERROR(VLOOKUP($B279,INDIRECT("'GRD-"&amp;CE$11&amp;"'!B:R"),15,FALSE),"")</f>
        <v/>
      </c>
      <c r="CF279" s="96">
        <f>IFERROR(VLOOKUP($B279,INDIRECT("'GRD-"&amp;CF$11&amp;"'!B:R"),15,FALSE),"")</f>
        <v/>
      </c>
      <c r="CG279" s="96">
        <f>IFERROR(VLOOKUP($B279,INDIRECT("'GRD-"&amp;CG$11&amp;"'!B:R"),15,FALSE),"")</f>
        <v/>
      </c>
      <c r="CH279" s="96">
        <f>IFERROR(VLOOKUP($B279,INDIRECT("'GRD-"&amp;CH$11&amp;"'!B:R"),15,FALSE),"")</f>
        <v/>
      </c>
      <c r="CI279" s="96">
        <f>IFERROR(VLOOKUP($B279,INDIRECT("'GRD-"&amp;CI$11&amp;"'!B:R"),15,FALSE),"")</f>
        <v/>
      </c>
      <c r="CJ279" s="96">
        <f>IFERROR(VLOOKUP($B279,INDIRECT("'GRD-"&amp;CJ$11&amp;"'!B:R"),15,FALSE),"")</f>
        <v/>
      </c>
      <c r="CK279" s="96">
        <f>IFERROR(VLOOKUP($B279,INDIRECT("'GRD-"&amp;CK$11&amp;"'!B:R"),15,FALSE),"")</f>
        <v/>
      </c>
      <c r="CL279" s="96">
        <f>IFERROR(VLOOKUP($B279,INDIRECT("'GRD-"&amp;CL$11&amp;"'!B:R"),15,FALSE),"")</f>
        <v/>
      </c>
      <c r="CM279" s="96">
        <f>IFERROR(VLOOKUP($B279,INDIRECT("'GRD-"&amp;CM$11&amp;"'!B:R"),15,FALSE),"")</f>
        <v/>
      </c>
      <c r="CN279" s="96">
        <f>IFERROR(VLOOKUP($B279,INDIRECT("'GRD-"&amp;CN$11&amp;"'!B:R"),15,FALSE),"")</f>
        <v/>
      </c>
      <c r="CO279" s="96">
        <f>IFERROR(VLOOKUP($B279,INDIRECT("'GRD-"&amp;CO$11&amp;"'!B:R"),15,FALSE),"")</f>
        <v/>
      </c>
      <c r="CP279" s="96">
        <f>IFERROR(VLOOKUP($B279,INDIRECT("'GRD-"&amp;CP$11&amp;"'!B:R"),15,FALSE),"")</f>
        <v/>
      </c>
      <c r="CQ279" s="96">
        <f>IFERROR(VLOOKUP($B279,INDIRECT("'GRD-"&amp;CQ$11&amp;"'!B:R"),15,FALSE),"")</f>
        <v/>
      </c>
      <c r="CR279" s="96">
        <f>IFERROR(VLOOKUP($B279,INDIRECT("'GRD-"&amp;CR$11&amp;"'!B:R"),15,FALSE),"")</f>
        <v/>
      </c>
      <c r="CS279" s="96">
        <f>IFERROR(VLOOKUP($B279,INDIRECT("'GRD-"&amp;CS$11&amp;"'!B:R"),15,FALSE),"")</f>
        <v/>
      </c>
      <c r="CT279" s="96">
        <f>IFERROR(VLOOKUP($B279,INDIRECT("'GRD-"&amp;CT$11&amp;"'!B:R"),15,FALSE),"")</f>
        <v/>
      </c>
      <c r="CU279" s="96">
        <f>IFERROR(VLOOKUP($B279,INDIRECT("'GRD-"&amp;CU$11&amp;"'!B:R"),15,FALSE),"")</f>
        <v/>
      </c>
      <c r="CV279" s="96">
        <f>IFERROR(VLOOKUP($B279,INDIRECT("'GRD-"&amp;CV$11&amp;"'!B:R"),15,FALSE),"")</f>
        <v/>
      </c>
      <c r="CW279" s="96">
        <f>IFERROR(VLOOKUP($B279,INDIRECT("'GRD-"&amp;CW$11&amp;"'!B:R"),15,FALSE),"")</f>
        <v/>
      </c>
      <c r="CX279" s="96">
        <f>IFERROR(VLOOKUP($B279,INDIRECT("'GRD-"&amp;CX$11&amp;"'!B:R"),15,FALSE),"")</f>
        <v/>
      </c>
      <c r="CY279" s="96">
        <f>IFERROR(VLOOKUP($B279,INDIRECT("'GRD-"&amp;CY$11&amp;"'!B:R"),15,FALSE),"")</f>
        <v/>
      </c>
      <c r="CZ279" s="96">
        <f>IFERROR(VLOOKUP($B279,INDIRECT("'GRD-"&amp;CZ$11&amp;"'!B:R"),15,FALSE),"")</f>
        <v/>
      </c>
      <c r="DA279" s="96">
        <f>IFERROR(VLOOKUP($B279,INDIRECT("'GRD-"&amp;DA$11&amp;"'!B:R"),15,FALSE),"")</f>
        <v/>
      </c>
      <c r="DB279" s="96">
        <f>IFERROR(VLOOKUP($B279,INDIRECT("'GRD-"&amp;DB$11&amp;"'!B:R"),15,FALSE),"")</f>
        <v/>
      </c>
      <c r="DC279" s="96">
        <f>IFERROR(VLOOKUP($B279,INDIRECT("'GRD-"&amp;DC$11&amp;"'!B:R"),15,FALSE),"")</f>
        <v/>
      </c>
      <c r="DD279" s="96">
        <f>IFERROR(VLOOKUP($B279,INDIRECT("'GRD-"&amp;DD$11&amp;"'!B:R"),15,FALSE),"")</f>
        <v/>
      </c>
      <c r="DE279" s="96">
        <f>IFERROR(VLOOKUP($B279,INDIRECT("'GRD-"&amp;DE$11&amp;"'!B:R"),15,FALSE),"")</f>
        <v/>
      </c>
      <c r="DF279" s="96">
        <f>IFERROR(VLOOKUP($B279,INDIRECT("'GRD-"&amp;DF$11&amp;"'!B:R"),15,FALSE),"")</f>
        <v/>
      </c>
      <c r="DG279" s="96">
        <f>IFERROR(VLOOKUP($B279,INDIRECT("'GRD-"&amp;DG$11&amp;"'!B:R"),15,FALSE),"")</f>
        <v/>
      </c>
      <c r="DH279" s="96">
        <f>IFERROR(VLOOKUP($B279,INDIRECT("'GRD-"&amp;DH$11&amp;"'!B:R"),15,FALSE),"")</f>
        <v/>
      </c>
      <c r="DI279" s="96">
        <f>IFERROR(VLOOKUP($B279,INDIRECT("'GRD-"&amp;DI$11&amp;"'!B:R"),15,FALSE),"")</f>
        <v/>
      </c>
      <c r="DJ279" s="96">
        <f>IFERROR(VLOOKUP($B279,INDIRECT("'GRD-"&amp;DJ$11&amp;"'!B:R"),15,FALSE),"")</f>
        <v/>
      </c>
      <c r="DK279" s="96">
        <f>IFERROR(VLOOKUP($B279,INDIRECT("'GRD-"&amp;DK$11&amp;"'!B:R"),15,FALSE),"")</f>
        <v/>
      </c>
      <c r="DL279" s="96">
        <f>IFERROR(VLOOKUP($B279,INDIRECT("'GRD-"&amp;DL$11&amp;"'!B:R"),15,FALSE),"")</f>
        <v/>
      </c>
      <c r="DM279" s="96">
        <f>IFERROR(VLOOKUP($B279,INDIRECT("'GRD-"&amp;DM$11&amp;"'!B:R"),15,FALSE),"")</f>
        <v/>
      </c>
      <c r="DN279" s="96">
        <f>IFERROR(VLOOKUP($B279,INDIRECT("'GRD-"&amp;DN$11&amp;"'!B:R"),15,FALSE),"")</f>
        <v/>
      </c>
      <c r="DO279" s="96">
        <f>IFERROR(VLOOKUP($B279,INDIRECT("'GRD-"&amp;DO$11&amp;"'!B:R"),15,FALSE),"")</f>
        <v/>
      </c>
      <c r="DP279" s="96">
        <f>IFERROR(VLOOKUP($B279,INDIRECT("'GRD-"&amp;DP$11&amp;"'!B:R"),15,FALSE),"")</f>
        <v/>
      </c>
      <c r="DQ279" s="96">
        <f>IFERROR(VLOOKUP($B279,INDIRECT("'GRD-"&amp;DQ$11&amp;"'!B:R"),15,FALSE),"")</f>
        <v/>
      </c>
      <c r="DR279" s="96">
        <f>IFERROR(VLOOKUP($B279,INDIRECT("'GRD-"&amp;DR$11&amp;"'!B:R"),15,FALSE),"")</f>
        <v/>
      </c>
      <c r="DS279" s="96">
        <f>IFERROR(VLOOKUP($B279,INDIRECT("'GRD-"&amp;DS$11&amp;"'!B:R"),15,FALSE),"")</f>
        <v/>
      </c>
      <c r="DT279" s="96">
        <f>IFERROR(VLOOKUP($B279,INDIRECT("'GRD-"&amp;DT$11&amp;"'!B:R"),15,FALSE),"")</f>
        <v/>
      </c>
      <c r="DU279" s="96">
        <f>IFERROR(VLOOKUP($B279,INDIRECT("'GRD-"&amp;DU$11&amp;"'!B:R"),15,FALSE),"")</f>
        <v/>
      </c>
      <c r="DV279" s="96">
        <f>IFERROR(VLOOKUP($B279,INDIRECT("'GRD-"&amp;DV$11&amp;"'!B:R"),15,FALSE),"")</f>
        <v/>
      </c>
      <c r="DW279" s="96">
        <f>IFERROR(VLOOKUP($B279,INDIRECT("'GRD-"&amp;DW$11&amp;"'!B:R"),15,FALSE),"")</f>
        <v/>
      </c>
      <c r="DX279" s="96">
        <f>IFERROR(VLOOKUP($B279,INDIRECT("'GRD-"&amp;DX$11&amp;"'!B:R"),15,FALSE),"")</f>
        <v/>
      </c>
      <c r="DY279" s="96">
        <f>IFERROR(VLOOKUP($B279,INDIRECT("'GRD-"&amp;DY$11&amp;"'!B:R"),15,FALSE),"")</f>
        <v/>
      </c>
      <c r="DZ279" s="96">
        <f>IFERROR(VLOOKUP($B279,INDIRECT("'GRD-"&amp;DZ$11&amp;"'!B:R"),15,FALSE),"")</f>
        <v/>
      </c>
      <c r="EA279" s="96">
        <f>IFERROR(VLOOKUP($B279,INDIRECT("'GRD-"&amp;EA$11&amp;"'!B:R"),15,FALSE),"")</f>
        <v/>
      </c>
      <c r="EB279" s="96">
        <f>IFERROR(VLOOKUP($B279,INDIRECT("'GRD-"&amp;EB$11&amp;"'!B:R"),15,FALSE),"")</f>
        <v/>
      </c>
      <c r="EC279" s="96">
        <f>IFERROR(VLOOKUP($B279,INDIRECT("'GRD-"&amp;EC$11&amp;"'!B:R"),15,FALSE),"")</f>
        <v/>
      </c>
      <c r="ED279" s="96">
        <f>IFERROR(VLOOKUP($B279,INDIRECT("'GRD-"&amp;ED$11&amp;"'!B:R"),15,FALSE),"")</f>
        <v/>
      </c>
      <c r="EE279" s="96">
        <f>IFERROR(VLOOKUP($B279,INDIRECT("'GRD-"&amp;EE$11&amp;"'!B:R"),15,FALSE),"")</f>
        <v/>
      </c>
      <c r="EF279" s="96">
        <f>IFERROR(VLOOKUP($B279,INDIRECT("'GRD-"&amp;EF$11&amp;"'!B:R"),15,FALSE),"")</f>
        <v/>
      </c>
      <c r="EG279" s="96">
        <f>IFERROR(VLOOKUP($B279,INDIRECT("'GRD-"&amp;EG$11&amp;"'!B:R"),15,FALSE),"")</f>
        <v/>
      </c>
      <c r="EH279" s="96">
        <f>IFERROR(VLOOKUP($B279,INDIRECT("'GRD-"&amp;EH$11&amp;"'!B:R"),15,FALSE),"")</f>
        <v/>
      </c>
      <c r="EI279" s="96">
        <f>IFERROR(VLOOKUP($B279,INDIRECT("'GRD-"&amp;EI$11&amp;"'!B:R"),15,FALSE),"")</f>
        <v/>
      </c>
      <c r="EJ279" s="96">
        <f>IFERROR(VLOOKUP($B279,INDIRECT("'GRD-"&amp;EJ$11&amp;"'!B:R"),15,FALSE),"")</f>
        <v/>
      </c>
      <c r="EK279" s="96">
        <f>IFERROR(VLOOKUP($B279,INDIRECT("'GRD-"&amp;EK$11&amp;"'!B:R"),15,FALSE),"")</f>
        <v/>
      </c>
      <c r="EL279" s="96">
        <f>IFERROR(VLOOKUP($B279,INDIRECT("'GRD-"&amp;EL$11&amp;"'!B:R"),15,FALSE),"")</f>
        <v/>
      </c>
      <c r="EM279" s="96">
        <f>IFERROR(VLOOKUP($B279,INDIRECT("'GRD-"&amp;EM$11&amp;"'!B:R"),15,FALSE),"")</f>
        <v/>
      </c>
      <c r="EN279" s="96">
        <f>IFERROR(VLOOKUP($B279,INDIRECT("'GRD-"&amp;EN$11&amp;"'!B:R"),15,FALSE),"")</f>
        <v/>
      </c>
      <c r="EO279" s="96">
        <f>IFERROR(VLOOKUP($B279,INDIRECT("'GRD-"&amp;EO$11&amp;"'!B:R"),15,FALSE),"")</f>
        <v/>
      </c>
      <c r="EP279" s="96">
        <f>IFERROR(VLOOKUP($B279,INDIRECT("'GRD-"&amp;EP$11&amp;"'!B:R"),15,FALSE),"")</f>
        <v/>
      </c>
      <c r="EQ279" s="96">
        <f>IFERROR(VLOOKUP($B279,INDIRECT("'GRD-"&amp;EQ$11&amp;"'!B:R"),15,FALSE),"")</f>
        <v/>
      </c>
      <c r="ER279" s="96">
        <f>IFERROR(VLOOKUP($B279,INDIRECT("'GRD-"&amp;ER$11&amp;"'!B:R"),15,FALSE),"")</f>
        <v/>
      </c>
      <c r="ES279" s="96">
        <f>IFERROR(VLOOKUP($B279,INDIRECT("'GRD-"&amp;ES$11&amp;"'!B:R"),15,FALSE),"")</f>
        <v/>
      </c>
      <c r="ET279" s="96">
        <f>IFERROR(VLOOKUP($B279,INDIRECT("'GRD-"&amp;ET$11&amp;"'!B:R"),15,FALSE),"")</f>
        <v/>
      </c>
      <c r="EU279" s="96">
        <f>IFERROR(VLOOKUP($B279,INDIRECT("'GRD-"&amp;EU$11&amp;"'!B:R"),15,FALSE),"")</f>
        <v/>
      </c>
      <c r="EV279" s="96">
        <f>IFERROR(VLOOKUP($B279,INDIRECT("'GRD-"&amp;EV$11&amp;"'!B:R"),15,FALSE),"")</f>
        <v/>
      </c>
      <c r="EW279" s="96">
        <f>IFERROR(VLOOKUP($B279,INDIRECT("'GRD-"&amp;EW$11&amp;"'!B:R"),15,FALSE),"")</f>
        <v/>
      </c>
      <c r="EX279" s="96">
        <f>IFERROR(VLOOKUP($B279,INDIRECT("'GRD-"&amp;EX$11&amp;"'!B:R"),15,FALSE),"")</f>
        <v/>
      </c>
      <c r="EY279" s="96">
        <f>IFERROR(VLOOKUP($B279,INDIRECT("'GRD-"&amp;EY$11&amp;"'!B:R"),15,FALSE),"")</f>
        <v/>
      </c>
      <c r="EZ279" s="96">
        <f>IFERROR(VLOOKUP($B279,INDIRECT("'GRD-"&amp;EZ$11&amp;"'!B:R"),15,FALSE),"")</f>
        <v/>
      </c>
      <c r="FA279" s="96">
        <f>IFERROR(VLOOKUP($B279,INDIRECT("'GRD-"&amp;FA$11&amp;"'!B:R"),15,FALSE),"")</f>
        <v/>
      </c>
      <c r="FB279" s="96">
        <f>IFERROR(VLOOKUP($B279,INDIRECT("'GRD-"&amp;FB$11&amp;"'!B:R"),15,FALSE),"")</f>
        <v/>
      </c>
      <c r="FC279" s="96">
        <f>IFERROR(VLOOKUP($B279,INDIRECT("'GRD-"&amp;FC$11&amp;"'!B:R"),15,FALSE),"")</f>
        <v/>
      </c>
      <c r="FD279" s="96">
        <f>IFERROR(VLOOKUP($B279,INDIRECT("'GRD-"&amp;FD$11&amp;"'!B:R"),15,FALSE),"")</f>
        <v/>
      </c>
      <c r="FE279" s="96">
        <f>IFERROR(VLOOKUP($B279,INDIRECT("'GRD-"&amp;FE$11&amp;"'!B:R"),15,FALSE),"")</f>
        <v/>
      </c>
      <c r="FF279" s="96">
        <f>IFERROR(VLOOKUP($B279,INDIRECT("'GRD-"&amp;FF$11&amp;"'!B:R"),15,FALSE),"")</f>
        <v/>
      </c>
      <c r="FG279" s="96">
        <f>IFERROR(VLOOKUP($B279,INDIRECT("'GRD-"&amp;FG$11&amp;"'!B:R"),15,FALSE),"")</f>
        <v/>
      </c>
      <c r="FH279" s="96">
        <f>IFERROR(VLOOKUP($B279,INDIRECT("'GRD-"&amp;FH$11&amp;"'!B:R"),15,FALSE),"")</f>
        <v/>
      </c>
      <c r="FI279" s="96">
        <f>IFERROR(VLOOKUP($B279,INDIRECT("'GRD-"&amp;FI$11&amp;"'!B:R"),15,FALSE),"")</f>
        <v/>
      </c>
      <c r="FJ279" s="96">
        <f>IFERROR(VLOOKUP($B279,INDIRECT("'GRD-"&amp;FJ$11&amp;"'!B:R"),15,FALSE),"")</f>
        <v/>
      </c>
      <c r="FK279" s="96">
        <f>IFERROR(VLOOKUP($B279,INDIRECT("'GRD-"&amp;FK$11&amp;"'!B:R"),15,FALSE),"")</f>
        <v/>
      </c>
      <c r="FL279" s="96">
        <f>IFERROR(VLOOKUP($B279,INDIRECT("'GRD-"&amp;FL$11&amp;"'!B:R"),15,FALSE),"")</f>
        <v/>
      </c>
      <c r="FM279" s="96">
        <f>IFERROR(VLOOKUP($B279,INDIRECT("'GRD-"&amp;FM$11&amp;"'!B:R"),15,FALSE),"")</f>
        <v/>
      </c>
      <c r="FN279" s="96">
        <f>IFERROR(VLOOKUP($B279,INDIRECT("'GRD-"&amp;FN$11&amp;"'!B:R"),15,FALSE),"")</f>
        <v/>
      </c>
      <c r="FO279" s="96">
        <f>IFERROR(VLOOKUP($B279,INDIRECT("'GRD-"&amp;FO$11&amp;"'!B:R"),15,FALSE),"")</f>
        <v/>
      </c>
      <c r="FP279" s="96">
        <f>IFERROR(VLOOKUP($B279,INDIRECT("'GRD-"&amp;FP$11&amp;"'!B:R"),15,FALSE),"")</f>
        <v/>
      </c>
      <c r="FQ279" s="96">
        <f>IFERROR(VLOOKUP($B279,INDIRECT("'GRD-"&amp;FQ$11&amp;"'!B:R"),15,FALSE),"")</f>
        <v/>
      </c>
      <c r="FR279" s="96">
        <f>IFERROR(VLOOKUP($B279,INDIRECT("'GRD-"&amp;FR$11&amp;"'!B:R"),15,FALSE),"")</f>
        <v/>
      </c>
      <c r="FS279" s="96">
        <f>IFERROR(VLOOKUP($B279,INDIRECT("'GRD-"&amp;FS$11&amp;"'!B:R"),15,FALSE),"")</f>
        <v/>
      </c>
      <c r="FT279" s="96">
        <f>IFERROR(VLOOKUP($B279,INDIRECT("'GRD-"&amp;FT$11&amp;"'!B:R"),15,FALSE),"")</f>
        <v/>
      </c>
      <c r="FU279" s="96">
        <f>IFERROR(VLOOKUP($B279,INDIRECT("'GRD-"&amp;FU$11&amp;"'!B:R"),15,FALSE),"")</f>
        <v/>
      </c>
      <c r="FV279" s="96">
        <f>IFERROR(VLOOKUP($B279,INDIRECT("'GRD-"&amp;FV$11&amp;"'!B:R"),15,FALSE),"")</f>
        <v/>
      </c>
    </row>
    <row r="280">
      <c r="B280" s="85" t="n"/>
      <c r="C280" s="93" t="n"/>
      <c r="D280" s="73">
        <f>IF(K280="","",MAX($CA280:$FV280))</f>
        <v/>
      </c>
      <c r="E280" s="74">
        <f t="array" ref="E280">IF($K280="","",OFFSET($A$1,ROW($B280)-1,11+$D280*4,))</f>
        <v/>
      </c>
      <c r="F280" s="74">
        <f t="array" ref="F280">IF($K280="","",OFFSET($A$1,ROW($B280)-1,12+$D280*4,))</f>
        <v/>
      </c>
      <c r="G280" s="118">
        <f t="array" ref="G280">IF($K280="","",OFFSET($A$1,ROW($B280)-1,13+$D280*4,))</f>
        <v/>
      </c>
      <c r="H280" s="81" t="n"/>
      <c r="I280" s="82" t="n"/>
      <c r="J280" s="75">
        <f>IF(I280="A4",H280/8,IF(I280="A3",H280/4,IF(I280="A2",H280/2,IF(I280="A1",H280/1,IF(I280="A0",H280*2,"")))))</f>
        <v/>
      </c>
      <c r="K280" s="68">
        <f t="array" ref="K280">IFERROR(OFFSET($BZ$11,ROW($B280)-11,MATCH(K$10,$CA280:$FV280,0),),"")</f>
        <v/>
      </c>
      <c r="L280" s="85">
        <f>IF(K280="","",IF(VLOOKUP($B280,INDIRECT("'GRD-"&amp;M280&amp;"'!$B:$R"),16,FALSE)="","",VLOOKUP($B280,INDIRECT("'GRD-"&amp;M280&amp;"'!$B:$R"),16,FALSE)))</f>
        <v/>
      </c>
      <c r="M280" s="130">
        <f t="array" ref="M280">IF(K280="","",IFERROR(OFFSET($BZ$11,0,MATCH($K280,$CA280:$FV280,0),),""))</f>
        <v/>
      </c>
      <c r="N280" s="119">
        <f t="array" ref="N280">IF(K280="","",INDIRECT("'GRD-"&amp;M280&amp;"'!$L$7"))</f>
        <v/>
      </c>
      <c r="O280" s="76">
        <f t="array" ref="O280">IFERROR(OFFSET($BZ$11,ROW($B280)-11,MATCH(O$10,$CA280:$FV280,0),),"")</f>
        <v/>
      </c>
      <c r="P280" s="76">
        <f>IF(O280="","",IF(VLOOKUP($B280,INDIRECT("'GRD-"&amp;Q280&amp;"'!$B:$R"),16,FALSE)="","",VLOOKUP($B280,INDIRECT("'GRD-"&amp;Q280&amp;"'!$B:$R"),16,FALSE)))</f>
        <v/>
      </c>
      <c r="Q280" s="132">
        <f t="array" ref="Q280">IF(O280="","",IFERROR(OFFSET($BZ$11,0,MATCH($O280,$CA280:$FV280,0),),""))</f>
        <v/>
      </c>
      <c r="R280" s="121">
        <f t="array" ref="R280">IF(O280="","",INDIRECT("'GRD-"&amp;Q280&amp;"'!$L$7"))</f>
        <v/>
      </c>
      <c r="S280" s="83">
        <f t="array" ref="S280">IFERROR(OFFSET($BZ$11,ROW($B280)-11,MATCH(S$10,$CA280:$FV280,0),),"")</f>
        <v/>
      </c>
      <c r="T280" s="83">
        <f>IF(S280="","",IF(VLOOKUP($B280,INDIRECT("'GRD-"&amp;U280&amp;"'!$B:$R"),16,FALSE)="","",VLOOKUP($B280,INDIRECT("'GRD-"&amp;U280&amp;"'!$B:$R"),16,FALSE)))</f>
        <v/>
      </c>
      <c r="U280" s="128">
        <f t="array" ref="U280">IF(S280="","",IFERROR(OFFSET($BZ$11,0,MATCH($S280,$CA280:$FV280,0),),""))</f>
        <v/>
      </c>
      <c r="V280" s="133">
        <f t="array" ref="V280">IF(S280="","",INDIRECT("'GRD-"&amp;U280&amp;"'!$L$7"))</f>
        <v/>
      </c>
      <c r="W280" s="84">
        <f t="array" ref="W280">IFERROR(OFFSET($BZ$11,ROW($B280)-11,MATCH(W$10,$CA280:$FV280,0),),"")</f>
        <v/>
      </c>
      <c r="X280" s="84">
        <f>IF(W280="","",IF(VLOOKUP($B280,INDIRECT("'GRD-"&amp;Y280&amp;"'!$B:$R"),16,FALSE)="","",VLOOKUP($B280,INDIRECT("'GRD-"&amp;Y280&amp;"'!$B:$R"),16,FALSE)))</f>
        <v/>
      </c>
      <c r="Y280" s="129">
        <f t="array" ref="Y280">IF(W280="","",IFERROR(OFFSET($BZ$11,0,MATCH($W280,$CA280:$FV280,0),),""))</f>
        <v/>
      </c>
      <c r="Z280" s="134">
        <f t="array" ref="Z280">IF(W280="","",INDIRECT("'GRD-"&amp;Y280&amp;"'!$L$7"))</f>
        <v/>
      </c>
      <c r="AA280" s="85">
        <f t="array" ref="AA280">IFERROR(OFFSET($BZ$11,ROW($B280)-11,MATCH(AA$10,$CA280:$FV280,0),),"")</f>
        <v/>
      </c>
      <c r="AB280" s="85">
        <f>IF(AA280="","",IF(VLOOKUP($B280,INDIRECT("'GRD-"&amp;AC280&amp;"'!$B:$R"),16,FALSE)="","",VLOOKUP($B280,INDIRECT("'GRD-"&amp;AC280&amp;"'!$B:$R"),16,FALSE)))</f>
        <v/>
      </c>
      <c r="AC280" s="130">
        <f t="array" ref="AC280">IF(AA280="","",IFERROR(OFFSET($BZ$11,0,MATCH($AA280,$CA280:$FV280,0),),""))</f>
        <v/>
      </c>
      <c r="AD280" s="131">
        <f t="array" ref="AD280">IF(AA280="","",INDIRECT("'GRD-"&amp;AC280&amp;"'!$L$7"))</f>
        <v/>
      </c>
      <c r="AE280" s="76">
        <f t="array" ref="AE280">IFERROR(OFFSET($BZ$11,ROW($B280)-11,MATCH(AE$10,$CA280:$FV280,0),),"")</f>
        <v/>
      </c>
      <c r="AF280" s="76">
        <f>IF(AE280="","",IF(VLOOKUP($B280,INDIRECT("'GRD-"&amp;AG280&amp;"'!$B:$R"),16,FALSE)="","",VLOOKUP($B280,INDIRECT("'GRD-"&amp;AG280&amp;"'!$B:$R"),16,FALSE)))</f>
        <v/>
      </c>
      <c r="AG280" s="132">
        <f t="array" ref="AG280">IF(AE280="","",IFERROR(OFFSET($BZ$11,0,MATCH($AE280,$CA280:$FV280,0),),""))</f>
        <v/>
      </c>
      <c r="AH280" s="121">
        <f t="array" ref="AH280">IF(AE280="","",INDIRECT("'GRD-"&amp;AG280&amp;"'!$L$7"))</f>
        <v/>
      </c>
      <c r="AI280" s="83">
        <f t="array" ref="AI280">IFERROR(OFFSET($BZ$11,ROW($B280)-11,MATCH(AI$10,$CA280:$FV280,0),),"")</f>
        <v/>
      </c>
      <c r="AJ280" s="83">
        <f>IF(AI280="","",IF(VLOOKUP($B280,INDIRECT("'GRD-"&amp;AK280&amp;"'!$B:$R"),16,FALSE)="","",VLOOKUP($B280,INDIRECT("'GRD-"&amp;AK280&amp;"'!$B:$R"),16,FALSE)))</f>
        <v/>
      </c>
      <c r="AK280" s="128">
        <f t="array" ref="AK280">IF(AI280="","",IFERROR(OFFSET($BZ$11,0,MATCH($AI280,$CA280:$FV280,0),),""))</f>
        <v/>
      </c>
      <c r="AL280" s="133">
        <f t="array" ref="AL280">IF(AI280="","",INDIRECT("'GRD-"&amp;AK280&amp;"'!$L$7"))</f>
        <v/>
      </c>
      <c r="AM280" s="84">
        <f t="array" ref="AM280">IFERROR(OFFSET($BZ$11,ROW($B280)-11,MATCH(AM$10,$CA280:$FV280,0),),"")</f>
        <v/>
      </c>
      <c r="AN280" s="84">
        <f>IF(AM280="","",IF(VLOOKUP($B280,INDIRECT("'GRD-"&amp;AO280&amp;"'!$B:$R"),16,FALSE)="","",VLOOKUP($B280,INDIRECT("'GRD-"&amp;AO280&amp;"'!$B:$R"),16,FALSE)))</f>
        <v/>
      </c>
      <c r="AO280" s="129">
        <f t="array" ref="AO280">IF(AM280="","",IFERROR(OFFSET($BZ$11,0,MATCH($AM280,$CA280:$FV280,0),),""))</f>
        <v/>
      </c>
      <c r="AP280" s="134">
        <f t="array" ref="AP280">IF(AM280="","",INDIRECT("'GRD-"&amp;AO280&amp;"'!$L$7"))</f>
        <v/>
      </c>
      <c r="AQ280" s="85">
        <f t="array" ref="AQ280">IFERROR(OFFSET($BZ$11,ROW($B280)-11,MATCH(AQ$10,$CA280:$FV280,0),),"")</f>
        <v/>
      </c>
      <c r="AR280" s="85">
        <f>IF(AQ280="","",IF(VLOOKUP($B280,INDIRECT("'GRD-"&amp;AS280&amp;"'!$B:$R"),16,FALSE)="","",VLOOKUP($B280,INDIRECT("'GRD-"&amp;AS280&amp;"'!$B:$R"),16,FALSE)))</f>
        <v/>
      </c>
      <c r="AS280" s="130">
        <f t="array" ref="AS280">IF(AQ280="","",IFERROR(OFFSET($BZ$11,0,MATCH($AQ280,$CA280:$FV280,0),),""))</f>
        <v/>
      </c>
      <c r="AT280" s="131">
        <f t="array" ref="AT280">IF(AQ280="","",INDIRECT("'GRD-"&amp;AS280&amp;"'!$L$7"))</f>
        <v/>
      </c>
      <c r="AU280" s="76">
        <f t="array" ref="AU280">IFERROR(OFFSET($BZ$11,ROW($B280)-11,MATCH(AU$10,$CA280:$FV280,0),),"")</f>
        <v/>
      </c>
      <c r="AV280" s="76">
        <f>IF(AU280="","",IF(VLOOKUP($B280,INDIRECT("'GRD-"&amp;AW280&amp;"'!$B:$R"),16,FALSE)="","",VLOOKUP($B280,INDIRECT("'GRD-"&amp;AW280&amp;"'!$B:$R"),16,FALSE)))</f>
        <v/>
      </c>
      <c r="AW280" s="132">
        <f t="array" ref="AW280">IF(AU280="","",IFERROR(OFFSET($BZ$11,0,MATCH($AU280,$CA280:$FV280,0),),""))</f>
        <v/>
      </c>
      <c r="AX280" s="121">
        <f t="array" ref="AX280">IF(AU280="","",INDIRECT("'GRD-"&amp;AW280&amp;"'!$L$7"))</f>
        <v/>
      </c>
      <c r="AY280" s="83">
        <f t="array" ref="AY280">IFERROR(OFFSET($BZ$11,ROW($B280)-11,MATCH(AY$10,$CA280:$FV280,0),),"")</f>
        <v/>
      </c>
      <c r="AZ280" s="83">
        <f>IF(AY280="","",IF(VLOOKUP($B280,INDIRECT("'GRD-"&amp;BA280&amp;"'!$B:$R"),16,FALSE)="","",VLOOKUP($B280,INDIRECT("'GRD-"&amp;BA280&amp;"'!$B:$R"),16,FALSE)))</f>
        <v/>
      </c>
      <c r="BA280" s="128">
        <f t="array" ref="BA280">IF(AY280="","",IFERROR(OFFSET($BZ$11,0,MATCH($AY280,$CA280:$FV280,0),),""))</f>
        <v/>
      </c>
      <c r="BB280" s="133">
        <f t="array" ref="BB280">IF(AY280="","",INDIRECT("'GRD-"&amp;BA280&amp;"'!$L$7"))</f>
        <v/>
      </c>
      <c r="BC280" s="84">
        <f t="array" ref="BC280">IFERROR(OFFSET($BZ$11,ROW($B280)-11,MATCH(BC$10,$CA280:$FV280,0),),"")</f>
        <v/>
      </c>
      <c r="BD280" s="84">
        <f>IF(BC280="","",IF(VLOOKUP($B280,INDIRECT("'GRD-"&amp;BE280&amp;"'!$B:$R"),16,FALSE)="","",VLOOKUP($B280,INDIRECT("'GRD-"&amp;BE280&amp;"'!$B:$R"),16,FALSE)))</f>
        <v/>
      </c>
      <c r="BE280" s="129">
        <f t="array" ref="BE280">IF(BC280="","",IFERROR(OFFSET($BZ$11,0,MATCH($BC280,$CA280:$FV280,0),),""))</f>
        <v/>
      </c>
      <c r="BF280" s="134">
        <f t="array" ref="BF280">IF(BC280="","",INDIRECT("'GRD-"&amp;BE280&amp;"'!$L$7"))</f>
        <v/>
      </c>
      <c r="CA280" s="96">
        <f>IFERROR(VLOOKUP($B280,INDIRECT("'GRD-"&amp;CA$11&amp;"'!B:R"),15,FALSE),"")</f>
        <v/>
      </c>
      <c r="CB280" s="96">
        <f>IFERROR(VLOOKUP($B280,INDIRECT("'GRD-"&amp;CB$11&amp;"'!B:R"),15,FALSE),"")</f>
        <v/>
      </c>
      <c r="CC280" s="96">
        <f>IFERROR(VLOOKUP($B280,INDIRECT("'GRD-"&amp;CC$11&amp;"'!B:R"),15,FALSE),"")</f>
        <v/>
      </c>
      <c r="CD280" s="96">
        <f>IFERROR(VLOOKUP($B280,INDIRECT("'GRD-"&amp;CD$11&amp;"'!B:R"),15,FALSE),"")</f>
        <v/>
      </c>
      <c r="CE280" s="96">
        <f>IFERROR(VLOOKUP($B280,INDIRECT("'GRD-"&amp;CE$11&amp;"'!B:R"),15,FALSE),"")</f>
        <v/>
      </c>
      <c r="CF280" s="96">
        <f>IFERROR(VLOOKUP($B280,INDIRECT("'GRD-"&amp;CF$11&amp;"'!B:R"),15,FALSE),"")</f>
        <v/>
      </c>
      <c r="CG280" s="96">
        <f>IFERROR(VLOOKUP($B280,INDIRECT("'GRD-"&amp;CG$11&amp;"'!B:R"),15,FALSE),"")</f>
        <v/>
      </c>
      <c r="CH280" s="96">
        <f>IFERROR(VLOOKUP($B280,INDIRECT("'GRD-"&amp;CH$11&amp;"'!B:R"),15,FALSE),"")</f>
        <v/>
      </c>
      <c r="CI280" s="96">
        <f>IFERROR(VLOOKUP($B280,INDIRECT("'GRD-"&amp;CI$11&amp;"'!B:R"),15,FALSE),"")</f>
        <v/>
      </c>
      <c r="CJ280" s="96">
        <f>IFERROR(VLOOKUP($B280,INDIRECT("'GRD-"&amp;CJ$11&amp;"'!B:R"),15,FALSE),"")</f>
        <v/>
      </c>
      <c r="CK280" s="96">
        <f>IFERROR(VLOOKUP($B280,INDIRECT("'GRD-"&amp;CK$11&amp;"'!B:R"),15,FALSE),"")</f>
        <v/>
      </c>
      <c r="CL280" s="96">
        <f>IFERROR(VLOOKUP($B280,INDIRECT("'GRD-"&amp;CL$11&amp;"'!B:R"),15,FALSE),"")</f>
        <v/>
      </c>
      <c r="CM280" s="96">
        <f>IFERROR(VLOOKUP($B280,INDIRECT("'GRD-"&amp;CM$11&amp;"'!B:R"),15,FALSE),"")</f>
        <v/>
      </c>
      <c r="CN280" s="96">
        <f>IFERROR(VLOOKUP($B280,INDIRECT("'GRD-"&amp;CN$11&amp;"'!B:R"),15,FALSE),"")</f>
        <v/>
      </c>
      <c r="CO280" s="96">
        <f>IFERROR(VLOOKUP($B280,INDIRECT("'GRD-"&amp;CO$11&amp;"'!B:R"),15,FALSE),"")</f>
        <v/>
      </c>
      <c r="CP280" s="96">
        <f>IFERROR(VLOOKUP($B280,INDIRECT("'GRD-"&amp;CP$11&amp;"'!B:R"),15,FALSE),"")</f>
        <v/>
      </c>
      <c r="CQ280" s="96">
        <f>IFERROR(VLOOKUP($B280,INDIRECT("'GRD-"&amp;CQ$11&amp;"'!B:R"),15,FALSE),"")</f>
        <v/>
      </c>
      <c r="CR280" s="96">
        <f>IFERROR(VLOOKUP($B280,INDIRECT("'GRD-"&amp;CR$11&amp;"'!B:R"),15,FALSE),"")</f>
        <v/>
      </c>
      <c r="CS280" s="96">
        <f>IFERROR(VLOOKUP($B280,INDIRECT("'GRD-"&amp;CS$11&amp;"'!B:R"),15,FALSE),"")</f>
        <v/>
      </c>
      <c r="CT280" s="96">
        <f>IFERROR(VLOOKUP($B280,INDIRECT("'GRD-"&amp;CT$11&amp;"'!B:R"),15,FALSE),"")</f>
        <v/>
      </c>
      <c r="CU280" s="96">
        <f>IFERROR(VLOOKUP($B280,INDIRECT("'GRD-"&amp;CU$11&amp;"'!B:R"),15,FALSE),"")</f>
        <v/>
      </c>
      <c r="CV280" s="96">
        <f>IFERROR(VLOOKUP($B280,INDIRECT("'GRD-"&amp;CV$11&amp;"'!B:R"),15,FALSE),"")</f>
        <v/>
      </c>
      <c r="CW280" s="96">
        <f>IFERROR(VLOOKUP($B280,INDIRECT("'GRD-"&amp;CW$11&amp;"'!B:R"),15,FALSE),"")</f>
        <v/>
      </c>
      <c r="CX280" s="96">
        <f>IFERROR(VLOOKUP($B280,INDIRECT("'GRD-"&amp;CX$11&amp;"'!B:R"),15,FALSE),"")</f>
        <v/>
      </c>
      <c r="CY280" s="96">
        <f>IFERROR(VLOOKUP($B280,INDIRECT("'GRD-"&amp;CY$11&amp;"'!B:R"),15,FALSE),"")</f>
        <v/>
      </c>
      <c r="CZ280" s="96">
        <f>IFERROR(VLOOKUP($B280,INDIRECT("'GRD-"&amp;CZ$11&amp;"'!B:R"),15,FALSE),"")</f>
        <v/>
      </c>
      <c r="DA280" s="96">
        <f>IFERROR(VLOOKUP($B280,INDIRECT("'GRD-"&amp;DA$11&amp;"'!B:R"),15,FALSE),"")</f>
        <v/>
      </c>
      <c r="DB280" s="96">
        <f>IFERROR(VLOOKUP($B280,INDIRECT("'GRD-"&amp;DB$11&amp;"'!B:R"),15,FALSE),"")</f>
        <v/>
      </c>
      <c r="DC280" s="96">
        <f>IFERROR(VLOOKUP($B280,INDIRECT("'GRD-"&amp;DC$11&amp;"'!B:R"),15,FALSE),"")</f>
        <v/>
      </c>
      <c r="DD280" s="96">
        <f>IFERROR(VLOOKUP($B280,INDIRECT("'GRD-"&amp;DD$11&amp;"'!B:R"),15,FALSE),"")</f>
        <v/>
      </c>
      <c r="DE280" s="96">
        <f>IFERROR(VLOOKUP($B280,INDIRECT("'GRD-"&amp;DE$11&amp;"'!B:R"),15,FALSE),"")</f>
        <v/>
      </c>
      <c r="DF280" s="96">
        <f>IFERROR(VLOOKUP($B280,INDIRECT("'GRD-"&amp;DF$11&amp;"'!B:R"),15,FALSE),"")</f>
        <v/>
      </c>
      <c r="DG280" s="96">
        <f>IFERROR(VLOOKUP($B280,INDIRECT("'GRD-"&amp;DG$11&amp;"'!B:R"),15,FALSE),"")</f>
        <v/>
      </c>
      <c r="DH280" s="96">
        <f>IFERROR(VLOOKUP($B280,INDIRECT("'GRD-"&amp;DH$11&amp;"'!B:R"),15,FALSE),"")</f>
        <v/>
      </c>
      <c r="DI280" s="96">
        <f>IFERROR(VLOOKUP($B280,INDIRECT("'GRD-"&amp;DI$11&amp;"'!B:R"),15,FALSE),"")</f>
        <v/>
      </c>
      <c r="DJ280" s="96">
        <f>IFERROR(VLOOKUP($B280,INDIRECT("'GRD-"&amp;DJ$11&amp;"'!B:R"),15,FALSE),"")</f>
        <v/>
      </c>
      <c r="DK280" s="96">
        <f>IFERROR(VLOOKUP($B280,INDIRECT("'GRD-"&amp;DK$11&amp;"'!B:R"),15,FALSE),"")</f>
        <v/>
      </c>
      <c r="DL280" s="96">
        <f>IFERROR(VLOOKUP($B280,INDIRECT("'GRD-"&amp;DL$11&amp;"'!B:R"),15,FALSE),"")</f>
        <v/>
      </c>
      <c r="DM280" s="96">
        <f>IFERROR(VLOOKUP($B280,INDIRECT("'GRD-"&amp;DM$11&amp;"'!B:R"),15,FALSE),"")</f>
        <v/>
      </c>
      <c r="DN280" s="96">
        <f>IFERROR(VLOOKUP($B280,INDIRECT("'GRD-"&amp;DN$11&amp;"'!B:R"),15,FALSE),"")</f>
        <v/>
      </c>
      <c r="DO280" s="96">
        <f>IFERROR(VLOOKUP($B280,INDIRECT("'GRD-"&amp;DO$11&amp;"'!B:R"),15,FALSE),"")</f>
        <v/>
      </c>
      <c r="DP280" s="96">
        <f>IFERROR(VLOOKUP($B280,INDIRECT("'GRD-"&amp;DP$11&amp;"'!B:R"),15,FALSE),"")</f>
        <v/>
      </c>
      <c r="DQ280" s="96">
        <f>IFERROR(VLOOKUP($B280,INDIRECT("'GRD-"&amp;DQ$11&amp;"'!B:R"),15,FALSE),"")</f>
        <v/>
      </c>
      <c r="DR280" s="96">
        <f>IFERROR(VLOOKUP($B280,INDIRECT("'GRD-"&amp;DR$11&amp;"'!B:R"),15,FALSE),"")</f>
        <v/>
      </c>
      <c r="DS280" s="96">
        <f>IFERROR(VLOOKUP($B280,INDIRECT("'GRD-"&amp;DS$11&amp;"'!B:R"),15,FALSE),"")</f>
        <v/>
      </c>
      <c r="DT280" s="96">
        <f>IFERROR(VLOOKUP($B280,INDIRECT("'GRD-"&amp;DT$11&amp;"'!B:R"),15,FALSE),"")</f>
        <v/>
      </c>
      <c r="DU280" s="96">
        <f>IFERROR(VLOOKUP($B280,INDIRECT("'GRD-"&amp;DU$11&amp;"'!B:R"),15,FALSE),"")</f>
        <v/>
      </c>
      <c r="DV280" s="96">
        <f>IFERROR(VLOOKUP($B280,INDIRECT("'GRD-"&amp;DV$11&amp;"'!B:R"),15,FALSE),"")</f>
        <v/>
      </c>
      <c r="DW280" s="96">
        <f>IFERROR(VLOOKUP($B280,INDIRECT("'GRD-"&amp;DW$11&amp;"'!B:R"),15,FALSE),"")</f>
        <v/>
      </c>
      <c r="DX280" s="96">
        <f>IFERROR(VLOOKUP($B280,INDIRECT("'GRD-"&amp;DX$11&amp;"'!B:R"),15,FALSE),"")</f>
        <v/>
      </c>
      <c r="DY280" s="96">
        <f>IFERROR(VLOOKUP($B280,INDIRECT("'GRD-"&amp;DY$11&amp;"'!B:R"),15,FALSE),"")</f>
        <v/>
      </c>
      <c r="DZ280" s="96">
        <f>IFERROR(VLOOKUP($B280,INDIRECT("'GRD-"&amp;DZ$11&amp;"'!B:R"),15,FALSE),"")</f>
        <v/>
      </c>
      <c r="EA280" s="96">
        <f>IFERROR(VLOOKUP($B280,INDIRECT("'GRD-"&amp;EA$11&amp;"'!B:R"),15,FALSE),"")</f>
        <v/>
      </c>
      <c r="EB280" s="96">
        <f>IFERROR(VLOOKUP($B280,INDIRECT("'GRD-"&amp;EB$11&amp;"'!B:R"),15,FALSE),"")</f>
        <v/>
      </c>
      <c r="EC280" s="96">
        <f>IFERROR(VLOOKUP($B280,INDIRECT("'GRD-"&amp;EC$11&amp;"'!B:R"),15,FALSE),"")</f>
        <v/>
      </c>
      <c r="ED280" s="96">
        <f>IFERROR(VLOOKUP($B280,INDIRECT("'GRD-"&amp;ED$11&amp;"'!B:R"),15,FALSE),"")</f>
        <v/>
      </c>
      <c r="EE280" s="96">
        <f>IFERROR(VLOOKUP($B280,INDIRECT("'GRD-"&amp;EE$11&amp;"'!B:R"),15,FALSE),"")</f>
        <v/>
      </c>
      <c r="EF280" s="96">
        <f>IFERROR(VLOOKUP($B280,INDIRECT("'GRD-"&amp;EF$11&amp;"'!B:R"),15,FALSE),"")</f>
        <v/>
      </c>
      <c r="EG280" s="96">
        <f>IFERROR(VLOOKUP($B280,INDIRECT("'GRD-"&amp;EG$11&amp;"'!B:R"),15,FALSE),"")</f>
        <v/>
      </c>
      <c r="EH280" s="96">
        <f>IFERROR(VLOOKUP($B280,INDIRECT("'GRD-"&amp;EH$11&amp;"'!B:R"),15,FALSE),"")</f>
        <v/>
      </c>
      <c r="EI280" s="96">
        <f>IFERROR(VLOOKUP($B280,INDIRECT("'GRD-"&amp;EI$11&amp;"'!B:R"),15,FALSE),"")</f>
        <v/>
      </c>
      <c r="EJ280" s="96">
        <f>IFERROR(VLOOKUP($B280,INDIRECT("'GRD-"&amp;EJ$11&amp;"'!B:R"),15,FALSE),"")</f>
        <v/>
      </c>
      <c r="EK280" s="96">
        <f>IFERROR(VLOOKUP($B280,INDIRECT("'GRD-"&amp;EK$11&amp;"'!B:R"),15,FALSE),"")</f>
        <v/>
      </c>
      <c r="EL280" s="96">
        <f>IFERROR(VLOOKUP($B280,INDIRECT("'GRD-"&amp;EL$11&amp;"'!B:R"),15,FALSE),"")</f>
        <v/>
      </c>
      <c r="EM280" s="96">
        <f>IFERROR(VLOOKUP($B280,INDIRECT("'GRD-"&amp;EM$11&amp;"'!B:R"),15,FALSE),"")</f>
        <v/>
      </c>
      <c r="EN280" s="96">
        <f>IFERROR(VLOOKUP($B280,INDIRECT("'GRD-"&amp;EN$11&amp;"'!B:R"),15,FALSE),"")</f>
        <v/>
      </c>
      <c r="EO280" s="96">
        <f>IFERROR(VLOOKUP($B280,INDIRECT("'GRD-"&amp;EO$11&amp;"'!B:R"),15,FALSE),"")</f>
        <v/>
      </c>
      <c r="EP280" s="96">
        <f>IFERROR(VLOOKUP($B280,INDIRECT("'GRD-"&amp;EP$11&amp;"'!B:R"),15,FALSE),"")</f>
        <v/>
      </c>
      <c r="EQ280" s="96">
        <f>IFERROR(VLOOKUP($B280,INDIRECT("'GRD-"&amp;EQ$11&amp;"'!B:R"),15,FALSE),"")</f>
        <v/>
      </c>
      <c r="ER280" s="96">
        <f>IFERROR(VLOOKUP($B280,INDIRECT("'GRD-"&amp;ER$11&amp;"'!B:R"),15,FALSE),"")</f>
        <v/>
      </c>
      <c r="ES280" s="96">
        <f>IFERROR(VLOOKUP($B280,INDIRECT("'GRD-"&amp;ES$11&amp;"'!B:R"),15,FALSE),"")</f>
        <v/>
      </c>
      <c r="ET280" s="96">
        <f>IFERROR(VLOOKUP($B280,INDIRECT("'GRD-"&amp;ET$11&amp;"'!B:R"),15,FALSE),"")</f>
        <v/>
      </c>
      <c r="EU280" s="96">
        <f>IFERROR(VLOOKUP($B280,INDIRECT("'GRD-"&amp;EU$11&amp;"'!B:R"),15,FALSE),"")</f>
        <v/>
      </c>
      <c r="EV280" s="96">
        <f>IFERROR(VLOOKUP($B280,INDIRECT("'GRD-"&amp;EV$11&amp;"'!B:R"),15,FALSE),"")</f>
        <v/>
      </c>
      <c r="EW280" s="96">
        <f>IFERROR(VLOOKUP($B280,INDIRECT("'GRD-"&amp;EW$11&amp;"'!B:R"),15,FALSE),"")</f>
        <v/>
      </c>
      <c r="EX280" s="96">
        <f>IFERROR(VLOOKUP($B280,INDIRECT("'GRD-"&amp;EX$11&amp;"'!B:R"),15,FALSE),"")</f>
        <v/>
      </c>
      <c r="EY280" s="96">
        <f>IFERROR(VLOOKUP($B280,INDIRECT("'GRD-"&amp;EY$11&amp;"'!B:R"),15,FALSE),"")</f>
        <v/>
      </c>
      <c r="EZ280" s="96">
        <f>IFERROR(VLOOKUP($B280,INDIRECT("'GRD-"&amp;EZ$11&amp;"'!B:R"),15,FALSE),"")</f>
        <v/>
      </c>
      <c r="FA280" s="96">
        <f>IFERROR(VLOOKUP($B280,INDIRECT("'GRD-"&amp;FA$11&amp;"'!B:R"),15,FALSE),"")</f>
        <v/>
      </c>
      <c r="FB280" s="96">
        <f>IFERROR(VLOOKUP($B280,INDIRECT("'GRD-"&amp;FB$11&amp;"'!B:R"),15,FALSE),"")</f>
        <v/>
      </c>
      <c r="FC280" s="96">
        <f>IFERROR(VLOOKUP($B280,INDIRECT("'GRD-"&amp;FC$11&amp;"'!B:R"),15,FALSE),"")</f>
        <v/>
      </c>
      <c r="FD280" s="96">
        <f>IFERROR(VLOOKUP($B280,INDIRECT("'GRD-"&amp;FD$11&amp;"'!B:R"),15,FALSE),"")</f>
        <v/>
      </c>
      <c r="FE280" s="96">
        <f>IFERROR(VLOOKUP($B280,INDIRECT("'GRD-"&amp;FE$11&amp;"'!B:R"),15,FALSE),"")</f>
        <v/>
      </c>
      <c r="FF280" s="96">
        <f>IFERROR(VLOOKUP($B280,INDIRECT("'GRD-"&amp;FF$11&amp;"'!B:R"),15,FALSE),"")</f>
        <v/>
      </c>
      <c r="FG280" s="96">
        <f>IFERROR(VLOOKUP($B280,INDIRECT("'GRD-"&amp;FG$11&amp;"'!B:R"),15,FALSE),"")</f>
        <v/>
      </c>
      <c r="FH280" s="96">
        <f>IFERROR(VLOOKUP($B280,INDIRECT("'GRD-"&amp;FH$11&amp;"'!B:R"),15,FALSE),"")</f>
        <v/>
      </c>
      <c r="FI280" s="96">
        <f>IFERROR(VLOOKUP($B280,INDIRECT("'GRD-"&amp;FI$11&amp;"'!B:R"),15,FALSE),"")</f>
        <v/>
      </c>
      <c r="FJ280" s="96">
        <f>IFERROR(VLOOKUP($B280,INDIRECT("'GRD-"&amp;FJ$11&amp;"'!B:R"),15,FALSE),"")</f>
        <v/>
      </c>
      <c r="FK280" s="96">
        <f>IFERROR(VLOOKUP($B280,INDIRECT("'GRD-"&amp;FK$11&amp;"'!B:R"),15,FALSE),"")</f>
        <v/>
      </c>
      <c r="FL280" s="96">
        <f>IFERROR(VLOOKUP($B280,INDIRECT("'GRD-"&amp;FL$11&amp;"'!B:R"),15,FALSE),"")</f>
        <v/>
      </c>
      <c r="FM280" s="96">
        <f>IFERROR(VLOOKUP($B280,INDIRECT("'GRD-"&amp;FM$11&amp;"'!B:R"),15,FALSE),"")</f>
        <v/>
      </c>
      <c r="FN280" s="96">
        <f>IFERROR(VLOOKUP($B280,INDIRECT("'GRD-"&amp;FN$11&amp;"'!B:R"),15,FALSE),"")</f>
        <v/>
      </c>
      <c r="FO280" s="96">
        <f>IFERROR(VLOOKUP($B280,INDIRECT("'GRD-"&amp;FO$11&amp;"'!B:R"),15,FALSE),"")</f>
        <v/>
      </c>
      <c r="FP280" s="96">
        <f>IFERROR(VLOOKUP($B280,INDIRECT("'GRD-"&amp;FP$11&amp;"'!B:R"),15,FALSE),"")</f>
        <v/>
      </c>
      <c r="FQ280" s="96">
        <f>IFERROR(VLOOKUP($B280,INDIRECT("'GRD-"&amp;FQ$11&amp;"'!B:R"),15,FALSE),"")</f>
        <v/>
      </c>
      <c r="FR280" s="96">
        <f>IFERROR(VLOOKUP($B280,INDIRECT("'GRD-"&amp;FR$11&amp;"'!B:R"),15,FALSE),"")</f>
        <v/>
      </c>
      <c r="FS280" s="96">
        <f>IFERROR(VLOOKUP($B280,INDIRECT("'GRD-"&amp;FS$11&amp;"'!B:R"),15,FALSE),"")</f>
        <v/>
      </c>
      <c r="FT280" s="96">
        <f>IFERROR(VLOOKUP($B280,INDIRECT("'GRD-"&amp;FT$11&amp;"'!B:R"),15,FALSE),"")</f>
        <v/>
      </c>
      <c r="FU280" s="96">
        <f>IFERROR(VLOOKUP($B280,INDIRECT("'GRD-"&amp;FU$11&amp;"'!B:R"),15,FALSE),"")</f>
        <v/>
      </c>
      <c r="FV280" s="96">
        <f>IFERROR(VLOOKUP($B280,INDIRECT("'GRD-"&amp;FV$11&amp;"'!B:R"),15,FALSE),"")</f>
        <v/>
      </c>
    </row>
    <row r="281">
      <c r="B281" s="85" t="n"/>
      <c r="C281" s="93" t="n"/>
      <c r="D281" s="73">
        <f>IF(K281="","",MAX($CA281:$FV281))</f>
        <v/>
      </c>
      <c r="E281" s="74">
        <f t="array" ref="E281">IF($K281="","",OFFSET($A$1,ROW($B281)-1,11+$D281*4,))</f>
        <v/>
      </c>
      <c r="F281" s="74">
        <f t="array" ref="F281">IF($K281="","",OFFSET($A$1,ROW($B281)-1,12+$D281*4,))</f>
        <v/>
      </c>
      <c r="G281" s="118">
        <f t="array" ref="G281">IF($K281="","",OFFSET($A$1,ROW($B281)-1,13+$D281*4,))</f>
        <v/>
      </c>
      <c r="H281" s="81" t="n"/>
      <c r="I281" s="82" t="n"/>
      <c r="J281" s="75">
        <f>IF(I281="A4",H281/8,IF(I281="A3",H281/4,IF(I281="A2",H281/2,IF(I281="A1",H281/1,IF(I281="A0",H281*2,"")))))</f>
        <v/>
      </c>
      <c r="K281" s="68">
        <f t="array" ref="K281">IFERROR(OFFSET($BZ$11,ROW($B281)-11,MATCH(K$10,$CA281:$FV281,0),),"")</f>
        <v/>
      </c>
      <c r="L281" s="85">
        <f>IF(K281="","",IF(VLOOKUP($B281,INDIRECT("'GRD-"&amp;M281&amp;"'!$B:$R"),16,FALSE)="","",VLOOKUP($B281,INDIRECT("'GRD-"&amp;M281&amp;"'!$B:$R"),16,FALSE)))</f>
        <v/>
      </c>
      <c r="M281" s="130">
        <f t="array" ref="M281">IF(K281="","",IFERROR(OFFSET($BZ$11,0,MATCH($K281,$CA281:$FV281,0),),""))</f>
        <v/>
      </c>
      <c r="N281" s="119">
        <f t="array" ref="N281">IF(K281="","",INDIRECT("'GRD-"&amp;M281&amp;"'!$L$7"))</f>
        <v/>
      </c>
      <c r="O281" s="76">
        <f t="array" ref="O281">IFERROR(OFFSET($BZ$11,ROW($B281)-11,MATCH(O$10,$CA281:$FV281,0),),"")</f>
        <v/>
      </c>
      <c r="P281" s="76">
        <f>IF(O281="","",IF(VLOOKUP($B281,INDIRECT("'GRD-"&amp;Q281&amp;"'!$B:$R"),16,FALSE)="","",VLOOKUP($B281,INDIRECT("'GRD-"&amp;Q281&amp;"'!$B:$R"),16,FALSE)))</f>
        <v/>
      </c>
      <c r="Q281" s="132">
        <f t="array" ref="Q281">IF(O281="","",IFERROR(OFFSET($BZ$11,0,MATCH($O281,$CA281:$FV281,0),),""))</f>
        <v/>
      </c>
      <c r="R281" s="121">
        <f t="array" ref="R281">IF(O281="","",INDIRECT("'GRD-"&amp;Q281&amp;"'!$L$7"))</f>
        <v/>
      </c>
      <c r="S281" s="83">
        <f t="array" ref="S281">IFERROR(OFFSET($BZ$11,ROW($B281)-11,MATCH(S$10,$CA281:$FV281,0),),"")</f>
        <v/>
      </c>
      <c r="T281" s="83">
        <f>IF(S281="","",IF(VLOOKUP($B281,INDIRECT("'GRD-"&amp;U281&amp;"'!$B:$R"),16,FALSE)="","",VLOOKUP($B281,INDIRECT("'GRD-"&amp;U281&amp;"'!$B:$R"),16,FALSE)))</f>
        <v/>
      </c>
      <c r="U281" s="128">
        <f t="array" ref="U281">IF(S281="","",IFERROR(OFFSET($BZ$11,0,MATCH($S281,$CA281:$FV281,0),),""))</f>
        <v/>
      </c>
      <c r="V281" s="133">
        <f t="array" ref="V281">IF(S281="","",INDIRECT("'GRD-"&amp;U281&amp;"'!$L$7"))</f>
        <v/>
      </c>
      <c r="W281" s="84">
        <f t="array" ref="W281">IFERROR(OFFSET($BZ$11,ROW($B281)-11,MATCH(W$10,$CA281:$FV281,0),),"")</f>
        <v/>
      </c>
      <c r="X281" s="84">
        <f>IF(W281="","",IF(VLOOKUP($B281,INDIRECT("'GRD-"&amp;Y281&amp;"'!$B:$R"),16,FALSE)="","",VLOOKUP($B281,INDIRECT("'GRD-"&amp;Y281&amp;"'!$B:$R"),16,FALSE)))</f>
        <v/>
      </c>
      <c r="Y281" s="129">
        <f t="array" ref="Y281">IF(W281="","",IFERROR(OFFSET($BZ$11,0,MATCH($W281,$CA281:$FV281,0),),""))</f>
        <v/>
      </c>
      <c r="Z281" s="134">
        <f t="array" ref="Z281">IF(W281="","",INDIRECT("'GRD-"&amp;Y281&amp;"'!$L$7"))</f>
        <v/>
      </c>
      <c r="AA281" s="85">
        <f t="array" ref="AA281">IFERROR(OFFSET($BZ$11,ROW($B281)-11,MATCH(AA$10,$CA281:$FV281,0),),"")</f>
        <v/>
      </c>
      <c r="AB281" s="85">
        <f>IF(AA281="","",IF(VLOOKUP($B281,INDIRECT("'GRD-"&amp;AC281&amp;"'!$B:$R"),16,FALSE)="","",VLOOKUP($B281,INDIRECT("'GRD-"&amp;AC281&amp;"'!$B:$R"),16,FALSE)))</f>
        <v/>
      </c>
      <c r="AC281" s="130">
        <f t="array" ref="AC281">IF(AA281="","",IFERROR(OFFSET($BZ$11,0,MATCH($AA281,$CA281:$FV281,0),),""))</f>
        <v/>
      </c>
      <c r="AD281" s="131">
        <f t="array" ref="AD281">IF(AA281="","",INDIRECT("'GRD-"&amp;AC281&amp;"'!$L$7"))</f>
        <v/>
      </c>
      <c r="AE281" s="76">
        <f t="array" ref="AE281">IFERROR(OFFSET($BZ$11,ROW($B281)-11,MATCH(AE$10,$CA281:$FV281,0),),"")</f>
        <v/>
      </c>
      <c r="AF281" s="76">
        <f>IF(AE281="","",IF(VLOOKUP($B281,INDIRECT("'GRD-"&amp;AG281&amp;"'!$B:$R"),16,FALSE)="","",VLOOKUP($B281,INDIRECT("'GRD-"&amp;AG281&amp;"'!$B:$R"),16,FALSE)))</f>
        <v/>
      </c>
      <c r="AG281" s="132">
        <f t="array" ref="AG281">IF(AE281="","",IFERROR(OFFSET($BZ$11,0,MATCH($AE281,$CA281:$FV281,0),),""))</f>
        <v/>
      </c>
      <c r="AH281" s="121">
        <f t="array" ref="AH281">IF(AE281="","",INDIRECT("'GRD-"&amp;AG281&amp;"'!$L$7"))</f>
        <v/>
      </c>
      <c r="AI281" s="83">
        <f t="array" ref="AI281">IFERROR(OFFSET($BZ$11,ROW($B281)-11,MATCH(AI$10,$CA281:$FV281,0),),"")</f>
        <v/>
      </c>
      <c r="AJ281" s="83">
        <f>IF(AI281="","",IF(VLOOKUP($B281,INDIRECT("'GRD-"&amp;AK281&amp;"'!$B:$R"),16,FALSE)="","",VLOOKUP($B281,INDIRECT("'GRD-"&amp;AK281&amp;"'!$B:$R"),16,FALSE)))</f>
        <v/>
      </c>
      <c r="AK281" s="128">
        <f t="array" ref="AK281">IF(AI281="","",IFERROR(OFFSET($BZ$11,0,MATCH($AI281,$CA281:$FV281,0),),""))</f>
        <v/>
      </c>
      <c r="AL281" s="133">
        <f t="array" ref="AL281">IF(AI281="","",INDIRECT("'GRD-"&amp;AK281&amp;"'!$L$7"))</f>
        <v/>
      </c>
      <c r="AM281" s="84">
        <f t="array" ref="AM281">IFERROR(OFFSET($BZ$11,ROW($B281)-11,MATCH(AM$10,$CA281:$FV281,0),),"")</f>
        <v/>
      </c>
      <c r="AN281" s="84">
        <f>IF(AM281="","",IF(VLOOKUP($B281,INDIRECT("'GRD-"&amp;AO281&amp;"'!$B:$R"),16,FALSE)="","",VLOOKUP($B281,INDIRECT("'GRD-"&amp;AO281&amp;"'!$B:$R"),16,FALSE)))</f>
        <v/>
      </c>
      <c r="AO281" s="129">
        <f t="array" ref="AO281">IF(AM281="","",IFERROR(OFFSET($BZ$11,0,MATCH($AM281,$CA281:$FV281,0),),""))</f>
        <v/>
      </c>
      <c r="AP281" s="134">
        <f t="array" ref="AP281">IF(AM281="","",INDIRECT("'GRD-"&amp;AO281&amp;"'!$L$7"))</f>
        <v/>
      </c>
      <c r="AQ281" s="85">
        <f t="array" ref="AQ281">IFERROR(OFFSET($BZ$11,ROW($B281)-11,MATCH(AQ$10,$CA281:$FV281,0),),"")</f>
        <v/>
      </c>
      <c r="AR281" s="85">
        <f>IF(AQ281="","",IF(VLOOKUP($B281,INDIRECT("'GRD-"&amp;AS281&amp;"'!$B:$R"),16,FALSE)="","",VLOOKUP($B281,INDIRECT("'GRD-"&amp;AS281&amp;"'!$B:$R"),16,FALSE)))</f>
        <v/>
      </c>
      <c r="AS281" s="130">
        <f t="array" ref="AS281">IF(AQ281="","",IFERROR(OFFSET($BZ$11,0,MATCH($AQ281,$CA281:$FV281,0),),""))</f>
        <v/>
      </c>
      <c r="AT281" s="131">
        <f t="array" ref="AT281">IF(AQ281="","",INDIRECT("'GRD-"&amp;AS281&amp;"'!$L$7"))</f>
        <v/>
      </c>
      <c r="AU281" s="76">
        <f t="array" ref="AU281">IFERROR(OFFSET($BZ$11,ROW($B281)-11,MATCH(AU$10,$CA281:$FV281,0),),"")</f>
        <v/>
      </c>
      <c r="AV281" s="76">
        <f>IF(AU281="","",IF(VLOOKUP($B281,INDIRECT("'GRD-"&amp;AW281&amp;"'!$B:$R"),16,FALSE)="","",VLOOKUP($B281,INDIRECT("'GRD-"&amp;AW281&amp;"'!$B:$R"),16,FALSE)))</f>
        <v/>
      </c>
      <c r="AW281" s="132">
        <f t="array" ref="AW281">IF(AU281="","",IFERROR(OFFSET($BZ$11,0,MATCH($AU281,$CA281:$FV281,0),),""))</f>
        <v/>
      </c>
      <c r="AX281" s="121">
        <f t="array" ref="AX281">IF(AU281="","",INDIRECT("'GRD-"&amp;AW281&amp;"'!$L$7"))</f>
        <v/>
      </c>
      <c r="AY281" s="83">
        <f t="array" ref="AY281">IFERROR(OFFSET($BZ$11,ROW($B281)-11,MATCH(AY$10,$CA281:$FV281,0),),"")</f>
        <v/>
      </c>
      <c r="AZ281" s="83">
        <f>IF(AY281="","",IF(VLOOKUP($B281,INDIRECT("'GRD-"&amp;BA281&amp;"'!$B:$R"),16,FALSE)="","",VLOOKUP($B281,INDIRECT("'GRD-"&amp;BA281&amp;"'!$B:$R"),16,FALSE)))</f>
        <v/>
      </c>
      <c r="BA281" s="128">
        <f t="array" ref="BA281">IF(AY281="","",IFERROR(OFFSET($BZ$11,0,MATCH($AY281,$CA281:$FV281,0),),""))</f>
        <v/>
      </c>
      <c r="BB281" s="133">
        <f t="array" ref="BB281">IF(AY281="","",INDIRECT("'GRD-"&amp;BA281&amp;"'!$L$7"))</f>
        <v/>
      </c>
      <c r="BC281" s="84">
        <f t="array" ref="BC281">IFERROR(OFFSET($BZ$11,ROW($B281)-11,MATCH(BC$10,$CA281:$FV281,0),),"")</f>
        <v/>
      </c>
      <c r="BD281" s="84">
        <f>IF(BC281="","",IF(VLOOKUP($B281,INDIRECT("'GRD-"&amp;BE281&amp;"'!$B:$R"),16,FALSE)="","",VLOOKUP($B281,INDIRECT("'GRD-"&amp;BE281&amp;"'!$B:$R"),16,FALSE)))</f>
        <v/>
      </c>
      <c r="BE281" s="129">
        <f t="array" ref="BE281">IF(BC281="","",IFERROR(OFFSET($BZ$11,0,MATCH($BC281,$CA281:$FV281,0),),""))</f>
        <v/>
      </c>
      <c r="BF281" s="134">
        <f t="array" ref="BF281">IF(BC281="","",INDIRECT("'GRD-"&amp;BE281&amp;"'!$L$7"))</f>
        <v/>
      </c>
      <c r="CA281" s="96">
        <f>IFERROR(VLOOKUP($B281,INDIRECT("'GRD-"&amp;CA$11&amp;"'!B:R"),15,FALSE),"")</f>
        <v/>
      </c>
      <c r="CB281" s="96">
        <f>IFERROR(VLOOKUP($B281,INDIRECT("'GRD-"&amp;CB$11&amp;"'!B:R"),15,FALSE),"")</f>
        <v/>
      </c>
      <c r="CC281" s="96">
        <f>IFERROR(VLOOKUP($B281,INDIRECT("'GRD-"&amp;CC$11&amp;"'!B:R"),15,FALSE),"")</f>
        <v/>
      </c>
      <c r="CD281" s="96">
        <f>IFERROR(VLOOKUP($B281,INDIRECT("'GRD-"&amp;CD$11&amp;"'!B:R"),15,FALSE),"")</f>
        <v/>
      </c>
      <c r="CE281" s="96">
        <f>IFERROR(VLOOKUP($B281,INDIRECT("'GRD-"&amp;CE$11&amp;"'!B:R"),15,FALSE),"")</f>
        <v/>
      </c>
      <c r="CF281" s="96">
        <f>IFERROR(VLOOKUP($B281,INDIRECT("'GRD-"&amp;CF$11&amp;"'!B:R"),15,FALSE),"")</f>
        <v/>
      </c>
      <c r="CG281" s="96">
        <f>IFERROR(VLOOKUP($B281,INDIRECT("'GRD-"&amp;CG$11&amp;"'!B:R"),15,FALSE),"")</f>
        <v/>
      </c>
      <c r="CH281" s="96">
        <f>IFERROR(VLOOKUP($B281,INDIRECT("'GRD-"&amp;CH$11&amp;"'!B:R"),15,FALSE),"")</f>
        <v/>
      </c>
      <c r="CI281" s="96">
        <f>IFERROR(VLOOKUP($B281,INDIRECT("'GRD-"&amp;CI$11&amp;"'!B:R"),15,FALSE),"")</f>
        <v/>
      </c>
      <c r="CJ281" s="96">
        <f>IFERROR(VLOOKUP($B281,INDIRECT("'GRD-"&amp;CJ$11&amp;"'!B:R"),15,FALSE),"")</f>
        <v/>
      </c>
      <c r="CK281" s="96">
        <f>IFERROR(VLOOKUP($B281,INDIRECT("'GRD-"&amp;CK$11&amp;"'!B:R"),15,FALSE),"")</f>
        <v/>
      </c>
      <c r="CL281" s="96">
        <f>IFERROR(VLOOKUP($B281,INDIRECT("'GRD-"&amp;CL$11&amp;"'!B:R"),15,FALSE),"")</f>
        <v/>
      </c>
      <c r="CM281" s="96">
        <f>IFERROR(VLOOKUP($B281,INDIRECT("'GRD-"&amp;CM$11&amp;"'!B:R"),15,FALSE),"")</f>
        <v/>
      </c>
      <c r="CN281" s="96">
        <f>IFERROR(VLOOKUP($B281,INDIRECT("'GRD-"&amp;CN$11&amp;"'!B:R"),15,FALSE),"")</f>
        <v/>
      </c>
      <c r="CO281" s="96">
        <f>IFERROR(VLOOKUP($B281,INDIRECT("'GRD-"&amp;CO$11&amp;"'!B:R"),15,FALSE),"")</f>
        <v/>
      </c>
      <c r="CP281" s="96">
        <f>IFERROR(VLOOKUP($B281,INDIRECT("'GRD-"&amp;CP$11&amp;"'!B:R"),15,FALSE),"")</f>
        <v/>
      </c>
      <c r="CQ281" s="96">
        <f>IFERROR(VLOOKUP($B281,INDIRECT("'GRD-"&amp;CQ$11&amp;"'!B:R"),15,FALSE),"")</f>
        <v/>
      </c>
      <c r="CR281" s="96">
        <f>IFERROR(VLOOKUP($B281,INDIRECT("'GRD-"&amp;CR$11&amp;"'!B:R"),15,FALSE),"")</f>
        <v/>
      </c>
      <c r="CS281" s="96">
        <f>IFERROR(VLOOKUP($B281,INDIRECT("'GRD-"&amp;CS$11&amp;"'!B:R"),15,FALSE),"")</f>
        <v/>
      </c>
      <c r="CT281" s="96">
        <f>IFERROR(VLOOKUP($B281,INDIRECT("'GRD-"&amp;CT$11&amp;"'!B:R"),15,FALSE),"")</f>
        <v/>
      </c>
      <c r="CU281" s="96">
        <f>IFERROR(VLOOKUP($B281,INDIRECT("'GRD-"&amp;CU$11&amp;"'!B:R"),15,FALSE),"")</f>
        <v/>
      </c>
      <c r="CV281" s="96">
        <f>IFERROR(VLOOKUP($B281,INDIRECT("'GRD-"&amp;CV$11&amp;"'!B:R"),15,FALSE),"")</f>
        <v/>
      </c>
      <c r="CW281" s="96">
        <f>IFERROR(VLOOKUP($B281,INDIRECT("'GRD-"&amp;CW$11&amp;"'!B:R"),15,FALSE),"")</f>
        <v/>
      </c>
      <c r="CX281" s="96">
        <f>IFERROR(VLOOKUP($B281,INDIRECT("'GRD-"&amp;CX$11&amp;"'!B:R"),15,FALSE),"")</f>
        <v/>
      </c>
      <c r="CY281" s="96">
        <f>IFERROR(VLOOKUP($B281,INDIRECT("'GRD-"&amp;CY$11&amp;"'!B:R"),15,FALSE),"")</f>
        <v/>
      </c>
      <c r="CZ281" s="96">
        <f>IFERROR(VLOOKUP($B281,INDIRECT("'GRD-"&amp;CZ$11&amp;"'!B:R"),15,FALSE),"")</f>
        <v/>
      </c>
      <c r="DA281" s="96">
        <f>IFERROR(VLOOKUP($B281,INDIRECT("'GRD-"&amp;DA$11&amp;"'!B:R"),15,FALSE),"")</f>
        <v/>
      </c>
      <c r="DB281" s="96">
        <f>IFERROR(VLOOKUP($B281,INDIRECT("'GRD-"&amp;DB$11&amp;"'!B:R"),15,FALSE),"")</f>
        <v/>
      </c>
      <c r="DC281" s="96">
        <f>IFERROR(VLOOKUP($B281,INDIRECT("'GRD-"&amp;DC$11&amp;"'!B:R"),15,FALSE),"")</f>
        <v/>
      </c>
      <c r="DD281" s="96">
        <f>IFERROR(VLOOKUP($B281,INDIRECT("'GRD-"&amp;DD$11&amp;"'!B:R"),15,FALSE),"")</f>
        <v/>
      </c>
      <c r="DE281" s="96">
        <f>IFERROR(VLOOKUP($B281,INDIRECT("'GRD-"&amp;DE$11&amp;"'!B:R"),15,FALSE),"")</f>
        <v/>
      </c>
      <c r="DF281" s="96">
        <f>IFERROR(VLOOKUP($B281,INDIRECT("'GRD-"&amp;DF$11&amp;"'!B:R"),15,FALSE),"")</f>
        <v/>
      </c>
      <c r="DG281" s="96">
        <f>IFERROR(VLOOKUP($B281,INDIRECT("'GRD-"&amp;DG$11&amp;"'!B:R"),15,FALSE),"")</f>
        <v/>
      </c>
      <c r="DH281" s="96">
        <f>IFERROR(VLOOKUP($B281,INDIRECT("'GRD-"&amp;DH$11&amp;"'!B:R"),15,FALSE),"")</f>
        <v/>
      </c>
      <c r="DI281" s="96">
        <f>IFERROR(VLOOKUP($B281,INDIRECT("'GRD-"&amp;DI$11&amp;"'!B:R"),15,FALSE),"")</f>
        <v/>
      </c>
      <c r="DJ281" s="96">
        <f>IFERROR(VLOOKUP($B281,INDIRECT("'GRD-"&amp;DJ$11&amp;"'!B:R"),15,FALSE),"")</f>
        <v/>
      </c>
      <c r="DK281" s="96">
        <f>IFERROR(VLOOKUP($B281,INDIRECT("'GRD-"&amp;DK$11&amp;"'!B:R"),15,FALSE),"")</f>
        <v/>
      </c>
      <c r="DL281" s="96">
        <f>IFERROR(VLOOKUP($B281,INDIRECT("'GRD-"&amp;DL$11&amp;"'!B:R"),15,FALSE),"")</f>
        <v/>
      </c>
      <c r="DM281" s="96">
        <f>IFERROR(VLOOKUP($B281,INDIRECT("'GRD-"&amp;DM$11&amp;"'!B:R"),15,FALSE),"")</f>
        <v/>
      </c>
      <c r="DN281" s="96">
        <f>IFERROR(VLOOKUP($B281,INDIRECT("'GRD-"&amp;DN$11&amp;"'!B:R"),15,FALSE),"")</f>
        <v/>
      </c>
      <c r="DO281" s="96">
        <f>IFERROR(VLOOKUP($B281,INDIRECT("'GRD-"&amp;DO$11&amp;"'!B:R"),15,FALSE),"")</f>
        <v/>
      </c>
      <c r="DP281" s="96">
        <f>IFERROR(VLOOKUP($B281,INDIRECT("'GRD-"&amp;DP$11&amp;"'!B:R"),15,FALSE),"")</f>
        <v/>
      </c>
      <c r="DQ281" s="96">
        <f>IFERROR(VLOOKUP($B281,INDIRECT("'GRD-"&amp;DQ$11&amp;"'!B:R"),15,FALSE),"")</f>
        <v/>
      </c>
      <c r="DR281" s="96">
        <f>IFERROR(VLOOKUP($B281,INDIRECT("'GRD-"&amp;DR$11&amp;"'!B:R"),15,FALSE),"")</f>
        <v/>
      </c>
      <c r="DS281" s="96">
        <f>IFERROR(VLOOKUP($B281,INDIRECT("'GRD-"&amp;DS$11&amp;"'!B:R"),15,FALSE),"")</f>
        <v/>
      </c>
      <c r="DT281" s="96">
        <f>IFERROR(VLOOKUP($B281,INDIRECT("'GRD-"&amp;DT$11&amp;"'!B:R"),15,FALSE),"")</f>
        <v/>
      </c>
      <c r="DU281" s="96">
        <f>IFERROR(VLOOKUP($B281,INDIRECT("'GRD-"&amp;DU$11&amp;"'!B:R"),15,FALSE),"")</f>
        <v/>
      </c>
      <c r="DV281" s="96">
        <f>IFERROR(VLOOKUP($B281,INDIRECT("'GRD-"&amp;DV$11&amp;"'!B:R"),15,FALSE),"")</f>
        <v/>
      </c>
      <c r="DW281" s="96">
        <f>IFERROR(VLOOKUP($B281,INDIRECT("'GRD-"&amp;DW$11&amp;"'!B:R"),15,FALSE),"")</f>
        <v/>
      </c>
      <c r="DX281" s="96">
        <f>IFERROR(VLOOKUP($B281,INDIRECT("'GRD-"&amp;DX$11&amp;"'!B:R"),15,FALSE),"")</f>
        <v/>
      </c>
      <c r="DY281" s="96">
        <f>IFERROR(VLOOKUP($B281,INDIRECT("'GRD-"&amp;DY$11&amp;"'!B:R"),15,FALSE),"")</f>
        <v/>
      </c>
      <c r="DZ281" s="96">
        <f>IFERROR(VLOOKUP($B281,INDIRECT("'GRD-"&amp;DZ$11&amp;"'!B:R"),15,FALSE),"")</f>
        <v/>
      </c>
      <c r="EA281" s="96">
        <f>IFERROR(VLOOKUP($B281,INDIRECT("'GRD-"&amp;EA$11&amp;"'!B:R"),15,FALSE),"")</f>
        <v/>
      </c>
      <c r="EB281" s="96">
        <f>IFERROR(VLOOKUP($B281,INDIRECT("'GRD-"&amp;EB$11&amp;"'!B:R"),15,FALSE),"")</f>
        <v/>
      </c>
      <c r="EC281" s="96">
        <f>IFERROR(VLOOKUP($B281,INDIRECT("'GRD-"&amp;EC$11&amp;"'!B:R"),15,FALSE),"")</f>
        <v/>
      </c>
      <c r="ED281" s="96">
        <f>IFERROR(VLOOKUP($B281,INDIRECT("'GRD-"&amp;ED$11&amp;"'!B:R"),15,FALSE),"")</f>
        <v/>
      </c>
      <c r="EE281" s="96">
        <f>IFERROR(VLOOKUP($B281,INDIRECT("'GRD-"&amp;EE$11&amp;"'!B:R"),15,FALSE),"")</f>
        <v/>
      </c>
      <c r="EF281" s="96">
        <f>IFERROR(VLOOKUP($B281,INDIRECT("'GRD-"&amp;EF$11&amp;"'!B:R"),15,FALSE),"")</f>
        <v/>
      </c>
      <c r="EG281" s="96">
        <f>IFERROR(VLOOKUP($B281,INDIRECT("'GRD-"&amp;EG$11&amp;"'!B:R"),15,FALSE),"")</f>
        <v/>
      </c>
      <c r="EH281" s="96">
        <f>IFERROR(VLOOKUP($B281,INDIRECT("'GRD-"&amp;EH$11&amp;"'!B:R"),15,FALSE),"")</f>
        <v/>
      </c>
      <c r="EI281" s="96">
        <f>IFERROR(VLOOKUP($B281,INDIRECT("'GRD-"&amp;EI$11&amp;"'!B:R"),15,FALSE),"")</f>
        <v/>
      </c>
      <c r="EJ281" s="96">
        <f>IFERROR(VLOOKUP($B281,INDIRECT("'GRD-"&amp;EJ$11&amp;"'!B:R"),15,FALSE),"")</f>
        <v/>
      </c>
      <c r="EK281" s="96">
        <f>IFERROR(VLOOKUP($B281,INDIRECT("'GRD-"&amp;EK$11&amp;"'!B:R"),15,FALSE),"")</f>
        <v/>
      </c>
      <c r="EL281" s="96">
        <f>IFERROR(VLOOKUP($B281,INDIRECT("'GRD-"&amp;EL$11&amp;"'!B:R"),15,FALSE),"")</f>
        <v/>
      </c>
      <c r="EM281" s="96">
        <f>IFERROR(VLOOKUP($B281,INDIRECT("'GRD-"&amp;EM$11&amp;"'!B:R"),15,FALSE),"")</f>
        <v/>
      </c>
      <c r="EN281" s="96">
        <f>IFERROR(VLOOKUP($B281,INDIRECT("'GRD-"&amp;EN$11&amp;"'!B:R"),15,FALSE),"")</f>
        <v/>
      </c>
      <c r="EO281" s="96">
        <f>IFERROR(VLOOKUP($B281,INDIRECT("'GRD-"&amp;EO$11&amp;"'!B:R"),15,FALSE),"")</f>
        <v/>
      </c>
      <c r="EP281" s="96">
        <f>IFERROR(VLOOKUP($B281,INDIRECT("'GRD-"&amp;EP$11&amp;"'!B:R"),15,FALSE),"")</f>
        <v/>
      </c>
      <c r="EQ281" s="96">
        <f>IFERROR(VLOOKUP($B281,INDIRECT("'GRD-"&amp;EQ$11&amp;"'!B:R"),15,FALSE),"")</f>
        <v/>
      </c>
      <c r="ER281" s="96">
        <f>IFERROR(VLOOKUP($B281,INDIRECT("'GRD-"&amp;ER$11&amp;"'!B:R"),15,FALSE),"")</f>
        <v/>
      </c>
      <c r="ES281" s="96">
        <f>IFERROR(VLOOKUP($B281,INDIRECT("'GRD-"&amp;ES$11&amp;"'!B:R"),15,FALSE),"")</f>
        <v/>
      </c>
      <c r="ET281" s="96">
        <f>IFERROR(VLOOKUP($B281,INDIRECT("'GRD-"&amp;ET$11&amp;"'!B:R"),15,FALSE),"")</f>
        <v/>
      </c>
      <c r="EU281" s="96">
        <f>IFERROR(VLOOKUP($B281,INDIRECT("'GRD-"&amp;EU$11&amp;"'!B:R"),15,FALSE),"")</f>
        <v/>
      </c>
      <c r="EV281" s="96">
        <f>IFERROR(VLOOKUP($B281,INDIRECT("'GRD-"&amp;EV$11&amp;"'!B:R"),15,FALSE),"")</f>
        <v/>
      </c>
      <c r="EW281" s="96">
        <f>IFERROR(VLOOKUP($B281,INDIRECT("'GRD-"&amp;EW$11&amp;"'!B:R"),15,FALSE),"")</f>
        <v/>
      </c>
      <c r="EX281" s="96">
        <f>IFERROR(VLOOKUP($B281,INDIRECT("'GRD-"&amp;EX$11&amp;"'!B:R"),15,FALSE),"")</f>
        <v/>
      </c>
      <c r="EY281" s="96">
        <f>IFERROR(VLOOKUP($B281,INDIRECT("'GRD-"&amp;EY$11&amp;"'!B:R"),15,FALSE),"")</f>
        <v/>
      </c>
      <c r="EZ281" s="96">
        <f>IFERROR(VLOOKUP($B281,INDIRECT("'GRD-"&amp;EZ$11&amp;"'!B:R"),15,FALSE),"")</f>
        <v/>
      </c>
      <c r="FA281" s="96">
        <f>IFERROR(VLOOKUP($B281,INDIRECT("'GRD-"&amp;FA$11&amp;"'!B:R"),15,FALSE),"")</f>
        <v/>
      </c>
      <c r="FB281" s="96">
        <f>IFERROR(VLOOKUP($B281,INDIRECT("'GRD-"&amp;FB$11&amp;"'!B:R"),15,FALSE),"")</f>
        <v/>
      </c>
      <c r="FC281" s="96">
        <f>IFERROR(VLOOKUP($B281,INDIRECT("'GRD-"&amp;FC$11&amp;"'!B:R"),15,FALSE),"")</f>
        <v/>
      </c>
      <c r="FD281" s="96">
        <f>IFERROR(VLOOKUP($B281,INDIRECT("'GRD-"&amp;FD$11&amp;"'!B:R"),15,FALSE),"")</f>
        <v/>
      </c>
      <c r="FE281" s="96">
        <f>IFERROR(VLOOKUP($B281,INDIRECT("'GRD-"&amp;FE$11&amp;"'!B:R"),15,FALSE),"")</f>
        <v/>
      </c>
      <c r="FF281" s="96">
        <f>IFERROR(VLOOKUP($B281,INDIRECT("'GRD-"&amp;FF$11&amp;"'!B:R"),15,FALSE),"")</f>
        <v/>
      </c>
      <c r="FG281" s="96">
        <f>IFERROR(VLOOKUP($B281,INDIRECT("'GRD-"&amp;FG$11&amp;"'!B:R"),15,FALSE),"")</f>
        <v/>
      </c>
      <c r="FH281" s="96">
        <f>IFERROR(VLOOKUP($B281,INDIRECT("'GRD-"&amp;FH$11&amp;"'!B:R"),15,FALSE),"")</f>
        <v/>
      </c>
      <c r="FI281" s="96">
        <f>IFERROR(VLOOKUP($B281,INDIRECT("'GRD-"&amp;FI$11&amp;"'!B:R"),15,FALSE),"")</f>
        <v/>
      </c>
      <c r="FJ281" s="96">
        <f>IFERROR(VLOOKUP($B281,INDIRECT("'GRD-"&amp;FJ$11&amp;"'!B:R"),15,FALSE),"")</f>
        <v/>
      </c>
      <c r="FK281" s="96">
        <f>IFERROR(VLOOKUP($B281,INDIRECT("'GRD-"&amp;FK$11&amp;"'!B:R"),15,FALSE),"")</f>
        <v/>
      </c>
      <c r="FL281" s="96">
        <f>IFERROR(VLOOKUP($B281,INDIRECT("'GRD-"&amp;FL$11&amp;"'!B:R"),15,FALSE),"")</f>
        <v/>
      </c>
      <c r="FM281" s="96">
        <f>IFERROR(VLOOKUP($B281,INDIRECT("'GRD-"&amp;FM$11&amp;"'!B:R"),15,FALSE),"")</f>
        <v/>
      </c>
      <c r="FN281" s="96">
        <f>IFERROR(VLOOKUP($B281,INDIRECT("'GRD-"&amp;FN$11&amp;"'!B:R"),15,FALSE),"")</f>
        <v/>
      </c>
      <c r="FO281" s="96">
        <f>IFERROR(VLOOKUP($B281,INDIRECT("'GRD-"&amp;FO$11&amp;"'!B:R"),15,FALSE),"")</f>
        <v/>
      </c>
      <c r="FP281" s="96">
        <f>IFERROR(VLOOKUP($B281,INDIRECT("'GRD-"&amp;FP$11&amp;"'!B:R"),15,FALSE),"")</f>
        <v/>
      </c>
      <c r="FQ281" s="96">
        <f>IFERROR(VLOOKUP($B281,INDIRECT("'GRD-"&amp;FQ$11&amp;"'!B:R"),15,FALSE),"")</f>
        <v/>
      </c>
      <c r="FR281" s="96">
        <f>IFERROR(VLOOKUP($B281,INDIRECT("'GRD-"&amp;FR$11&amp;"'!B:R"),15,FALSE),"")</f>
        <v/>
      </c>
      <c r="FS281" s="96">
        <f>IFERROR(VLOOKUP($B281,INDIRECT("'GRD-"&amp;FS$11&amp;"'!B:R"),15,FALSE),"")</f>
        <v/>
      </c>
      <c r="FT281" s="96">
        <f>IFERROR(VLOOKUP($B281,INDIRECT("'GRD-"&amp;FT$11&amp;"'!B:R"),15,FALSE),"")</f>
        <v/>
      </c>
      <c r="FU281" s="96">
        <f>IFERROR(VLOOKUP($B281,INDIRECT("'GRD-"&amp;FU$11&amp;"'!B:R"),15,FALSE),"")</f>
        <v/>
      </c>
      <c r="FV281" s="96">
        <f>IFERROR(VLOOKUP($B281,INDIRECT("'GRD-"&amp;FV$11&amp;"'!B:R"),15,FALSE),"")</f>
        <v/>
      </c>
    </row>
    <row r="282">
      <c r="B282" s="85" t="n"/>
      <c r="C282" s="93" t="n"/>
      <c r="D282" s="73">
        <f>IF(K282="","",MAX($CA282:$FV282))</f>
        <v/>
      </c>
      <c r="E282" s="74">
        <f t="array" ref="E282">IF($K282="","",OFFSET($A$1,ROW($B282)-1,11+$D282*4,))</f>
        <v/>
      </c>
      <c r="F282" s="74">
        <f t="array" ref="F282">IF($K282="","",OFFSET($A$1,ROW($B282)-1,12+$D282*4,))</f>
        <v/>
      </c>
      <c r="G282" s="118">
        <f t="array" ref="G282">IF($K282="","",OFFSET($A$1,ROW($B282)-1,13+$D282*4,))</f>
        <v/>
      </c>
      <c r="H282" s="81" t="n"/>
      <c r="I282" s="82" t="n"/>
      <c r="J282" s="75">
        <f>IF(I282="A4",H282/8,IF(I282="A3",H282/4,IF(I282="A2",H282/2,IF(I282="A1",H282/1,IF(I282="A0",H282*2,"")))))</f>
        <v/>
      </c>
      <c r="K282" s="68">
        <f t="array" ref="K282">IFERROR(OFFSET($BZ$11,ROW($B282)-11,MATCH(K$10,$CA282:$FV282,0),),"")</f>
        <v/>
      </c>
      <c r="L282" s="85">
        <f>IF(K282="","",IF(VLOOKUP($B282,INDIRECT("'GRD-"&amp;M282&amp;"'!$B:$R"),16,FALSE)="","",VLOOKUP($B282,INDIRECT("'GRD-"&amp;M282&amp;"'!$B:$R"),16,FALSE)))</f>
        <v/>
      </c>
      <c r="M282" s="130">
        <f t="array" ref="M282">IF(K282="","",IFERROR(OFFSET($BZ$11,0,MATCH($K282,$CA282:$FV282,0),),""))</f>
        <v/>
      </c>
      <c r="N282" s="119">
        <f t="array" ref="N282">IF(K282="","",INDIRECT("'GRD-"&amp;M282&amp;"'!$L$7"))</f>
        <v/>
      </c>
      <c r="O282" s="76">
        <f t="array" ref="O282">IFERROR(OFFSET($BZ$11,ROW($B282)-11,MATCH(O$10,$CA282:$FV282,0),),"")</f>
        <v/>
      </c>
      <c r="P282" s="76">
        <f>IF(O282="","",IF(VLOOKUP($B282,INDIRECT("'GRD-"&amp;Q282&amp;"'!$B:$R"),16,FALSE)="","",VLOOKUP($B282,INDIRECT("'GRD-"&amp;Q282&amp;"'!$B:$R"),16,FALSE)))</f>
        <v/>
      </c>
      <c r="Q282" s="132">
        <f t="array" ref="Q282">IF(O282="","",IFERROR(OFFSET($BZ$11,0,MATCH($O282,$CA282:$FV282,0),),""))</f>
        <v/>
      </c>
      <c r="R282" s="121">
        <f t="array" ref="R282">IF(O282="","",INDIRECT("'GRD-"&amp;Q282&amp;"'!$L$7"))</f>
        <v/>
      </c>
      <c r="S282" s="83">
        <f t="array" ref="S282">IFERROR(OFFSET($BZ$11,ROW($B282)-11,MATCH(S$10,$CA282:$FV282,0),),"")</f>
        <v/>
      </c>
      <c r="T282" s="83">
        <f>IF(S282="","",IF(VLOOKUP($B282,INDIRECT("'GRD-"&amp;U282&amp;"'!$B:$R"),16,FALSE)="","",VLOOKUP($B282,INDIRECT("'GRD-"&amp;U282&amp;"'!$B:$R"),16,FALSE)))</f>
        <v/>
      </c>
      <c r="U282" s="128">
        <f t="array" ref="U282">IF(S282="","",IFERROR(OFFSET($BZ$11,0,MATCH($S282,$CA282:$FV282,0),),""))</f>
        <v/>
      </c>
      <c r="V282" s="133">
        <f t="array" ref="V282">IF(S282="","",INDIRECT("'GRD-"&amp;U282&amp;"'!$L$7"))</f>
        <v/>
      </c>
      <c r="W282" s="84">
        <f t="array" ref="W282">IFERROR(OFFSET($BZ$11,ROW($B282)-11,MATCH(W$10,$CA282:$FV282,0),),"")</f>
        <v/>
      </c>
      <c r="X282" s="84">
        <f>IF(W282="","",IF(VLOOKUP($B282,INDIRECT("'GRD-"&amp;Y282&amp;"'!$B:$R"),16,FALSE)="","",VLOOKUP($B282,INDIRECT("'GRD-"&amp;Y282&amp;"'!$B:$R"),16,FALSE)))</f>
        <v/>
      </c>
      <c r="Y282" s="129">
        <f t="array" ref="Y282">IF(W282="","",IFERROR(OFFSET($BZ$11,0,MATCH($W282,$CA282:$FV282,0),),""))</f>
        <v/>
      </c>
      <c r="Z282" s="134">
        <f t="array" ref="Z282">IF(W282="","",INDIRECT("'GRD-"&amp;Y282&amp;"'!$L$7"))</f>
        <v/>
      </c>
      <c r="AA282" s="85">
        <f t="array" ref="AA282">IFERROR(OFFSET($BZ$11,ROW($B282)-11,MATCH(AA$10,$CA282:$FV282,0),),"")</f>
        <v/>
      </c>
      <c r="AB282" s="85">
        <f>IF(AA282="","",IF(VLOOKUP($B282,INDIRECT("'GRD-"&amp;AC282&amp;"'!$B:$R"),16,FALSE)="","",VLOOKUP($B282,INDIRECT("'GRD-"&amp;AC282&amp;"'!$B:$R"),16,FALSE)))</f>
        <v/>
      </c>
      <c r="AC282" s="130">
        <f t="array" ref="AC282">IF(AA282="","",IFERROR(OFFSET($BZ$11,0,MATCH($AA282,$CA282:$FV282,0),),""))</f>
        <v/>
      </c>
      <c r="AD282" s="131">
        <f t="array" ref="AD282">IF(AA282="","",INDIRECT("'GRD-"&amp;AC282&amp;"'!$L$7"))</f>
        <v/>
      </c>
      <c r="AE282" s="76">
        <f t="array" ref="AE282">IFERROR(OFFSET($BZ$11,ROW($B282)-11,MATCH(AE$10,$CA282:$FV282,0),),"")</f>
        <v/>
      </c>
      <c r="AF282" s="76">
        <f>IF(AE282="","",IF(VLOOKUP($B282,INDIRECT("'GRD-"&amp;AG282&amp;"'!$B:$R"),16,FALSE)="","",VLOOKUP($B282,INDIRECT("'GRD-"&amp;AG282&amp;"'!$B:$R"),16,FALSE)))</f>
        <v/>
      </c>
      <c r="AG282" s="132">
        <f t="array" ref="AG282">IF(AE282="","",IFERROR(OFFSET($BZ$11,0,MATCH($AE282,$CA282:$FV282,0),),""))</f>
        <v/>
      </c>
      <c r="AH282" s="121">
        <f t="array" ref="AH282">IF(AE282="","",INDIRECT("'GRD-"&amp;AG282&amp;"'!$L$7"))</f>
        <v/>
      </c>
      <c r="AI282" s="83">
        <f t="array" ref="AI282">IFERROR(OFFSET($BZ$11,ROW($B282)-11,MATCH(AI$10,$CA282:$FV282,0),),"")</f>
        <v/>
      </c>
      <c r="AJ282" s="83">
        <f>IF(AI282="","",IF(VLOOKUP($B282,INDIRECT("'GRD-"&amp;AK282&amp;"'!$B:$R"),16,FALSE)="","",VLOOKUP($B282,INDIRECT("'GRD-"&amp;AK282&amp;"'!$B:$R"),16,FALSE)))</f>
        <v/>
      </c>
      <c r="AK282" s="128">
        <f t="array" ref="AK282">IF(AI282="","",IFERROR(OFFSET($BZ$11,0,MATCH($AI282,$CA282:$FV282,0),),""))</f>
        <v/>
      </c>
      <c r="AL282" s="133">
        <f t="array" ref="AL282">IF(AI282="","",INDIRECT("'GRD-"&amp;AK282&amp;"'!$L$7"))</f>
        <v/>
      </c>
      <c r="AM282" s="84">
        <f t="array" ref="AM282">IFERROR(OFFSET($BZ$11,ROW($B282)-11,MATCH(AM$10,$CA282:$FV282,0),),"")</f>
        <v/>
      </c>
      <c r="AN282" s="84">
        <f>IF(AM282="","",IF(VLOOKUP($B282,INDIRECT("'GRD-"&amp;AO282&amp;"'!$B:$R"),16,FALSE)="","",VLOOKUP($B282,INDIRECT("'GRD-"&amp;AO282&amp;"'!$B:$R"),16,FALSE)))</f>
        <v/>
      </c>
      <c r="AO282" s="129">
        <f t="array" ref="AO282">IF(AM282="","",IFERROR(OFFSET($BZ$11,0,MATCH($AM282,$CA282:$FV282,0),),""))</f>
        <v/>
      </c>
      <c r="AP282" s="134">
        <f t="array" ref="AP282">IF(AM282="","",INDIRECT("'GRD-"&amp;AO282&amp;"'!$L$7"))</f>
        <v/>
      </c>
      <c r="AQ282" s="85">
        <f t="array" ref="AQ282">IFERROR(OFFSET($BZ$11,ROW($B282)-11,MATCH(AQ$10,$CA282:$FV282,0),),"")</f>
        <v/>
      </c>
      <c r="AR282" s="85">
        <f>IF(AQ282="","",IF(VLOOKUP($B282,INDIRECT("'GRD-"&amp;AS282&amp;"'!$B:$R"),16,FALSE)="","",VLOOKUP($B282,INDIRECT("'GRD-"&amp;AS282&amp;"'!$B:$R"),16,FALSE)))</f>
        <v/>
      </c>
      <c r="AS282" s="130">
        <f t="array" ref="AS282">IF(AQ282="","",IFERROR(OFFSET($BZ$11,0,MATCH($AQ282,$CA282:$FV282,0),),""))</f>
        <v/>
      </c>
      <c r="AT282" s="131">
        <f t="array" ref="AT282">IF(AQ282="","",INDIRECT("'GRD-"&amp;AS282&amp;"'!$L$7"))</f>
        <v/>
      </c>
      <c r="AU282" s="76">
        <f t="array" ref="AU282">IFERROR(OFFSET($BZ$11,ROW($B282)-11,MATCH(AU$10,$CA282:$FV282,0),),"")</f>
        <v/>
      </c>
      <c r="AV282" s="76">
        <f>IF(AU282="","",IF(VLOOKUP($B282,INDIRECT("'GRD-"&amp;AW282&amp;"'!$B:$R"),16,FALSE)="","",VLOOKUP($B282,INDIRECT("'GRD-"&amp;AW282&amp;"'!$B:$R"),16,FALSE)))</f>
        <v/>
      </c>
      <c r="AW282" s="132">
        <f t="array" ref="AW282">IF(AU282="","",IFERROR(OFFSET($BZ$11,0,MATCH($AU282,$CA282:$FV282,0),),""))</f>
        <v/>
      </c>
      <c r="AX282" s="121">
        <f t="array" ref="AX282">IF(AU282="","",INDIRECT("'GRD-"&amp;AW282&amp;"'!$L$7"))</f>
        <v/>
      </c>
      <c r="AY282" s="83">
        <f t="array" ref="AY282">IFERROR(OFFSET($BZ$11,ROW($B282)-11,MATCH(AY$10,$CA282:$FV282,0),),"")</f>
        <v/>
      </c>
      <c r="AZ282" s="83">
        <f>IF(AY282="","",IF(VLOOKUP($B282,INDIRECT("'GRD-"&amp;BA282&amp;"'!$B:$R"),16,FALSE)="","",VLOOKUP($B282,INDIRECT("'GRD-"&amp;BA282&amp;"'!$B:$R"),16,FALSE)))</f>
        <v/>
      </c>
      <c r="BA282" s="128">
        <f t="array" ref="BA282">IF(AY282="","",IFERROR(OFFSET($BZ$11,0,MATCH($AY282,$CA282:$FV282,0),),""))</f>
        <v/>
      </c>
      <c r="BB282" s="133">
        <f t="array" ref="BB282">IF(AY282="","",INDIRECT("'GRD-"&amp;BA282&amp;"'!$L$7"))</f>
        <v/>
      </c>
      <c r="BC282" s="84">
        <f t="array" ref="BC282">IFERROR(OFFSET($BZ$11,ROW($B282)-11,MATCH(BC$10,$CA282:$FV282,0),),"")</f>
        <v/>
      </c>
      <c r="BD282" s="84">
        <f>IF(BC282="","",IF(VLOOKUP($B282,INDIRECT("'GRD-"&amp;BE282&amp;"'!$B:$R"),16,FALSE)="","",VLOOKUP($B282,INDIRECT("'GRD-"&amp;BE282&amp;"'!$B:$R"),16,FALSE)))</f>
        <v/>
      </c>
      <c r="BE282" s="129">
        <f t="array" ref="BE282">IF(BC282="","",IFERROR(OFFSET($BZ$11,0,MATCH($BC282,$CA282:$FV282,0),),""))</f>
        <v/>
      </c>
      <c r="BF282" s="134">
        <f t="array" ref="BF282">IF(BC282="","",INDIRECT("'GRD-"&amp;BE282&amp;"'!$L$7"))</f>
        <v/>
      </c>
      <c r="CA282" s="96">
        <f>IFERROR(VLOOKUP($B282,INDIRECT("'GRD-"&amp;CA$11&amp;"'!B:R"),15,FALSE),"")</f>
        <v/>
      </c>
      <c r="CB282" s="96">
        <f>IFERROR(VLOOKUP($B282,INDIRECT("'GRD-"&amp;CB$11&amp;"'!B:R"),15,FALSE),"")</f>
        <v/>
      </c>
      <c r="CC282" s="96">
        <f>IFERROR(VLOOKUP($B282,INDIRECT("'GRD-"&amp;CC$11&amp;"'!B:R"),15,FALSE),"")</f>
        <v/>
      </c>
      <c r="CD282" s="96">
        <f>IFERROR(VLOOKUP($B282,INDIRECT("'GRD-"&amp;CD$11&amp;"'!B:R"),15,FALSE),"")</f>
        <v/>
      </c>
      <c r="CE282" s="96">
        <f>IFERROR(VLOOKUP($B282,INDIRECT("'GRD-"&amp;CE$11&amp;"'!B:R"),15,FALSE),"")</f>
        <v/>
      </c>
      <c r="CF282" s="96">
        <f>IFERROR(VLOOKUP($B282,INDIRECT("'GRD-"&amp;CF$11&amp;"'!B:R"),15,FALSE),"")</f>
        <v/>
      </c>
      <c r="CG282" s="96">
        <f>IFERROR(VLOOKUP($B282,INDIRECT("'GRD-"&amp;CG$11&amp;"'!B:R"),15,FALSE),"")</f>
        <v/>
      </c>
      <c r="CH282" s="96">
        <f>IFERROR(VLOOKUP($B282,INDIRECT("'GRD-"&amp;CH$11&amp;"'!B:R"),15,FALSE),"")</f>
        <v/>
      </c>
      <c r="CI282" s="96">
        <f>IFERROR(VLOOKUP($B282,INDIRECT("'GRD-"&amp;CI$11&amp;"'!B:R"),15,FALSE),"")</f>
        <v/>
      </c>
      <c r="CJ282" s="96">
        <f>IFERROR(VLOOKUP($B282,INDIRECT("'GRD-"&amp;CJ$11&amp;"'!B:R"),15,FALSE),"")</f>
        <v/>
      </c>
      <c r="CK282" s="96">
        <f>IFERROR(VLOOKUP($B282,INDIRECT("'GRD-"&amp;CK$11&amp;"'!B:R"),15,FALSE),"")</f>
        <v/>
      </c>
      <c r="CL282" s="96">
        <f>IFERROR(VLOOKUP($B282,INDIRECT("'GRD-"&amp;CL$11&amp;"'!B:R"),15,FALSE),"")</f>
        <v/>
      </c>
      <c r="CM282" s="96">
        <f>IFERROR(VLOOKUP($B282,INDIRECT("'GRD-"&amp;CM$11&amp;"'!B:R"),15,FALSE),"")</f>
        <v/>
      </c>
      <c r="CN282" s="96">
        <f>IFERROR(VLOOKUP($B282,INDIRECT("'GRD-"&amp;CN$11&amp;"'!B:R"),15,FALSE),"")</f>
        <v/>
      </c>
      <c r="CO282" s="96">
        <f>IFERROR(VLOOKUP($B282,INDIRECT("'GRD-"&amp;CO$11&amp;"'!B:R"),15,FALSE),"")</f>
        <v/>
      </c>
      <c r="CP282" s="96">
        <f>IFERROR(VLOOKUP($B282,INDIRECT("'GRD-"&amp;CP$11&amp;"'!B:R"),15,FALSE),"")</f>
        <v/>
      </c>
      <c r="CQ282" s="96">
        <f>IFERROR(VLOOKUP($B282,INDIRECT("'GRD-"&amp;CQ$11&amp;"'!B:R"),15,FALSE),"")</f>
        <v/>
      </c>
      <c r="CR282" s="96">
        <f>IFERROR(VLOOKUP($B282,INDIRECT("'GRD-"&amp;CR$11&amp;"'!B:R"),15,FALSE),"")</f>
        <v/>
      </c>
      <c r="CS282" s="96">
        <f>IFERROR(VLOOKUP($B282,INDIRECT("'GRD-"&amp;CS$11&amp;"'!B:R"),15,FALSE),"")</f>
        <v/>
      </c>
      <c r="CT282" s="96">
        <f>IFERROR(VLOOKUP($B282,INDIRECT("'GRD-"&amp;CT$11&amp;"'!B:R"),15,FALSE),"")</f>
        <v/>
      </c>
      <c r="CU282" s="96">
        <f>IFERROR(VLOOKUP($B282,INDIRECT("'GRD-"&amp;CU$11&amp;"'!B:R"),15,FALSE),"")</f>
        <v/>
      </c>
      <c r="CV282" s="96">
        <f>IFERROR(VLOOKUP($B282,INDIRECT("'GRD-"&amp;CV$11&amp;"'!B:R"),15,FALSE),"")</f>
        <v/>
      </c>
      <c r="CW282" s="96">
        <f>IFERROR(VLOOKUP($B282,INDIRECT("'GRD-"&amp;CW$11&amp;"'!B:R"),15,FALSE),"")</f>
        <v/>
      </c>
      <c r="CX282" s="96">
        <f>IFERROR(VLOOKUP($B282,INDIRECT("'GRD-"&amp;CX$11&amp;"'!B:R"),15,FALSE),"")</f>
        <v/>
      </c>
      <c r="CY282" s="96">
        <f>IFERROR(VLOOKUP($B282,INDIRECT("'GRD-"&amp;CY$11&amp;"'!B:R"),15,FALSE),"")</f>
        <v/>
      </c>
      <c r="CZ282" s="96">
        <f>IFERROR(VLOOKUP($B282,INDIRECT("'GRD-"&amp;CZ$11&amp;"'!B:R"),15,FALSE),"")</f>
        <v/>
      </c>
      <c r="DA282" s="96">
        <f>IFERROR(VLOOKUP($B282,INDIRECT("'GRD-"&amp;DA$11&amp;"'!B:R"),15,FALSE),"")</f>
        <v/>
      </c>
      <c r="DB282" s="96">
        <f>IFERROR(VLOOKUP($B282,INDIRECT("'GRD-"&amp;DB$11&amp;"'!B:R"),15,FALSE),"")</f>
        <v/>
      </c>
      <c r="DC282" s="96">
        <f>IFERROR(VLOOKUP($B282,INDIRECT("'GRD-"&amp;DC$11&amp;"'!B:R"),15,FALSE),"")</f>
        <v/>
      </c>
      <c r="DD282" s="96">
        <f>IFERROR(VLOOKUP($B282,INDIRECT("'GRD-"&amp;DD$11&amp;"'!B:R"),15,FALSE),"")</f>
        <v/>
      </c>
      <c r="DE282" s="96">
        <f>IFERROR(VLOOKUP($B282,INDIRECT("'GRD-"&amp;DE$11&amp;"'!B:R"),15,FALSE),"")</f>
        <v/>
      </c>
      <c r="DF282" s="96">
        <f>IFERROR(VLOOKUP($B282,INDIRECT("'GRD-"&amp;DF$11&amp;"'!B:R"),15,FALSE),"")</f>
        <v/>
      </c>
      <c r="DG282" s="96">
        <f>IFERROR(VLOOKUP($B282,INDIRECT("'GRD-"&amp;DG$11&amp;"'!B:R"),15,FALSE),"")</f>
        <v/>
      </c>
      <c r="DH282" s="96">
        <f>IFERROR(VLOOKUP($B282,INDIRECT("'GRD-"&amp;DH$11&amp;"'!B:R"),15,FALSE),"")</f>
        <v/>
      </c>
      <c r="DI282" s="96">
        <f>IFERROR(VLOOKUP($B282,INDIRECT("'GRD-"&amp;DI$11&amp;"'!B:R"),15,FALSE),"")</f>
        <v/>
      </c>
      <c r="DJ282" s="96">
        <f>IFERROR(VLOOKUP($B282,INDIRECT("'GRD-"&amp;DJ$11&amp;"'!B:R"),15,FALSE),"")</f>
        <v/>
      </c>
      <c r="DK282" s="96">
        <f>IFERROR(VLOOKUP($B282,INDIRECT("'GRD-"&amp;DK$11&amp;"'!B:R"),15,FALSE),"")</f>
        <v/>
      </c>
      <c r="DL282" s="96">
        <f>IFERROR(VLOOKUP($B282,INDIRECT("'GRD-"&amp;DL$11&amp;"'!B:R"),15,FALSE),"")</f>
        <v/>
      </c>
      <c r="DM282" s="96">
        <f>IFERROR(VLOOKUP($B282,INDIRECT("'GRD-"&amp;DM$11&amp;"'!B:R"),15,FALSE),"")</f>
        <v/>
      </c>
      <c r="DN282" s="96">
        <f>IFERROR(VLOOKUP($B282,INDIRECT("'GRD-"&amp;DN$11&amp;"'!B:R"),15,FALSE),"")</f>
        <v/>
      </c>
      <c r="DO282" s="96">
        <f>IFERROR(VLOOKUP($B282,INDIRECT("'GRD-"&amp;DO$11&amp;"'!B:R"),15,FALSE),"")</f>
        <v/>
      </c>
      <c r="DP282" s="96">
        <f>IFERROR(VLOOKUP($B282,INDIRECT("'GRD-"&amp;DP$11&amp;"'!B:R"),15,FALSE),"")</f>
        <v/>
      </c>
      <c r="DQ282" s="96">
        <f>IFERROR(VLOOKUP($B282,INDIRECT("'GRD-"&amp;DQ$11&amp;"'!B:R"),15,FALSE),"")</f>
        <v/>
      </c>
      <c r="DR282" s="96">
        <f>IFERROR(VLOOKUP($B282,INDIRECT("'GRD-"&amp;DR$11&amp;"'!B:R"),15,FALSE),"")</f>
        <v/>
      </c>
      <c r="DS282" s="96">
        <f>IFERROR(VLOOKUP($B282,INDIRECT("'GRD-"&amp;DS$11&amp;"'!B:R"),15,FALSE),"")</f>
        <v/>
      </c>
      <c r="DT282" s="96">
        <f>IFERROR(VLOOKUP($B282,INDIRECT("'GRD-"&amp;DT$11&amp;"'!B:R"),15,FALSE),"")</f>
        <v/>
      </c>
      <c r="DU282" s="96">
        <f>IFERROR(VLOOKUP($B282,INDIRECT("'GRD-"&amp;DU$11&amp;"'!B:R"),15,FALSE),"")</f>
        <v/>
      </c>
      <c r="DV282" s="96">
        <f>IFERROR(VLOOKUP($B282,INDIRECT("'GRD-"&amp;DV$11&amp;"'!B:R"),15,FALSE),"")</f>
        <v/>
      </c>
      <c r="DW282" s="96">
        <f>IFERROR(VLOOKUP($B282,INDIRECT("'GRD-"&amp;DW$11&amp;"'!B:R"),15,FALSE),"")</f>
        <v/>
      </c>
      <c r="DX282" s="96">
        <f>IFERROR(VLOOKUP($B282,INDIRECT("'GRD-"&amp;DX$11&amp;"'!B:R"),15,FALSE),"")</f>
        <v/>
      </c>
      <c r="DY282" s="96">
        <f>IFERROR(VLOOKUP($B282,INDIRECT("'GRD-"&amp;DY$11&amp;"'!B:R"),15,FALSE),"")</f>
        <v/>
      </c>
      <c r="DZ282" s="96">
        <f>IFERROR(VLOOKUP($B282,INDIRECT("'GRD-"&amp;DZ$11&amp;"'!B:R"),15,FALSE),"")</f>
        <v/>
      </c>
      <c r="EA282" s="96">
        <f>IFERROR(VLOOKUP($B282,INDIRECT("'GRD-"&amp;EA$11&amp;"'!B:R"),15,FALSE),"")</f>
        <v/>
      </c>
      <c r="EB282" s="96">
        <f>IFERROR(VLOOKUP($B282,INDIRECT("'GRD-"&amp;EB$11&amp;"'!B:R"),15,FALSE),"")</f>
        <v/>
      </c>
      <c r="EC282" s="96">
        <f>IFERROR(VLOOKUP($B282,INDIRECT("'GRD-"&amp;EC$11&amp;"'!B:R"),15,FALSE),"")</f>
        <v/>
      </c>
      <c r="ED282" s="96">
        <f>IFERROR(VLOOKUP($B282,INDIRECT("'GRD-"&amp;ED$11&amp;"'!B:R"),15,FALSE),"")</f>
        <v/>
      </c>
      <c r="EE282" s="96">
        <f>IFERROR(VLOOKUP($B282,INDIRECT("'GRD-"&amp;EE$11&amp;"'!B:R"),15,FALSE),"")</f>
        <v/>
      </c>
      <c r="EF282" s="96">
        <f>IFERROR(VLOOKUP($B282,INDIRECT("'GRD-"&amp;EF$11&amp;"'!B:R"),15,FALSE),"")</f>
        <v/>
      </c>
      <c r="EG282" s="96">
        <f>IFERROR(VLOOKUP($B282,INDIRECT("'GRD-"&amp;EG$11&amp;"'!B:R"),15,FALSE),"")</f>
        <v/>
      </c>
      <c r="EH282" s="96">
        <f>IFERROR(VLOOKUP($B282,INDIRECT("'GRD-"&amp;EH$11&amp;"'!B:R"),15,FALSE),"")</f>
        <v/>
      </c>
      <c r="EI282" s="96">
        <f>IFERROR(VLOOKUP($B282,INDIRECT("'GRD-"&amp;EI$11&amp;"'!B:R"),15,FALSE),"")</f>
        <v/>
      </c>
      <c r="EJ282" s="96">
        <f>IFERROR(VLOOKUP($B282,INDIRECT("'GRD-"&amp;EJ$11&amp;"'!B:R"),15,FALSE),"")</f>
        <v/>
      </c>
      <c r="EK282" s="96">
        <f>IFERROR(VLOOKUP($B282,INDIRECT("'GRD-"&amp;EK$11&amp;"'!B:R"),15,FALSE),"")</f>
        <v/>
      </c>
      <c r="EL282" s="96">
        <f>IFERROR(VLOOKUP($B282,INDIRECT("'GRD-"&amp;EL$11&amp;"'!B:R"),15,FALSE),"")</f>
        <v/>
      </c>
      <c r="EM282" s="96">
        <f>IFERROR(VLOOKUP($B282,INDIRECT("'GRD-"&amp;EM$11&amp;"'!B:R"),15,FALSE),"")</f>
        <v/>
      </c>
      <c r="EN282" s="96">
        <f>IFERROR(VLOOKUP($B282,INDIRECT("'GRD-"&amp;EN$11&amp;"'!B:R"),15,FALSE),"")</f>
        <v/>
      </c>
      <c r="EO282" s="96">
        <f>IFERROR(VLOOKUP($B282,INDIRECT("'GRD-"&amp;EO$11&amp;"'!B:R"),15,FALSE),"")</f>
        <v/>
      </c>
      <c r="EP282" s="96">
        <f>IFERROR(VLOOKUP($B282,INDIRECT("'GRD-"&amp;EP$11&amp;"'!B:R"),15,FALSE),"")</f>
        <v/>
      </c>
      <c r="EQ282" s="96">
        <f>IFERROR(VLOOKUP($B282,INDIRECT("'GRD-"&amp;EQ$11&amp;"'!B:R"),15,FALSE),"")</f>
        <v/>
      </c>
      <c r="ER282" s="96">
        <f>IFERROR(VLOOKUP($B282,INDIRECT("'GRD-"&amp;ER$11&amp;"'!B:R"),15,FALSE),"")</f>
        <v/>
      </c>
      <c r="ES282" s="96">
        <f>IFERROR(VLOOKUP($B282,INDIRECT("'GRD-"&amp;ES$11&amp;"'!B:R"),15,FALSE),"")</f>
        <v/>
      </c>
      <c r="ET282" s="96">
        <f>IFERROR(VLOOKUP($B282,INDIRECT("'GRD-"&amp;ET$11&amp;"'!B:R"),15,FALSE),"")</f>
        <v/>
      </c>
      <c r="EU282" s="96">
        <f>IFERROR(VLOOKUP($B282,INDIRECT("'GRD-"&amp;EU$11&amp;"'!B:R"),15,FALSE),"")</f>
        <v/>
      </c>
      <c r="EV282" s="96">
        <f>IFERROR(VLOOKUP($B282,INDIRECT("'GRD-"&amp;EV$11&amp;"'!B:R"),15,FALSE),"")</f>
        <v/>
      </c>
      <c r="EW282" s="96">
        <f>IFERROR(VLOOKUP($B282,INDIRECT("'GRD-"&amp;EW$11&amp;"'!B:R"),15,FALSE),"")</f>
        <v/>
      </c>
      <c r="EX282" s="96">
        <f>IFERROR(VLOOKUP($B282,INDIRECT("'GRD-"&amp;EX$11&amp;"'!B:R"),15,FALSE),"")</f>
        <v/>
      </c>
      <c r="EY282" s="96">
        <f>IFERROR(VLOOKUP($B282,INDIRECT("'GRD-"&amp;EY$11&amp;"'!B:R"),15,FALSE),"")</f>
        <v/>
      </c>
      <c r="EZ282" s="96">
        <f>IFERROR(VLOOKUP($B282,INDIRECT("'GRD-"&amp;EZ$11&amp;"'!B:R"),15,FALSE),"")</f>
        <v/>
      </c>
      <c r="FA282" s="96">
        <f>IFERROR(VLOOKUP($B282,INDIRECT("'GRD-"&amp;FA$11&amp;"'!B:R"),15,FALSE),"")</f>
        <v/>
      </c>
      <c r="FB282" s="96">
        <f>IFERROR(VLOOKUP($B282,INDIRECT("'GRD-"&amp;FB$11&amp;"'!B:R"),15,FALSE),"")</f>
        <v/>
      </c>
      <c r="FC282" s="96">
        <f>IFERROR(VLOOKUP($B282,INDIRECT("'GRD-"&amp;FC$11&amp;"'!B:R"),15,FALSE),"")</f>
        <v/>
      </c>
      <c r="FD282" s="96">
        <f>IFERROR(VLOOKUP($B282,INDIRECT("'GRD-"&amp;FD$11&amp;"'!B:R"),15,FALSE),"")</f>
        <v/>
      </c>
      <c r="FE282" s="96">
        <f>IFERROR(VLOOKUP($B282,INDIRECT("'GRD-"&amp;FE$11&amp;"'!B:R"),15,FALSE),"")</f>
        <v/>
      </c>
      <c r="FF282" s="96">
        <f>IFERROR(VLOOKUP($B282,INDIRECT("'GRD-"&amp;FF$11&amp;"'!B:R"),15,FALSE),"")</f>
        <v/>
      </c>
      <c r="FG282" s="96">
        <f>IFERROR(VLOOKUP($B282,INDIRECT("'GRD-"&amp;FG$11&amp;"'!B:R"),15,FALSE),"")</f>
        <v/>
      </c>
      <c r="FH282" s="96">
        <f>IFERROR(VLOOKUP($B282,INDIRECT("'GRD-"&amp;FH$11&amp;"'!B:R"),15,FALSE),"")</f>
        <v/>
      </c>
      <c r="FI282" s="96">
        <f>IFERROR(VLOOKUP($B282,INDIRECT("'GRD-"&amp;FI$11&amp;"'!B:R"),15,FALSE),"")</f>
        <v/>
      </c>
      <c r="FJ282" s="96">
        <f>IFERROR(VLOOKUP($B282,INDIRECT("'GRD-"&amp;FJ$11&amp;"'!B:R"),15,FALSE),"")</f>
        <v/>
      </c>
      <c r="FK282" s="96">
        <f>IFERROR(VLOOKUP($B282,INDIRECT("'GRD-"&amp;FK$11&amp;"'!B:R"),15,FALSE),"")</f>
        <v/>
      </c>
      <c r="FL282" s="96">
        <f>IFERROR(VLOOKUP($B282,INDIRECT("'GRD-"&amp;FL$11&amp;"'!B:R"),15,FALSE),"")</f>
        <v/>
      </c>
      <c r="FM282" s="96">
        <f>IFERROR(VLOOKUP($B282,INDIRECT("'GRD-"&amp;FM$11&amp;"'!B:R"),15,FALSE),"")</f>
        <v/>
      </c>
      <c r="FN282" s="96">
        <f>IFERROR(VLOOKUP($B282,INDIRECT("'GRD-"&amp;FN$11&amp;"'!B:R"),15,FALSE),"")</f>
        <v/>
      </c>
      <c r="FO282" s="96">
        <f>IFERROR(VLOOKUP($B282,INDIRECT("'GRD-"&amp;FO$11&amp;"'!B:R"),15,FALSE),"")</f>
        <v/>
      </c>
      <c r="FP282" s="96">
        <f>IFERROR(VLOOKUP($B282,INDIRECT("'GRD-"&amp;FP$11&amp;"'!B:R"),15,FALSE),"")</f>
        <v/>
      </c>
      <c r="FQ282" s="96">
        <f>IFERROR(VLOOKUP($B282,INDIRECT("'GRD-"&amp;FQ$11&amp;"'!B:R"),15,FALSE),"")</f>
        <v/>
      </c>
      <c r="FR282" s="96">
        <f>IFERROR(VLOOKUP($B282,INDIRECT("'GRD-"&amp;FR$11&amp;"'!B:R"),15,FALSE),"")</f>
        <v/>
      </c>
      <c r="FS282" s="96">
        <f>IFERROR(VLOOKUP($B282,INDIRECT("'GRD-"&amp;FS$11&amp;"'!B:R"),15,FALSE),"")</f>
        <v/>
      </c>
      <c r="FT282" s="96">
        <f>IFERROR(VLOOKUP($B282,INDIRECT("'GRD-"&amp;FT$11&amp;"'!B:R"),15,FALSE),"")</f>
        <v/>
      </c>
      <c r="FU282" s="96">
        <f>IFERROR(VLOOKUP($B282,INDIRECT("'GRD-"&amp;FU$11&amp;"'!B:R"),15,FALSE),"")</f>
        <v/>
      </c>
      <c r="FV282" s="96">
        <f>IFERROR(VLOOKUP($B282,INDIRECT("'GRD-"&amp;FV$11&amp;"'!B:R"),15,FALSE),"")</f>
        <v/>
      </c>
    </row>
    <row r="283">
      <c r="B283" s="85" t="n"/>
      <c r="C283" s="93" t="n"/>
      <c r="D283" s="73">
        <f>IF(K283="","",MAX($CA283:$FV283))</f>
        <v/>
      </c>
      <c r="E283" s="74">
        <f t="array" ref="E283">IF($K283="","",OFFSET($A$1,ROW($B283)-1,11+$D283*4,))</f>
        <v/>
      </c>
      <c r="F283" s="74">
        <f t="array" ref="F283">IF($K283="","",OFFSET($A$1,ROW($B283)-1,12+$D283*4,))</f>
        <v/>
      </c>
      <c r="G283" s="118">
        <f t="array" ref="G283">IF($K283="","",OFFSET($A$1,ROW($B283)-1,13+$D283*4,))</f>
        <v/>
      </c>
      <c r="H283" s="81" t="n"/>
      <c r="I283" s="82" t="n"/>
      <c r="J283" s="75">
        <f>IF(I283="A4",H283/8,IF(I283="A3",H283/4,IF(I283="A2",H283/2,IF(I283="A1",H283/1,IF(I283="A0",H283*2,"")))))</f>
        <v/>
      </c>
      <c r="K283" s="68">
        <f t="array" ref="K283">IFERROR(OFFSET($BZ$11,ROW($B283)-11,MATCH(K$10,$CA283:$FV283,0),),"")</f>
        <v/>
      </c>
      <c r="L283" s="85">
        <f>IF(K283="","",IF(VLOOKUP($B283,INDIRECT("'GRD-"&amp;M283&amp;"'!$B:$R"),16,FALSE)="","",VLOOKUP($B283,INDIRECT("'GRD-"&amp;M283&amp;"'!$B:$R"),16,FALSE)))</f>
        <v/>
      </c>
      <c r="M283" s="130">
        <f t="array" ref="M283">IF(K283="","",IFERROR(OFFSET($BZ$11,0,MATCH($K283,$CA283:$FV283,0),),""))</f>
        <v/>
      </c>
      <c r="N283" s="119">
        <f t="array" ref="N283">IF(K283="","",INDIRECT("'GRD-"&amp;M283&amp;"'!$L$7"))</f>
        <v/>
      </c>
      <c r="O283" s="76">
        <f t="array" ref="O283">IFERROR(OFFSET($BZ$11,ROW($B283)-11,MATCH(O$10,$CA283:$FV283,0),),"")</f>
        <v/>
      </c>
      <c r="P283" s="76">
        <f>IF(O283="","",IF(VLOOKUP($B283,INDIRECT("'GRD-"&amp;Q283&amp;"'!$B:$R"),16,FALSE)="","",VLOOKUP($B283,INDIRECT("'GRD-"&amp;Q283&amp;"'!$B:$R"),16,FALSE)))</f>
        <v/>
      </c>
      <c r="Q283" s="132">
        <f t="array" ref="Q283">IF(O283="","",IFERROR(OFFSET($BZ$11,0,MATCH($O283,$CA283:$FV283,0),),""))</f>
        <v/>
      </c>
      <c r="R283" s="121">
        <f t="array" ref="R283">IF(O283="","",INDIRECT("'GRD-"&amp;Q283&amp;"'!$L$7"))</f>
        <v/>
      </c>
      <c r="S283" s="83">
        <f t="array" ref="S283">IFERROR(OFFSET($BZ$11,ROW($B283)-11,MATCH(S$10,$CA283:$FV283,0),),"")</f>
        <v/>
      </c>
      <c r="T283" s="83">
        <f>IF(S283="","",IF(VLOOKUP($B283,INDIRECT("'GRD-"&amp;U283&amp;"'!$B:$R"),16,FALSE)="","",VLOOKUP($B283,INDIRECT("'GRD-"&amp;U283&amp;"'!$B:$R"),16,FALSE)))</f>
        <v/>
      </c>
      <c r="U283" s="128">
        <f t="array" ref="U283">IF(S283="","",IFERROR(OFFSET($BZ$11,0,MATCH($S283,$CA283:$FV283,0),),""))</f>
        <v/>
      </c>
      <c r="V283" s="133">
        <f t="array" ref="V283">IF(S283="","",INDIRECT("'GRD-"&amp;U283&amp;"'!$L$7"))</f>
        <v/>
      </c>
      <c r="W283" s="84">
        <f t="array" ref="W283">IFERROR(OFFSET($BZ$11,ROW($B283)-11,MATCH(W$10,$CA283:$FV283,0),),"")</f>
        <v/>
      </c>
      <c r="X283" s="84">
        <f>IF(W283="","",IF(VLOOKUP($B283,INDIRECT("'GRD-"&amp;Y283&amp;"'!$B:$R"),16,FALSE)="","",VLOOKUP($B283,INDIRECT("'GRD-"&amp;Y283&amp;"'!$B:$R"),16,FALSE)))</f>
        <v/>
      </c>
      <c r="Y283" s="129">
        <f t="array" ref="Y283">IF(W283="","",IFERROR(OFFSET($BZ$11,0,MATCH($W283,$CA283:$FV283,0),),""))</f>
        <v/>
      </c>
      <c r="Z283" s="134">
        <f t="array" ref="Z283">IF(W283="","",INDIRECT("'GRD-"&amp;Y283&amp;"'!$L$7"))</f>
        <v/>
      </c>
      <c r="AA283" s="85">
        <f t="array" ref="AA283">IFERROR(OFFSET($BZ$11,ROW($B283)-11,MATCH(AA$10,$CA283:$FV283,0),),"")</f>
        <v/>
      </c>
      <c r="AB283" s="85">
        <f>IF(AA283="","",IF(VLOOKUP($B283,INDIRECT("'GRD-"&amp;AC283&amp;"'!$B:$R"),16,FALSE)="","",VLOOKUP($B283,INDIRECT("'GRD-"&amp;AC283&amp;"'!$B:$R"),16,FALSE)))</f>
        <v/>
      </c>
      <c r="AC283" s="130">
        <f t="array" ref="AC283">IF(AA283="","",IFERROR(OFFSET($BZ$11,0,MATCH($AA283,$CA283:$FV283,0),),""))</f>
        <v/>
      </c>
      <c r="AD283" s="131">
        <f t="array" ref="AD283">IF(AA283="","",INDIRECT("'GRD-"&amp;AC283&amp;"'!$L$7"))</f>
        <v/>
      </c>
      <c r="AE283" s="76">
        <f t="array" ref="AE283">IFERROR(OFFSET($BZ$11,ROW($B283)-11,MATCH(AE$10,$CA283:$FV283,0),),"")</f>
        <v/>
      </c>
      <c r="AF283" s="76">
        <f>IF(AE283="","",IF(VLOOKUP($B283,INDIRECT("'GRD-"&amp;AG283&amp;"'!$B:$R"),16,FALSE)="","",VLOOKUP($B283,INDIRECT("'GRD-"&amp;AG283&amp;"'!$B:$R"),16,FALSE)))</f>
        <v/>
      </c>
      <c r="AG283" s="132">
        <f t="array" ref="AG283">IF(AE283="","",IFERROR(OFFSET($BZ$11,0,MATCH($AE283,$CA283:$FV283,0),),""))</f>
        <v/>
      </c>
      <c r="AH283" s="121">
        <f t="array" ref="AH283">IF(AE283="","",INDIRECT("'GRD-"&amp;AG283&amp;"'!$L$7"))</f>
        <v/>
      </c>
      <c r="AI283" s="83">
        <f t="array" ref="AI283">IFERROR(OFFSET($BZ$11,ROW($B283)-11,MATCH(AI$10,$CA283:$FV283,0),),"")</f>
        <v/>
      </c>
      <c r="AJ283" s="83">
        <f>IF(AI283="","",IF(VLOOKUP($B283,INDIRECT("'GRD-"&amp;AK283&amp;"'!$B:$R"),16,FALSE)="","",VLOOKUP($B283,INDIRECT("'GRD-"&amp;AK283&amp;"'!$B:$R"),16,FALSE)))</f>
        <v/>
      </c>
      <c r="AK283" s="128">
        <f t="array" ref="AK283">IF(AI283="","",IFERROR(OFFSET($BZ$11,0,MATCH($AI283,$CA283:$FV283,0),),""))</f>
        <v/>
      </c>
      <c r="AL283" s="133">
        <f t="array" ref="AL283">IF(AI283="","",INDIRECT("'GRD-"&amp;AK283&amp;"'!$L$7"))</f>
        <v/>
      </c>
      <c r="AM283" s="84">
        <f t="array" ref="AM283">IFERROR(OFFSET($BZ$11,ROW($B283)-11,MATCH(AM$10,$CA283:$FV283,0),),"")</f>
        <v/>
      </c>
      <c r="AN283" s="84">
        <f>IF(AM283="","",IF(VLOOKUP($B283,INDIRECT("'GRD-"&amp;AO283&amp;"'!$B:$R"),16,FALSE)="","",VLOOKUP($B283,INDIRECT("'GRD-"&amp;AO283&amp;"'!$B:$R"),16,FALSE)))</f>
        <v/>
      </c>
      <c r="AO283" s="129">
        <f t="array" ref="AO283">IF(AM283="","",IFERROR(OFFSET($BZ$11,0,MATCH($AM283,$CA283:$FV283,0),),""))</f>
        <v/>
      </c>
      <c r="AP283" s="134">
        <f t="array" ref="AP283">IF(AM283="","",INDIRECT("'GRD-"&amp;AO283&amp;"'!$L$7"))</f>
        <v/>
      </c>
      <c r="AQ283" s="85">
        <f t="array" ref="AQ283">IFERROR(OFFSET($BZ$11,ROW($B283)-11,MATCH(AQ$10,$CA283:$FV283,0),),"")</f>
        <v/>
      </c>
      <c r="AR283" s="85">
        <f>IF(AQ283="","",IF(VLOOKUP($B283,INDIRECT("'GRD-"&amp;AS283&amp;"'!$B:$R"),16,FALSE)="","",VLOOKUP($B283,INDIRECT("'GRD-"&amp;AS283&amp;"'!$B:$R"),16,FALSE)))</f>
        <v/>
      </c>
      <c r="AS283" s="130">
        <f t="array" ref="AS283">IF(AQ283="","",IFERROR(OFFSET($BZ$11,0,MATCH($AQ283,$CA283:$FV283,0),),""))</f>
        <v/>
      </c>
      <c r="AT283" s="131">
        <f t="array" ref="AT283">IF(AQ283="","",INDIRECT("'GRD-"&amp;AS283&amp;"'!$L$7"))</f>
        <v/>
      </c>
      <c r="AU283" s="76">
        <f t="array" ref="AU283">IFERROR(OFFSET($BZ$11,ROW($B283)-11,MATCH(AU$10,$CA283:$FV283,0),),"")</f>
        <v/>
      </c>
      <c r="AV283" s="76">
        <f>IF(AU283="","",IF(VLOOKUP($B283,INDIRECT("'GRD-"&amp;AW283&amp;"'!$B:$R"),16,FALSE)="","",VLOOKUP($B283,INDIRECT("'GRD-"&amp;AW283&amp;"'!$B:$R"),16,FALSE)))</f>
        <v/>
      </c>
      <c r="AW283" s="132">
        <f t="array" ref="AW283">IF(AU283="","",IFERROR(OFFSET($BZ$11,0,MATCH($AU283,$CA283:$FV283,0),),""))</f>
        <v/>
      </c>
      <c r="AX283" s="121">
        <f t="array" ref="AX283">IF(AU283="","",INDIRECT("'GRD-"&amp;AW283&amp;"'!$L$7"))</f>
        <v/>
      </c>
      <c r="AY283" s="83">
        <f t="array" ref="AY283">IFERROR(OFFSET($BZ$11,ROW($B283)-11,MATCH(AY$10,$CA283:$FV283,0),),"")</f>
        <v/>
      </c>
      <c r="AZ283" s="83">
        <f>IF(AY283="","",IF(VLOOKUP($B283,INDIRECT("'GRD-"&amp;BA283&amp;"'!$B:$R"),16,FALSE)="","",VLOOKUP($B283,INDIRECT("'GRD-"&amp;BA283&amp;"'!$B:$R"),16,FALSE)))</f>
        <v/>
      </c>
      <c r="BA283" s="128">
        <f t="array" ref="BA283">IF(AY283="","",IFERROR(OFFSET($BZ$11,0,MATCH($AY283,$CA283:$FV283,0),),""))</f>
        <v/>
      </c>
      <c r="BB283" s="133">
        <f t="array" ref="BB283">IF(AY283="","",INDIRECT("'GRD-"&amp;BA283&amp;"'!$L$7"))</f>
        <v/>
      </c>
      <c r="BC283" s="84">
        <f t="array" ref="BC283">IFERROR(OFFSET($BZ$11,ROW($B283)-11,MATCH(BC$10,$CA283:$FV283,0),),"")</f>
        <v/>
      </c>
      <c r="BD283" s="84">
        <f>IF(BC283="","",IF(VLOOKUP($B283,INDIRECT("'GRD-"&amp;BE283&amp;"'!$B:$R"),16,FALSE)="","",VLOOKUP($B283,INDIRECT("'GRD-"&amp;BE283&amp;"'!$B:$R"),16,FALSE)))</f>
        <v/>
      </c>
      <c r="BE283" s="129">
        <f t="array" ref="BE283">IF(BC283="","",IFERROR(OFFSET($BZ$11,0,MATCH($BC283,$CA283:$FV283,0),),""))</f>
        <v/>
      </c>
      <c r="BF283" s="134">
        <f t="array" ref="BF283">IF(BC283="","",INDIRECT("'GRD-"&amp;BE283&amp;"'!$L$7"))</f>
        <v/>
      </c>
      <c r="CA283" s="96">
        <f>IFERROR(VLOOKUP($B283,INDIRECT("'GRD-"&amp;CA$11&amp;"'!B:R"),15,FALSE),"")</f>
        <v/>
      </c>
      <c r="CB283" s="96">
        <f>IFERROR(VLOOKUP($B283,INDIRECT("'GRD-"&amp;CB$11&amp;"'!B:R"),15,FALSE),"")</f>
        <v/>
      </c>
      <c r="CC283" s="96">
        <f>IFERROR(VLOOKUP($B283,INDIRECT("'GRD-"&amp;CC$11&amp;"'!B:R"),15,FALSE),"")</f>
        <v/>
      </c>
      <c r="CD283" s="96">
        <f>IFERROR(VLOOKUP($B283,INDIRECT("'GRD-"&amp;CD$11&amp;"'!B:R"),15,FALSE),"")</f>
        <v/>
      </c>
      <c r="CE283" s="96">
        <f>IFERROR(VLOOKUP($B283,INDIRECT("'GRD-"&amp;CE$11&amp;"'!B:R"),15,FALSE),"")</f>
        <v/>
      </c>
      <c r="CF283" s="96">
        <f>IFERROR(VLOOKUP($B283,INDIRECT("'GRD-"&amp;CF$11&amp;"'!B:R"),15,FALSE),"")</f>
        <v/>
      </c>
      <c r="CG283" s="96">
        <f>IFERROR(VLOOKUP($B283,INDIRECT("'GRD-"&amp;CG$11&amp;"'!B:R"),15,FALSE),"")</f>
        <v/>
      </c>
      <c r="CH283" s="96">
        <f>IFERROR(VLOOKUP($B283,INDIRECT("'GRD-"&amp;CH$11&amp;"'!B:R"),15,FALSE),"")</f>
        <v/>
      </c>
      <c r="CI283" s="96">
        <f>IFERROR(VLOOKUP($B283,INDIRECT("'GRD-"&amp;CI$11&amp;"'!B:R"),15,FALSE),"")</f>
        <v/>
      </c>
      <c r="CJ283" s="96">
        <f>IFERROR(VLOOKUP($B283,INDIRECT("'GRD-"&amp;CJ$11&amp;"'!B:R"),15,FALSE),"")</f>
        <v/>
      </c>
      <c r="CK283" s="96">
        <f>IFERROR(VLOOKUP($B283,INDIRECT("'GRD-"&amp;CK$11&amp;"'!B:R"),15,FALSE),"")</f>
        <v/>
      </c>
      <c r="CL283" s="96">
        <f>IFERROR(VLOOKUP($B283,INDIRECT("'GRD-"&amp;CL$11&amp;"'!B:R"),15,FALSE),"")</f>
        <v/>
      </c>
      <c r="CM283" s="96">
        <f>IFERROR(VLOOKUP($B283,INDIRECT("'GRD-"&amp;CM$11&amp;"'!B:R"),15,FALSE),"")</f>
        <v/>
      </c>
      <c r="CN283" s="96">
        <f>IFERROR(VLOOKUP($B283,INDIRECT("'GRD-"&amp;CN$11&amp;"'!B:R"),15,FALSE),"")</f>
        <v/>
      </c>
      <c r="CO283" s="96">
        <f>IFERROR(VLOOKUP($B283,INDIRECT("'GRD-"&amp;CO$11&amp;"'!B:R"),15,FALSE),"")</f>
        <v/>
      </c>
      <c r="CP283" s="96">
        <f>IFERROR(VLOOKUP($B283,INDIRECT("'GRD-"&amp;CP$11&amp;"'!B:R"),15,FALSE),"")</f>
        <v/>
      </c>
      <c r="CQ283" s="96">
        <f>IFERROR(VLOOKUP($B283,INDIRECT("'GRD-"&amp;CQ$11&amp;"'!B:R"),15,FALSE),"")</f>
        <v/>
      </c>
      <c r="CR283" s="96">
        <f>IFERROR(VLOOKUP($B283,INDIRECT("'GRD-"&amp;CR$11&amp;"'!B:R"),15,FALSE),"")</f>
        <v/>
      </c>
      <c r="CS283" s="96">
        <f>IFERROR(VLOOKUP($B283,INDIRECT("'GRD-"&amp;CS$11&amp;"'!B:R"),15,FALSE),"")</f>
        <v/>
      </c>
      <c r="CT283" s="96">
        <f>IFERROR(VLOOKUP($B283,INDIRECT("'GRD-"&amp;CT$11&amp;"'!B:R"),15,FALSE),"")</f>
        <v/>
      </c>
      <c r="CU283" s="96">
        <f>IFERROR(VLOOKUP($B283,INDIRECT("'GRD-"&amp;CU$11&amp;"'!B:R"),15,FALSE),"")</f>
        <v/>
      </c>
      <c r="CV283" s="96">
        <f>IFERROR(VLOOKUP($B283,INDIRECT("'GRD-"&amp;CV$11&amp;"'!B:R"),15,FALSE),"")</f>
        <v/>
      </c>
      <c r="CW283" s="96">
        <f>IFERROR(VLOOKUP($B283,INDIRECT("'GRD-"&amp;CW$11&amp;"'!B:R"),15,FALSE),"")</f>
        <v/>
      </c>
      <c r="CX283" s="96">
        <f>IFERROR(VLOOKUP($B283,INDIRECT("'GRD-"&amp;CX$11&amp;"'!B:R"),15,FALSE),"")</f>
        <v/>
      </c>
      <c r="CY283" s="96">
        <f>IFERROR(VLOOKUP($B283,INDIRECT("'GRD-"&amp;CY$11&amp;"'!B:R"),15,FALSE),"")</f>
        <v/>
      </c>
      <c r="CZ283" s="96">
        <f>IFERROR(VLOOKUP($B283,INDIRECT("'GRD-"&amp;CZ$11&amp;"'!B:R"),15,FALSE),"")</f>
        <v/>
      </c>
      <c r="DA283" s="96">
        <f>IFERROR(VLOOKUP($B283,INDIRECT("'GRD-"&amp;DA$11&amp;"'!B:R"),15,FALSE),"")</f>
        <v/>
      </c>
      <c r="DB283" s="96">
        <f>IFERROR(VLOOKUP($B283,INDIRECT("'GRD-"&amp;DB$11&amp;"'!B:R"),15,FALSE),"")</f>
        <v/>
      </c>
      <c r="DC283" s="96">
        <f>IFERROR(VLOOKUP($B283,INDIRECT("'GRD-"&amp;DC$11&amp;"'!B:R"),15,FALSE),"")</f>
        <v/>
      </c>
      <c r="DD283" s="96">
        <f>IFERROR(VLOOKUP($B283,INDIRECT("'GRD-"&amp;DD$11&amp;"'!B:R"),15,FALSE),"")</f>
        <v/>
      </c>
      <c r="DE283" s="96">
        <f>IFERROR(VLOOKUP($B283,INDIRECT("'GRD-"&amp;DE$11&amp;"'!B:R"),15,FALSE),"")</f>
        <v/>
      </c>
      <c r="DF283" s="96">
        <f>IFERROR(VLOOKUP($B283,INDIRECT("'GRD-"&amp;DF$11&amp;"'!B:R"),15,FALSE),"")</f>
        <v/>
      </c>
      <c r="DG283" s="96">
        <f>IFERROR(VLOOKUP($B283,INDIRECT("'GRD-"&amp;DG$11&amp;"'!B:R"),15,FALSE),"")</f>
        <v/>
      </c>
      <c r="DH283" s="96">
        <f>IFERROR(VLOOKUP($B283,INDIRECT("'GRD-"&amp;DH$11&amp;"'!B:R"),15,FALSE),"")</f>
        <v/>
      </c>
      <c r="DI283" s="96">
        <f>IFERROR(VLOOKUP($B283,INDIRECT("'GRD-"&amp;DI$11&amp;"'!B:R"),15,FALSE),"")</f>
        <v/>
      </c>
      <c r="DJ283" s="96">
        <f>IFERROR(VLOOKUP($B283,INDIRECT("'GRD-"&amp;DJ$11&amp;"'!B:R"),15,FALSE),"")</f>
        <v/>
      </c>
      <c r="DK283" s="96">
        <f>IFERROR(VLOOKUP($B283,INDIRECT("'GRD-"&amp;DK$11&amp;"'!B:R"),15,FALSE),"")</f>
        <v/>
      </c>
      <c r="DL283" s="96">
        <f>IFERROR(VLOOKUP($B283,INDIRECT("'GRD-"&amp;DL$11&amp;"'!B:R"),15,FALSE),"")</f>
        <v/>
      </c>
      <c r="DM283" s="96">
        <f>IFERROR(VLOOKUP($B283,INDIRECT("'GRD-"&amp;DM$11&amp;"'!B:R"),15,FALSE),"")</f>
        <v/>
      </c>
      <c r="DN283" s="96">
        <f>IFERROR(VLOOKUP($B283,INDIRECT("'GRD-"&amp;DN$11&amp;"'!B:R"),15,FALSE),"")</f>
        <v/>
      </c>
      <c r="DO283" s="96">
        <f>IFERROR(VLOOKUP($B283,INDIRECT("'GRD-"&amp;DO$11&amp;"'!B:R"),15,FALSE),"")</f>
        <v/>
      </c>
      <c r="DP283" s="96">
        <f>IFERROR(VLOOKUP($B283,INDIRECT("'GRD-"&amp;DP$11&amp;"'!B:R"),15,FALSE),"")</f>
        <v/>
      </c>
      <c r="DQ283" s="96">
        <f>IFERROR(VLOOKUP($B283,INDIRECT("'GRD-"&amp;DQ$11&amp;"'!B:R"),15,FALSE),"")</f>
        <v/>
      </c>
      <c r="DR283" s="96">
        <f>IFERROR(VLOOKUP($B283,INDIRECT("'GRD-"&amp;DR$11&amp;"'!B:R"),15,FALSE),"")</f>
        <v/>
      </c>
      <c r="DS283" s="96">
        <f>IFERROR(VLOOKUP($B283,INDIRECT("'GRD-"&amp;DS$11&amp;"'!B:R"),15,FALSE),"")</f>
        <v/>
      </c>
      <c r="DT283" s="96">
        <f>IFERROR(VLOOKUP($B283,INDIRECT("'GRD-"&amp;DT$11&amp;"'!B:R"),15,FALSE),"")</f>
        <v/>
      </c>
      <c r="DU283" s="96">
        <f>IFERROR(VLOOKUP($B283,INDIRECT("'GRD-"&amp;DU$11&amp;"'!B:R"),15,FALSE),"")</f>
        <v/>
      </c>
      <c r="DV283" s="96">
        <f>IFERROR(VLOOKUP($B283,INDIRECT("'GRD-"&amp;DV$11&amp;"'!B:R"),15,FALSE),"")</f>
        <v/>
      </c>
      <c r="DW283" s="96">
        <f>IFERROR(VLOOKUP($B283,INDIRECT("'GRD-"&amp;DW$11&amp;"'!B:R"),15,FALSE),"")</f>
        <v/>
      </c>
      <c r="DX283" s="96">
        <f>IFERROR(VLOOKUP($B283,INDIRECT("'GRD-"&amp;DX$11&amp;"'!B:R"),15,FALSE),"")</f>
        <v/>
      </c>
      <c r="DY283" s="96">
        <f>IFERROR(VLOOKUP($B283,INDIRECT("'GRD-"&amp;DY$11&amp;"'!B:R"),15,FALSE),"")</f>
        <v/>
      </c>
      <c r="DZ283" s="96">
        <f>IFERROR(VLOOKUP($B283,INDIRECT("'GRD-"&amp;DZ$11&amp;"'!B:R"),15,FALSE),"")</f>
        <v/>
      </c>
      <c r="EA283" s="96">
        <f>IFERROR(VLOOKUP($B283,INDIRECT("'GRD-"&amp;EA$11&amp;"'!B:R"),15,FALSE),"")</f>
        <v/>
      </c>
      <c r="EB283" s="96">
        <f>IFERROR(VLOOKUP($B283,INDIRECT("'GRD-"&amp;EB$11&amp;"'!B:R"),15,FALSE),"")</f>
        <v/>
      </c>
      <c r="EC283" s="96">
        <f>IFERROR(VLOOKUP($B283,INDIRECT("'GRD-"&amp;EC$11&amp;"'!B:R"),15,FALSE),"")</f>
        <v/>
      </c>
      <c r="ED283" s="96">
        <f>IFERROR(VLOOKUP($B283,INDIRECT("'GRD-"&amp;ED$11&amp;"'!B:R"),15,FALSE),"")</f>
        <v/>
      </c>
      <c r="EE283" s="96">
        <f>IFERROR(VLOOKUP($B283,INDIRECT("'GRD-"&amp;EE$11&amp;"'!B:R"),15,FALSE),"")</f>
        <v/>
      </c>
      <c r="EF283" s="96">
        <f>IFERROR(VLOOKUP($B283,INDIRECT("'GRD-"&amp;EF$11&amp;"'!B:R"),15,FALSE),"")</f>
        <v/>
      </c>
      <c r="EG283" s="96">
        <f>IFERROR(VLOOKUP($B283,INDIRECT("'GRD-"&amp;EG$11&amp;"'!B:R"),15,FALSE),"")</f>
        <v/>
      </c>
      <c r="EH283" s="96">
        <f>IFERROR(VLOOKUP($B283,INDIRECT("'GRD-"&amp;EH$11&amp;"'!B:R"),15,FALSE),"")</f>
        <v/>
      </c>
      <c r="EI283" s="96">
        <f>IFERROR(VLOOKUP($B283,INDIRECT("'GRD-"&amp;EI$11&amp;"'!B:R"),15,FALSE),"")</f>
        <v/>
      </c>
      <c r="EJ283" s="96">
        <f>IFERROR(VLOOKUP($B283,INDIRECT("'GRD-"&amp;EJ$11&amp;"'!B:R"),15,FALSE),"")</f>
        <v/>
      </c>
      <c r="EK283" s="96">
        <f>IFERROR(VLOOKUP($B283,INDIRECT("'GRD-"&amp;EK$11&amp;"'!B:R"),15,FALSE),"")</f>
        <v/>
      </c>
      <c r="EL283" s="96">
        <f>IFERROR(VLOOKUP($B283,INDIRECT("'GRD-"&amp;EL$11&amp;"'!B:R"),15,FALSE),"")</f>
        <v/>
      </c>
      <c r="EM283" s="96">
        <f>IFERROR(VLOOKUP($B283,INDIRECT("'GRD-"&amp;EM$11&amp;"'!B:R"),15,FALSE),"")</f>
        <v/>
      </c>
      <c r="EN283" s="96">
        <f>IFERROR(VLOOKUP($B283,INDIRECT("'GRD-"&amp;EN$11&amp;"'!B:R"),15,FALSE),"")</f>
        <v/>
      </c>
      <c r="EO283" s="96">
        <f>IFERROR(VLOOKUP($B283,INDIRECT("'GRD-"&amp;EO$11&amp;"'!B:R"),15,FALSE),"")</f>
        <v/>
      </c>
      <c r="EP283" s="96">
        <f>IFERROR(VLOOKUP($B283,INDIRECT("'GRD-"&amp;EP$11&amp;"'!B:R"),15,FALSE),"")</f>
        <v/>
      </c>
      <c r="EQ283" s="96">
        <f>IFERROR(VLOOKUP($B283,INDIRECT("'GRD-"&amp;EQ$11&amp;"'!B:R"),15,FALSE),"")</f>
        <v/>
      </c>
      <c r="ER283" s="96">
        <f>IFERROR(VLOOKUP($B283,INDIRECT("'GRD-"&amp;ER$11&amp;"'!B:R"),15,FALSE),"")</f>
        <v/>
      </c>
      <c r="ES283" s="96">
        <f>IFERROR(VLOOKUP($B283,INDIRECT("'GRD-"&amp;ES$11&amp;"'!B:R"),15,FALSE),"")</f>
        <v/>
      </c>
      <c r="ET283" s="96">
        <f>IFERROR(VLOOKUP($B283,INDIRECT("'GRD-"&amp;ET$11&amp;"'!B:R"),15,FALSE),"")</f>
        <v/>
      </c>
      <c r="EU283" s="96">
        <f>IFERROR(VLOOKUP($B283,INDIRECT("'GRD-"&amp;EU$11&amp;"'!B:R"),15,FALSE),"")</f>
        <v/>
      </c>
      <c r="EV283" s="96">
        <f>IFERROR(VLOOKUP($B283,INDIRECT("'GRD-"&amp;EV$11&amp;"'!B:R"),15,FALSE),"")</f>
        <v/>
      </c>
      <c r="EW283" s="96">
        <f>IFERROR(VLOOKUP($B283,INDIRECT("'GRD-"&amp;EW$11&amp;"'!B:R"),15,FALSE),"")</f>
        <v/>
      </c>
      <c r="EX283" s="96">
        <f>IFERROR(VLOOKUP($B283,INDIRECT("'GRD-"&amp;EX$11&amp;"'!B:R"),15,FALSE),"")</f>
        <v/>
      </c>
      <c r="EY283" s="96">
        <f>IFERROR(VLOOKUP($B283,INDIRECT("'GRD-"&amp;EY$11&amp;"'!B:R"),15,FALSE),"")</f>
        <v/>
      </c>
      <c r="EZ283" s="96">
        <f>IFERROR(VLOOKUP($B283,INDIRECT("'GRD-"&amp;EZ$11&amp;"'!B:R"),15,FALSE),"")</f>
        <v/>
      </c>
      <c r="FA283" s="96">
        <f>IFERROR(VLOOKUP($B283,INDIRECT("'GRD-"&amp;FA$11&amp;"'!B:R"),15,FALSE),"")</f>
        <v/>
      </c>
      <c r="FB283" s="96">
        <f>IFERROR(VLOOKUP($B283,INDIRECT("'GRD-"&amp;FB$11&amp;"'!B:R"),15,FALSE),"")</f>
        <v/>
      </c>
      <c r="FC283" s="96">
        <f>IFERROR(VLOOKUP($B283,INDIRECT("'GRD-"&amp;FC$11&amp;"'!B:R"),15,FALSE),"")</f>
        <v/>
      </c>
      <c r="FD283" s="96">
        <f>IFERROR(VLOOKUP($B283,INDIRECT("'GRD-"&amp;FD$11&amp;"'!B:R"),15,FALSE),"")</f>
        <v/>
      </c>
      <c r="FE283" s="96">
        <f>IFERROR(VLOOKUP($B283,INDIRECT("'GRD-"&amp;FE$11&amp;"'!B:R"),15,FALSE),"")</f>
        <v/>
      </c>
      <c r="FF283" s="96">
        <f>IFERROR(VLOOKUP($B283,INDIRECT("'GRD-"&amp;FF$11&amp;"'!B:R"),15,FALSE),"")</f>
        <v/>
      </c>
      <c r="FG283" s="96">
        <f>IFERROR(VLOOKUP($B283,INDIRECT("'GRD-"&amp;FG$11&amp;"'!B:R"),15,FALSE),"")</f>
        <v/>
      </c>
      <c r="FH283" s="96">
        <f>IFERROR(VLOOKUP($B283,INDIRECT("'GRD-"&amp;FH$11&amp;"'!B:R"),15,FALSE),"")</f>
        <v/>
      </c>
      <c r="FI283" s="96">
        <f>IFERROR(VLOOKUP($B283,INDIRECT("'GRD-"&amp;FI$11&amp;"'!B:R"),15,FALSE),"")</f>
        <v/>
      </c>
      <c r="FJ283" s="96">
        <f>IFERROR(VLOOKUP($B283,INDIRECT("'GRD-"&amp;FJ$11&amp;"'!B:R"),15,FALSE),"")</f>
        <v/>
      </c>
      <c r="FK283" s="96">
        <f>IFERROR(VLOOKUP($B283,INDIRECT("'GRD-"&amp;FK$11&amp;"'!B:R"),15,FALSE),"")</f>
        <v/>
      </c>
      <c r="FL283" s="96">
        <f>IFERROR(VLOOKUP($B283,INDIRECT("'GRD-"&amp;FL$11&amp;"'!B:R"),15,FALSE),"")</f>
        <v/>
      </c>
      <c r="FM283" s="96">
        <f>IFERROR(VLOOKUP($B283,INDIRECT("'GRD-"&amp;FM$11&amp;"'!B:R"),15,FALSE),"")</f>
        <v/>
      </c>
      <c r="FN283" s="96">
        <f>IFERROR(VLOOKUP($B283,INDIRECT("'GRD-"&amp;FN$11&amp;"'!B:R"),15,FALSE),"")</f>
        <v/>
      </c>
      <c r="FO283" s="96">
        <f>IFERROR(VLOOKUP($B283,INDIRECT("'GRD-"&amp;FO$11&amp;"'!B:R"),15,FALSE),"")</f>
        <v/>
      </c>
      <c r="FP283" s="96">
        <f>IFERROR(VLOOKUP($B283,INDIRECT("'GRD-"&amp;FP$11&amp;"'!B:R"),15,FALSE),"")</f>
        <v/>
      </c>
      <c r="FQ283" s="96">
        <f>IFERROR(VLOOKUP($B283,INDIRECT("'GRD-"&amp;FQ$11&amp;"'!B:R"),15,FALSE),"")</f>
        <v/>
      </c>
      <c r="FR283" s="96">
        <f>IFERROR(VLOOKUP($B283,INDIRECT("'GRD-"&amp;FR$11&amp;"'!B:R"),15,FALSE),"")</f>
        <v/>
      </c>
      <c r="FS283" s="96">
        <f>IFERROR(VLOOKUP($B283,INDIRECT("'GRD-"&amp;FS$11&amp;"'!B:R"),15,FALSE),"")</f>
        <v/>
      </c>
      <c r="FT283" s="96">
        <f>IFERROR(VLOOKUP($B283,INDIRECT("'GRD-"&amp;FT$11&amp;"'!B:R"),15,FALSE),"")</f>
        <v/>
      </c>
      <c r="FU283" s="96">
        <f>IFERROR(VLOOKUP($B283,INDIRECT("'GRD-"&amp;FU$11&amp;"'!B:R"),15,FALSE),"")</f>
        <v/>
      </c>
      <c r="FV283" s="96">
        <f>IFERROR(VLOOKUP($B283,INDIRECT("'GRD-"&amp;FV$11&amp;"'!B:R"),15,FALSE),"")</f>
        <v/>
      </c>
    </row>
    <row r="284">
      <c r="B284" s="85" t="n"/>
      <c r="C284" s="93" t="n"/>
      <c r="D284" s="73">
        <f>IF(K284="","",MAX($CA284:$FV284))</f>
        <v/>
      </c>
      <c r="E284" s="74">
        <f t="array" ref="E284">IF($K284="","",OFFSET($A$1,ROW($B284)-1,11+$D284*4,))</f>
        <v/>
      </c>
      <c r="F284" s="74">
        <f t="array" ref="F284">IF($K284="","",OFFSET($A$1,ROW($B284)-1,12+$D284*4,))</f>
        <v/>
      </c>
      <c r="G284" s="118">
        <f t="array" ref="G284">IF($K284="","",OFFSET($A$1,ROW($B284)-1,13+$D284*4,))</f>
        <v/>
      </c>
      <c r="H284" s="81" t="n"/>
      <c r="I284" s="82" t="n"/>
      <c r="J284" s="75">
        <f>IF(I284="A4",H284/8,IF(I284="A3",H284/4,IF(I284="A2",H284/2,IF(I284="A1",H284/1,IF(I284="A0",H284*2,"")))))</f>
        <v/>
      </c>
      <c r="K284" s="68">
        <f t="array" ref="K284">IFERROR(OFFSET($BZ$11,ROW($B284)-11,MATCH(K$10,$CA284:$FV284,0),),"")</f>
        <v/>
      </c>
      <c r="L284" s="85">
        <f>IF(K284="","",IF(VLOOKUP($B284,INDIRECT("'GRD-"&amp;M284&amp;"'!$B:$R"),16,FALSE)="","",VLOOKUP($B284,INDIRECT("'GRD-"&amp;M284&amp;"'!$B:$R"),16,FALSE)))</f>
        <v/>
      </c>
      <c r="M284" s="130">
        <f t="array" ref="M284">IF(K284="","",IFERROR(OFFSET($BZ$11,0,MATCH($K284,$CA284:$FV284,0),),""))</f>
        <v/>
      </c>
      <c r="N284" s="119">
        <f t="array" ref="N284">IF(K284="","",INDIRECT("'GRD-"&amp;M284&amp;"'!$L$7"))</f>
        <v/>
      </c>
      <c r="O284" s="76">
        <f t="array" ref="O284">IFERROR(OFFSET($BZ$11,ROW($B284)-11,MATCH(O$10,$CA284:$FV284,0),),"")</f>
        <v/>
      </c>
      <c r="P284" s="76">
        <f>IF(O284="","",IF(VLOOKUP($B284,INDIRECT("'GRD-"&amp;Q284&amp;"'!$B:$R"),16,FALSE)="","",VLOOKUP($B284,INDIRECT("'GRD-"&amp;Q284&amp;"'!$B:$R"),16,FALSE)))</f>
        <v/>
      </c>
      <c r="Q284" s="132">
        <f t="array" ref="Q284">IF(O284="","",IFERROR(OFFSET($BZ$11,0,MATCH($O284,$CA284:$FV284,0),),""))</f>
        <v/>
      </c>
      <c r="R284" s="121">
        <f t="array" ref="R284">IF(O284="","",INDIRECT("'GRD-"&amp;Q284&amp;"'!$L$7"))</f>
        <v/>
      </c>
      <c r="S284" s="83">
        <f t="array" ref="S284">IFERROR(OFFSET($BZ$11,ROW($B284)-11,MATCH(S$10,$CA284:$FV284,0),),"")</f>
        <v/>
      </c>
      <c r="T284" s="83">
        <f>IF(S284="","",IF(VLOOKUP($B284,INDIRECT("'GRD-"&amp;U284&amp;"'!$B:$R"),16,FALSE)="","",VLOOKUP($B284,INDIRECT("'GRD-"&amp;U284&amp;"'!$B:$R"),16,FALSE)))</f>
        <v/>
      </c>
      <c r="U284" s="128">
        <f t="array" ref="U284">IF(S284="","",IFERROR(OFFSET($BZ$11,0,MATCH($S284,$CA284:$FV284,0),),""))</f>
        <v/>
      </c>
      <c r="V284" s="133">
        <f t="array" ref="V284">IF(S284="","",INDIRECT("'GRD-"&amp;U284&amp;"'!$L$7"))</f>
        <v/>
      </c>
      <c r="W284" s="84">
        <f t="array" ref="W284">IFERROR(OFFSET($BZ$11,ROW($B284)-11,MATCH(W$10,$CA284:$FV284,0),),"")</f>
        <v/>
      </c>
      <c r="X284" s="84">
        <f>IF(W284="","",IF(VLOOKUP($B284,INDIRECT("'GRD-"&amp;Y284&amp;"'!$B:$R"),16,FALSE)="","",VLOOKUP($B284,INDIRECT("'GRD-"&amp;Y284&amp;"'!$B:$R"),16,FALSE)))</f>
        <v/>
      </c>
      <c r="Y284" s="129">
        <f t="array" ref="Y284">IF(W284="","",IFERROR(OFFSET($BZ$11,0,MATCH($W284,$CA284:$FV284,0),),""))</f>
        <v/>
      </c>
      <c r="Z284" s="134">
        <f t="array" ref="Z284">IF(W284="","",INDIRECT("'GRD-"&amp;Y284&amp;"'!$L$7"))</f>
        <v/>
      </c>
      <c r="AA284" s="85">
        <f t="array" ref="AA284">IFERROR(OFFSET($BZ$11,ROW($B284)-11,MATCH(AA$10,$CA284:$FV284,0),),"")</f>
        <v/>
      </c>
      <c r="AB284" s="85">
        <f>IF(AA284="","",IF(VLOOKUP($B284,INDIRECT("'GRD-"&amp;AC284&amp;"'!$B:$R"),16,FALSE)="","",VLOOKUP($B284,INDIRECT("'GRD-"&amp;AC284&amp;"'!$B:$R"),16,FALSE)))</f>
        <v/>
      </c>
      <c r="AC284" s="130">
        <f t="array" ref="AC284">IF(AA284="","",IFERROR(OFFSET($BZ$11,0,MATCH($AA284,$CA284:$FV284,0),),""))</f>
        <v/>
      </c>
      <c r="AD284" s="131">
        <f t="array" ref="AD284">IF(AA284="","",INDIRECT("'GRD-"&amp;AC284&amp;"'!$L$7"))</f>
        <v/>
      </c>
      <c r="AE284" s="76">
        <f t="array" ref="AE284">IFERROR(OFFSET($BZ$11,ROW($B284)-11,MATCH(AE$10,$CA284:$FV284,0),),"")</f>
        <v/>
      </c>
      <c r="AF284" s="76">
        <f>IF(AE284="","",IF(VLOOKUP($B284,INDIRECT("'GRD-"&amp;AG284&amp;"'!$B:$R"),16,FALSE)="","",VLOOKUP($B284,INDIRECT("'GRD-"&amp;AG284&amp;"'!$B:$R"),16,FALSE)))</f>
        <v/>
      </c>
      <c r="AG284" s="132">
        <f t="array" ref="AG284">IF(AE284="","",IFERROR(OFFSET($BZ$11,0,MATCH($AE284,$CA284:$FV284,0),),""))</f>
        <v/>
      </c>
      <c r="AH284" s="121">
        <f t="array" ref="AH284">IF(AE284="","",INDIRECT("'GRD-"&amp;AG284&amp;"'!$L$7"))</f>
        <v/>
      </c>
      <c r="AI284" s="83">
        <f t="array" ref="AI284">IFERROR(OFFSET($BZ$11,ROW($B284)-11,MATCH(AI$10,$CA284:$FV284,0),),"")</f>
        <v/>
      </c>
      <c r="AJ284" s="83">
        <f>IF(AI284="","",IF(VLOOKUP($B284,INDIRECT("'GRD-"&amp;AK284&amp;"'!$B:$R"),16,FALSE)="","",VLOOKUP($B284,INDIRECT("'GRD-"&amp;AK284&amp;"'!$B:$R"),16,FALSE)))</f>
        <v/>
      </c>
      <c r="AK284" s="128">
        <f t="array" ref="AK284">IF(AI284="","",IFERROR(OFFSET($BZ$11,0,MATCH($AI284,$CA284:$FV284,0),),""))</f>
        <v/>
      </c>
      <c r="AL284" s="133">
        <f t="array" ref="AL284">IF(AI284="","",INDIRECT("'GRD-"&amp;AK284&amp;"'!$L$7"))</f>
        <v/>
      </c>
      <c r="AM284" s="84">
        <f t="array" ref="AM284">IFERROR(OFFSET($BZ$11,ROW($B284)-11,MATCH(AM$10,$CA284:$FV284,0),),"")</f>
        <v/>
      </c>
      <c r="AN284" s="84">
        <f>IF(AM284="","",IF(VLOOKUP($B284,INDIRECT("'GRD-"&amp;AO284&amp;"'!$B:$R"),16,FALSE)="","",VLOOKUP($B284,INDIRECT("'GRD-"&amp;AO284&amp;"'!$B:$R"),16,FALSE)))</f>
        <v/>
      </c>
      <c r="AO284" s="129">
        <f t="array" ref="AO284">IF(AM284="","",IFERROR(OFFSET($BZ$11,0,MATCH($AM284,$CA284:$FV284,0),),""))</f>
        <v/>
      </c>
      <c r="AP284" s="134">
        <f t="array" ref="AP284">IF(AM284="","",INDIRECT("'GRD-"&amp;AO284&amp;"'!$L$7"))</f>
        <v/>
      </c>
      <c r="AQ284" s="85">
        <f t="array" ref="AQ284">IFERROR(OFFSET($BZ$11,ROW($B284)-11,MATCH(AQ$10,$CA284:$FV284,0),),"")</f>
        <v/>
      </c>
      <c r="AR284" s="85">
        <f>IF(AQ284="","",IF(VLOOKUP($B284,INDIRECT("'GRD-"&amp;AS284&amp;"'!$B:$R"),16,FALSE)="","",VLOOKUP($B284,INDIRECT("'GRD-"&amp;AS284&amp;"'!$B:$R"),16,FALSE)))</f>
        <v/>
      </c>
      <c r="AS284" s="130">
        <f t="array" ref="AS284">IF(AQ284="","",IFERROR(OFFSET($BZ$11,0,MATCH($AQ284,$CA284:$FV284,0),),""))</f>
        <v/>
      </c>
      <c r="AT284" s="131">
        <f t="array" ref="AT284">IF(AQ284="","",INDIRECT("'GRD-"&amp;AS284&amp;"'!$L$7"))</f>
        <v/>
      </c>
      <c r="AU284" s="76">
        <f t="array" ref="AU284">IFERROR(OFFSET($BZ$11,ROW($B284)-11,MATCH(AU$10,$CA284:$FV284,0),),"")</f>
        <v/>
      </c>
      <c r="AV284" s="76">
        <f>IF(AU284="","",IF(VLOOKUP($B284,INDIRECT("'GRD-"&amp;AW284&amp;"'!$B:$R"),16,FALSE)="","",VLOOKUP($B284,INDIRECT("'GRD-"&amp;AW284&amp;"'!$B:$R"),16,FALSE)))</f>
        <v/>
      </c>
      <c r="AW284" s="132">
        <f t="array" ref="AW284">IF(AU284="","",IFERROR(OFFSET($BZ$11,0,MATCH($AU284,$CA284:$FV284,0),),""))</f>
        <v/>
      </c>
      <c r="AX284" s="121">
        <f t="array" ref="AX284">IF(AU284="","",INDIRECT("'GRD-"&amp;AW284&amp;"'!$L$7"))</f>
        <v/>
      </c>
      <c r="AY284" s="83">
        <f t="array" ref="AY284">IFERROR(OFFSET($BZ$11,ROW($B284)-11,MATCH(AY$10,$CA284:$FV284,0),),"")</f>
        <v/>
      </c>
      <c r="AZ284" s="83">
        <f>IF(AY284="","",IF(VLOOKUP($B284,INDIRECT("'GRD-"&amp;BA284&amp;"'!$B:$R"),16,FALSE)="","",VLOOKUP($B284,INDIRECT("'GRD-"&amp;BA284&amp;"'!$B:$R"),16,FALSE)))</f>
        <v/>
      </c>
      <c r="BA284" s="128">
        <f t="array" ref="BA284">IF(AY284="","",IFERROR(OFFSET($BZ$11,0,MATCH($AY284,$CA284:$FV284,0),),""))</f>
        <v/>
      </c>
      <c r="BB284" s="133">
        <f t="array" ref="BB284">IF(AY284="","",INDIRECT("'GRD-"&amp;BA284&amp;"'!$L$7"))</f>
        <v/>
      </c>
      <c r="BC284" s="84">
        <f t="array" ref="BC284">IFERROR(OFFSET($BZ$11,ROW($B284)-11,MATCH(BC$10,$CA284:$FV284,0),),"")</f>
        <v/>
      </c>
      <c r="BD284" s="84">
        <f>IF(BC284="","",IF(VLOOKUP($B284,INDIRECT("'GRD-"&amp;BE284&amp;"'!$B:$R"),16,FALSE)="","",VLOOKUP($B284,INDIRECT("'GRD-"&amp;BE284&amp;"'!$B:$R"),16,FALSE)))</f>
        <v/>
      </c>
      <c r="BE284" s="129">
        <f t="array" ref="BE284">IF(BC284="","",IFERROR(OFFSET($BZ$11,0,MATCH($BC284,$CA284:$FV284,0),),""))</f>
        <v/>
      </c>
      <c r="BF284" s="134">
        <f t="array" ref="BF284">IF(BC284="","",INDIRECT("'GRD-"&amp;BE284&amp;"'!$L$7"))</f>
        <v/>
      </c>
      <c r="CA284" s="96">
        <f>IFERROR(VLOOKUP($B284,INDIRECT("'GRD-"&amp;CA$11&amp;"'!B:R"),15,FALSE),"")</f>
        <v/>
      </c>
      <c r="CB284" s="96">
        <f>IFERROR(VLOOKUP($B284,INDIRECT("'GRD-"&amp;CB$11&amp;"'!B:R"),15,FALSE),"")</f>
        <v/>
      </c>
      <c r="CC284" s="96">
        <f>IFERROR(VLOOKUP($B284,INDIRECT("'GRD-"&amp;CC$11&amp;"'!B:R"),15,FALSE),"")</f>
        <v/>
      </c>
      <c r="CD284" s="96">
        <f>IFERROR(VLOOKUP($B284,INDIRECT("'GRD-"&amp;CD$11&amp;"'!B:R"),15,FALSE),"")</f>
        <v/>
      </c>
      <c r="CE284" s="96">
        <f>IFERROR(VLOOKUP($B284,INDIRECT("'GRD-"&amp;CE$11&amp;"'!B:R"),15,FALSE),"")</f>
        <v/>
      </c>
      <c r="CF284" s="96">
        <f>IFERROR(VLOOKUP($B284,INDIRECT("'GRD-"&amp;CF$11&amp;"'!B:R"),15,FALSE),"")</f>
        <v/>
      </c>
      <c r="CG284" s="96">
        <f>IFERROR(VLOOKUP($B284,INDIRECT("'GRD-"&amp;CG$11&amp;"'!B:R"),15,FALSE),"")</f>
        <v/>
      </c>
      <c r="CH284" s="96">
        <f>IFERROR(VLOOKUP($B284,INDIRECT("'GRD-"&amp;CH$11&amp;"'!B:R"),15,FALSE),"")</f>
        <v/>
      </c>
      <c r="CI284" s="96">
        <f>IFERROR(VLOOKUP($B284,INDIRECT("'GRD-"&amp;CI$11&amp;"'!B:R"),15,FALSE),"")</f>
        <v/>
      </c>
      <c r="CJ284" s="96">
        <f>IFERROR(VLOOKUP($B284,INDIRECT("'GRD-"&amp;CJ$11&amp;"'!B:R"),15,FALSE),"")</f>
        <v/>
      </c>
      <c r="CK284" s="96">
        <f>IFERROR(VLOOKUP($B284,INDIRECT("'GRD-"&amp;CK$11&amp;"'!B:R"),15,FALSE),"")</f>
        <v/>
      </c>
      <c r="CL284" s="96">
        <f>IFERROR(VLOOKUP($B284,INDIRECT("'GRD-"&amp;CL$11&amp;"'!B:R"),15,FALSE),"")</f>
        <v/>
      </c>
      <c r="CM284" s="96">
        <f>IFERROR(VLOOKUP($B284,INDIRECT("'GRD-"&amp;CM$11&amp;"'!B:R"),15,FALSE),"")</f>
        <v/>
      </c>
      <c r="CN284" s="96">
        <f>IFERROR(VLOOKUP($B284,INDIRECT("'GRD-"&amp;CN$11&amp;"'!B:R"),15,FALSE),"")</f>
        <v/>
      </c>
      <c r="CO284" s="96">
        <f>IFERROR(VLOOKUP($B284,INDIRECT("'GRD-"&amp;CO$11&amp;"'!B:R"),15,FALSE),"")</f>
        <v/>
      </c>
      <c r="CP284" s="96">
        <f>IFERROR(VLOOKUP($B284,INDIRECT("'GRD-"&amp;CP$11&amp;"'!B:R"),15,FALSE),"")</f>
        <v/>
      </c>
      <c r="CQ284" s="96">
        <f>IFERROR(VLOOKUP($B284,INDIRECT("'GRD-"&amp;CQ$11&amp;"'!B:R"),15,FALSE),"")</f>
        <v/>
      </c>
      <c r="CR284" s="96">
        <f>IFERROR(VLOOKUP($B284,INDIRECT("'GRD-"&amp;CR$11&amp;"'!B:R"),15,FALSE),"")</f>
        <v/>
      </c>
      <c r="CS284" s="96">
        <f>IFERROR(VLOOKUP($B284,INDIRECT("'GRD-"&amp;CS$11&amp;"'!B:R"),15,FALSE),"")</f>
        <v/>
      </c>
      <c r="CT284" s="96">
        <f>IFERROR(VLOOKUP($B284,INDIRECT("'GRD-"&amp;CT$11&amp;"'!B:R"),15,FALSE),"")</f>
        <v/>
      </c>
      <c r="CU284" s="96">
        <f>IFERROR(VLOOKUP($B284,INDIRECT("'GRD-"&amp;CU$11&amp;"'!B:R"),15,FALSE),"")</f>
        <v/>
      </c>
      <c r="CV284" s="96">
        <f>IFERROR(VLOOKUP($B284,INDIRECT("'GRD-"&amp;CV$11&amp;"'!B:R"),15,FALSE),"")</f>
        <v/>
      </c>
      <c r="CW284" s="96">
        <f>IFERROR(VLOOKUP($B284,INDIRECT("'GRD-"&amp;CW$11&amp;"'!B:R"),15,FALSE),"")</f>
        <v/>
      </c>
      <c r="CX284" s="96">
        <f>IFERROR(VLOOKUP($B284,INDIRECT("'GRD-"&amp;CX$11&amp;"'!B:R"),15,FALSE),"")</f>
        <v/>
      </c>
      <c r="CY284" s="96">
        <f>IFERROR(VLOOKUP($B284,INDIRECT("'GRD-"&amp;CY$11&amp;"'!B:R"),15,FALSE),"")</f>
        <v/>
      </c>
      <c r="CZ284" s="96">
        <f>IFERROR(VLOOKUP($B284,INDIRECT("'GRD-"&amp;CZ$11&amp;"'!B:R"),15,FALSE),"")</f>
        <v/>
      </c>
      <c r="DA284" s="96">
        <f>IFERROR(VLOOKUP($B284,INDIRECT("'GRD-"&amp;DA$11&amp;"'!B:R"),15,FALSE),"")</f>
        <v/>
      </c>
      <c r="DB284" s="96">
        <f>IFERROR(VLOOKUP($B284,INDIRECT("'GRD-"&amp;DB$11&amp;"'!B:R"),15,FALSE),"")</f>
        <v/>
      </c>
      <c r="DC284" s="96">
        <f>IFERROR(VLOOKUP($B284,INDIRECT("'GRD-"&amp;DC$11&amp;"'!B:R"),15,FALSE),"")</f>
        <v/>
      </c>
      <c r="DD284" s="96">
        <f>IFERROR(VLOOKUP($B284,INDIRECT("'GRD-"&amp;DD$11&amp;"'!B:R"),15,FALSE),"")</f>
        <v/>
      </c>
      <c r="DE284" s="96">
        <f>IFERROR(VLOOKUP($B284,INDIRECT("'GRD-"&amp;DE$11&amp;"'!B:R"),15,FALSE),"")</f>
        <v/>
      </c>
      <c r="DF284" s="96">
        <f>IFERROR(VLOOKUP($B284,INDIRECT("'GRD-"&amp;DF$11&amp;"'!B:R"),15,FALSE),"")</f>
        <v/>
      </c>
      <c r="DG284" s="96">
        <f>IFERROR(VLOOKUP($B284,INDIRECT("'GRD-"&amp;DG$11&amp;"'!B:R"),15,FALSE),"")</f>
        <v/>
      </c>
      <c r="DH284" s="96">
        <f>IFERROR(VLOOKUP($B284,INDIRECT("'GRD-"&amp;DH$11&amp;"'!B:R"),15,FALSE),"")</f>
        <v/>
      </c>
      <c r="DI284" s="96">
        <f>IFERROR(VLOOKUP($B284,INDIRECT("'GRD-"&amp;DI$11&amp;"'!B:R"),15,FALSE),"")</f>
        <v/>
      </c>
      <c r="DJ284" s="96">
        <f>IFERROR(VLOOKUP($B284,INDIRECT("'GRD-"&amp;DJ$11&amp;"'!B:R"),15,FALSE),"")</f>
        <v/>
      </c>
      <c r="DK284" s="96">
        <f>IFERROR(VLOOKUP($B284,INDIRECT("'GRD-"&amp;DK$11&amp;"'!B:R"),15,FALSE),"")</f>
        <v/>
      </c>
      <c r="DL284" s="96">
        <f>IFERROR(VLOOKUP($B284,INDIRECT("'GRD-"&amp;DL$11&amp;"'!B:R"),15,FALSE),"")</f>
        <v/>
      </c>
      <c r="DM284" s="96">
        <f>IFERROR(VLOOKUP($B284,INDIRECT("'GRD-"&amp;DM$11&amp;"'!B:R"),15,FALSE),"")</f>
        <v/>
      </c>
      <c r="DN284" s="96">
        <f>IFERROR(VLOOKUP($B284,INDIRECT("'GRD-"&amp;DN$11&amp;"'!B:R"),15,FALSE),"")</f>
        <v/>
      </c>
      <c r="DO284" s="96">
        <f>IFERROR(VLOOKUP($B284,INDIRECT("'GRD-"&amp;DO$11&amp;"'!B:R"),15,FALSE),"")</f>
        <v/>
      </c>
      <c r="DP284" s="96">
        <f>IFERROR(VLOOKUP($B284,INDIRECT("'GRD-"&amp;DP$11&amp;"'!B:R"),15,FALSE),"")</f>
        <v/>
      </c>
      <c r="DQ284" s="96">
        <f>IFERROR(VLOOKUP($B284,INDIRECT("'GRD-"&amp;DQ$11&amp;"'!B:R"),15,FALSE),"")</f>
        <v/>
      </c>
      <c r="DR284" s="96">
        <f>IFERROR(VLOOKUP($B284,INDIRECT("'GRD-"&amp;DR$11&amp;"'!B:R"),15,FALSE),"")</f>
        <v/>
      </c>
      <c r="DS284" s="96">
        <f>IFERROR(VLOOKUP($B284,INDIRECT("'GRD-"&amp;DS$11&amp;"'!B:R"),15,FALSE),"")</f>
        <v/>
      </c>
      <c r="DT284" s="96">
        <f>IFERROR(VLOOKUP($B284,INDIRECT("'GRD-"&amp;DT$11&amp;"'!B:R"),15,FALSE),"")</f>
        <v/>
      </c>
      <c r="DU284" s="96">
        <f>IFERROR(VLOOKUP($B284,INDIRECT("'GRD-"&amp;DU$11&amp;"'!B:R"),15,FALSE),"")</f>
        <v/>
      </c>
      <c r="DV284" s="96">
        <f>IFERROR(VLOOKUP($B284,INDIRECT("'GRD-"&amp;DV$11&amp;"'!B:R"),15,FALSE),"")</f>
        <v/>
      </c>
      <c r="DW284" s="96">
        <f>IFERROR(VLOOKUP($B284,INDIRECT("'GRD-"&amp;DW$11&amp;"'!B:R"),15,FALSE),"")</f>
        <v/>
      </c>
      <c r="DX284" s="96">
        <f>IFERROR(VLOOKUP($B284,INDIRECT("'GRD-"&amp;DX$11&amp;"'!B:R"),15,FALSE),"")</f>
        <v/>
      </c>
      <c r="DY284" s="96">
        <f>IFERROR(VLOOKUP($B284,INDIRECT("'GRD-"&amp;DY$11&amp;"'!B:R"),15,FALSE),"")</f>
        <v/>
      </c>
      <c r="DZ284" s="96">
        <f>IFERROR(VLOOKUP($B284,INDIRECT("'GRD-"&amp;DZ$11&amp;"'!B:R"),15,FALSE),"")</f>
        <v/>
      </c>
      <c r="EA284" s="96">
        <f>IFERROR(VLOOKUP($B284,INDIRECT("'GRD-"&amp;EA$11&amp;"'!B:R"),15,FALSE),"")</f>
        <v/>
      </c>
      <c r="EB284" s="96">
        <f>IFERROR(VLOOKUP($B284,INDIRECT("'GRD-"&amp;EB$11&amp;"'!B:R"),15,FALSE),"")</f>
        <v/>
      </c>
      <c r="EC284" s="96">
        <f>IFERROR(VLOOKUP($B284,INDIRECT("'GRD-"&amp;EC$11&amp;"'!B:R"),15,FALSE),"")</f>
        <v/>
      </c>
      <c r="ED284" s="96">
        <f>IFERROR(VLOOKUP($B284,INDIRECT("'GRD-"&amp;ED$11&amp;"'!B:R"),15,FALSE),"")</f>
        <v/>
      </c>
      <c r="EE284" s="96">
        <f>IFERROR(VLOOKUP($B284,INDIRECT("'GRD-"&amp;EE$11&amp;"'!B:R"),15,FALSE),"")</f>
        <v/>
      </c>
      <c r="EF284" s="96">
        <f>IFERROR(VLOOKUP($B284,INDIRECT("'GRD-"&amp;EF$11&amp;"'!B:R"),15,FALSE),"")</f>
        <v/>
      </c>
      <c r="EG284" s="96">
        <f>IFERROR(VLOOKUP($B284,INDIRECT("'GRD-"&amp;EG$11&amp;"'!B:R"),15,FALSE),"")</f>
        <v/>
      </c>
      <c r="EH284" s="96">
        <f>IFERROR(VLOOKUP($B284,INDIRECT("'GRD-"&amp;EH$11&amp;"'!B:R"),15,FALSE),"")</f>
        <v/>
      </c>
      <c r="EI284" s="96">
        <f>IFERROR(VLOOKUP($B284,INDIRECT("'GRD-"&amp;EI$11&amp;"'!B:R"),15,FALSE),"")</f>
        <v/>
      </c>
      <c r="EJ284" s="96">
        <f>IFERROR(VLOOKUP($B284,INDIRECT("'GRD-"&amp;EJ$11&amp;"'!B:R"),15,FALSE),"")</f>
        <v/>
      </c>
      <c r="EK284" s="96">
        <f>IFERROR(VLOOKUP($B284,INDIRECT("'GRD-"&amp;EK$11&amp;"'!B:R"),15,FALSE),"")</f>
        <v/>
      </c>
      <c r="EL284" s="96">
        <f>IFERROR(VLOOKUP($B284,INDIRECT("'GRD-"&amp;EL$11&amp;"'!B:R"),15,FALSE),"")</f>
        <v/>
      </c>
      <c r="EM284" s="96">
        <f>IFERROR(VLOOKUP($B284,INDIRECT("'GRD-"&amp;EM$11&amp;"'!B:R"),15,FALSE),"")</f>
        <v/>
      </c>
      <c r="EN284" s="96">
        <f>IFERROR(VLOOKUP($B284,INDIRECT("'GRD-"&amp;EN$11&amp;"'!B:R"),15,FALSE),"")</f>
        <v/>
      </c>
      <c r="EO284" s="96">
        <f>IFERROR(VLOOKUP($B284,INDIRECT("'GRD-"&amp;EO$11&amp;"'!B:R"),15,FALSE),"")</f>
        <v/>
      </c>
      <c r="EP284" s="96">
        <f>IFERROR(VLOOKUP($B284,INDIRECT("'GRD-"&amp;EP$11&amp;"'!B:R"),15,FALSE),"")</f>
        <v/>
      </c>
      <c r="EQ284" s="96">
        <f>IFERROR(VLOOKUP($B284,INDIRECT("'GRD-"&amp;EQ$11&amp;"'!B:R"),15,FALSE),"")</f>
        <v/>
      </c>
      <c r="ER284" s="96">
        <f>IFERROR(VLOOKUP($B284,INDIRECT("'GRD-"&amp;ER$11&amp;"'!B:R"),15,FALSE),"")</f>
        <v/>
      </c>
      <c r="ES284" s="96">
        <f>IFERROR(VLOOKUP($B284,INDIRECT("'GRD-"&amp;ES$11&amp;"'!B:R"),15,FALSE),"")</f>
        <v/>
      </c>
      <c r="ET284" s="96">
        <f>IFERROR(VLOOKUP($B284,INDIRECT("'GRD-"&amp;ET$11&amp;"'!B:R"),15,FALSE),"")</f>
        <v/>
      </c>
      <c r="EU284" s="96">
        <f>IFERROR(VLOOKUP($B284,INDIRECT("'GRD-"&amp;EU$11&amp;"'!B:R"),15,FALSE),"")</f>
        <v/>
      </c>
      <c r="EV284" s="96">
        <f>IFERROR(VLOOKUP($B284,INDIRECT("'GRD-"&amp;EV$11&amp;"'!B:R"),15,FALSE),"")</f>
        <v/>
      </c>
      <c r="EW284" s="96">
        <f>IFERROR(VLOOKUP($B284,INDIRECT("'GRD-"&amp;EW$11&amp;"'!B:R"),15,FALSE),"")</f>
        <v/>
      </c>
      <c r="EX284" s="96">
        <f>IFERROR(VLOOKUP($B284,INDIRECT("'GRD-"&amp;EX$11&amp;"'!B:R"),15,FALSE),"")</f>
        <v/>
      </c>
      <c r="EY284" s="96">
        <f>IFERROR(VLOOKUP($B284,INDIRECT("'GRD-"&amp;EY$11&amp;"'!B:R"),15,FALSE),"")</f>
        <v/>
      </c>
      <c r="EZ284" s="96">
        <f>IFERROR(VLOOKUP($B284,INDIRECT("'GRD-"&amp;EZ$11&amp;"'!B:R"),15,FALSE),"")</f>
        <v/>
      </c>
      <c r="FA284" s="96">
        <f>IFERROR(VLOOKUP($B284,INDIRECT("'GRD-"&amp;FA$11&amp;"'!B:R"),15,FALSE),"")</f>
        <v/>
      </c>
      <c r="FB284" s="96">
        <f>IFERROR(VLOOKUP($B284,INDIRECT("'GRD-"&amp;FB$11&amp;"'!B:R"),15,FALSE),"")</f>
        <v/>
      </c>
      <c r="FC284" s="96">
        <f>IFERROR(VLOOKUP($B284,INDIRECT("'GRD-"&amp;FC$11&amp;"'!B:R"),15,FALSE),"")</f>
        <v/>
      </c>
      <c r="FD284" s="96">
        <f>IFERROR(VLOOKUP($B284,INDIRECT("'GRD-"&amp;FD$11&amp;"'!B:R"),15,FALSE),"")</f>
        <v/>
      </c>
      <c r="FE284" s="96">
        <f>IFERROR(VLOOKUP($B284,INDIRECT("'GRD-"&amp;FE$11&amp;"'!B:R"),15,FALSE),"")</f>
        <v/>
      </c>
      <c r="FF284" s="96">
        <f>IFERROR(VLOOKUP($B284,INDIRECT("'GRD-"&amp;FF$11&amp;"'!B:R"),15,FALSE),"")</f>
        <v/>
      </c>
      <c r="FG284" s="96">
        <f>IFERROR(VLOOKUP($B284,INDIRECT("'GRD-"&amp;FG$11&amp;"'!B:R"),15,FALSE),"")</f>
        <v/>
      </c>
      <c r="FH284" s="96">
        <f>IFERROR(VLOOKUP($B284,INDIRECT("'GRD-"&amp;FH$11&amp;"'!B:R"),15,FALSE),"")</f>
        <v/>
      </c>
      <c r="FI284" s="96">
        <f>IFERROR(VLOOKUP($B284,INDIRECT("'GRD-"&amp;FI$11&amp;"'!B:R"),15,FALSE),"")</f>
        <v/>
      </c>
      <c r="FJ284" s="96">
        <f>IFERROR(VLOOKUP($B284,INDIRECT("'GRD-"&amp;FJ$11&amp;"'!B:R"),15,FALSE),"")</f>
        <v/>
      </c>
      <c r="FK284" s="96">
        <f>IFERROR(VLOOKUP($B284,INDIRECT("'GRD-"&amp;FK$11&amp;"'!B:R"),15,FALSE),"")</f>
        <v/>
      </c>
      <c r="FL284" s="96">
        <f>IFERROR(VLOOKUP($B284,INDIRECT("'GRD-"&amp;FL$11&amp;"'!B:R"),15,FALSE),"")</f>
        <v/>
      </c>
      <c r="FM284" s="96">
        <f>IFERROR(VLOOKUP($B284,INDIRECT("'GRD-"&amp;FM$11&amp;"'!B:R"),15,FALSE),"")</f>
        <v/>
      </c>
      <c r="FN284" s="96">
        <f>IFERROR(VLOOKUP($B284,INDIRECT("'GRD-"&amp;FN$11&amp;"'!B:R"),15,FALSE),"")</f>
        <v/>
      </c>
      <c r="FO284" s="96">
        <f>IFERROR(VLOOKUP($B284,INDIRECT("'GRD-"&amp;FO$11&amp;"'!B:R"),15,FALSE),"")</f>
        <v/>
      </c>
      <c r="FP284" s="96">
        <f>IFERROR(VLOOKUP($B284,INDIRECT("'GRD-"&amp;FP$11&amp;"'!B:R"),15,FALSE),"")</f>
        <v/>
      </c>
      <c r="FQ284" s="96">
        <f>IFERROR(VLOOKUP($B284,INDIRECT("'GRD-"&amp;FQ$11&amp;"'!B:R"),15,FALSE),"")</f>
        <v/>
      </c>
      <c r="FR284" s="96">
        <f>IFERROR(VLOOKUP($B284,INDIRECT("'GRD-"&amp;FR$11&amp;"'!B:R"),15,FALSE),"")</f>
        <v/>
      </c>
      <c r="FS284" s="96">
        <f>IFERROR(VLOOKUP($B284,INDIRECT("'GRD-"&amp;FS$11&amp;"'!B:R"),15,FALSE),"")</f>
        <v/>
      </c>
      <c r="FT284" s="96">
        <f>IFERROR(VLOOKUP($B284,INDIRECT("'GRD-"&amp;FT$11&amp;"'!B:R"),15,FALSE),"")</f>
        <v/>
      </c>
      <c r="FU284" s="96">
        <f>IFERROR(VLOOKUP($B284,INDIRECT("'GRD-"&amp;FU$11&amp;"'!B:R"),15,FALSE),"")</f>
        <v/>
      </c>
      <c r="FV284" s="96">
        <f>IFERROR(VLOOKUP($B284,INDIRECT("'GRD-"&amp;FV$11&amp;"'!B:R"),15,FALSE),"")</f>
        <v/>
      </c>
    </row>
    <row r="285">
      <c r="B285" s="85" t="n"/>
      <c r="C285" s="93" t="n"/>
      <c r="D285" s="73">
        <f>IF(K285="","",MAX($CA285:$FV285))</f>
        <v/>
      </c>
      <c r="E285" s="74">
        <f t="array" ref="E285">IF($K285="","",OFFSET($A$1,ROW($B285)-1,11+$D285*4,))</f>
        <v/>
      </c>
      <c r="F285" s="74">
        <f t="array" ref="F285">IF($K285="","",OFFSET($A$1,ROW($B285)-1,12+$D285*4,))</f>
        <v/>
      </c>
      <c r="G285" s="118">
        <f t="array" ref="G285">IF($K285="","",OFFSET($A$1,ROW($B285)-1,13+$D285*4,))</f>
        <v/>
      </c>
      <c r="H285" s="81" t="n"/>
      <c r="I285" s="82" t="n"/>
      <c r="J285" s="75">
        <f>IF(I285="A4",H285/8,IF(I285="A3",H285/4,IF(I285="A2",H285/2,IF(I285="A1",H285/1,IF(I285="A0",H285*2,"")))))</f>
        <v/>
      </c>
      <c r="K285" s="68">
        <f t="array" ref="K285">IFERROR(OFFSET($BZ$11,ROW($B285)-11,MATCH(K$10,$CA285:$FV285,0),),"")</f>
        <v/>
      </c>
      <c r="L285" s="85">
        <f>IF(K285="","",IF(VLOOKUP($B285,INDIRECT("'GRD-"&amp;M285&amp;"'!$B:$R"),16,FALSE)="","",VLOOKUP($B285,INDIRECT("'GRD-"&amp;M285&amp;"'!$B:$R"),16,FALSE)))</f>
        <v/>
      </c>
      <c r="M285" s="130">
        <f t="array" ref="M285">IF(K285="","",IFERROR(OFFSET($BZ$11,0,MATCH($K285,$CA285:$FV285,0),),""))</f>
        <v/>
      </c>
      <c r="N285" s="119">
        <f t="array" ref="N285">IF(K285="","",INDIRECT("'GRD-"&amp;M285&amp;"'!$L$7"))</f>
        <v/>
      </c>
      <c r="O285" s="76">
        <f t="array" ref="O285">IFERROR(OFFSET($BZ$11,ROW($B285)-11,MATCH(O$10,$CA285:$FV285,0),),"")</f>
        <v/>
      </c>
      <c r="P285" s="76">
        <f>IF(O285="","",IF(VLOOKUP($B285,INDIRECT("'GRD-"&amp;Q285&amp;"'!$B:$R"),16,FALSE)="","",VLOOKUP($B285,INDIRECT("'GRD-"&amp;Q285&amp;"'!$B:$R"),16,FALSE)))</f>
        <v/>
      </c>
      <c r="Q285" s="132">
        <f t="array" ref="Q285">IF(O285="","",IFERROR(OFFSET($BZ$11,0,MATCH($O285,$CA285:$FV285,0),),""))</f>
        <v/>
      </c>
      <c r="R285" s="121">
        <f t="array" ref="R285">IF(O285="","",INDIRECT("'GRD-"&amp;Q285&amp;"'!$L$7"))</f>
        <v/>
      </c>
      <c r="S285" s="83">
        <f t="array" ref="S285">IFERROR(OFFSET($BZ$11,ROW($B285)-11,MATCH(S$10,$CA285:$FV285,0),),"")</f>
        <v/>
      </c>
      <c r="T285" s="83">
        <f>IF(S285="","",IF(VLOOKUP($B285,INDIRECT("'GRD-"&amp;U285&amp;"'!$B:$R"),16,FALSE)="","",VLOOKUP($B285,INDIRECT("'GRD-"&amp;U285&amp;"'!$B:$R"),16,FALSE)))</f>
        <v/>
      </c>
      <c r="U285" s="128">
        <f t="array" ref="U285">IF(S285="","",IFERROR(OFFSET($BZ$11,0,MATCH($S285,$CA285:$FV285,0),),""))</f>
        <v/>
      </c>
      <c r="V285" s="133">
        <f t="array" ref="V285">IF(S285="","",INDIRECT("'GRD-"&amp;U285&amp;"'!$L$7"))</f>
        <v/>
      </c>
      <c r="W285" s="84">
        <f t="array" ref="W285">IFERROR(OFFSET($BZ$11,ROW($B285)-11,MATCH(W$10,$CA285:$FV285,0),),"")</f>
        <v/>
      </c>
      <c r="X285" s="84">
        <f>IF(W285="","",IF(VLOOKUP($B285,INDIRECT("'GRD-"&amp;Y285&amp;"'!$B:$R"),16,FALSE)="","",VLOOKUP($B285,INDIRECT("'GRD-"&amp;Y285&amp;"'!$B:$R"),16,FALSE)))</f>
        <v/>
      </c>
      <c r="Y285" s="129">
        <f t="array" ref="Y285">IF(W285="","",IFERROR(OFFSET($BZ$11,0,MATCH($W285,$CA285:$FV285,0),),""))</f>
        <v/>
      </c>
      <c r="Z285" s="134">
        <f t="array" ref="Z285">IF(W285="","",INDIRECT("'GRD-"&amp;Y285&amp;"'!$L$7"))</f>
        <v/>
      </c>
      <c r="AA285" s="85">
        <f t="array" ref="AA285">IFERROR(OFFSET($BZ$11,ROW($B285)-11,MATCH(AA$10,$CA285:$FV285,0),),"")</f>
        <v/>
      </c>
      <c r="AB285" s="85">
        <f>IF(AA285="","",IF(VLOOKUP($B285,INDIRECT("'GRD-"&amp;AC285&amp;"'!$B:$R"),16,FALSE)="","",VLOOKUP($B285,INDIRECT("'GRD-"&amp;AC285&amp;"'!$B:$R"),16,FALSE)))</f>
        <v/>
      </c>
      <c r="AC285" s="130">
        <f t="array" ref="AC285">IF(AA285="","",IFERROR(OFFSET($BZ$11,0,MATCH($AA285,$CA285:$FV285,0),),""))</f>
        <v/>
      </c>
      <c r="AD285" s="131">
        <f t="array" ref="AD285">IF(AA285="","",INDIRECT("'GRD-"&amp;AC285&amp;"'!$L$7"))</f>
        <v/>
      </c>
      <c r="AE285" s="76">
        <f t="array" ref="AE285">IFERROR(OFFSET($BZ$11,ROW($B285)-11,MATCH(AE$10,$CA285:$FV285,0),),"")</f>
        <v/>
      </c>
      <c r="AF285" s="76">
        <f>IF(AE285="","",IF(VLOOKUP($B285,INDIRECT("'GRD-"&amp;AG285&amp;"'!$B:$R"),16,FALSE)="","",VLOOKUP($B285,INDIRECT("'GRD-"&amp;AG285&amp;"'!$B:$R"),16,FALSE)))</f>
        <v/>
      </c>
      <c r="AG285" s="132">
        <f t="array" ref="AG285">IF(AE285="","",IFERROR(OFFSET($BZ$11,0,MATCH($AE285,$CA285:$FV285,0),),""))</f>
        <v/>
      </c>
      <c r="AH285" s="121">
        <f t="array" ref="AH285">IF(AE285="","",INDIRECT("'GRD-"&amp;AG285&amp;"'!$L$7"))</f>
        <v/>
      </c>
      <c r="AI285" s="83">
        <f t="array" ref="AI285">IFERROR(OFFSET($BZ$11,ROW($B285)-11,MATCH(AI$10,$CA285:$FV285,0),),"")</f>
        <v/>
      </c>
      <c r="AJ285" s="83">
        <f>IF(AI285="","",IF(VLOOKUP($B285,INDIRECT("'GRD-"&amp;AK285&amp;"'!$B:$R"),16,FALSE)="","",VLOOKUP($B285,INDIRECT("'GRD-"&amp;AK285&amp;"'!$B:$R"),16,FALSE)))</f>
        <v/>
      </c>
      <c r="AK285" s="128">
        <f t="array" ref="AK285">IF(AI285="","",IFERROR(OFFSET($BZ$11,0,MATCH($AI285,$CA285:$FV285,0),),""))</f>
        <v/>
      </c>
      <c r="AL285" s="133">
        <f t="array" ref="AL285">IF(AI285="","",INDIRECT("'GRD-"&amp;AK285&amp;"'!$L$7"))</f>
        <v/>
      </c>
      <c r="AM285" s="84">
        <f t="array" ref="AM285">IFERROR(OFFSET($BZ$11,ROW($B285)-11,MATCH(AM$10,$CA285:$FV285,0),),"")</f>
        <v/>
      </c>
      <c r="AN285" s="84">
        <f>IF(AM285="","",IF(VLOOKUP($B285,INDIRECT("'GRD-"&amp;AO285&amp;"'!$B:$R"),16,FALSE)="","",VLOOKUP($B285,INDIRECT("'GRD-"&amp;AO285&amp;"'!$B:$R"),16,FALSE)))</f>
        <v/>
      </c>
      <c r="AO285" s="129">
        <f t="array" ref="AO285">IF(AM285="","",IFERROR(OFFSET($BZ$11,0,MATCH($AM285,$CA285:$FV285,0),),""))</f>
        <v/>
      </c>
      <c r="AP285" s="134">
        <f t="array" ref="AP285">IF(AM285="","",INDIRECT("'GRD-"&amp;AO285&amp;"'!$L$7"))</f>
        <v/>
      </c>
      <c r="AQ285" s="85">
        <f t="array" ref="AQ285">IFERROR(OFFSET($BZ$11,ROW($B285)-11,MATCH(AQ$10,$CA285:$FV285,0),),"")</f>
        <v/>
      </c>
      <c r="AR285" s="85">
        <f>IF(AQ285="","",IF(VLOOKUP($B285,INDIRECT("'GRD-"&amp;AS285&amp;"'!$B:$R"),16,FALSE)="","",VLOOKUP($B285,INDIRECT("'GRD-"&amp;AS285&amp;"'!$B:$R"),16,FALSE)))</f>
        <v/>
      </c>
      <c r="AS285" s="130">
        <f t="array" ref="AS285">IF(AQ285="","",IFERROR(OFFSET($BZ$11,0,MATCH($AQ285,$CA285:$FV285,0),),""))</f>
        <v/>
      </c>
      <c r="AT285" s="131">
        <f t="array" ref="AT285">IF(AQ285="","",INDIRECT("'GRD-"&amp;AS285&amp;"'!$L$7"))</f>
        <v/>
      </c>
      <c r="AU285" s="76">
        <f t="array" ref="AU285">IFERROR(OFFSET($BZ$11,ROW($B285)-11,MATCH(AU$10,$CA285:$FV285,0),),"")</f>
        <v/>
      </c>
      <c r="AV285" s="76">
        <f>IF(AU285="","",IF(VLOOKUP($B285,INDIRECT("'GRD-"&amp;AW285&amp;"'!$B:$R"),16,FALSE)="","",VLOOKUP($B285,INDIRECT("'GRD-"&amp;AW285&amp;"'!$B:$R"),16,FALSE)))</f>
        <v/>
      </c>
      <c r="AW285" s="132">
        <f t="array" ref="AW285">IF(AU285="","",IFERROR(OFFSET($BZ$11,0,MATCH($AU285,$CA285:$FV285,0),),""))</f>
        <v/>
      </c>
      <c r="AX285" s="121">
        <f t="array" ref="AX285">IF(AU285="","",INDIRECT("'GRD-"&amp;AW285&amp;"'!$L$7"))</f>
        <v/>
      </c>
      <c r="AY285" s="83">
        <f t="array" ref="AY285">IFERROR(OFFSET($BZ$11,ROW($B285)-11,MATCH(AY$10,$CA285:$FV285,0),),"")</f>
        <v/>
      </c>
      <c r="AZ285" s="83">
        <f>IF(AY285="","",IF(VLOOKUP($B285,INDIRECT("'GRD-"&amp;BA285&amp;"'!$B:$R"),16,FALSE)="","",VLOOKUP($B285,INDIRECT("'GRD-"&amp;BA285&amp;"'!$B:$R"),16,FALSE)))</f>
        <v/>
      </c>
      <c r="BA285" s="128">
        <f t="array" ref="BA285">IF(AY285="","",IFERROR(OFFSET($BZ$11,0,MATCH($AY285,$CA285:$FV285,0),),""))</f>
        <v/>
      </c>
      <c r="BB285" s="133">
        <f t="array" ref="BB285">IF(AY285="","",INDIRECT("'GRD-"&amp;BA285&amp;"'!$L$7"))</f>
        <v/>
      </c>
      <c r="BC285" s="84">
        <f t="array" ref="BC285">IFERROR(OFFSET($BZ$11,ROW($B285)-11,MATCH(BC$10,$CA285:$FV285,0),),"")</f>
        <v/>
      </c>
      <c r="BD285" s="84">
        <f>IF(BC285="","",IF(VLOOKUP($B285,INDIRECT("'GRD-"&amp;BE285&amp;"'!$B:$R"),16,FALSE)="","",VLOOKUP($B285,INDIRECT("'GRD-"&amp;BE285&amp;"'!$B:$R"),16,FALSE)))</f>
        <v/>
      </c>
      <c r="BE285" s="129">
        <f t="array" ref="BE285">IF(BC285="","",IFERROR(OFFSET($BZ$11,0,MATCH($BC285,$CA285:$FV285,0),),""))</f>
        <v/>
      </c>
      <c r="BF285" s="134">
        <f t="array" ref="BF285">IF(BC285="","",INDIRECT("'GRD-"&amp;BE285&amp;"'!$L$7"))</f>
        <v/>
      </c>
      <c r="CA285" s="96">
        <f>IFERROR(VLOOKUP($B285,INDIRECT("'GRD-"&amp;CA$11&amp;"'!B:R"),15,FALSE),"")</f>
        <v/>
      </c>
      <c r="CB285" s="96">
        <f>IFERROR(VLOOKUP($B285,INDIRECT("'GRD-"&amp;CB$11&amp;"'!B:R"),15,FALSE),"")</f>
        <v/>
      </c>
      <c r="CC285" s="96">
        <f>IFERROR(VLOOKUP($B285,INDIRECT("'GRD-"&amp;CC$11&amp;"'!B:R"),15,FALSE),"")</f>
        <v/>
      </c>
      <c r="CD285" s="96">
        <f>IFERROR(VLOOKUP($B285,INDIRECT("'GRD-"&amp;CD$11&amp;"'!B:R"),15,FALSE),"")</f>
        <v/>
      </c>
      <c r="CE285" s="96">
        <f>IFERROR(VLOOKUP($B285,INDIRECT("'GRD-"&amp;CE$11&amp;"'!B:R"),15,FALSE),"")</f>
        <v/>
      </c>
      <c r="CF285" s="96">
        <f>IFERROR(VLOOKUP($B285,INDIRECT("'GRD-"&amp;CF$11&amp;"'!B:R"),15,FALSE),"")</f>
        <v/>
      </c>
      <c r="CG285" s="96">
        <f>IFERROR(VLOOKUP($B285,INDIRECT("'GRD-"&amp;CG$11&amp;"'!B:R"),15,FALSE),"")</f>
        <v/>
      </c>
      <c r="CH285" s="96">
        <f>IFERROR(VLOOKUP($B285,INDIRECT("'GRD-"&amp;CH$11&amp;"'!B:R"),15,FALSE),"")</f>
        <v/>
      </c>
      <c r="CI285" s="96">
        <f>IFERROR(VLOOKUP($B285,INDIRECT("'GRD-"&amp;CI$11&amp;"'!B:R"),15,FALSE),"")</f>
        <v/>
      </c>
      <c r="CJ285" s="96">
        <f>IFERROR(VLOOKUP($B285,INDIRECT("'GRD-"&amp;CJ$11&amp;"'!B:R"),15,FALSE),"")</f>
        <v/>
      </c>
      <c r="CK285" s="96">
        <f>IFERROR(VLOOKUP($B285,INDIRECT("'GRD-"&amp;CK$11&amp;"'!B:R"),15,FALSE),"")</f>
        <v/>
      </c>
      <c r="CL285" s="96">
        <f>IFERROR(VLOOKUP($B285,INDIRECT("'GRD-"&amp;CL$11&amp;"'!B:R"),15,FALSE),"")</f>
        <v/>
      </c>
      <c r="CM285" s="96">
        <f>IFERROR(VLOOKUP($B285,INDIRECT("'GRD-"&amp;CM$11&amp;"'!B:R"),15,FALSE),"")</f>
        <v/>
      </c>
      <c r="CN285" s="96">
        <f>IFERROR(VLOOKUP($B285,INDIRECT("'GRD-"&amp;CN$11&amp;"'!B:R"),15,FALSE),"")</f>
        <v/>
      </c>
      <c r="CO285" s="96">
        <f>IFERROR(VLOOKUP($B285,INDIRECT("'GRD-"&amp;CO$11&amp;"'!B:R"),15,FALSE),"")</f>
        <v/>
      </c>
      <c r="CP285" s="96">
        <f>IFERROR(VLOOKUP($B285,INDIRECT("'GRD-"&amp;CP$11&amp;"'!B:R"),15,FALSE),"")</f>
        <v/>
      </c>
      <c r="CQ285" s="96">
        <f>IFERROR(VLOOKUP($B285,INDIRECT("'GRD-"&amp;CQ$11&amp;"'!B:R"),15,FALSE),"")</f>
        <v/>
      </c>
      <c r="CR285" s="96">
        <f>IFERROR(VLOOKUP($B285,INDIRECT("'GRD-"&amp;CR$11&amp;"'!B:R"),15,FALSE),"")</f>
        <v/>
      </c>
      <c r="CS285" s="96">
        <f>IFERROR(VLOOKUP($B285,INDIRECT("'GRD-"&amp;CS$11&amp;"'!B:R"),15,FALSE),"")</f>
        <v/>
      </c>
      <c r="CT285" s="96">
        <f>IFERROR(VLOOKUP($B285,INDIRECT("'GRD-"&amp;CT$11&amp;"'!B:R"),15,FALSE),"")</f>
        <v/>
      </c>
      <c r="CU285" s="96">
        <f>IFERROR(VLOOKUP($B285,INDIRECT("'GRD-"&amp;CU$11&amp;"'!B:R"),15,FALSE),"")</f>
        <v/>
      </c>
      <c r="CV285" s="96">
        <f>IFERROR(VLOOKUP($B285,INDIRECT("'GRD-"&amp;CV$11&amp;"'!B:R"),15,FALSE),"")</f>
        <v/>
      </c>
      <c r="CW285" s="96">
        <f>IFERROR(VLOOKUP($B285,INDIRECT("'GRD-"&amp;CW$11&amp;"'!B:R"),15,FALSE),"")</f>
        <v/>
      </c>
      <c r="CX285" s="96">
        <f>IFERROR(VLOOKUP($B285,INDIRECT("'GRD-"&amp;CX$11&amp;"'!B:R"),15,FALSE),"")</f>
        <v/>
      </c>
      <c r="CY285" s="96">
        <f>IFERROR(VLOOKUP($B285,INDIRECT("'GRD-"&amp;CY$11&amp;"'!B:R"),15,FALSE),"")</f>
        <v/>
      </c>
      <c r="CZ285" s="96">
        <f>IFERROR(VLOOKUP($B285,INDIRECT("'GRD-"&amp;CZ$11&amp;"'!B:R"),15,FALSE),"")</f>
        <v/>
      </c>
      <c r="DA285" s="96">
        <f>IFERROR(VLOOKUP($B285,INDIRECT("'GRD-"&amp;DA$11&amp;"'!B:R"),15,FALSE),"")</f>
        <v/>
      </c>
      <c r="DB285" s="96">
        <f>IFERROR(VLOOKUP($B285,INDIRECT("'GRD-"&amp;DB$11&amp;"'!B:R"),15,FALSE),"")</f>
        <v/>
      </c>
      <c r="DC285" s="96">
        <f>IFERROR(VLOOKUP($B285,INDIRECT("'GRD-"&amp;DC$11&amp;"'!B:R"),15,FALSE),"")</f>
        <v/>
      </c>
      <c r="DD285" s="96">
        <f>IFERROR(VLOOKUP($B285,INDIRECT("'GRD-"&amp;DD$11&amp;"'!B:R"),15,FALSE),"")</f>
        <v/>
      </c>
      <c r="DE285" s="96">
        <f>IFERROR(VLOOKUP($B285,INDIRECT("'GRD-"&amp;DE$11&amp;"'!B:R"),15,FALSE),"")</f>
        <v/>
      </c>
      <c r="DF285" s="96">
        <f>IFERROR(VLOOKUP($B285,INDIRECT("'GRD-"&amp;DF$11&amp;"'!B:R"),15,FALSE),"")</f>
        <v/>
      </c>
      <c r="DG285" s="96">
        <f>IFERROR(VLOOKUP($B285,INDIRECT("'GRD-"&amp;DG$11&amp;"'!B:R"),15,FALSE),"")</f>
        <v/>
      </c>
      <c r="DH285" s="96">
        <f>IFERROR(VLOOKUP($B285,INDIRECT("'GRD-"&amp;DH$11&amp;"'!B:R"),15,FALSE),"")</f>
        <v/>
      </c>
      <c r="DI285" s="96">
        <f>IFERROR(VLOOKUP($B285,INDIRECT("'GRD-"&amp;DI$11&amp;"'!B:R"),15,FALSE),"")</f>
        <v/>
      </c>
      <c r="DJ285" s="96">
        <f>IFERROR(VLOOKUP($B285,INDIRECT("'GRD-"&amp;DJ$11&amp;"'!B:R"),15,FALSE),"")</f>
        <v/>
      </c>
      <c r="DK285" s="96">
        <f>IFERROR(VLOOKUP($B285,INDIRECT("'GRD-"&amp;DK$11&amp;"'!B:R"),15,FALSE),"")</f>
        <v/>
      </c>
      <c r="DL285" s="96">
        <f>IFERROR(VLOOKUP($B285,INDIRECT("'GRD-"&amp;DL$11&amp;"'!B:R"),15,FALSE),"")</f>
        <v/>
      </c>
      <c r="DM285" s="96">
        <f>IFERROR(VLOOKUP($B285,INDIRECT("'GRD-"&amp;DM$11&amp;"'!B:R"),15,FALSE),"")</f>
        <v/>
      </c>
      <c r="DN285" s="96">
        <f>IFERROR(VLOOKUP($B285,INDIRECT("'GRD-"&amp;DN$11&amp;"'!B:R"),15,FALSE),"")</f>
        <v/>
      </c>
      <c r="DO285" s="96">
        <f>IFERROR(VLOOKUP($B285,INDIRECT("'GRD-"&amp;DO$11&amp;"'!B:R"),15,FALSE),"")</f>
        <v/>
      </c>
      <c r="DP285" s="96">
        <f>IFERROR(VLOOKUP($B285,INDIRECT("'GRD-"&amp;DP$11&amp;"'!B:R"),15,FALSE),"")</f>
        <v/>
      </c>
      <c r="DQ285" s="96">
        <f>IFERROR(VLOOKUP($B285,INDIRECT("'GRD-"&amp;DQ$11&amp;"'!B:R"),15,FALSE),"")</f>
        <v/>
      </c>
      <c r="DR285" s="96">
        <f>IFERROR(VLOOKUP($B285,INDIRECT("'GRD-"&amp;DR$11&amp;"'!B:R"),15,FALSE),"")</f>
        <v/>
      </c>
      <c r="DS285" s="96">
        <f>IFERROR(VLOOKUP($B285,INDIRECT("'GRD-"&amp;DS$11&amp;"'!B:R"),15,FALSE),"")</f>
        <v/>
      </c>
      <c r="DT285" s="96">
        <f>IFERROR(VLOOKUP($B285,INDIRECT("'GRD-"&amp;DT$11&amp;"'!B:R"),15,FALSE),"")</f>
        <v/>
      </c>
      <c r="DU285" s="96">
        <f>IFERROR(VLOOKUP($B285,INDIRECT("'GRD-"&amp;DU$11&amp;"'!B:R"),15,FALSE),"")</f>
        <v/>
      </c>
      <c r="DV285" s="96">
        <f>IFERROR(VLOOKUP($B285,INDIRECT("'GRD-"&amp;DV$11&amp;"'!B:R"),15,FALSE),"")</f>
        <v/>
      </c>
      <c r="DW285" s="96">
        <f>IFERROR(VLOOKUP($B285,INDIRECT("'GRD-"&amp;DW$11&amp;"'!B:R"),15,FALSE),"")</f>
        <v/>
      </c>
      <c r="DX285" s="96">
        <f>IFERROR(VLOOKUP($B285,INDIRECT("'GRD-"&amp;DX$11&amp;"'!B:R"),15,FALSE),"")</f>
        <v/>
      </c>
      <c r="DY285" s="96">
        <f>IFERROR(VLOOKUP($B285,INDIRECT("'GRD-"&amp;DY$11&amp;"'!B:R"),15,FALSE),"")</f>
        <v/>
      </c>
      <c r="DZ285" s="96">
        <f>IFERROR(VLOOKUP($B285,INDIRECT("'GRD-"&amp;DZ$11&amp;"'!B:R"),15,FALSE),"")</f>
        <v/>
      </c>
      <c r="EA285" s="96">
        <f>IFERROR(VLOOKUP($B285,INDIRECT("'GRD-"&amp;EA$11&amp;"'!B:R"),15,FALSE),"")</f>
        <v/>
      </c>
      <c r="EB285" s="96">
        <f>IFERROR(VLOOKUP($B285,INDIRECT("'GRD-"&amp;EB$11&amp;"'!B:R"),15,FALSE),"")</f>
        <v/>
      </c>
      <c r="EC285" s="96">
        <f>IFERROR(VLOOKUP($B285,INDIRECT("'GRD-"&amp;EC$11&amp;"'!B:R"),15,FALSE),"")</f>
        <v/>
      </c>
      <c r="ED285" s="96">
        <f>IFERROR(VLOOKUP($B285,INDIRECT("'GRD-"&amp;ED$11&amp;"'!B:R"),15,FALSE),"")</f>
        <v/>
      </c>
      <c r="EE285" s="96">
        <f>IFERROR(VLOOKUP($B285,INDIRECT("'GRD-"&amp;EE$11&amp;"'!B:R"),15,FALSE),"")</f>
        <v/>
      </c>
      <c r="EF285" s="96">
        <f>IFERROR(VLOOKUP($B285,INDIRECT("'GRD-"&amp;EF$11&amp;"'!B:R"),15,FALSE),"")</f>
        <v/>
      </c>
      <c r="EG285" s="96">
        <f>IFERROR(VLOOKUP($B285,INDIRECT("'GRD-"&amp;EG$11&amp;"'!B:R"),15,FALSE),"")</f>
        <v/>
      </c>
      <c r="EH285" s="96">
        <f>IFERROR(VLOOKUP($B285,INDIRECT("'GRD-"&amp;EH$11&amp;"'!B:R"),15,FALSE),"")</f>
        <v/>
      </c>
      <c r="EI285" s="96">
        <f>IFERROR(VLOOKUP($B285,INDIRECT("'GRD-"&amp;EI$11&amp;"'!B:R"),15,FALSE),"")</f>
        <v/>
      </c>
      <c r="EJ285" s="96">
        <f>IFERROR(VLOOKUP($B285,INDIRECT("'GRD-"&amp;EJ$11&amp;"'!B:R"),15,FALSE),"")</f>
        <v/>
      </c>
      <c r="EK285" s="96">
        <f>IFERROR(VLOOKUP($B285,INDIRECT("'GRD-"&amp;EK$11&amp;"'!B:R"),15,FALSE),"")</f>
        <v/>
      </c>
      <c r="EL285" s="96">
        <f>IFERROR(VLOOKUP($B285,INDIRECT("'GRD-"&amp;EL$11&amp;"'!B:R"),15,FALSE),"")</f>
        <v/>
      </c>
      <c r="EM285" s="96">
        <f>IFERROR(VLOOKUP($B285,INDIRECT("'GRD-"&amp;EM$11&amp;"'!B:R"),15,FALSE),"")</f>
        <v/>
      </c>
      <c r="EN285" s="96">
        <f>IFERROR(VLOOKUP($B285,INDIRECT("'GRD-"&amp;EN$11&amp;"'!B:R"),15,FALSE),"")</f>
        <v/>
      </c>
      <c r="EO285" s="96">
        <f>IFERROR(VLOOKUP($B285,INDIRECT("'GRD-"&amp;EO$11&amp;"'!B:R"),15,FALSE),"")</f>
        <v/>
      </c>
      <c r="EP285" s="96">
        <f>IFERROR(VLOOKUP($B285,INDIRECT("'GRD-"&amp;EP$11&amp;"'!B:R"),15,FALSE),"")</f>
        <v/>
      </c>
      <c r="EQ285" s="96">
        <f>IFERROR(VLOOKUP($B285,INDIRECT("'GRD-"&amp;EQ$11&amp;"'!B:R"),15,FALSE),"")</f>
        <v/>
      </c>
      <c r="ER285" s="96">
        <f>IFERROR(VLOOKUP($B285,INDIRECT("'GRD-"&amp;ER$11&amp;"'!B:R"),15,FALSE),"")</f>
        <v/>
      </c>
      <c r="ES285" s="96">
        <f>IFERROR(VLOOKUP($B285,INDIRECT("'GRD-"&amp;ES$11&amp;"'!B:R"),15,FALSE),"")</f>
        <v/>
      </c>
      <c r="ET285" s="96">
        <f>IFERROR(VLOOKUP($B285,INDIRECT("'GRD-"&amp;ET$11&amp;"'!B:R"),15,FALSE),"")</f>
        <v/>
      </c>
      <c r="EU285" s="96">
        <f>IFERROR(VLOOKUP($B285,INDIRECT("'GRD-"&amp;EU$11&amp;"'!B:R"),15,FALSE),"")</f>
        <v/>
      </c>
      <c r="EV285" s="96">
        <f>IFERROR(VLOOKUP($B285,INDIRECT("'GRD-"&amp;EV$11&amp;"'!B:R"),15,FALSE),"")</f>
        <v/>
      </c>
      <c r="EW285" s="96">
        <f>IFERROR(VLOOKUP($B285,INDIRECT("'GRD-"&amp;EW$11&amp;"'!B:R"),15,FALSE),"")</f>
        <v/>
      </c>
      <c r="EX285" s="96">
        <f>IFERROR(VLOOKUP($B285,INDIRECT("'GRD-"&amp;EX$11&amp;"'!B:R"),15,FALSE),"")</f>
        <v/>
      </c>
      <c r="EY285" s="96">
        <f>IFERROR(VLOOKUP($B285,INDIRECT("'GRD-"&amp;EY$11&amp;"'!B:R"),15,FALSE),"")</f>
        <v/>
      </c>
      <c r="EZ285" s="96">
        <f>IFERROR(VLOOKUP($B285,INDIRECT("'GRD-"&amp;EZ$11&amp;"'!B:R"),15,FALSE),"")</f>
        <v/>
      </c>
      <c r="FA285" s="96">
        <f>IFERROR(VLOOKUP($B285,INDIRECT("'GRD-"&amp;FA$11&amp;"'!B:R"),15,FALSE),"")</f>
        <v/>
      </c>
      <c r="FB285" s="96">
        <f>IFERROR(VLOOKUP($B285,INDIRECT("'GRD-"&amp;FB$11&amp;"'!B:R"),15,FALSE),"")</f>
        <v/>
      </c>
      <c r="FC285" s="96">
        <f>IFERROR(VLOOKUP($B285,INDIRECT("'GRD-"&amp;FC$11&amp;"'!B:R"),15,FALSE),"")</f>
        <v/>
      </c>
      <c r="FD285" s="96">
        <f>IFERROR(VLOOKUP($B285,INDIRECT("'GRD-"&amp;FD$11&amp;"'!B:R"),15,FALSE),"")</f>
        <v/>
      </c>
      <c r="FE285" s="96">
        <f>IFERROR(VLOOKUP($B285,INDIRECT("'GRD-"&amp;FE$11&amp;"'!B:R"),15,FALSE),"")</f>
        <v/>
      </c>
      <c r="FF285" s="96">
        <f>IFERROR(VLOOKUP($B285,INDIRECT("'GRD-"&amp;FF$11&amp;"'!B:R"),15,FALSE),"")</f>
        <v/>
      </c>
      <c r="FG285" s="96">
        <f>IFERROR(VLOOKUP($B285,INDIRECT("'GRD-"&amp;FG$11&amp;"'!B:R"),15,FALSE),"")</f>
        <v/>
      </c>
      <c r="FH285" s="96">
        <f>IFERROR(VLOOKUP($B285,INDIRECT("'GRD-"&amp;FH$11&amp;"'!B:R"),15,FALSE),"")</f>
        <v/>
      </c>
      <c r="FI285" s="96">
        <f>IFERROR(VLOOKUP($B285,INDIRECT("'GRD-"&amp;FI$11&amp;"'!B:R"),15,FALSE),"")</f>
        <v/>
      </c>
      <c r="FJ285" s="96">
        <f>IFERROR(VLOOKUP($B285,INDIRECT("'GRD-"&amp;FJ$11&amp;"'!B:R"),15,FALSE),"")</f>
        <v/>
      </c>
      <c r="FK285" s="96">
        <f>IFERROR(VLOOKUP($B285,INDIRECT("'GRD-"&amp;FK$11&amp;"'!B:R"),15,FALSE),"")</f>
        <v/>
      </c>
      <c r="FL285" s="96">
        <f>IFERROR(VLOOKUP($B285,INDIRECT("'GRD-"&amp;FL$11&amp;"'!B:R"),15,FALSE),"")</f>
        <v/>
      </c>
      <c r="FM285" s="96">
        <f>IFERROR(VLOOKUP($B285,INDIRECT("'GRD-"&amp;FM$11&amp;"'!B:R"),15,FALSE),"")</f>
        <v/>
      </c>
      <c r="FN285" s="96">
        <f>IFERROR(VLOOKUP($B285,INDIRECT("'GRD-"&amp;FN$11&amp;"'!B:R"),15,FALSE),"")</f>
        <v/>
      </c>
      <c r="FO285" s="96">
        <f>IFERROR(VLOOKUP($B285,INDIRECT("'GRD-"&amp;FO$11&amp;"'!B:R"),15,FALSE),"")</f>
        <v/>
      </c>
      <c r="FP285" s="96">
        <f>IFERROR(VLOOKUP($B285,INDIRECT("'GRD-"&amp;FP$11&amp;"'!B:R"),15,FALSE),"")</f>
        <v/>
      </c>
      <c r="FQ285" s="96">
        <f>IFERROR(VLOOKUP($B285,INDIRECT("'GRD-"&amp;FQ$11&amp;"'!B:R"),15,FALSE),"")</f>
        <v/>
      </c>
      <c r="FR285" s="96">
        <f>IFERROR(VLOOKUP($B285,INDIRECT("'GRD-"&amp;FR$11&amp;"'!B:R"),15,FALSE),"")</f>
        <v/>
      </c>
      <c r="FS285" s="96">
        <f>IFERROR(VLOOKUP($B285,INDIRECT("'GRD-"&amp;FS$11&amp;"'!B:R"),15,FALSE),"")</f>
        <v/>
      </c>
      <c r="FT285" s="96">
        <f>IFERROR(VLOOKUP($B285,INDIRECT("'GRD-"&amp;FT$11&amp;"'!B:R"),15,FALSE),"")</f>
        <v/>
      </c>
      <c r="FU285" s="96">
        <f>IFERROR(VLOOKUP($B285,INDIRECT("'GRD-"&amp;FU$11&amp;"'!B:R"),15,FALSE),"")</f>
        <v/>
      </c>
      <c r="FV285" s="96">
        <f>IFERROR(VLOOKUP($B285,INDIRECT("'GRD-"&amp;FV$11&amp;"'!B:R"),15,FALSE),"")</f>
        <v/>
      </c>
    </row>
    <row r="286">
      <c r="B286" s="85" t="n"/>
      <c r="C286" s="93" t="n"/>
      <c r="D286" s="73">
        <f>IF(K286="","",MAX($CA286:$FV286))</f>
        <v/>
      </c>
      <c r="E286" s="74">
        <f t="array" ref="E286">IF($K286="","",OFFSET($A$1,ROW($B286)-1,11+$D286*4,))</f>
        <v/>
      </c>
      <c r="F286" s="74">
        <f t="array" ref="F286">IF($K286="","",OFFSET($A$1,ROW($B286)-1,12+$D286*4,))</f>
        <v/>
      </c>
      <c r="G286" s="118">
        <f t="array" ref="G286">IF($K286="","",OFFSET($A$1,ROW($B286)-1,13+$D286*4,))</f>
        <v/>
      </c>
      <c r="H286" s="81" t="n"/>
      <c r="I286" s="82" t="n"/>
      <c r="J286" s="75">
        <f>IF(I286="A4",H286/8,IF(I286="A3",H286/4,IF(I286="A2",H286/2,IF(I286="A1",H286/1,IF(I286="A0",H286*2,"")))))</f>
        <v/>
      </c>
      <c r="K286" s="68">
        <f t="array" ref="K286">IFERROR(OFFSET($BZ$11,ROW($B286)-11,MATCH(K$10,$CA286:$FV286,0),),"")</f>
        <v/>
      </c>
      <c r="L286" s="85">
        <f>IF(K286="","",IF(VLOOKUP($B286,INDIRECT("'GRD-"&amp;M286&amp;"'!$B:$R"),16,FALSE)="","",VLOOKUP($B286,INDIRECT("'GRD-"&amp;M286&amp;"'!$B:$R"),16,FALSE)))</f>
        <v/>
      </c>
      <c r="M286" s="130">
        <f t="array" ref="M286">IF(K286="","",IFERROR(OFFSET($BZ$11,0,MATCH($K286,$CA286:$FV286,0),),""))</f>
        <v/>
      </c>
      <c r="N286" s="119">
        <f t="array" ref="N286">IF(K286="","",INDIRECT("'GRD-"&amp;M286&amp;"'!$L$7"))</f>
        <v/>
      </c>
      <c r="O286" s="76">
        <f t="array" ref="O286">IFERROR(OFFSET($BZ$11,ROW($B286)-11,MATCH(O$10,$CA286:$FV286,0),),"")</f>
        <v/>
      </c>
      <c r="P286" s="76">
        <f>IF(O286="","",IF(VLOOKUP($B286,INDIRECT("'GRD-"&amp;Q286&amp;"'!$B:$R"),16,FALSE)="","",VLOOKUP($B286,INDIRECT("'GRD-"&amp;Q286&amp;"'!$B:$R"),16,FALSE)))</f>
        <v/>
      </c>
      <c r="Q286" s="132">
        <f t="array" ref="Q286">IF(O286="","",IFERROR(OFFSET($BZ$11,0,MATCH($O286,$CA286:$FV286,0),),""))</f>
        <v/>
      </c>
      <c r="R286" s="121">
        <f t="array" ref="R286">IF(O286="","",INDIRECT("'GRD-"&amp;Q286&amp;"'!$L$7"))</f>
        <v/>
      </c>
      <c r="S286" s="83">
        <f t="array" ref="S286">IFERROR(OFFSET($BZ$11,ROW($B286)-11,MATCH(S$10,$CA286:$FV286,0),),"")</f>
        <v/>
      </c>
      <c r="T286" s="83">
        <f>IF(S286="","",IF(VLOOKUP($B286,INDIRECT("'GRD-"&amp;U286&amp;"'!$B:$R"),16,FALSE)="","",VLOOKUP($B286,INDIRECT("'GRD-"&amp;U286&amp;"'!$B:$R"),16,FALSE)))</f>
        <v/>
      </c>
      <c r="U286" s="128">
        <f t="array" ref="U286">IF(S286="","",IFERROR(OFFSET($BZ$11,0,MATCH($S286,$CA286:$FV286,0),),""))</f>
        <v/>
      </c>
      <c r="V286" s="133">
        <f t="array" ref="V286">IF(S286="","",INDIRECT("'GRD-"&amp;U286&amp;"'!$L$7"))</f>
        <v/>
      </c>
      <c r="W286" s="84">
        <f t="array" ref="W286">IFERROR(OFFSET($BZ$11,ROW($B286)-11,MATCH(W$10,$CA286:$FV286,0),),"")</f>
        <v/>
      </c>
      <c r="X286" s="84">
        <f>IF(W286="","",IF(VLOOKUP($B286,INDIRECT("'GRD-"&amp;Y286&amp;"'!$B:$R"),16,FALSE)="","",VLOOKUP($B286,INDIRECT("'GRD-"&amp;Y286&amp;"'!$B:$R"),16,FALSE)))</f>
        <v/>
      </c>
      <c r="Y286" s="129">
        <f t="array" ref="Y286">IF(W286="","",IFERROR(OFFSET($BZ$11,0,MATCH($W286,$CA286:$FV286,0),),""))</f>
        <v/>
      </c>
      <c r="Z286" s="134">
        <f t="array" ref="Z286">IF(W286="","",INDIRECT("'GRD-"&amp;Y286&amp;"'!$L$7"))</f>
        <v/>
      </c>
      <c r="AA286" s="85">
        <f t="array" ref="AA286">IFERROR(OFFSET($BZ$11,ROW($B286)-11,MATCH(AA$10,$CA286:$FV286,0),),"")</f>
        <v/>
      </c>
      <c r="AB286" s="85">
        <f>IF(AA286="","",IF(VLOOKUP($B286,INDIRECT("'GRD-"&amp;AC286&amp;"'!$B:$R"),16,FALSE)="","",VLOOKUP($B286,INDIRECT("'GRD-"&amp;AC286&amp;"'!$B:$R"),16,FALSE)))</f>
        <v/>
      </c>
      <c r="AC286" s="130">
        <f t="array" ref="AC286">IF(AA286="","",IFERROR(OFFSET($BZ$11,0,MATCH($AA286,$CA286:$FV286,0),),""))</f>
        <v/>
      </c>
      <c r="AD286" s="131">
        <f t="array" ref="AD286">IF(AA286="","",INDIRECT("'GRD-"&amp;AC286&amp;"'!$L$7"))</f>
        <v/>
      </c>
      <c r="AE286" s="76">
        <f t="array" ref="AE286">IFERROR(OFFSET($BZ$11,ROW($B286)-11,MATCH(AE$10,$CA286:$FV286,0),),"")</f>
        <v/>
      </c>
      <c r="AF286" s="76">
        <f>IF(AE286="","",IF(VLOOKUP($B286,INDIRECT("'GRD-"&amp;AG286&amp;"'!$B:$R"),16,FALSE)="","",VLOOKUP($B286,INDIRECT("'GRD-"&amp;AG286&amp;"'!$B:$R"),16,FALSE)))</f>
        <v/>
      </c>
      <c r="AG286" s="132">
        <f t="array" ref="AG286">IF(AE286="","",IFERROR(OFFSET($BZ$11,0,MATCH($AE286,$CA286:$FV286,0),),""))</f>
        <v/>
      </c>
      <c r="AH286" s="121">
        <f t="array" ref="AH286">IF(AE286="","",INDIRECT("'GRD-"&amp;AG286&amp;"'!$L$7"))</f>
        <v/>
      </c>
      <c r="AI286" s="83">
        <f t="array" ref="AI286">IFERROR(OFFSET($BZ$11,ROW($B286)-11,MATCH(AI$10,$CA286:$FV286,0),),"")</f>
        <v/>
      </c>
      <c r="AJ286" s="83">
        <f>IF(AI286="","",IF(VLOOKUP($B286,INDIRECT("'GRD-"&amp;AK286&amp;"'!$B:$R"),16,FALSE)="","",VLOOKUP($B286,INDIRECT("'GRD-"&amp;AK286&amp;"'!$B:$R"),16,FALSE)))</f>
        <v/>
      </c>
      <c r="AK286" s="128">
        <f t="array" ref="AK286">IF(AI286="","",IFERROR(OFFSET($BZ$11,0,MATCH($AI286,$CA286:$FV286,0),),""))</f>
        <v/>
      </c>
      <c r="AL286" s="133">
        <f t="array" ref="AL286">IF(AI286="","",INDIRECT("'GRD-"&amp;AK286&amp;"'!$L$7"))</f>
        <v/>
      </c>
      <c r="AM286" s="84">
        <f t="array" ref="AM286">IFERROR(OFFSET($BZ$11,ROW($B286)-11,MATCH(AM$10,$CA286:$FV286,0),),"")</f>
        <v/>
      </c>
      <c r="AN286" s="84">
        <f>IF(AM286="","",IF(VLOOKUP($B286,INDIRECT("'GRD-"&amp;AO286&amp;"'!$B:$R"),16,FALSE)="","",VLOOKUP($B286,INDIRECT("'GRD-"&amp;AO286&amp;"'!$B:$R"),16,FALSE)))</f>
        <v/>
      </c>
      <c r="AO286" s="129">
        <f t="array" ref="AO286">IF(AM286="","",IFERROR(OFFSET($BZ$11,0,MATCH($AM286,$CA286:$FV286,0),),""))</f>
        <v/>
      </c>
      <c r="AP286" s="134">
        <f t="array" ref="AP286">IF(AM286="","",INDIRECT("'GRD-"&amp;AO286&amp;"'!$L$7"))</f>
        <v/>
      </c>
      <c r="AQ286" s="85">
        <f t="array" ref="AQ286">IFERROR(OFFSET($BZ$11,ROW($B286)-11,MATCH(AQ$10,$CA286:$FV286,0),),"")</f>
        <v/>
      </c>
      <c r="AR286" s="85">
        <f>IF(AQ286="","",IF(VLOOKUP($B286,INDIRECT("'GRD-"&amp;AS286&amp;"'!$B:$R"),16,FALSE)="","",VLOOKUP($B286,INDIRECT("'GRD-"&amp;AS286&amp;"'!$B:$R"),16,FALSE)))</f>
        <v/>
      </c>
      <c r="AS286" s="130">
        <f t="array" ref="AS286">IF(AQ286="","",IFERROR(OFFSET($BZ$11,0,MATCH($AQ286,$CA286:$FV286,0),),""))</f>
        <v/>
      </c>
      <c r="AT286" s="131">
        <f t="array" ref="AT286">IF(AQ286="","",INDIRECT("'GRD-"&amp;AS286&amp;"'!$L$7"))</f>
        <v/>
      </c>
      <c r="AU286" s="76">
        <f t="array" ref="AU286">IFERROR(OFFSET($BZ$11,ROW($B286)-11,MATCH(AU$10,$CA286:$FV286,0),),"")</f>
        <v/>
      </c>
      <c r="AV286" s="76">
        <f>IF(AU286="","",IF(VLOOKUP($B286,INDIRECT("'GRD-"&amp;AW286&amp;"'!$B:$R"),16,FALSE)="","",VLOOKUP($B286,INDIRECT("'GRD-"&amp;AW286&amp;"'!$B:$R"),16,FALSE)))</f>
        <v/>
      </c>
      <c r="AW286" s="132">
        <f t="array" ref="AW286">IF(AU286="","",IFERROR(OFFSET($BZ$11,0,MATCH($AU286,$CA286:$FV286,0),),""))</f>
        <v/>
      </c>
      <c r="AX286" s="121">
        <f t="array" ref="AX286">IF(AU286="","",INDIRECT("'GRD-"&amp;AW286&amp;"'!$L$7"))</f>
        <v/>
      </c>
      <c r="AY286" s="83">
        <f t="array" ref="AY286">IFERROR(OFFSET($BZ$11,ROW($B286)-11,MATCH(AY$10,$CA286:$FV286,0),),"")</f>
        <v/>
      </c>
      <c r="AZ286" s="83">
        <f>IF(AY286="","",IF(VLOOKUP($B286,INDIRECT("'GRD-"&amp;BA286&amp;"'!$B:$R"),16,FALSE)="","",VLOOKUP($B286,INDIRECT("'GRD-"&amp;BA286&amp;"'!$B:$R"),16,FALSE)))</f>
        <v/>
      </c>
      <c r="BA286" s="128">
        <f t="array" ref="BA286">IF(AY286="","",IFERROR(OFFSET($BZ$11,0,MATCH($AY286,$CA286:$FV286,0),),""))</f>
        <v/>
      </c>
      <c r="BB286" s="133">
        <f t="array" ref="BB286">IF(AY286="","",INDIRECT("'GRD-"&amp;BA286&amp;"'!$L$7"))</f>
        <v/>
      </c>
      <c r="BC286" s="84">
        <f t="array" ref="BC286">IFERROR(OFFSET($BZ$11,ROW($B286)-11,MATCH(BC$10,$CA286:$FV286,0),),"")</f>
        <v/>
      </c>
      <c r="BD286" s="84">
        <f>IF(BC286="","",IF(VLOOKUP($B286,INDIRECT("'GRD-"&amp;BE286&amp;"'!$B:$R"),16,FALSE)="","",VLOOKUP($B286,INDIRECT("'GRD-"&amp;BE286&amp;"'!$B:$R"),16,FALSE)))</f>
        <v/>
      </c>
      <c r="BE286" s="129">
        <f t="array" ref="BE286">IF(BC286="","",IFERROR(OFFSET($BZ$11,0,MATCH($BC286,$CA286:$FV286,0),),""))</f>
        <v/>
      </c>
      <c r="BF286" s="134">
        <f t="array" ref="BF286">IF(BC286="","",INDIRECT("'GRD-"&amp;BE286&amp;"'!$L$7"))</f>
        <v/>
      </c>
      <c r="CA286" s="96">
        <f>IFERROR(VLOOKUP($B286,INDIRECT("'GRD-"&amp;CA$11&amp;"'!B:R"),15,FALSE),"")</f>
        <v/>
      </c>
      <c r="CB286" s="96">
        <f>IFERROR(VLOOKUP($B286,INDIRECT("'GRD-"&amp;CB$11&amp;"'!B:R"),15,FALSE),"")</f>
        <v/>
      </c>
      <c r="CC286" s="96">
        <f>IFERROR(VLOOKUP($B286,INDIRECT("'GRD-"&amp;CC$11&amp;"'!B:R"),15,FALSE),"")</f>
        <v/>
      </c>
      <c r="CD286" s="96">
        <f>IFERROR(VLOOKUP($B286,INDIRECT("'GRD-"&amp;CD$11&amp;"'!B:R"),15,FALSE),"")</f>
        <v/>
      </c>
      <c r="CE286" s="96">
        <f>IFERROR(VLOOKUP($B286,INDIRECT("'GRD-"&amp;CE$11&amp;"'!B:R"),15,FALSE),"")</f>
        <v/>
      </c>
      <c r="CF286" s="96">
        <f>IFERROR(VLOOKUP($B286,INDIRECT("'GRD-"&amp;CF$11&amp;"'!B:R"),15,FALSE),"")</f>
        <v/>
      </c>
      <c r="CG286" s="96">
        <f>IFERROR(VLOOKUP($B286,INDIRECT("'GRD-"&amp;CG$11&amp;"'!B:R"),15,FALSE),"")</f>
        <v/>
      </c>
      <c r="CH286" s="96">
        <f>IFERROR(VLOOKUP($B286,INDIRECT("'GRD-"&amp;CH$11&amp;"'!B:R"),15,FALSE),"")</f>
        <v/>
      </c>
      <c r="CI286" s="96">
        <f>IFERROR(VLOOKUP($B286,INDIRECT("'GRD-"&amp;CI$11&amp;"'!B:R"),15,FALSE),"")</f>
        <v/>
      </c>
      <c r="CJ286" s="96">
        <f>IFERROR(VLOOKUP($B286,INDIRECT("'GRD-"&amp;CJ$11&amp;"'!B:R"),15,FALSE),"")</f>
        <v/>
      </c>
      <c r="CK286" s="96">
        <f>IFERROR(VLOOKUP($B286,INDIRECT("'GRD-"&amp;CK$11&amp;"'!B:R"),15,FALSE),"")</f>
        <v/>
      </c>
      <c r="CL286" s="96">
        <f>IFERROR(VLOOKUP($B286,INDIRECT("'GRD-"&amp;CL$11&amp;"'!B:R"),15,FALSE),"")</f>
        <v/>
      </c>
      <c r="CM286" s="96">
        <f>IFERROR(VLOOKUP($B286,INDIRECT("'GRD-"&amp;CM$11&amp;"'!B:R"),15,FALSE),"")</f>
        <v/>
      </c>
      <c r="CN286" s="96">
        <f>IFERROR(VLOOKUP($B286,INDIRECT("'GRD-"&amp;CN$11&amp;"'!B:R"),15,FALSE),"")</f>
        <v/>
      </c>
      <c r="CO286" s="96">
        <f>IFERROR(VLOOKUP($B286,INDIRECT("'GRD-"&amp;CO$11&amp;"'!B:R"),15,FALSE),"")</f>
        <v/>
      </c>
      <c r="CP286" s="96">
        <f>IFERROR(VLOOKUP($B286,INDIRECT("'GRD-"&amp;CP$11&amp;"'!B:R"),15,FALSE),"")</f>
        <v/>
      </c>
      <c r="CQ286" s="96">
        <f>IFERROR(VLOOKUP($B286,INDIRECT("'GRD-"&amp;CQ$11&amp;"'!B:R"),15,FALSE),"")</f>
        <v/>
      </c>
      <c r="CR286" s="96">
        <f>IFERROR(VLOOKUP($B286,INDIRECT("'GRD-"&amp;CR$11&amp;"'!B:R"),15,FALSE),"")</f>
        <v/>
      </c>
      <c r="CS286" s="96">
        <f>IFERROR(VLOOKUP($B286,INDIRECT("'GRD-"&amp;CS$11&amp;"'!B:R"),15,FALSE),"")</f>
        <v/>
      </c>
      <c r="CT286" s="96">
        <f>IFERROR(VLOOKUP($B286,INDIRECT("'GRD-"&amp;CT$11&amp;"'!B:R"),15,FALSE),"")</f>
        <v/>
      </c>
      <c r="CU286" s="96">
        <f>IFERROR(VLOOKUP($B286,INDIRECT("'GRD-"&amp;CU$11&amp;"'!B:R"),15,FALSE),"")</f>
        <v/>
      </c>
      <c r="CV286" s="96">
        <f>IFERROR(VLOOKUP($B286,INDIRECT("'GRD-"&amp;CV$11&amp;"'!B:R"),15,FALSE),"")</f>
        <v/>
      </c>
      <c r="CW286" s="96">
        <f>IFERROR(VLOOKUP($B286,INDIRECT("'GRD-"&amp;CW$11&amp;"'!B:R"),15,FALSE),"")</f>
        <v/>
      </c>
      <c r="CX286" s="96">
        <f>IFERROR(VLOOKUP($B286,INDIRECT("'GRD-"&amp;CX$11&amp;"'!B:R"),15,FALSE),"")</f>
        <v/>
      </c>
      <c r="CY286" s="96">
        <f>IFERROR(VLOOKUP($B286,INDIRECT("'GRD-"&amp;CY$11&amp;"'!B:R"),15,FALSE),"")</f>
        <v/>
      </c>
      <c r="CZ286" s="96">
        <f>IFERROR(VLOOKUP($B286,INDIRECT("'GRD-"&amp;CZ$11&amp;"'!B:R"),15,FALSE),"")</f>
        <v/>
      </c>
      <c r="DA286" s="96">
        <f>IFERROR(VLOOKUP($B286,INDIRECT("'GRD-"&amp;DA$11&amp;"'!B:R"),15,FALSE),"")</f>
        <v/>
      </c>
      <c r="DB286" s="96">
        <f>IFERROR(VLOOKUP($B286,INDIRECT("'GRD-"&amp;DB$11&amp;"'!B:R"),15,FALSE),"")</f>
        <v/>
      </c>
      <c r="DC286" s="96">
        <f>IFERROR(VLOOKUP($B286,INDIRECT("'GRD-"&amp;DC$11&amp;"'!B:R"),15,FALSE),"")</f>
        <v/>
      </c>
      <c r="DD286" s="96">
        <f>IFERROR(VLOOKUP($B286,INDIRECT("'GRD-"&amp;DD$11&amp;"'!B:R"),15,FALSE),"")</f>
        <v/>
      </c>
      <c r="DE286" s="96">
        <f>IFERROR(VLOOKUP($B286,INDIRECT("'GRD-"&amp;DE$11&amp;"'!B:R"),15,FALSE),"")</f>
        <v/>
      </c>
      <c r="DF286" s="96">
        <f>IFERROR(VLOOKUP($B286,INDIRECT("'GRD-"&amp;DF$11&amp;"'!B:R"),15,FALSE),"")</f>
        <v/>
      </c>
      <c r="DG286" s="96">
        <f>IFERROR(VLOOKUP($B286,INDIRECT("'GRD-"&amp;DG$11&amp;"'!B:R"),15,FALSE),"")</f>
        <v/>
      </c>
      <c r="DH286" s="96">
        <f>IFERROR(VLOOKUP($B286,INDIRECT("'GRD-"&amp;DH$11&amp;"'!B:R"),15,FALSE),"")</f>
        <v/>
      </c>
      <c r="DI286" s="96">
        <f>IFERROR(VLOOKUP($B286,INDIRECT("'GRD-"&amp;DI$11&amp;"'!B:R"),15,FALSE),"")</f>
        <v/>
      </c>
      <c r="DJ286" s="96">
        <f>IFERROR(VLOOKUP($B286,INDIRECT("'GRD-"&amp;DJ$11&amp;"'!B:R"),15,FALSE),"")</f>
        <v/>
      </c>
      <c r="DK286" s="96">
        <f>IFERROR(VLOOKUP($B286,INDIRECT("'GRD-"&amp;DK$11&amp;"'!B:R"),15,FALSE),"")</f>
        <v/>
      </c>
      <c r="DL286" s="96">
        <f>IFERROR(VLOOKUP($B286,INDIRECT("'GRD-"&amp;DL$11&amp;"'!B:R"),15,FALSE),"")</f>
        <v/>
      </c>
      <c r="DM286" s="96">
        <f>IFERROR(VLOOKUP($B286,INDIRECT("'GRD-"&amp;DM$11&amp;"'!B:R"),15,FALSE),"")</f>
        <v/>
      </c>
      <c r="DN286" s="96">
        <f>IFERROR(VLOOKUP($B286,INDIRECT("'GRD-"&amp;DN$11&amp;"'!B:R"),15,FALSE),"")</f>
        <v/>
      </c>
      <c r="DO286" s="96">
        <f>IFERROR(VLOOKUP($B286,INDIRECT("'GRD-"&amp;DO$11&amp;"'!B:R"),15,FALSE),"")</f>
        <v/>
      </c>
      <c r="DP286" s="96">
        <f>IFERROR(VLOOKUP($B286,INDIRECT("'GRD-"&amp;DP$11&amp;"'!B:R"),15,FALSE),"")</f>
        <v/>
      </c>
      <c r="DQ286" s="96">
        <f>IFERROR(VLOOKUP($B286,INDIRECT("'GRD-"&amp;DQ$11&amp;"'!B:R"),15,FALSE),"")</f>
        <v/>
      </c>
      <c r="DR286" s="96">
        <f>IFERROR(VLOOKUP($B286,INDIRECT("'GRD-"&amp;DR$11&amp;"'!B:R"),15,FALSE),"")</f>
        <v/>
      </c>
      <c r="DS286" s="96">
        <f>IFERROR(VLOOKUP($B286,INDIRECT("'GRD-"&amp;DS$11&amp;"'!B:R"),15,FALSE),"")</f>
        <v/>
      </c>
      <c r="DT286" s="96">
        <f>IFERROR(VLOOKUP($B286,INDIRECT("'GRD-"&amp;DT$11&amp;"'!B:R"),15,FALSE),"")</f>
        <v/>
      </c>
      <c r="DU286" s="96">
        <f>IFERROR(VLOOKUP($B286,INDIRECT("'GRD-"&amp;DU$11&amp;"'!B:R"),15,FALSE),"")</f>
        <v/>
      </c>
      <c r="DV286" s="96">
        <f>IFERROR(VLOOKUP($B286,INDIRECT("'GRD-"&amp;DV$11&amp;"'!B:R"),15,FALSE),"")</f>
        <v/>
      </c>
      <c r="DW286" s="96">
        <f>IFERROR(VLOOKUP($B286,INDIRECT("'GRD-"&amp;DW$11&amp;"'!B:R"),15,FALSE),"")</f>
        <v/>
      </c>
      <c r="DX286" s="96">
        <f>IFERROR(VLOOKUP($B286,INDIRECT("'GRD-"&amp;DX$11&amp;"'!B:R"),15,FALSE),"")</f>
        <v/>
      </c>
      <c r="DY286" s="96">
        <f>IFERROR(VLOOKUP($B286,INDIRECT("'GRD-"&amp;DY$11&amp;"'!B:R"),15,FALSE),"")</f>
        <v/>
      </c>
      <c r="DZ286" s="96">
        <f>IFERROR(VLOOKUP($B286,INDIRECT("'GRD-"&amp;DZ$11&amp;"'!B:R"),15,FALSE),"")</f>
        <v/>
      </c>
      <c r="EA286" s="96">
        <f>IFERROR(VLOOKUP($B286,INDIRECT("'GRD-"&amp;EA$11&amp;"'!B:R"),15,FALSE),"")</f>
        <v/>
      </c>
      <c r="EB286" s="96">
        <f>IFERROR(VLOOKUP($B286,INDIRECT("'GRD-"&amp;EB$11&amp;"'!B:R"),15,FALSE),"")</f>
        <v/>
      </c>
      <c r="EC286" s="96">
        <f>IFERROR(VLOOKUP($B286,INDIRECT("'GRD-"&amp;EC$11&amp;"'!B:R"),15,FALSE),"")</f>
        <v/>
      </c>
      <c r="ED286" s="96">
        <f>IFERROR(VLOOKUP($B286,INDIRECT("'GRD-"&amp;ED$11&amp;"'!B:R"),15,FALSE),"")</f>
        <v/>
      </c>
      <c r="EE286" s="96">
        <f>IFERROR(VLOOKUP($B286,INDIRECT("'GRD-"&amp;EE$11&amp;"'!B:R"),15,FALSE),"")</f>
        <v/>
      </c>
      <c r="EF286" s="96">
        <f>IFERROR(VLOOKUP($B286,INDIRECT("'GRD-"&amp;EF$11&amp;"'!B:R"),15,FALSE),"")</f>
        <v/>
      </c>
      <c r="EG286" s="96">
        <f>IFERROR(VLOOKUP($B286,INDIRECT("'GRD-"&amp;EG$11&amp;"'!B:R"),15,FALSE),"")</f>
        <v/>
      </c>
      <c r="EH286" s="96">
        <f>IFERROR(VLOOKUP($B286,INDIRECT("'GRD-"&amp;EH$11&amp;"'!B:R"),15,FALSE),"")</f>
        <v/>
      </c>
      <c r="EI286" s="96">
        <f>IFERROR(VLOOKUP($B286,INDIRECT("'GRD-"&amp;EI$11&amp;"'!B:R"),15,FALSE),"")</f>
        <v/>
      </c>
      <c r="EJ286" s="96">
        <f>IFERROR(VLOOKUP($B286,INDIRECT("'GRD-"&amp;EJ$11&amp;"'!B:R"),15,FALSE),"")</f>
        <v/>
      </c>
      <c r="EK286" s="96">
        <f>IFERROR(VLOOKUP($B286,INDIRECT("'GRD-"&amp;EK$11&amp;"'!B:R"),15,FALSE),"")</f>
        <v/>
      </c>
      <c r="EL286" s="96">
        <f>IFERROR(VLOOKUP($B286,INDIRECT("'GRD-"&amp;EL$11&amp;"'!B:R"),15,FALSE),"")</f>
        <v/>
      </c>
      <c r="EM286" s="96">
        <f>IFERROR(VLOOKUP($B286,INDIRECT("'GRD-"&amp;EM$11&amp;"'!B:R"),15,FALSE),"")</f>
        <v/>
      </c>
      <c r="EN286" s="96">
        <f>IFERROR(VLOOKUP($B286,INDIRECT("'GRD-"&amp;EN$11&amp;"'!B:R"),15,FALSE),"")</f>
        <v/>
      </c>
      <c r="EO286" s="96">
        <f>IFERROR(VLOOKUP($B286,INDIRECT("'GRD-"&amp;EO$11&amp;"'!B:R"),15,FALSE),"")</f>
        <v/>
      </c>
      <c r="EP286" s="96">
        <f>IFERROR(VLOOKUP($B286,INDIRECT("'GRD-"&amp;EP$11&amp;"'!B:R"),15,FALSE),"")</f>
        <v/>
      </c>
      <c r="EQ286" s="96">
        <f>IFERROR(VLOOKUP($B286,INDIRECT("'GRD-"&amp;EQ$11&amp;"'!B:R"),15,FALSE),"")</f>
        <v/>
      </c>
      <c r="ER286" s="96">
        <f>IFERROR(VLOOKUP($B286,INDIRECT("'GRD-"&amp;ER$11&amp;"'!B:R"),15,FALSE),"")</f>
        <v/>
      </c>
      <c r="ES286" s="96">
        <f>IFERROR(VLOOKUP($B286,INDIRECT("'GRD-"&amp;ES$11&amp;"'!B:R"),15,FALSE),"")</f>
        <v/>
      </c>
      <c r="ET286" s="96">
        <f>IFERROR(VLOOKUP($B286,INDIRECT("'GRD-"&amp;ET$11&amp;"'!B:R"),15,FALSE),"")</f>
        <v/>
      </c>
      <c r="EU286" s="96">
        <f>IFERROR(VLOOKUP($B286,INDIRECT("'GRD-"&amp;EU$11&amp;"'!B:R"),15,FALSE),"")</f>
        <v/>
      </c>
      <c r="EV286" s="96">
        <f>IFERROR(VLOOKUP($B286,INDIRECT("'GRD-"&amp;EV$11&amp;"'!B:R"),15,FALSE),"")</f>
        <v/>
      </c>
      <c r="EW286" s="96">
        <f>IFERROR(VLOOKUP($B286,INDIRECT("'GRD-"&amp;EW$11&amp;"'!B:R"),15,FALSE),"")</f>
        <v/>
      </c>
      <c r="EX286" s="96">
        <f>IFERROR(VLOOKUP($B286,INDIRECT("'GRD-"&amp;EX$11&amp;"'!B:R"),15,FALSE),"")</f>
        <v/>
      </c>
      <c r="EY286" s="96">
        <f>IFERROR(VLOOKUP($B286,INDIRECT("'GRD-"&amp;EY$11&amp;"'!B:R"),15,FALSE),"")</f>
        <v/>
      </c>
      <c r="EZ286" s="96">
        <f>IFERROR(VLOOKUP($B286,INDIRECT("'GRD-"&amp;EZ$11&amp;"'!B:R"),15,FALSE),"")</f>
        <v/>
      </c>
      <c r="FA286" s="96">
        <f>IFERROR(VLOOKUP($B286,INDIRECT("'GRD-"&amp;FA$11&amp;"'!B:R"),15,FALSE),"")</f>
        <v/>
      </c>
      <c r="FB286" s="96">
        <f>IFERROR(VLOOKUP($B286,INDIRECT("'GRD-"&amp;FB$11&amp;"'!B:R"),15,FALSE),"")</f>
        <v/>
      </c>
      <c r="FC286" s="96">
        <f>IFERROR(VLOOKUP($B286,INDIRECT("'GRD-"&amp;FC$11&amp;"'!B:R"),15,FALSE),"")</f>
        <v/>
      </c>
      <c r="FD286" s="96">
        <f>IFERROR(VLOOKUP($B286,INDIRECT("'GRD-"&amp;FD$11&amp;"'!B:R"),15,FALSE),"")</f>
        <v/>
      </c>
      <c r="FE286" s="96">
        <f>IFERROR(VLOOKUP($B286,INDIRECT("'GRD-"&amp;FE$11&amp;"'!B:R"),15,FALSE),"")</f>
        <v/>
      </c>
      <c r="FF286" s="96">
        <f>IFERROR(VLOOKUP($B286,INDIRECT("'GRD-"&amp;FF$11&amp;"'!B:R"),15,FALSE),"")</f>
        <v/>
      </c>
      <c r="FG286" s="96">
        <f>IFERROR(VLOOKUP($B286,INDIRECT("'GRD-"&amp;FG$11&amp;"'!B:R"),15,FALSE),"")</f>
        <v/>
      </c>
      <c r="FH286" s="96">
        <f>IFERROR(VLOOKUP($B286,INDIRECT("'GRD-"&amp;FH$11&amp;"'!B:R"),15,FALSE),"")</f>
        <v/>
      </c>
      <c r="FI286" s="96">
        <f>IFERROR(VLOOKUP($B286,INDIRECT("'GRD-"&amp;FI$11&amp;"'!B:R"),15,FALSE),"")</f>
        <v/>
      </c>
      <c r="FJ286" s="96">
        <f>IFERROR(VLOOKUP($B286,INDIRECT("'GRD-"&amp;FJ$11&amp;"'!B:R"),15,FALSE),"")</f>
        <v/>
      </c>
      <c r="FK286" s="96">
        <f>IFERROR(VLOOKUP($B286,INDIRECT("'GRD-"&amp;FK$11&amp;"'!B:R"),15,FALSE),"")</f>
        <v/>
      </c>
      <c r="FL286" s="96">
        <f>IFERROR(VLOOKUP($B286,INDIRECT("'GRD-"&amp;FL$11&amp;"'!B:R"),15,FALSE),"")</f>
        <v/>
      </c>
      <c r="FM286" s="96">
        <f>IFERROR(VLOOKUP($B286,INDIRECT("'GRD-"&amp;FM$11&amp;"'!B:R"),15,FALSE),"")</f>
        <v/>
      </c>
      <c r="FN286" s="96">
        <f>IFERROR(VLOOKUP($B286,INDIRECT("'GRD-"&amp;FN$11&amp;"'!B:R"),15,FALSE),"")</f>
        <v/>
      </c>
      <c r="FO286" s="96">
        <f>IFERROR(VLOOKUP($B286,INDIRECT("'GRD-"&amp;FO$11&amp;"'!B:R"),15,FALSE),"")</f>
        <v/>
      </c>
      <c r="FP286" s="96">
        <f>IFERROR(VLOOKUP($B286,INDIRECT("'GRD-"&amp;FP$11&amp;"'!B:R"),15,FALSE),"")</f>
        <v/>
      </c>
      <c r="FQ286" s="96">
        <f>IFERROR(VLOOKUP($B286,INDIRECT("'GRD-"&amp;FQ$11&amp;"'!B:R"),15,FALSE),"")</f>
        <v/>
      </c>
      <c r="FR286" s="96">
        <f>IFERROR(VLOOKUP($B286,INDIRECT("'GRD-"&amp;FR$11&amp;"'!B:R"),15,FALSE),"")</f>
        <v/>
      </c>
      <c r="FS286" s="96">
        <f>IFERROR(VLOOKUP($B286,INDIRECT("'GRD-"&amp;FS$11&amp;"'!B:R"),15,FALSE),"")</f>
        <v/>
      </c>
      <c r="FT286" s="96">
        <f>IFERROR(VLOOKUP($B286,INDIRECT("'GRD-"&amp;FT$11&amp;"'!B:R"),15,FALSE),"")</f>
        <v/>
      </c>
      <c r="FU286" s="96">
        <f>IFERROR(VLOOKUP($B286,INDIRECT("'GRD-"&amp;FU$11&amp;"'!B:R"),15,FALSE),"")</f>
        <v/>
      </c>
      <c r="FV286" s="96">
        <f>IFERROR(VLOOKUP($B286,INDIRECT("'GRD-"&amp;FV$11&amp;"'!B:R"),15,FALSE),"")</f>
        <v/>
      </c>
    </row>
    <row r="287">
      <c r="B287" s="85" t="n"/>
      <c r="C287" s="93" t="n"/>
      <c r="D287" s="73">
        <f>IF(K287="","",MAX($CA287:$FV287))</f>
        <v/>
      </c>
      <c r="E287" s="74">
        <f t="array" ref="E287">IF($K287="","",OFFSET($A$1,ROW($B287)-1,11+$D287*4,))</f>
        <v/>
      </c>
      <c r="F287" s="74">
        <f t="array" ref="F287">IF($K287="","",OFFSET($A$1,ROW($B287)-1,12+$D287*4,))</f>
        <v/>
      </c>
      <c r="G287" s="118">
        <f t="array" ref="G287">IF($K287="","",OFFSET($A$1,ROW($B287)-1,13+$D287*4,))</f>
        <v/>
      </c>
      <c r="H287" s="81" t="n"/>
      <c r="I287" s="82" t="n"/>
      <c r="J287" s="75">
        <f>IF(I287="A4",H287/8,IF(I287="A3",H287/4,IF(I287="A2",H287/2,IF(I287="A1",H287/1,IF(I287="A0",H287*2,"")))))</f>
        <v/>
      </c>
      <c r="K287" s="68">
        <f t="array" ref="K287">IFERROR(OFFSET($BZ$11,ROW($B287)-11,MATCH(K$10,$CA287:$FV287,0),),"")</f>
        <v/>
      </c>
      <c r="L287" s="85">
        <f>IF(K287="","",IF(VLOOKUP($B287,INDIRECT("'GRD-"&amp;M287&amp;"'!$B:$R"),16,FALSE)="","",VLOOKUP($B287,INDIRECT("'GRD-"&amp;M287&amp;"'!$B:$R"),16,FALSE)))</f>
        <v/>
      </c>
      <c r="M287" s="130">
        <f t="array" ref="M287">IF(K287="","",IFERROR(OFFSET($BZ$11,0,MATCH($K287,$CA287:$FV287,0),),""))</f>
        <v/>
      </c>
      <c r="N287" s="119">
        <f t="array" ref="N287">IF(K287="","",INDIRECT("'GRD-"&amp;M287&amp;"'!$L$7"))</f>
        <v/>
      </c>
      <c r="O287" s="76">
        <f t="array" ref="O287">IFERROR(OFFSET($BZ$11,ROW($B287)-11,MATCH(O$10,$CA287:$FV287,0),),"")</f>
        <v/>
      </c>
      <c r="P287" s="76">
        <f>IF(O287="","",IF(VLOOKUP($B287,INDIRECT("'GRD-"&amp;Q287&amp;"'!$B:$R"),16,FALSE)="","",VLOOKUP($B287,INDIRECT("'GRD-"&amp;Q287&amp;"'!$B:$R"),16,FALSE)))</f>
        <v/>
      </c>
      <c r="Q287" s="132">
        <f t="array" ref="Q287">IF(O287="","",IFERROR(OFFSET($BZ$11,0,MATCH($O287,$CA287:$FV287,0),),""))</f>
        <v/>
      </c>
      <c r="R287" s="121">
        <f t="array" ref="R287">IF(O287="","",INDIRECT("'GRD-"&amp;Q287&amp;"'!$L$7"))</f>
        <v/>
      </c>
      <c r="S287" s="83">
        <f t="array" ref="S287">IFERROR(OFFSET($BZ$11,ROW($B287)-11,MATCH(S$10,$CA287:$FV287,0),),"")</f>
        <v/>
      </c>
      <c r="T287" s="83">
        <f>IF(S287="","",IF(VLOOKUP($B287,INDIRECT("'GRD-"&amp;U287&amp;"'!$B:$R"),16,FALSE)="","",VLOOKUP($B287,INDIRECT("'GRD-"&amp;U287&amp;"'!$B:$R"),16,FALSE)))</f>
        <v/>
      </c>
      <c r="U287" s="128">
        <f t="array" ref="U287">IF(S287="","",IFERROR(OFFSET($BZ$11,0,MATCH($S287,$CA287:$FV287,0),),""))</f>
        <v/>
      </c>
      <c r="V287" s="133">
        <f t="array" ref="V287">IF(S287="","",INDIRECT("'GRD-"&amp;U287&amp;"'!$L$7"))</f>
        <v/>
      </c>
      <c r="W287" s="84">
        <f t="array" ref="W287">IFERROR(OFFSET($BZ$11,ROW($B287)-11,MATCH(W$10,$CA287:$FV287,0),),"")</f>
        <v/>
      </c>
      <c r="X287" s="84">
        <f>IF(W287="","",IF(VLOOKUP($B287,INDIRECT("'GRD-"&amp;Y287&amp;"'!$B:$R"),16,FALSE)="","",VLOOKUP($B287,INDIRECT("'GRD-"&amp;Y287&amp;"'!$B:$R"),16,FALSE)))</f>
        <v/>
      </c>
      <c r="Y287" s="129">
        <f t="array" ref="Y287">IF(W287="","",IFERROR(OFFSET($BZ$11,0,MATCH($W287,$CA287:$FV287,0),),""))</f>
        <v/>
      </c>
      <c r="Z287" s="134">
        <f t="array" ref="Z287">IF(W287="","",INDIRECT("'GRD-"&amp;Y287&amp;"'!$L$7"))</f>
        <v/>
      </c>
      <c r="AA287" s="85">
        <f t="array" ref="AA287">IFERROR(OFFSET($BZ$11,ROW($B287)-11,MATCH(AA$10,$CA287:$FV287,0),),"")</f>
        <v/>
      </c>
      <c r="AB287" s="85">
        <f>IF(AA287="","",IF(VLOOKUP($B287,INDIRECT("'GRD-"&amp;AC287&amp;"'!$B:$R"),16,FALSE)="","",VLOOKUP($B287,INDIRECT("'GRD-"&amp;AC287&amp;"'!$B:$R"),16,FALSE)))</f>
        <v/>
      </c>
      <c r="AC287" s="130">
        <f t="array" ref="AC287">IF(AA287="","",IFERROR(OFFSET($BZ$11,0,MATCH($AA287,$CA287:$FV287,0),),""))</f>
        <v/>
      </c>
      <c r="AD287" s="131">
        <f t="array" ref="AD287">IF(AA287="","",INDIRECT("'GRD-"&amp;AC287&amp;"'!$L$7"))</f>
        <v/>
      </c>
      <c r="AE287" s="76">
        <f t="array" ref="AE287">IFERROR(OFFSET($BZ$11,ROW($B287)-11,MATCH(AE$10,$CA287:$FV287,0),),"")</f>
        <v/>
      </c>
      <c r="AF287" s="76">
        <f>IF(AE287="","",IF(VLOOKUP($B287,INDIRECT("'GRD-"&amp;AG287&amp;"'!$B:$R"),16,FALSE)="","",VLOOKUP($B287,INDIRECT("'GRD-"&amp;AG287&amp;"'!$B:$R"),16,FALSE)))</f>
        <v/>
      </c>
      <c r="AG287" s="132">
        <f t="array" ref="AG287">IF(AE287="","",IFERROR(OFFSET($BZ$11,0,MATCH($AE287,$CA287:$FV287,0),),""))</f>
        <v/>
      </c>
      <c r="AH287" s="121">
        <f t="array" ref="AH287">IF(AE287="","",INDIRECT("'GRD-"&amp;AG287&amp;"'!$L$7"))</f>
        <v/>
      </c>
      <c r="AI287" s="83">
        <f t="array" ref="AI287">IFERROR(OFFSET($BZ$11,ROW($B287)-11,MATCH(AI$10,$CA287:$FV287,0),),"")</f>
        <v/>
      </c>
      <c r="AJ287" s="83">
        <f>IF(AI287="","",IF(VLOOKUP($B287,INDIRECT("'GRD-"&amp;AK287&amp;"'!$B:$R"),16,FALSE)="","",VLOOKUP($B287,INDIRECT("'GRD-"&amp;AK287&amp;"'!$B:$R"),16,FALSE)))</f>
        <v/>
      </c>
      <c r="AK287" s="128">
        <f t="array" ref="AK287">IF(AI287="","",IFERROR(OFFSET($BZ$11,0,MATCH($AI287,$CA287:$FV287,0),),""))</f>
        <v/>
      </c>
      <c r="AL287" s="133">
        <f t="array" ref="AL287">IF(AI287="","",INDIRECT("'GRD-"&amp;AK287&amp;"'!$L$7"))</f>
        <v/>
      </c>
      <c r="AM287" s="84">
        <f t="array" ref="AM287">IFERROR(OFFSET($BZ$11,ROW($B287)-11,MATCH(AM$10,$CA287:$FV287,0),),"")</f>
        <v/>
      </c>
      <c r="AN287" s="84">
        <f>IF(AM287="","",IF(VLOOKUP($B287,INDIRECT("'GRD-"&amp;AO287&amp;"'!$B:$R"),16,FALSE)="","",VLOOKUP($B287,INDIRECT("'GRD-"&amp;AO287&amp;"'!$B:$R"),16,FALSE)))</f>
        <v/>
      </c>
      <c r="AO287" s="129">
        <f t="array" ref="AO287">IF(AM287="","",IFERROR(OFFSET($BZ$11,0,MATCH($AM287,$CA287:$FV287,0),),""))</f>
        <v/>
      </c>
      <c r="AP287" s="134">
        <f t="array" ref="AP287">IF(AM287="","",INDIRECT("'GRD-"&amp;AO287&amp;"'!$L$7"))</f>
        <v/>
      </c>
      <c r="AQ287" s="85">
        <f t="array" ref="AQ287">IFERROR(OFFSET($BZ$11,ROW($B287)-11,MATCH(AQ$10,$CA287:$FV287,0),),"")</f>
        <v/>
      </c>
      <c r="AR287" s="85">
        <f>IF(AQ287="","",IF(VLOOKUP($B287,INDIRECT("'GRD-"&amp;AS287&amp;"'!$B:$R"),16,FALSE)="","",VLOOKUP($B287,INDIRECT("'GRD-"&amp;AS287&amp;"'!$B:$R"),16,FALSE)))</f>
        <v/>
      </c>
      <c r="AS287" s="130">
        <f t="array" ref="AS287">IF(AQ287="","",IFERROR(OFFSET($BZ$11,0,MATCH($AQ287,$CA287:$FV287,0),),""))</f>
        <v/>
      </c>
      <c r="AT287" s="131">
        <f t="array" ref="AT287">IF(AQ287="","",INDIRECT("'GRD-"&amp;AS287&amp;"'!$L$7"))</f>
        <v/>
      </c>
      <c r="AU287" s="76">
        <f t="array" ref="AU287">IFERROR(OFFSET($BZ$11,ROW($B287)-11,MATCH(AU$10,$CA287:$FV287,0),),"")</f>
        <v/>
      </c>
      <c r="AV287" s="76">
        <f>IF(AU287="","",IF(VLOOKUP($B287,INDIRECT("'GRD-"&amp;AW287&amp;"'!$B:$R"),16,FALSE)="","",VLOOKUP($B287,INDIRECT("'GRD-"&amp;AW287&amp;"'!$B:$R"),16,FALSE)))</f>
        <v/>
      </c>
      <c r="AW287" s="132">
        <f t="array" ref="AW287">IF(AU287="","",IFERROR(OFFSET($BZ$11,0,MATCH($AU287,$CA287:$FV287,0),),""))</f>
        <v/>
      </c>
      <c r="AX287" s="121">
        <f t="array" ref="AX287">IF(AU287="","",INDIRECT("'GRD-"&amp;AW287&amp;"'!$L$7"))</f>
        <v/>
      </c>
      <c r="AY287" s="83">
        <f t="array" ref="AY287">IFERROR(OFFSET($BZ$11,ROW($B287)-11,MATCH(AY$10,$CA287:$FV287,0),),"")</f>
        <v/>
      </c>
      <c r="AZ287" s="83">
        <f>IF(AY287="","",IF(VLOOKUP($B287,INDIRECT("'GRD-"&amp;BA287&amp;"'!$B:$R"),16,FALSE)="","",VLOOKUP($B287,INDIRECT("'GRD-"&amp;BA287&amp;"'!$B:$R"),16,FALSE)))</f>
        <v/>
      </c>
      <c r="BA287" s="128">
        <f t="array" ref="BA287">IF(AY287="","",IFERROR(OFFSET($BZ$11,0,MATCH($AY287,$CA287:$FV287,0),),""))</f>
        <v/>
      </c>
      <c r="BB287" s="133">
        <f t="array" ref="BB287">IF(AY287="","",INDIRECT("'GRD-"&amp;BA287&amp;"'!$L$7"))</f>
        <v/>
      </c>
      <c r="BC287" s="84">
        <f t="array" ref="BC287">IFERROR(OFFSET($BZ$11,ROW($B287)-11,MATCH(BC$10,$CA287:$FV287,0),),"")</f>
        <v/>
      </c>
      <c r="BD287" s="84">
        <f>IF(BC287="","",IF(VLOOKUP($B287,INDIRECT("'GRD-"&amp;BE287&amp;"'!$B:$R"),16,FALSE)="","",VLOOKUP($B287,INDIRECT("'GRD-"&amp;BE287&amp;"'!$B:$R"),16,FALSE)))</f>
        <v/>
      </c>
      <c r="BE287" s="129">
        <f t="array" ref="BE287">IF(BC287="","",IFERROR(OFFSET($BZ$11,0,MATCH($BC287,$CA287:$FV287,0),),""))</f>
        <v/>
      </c>
      <c r="BF287" s="134">
        <f t="array" ref="BF287">IF(BC287="","",INDIRECT("'GRD-"&amp;BE287&amp;"'!$L$7"))</f>
        <v/>
      </c>
      <c r="CA287" s="96">
        <f>IFERROR(VLOOKUP($B287,INDIRECT("'GRD-"&amp;CA$11&amp;"'!B:R"),15,FALSE),"")</f>
        <v/>
      </c>
      <c r="CB287" s="96">
        <f>IFERROR(VLOOKUP($B287,INDIRECT("'GRD-"&amp;CB$11&amp;"'!B:R"),15,FALSE),"")</f>
        <v/>
      </c>
      <c r="CC287" s="96">
        <f>IFERROR(VLOOKUP($B287,INDIRECT("'GRD-"&amp;CC$11&amp;"'!B:R"),15,FALSE),"")</f>
        <v/>
      </c>
      <c r="CD287" s="96">
        <f>IFERROR(VLOOKUP($B287,INDIRECT("'GRD-"&amp;CD$11&amp;"'!B:R"),15,FALSE),"")</f>
        <v/>
      </c>
      <c r="CE287" s="96">
        <f>IFERROR(VLOOKUP($B287,INDIRECT("'GRD-"&amp;CE$11&amp;"'!B:R"),15,FALSE),"")</f>
        <v/>
      </c>
      <c r="CF287" s="96">
        <f>IFERROR(VLOOKUP($B287,INDIRECT("'GRD-"&amp;CF$11&amp;"'!B:R"),15,FALSE),"")</f>
        <v/>
      </c>
      <c r="CG287" s="96">
        <f>IFERROR(VLOOKUP($B287,INDIRECT("'GRD-"&amp;CG$11&amp;"'!B:R"),15,FALSE),"")</f>
        <v/>
      </c>
      <c r="CH287" s="96">
        <f>IFERROR(VLOOKUP($B287,INDIRECT("'GRD-"&amp;CH$11&amp;"'!B:R"),15,FALSE),"")</f>
        <v/>
      </c>
      <c r="CI287" s="96">
        <f>IFERROR(VLOOKUP($B287,INDIRECT("'GRD-"&amp;CI$11&amp;"'!B:R"),15,FALSE),"")</f>
        <v/>
      </c>
      <c r="CJ287" s="96">
        <f>IFERROR(VLOOKUP($B287,INDIRECT("'GRD-"&amp;CJ$11&amp;"'!B:R"),15,FALSE),"")</f>
        <v/>
      </c>
      <c r="CK287" s="96">
        <f>IFERROR(VLOOKUP($B287,INDIRECT("'GRD-"&amp;CK$11&amp;"'!B:R"),15,FALSE),"")</f>
        <v/>
      </c>
      <c r="CL287" s="96">
        <f>IFERROR(VLOOKUP($B287,INDIRECT("'GRD-"&amp;CL$11&amp;"'!B:R"),15,FALSE),"")</f>
        <v/>
      </c>
      <c r="CM287" s="96">
        <f>IFERROR(VLOOKUP($B287,INDIRECT("'GRD-"&amp;CM$11&amp;"'!B:R"),15,FALSE),"")</f>
        <v/>
      </c>
      <c r="CN287" s="96">
        <f>IFERROR(VLOOKUP($B287,INDIRECT("'GRD-"&amp;CN$11&amp;"'!B:R"),15,FALSE),"")</f>
        <v/>
      </c>
      <c r="CO287" s="96">
        <f>IFERROR(VLOOKUP($B287,INDIRECT("'GRD-"&amp;CO$11&amp;"'!B:R"),15,FALSE),"")</f>
        <v/>
      </c>
      <c r="CP287" s="96">
        <f>IFERROR(VLOOKUP($B287,INDIRECT("'GRD-"&amp;CP$11&amp;"'!B:R"),15,FALSE),"")</f>
        <v/>
      </c>
      <c r="CQ287" s="96">
        <f>IFERROR(VLOOKUP($B287,INDIRECT("'GRD-"&amp;CQ$11&amp;"'!B:R"),15,FALSE),"")</f>
        <v/>
      </c>
      <c r="CR287" s="96">
        <f>IFERROR(VLOOKUP($B287,INDIRECT("'GRD-"&amp;CR$11&amp;"'!B:R"),15,FALSE),"")</f>
        <v/>
      </c>
      <c r="CS287" s="96">
        <f>IFERROR(VLOOKUP($B287,INDIRECT("'GRD-"&amp;CS$11&amp;"'!B:R"),15,FALSE),"")</f>
        <v/>
      </c>
      <c r="CT287" s="96">
        <f>IFERROR(VLOOKUP($B287,INDIRECT("'GRD-"&amp;CT$11&amp;"'!B:R"),15,FALSE),"")</f>
        <v/>
      </c>
      <c r="CU287" s="96">
        <f>IFERROR(VLOOKUP($B287,INDIRECT("'GRD-"&amp;CU$11&amp;"'!B:R"),15,FALSE),"")</f>
        <v/>
      </c>
      <c r="CV287" s="96">
        <f>IFERROR(VLOOKUP($B287,INDIRECT("'GRD-"&amp;CV$11&amp;"'!B:R"),15,FALSE),"")</f>
        <v/>
      </c>
      <c r="CW287" s="96">
        <f>IFERROR(VLOOKUP($B287,INDIRECT("'GRD-"&amp;CW$11&amp;"'!B:R"),15,FALSE),"")</f>
        <v/>
      </c>
      <c r="CX287" s="96">
        <f>IFERROR(VLOOKUP($B287,INDIRECT("'GRD-"&amp;CX$11&amp;"'!B:R"),15,FALSE),"")</f>
        <v/>
      </c>
      <c r="CY287" s="96">
        <f>IFERROR(VLOOKUP($B287,INDIRECT("'GRD-"&amp;CY$11&amp;"'!B:R"),15,FALSE),"")</f>
        <v/>
      </c>
      <c r="CZ287" s="96">
        <f>IFERROR(VLOOKUP($B287,INDIRECT("'GRD-"&amp;CZ$11&amp;"'!B:R"),15,FALSE),"")</f>
        <v/>
      </c>
      <c r="DA287" s="96">
        <f>IFERROR(VLOOKUP($B287,INDIRECT("'GRD-"&amp;DA$11&amp;"'!B:R"),15,FALSE),"")</f>
        <v/>
      </c>
      <c r="DB287" s="96">
        <f>IFERROR(VLOOKUP($B287,INDIRECT("'GRD-"&amp;DB$11&amp;"'!B:R"),15,FALSE),"")</f>
        <v/>
      </c>
      <c r="DC287" s="96">
        <f>IFERROR(VLOOKUP($B287,INDIRECT("'GRD-"&amp;DC$11&amp;"'!B:R"),15,FALSE),"")</f>
        <v/>
      </c>
      <c r="DD287" s="96">
        <f>IFERROR(VLOOKUP($B287,INDIRECT("'GRD-"&amp;DD$11&amp;"'!B:R"),15,FALSE),"")</f>
        <v/>
      </c>
      <c r="DE287" s="96">
        <f>IFERROR(VLOOKUP($B287,INDIRECT("'GRD-"&amp;DE$11&amp;"'!B:R"),15,FALSE),"")</f>
        <v/>
      </c>
      <c r="DF287" s="96">
        <f>IFERROR(VLOOKUP($B287,INDIRECT("'GRD-"&amp;DF$11&amp;"'!B:R"),15,FALSE),"")</f>
        <v/>
      </c>
      <c r="DG287" s="96">
        <f>IFERROR(VLOOKUP($B287,INDIRECT("'GRD-"&amp;DG$11&amp;"'!B:R"),15,FALSE),"")</f>
        <v/>
      </c>
      <c r="DH287" s="96">
        <f>IFERROR(VLOOKUP($B287,INDIRECT("'GRD-"&amp;DH$11&amp;"'!B:R"),15,FALSE),"")</f>
        <v/>
      </c>
      <c r="DI287" s="96">
        <f>IFERROR(VLOOKUP($B287,INDIRECT("'GRD-"&amp;DI$11&amp;"'!B:R"),15,FALSE),"")</f>
        <v/>
      </c>
      <c r="DJ287" s="96">
        <f>IFERROR(VLOOKUP($B287,INDIRECT("'GRD-"&amp;DJ$11&amp;"'!B:R"),15,FALSE),"")</f>
        <v/>
      </c>
      <c r="DK287" s="96">
        <f>IFERROR(VLOOKUP($B287,INDIRECT("'GRD-"&amp;DK$11&amp;"'!B:R"),15,FALSE),"")</f>
        <v/>
      </c>
      <c r="DL287" s="96">
        <f>IFERROR(VLOOKUP($B287,INDIRECT("'GRD-"&amp;DL$11&amp;"'!B:R"),15,FALSE),"")</f>
        <v/>
      </c>
      <c r="DM287" s="96">
        <f>IFERROR(VLOOKUP($B287,INDIRECT("'GRD-"&amp;DM$11&amp;"'!B:R"),15,FALSE),"")</f>
        <v/>
      </c>
      <c r="DN287" s="96">
        <f>IFERROR(VLOOKUP($B287,INDIRECT("'GRD-"&amp;DN$11&amp;"'!B:R"),15,FALSE),"")</f>
        <v/>
      </c>
      <c r="DO287" s="96">
        <f>IFERROR(VLOOKUP($B287,INDIRECT("'GRD-"&amp;DO$11&amp;"'!B:R"),15,FALSE),"")</f>
        <v/>
      </c>
      <c r="DP287" s="96">
        <f>IFERROR(VLOOKUP($B287,INDIRECT("'GRD-"&amp;DP$11&amp;"'!B:R"),15,FALSE),"")</f>
        <v/>
      </c>
      <c r="DQ287" s="96">
        <f>IFERROR(VLOOKUP($B287,INDIRECT("'GRD-"&amp;DQ$11&amp;"'!B:R"),15,FALSE),"")</f>
        <v/>
      </c>
      <c r="DR287" s="96">
        <f>IFERROR(VLOOKUP($B287,INDIRECT("'GRD-"&amp;DR$11&amp;"'!B:R"),15,FALSE),"")</f>
        <v/>
      </c>
      <c r="DS287" s="96">
        <f>IFERROR(VLOOKUP($B287,INDIRECT("'GRD-"&amp;DS$11&amp;"'!B:R"),15,FALSE),"")</f>
        <v/>
      </c>
      <c r="DT287" s="96">
        <f>IFERROR(VLOOKUP($B287,INDIRECT("'GRD-"&amp;DT$11&amp;"'!B:R"),15,FALSE),"")</f>
        <v/>
      </c>
      <c r="DU287" s="96">
        <f>IFERROR(VLOOKUP($B287,INDIRECT("'GRD-"&amp;DU$11&amp;"'!B:R"),15,FALSE),"")</f>
        <v/>
      </c>
      <c r="DV287" s="96">
        <f>IFERROR(VLOOKUP($B287,INDIRECT("'GRD-"&amp;DV$11&amp;"'!B:R"),15,FALSE),"")</f>
        <v/>
      </c>
      <c r="DW287" s="96">
        <f>IFERROR(VLOOKUP($B287,INDIRECT("'GRD-"&amp;DW$11&amp;"'!B:R"),15,FALSE),"")</f>
        <v/>
      </c>
      <c r="DX287" s="96">
        <f>IFERROR(VLOOKUP($B287,INDIRECT("'GRD-"&amp;DX$11&amp;"'!B:R"),15,FALSE),"")</f>
        <v/>
      </c>
      <c r="DY287" s="96">
        <f>IFERROR(VLOOKUP($B287,INDIRECT("'GRD-"&amp;DY$11&amp;"'!B:R"),15,FALSE),"")</f>
        <v/>
      </c>
      <c r="DZ287" s="96">
        <f>IFERROR(VLOOKUP($B287,INDIRECT("'GRD-"&amp;DZ$11&amp;"'!B:R"),15,FALSE),"")</f>
        <v/>
      </c>
      <c r="EA287" s="96">
        <f>IFERROR(VLOOKUP($B287,INDIRECT("'GRD-"&amp;EA$11&amp;"'!B:R"),15,FALSE),"")</f>
        <v/>
      </c>
      <c r="EB287" s="96">
        <f>IFERROR(VLOOKUP($B287,INDIRECT("'GRD-"&amp;EB$11&amp;"'!B:R"),15,FALSE),"")</f>
        <v/>
      </c>
      <c r="EC287" s="96">
        <f>IFERROR(VLOOKUP($B287,INDIRECT("'GRD-"&amp;EC$11&amp;"'!B:R"),15,FALSE),"")</f>
        <v/>
      </c>
      <c r="ED287" s="96">
        <f>IFERROR(VLOOKUP($B287,INDIRECT("'GRD-"&amp;ED$11&amp;"'!B:R"),15,FALSE),"")</f>
        <v/>
      </c>
      <c r="EE287" s="96">
        <f>IFERROR(VLOOKUP($B287,INDIRECT("'GRD-"&amp;EE$11&amp;"'!B:R"),15,FALSE),"")</f>
        <v/>
      </c>
      <c r="EF287" s="96">
        <f>IFERROR(VLOOKUP($B287,INDIRECT("'GRD-"&amp;EF$11&amp;"'!B:R"),15,FALSE),"")</f>
        <v/>
      </c>
      <c r="EG287" s="96">
        <f>IFERROR(VLOOKUP($B287,INDIRECT("'GRD-"&amp;EG$11&amp;"'!B:R"),15,FALSE),"")</f>
        <v/>
      </c>
      <c r="EH287" s="96">
        <f>IFERROR(VLOOKUP($B287,INDIRECT("'GRD-"&amp;EH$11&amp;"'!B:R"),15,FALSE),"")</f>
        <v/>
      </c>
      <c r="EI287" s="96">
        <f>IFERROR(VLOOKUP($B287,INDIRECT("'GRD-"&amp;EI$11&amp;"'!B:R"),15,FALSE),"")</f>
        <v/>
      </c>
      <c r="EJ287" s="96">
        <f>IFERROR(VLOOKUP($B287,INDIRECT("'GRD-"&amp;EJ$11&amp;"'!B:R"),15,FALSE),"")</f>
        <v/>
      </c>
      <c r="EK287" s="96">
        <f>IFERROR(VLOOKUP($B287,INDIRECT("'GRD-"&amp;EK$11&amp;"'!B:R"),15,FALSE),"")</f>
        <v/>
      </c>
      <c r="EL287" s="96">
        <f>IFERROR(VLOOKUP($B287,INDIRECT("'GRD-"&amp;EL$11&amp;"'!B:R"),15,FALSE),"")</f>
        <v/>
      </c>
      <c r="EM287" s="96">
        <f>IFERROR(VLOOKUP($B287,INDIRECT("'GRD-"&amp;EM$11&amp;"'!B:R"),15,FALSE),"")</f>
        <v/>
      </c>
      <c r="EN287" s="96">
        <f>IFERROR(VLOOKUP($B287,INDIRECT("'GRD-"&amp;EN$11&amp;"'!B:R"),15,FALSE),"")</f>
        <v/>
      </c>
      <c r="EO287" s="96">
        <f>IFERROR(VLOOKUP($B287,INDIRECT("'GRD-"&amp;EO$11&amp;"'!B:R"),15,FALSE),"")</f>
        <v/>
      </c>
      <c r="EP287" s="96">
        <f>IFERROR(VLOOKUP($B287,INDIRECT("'GRD-"&amp;EP$11&amp;"'!B:R"),15,FALSE),"")</f>
        <v/>
      </c>
      <c r="EQ287" s="96">
        <f>IFERROR(VLOOKUP($B287,INDIRECT("'GRD-"&amp;EQ$11&amp;"'!B:R"),15,FALSE),"")</f>
        <v/>
      </c>
      <c r="ER287" s="96">
        <f>IFERROR(VLOOKUP($B287,INDIRECT("'GRD-"&amp;ER$11&amp;"'!B:R"),15,FALSE),"")</f>
        <v/>
      </c>
      <c r="ES287" s="96">
        <f>IFERROR(VLOOKUP($B287,INDIRECT("'GRD-"&amp;ES$11&amp;"'!B:R"),15,FALSE),"")</f>
        <v/>
      </c>
      <c r="ET287" s="96">
        <f>IFERROR(VLOOKUP($B287,INDIRECT("'GRD-"&amp;ET$11&amp;"'!B:R"),15,FALSE),"")</f>
        <v/>
      </c>
      <c r="EU287" s="96">
        <f>IFERROR(VLOOKUP($B287,INDIRECT("'GRD-"&amp;EU$11&amp;"'!B:R"),15,FALSE),"")</f>
        <v/>
      </c>
      <c r="EV287" s="96">
        <f>IFERROR(VLOOKUP($B287,INDIRECT("'GRD-"&amp;EV$11&amp;"'!B:R"),15,FALSE),"")</f>
        <v/>
      </c>
      <c r="EW287" s="96">
        <f>IFERROR(VLOOKUP($B287,INDIRECT("'GRD-"&amp;EW$11&amp;"'!B:R"),15,FALSE),"")</f>
        <v/>
      </c>
      <c r="EX287" s="96">
        <f>IFERROR(VLOOKUP($B287,INDIRECT("'GRD-"&amp;EX$11&amp;"'!B:R"),15,FALSE),"")</f>
        <v/>
      </c>
      <c r="EY287" s="96">
        <f>IFERROR(VLOOKUP($B287,INDIRECT("'GRD-"&amp;EY$11&amp;"'!B:R"),15,FALSE),"")</f>
        <v/>
      </c>
      <c r="EZ287" s="96">
        <f>IFERROR(VLOOKUP($B287,INDIRECT("'GRD-"&amp;EZ$11&amp;"'!B:R"),15,FALSE),"")</f>
        <v/>
      </c>
      <c r="FA287" s="96">
        <f>IFERROR(VLOOKUP($B287,INDIRECT("'GRD-"&amp;FA$11&amp;"'!B:R"),15,FALSE),"")</f>
        <v/>
      </c>
      <c r="FB287" s="96">
        <f>IFERROR(VLOOKUP($B287,INDIRECT("'GRD-"&amp;FB$11&amp;"'!B:R"),15,FALSE),"")</f>
        <v/>
      </c>
      <c r="FC287" s="96">
        <f>IFERROR(VLOOKUP($B287,INDIRECT("'GRD-"&amp;FC$11&amp;"'!B:R"),15,FALSE),"")</f>
        <v/>
      </c>
      <c r="FD287" s="96">
        <f>IFERROR(VLOOKUP($B287,INDIRECT("'GRD-"&amp;FD$11&amp;"'!B:R"),15,FALSE),"")</f>
        <v/>
      </c>
      <c r="FE287" s="96">
        <f>IFERROR(VLOOKUP($B287,INDIRECT("'GRD-"&amp;FE$11&amp;"'!B:R"),15,FALSE),"")</f>
        <v/>
      </c>
      <c r="FF287" s="96">
        <f>IFERROR(VLOOKUP($B287,INDIRECT("'GRD-"&amp;FF$11&amp;"'!B:R"),15,FALSE),"")</f>
        <v/>
      </c>
      <c r="FG287" s="96">
        <f>IFERROR(VLOOKUP($B287,INDIRECT("'GRD-"&amp;FG$11&amp;"'!B:R"),15,FALSE),"")</f>
        <v/>
      </c>
      <c r="FH287" s="96">
        <f>IFERROR(VLOOKUP($B287,INDIRECT("'GRD-"&amp;FH$11&amp;"'!B:R"),15,FALSE),"")</f>
        <v/>
      </c>
      <c r="FI287" s="96">
        <f>IFERROR(VLOOKUP($B287,INDIRECT("'GRD-"&amp;FI$11&amp;"'!B:R"),15,FALSE),"")</f>
        <v/>
      </c>
      <c r="FJ287" s="96">
        <f>IFERROR(VLOOKUP($B287,INDIRECT("'GRD-"&amp;FJ$11&amp;"'!B:R"),15,FALSE),"")</f>
        <v/>
      </c>
      <c r="FK287" s="96">
        <f>IFERROR(VLOOKUP($B287,INDIRECT("'GRD-"&amp;FK$11&amp;"'!B:R"),15,FALSE),"")</f>
        <v/>
      </c>
      <c r="FL287" s="96">
        <f>IFERROR(VLOOKUP($B287,INDIRECT("'GRD-"&amp;FL$11&amp;"'!B:R"),15,FALSE),"")</f>
        <v/>
      </c>
      <c r="FM287" s="96">
        <f>IFERROR(VLOOKUP($B287,INDIRECT("'GRD-"&amp;FM$11&amp;"'!B:R"),15,FALSE),"")</f>
        <v/>
      </c>
      <c r="FN287" s="96">
        <f>IFERROR(VLOOKUP($B287,INDIRECT("'GRD-"&amp;FN$11&amp;"'!B:R"),15,FALSE),"")</f>
        <v/>
      </c>
      <c r="FO287" s="96">
        <f>IFERROR(VLOOKUP($B287,INDIRECT("'GRD-"&amp;FO$11&amp;"'!B:R"),15,FALSE),"")</f>
        <v/>
      </c>
      <c r="FP287" s="96">
        <f>IFERROR(VLOOKUP($B287,INDIRECT("'GRD-"&amp;FP$11&amp;"'!B:R"),15,FALSE),"")</f>
        <v/>
      </c>
      <c r="FQ287" s="96">
        <f>IFERROR(VLOOKUP($B287,INDIRECT("'GRD-"&amp;FQ$11&amp;"'!B:R"),15,FALSE),"")</f>
        <v/>
      </c>
      <c r="FR287" s="96">
        <f>IFERROR(VLOOKUP($B287,INDIRECT("'GRD-"&amp;FR$11&amp;"'!B:R"),15,FALSE),"")</f>
        <v/>
      </c>
      <c r="FS287" s="96">
        <f>IFERROR(VLOOKUP($B287,INDIRECT("'GRD-"&amp;FS$11&amp;"'!B:R"),15,FALSE),"")</f>
        <v/>
      </c>
      <c r="FT287" s="96">
        <f>IFERROR(VLOOKUP($B287,INDIRECT("'GRD-"&amp;FT$11&amp;"'!B:R"),15,FALSE),"")</f>
        <v/>
      </c>
      <c r="FU287" s="96">
        <f>IFERROR(VLOOKUP($B287,INDIRECT("'GRD-"&amp;FU$11&amp;"'!B:R"),15,FALSE),"")</f>
        <v/>
      </c>
      <c r="FV287" s="96">
        <f>IFERROR(VLOOKUP($B287,INDIRECT("'GRD-"&amp;FV$11&amp;"'!B:R"),15,FALSE),"")</f>
        <v/>
      </c>
    </row>
    <row r="288">
      <c r="B288" s="85" t="n"/>
      <c r="C288" s="93" t="n"/>
      <c r="D288" s="73">
        <f>IF(K288="","",MAX($CA288:$FV288))</f>
        <v/>
      </c>
      <c r="E288" s="74">
        <f t="array" ref="E288">IF($K288="","",OFFSET($A$1,ROW($B288)-1,11+$D288*4,))</f>
        <v/>
      </c>
      <c r="F288" s="74">
        <f t="array" ref="F288">IF($K288="","",OFFSET($A$1,ROW($B288)-1,12+$D288*4,))</f>
        <v/>
      </c>
      <c r="G288" s="118">
        <f t="array" ref="G288">IF($K288="","",OFFSET($A$1,ROW($B288)-1,13+$D288*4,))</f>
        <v/>
      </c>
      <c r="H288" s="81" t="n"/>
      <c r="I288" s="82" t="n"/>
      <c r="J288" s="75">
        <f>IF(I288="A4",H288/8,IF(I288="A3",H288/4,IF(I288="A2",H288/2,IF(I288="A1",H288/1,IF(I288="A0",H288*2,"")))))</f>
        <v/>
      </c>
      <c r="K288" s="68">
        <f t="array" ref="K288">IFERROR(OFFSET($BZ$11,ROW($B288)-11,MATCH(K$10,$CA288:$FV288,0),),"")</f>
        <v/>
      </c>
      <c r="L288" s="85">
        <f>IF(K288="","",IF(VLOOKUP($B288,INDIRECT("'GRD-"&amp;M288&amp;"'!$B:$R"),16,FALSE)="","",VLOOKUP($B288,INDIRECT("'GRD-"&amp;M288&amp;"'!$B:$R"),16,FALSE)))</f>
        <v/>
      </c>
      <c r="M288" s="130">
        <f t="array" ref="M288">IF(K288="","",IFERROR(OFFSET($BZ$11,0,MATCH($K288,$CA288:$FV288,0),),""))</f>
        <v/>
      </c>
      <c r="N288" s="119">
        <f t="array" ref="N288">IF(K288="","",INDIRECT("'GRD-"&amp;M288&amp;"'!$L$7"))</f>
        <v/>
      </c>
      <c r="O288" s="76">
        <f t="array" ref="O288">IFERROR(OFFSET($BZ$11,ROW($B288)-11,MATCH(O$10,$CA288:$FV288,0),),"")</f>
        <v/>
      </c>
      <c r="P288" s="76">
        <f>IF(O288="","",IF(VLOOKUP($B288,INDIRECT("'GRD-"&amp;Q288&amp;"'!$B:$R"),16,FALSE)="","",VLOOKUP($B288,INDIRECT("'GRD-"&amp;Q288&amp;"'!$B:$R"),16,FALSE)))</f>
        <v/>
      </c>
      <c r="Q288" s="132">
        <f t="array" ref="Q288">IF(O288="","",IFERROR(OFFSET($BZ$11,0,MATCH($O288,$CA288:$FV288,0),),""))</f>
        <v/>
      </c>
      <c r="R288" s="121">
        <f t="array" ref="R288">IF(O288="","",INDIRECT("'GRD-"&amp;Q288&amp;"'!$L$7"))</f>
        <v/>
      </c>
      <c r="S288" s="83">
        <f t="array" ref="S288">IFERROR(OFFSET($BZ$11,ROW($B288)-11,MATCH(S$10,$CA288:$FV288,0),),"")</f>
        <v/>
      </c>
      <c r="T288" s="83">
        <f>IF(S288="","",IF(VLOOKUP($B288,INDIRECT("'GRD-"&amp;U288&amp;"'!$B:$R"),16,FALSE)="","",VLOOKUP($B288,INDIRECT("'GRD-"&amp;U288&amp;"'!$B:$R"),16,FALSE)))</f>
        <v/>
      </c>
      <c r="U288" s="128">
        <f t="array" ref="U288">IF(S288="","",IFERROR(OFFSET($BZ$11,0,MATCH($S288,$CA288:$FV288,0),),""))</f>
        <v/>
      </c>
      <c r="V288" s="133">
        <f t="array" ref="V288">IF(S288="","",INDIRECT("'GRD-"&amp;U288&amp;"'!$L$7"))</f>
        <v/>
      </c>
      <c r="W288" s="84">
        <f t="array" ref="W288">IFERROR(OFFSET($BZ$11,ROW($B288)-11,MATCH(W$10,$CA288:$FV288,0),),"")</f>
        <v/>
      </c>
      <c r="X288" s="84">
        <f>IF(W288="","",IF(VLOOKUP($B288,INDIRECT("'GRD-"&amp;Y288&amp;"'!$B:$R"),16,FALSE)="","",VLOOKUP($B288,INDIRECT("'GRD-"&amp;Y288&amp;"'!$B:$R"),16,FALSE)))</f>
        <v/>
      </c>
      <c r="Y288" s="129">
        <f t="array" ref="Y288">IF(W288="","",IFERROR(OFFSET($BZ$11,0,MATCH($W288,$CA288:$FV288,0),),""))</f>
        <v/>
      </c>
      <c r="Z288" s="134">
        <f t="array" ref="Z288">IF(W288="","",INDIRECT("'GRD-"&amp;Y288&amp;"'!$L$7"))</f>
        <v/>
      </c>
      <c r="AA288" s="85">
        <f t="array" ref="AA288">IFERROR(OFFSET($BZ$11,ROW($B288)-11,MATCH(AA$10,$CA288:$FV288,0),),"")</f>
        <v/>
      </c>
      <c r="AB288" s="85">
        <f>IF(AA288="","",IF(VLOOKUP($B288,INDIRECT("'GRD-"&amp;AC288&amp;"'!$B:$R"),16,FALSE)="","",VLOOKUP($B288,INDIRECT("'GRD-"&amp;AC288&amp;"'!$B:$R"),16,FALSE)))</f>
        <v/>
      </c>
      <c r="AC288" s="130">
        <f t="array" ref="AC288">IF(AA288="","",IFERROR(OFFSET($BZ$11,0,MATCH($AA288,$CA288:$FV288,0),),""))</f>
        <v/>
      </c>
      <c r="AD288" s="131">
        <f t="array" ref="AD288">IF(AA288="","",INDIRECT("'GRD-"&amp;AC288&amp;"'!$L$7"))</f>
        <v/>
      </c>
      <c r="AE288" s="76">
        <f t="array" ref="AE288">IFERROR(OFFSET($BZ$11,ROW($B288)-11,MATCH(AE$10,$CA288:$FV288,0),),"")</f>
        <v/>
      </c>
      <c r="AF288" s="76">
        <f>IF(AE288="","",IF(VLOOKUP($B288,INDIRECT("'GRD-"&amp;AG288&amp;"'!$B:$R"),16,FALSE)="","",VLOOKUP($B288,INDIRECT("'GRD-"&amp;AG288&amp;"'!$B:$R"),16,FALSE)))</f>
        <v/>
      </c>
      <c r="AG288" s="132">
        <f t="array" ref="AG288">IF(AE288="","",IFERROR(OFFSET($BZ$11,0,MATCH($AE288,$CA288:$FV288,0),),""))</f>
        <v/>
      </c>
      <c r="AH288" s="121">
        <f t="array" ref="AH288">IF(AE288="","",INDIRECT("'GRD-"&amp;AG288&amp;"'!$L$7"))</f>
        <v/>
      </c>
      <c r="AI288" s="83">
        <f t="array" ref="AI288">IFERROR(OFFSET($BZ$11,ROW($B288)-11,MATCH(AI$10,$CA288:$FV288,0),),"")</f>
        <v/>
      </c>
      <c r="AJ288" s="83">
        <f>IF(AI288="","",IF(VLOOKUP($B288,INDIRECT("'GRD-"&amp;AK288&amp;"'!$B:$R"),16,FALSE)="","",VLOOKUP($B288,INDIRECT("'GRD-"&amp;AK288&amp;"'!$B:$R"),16,FALSE)))</f>
        <v/>
      </c>
      <c r="AK288" s="128">
        <f t="array" ref="AK288">IF(AI288="","",IFERROR(OFFSET($BZ$11,0,MATCH($AI288,$CA288:$FV288,0),),""))</f>
        <v/>
      </c>
      <c r="AL288" s="133">
        <f t="array" ref="AL288">IF(AI288="","",INDIRECT("'GRD-"&amp;AK288&amp;"'!$L$7"))</f>
        <v/>
      </c>
      <c r="AM288" s="84">
        <f t="array" ref="AM288">IFERROR(OFFSET($BZ$11,ROW($B288)-11,MATCH(AM$10,$CA288:$FV288,0),),"")</f>
        <v/>
      </c>
      <c r="AN288" s="84">
        <f>IF(AM288="","",IF(VLOOKUP($B288,INDIRECT("'GRD-"&amp;AO288&amp;"'!$B:$R"),16,FALSE)="","",VLOOKUP($B288,INDIRECT("'GRD-"&amp;AO288&amp;"'!$B:$R"),16,FALSE)))</f>
        <v/>
      </c>
      <c r="AO288" s="129">
        <f t="array" ref="AO288">IF(AM288="","",IFERROR(OFFSET($BZ$11,0,MATCH($AM288,$CA288:$FV288,0),),""))</f>
        <v/>
      </c>
      <c r="AP288" s="134">
        <f t="array" ref="AP288">IF(AM288="","",INDIRECT("'GRD-"&amp;AO288&amp;"'!$L$7"))</f>
        <v/>
      </c>
      <c r="AQ288" s="85">
        <f t="array" ref="AQ288">IFERROR(OFFSET($BZ$11,ROW($B288)-11,MATCH(AQ$10,$CA288:$FV288,0),),"")</f>
        <v/>
      </c>
      <c r="AR288" s="85">
        <f>IF(AQ288="","",IF(VLOOKUP($B288,INDIRECT("'GRD-"&amp;AS288&amp;"'!$B:$R"),16,FALSE)="","",VLOOKUP($B288,INDIRECT("'GRD-"&amp;AS288&amp;"'!$B:$R"),16,FALSE)))</f>
        <v/>
      </c>
      <c r="AS288" s="130">
        <f t="array" ref="AS288">IF(AQ288="","",IFERROR(OFFSET($BZ$11,0,MATCH($AQ288,$CA288:$FV288,0),),""))</f>
        <v/>
      </c>
      <c r="AT288" s="131">
        <f t="array" ref="AT288">IF(AQ288="","",INDIRECT("'GRD-"&amp;AS288&amp;"'!$L$7"))</f>
        <v/>
      </c>
      <c r="AU288" s="76">
        <f t="array" ref="AU288">IFERROR(OFFSET($BZ$11,ROW($B288)-11,MATCH(AU$10,$CA288:$FV288,0),),"")</f>
        <v/>
      </c>
      <c r="AV288" s="76">
        <f>IF(AU288="","",IF(VLOOKUP($B288,INDIRECT("'GRD-"&amp;AW288&amp;"'!$B:$R"),16,FALSE)="","",VLOOKUP($B288,INDIRECT("'GRD-"&amp;AW288&amp;"'!$B:$R"),16,FALSE)))</f>
        <v/>
      </c>
      <c r="AW288" s="132">
        <f t="array" ref="AW288">IF(AU288="","",IFERROR(OFFSET($BZ$11,0,MATCH($AU288,$CA288:$FV288,0),),""))</f>
        <v/>
      </c>
      <c r="AX288" s="121">
        <f t="array" ref="AX288">IF(AU288="","",INDIRECT("'GRD-"&amp;AW288&amp;"'!$L$7"))</f>
        <v/>
      </c>
      <c r="AY288" s="83">
        <f t="array" ref="AY288">IFERROR(OFFSET($BZ$11,ROW($B288)-11,MATCH(AY$10,$CA288:$FV288,0),),"")</f>
        <v/>
      </c>
      <c r="AZ288" s="83">
        <f>IF(AY288="","",IF(VLOOKUP($B288,INDIRECT("'GRD-"&amp;BA288&amp;"'!$B:$R"),16,FALSE)="","",VLOOKUP($B288,INDIRECT("'GRD-"&amp;BA288&amp;"'!$B:$R"),16,FALSE)))</f>
        <v/>
      </c>
      <c r="BA288" s="128">
        <f t="array" ref="BA288">IF(AY288="","",IFERROR(OFFSET($BZ$11,0,MATCH($AY288,$CA288:$FV288,0),),""))</f>
        <v/>
      </c>
      <c r="BB288" s="133">
        <f t="array" ref="BB288">IF(AY288="","",INDIRECT("'GRD-"&amp;BA288&amp;"'!$L$7"))</f>
        <v/>
      </c>
      <c r="BC288" s="84">
        <f t="array" ref="BC288">IFERROR(OFFSET($BZ$11,ROW($B288)-11,MATCH(BC$10,$CA288:$FV288,0),),"")</f>
        <v/>
      </c>
      <c r="BD288" s="84">
        <f>IF(BC288="","",IF(VLOOKUP($B288,INDIRECT("'GRD-"&amp;BE288&amp;"'!$B:$R"),16,FALSE)="","",VLOOKUP($B288,INDIRECT("'GRD-"&amp;BE288&amp;"'!$B:$R"),16,FALSE)))</f>
        <v/>
      </c>
      <c r="BE288" s="129">
        <f t="array" ref="BE288">IF(BC288="","",IFERROR(OFFSET($BZ$11,0,MATCH($BC288,$CA288:$FV288,0),),""))</f>
        <v/>
      </c>
      <c r="BF288" s="134">
        <f t="array" ref="BF288">IF(BC288="","",INDIRECT("'GRD-"&amp;BE288&amp;"'!$L$7"))</f>
        <v/>
      </c>
      <c r="CA288" s="96">
        <f>IFERROR(VLOOKUP($B288,INDIRECT("'GRD-"&amp;CA$11&amp;"'!B:R"),15,FALSE),"")</f>
        <v/>
      </c>
      <c r="CB288" s="96">
        <f>IFERROR(VLOOKUP($B288,INDIRECT("'GRD-"&amp;CB$11&amp;"'!B:R"),15,FALSE),"")</f>
        <v/>
      </c>
      <c r="CC288" s="96">
        <f>IFERROR(VLOOKUP($B288,INDIRECT("'GRD-"&amp;CC$11&amp;"'!B:R"),15,FALSE),"")</f>
        <v/>
      </c>
      <c r="CD288" s="96">
        <f>IFERROR(VLOOKUP($B288,INDIRECT("'GRD-"&amp;CD$11&amp;"'!B:R"),15,FALSE),"")</f>
        <v/>
      </c>
      <c r="CE288" s="96">
        <f>IFERROR(VLOOKUP($B288,INDIRECT("'GRD-"&amp;CE$11&amp;"'!B:R"),15,FALSE),"")</f>
        <v/>
      </c>
      <c r="CF288" s="96">
        <f>IFERROR(VLOOKUP($B288,INDIRECT("'GRD-"&amp;CF$11&amp;"'!B:R"),15,FALSE),"")</f>
        <v/>
      </c>
      <c r="CG288" s="96">
        <f>IFERROR(VLOOKUP($B288,INDIRECT("'GRD-"&amp;CG$11&amp;"'!B:R"),15,FALSE),"")</f>
        <v/>
      </c>
      <c r="CH288" s="96">
        <f>IFERROR(VLOOKUP($B288,INDIRECT("'GRD-"&amp;CH$11&amp;"'!B:R"),15,FALSE),"")</f>
        <v/>
      </c>
      <c r="CI288" s="96">
        <f>IFERROR(VLOOKUP($B288,INDIRECT("'GRD-"&amp;CI$11&amp;"'!B:R"),15,FALSE),"")</f>
        <v/>
      </c>
      <c r="CJ288" s="96">
        <f>IFERROR(VLOOKUP($B288,INDIRECT("'GRD-"&amp;CJ$11&amp;"'!B:R"),15,FALSE),"")</f>
        <v/>
      </c>
      <c r="CK288" s="96">
        <f>IFERROR(VLOOKUP($B288,INDIRECT("'GRD-"&amp;CK$11&amp;"'!B:R"),15,FALSE),"")</f>
        <v/>
      </c>
      <c r="CL288" s="96">
        <f>IFERROR(VLOOKUP($B288,INDIRECT("'GRD-"&amp;CL$11&amp;"'!B:R"),15,FALSE),"")</f>
        <v/>
      </c>
      <c r="CM288" s="96">
        <f>IFERROR(VLOOKUP($B288,INDIRECT("'GRD-"&amp;CM$11&amp;"'!B:R"),15,FALSE),"")</f>
        <v/>
      </c>
      <c r="CN288" s="96">
        <f>IFERROR(VLOOKUP($B288,INDIRECT("'GRD-"&amp;CN$11&amp;"'!B:R"),15,FALSE),"")</f>
        <v/>
      </c>
      <c r="CO288" s="96">
        <f>IFERROR(VLOOKUP($B288,INDIRECT("'GRD-"&amp;CO$11&amp;"'!B:R"),15,FALSE),"")</f>
        <v/>
      </c>
      <c r="CP288" s="96">
        <f>IFERROR(VLOOKUP($B288,INDIRECT("'GRD-"&amp;CP$11&amp;"'!B:R"),15,FALSE),"")</f>
        <v/>
      </c>
      <c r="CQ288" s="96">
        <f>IFERROR(VLOOKUP($B288,INDIRECT("'GRD-"&amp;CQ$11&amp;"'!B:R"),15,FALSE),"")</f>
        <v/>
      </c>
      <c r="CR288" s="96">
        <f>IFERROR(VLOOKUP($B288,INDIRECT("'GRD-"&amp;CR$11&amp;"'!B:R"),15,FALSE),"")</f>
        <v/>
      </c>
      <c r="CS288" s="96">
        <f>IFERROR(VLOOKUP($B288,INDIRECT("'GRD-"&amp;CS$11&amp;"'!B:R"),15,FALSE),"")</f>
        <v/>
      </c>
      <c r="CT288" s="96">
        <f>IFERROR(VLOOKUP($B288,INDIRECT("'GRD-"&amp;CT$11&amp;"'!B:R"),15,FALSE),"")</f>
        <v/>
      </c>
      <c r="CU288" s="96">
        <f>IFERROR(VLOOKUP($B288,INDIRECT("'GRD-"&amp;CU$11&amp;"'!B:R"),15,FALSE),"")</f>
        <v/>
      </c>
      <c r="CV288" s="96">
        <f>IFERROR(VLOOKUP($B288,INDIRECT("'GRD-"&amp;CV$11&amp;"'!B:R"),15,FALSE),"")</f>
        <v/>
      </c>
      <c r="CW288" s="96">
        <f>IFERROR(VLOOKUP($B288,INDIRECT("'GRD-"&amp;CW$11&amp;"'!B:R"),15,FALSE),"")</f>
        <v/>
      </c>
      <c r="CX288" s="96">
        <f>IFERROR(VLOOKUP($B288,INDIRECT("'GRD-"&amp;CX$11&amp;"'!B:R"),15,FALSE),"")</f>
        <v/>
      </c>
      <c r="CY288" s="96">
        <f>IFERROR(VLOOKUP($B288,INDIRECT("'GRD-"&amp;CY$11&amp;"'!B:R"),15,FALSE),"")</f>
        <v/>
      </c>
      <c r="CZ288" s="96">
        <f>IFERROR(VLOOKUP($B288,INDIRECT("'GRD-"&amp;CZ$11&amp;"'!B:R"),15,FALSE),"")</f>
        <v/>
      </c>
      <c r="DA288" s="96">
        <f>IFERROR(VLOOKUP($B288,INDIRECT("'GRD-"&amp;DA$11&amp;"'!B:R"),15,FALSE),"")</f>
        <v/>
      </c>
      <c r="DB288" s="96">
        <f>IFERROR(VLOOKUP($B288,INDIRECT("'GRD-"&amp;DB$11&amp;"'!B:R"),15,FALSE),"")</f>
        <v/>
      </c>
      <c r="DC288" s="96">
        <f>IFERROR(VLOOKUP($B288,INDIRECT("'GRD-"&amp;DC$11&amp;"'!B:R"),15,FALSE),"")</f>
        <v/>
      </c>
      <c r="DD288" s="96">
        <f>IFERROR(VLOOKUP($B288,INDIRECT("'GRD-"&amp;DD$11&amp;"'!B:R"),15,FALSE),"")</f>
        <v/>
      </c>
      <c r="DE288" s="96">
        <f>IFERROR(VLOOKUP($B288,INDIRECT("'GRD-"&amp;DE$11&amp;"'!B:R"),15,FALSE),"")</f>
        <v/>
      </c>
      <c r="DF288" s="96">
        <f>IFERROR(VLOOKUP($B288,INDIRECT("'GRD-"&amp;DF$11&amp;"'!B:R"),15,FALSE),"")</f>
        <v/>
      </c>
      <c r="DG288" s="96">
        <f>IFERROR(VLOOKUP($B288,INDIRECT("'GRD-"&amp;DG$11&amp;"'!B:R"),15,FALSE),"")</f>
        <v/>
      </c>
      <c r="DH288" s="96">
        <f>IFERROR(VLOOKUP($B288,INDIRECT("'GRD-"&amp;DH$11&amp;"'!B:R"),15,FALSE),"")</f>
        <v/>
      </c>
      <c r="DI288" s="96">
        <f>IFERROR(VLOOKUP($B288,INDIRECT("'GRD-"&amp;DI$11&amp;"'!B:R"),15,FALSE),"")</f>
        <v/>
      </c>
      <c r="DJ288" s="96">
        <f>IFERROR(VLOOKUP($B288,INDIRECT("'GRD-"&amp;DJ$11&amp;"'!B:R"),15,FALSE),"")</f>
        <v/>
      </c>
      <c r="DK288" s="96">
        <f>IFERROR(VLOOKUP($B288,INDIRECT("'GRD-"&amp;DK$11&amp;"'!B:R"),15,FALSE),"")</f>
        <v/>
      </c>
      <c r="DL288" s="96">
        <f>IFERROR(VLOOKUP($B288,INDIRECT("'GRD-"&amp;DL$11&amp;"'!B:R"),15,FALSE),"")</f>
        <v/>
      </c>
      <c r="DM288" s="96">
        <f>IFERROR(VLOOKUP($B288,INDIRECT("'GRD-"&amp;DM$11&amp;"'!B:R"),15,FALSE),"")</f>
        <v/>
      </c>
      <c r="DN288" s="96">
        <f>IFERROR(VLOOKUP($B288,INDIRECT("'GRD-"&amp;DN$11&amp;"'!B:R"),15,FALSE),"")</f>
        <v/>
      </c>
      <c r="DO288" s="96">
        <f>IFERROR(VLOOKUP($B288,INDIRECT("'GRD-"&amp;DO$11&amp;"'!B:R"),15,FALSE),"")</f>
        <v/>
      </c>
      <c r="DP288" s="96">
        <f>IFERROR(VLOOKUP($B288,INDIRECT("'GRD-"&amp;DP$11&amp;"'!B:R"),15,FALSE),"")</f>
        <v/>
      </c>
      <c r="DQ288" s="96">
        <f>IFERROR(VLOOKUP($B288,INDIRECT("'GRD-"&amp;DQ$11&amp;"'!B:R"),15,FALSE),"")</f>
        <v/>
      </c>
      <c r="DR288" s="96">
        <f>IFERROR(VLOOKUP($B288,INDIRECT("'GRD-"&amp;DR$11&amp;"'!B:R"),15,FALSE),"")</f>
        <v/>
      </c>
      <c r="DS288" s="96">
        <f>IFERROR(VLOOKUP($B288,INDIRECT("'GRD-"&amp;DS$11&amp;"'!B:R"),15,FALSE),"")</f>
        <v/>
      </c>
      <c r="DT288" s="96">
        <f>IFERROR(VLOOKUP($B288,INDIRECT("'GRD-"&amp;DT$11&amp;"'!B:R"),15,FALSE),"")</f>
        <v/>
      </c>
      <c r="DU288" s="96">
        <f>IFERROR(VLOOKUP($B288,INDIRECT("'GRD-"&amp;DU$11&amp;"'!B:R"),15,FALSE),"")</f>
        <v/>
      </c>
      <c r="DV288" s="96">
        <f>IFERROR(VLOOKUP($B288,INDIRECT("'GRD-"&amp;DV$11&amp;"'!B:R"),15,FALSE),"")</f>
        <v/>
      </c>
      <c r="DW288" s="96">
        <f>IFERROR(VLOOKUP($B288,INDIRECT("'GRD-"&amp;DW$11&amp;"'!B:R"),15,FALSE),"")</f>
        <v/>
      </c>
      <c r="DX288" s="96">
        <f>IFERROR(VLOOKUP($B288,INDIRECT("'GRD-"&amp;DX$11&amp;"'!B:R"),15,FALSE),"")</f>
        <v/>
      </c>
      <c r="DY288" s="96">
        <f>IFERROR(VLOOKUP($B288,INDIRECT("'GRD-"&amp;DY$11&amp;"'!B:R"),15,FALSE),"")</f>
        <v/>
      </c>
      <c r="DZ288" s="96">
        <f>IFERROR(VLOOKUP($B288,INDIRECT("'GRD-"&amp;DZ$11&amp;"'!B:R"),15,FALSE),"")</f>
        <v/>
      </c>
      <c r="EA288" s="96">
        <f>IFERROR(VLOOKUP($B288,INDIRECT("'GRD-"&amp;EA$11&amp;"'!B:R"),15,FALSE),"")</f>
        <v/>
      </c>
      <c r="EB288" s="96">
        <f>IFERROR(VLOOKUP($B288,INDIRECT("'GRD-"&amp;EB$11&amp;"'!B:R"),15,FALSE),"")</f>
        <v/>
      </c>
      <c r="EC288" s="96">
        <f>IFERROR(VLOOKUP($B288,INDIRECT("'GRD-"&amp;EC$11&amp;"'!B:R"),15,FALSE),"")</f>
        <v/>
      </c>
      <c r="ED288" s="96">
        <f>IFERROR(VLOOKUP($B288,INDIRECT("'GRD-"&amp;ED$11&amp;"'!B:R"),15,FALSE),"")</f>
        <v/>
      </c>
      <c r="EE288" s="96">
        <f>IFERROR(VLOOKUP($B288,INDIRECT("'GRD-"&amp;EE$11&amp;"'!B:R"),15,FALSE),"")</f>
        <v/>
      </c>
      <c r="EF288" s="96">
        <f>IFERROR(VLOOKUP($B288,INDIRECT("'GRD-"&amp;EF$11&amp;"'!B:R"),15,FALSE),"")</f>
        <v/>
      </c>
      <c r="EG288" s="96">
        <f>IFERROR(VLOOKUP($B288,INDIRECT("'GRD-"&amp;EG$11&amp;"'!B:R"),15,FALSE),"")</f>
        <v/>
      </c>
      <c r="EH288" s="96">
        <f>IFERROR(VLOOKUP($B288,INDIRECT("'GRD-"&amp;EH$11&amp;"'!B:R"),15,FALSE),"")</f>
        <v/>
      </c>
      <c r="EI288" s="96">
        <f>IFERROR(VLOOKUP($B288,INDIRECT("'GRD-"&amp;EI$11&amp;"'!B:R"),15,FALSE),"")</f>
        <v/>
      </c>
      <c r="EJ288" s="96">
        <f>IFERROR(VLOOKUP($B288,INDIRECT("'GRD-"&amp;EJ$11&amp;"'!B:R"),15,FALSE),"")</f>
        <v/>
      </c>
      <c r="EK288" s="96">
        <f>IFERROR(VLOOKUP($B288,INDIRECT("'GRD-"&amp;EK$11&amp;"'!B:R"),15,FALSE),"")</f>
        <v/>
      </c>
      <c r="EL288" s="96">
        <f>IFERROR(VLOOKUP($B288,INDIRECT("'GRD-"&amp;EL$11&amp;"'!B:R"),15,FALSE),"")</f>
        <v/>
      </c>
      <c r="EM288" s="96">
        <f>IFERROR(VLOOKUP($B288,INDIRECT("'GRD-"&amp;EM$11&amp;"'!B:R"),15,FALSE),"")</f>
        <v/>
      </c>
      <c r="EN288" s="96">
        <f>IFERROR(VLOOKUP($B288,INDIRECT("'GRD-"&amp;EN$11&amp;"'!B:R"),15,FALSE),"")</f>
        <v/>
      </c>
      <c r="EO288" s="96">
        <f>IFERROR(VLOOKUP($B288,INDIRECT("'GRD-"&amp;EO$11&amp;"'!B:R"),15,FALSE),"")</f>
        <v/>
      </c>
      <c r="EP288" s="96">
        <f>IFERROR(VLOOKUP($B288,INDIRECT("'GRD-"&amp;EP$11&amp;"'!B:R"),15,FALSE),"")</f>
        <v/>
      </c>
      <c r="EQ288" s="96">
        <f>IFERROR(VLOOKUP($B288,INDIRECT("'GRD-"&amp;EQ$11&amp;"'!B:R"),15,FALSE),"")</f>
        <v/>
      </c>
      <c r="ER288" s="96">
        <f>IFERROR(VLOOKUP($B288,INDIRECT("'GRD-"&amp;ER$11&amp;"'!B:R"),15,FALSE),"")</f>
        <v/>
      </c>
      <c r="ES288" s="96">
        <f>IFERROR(VLOOKUP($B288,INDIRECT("'GRD-"&amp;ES$11&amp;"'!B:R"),15,FALSE),"")</f>
        <v/>
      </c>
      <c r="ET288" s="96">
        <f>IFERROR(VLOOKUP($B288,INDIRECT("'GRD-"&amp;ET$11&amp;"'!B:R"),15,FALSE),"")</f>
        <v/>
      </c>
      <c r="EU288" s="96">
        <f>IFERROR(VLOOKUP($B288,INDIRECT("'GRD-"&amp;EU$11&amp;"'!B:R"),15,FALSE),"")</f>
        <v/>
      </c>
      <c r="EV288" s="96">
        <f>IFERROR(VLOOKUP($B288,INDIRECT("'GRD-"&amp;EV$11&amp;"'!B:R"),15,FALSE),"")</f>
        <v/>
      </c>
      <c r="EW288" s="96">
        <f>IFERROR(VLOOKUP($B288,INDIRECT("'GRD-"&amp;EW$11&amp;"'!B:R"),15,FALSE),"")</f>
        <v/>
      </c>
      <c r="EX288" s="96">
        <f>IFERROR(VLOOKUP($B288,INDIRECT("'GRD-"&amp;EX$11&amp;"'!B:R"),15,FALSE),"")</f>
        <v/>
      </c>
      <c r="EY288" s="96">
        <f>IFERROR(VLOOKUP($B288,INDIRECT("'GRD-"&amp;EY$11&amp;"'!B:R"),15,FALSE),"")</f>
        <v/>
      </c>
      <c r="EZ288" s="96">
        <f>IFERROR(VLOOKUP($B288,INDIRECT("'GRD-"&amp;EZ$11&amp;"'!B:R"),15,FALSE),"")</f>
        <v/>
      </c>
      <c r="FA288" s="96">
        <f>IFERROR(VLOOKUP($B288,INDIRECT("'GRD-"&amp;FA$11&amp;"'!B:R"),15,FALSE),"")</f>
        <v/>
      </c>
      <c r="FB288" s="96">
        <f>IFERROR(VLOOKUP($B288,INDIRECT("'GRD-"&amp;FB$11&amp;"'!B:R"),15,FALSE),"")</f>
        <v/>
      </c>
      <c r="FC288" s="96">
        <f>IFERROR(VLOOKUP($B288,INDIRECT("'GRD-"&amp;FC$11&amp;"'!B:R"),15,FALSE),"")</f>
        <v/>
      </c>
      <c r="FD288" s="96">
        <f>IFERROR(VLOOKUP($B288,INDIRECT("'GRD-"&amp;FD$11&amp;"'!B:R"),15,FALSE),"")</f>
        <v/>
      </c>
      <c r="FE288" s="96">
        <f>IFERROR(VLOOKUP($B288,INDIRECT("'GRD-"&amp;FE$11&amp;"'!B:R"),15,FALSE),"")</f>
        <v/>
      </c>
      <c r="FF288" s="96">
        <f>IFERROR(VLOOKUP($B288,INDIRECT("'GRD-"&amp;FF$11&amp;"'!B:R"),15,FALSE),"")</f>
        <v/>
      </c>
      <c r="FG288" s="96">
        <f>IFERROR(VLOOKUP($B288,INDIRECT("'GRD-"&amp;FG$11&amp;"'!B:R"),15,FALSE),"")</f>
        <v/>
      </c>
      <c r="FH288" s="96">
        <f>IFERROR(VLOOKUP($B288,INDIRECT("'GRD-"&amp;FH$11&amp;"'!B:R"),15,FALSE),"")</f>
        <v/>
      </c>
      <c r="FI288" s="96">
        <f>IFERROR(VLOOKUP($B288,INDIRECT("'GRD-"&amp;FI$11&amp;"'!B:R"),15,FALSE),"")</f>
        <v/>
      </c>
      <c r="FJ288" s="96">
        <f>IFERROR(VLOOKUP($B288,INDIRECT("'GRD-"&amp;FJ$11&amp;"'!B:R"),15,FALSE),"")</f>
        <v/>
      </c>
      <c r="FK288" s="96">
        <f>IFERROR(VLOOKUP($B288,INDIRECT("'GRD-"&amp;FK$11&amp;"'!B:R"),15,FALSE),"")</f>
        <v/>
      </c>
      <c r="FL288" s="96">
        <f>IFERROR(VLOOKUP($B288,INDIRECT("'GRD-"&amp;FL$11&amp;"'!B:R"),15,FALSE),"")</f>
        <v/>
      </c>
      <c r="FM288" s="96">
        <f>IFERROR(VLOOKUP($B288,INDIRECT("'GRD-"&amp;FM$11&amp;"'!B:R"),15,FALSE),"")</f>
        <v/>
      </c>
      <c r="FN288" s="96">
        <f>IFERROR(VLOOKUP($B288,INDIRECT("'GRD-"&amp;FN$11&amp;"'!B:R"),15,FALSE),"")</f>
        <v/>
      </c>
      <c r="FO288" s="96">
        <f>IFERROR(VLOOKUP($B288,INDIRECT("'GRD-"&amp;FO$11&amp;"'!B:R"),15,FALSE),"")</f>
        <v/>
      </c>
      <c r="FP288" s="96">
        <f>IFERROR(VLOOKUP($B288,INDIRECT("'GRD-"&amp;FP$11&amp;"'!B:R"),15,FALSE),"")</f>
        <v/>
      </c>
      <c r="FQ288" s="96">
        <f>IFERROR(VLOOKUP($B288,INDIRECT("'GRD-"&amp;FQ$11&amp;"'!B:R"),15,FALSE),"")</f>
        <v/>
      </c>
      <c r="FR288" s="96">
        <f>IFERROR(VLOOKUP($B288,INDIRECT("'GRD-"&amp;FR$11&amp;"'!B:R"),15,FALSE),"")</f>
        <v/>
      </c>
      <c r="FS288" s="96">
        <f>IFERROR(VLOOKUP($B288,INDIRECT("'GRD-"&amp;FS$11&amp;"'!B:R"),15,FALSE),"")</f>
        <v/>
      </c>
      <c r="FT288" s="96">
        <f>IFERROR(VLOOKUP($B288,INDIRECT("'GRD-"&amp;FT$11&amp;"'!B:R"),15,FALSE),"")</f>
        <v/>
      </c>
      <c r="FU288" s="96">
        <f>IFERROR(VLOOKUP($B288,INDIRECT("'GRD-"&amp;FU$11&amp;"'!B:R"),15,FALSE),"")</f>
        <v/>
      </c>
      <c r="FV288" s="96">
        <f>IFERROR(VLOOKUP($B288,INDIRECT("'GRD-"&amp;FV$11&amp;"'!B:R"),15,FALSE),"")</f>
        <v/>
      </c>
    </row>
    <row r="289">
      <c r="B289" s="85" t="n"/>
      <c r="C289" s="93" t="n"/>
      <c r="D289" s="73">
        <f>IF(K289="","",MAX($CA289:$FV289))</f>
        <v/>
      </c>
      <c r="E289" s="74">
        <f t="array" ref="E289">IF($K289="","",OFFSET($A$1,ROW($B289)-1,11+$D289*4,))</f>
        <v/>
      </c>
      <c r="F289" s="74">
        <f t="array" ref="F289">IF($K289="","",OFFSET($A$1,ROW($B289)-1,12+$D289*4,))</f>
        <v/>
      </c>
      <c r="G289" s="118">
        <f t="array" ref="G289">IF($K289="","",OFFSET($A$1,ROW($B289)-1,13+$D289*4,))</f>
        <v/>
      </c>
      <c r="H289" s="81" t="n"/>
      <c r="I289" s="82" t="n"/>
      <c r="J289" s="75">
        <f>IF(I289="A4",H289/8,IF(I289="A3",H289/4,IF(I289="A2",H289/2,IF(I289="A1",H289/1,IF(I289="A0",H289*2,"")))))</f>
        <v/>
      </c>
      <c r="K289" s="68">
        <f t="array" ref="K289">IFERROR(OFFSET($BZ$11,ROW($B289)-11,MATCH(K$10,$CA289:$FV289,0),),"")</f>
        <v/>
      </c>
      <c r="L289" s="85">
        <f>IF(K289="","",IF(VLOOKUP($B289,INDIRECT("'GRD-"&amp;M289&amp;"'!$B:$R"),16,FALSE)="","",VLOOKUP($B289,INDIRECT("'GRD-"&amp;M289&amp;"'!$B:$R"),16,FALSE)))</f>
        <v/>
      </c>
      <c r="M289" s="130">
        <f t="array" ref="M289">IF(K289="","",IFERROR(OFFSET($BZ$11,0,MATCH($K289,$CA289:$FV289,0),),""))</f>
        <v/>
      </c>
      <c r="N289" s="119">
        <f t="array" ref="N289">IF(K289="","",INDIRECT("'GRD-"&amp;M289&amp;"'!$L$7"))</f>
        <v/>
      </c>
      <c r="O289" s="76">
        <f t="array" ref="O289">IFERROR(OFFSET($BZ$11,ROW($B289)-11,MATCH(O$10,$CA289:$FV289,0),),"")</f>
        <v/>
      </c>
      <c r="P289" s="76">
        <f>IF(O289="","",IF(VLOOKUP($B289,INDIRECT("'GRD-"&amp;Q289&amp;"'!$B:$R"),16,FALSE)="","",VLOOKUP($B289,INDIRECT("'GRD-"&amp;Q289&amp;"'!$B:$R"),16,FALSE)))</f>
        <v/>
      </c>
      <c r="Q289" s="132">
        <f t="array" ref="Q289">IF(O289="","",IFERROR(OFFSET($BZ$11,0,MATCH($O289,$CA289:$FV289,0),),""))</f>
        <v/>
      </c>
      <c r="R289" s="121">
        <f t="array" ref="R289">IF(O289="","",INDIRECT("'GRD-"&amp;Q289&amp;"'!$L$7"))</f>
        <v/>
      </c>
      <c r="S289" s="83">
        <f t="array" ref="S289">IFERROR(OFFSET($BZ$11,ROW($B289)-11,MATCH(S$10,$CA289:$FV289,0),),"")</f>
        <v/>
      </c>
      <c r="T289" s="83">
        <f>IF(S289="","",IF(VLOOKUP($B289,INDIRECT("'GRD-"&amp;U289&amp;"'!$B:$R"),16,FALSE)="","",VLOOKUP($B289,INDIRECT("'GRD-"&amp;U289&amp;"'!$B:$R"),16,FALSE)))</f>
        <v/>
      </c>
      <c r="U289" s="128">
        <f t="array" ref="U289">IF(S289="","",IFERROR(OFFSET($BZ$11,0,MATCH($S289,$CA289:$FV289,0),),""))</f>
        <v/>
      </c>
      <c r="V289" s="133">
        <f t="array" ref="V289">IF(S289="","",INDIRECT("'GRD-"&amp;U289&amp;"'!$L$7"))</f>
        <v/>
      </c>
      <c r="W289" s="84">
        <f t="array" ref="W289">IFERROR(OFFSET($BZ$11,ROW($B289)-11,MATCH(W$10,$CA289:$FV289,0),),"")</f>
        <v/>
      </c>
      <c r="X289" s="84">
        <f>IF(W289="","",IF(VLOOKUP($B289,INDIRECT("'GRD-"&amp;Y289&amp;"'!$B:$R"),16,FALSE)="","",VLOOKUP($B289,INDIRECT("'GRD-"&amp;Y289&amp;"'!$B:$R"),16,FALSE)))</f>
        <v/>
      </c>
      <c r="Y289" s="129">
        <f t="array" ref="Y289">IF(W289="","",IFERROR(OFFSET($BZ$11,0,MATCH($W289,$CA289:$FV289,0),),""))</f>
        <v/>
      </c>
      <c r="Z289" s="134">
        <f t="array" ref="Z289">IF(W289="","",INDIRECT("'GRD-"&amp;Y289&amp;"'!$L$7"))</f>
        <v/>
      </c>
      <c r="AA289" s="85">
        <f t="array" ref="AA289">IFERROR(OFFSET($BZ$11,ROW($B289)-11,MATCH(AA$10,$CA289:$FV289,0),),"")</f>
        <v/>
      </c>
      <c r="AB289" s="85">
        <f>IF(AA289="","",IF(VLOOKUP($B289,INDIRECT("'GRD-"&amp;AC289&amp;"'!$B:$R"),16,FALSE)="","",VLOOKUP($B289,INDIRECT("'GRD-"&amp;AC289&amp;"'!$B:$R"),16,FALSE)))</f>
        <v/>
      </c>
      <c r="AC289" s="130">
        <f t="array" ref="AC289">IF(AA289="","",IFERROR(OFFSET($BZ$11,0,MATCH($AA289,$CA289:$FV289,0),),""))</f>
        <v/>
      </c>
      <c r="AD289" s="131">
        <f t="array" ref="AD289">IF(AA289="","",INDIRECT("'GRD-"&amp;AC289&amp;"'!$L$7"))</f>
        <v/>
      </c>
      <c r="AE289" s="76">
        <f t="array" ref="AE289">IFERROR(OFFSET($BZ$11,ROW($B289)-11,MATCH(AE$10,$CA289:$FV289,0),),"")</f>
        <v/>
      </c>
      <c r="AF289" s="76">
        <f>IF(AE289="","",IF(VLOOKUP($B289,INDIRECT("'GRD-"&amp;AG289&amp;"'!$B:$R"),16,FALSE)="","",VLOOKUP($B289,INDIRECT("'GRD-"&amp;AG289&amp;"'!$B:$R"),16,FALSE)))</f>
        <v/>
      </c>
      <c r="AG289" s="132">
        <f t="array" ref="AG289">IF(AE289="","",IFERROR(OFFSET($BZ$11,0,MATCH($AE289,$CA289:$FV289,0),),""))</f>
        <v/>
      </c>
      <c r="AH289" s="121">
        <f t="array" ref="AH289">IF(AE289="","",INDIRECT("'GRD-"&amp;AG289&amp;"'!$L$7"))</f>
        <v/>
      </c>
      <c r="AI289" s="83">
        <f t="array" ref="AI289">IFERROR(OFFSET($BZ$11,ROW($B289)-11,MATCH(AI$10,$CA289:$FV289,0),),"")</f>
        <v/>
      </c>
      <c r="AJ289" s="83">
        <f>IF(AI289="","",IF(VLOOKUP($B289,INDIRECT("'GRD-"&amp;AK289&amp;"'!$B:$R"),16,FALSE)="","",VLOOKUP($B289,INDIRECT("'GRD-"&amp;AK289&amp;"'!$B:$R"),16,FALSE)))</f>
        <v/>
      </c>
      <c r="AK289" s="128">
        <f t="array" ref="AK289">IF(AI289="","",IFERROR(OFFSET($BZ$11,0,MATCH($AI289,$CA289:$FV289,0),),""))</f>
        <v/>
      </c>
      <c r="AL289" s="133">
        <f t="array" ref="AL289">IF(AI289="","",INDIRECT("'GRD-"&amp;AK289&amp;"'!$L$7"))</f>
        <v/>
      </c>
      <c r="AM289" s="84">
        <f t="array" ref="AM289">IFERROR(OFFSET($BZ$11,ROW($B289)-11,MATCH(AM$10,$CA289:$FV289,0),),"")</f>
        <v/>
      </c>
      <c r="AN289" s="84">
        <f>IF(AM289="","",IF(VLOOKUP($B289,INDIRECT("'GRD-"&amp;AO289&amp;"'!$B:$R"),16,FALSE)="","",VLOOKUP($B289,INDIRECT("'GRD-"&amp;AO289&amp;"'!$B:$R"),16,FALSE)))</f>
        <v/>
      </c>
      <c r="AO289" s="129">
        <f t="array" ref="AO289">IF(AM289="","",IFERROR(OFFSET($BZ$11,0,MATCH($AM289,$CA289:$FV289,0),),""))</f>
        <v/>
      </c>
      <c r="AP289" s="134">
        <f t="array" ref="AP289">IF(AM289="","",INDIRECT("'GRD-"&amp;AO289&amp;"'!$L$7"))</f>
        <v/>
      </c>
      <c r="AQ289" s="85">
        <f t="array" ref="AQ289">IFERROR(OFFSET($BZ$11,ROW($B289)-11,MATCH(AQ$10,$CA289:$FV289,0),),"")</f>
        <v/>
      </c>
      <c r="AR289" s="85">
        <f>IF(AQ289="","",IF(VLOOKUP($B289,INDIRECT("'GRD-"&amp;AS289&amp;"'!$B:$R"),16,FALSE)="","",VLOOKUP($B289,INDIRECT("'GRD-"&amp;AS289&amp;"'!$B:$R"),16,FALSE)))</f>
        <v/>
      </c>
      <c r="AS289" s="130">
        <f t="array" ref="AS289">IF(AQ289="","",IFERROR(OFFSET($BZ$11,0,MATCH($AQ289,$CA289:$FV289,0),),""))</f>
        <v/>
      </c>
      <c r="AT289" s="131">
        <f t="array" ref="AT289">IF(AQ289="","",INDIRECT("'GRD-"&amp;AS289&amp;"'!$L$7"))</f>
        <v/>
      </c>
      <c r="AU289" s="76">
        <f t="array" ref="AU289">IFERROR(OFFSET($BZ$11,ROW($B289)-11,MATCH(AU$10,$CA289:$FV289,0),),"")</f>
        <v/>
      </c>
      <c r="AV289" s="76">
        <f>IF(AU289="","",IF(VLOOKUP($B289,INDIRECT("'GRD-"&amp;AW289&amp;"'!$B:$R"),16,FALSE)="","",VLOOKUP($B289,INDIRECT("'GRD-"&amp;AW289&amp;"'!$B:$R"),16,FALSE)))</f>
        <v/>
      </c>
      <c r="AW289" s="132">
        <f t="array" ref="AW289">IF(AU289="","",IFERROR(OFFSET($BZ$11,0,MATCH($AU289,$CA289:$FV289,0),),""))</f>
        <v/>
      </c>
      <c r="AX289" s="121">
        <f t="array" ref="AX289">IF(AU289="","",INDIRECT("'GRD-"&amp;AW289&amp;"'!$L$7"))</f>
        <v/>
      </c>
      <c r="AY289" s="83">
        <f t="array" ref="AY289">IFERROR(OFFSET($BZ$11,ROW($B289)-11,MATCH(AY$10,$CA289:$FV289,0),),"")</f>
        <v/>
      </c>
      <c r="AZ289" s="83">
        <f>IF(AY289="","",IF(VLOOKUP($B289,INDIRECT("'GRD-"&amp;BA289&amp;"'!$B:$R"),16,FALSE)="","",VLOOKUP($B289,INDIRECT("'GRD-"&amp;BA289&amp;"'!$B:$R"),16,FALSE)))</f>
        <v/>
      </c>
      <c r="BA289" s="128">
        <f t="array" ref="BA289">IF(AY289="","",IFERROR(OFFSET($BZ$11,0,MATCH($AY289,$CA289:$FV289,0),),""))</f>
        <v/>
      </c>
      <c r="BB289" s="133">
        <f t="array" ref="BB289">IF(AY289="","",INDIRECT("'GRD-"&amp;BA289&amp;"'!$L$7"))</f>
        <v/>
      </c>
      <c r="BC289" s="84">
        <f t="array" ref="BC289">IFERROR(OFFSET($BZ$11,ROW($B289)-11,MATCH(BC$10,$CA289:$FV289,0),),"")</f>
        <v/>
      </c>
      <c r="BD289" s="84">
        <f>IF(BC289="","",IF(VLOOKUP($B289,INDIRECT("'GRD-"&amp;BE289&amp;"'!$B:$R"),16,FALSE)="","",VLOOKUP($B289,INDIRECT("'GRD-"&amp;BE289&amp;"'!$B:$R"),16,FALSE)))</f>
        <v/>
      </c>
      <c r="BE289" s="129">
        <f t="array" ref="BE289">IF(BC289="","",IFERROR(OFFSET($BZ$11,0,MATCH($BC289,$CA289:$FV289,0),),""))</f>
        <v/>
      </c>
      <c r="BF289" s="134">
        <f t="array" ref="BF289">IF(BC289="","",INDIRECT("'GRD-"&amp;BE289&amp;"'!$L$7"))</f>
        <v/>
      </c>
      <c r="CA289" s="96">
        <f>IFERROR(VLOOKUP($B289,INDIRECT("'GRD-"&amp;CA$11&amp;"'!B:R"),15,FALSE),"")</f>
        <v/>
      </c>
      <c r="CB289" s="96">
        <f>IFERROR(VLOOKUP($B289,INDIRECT("'GRD-"&amp;CB$11&amp;"'!B:R"),15,FALSE),"")</f>
        <v/>
      </c>
      <c r="CC289" s="96">
        <f>IFERROR(VLOOKUP($B289,INDIRECT("'GRD-"&amp;CC$11&amp;"'!B:R"),15,FALSE),"")</f>
        <v/>
      </c>
      <c r="CD289" s="96">
        <f>IFERROR(VLOOKUP($B289,INDIRECT("'GRD-"&amp;CD$11&amp;"'!B:R"),15,FALSE),"")</f>
        <v/>
      </c>
      <c r="CE289" s="96">
        <f>IFERROR(VLOOKUP($B289,INDIRECT("'GRD-"&amp;CE$11&amp;"'!B:R"),15,FALSE),"")</f>
        <v/>
      </c>
      <c r="CF289" s="96">
        <f>IFERROR(VLOOKUP($B289,INDIRECT("'GRD-"&amp;CF$11&amp;"'!B:R"),15,FALSE),"")</f>
        <v/>
      </c>
      <c r="CG289" s="96">
        <f>IFERROR(VLOOKUP($B289,INDIRECT("'GRD-"&amp;CG$11&amp;"'!B:R"),15,FALSE),"")</f>
        <v/>
      </c>
      <c r="CH289" s="96">
        <f>IFERROR(VLOOKUP($B289,INDIRECT("'GRD-"&amp;CH$11&amp;"'!B:R"),15,FALSE),"")</f>
        <v/>
      </c>
      <c r="CI289" s="96">
        <f>IFERROR(VLOOKUP($B289,INDIRECT("'GRD-"&amp;CI$11&amp;"'!B:R"),15,FALSE),"")</f>
        <v/>
      </c>
      <c r="CJ289" s="96">
        <f>IFERROR(VLOOKUP($B289,INDIRECT("'GRD-"&amp;CJ$11&amp;"'!B:R"),15,FALSE),"")</f>
        <v/>
      </c>
      <c r="CK289" s="96">
        <f>IFERROR(VLOOKUP($B289,INDIRECT("'GRD-"&amp;CK$11&amp;"'!B:R"),15,FALSE),"")</f>
        <v/>
      </c>
      <c r="CL289" s="96">
        <f>IFERROR(VLOOKUP($B289,INDIRECT("'GRD-"&amp;CL$11&amp;"'!B:R"),15,FALSE),"")</f>
        <v/>
      </c>
      <c r="CM289" s="96">
        <f>IFERROR(VLOOKUP($B289,INDIRECT("'GRD-"&amp;CM$11&amp;"'!B:R"),15,FALSE),"")</f>
        <v/>
      </c>
      <c r="CN289" s="96">
        <f>IFERROR(VLOOKUP($B289,INDIRECT("'GRD-"&amp;CN$11&amp;"'!B:R"),15,FALSE),"")</f>
        <v/>
      </c>
      <c r="CO289" s="96">
        <f>IFERROR(VLOOKUP($B289,INDIRECT("'GRD-"&amp;CO$11&amp;"'!B:R"),15,FALSE),"")</f>
        <v/>
      </c>
      <c r="CP289" s="96">
        <f>IFERROR(VLOOKUP($B289,INDIRECT("'GRD-"&amp;CP$11&amp;"'!B:R"),15,FALSE),"")</f>
        <v/>
      </c>
      <c r="CQ289" s="96">
        <f>IFERROR(VLOOKUP($B289,INDIRECT("'GRD-"&amp;CQ$11&amp;"'!B:R"),15,FALSE),"")</f>
        <v/>
      </c>
      <c r="CR289" s="96">
        <f>IFERROR(VLOOKUP($B289,INDIRECT("'GRD-"&amp;CR$11&amp;"'!B:R"),15,FALSE),"")</f>
        <v/>
      </c>
      <c r="CS289" s="96">
        <f>IFERROR(VLOOKUP($B289,INDIRECT("'GRD-"&amp;CS$11&amp;"'!B:R"),15,FALSE),"")</f>
        <v/>
      </c>
      <c r="CT289" s="96">
        <f>IFERROR(VLOOKUP($B289,INDIRECT("'GRD-"&amp;CT$11&amp;"'!B:R"),15,FALSE),"")</f>
        <v/>
      </c>
      <c r="CU289" s="96">
        <f>IFERROR(VLOOKUP($B289,INDIRECT("'GRD-"&amp;CU$11&amp;"'!B:R"),15,FALSE),"")</f>
        <v/>
      </c>
      <c r="CV289" s="96">
        <f>IFERROR(VLOOKUP($B289,INDIRECT("'GRD-"&amp;CV$11&amp;"'!B:R"),15,FALSE),"")</f>
        <v/>
      </c>
      <c r="CW289" s="96">
        <f>IFERROR(VLOOKUP($B289,INDIRECT("'GRD-"&amp;CW$11&amp;"'!B:R"),15,FALSE),"")</f>
        <v/>
      </c>
      <c r="CX289" s="96">
        <f>IFERROR(VLOOKUP($B289,INDIRECT("'GRD-"&amp;CX$11&amp;"'!B:R"),15,FALSE),"")</f>
        <v/>
      </c>
      <c r="CY289" s="96">
        <f>IFERROR(VLOOKUP($B289,INDIRECT("'GRD-"&amp;CY$11&amp;"'!B:R"),15,FALSE),"")</f>
        <v/>
      </c>
      <c r="CZ289" s="96">
        <f>IFERROR(VLOOKUP($B289,INDIRECT("'GRD-"&amp;CZ$11&amp;"'!B:R"),15,FALSE),"")</f>
        <v/>
      </c>
      <c r="DA289" s="96">
        <f>IFERROR(VLOOKUP($B289,INDIRECT("'GRD-"&amp;DA$11&amp;"'!B:R"),15,FALSE),"")</f>
        <v/>
      </c>
      <c r="DB289" s="96">
        <f>IFERROR(VLOOKUP($B289,INDIRECT("'GRD-"&amp;DB$11&amp;"'!B:R"),15,FALSE),"")</f>
        <v/>
      </c>
      <c r="DC289" s="96">
        <f>IFERROR(VLOOKUP($B289,INDIRECT("'GRD-"&amp;DC$11&amp;"'!B:R"),15,FALSE),"")</f>
        <v/>
      </c>
      <c r="DD289" s="96">
        <f>IFERROR(VLOOKUP($B289,INDIRECT("'GRD-"&amp;DD$11&amp;"'!B:R"),15,FALSE),"")</f>
        <v/>
      </c>
      <c r="DE289" s="96">
        <f>IFERROR(VLOOKUP($B289,INDIRECT("'GRD-"&amp;DE$11&amp;"'!B:R"),15,FALSE),"")</f>
        <v/>
      </c>
      <c r="DF289" s="96">
        <f>IFERROR(VLOOKUP($B289,INDIRECT("'GRD-"&amp;DF$11&amp;"'!B:R"),15,FALSE),"")</f>
        <v/>
      </c>
      <c r="DG289" s="96">
        <f>IFERROR(VLOOKUP($B289,INDIRECT("'GRD-"&amp;DG$11&amp;"'!B:R"),15,FALSE),"")</f>
        <v/>
      </c>
      <c r="DH289" s="96">
        <f>IFERROR(VLOOKUP($B289,INDIRECT("'GRD-"&amp;DH$11&amp;"'!B:R"),15,FALSE),"")</f>
        <v/>
      </c>
      <c r="DI289" s="96">
        <f>IFERROR(VLOOKUP($B289,INDIRECT("'GRD-"&amp;DI$11&amp;"'!B:R"),15,FALSE),"")</f>
        <v/>
      </c>
      <c r="DJ289" s="96">
        <f>IFERROR(VLOOKUP($B289,INDIRECT("'GRD-"&amp;DJ$11&amp;"'!B:R"),15,FALSE),"")</f>
        <v/>
      </c>
      <c r="DK289" s="96">
        <f>IFERROR(VLOOKUP($B289,INDIRECT("'GRD-"&amp;DK$11&amp;"'!B:R"),15,FALSE),"")</f>
        <v/>
      </c>
      <c r="DL289" s="96">
        <f>IFERROR(VLOOKUP($B289,INDIRECT("'GRD-"&amp;DL$11&amp;"'!B:R"),15,FALSE),"")</f>
        <v/>
      </c>
      <c r="DM289" s="96">
        <f>IFERROR(VLOOKUP($B289,INDIRECT("'GRD-"&amp;DM$11&amp;"'!B:R"),15,FALSE),"")</f>
        <v/>
      </c>
      <c r="DN289" s="96">
        <f>IFERROR(VLOOKUP($B289,INDIRECT("'GRD-"&amp;DN$11&amp;"'!B:R"),15,FALSE),"")</f>
        <v/>
      </c>
      <c r="DO289" s="96">
        <f>IFERROR(VLOOKUP($B289,INDIRECT("'GRD-"&amp;DO$11&amp;"'!B:R"),15,FALSE),"")</f>
        <v/>
      </c>
      <c r="DP289" s="96">
        <f>IFERROR(VLOOKUP($B289,INDIRECT("'GRD-"&amp;DP$11&amp;"'!B:R"),15,FALSE),"")</f>
        <v/>
      </c>
      <c r="DQ289" s="96">
        <f>IFERROR(VLOOKUP($B289,INDIRECT("'GRD-"&amp;DQ$11&amp;"'!B:R"),15,FALSE),"")</f>
        <v/>
      </c>
      <c r="DR289" s="96">
        <f>IFERROR(VLOOKUP($B289,INDIRECT("'GRD-"&amp;DR$11&amp;"'!B:R"),15,FALSE),"")</f>
        <v/>
      </c>
      <c r="DS289" s="96">
        <f>IFERROR(VLOOKUP($B289,INDIRECT("'GRD-"&amp;DS$11&amp;"'!B:R"),15,FALSE),"")</f>
        <v/>
      </c>
      <c r="DT289" s="96">
        <f>IFERROR(VLOOKUP($B289,INDIRECT("'GRD-"&amp;DT$11&amp;"'!B:R"),15,FALSE),"")</f>
        <v/>
      </c>
      <c r="DU289" s="96">
        <f>IFERROR(VLOOKUP($B289,INDIRECT("'GRD-"&amp;DU$11&amp;"'!B:R"),15,FALSE),"")</f>
        <v/>
      </c>
      <c r="DV289" s="96">
        <f>IFERROR(VLOOKUP($B289,INDIRECT("'GRD-"&amp;DV$11&amp;"'!B:R"),15,FALSE),"")</f>
        <v/>
      </c>
      <c r="DW289" s="96">
        <f>IFERROR(VLOOKUP($B289,INDIRECT("'GRD-"&amp;DW$11&amp;"'!B:R"),15,FALSE),"")</f>
        <v/>
      </c>
      <c r="DX289" s="96">
        <f>IFERROR(VLOOKUP($B289,INDIRECT("'GRD-"&amp;DX$11&amp;"'!B:R"),15,FALSE),"")</f>
        <v/>
      </c>
      <c r="DY289" s="96">
        <f>IFERROR(VLOOKUP($B289,INDIRECT("'GRD-"&amp;DY$11&amp;"'!B:R"),15,FALSE),"")</f>
        <v/>
      </c>
      <c r="DZ289" s="96">
        <f>IFERROR(VLOOKUP($B289,INDIRECT("'GRD-"&amp;DZ$11&amp;"'!B:R"),15,FALSE),"")</f>
        <v/>
      </c>
      <c r="EA289" s="96">
        <f>IFERROR(VLOOKUP($B289,INDIRECT("'GRD-"&amp;EA$11&amp;"'!B:R"),15,FALSE),"")</f>
        <v/>
      </c>
      <c r="EB289" s="96">
        <f>IFERROR(VLOOKUP($B289,INDIRECT("'GRD-"&amp;EB$11&amp;"'!B:R"),15,FALSE),"")</f>
        <v/>
      </c>
      <c r="EC289" s="96">
        <f>IFERROR(VLOOKUP($B289,INDIRECT("'GRD-"&amp;EC$11&amp;"'!B:R"),15,FALSE),"")</f>
        <v/>
      </c>
      <c r="ED289" s="96">
        <f>IFERROR(VLOOKUP($B289,INDIRECT("'GRD-"&amp;ED$11&amp;"'!B:R"),15,FALSE),"")</f>
        <v/>
      </c>
      <c r="EE289" s="96">
        <f>IFERROR(VLOOKUP($B289,INDIRECT("'GRD-"&amp;EE$11&amp;"'!B:R"),15,FALSE),"")</f>
        <v/>
      </c>
      <c r="EF289" s="96">
        <f>IFERROR(VLOOKUP($B289,INDIRECT("'GRD-"&amp;EF$11&amp;"'!B:R"),15,FALSE),"")</f>
        <v/>
      </c>
      <c r="EG289" s="96">
        <f>IFERROR(VLOOKUP($B289,INDIRECT("'GRD-"&amp;EG$11&amp;"'!B:R"),15,FALSE),"")</f>
        <v/>
      </c>
      <c r="EH289" s="96">
        <f>IFERROR(VLOOKUP($B289,INDIRECT("'GRD-"&amp;EH$11&amp;"'!B:R"),15,FALSE),"")</f>
        <v/>
      </c>
      <c r="EI289" s="96">
        <f>IFERROR(VLOOKUP($B289,INDIRECT("'GRD-"&amp;EI$11&amp;"'!B:R"),15,FALSE),"")</f>
        <v/>
      </c>
      <c r="EJ289" s="96">
        <f>IFERROR(VLOOKUP($B289,INDIRECT("'GRD-"&amp;EJ$11&amp;"'!B:R"),15,FALSE),"")</f>
        <v/>
      </c>
      <c r="EK289" s="96">
        <f>IFERROR(VLOOKUP($B289,INDIRECT("'GRD-"&amp;EK$11&amp;"'!B:R"),15,FALSE),"")</f>
        <v/>
      </c>
      <c r="EL289" s="96">
        <f>IFERROR(VLOOKUP($B289,INDIRECT("'GRD-"&amp;EL$11&amp;"'!B:R"),15,FALSE),"")</f>
        <v/>
      </c>
      <c r="EM289" s="96">
        <f>IFERROR(VLOOKUP($B289,INDIRECT("'GRD-"&amp;EM$11&amp;"'!B:R"),15,FALSE),"")</f>
        <v/>
      </c>
      <c r="EN289" s="96">
        <f>IFERROR(VLOOKUP($B289,INDIRECT("'GRD-"&amp;EN$11&amp;"'!B:R"),15,FALSE),"")</f>
        <v/>
      </c>
      <c r="EO289" s="96">
        <f>IFERROR(VLOOKUP($B289,INDIRECT("'GRD-"&amp;EO$11&amp;"'!B:R"),15,FALSE),"")</f>
        <v/>
      </c>
      <c r="EP289" s="96">
        <f>IFERROR(VLOOKUP($B289,INDIRECT("'GRD-"&amp;EP$11&amp;"'!B:R"),15,FALSE),"")</f>
        <v/>
      </c>
      <c r="EQ289" s="96">
        <f>IFERROR(VLOOKUP($B289,INDIRECT("'GRD-"&amp;EQ$11&amp;"'!B:R"),15,FALSE),"")</f>
        <v/>
      </c>
      <c r="ER289" s="96">
        <f>IFERROR(VLOOKUP($B289,INDIRECT("'GRD-"&amp;ER$11&amp;"'!B:R"),15,FALSE),"")</f>
        <v/>
      </c>
      <c r="ES289" s="96">
        <f>IFERROR(VLOOKUP($B289,INDIRECT("'GRD-"&amp;ES$11&amp;"'!B:R"),15,FALSE),"")</f>
        <v/>
      </c>
      <c r="ET289" s="96">
        <f>IFERROR(VLOOKUP($B289,INDIRECT("'GRD-"&amp;ET$11&amp;"'!B:R"),15,FALSE),"")</f>
        <v/>
      </c>
      <c r="EU289" s="96">
        <f>IFERROR(VLOOKUP($B289,INDIRECT("'GRD-"&amp;EU$11&amp;"'!B:R"),15,FALSE),"")</f>
        <v/>
      </c>
      <c r="EV289" s="96">
        <f>IFERROR(VLOOKUP($B289,INDIRECT("'GRD-"&amp;EV$11&amp;"'!B:R"),15,FALSE),"")</f>
        <v/>
      </c>
      <c r="EW289" s="96">
        <f>IFERROR(VLOOKUP($B289,INDIRECT("'GRD-"&amp;EW$11&amp;"'!B:R"),15,FALSE),"")</f>
        <v/>
      </c>
      <c r="EX289" s="96">
        <f>IFERROR(VLOOKUP($B289,INDIRECT("'GRD-"&amp;EX$11&amp;"'!B:R"),15,FALSE),"")</f>
        <v/>
      </c>
      <c r="EY289" s="96">
        <f>IFERROR(VLOOKUP($B289,INDIRECT("'GRD-"&amp;EY$11&amp;"'!B:R"),15,FALSE),"")</f>
        <v/>
      </c>
      <c r="EZ289" s="96">
        <f>IFERROR(VLOOKUP($B289,INDIRECT("'GRD-"&amp;EZ$11&amp;"'!B:R"),15,FALSE),"")</f>
        <v/>
      </c>
      <c r="FA289" s="96">
        <f>IFERROR(VLOOKUP($B289,INDIRECT("'GRD-"&amp;FA$11&amp;"'!B:R"),15,FALSE),"")</f>
        <v/>
      </c>
      <c r="FB289" s="96">
        <f>IFERROR(VLOOKUP($B289,INDIRECT("'GRD-"&amp;FB$11&amp;"'!B:R"),15,FALSE),"")</f>
        <v/>
      </c>
      <c r="FC289" s="96">
        <f>IFERROR(VLOOKUP($B289,INDIRECT("'GRD-"&amp;FC$11&amp;"'!B:R"),15,FALSE),"")</f>
        <v/>
      </c>
      <c r="FD289" s="96">
        <f>IFERROR(VLOOKUP($B289,INDIRECT("'GRD-"&amp;FD$11&amp;"'!B:R"),15,FALSE),"")</f>
        <v/>
      </c>
      <c r="FE289" s="96">
        <f>IFERROR(VLOOKUP($B289,INDIRECT("'GRD-"&amp;FE$11&amp;"'!B:R"),15,FALSE),"")</f>
        <v/>
      </c>
      <c r="FF289" s="96">
        <f>IFERROR(VLOOKUP($B289,INDIRECT("'GRD-"&amp;FF$11&amp;"'!B:R"),15,FALSE),"")</f>
        <v/>
      </c>
      <c r="FG289" s="96">
        <f>IFERROR(VLOOKUP($B289,INDIRECT("'GRD-"&amp;FG$11&amp;"'!B:R"),15,FALSE),"")</f>
        <v/>
      </c>
      <c r="FH289" s="96">
        <f>IFERROR(VLOOKUP($B289,INDIRECT("'GRD-"&amp;FH$11&amp;"'!B:R"),15,FALSE),"")</f>
        <v/>
      </c>
      <c r="FI289" s="96">
        <f>IFERROR(VLOOKUP($B289,INDIRECT("'GRD-"&amp;FI$11&amp;"'!B:R"),15,FALSE),"")</f>
        <v/>
      </c>
      <c r="FJ289" s="96">
        <f>IFERROR(VLOOKUP($B289,INDIRECT("'GRD-"&amp;FJ$11&amp;"'!B:R"),15,FALSE),"")</f>
        <v/>
      </c>
      <c r="FK289" s="96">
        <f>IFERROR(VLOOKUP($B289,INDIRECT("'GRD-"&amp;FK$11&amp;"'!B:R"),15,FALSE),"")</f>
        <v/>
      </c>
      <c r="FL289" s="96">
        <f>IFERROR(VLOOKUP($B289,INDIRECT("'GRD-"&amp;FL$11&amp;"'!B:R"),15,FALSE),"")</f>
        <v/>
      </c>
      <c r="FM289" s="96">
        <f>IFERROR(VLOOKUP($B289,INDIRECT("'GRD-"&amp;FM$11&amp;"'!B:R"),15,FALSE),"")</f>
        <v/>
      </c>
      <c r="FN289" s="96">
        <f>IFERROR(VLOOKUP($B289,INDIRECT("'GRD-"&amp;FN$11&amp;"'!B:R"),15,FALSE),"")</f>
        <v/>
      </c>
      <c r="FO289" s="96">
        <f>IFERROR(VLOOKUP($B289,INDIRECT("'GRD-"&amp;FO$11&amp;"'!B:R"),15,FALSE),"")</f>
        <v/>
      </c>
      <c r="FP289" s="96">
        <f>IFERROR(VLOOKUP($B289,INDIRECT("'GRD-"&amp;FP$11&amp;"'!B:R"),15,FALSE),"")</f>
        <v/>
      </c>
      <c r="FQ289" s="96">
        <f>IFERROR(VLOOKUP($B289,INDIRECT("'GRD-"&amp;FQ$11&amp;"'!B:R"),15,FALSE),"")</f>
        <v/>
      </c>
      <c r="FR289" s="96">
        <f>IFERROR(VLOOKUP($B289,INDIRECT("'GRD-"&amp;FR$11&amp;"'!B:R"),15,FALSE),"")</f>
        <v/>
      </c>
      <c r="FS289" s="96">
        <f>IFERROR(VLOOKUP($B289,INDIRECT("'GRD-"&amp;FS$11&amp;"'!B:R"),15,FALSE),"")</f>
        <v/>
      </c>
      <c r="FT289" s="96">
        <f>IFERROR(VLOOKUP($B289,INDIRECT("'GRD-"&amp;FT$11&amp;"'!B:R"),15,FALSE),"")</f>
        <v/>
      </c>
      <c r="FU289" s="96">
        <f>IFERROR(VLOOKUP($B289,INDIRECT("'GRD-"&amp;FU$11&amp;"'!B:R"),15,FALSE),"")</f>
        <v/>
      </c>
      <c r="FV289" s="96">
        <f>IFERROR(VLOOKUP($B289,INDIRECT("'GRD-"&amp;FV$11&amp;"'!B:R"),15,FALSE),"")</f>
        <v/>
      </c>
    </row>
    <row r="290">
      <c r="B290" s="85" t="n"/>
      <c r="C290" s="93" t="n"/>
      <c r="D290" s="73">
        <f>IF(K290="","",MAX($CA290:$FV290))</f>
        <v/>
      </c>
      <c r="E290" s="74">
        <f t="array" ref="E290">IF($K290="","",OFFSET($A$1,ROW($B290)-1,11+$D290*4,))</f>
        <v/>
      </c>
      <c r="F290" s="74">
        <f t="array" ref="F290">IF($K290="","",OFFSET($A$1,ROW($B290)-1,12+$D290*4,))</f>
        <v/>
      </c>
      <c r="G290" s="118">
        <f t="array" ref="G290">IF($K290="","",OFFSET($A$1,ROW($B290)-1,13+$D290*4,))</f>
        <v/>
      </c>
      <c r="H290" s="81" t="n"/>
      <c r="I290" s="82" t="n"/>
      <c r="J290" s="75">
        <f>IF(I290="A4",H290/8,IF(I290="A3",H290/4,IF(I290="A2",H290/2,IF(I290="A1",H290/1,IF(I290="A0",H290*2,"")))))</f>
        <v/>
      </c>
      <c r="K290" s="68">
        <f t="array" ref="K290">IFERROR(OFFSET($BZ$11,ROW($B290)-11,MATCH(K$10,$CA290:$FV290,0),),"")</f>
        <v/>
      </c>
      <c r="L290" s="85">
        <f>IF(K290="","",IF(VLOOKUP($B290,INDIRECT("'GRD-"&amp;M290&amp;"'!$B:$R"),16,FALSE)="","",VLOOKUP($B290,INDIRECT("'GRD-"&amp;M290&amp;"'!$B:$R"),16,FALSE)))</f>
        <v/>
      </c>
      <c r="M290" s="130">
        <f t="array" ref="M290">IF(K290="","",IFERROR(OFFSET($BZ$11,0,MATCH($K290,$CA290:$FV290,0),),""))</f>
        <v/>
      </c>
      <c r="N290" s="119">
        <f t="array" ref="N290">IF(K290="","",INDIRECT("'GRD-"&amp;M290&amp;"'!$L$7"))</f>
        <v/>
      </c>
      <c r="O290" s="76">
        <f t="array" ref="O290">IFERROR(OFFSET($BZ$11,ROW($B290)-11,MATCH(O$10,$CA290:$FV290,0),),"")</f>
        <v/>
      </c>
      <c r="P290" s="76">
        <f>IF(O290="","",IF(VLOOKUP($B290,INDIRECT("'GRD-"&amp;Q290&amp;"'!$B:$R"),16,FALSE)="","",VLOOKUP($B290,INDIRECT("'GRD-"&amp;Q290&amp;"'!$B:$R"),16,FALSE)))</f>
        <v/>
      </c>
      <c r="Q290" s="132">
        <f t="array" ref="Q290">IF(O290="","",IFERROR(OFFSET($BZ$11,0,MATCH($O290,$CA290:$FV290,0),),""))</f>
        <v/>
      </c>
      <c r="R290" s="121">
        <f t="array" ref="R290">IF(O290="","",INDIRECT("'GRD-"&amp;Q290&amp;"'!$L$7"))</f>
        <v/>
      </c>
      <c r="S290" s="83">
        <f t="array" ref="S290">IFERROR(OFFSET($BZ$11,ROW($B290)-11,MATCH(S$10,$CA290:$FV290,0),),"")</f>
        <v/>
      </c>
      <c r="T290" s="83">
        <f>IF(S290="","",IF(VLOOKUP($B290,INDIRECT("'GRD-"&amp;U290&amp;"'!$B:$R"),16,FALSE)="","",VLOOKUP($B290,INDIRECT("'GRD-"&amp;U290&amp;"'!$B:$R"),16,FALSE)))</f>
        <v/>
      </c>
      <c r="U290" s="128">
        <f t="array" ref="U290">IF(S290="","",IFERROR(OFFSET($BZ$11,0,MATCH($S290,$CA290:$FV290,0),),""))</f>
        <v/>
      </c>
      <c r="V290" s="133">
        <f t="array" ref="V290">IF(S290="","",INDIRECT("'GRD-"&amp;U290&amp;"'!$L$7"))</f>
        <v/>
      </c>
      <c r="W290" s="84">
        <f t="array" ref="W290">IFERROR(OFFSET($BZ$11,ROW($B290)-11,MATCH(W$10,$CA290:$FV290,0),),"")</f>
        <v/>
      </c>
      <c r="X290" s="84">
        <f>IF(W290="","",IF(VLOOKUP($B290,INDIRECT("'GRD-"&amp;Y290&amp;"'!$B:$R"),16,FALSE)="","",VLOOKUP($B290,INDIRECT("'GRD-"&amp;Y290&amp;"'!$B:$R"),16,FALSE)))</f>
        <v/>
      </c>
      <c r="Y290" s="129">
        <f t="array" ref="Y290">IF(W290="","",IFERROR(OFFSET($BZ$11,0,MATCH($W290,$CA290:$FV290,0),),""))</f>
        <v/>
      </c>
      <c r="Z290" s="134">
        <f t="array" ref="Z290">IF(W290="","",INDIRECT("'GRD-"&amp;Y290&amp;"'!$L$7"))</f>
        <v/>
      </c>
      <c r="AA290" s="85">
        <f t="array" ref="AA290">IFERROR(OFFSET($BZ$11,ROW($B290)-11,MATCH(AA$10,$CA290:$FV290,0),),"")</f>
        <v/>
      </c>
      <c r="AB290" s="85">
        <f>IF(AA290="","",IF(VLOOKUP($B290,INDIRECT("'GRD-"&amp;AC290&amp;"'!$B:$R"),16,FALSE)="","",VLOOKUP($B290,INDIRECT("'GRD-"&amp;AC290&amp;"'!$B:$R"),16,FALSE)))</f>
        <v/>
      </c>
      <c r="AC290" s="130">
        <f t="array" ref="AC290">IF(AA290="","",IFERROR(OFFSET($BZ$11,0,MATCH($AA290,$CA290:$FV290,0),),""))</f>
        <v/>
      </c>
      <c r="AD290" s="131">
        <f t="array" ref="AD290">IF(AA290="","",INDIRECT("'GRD-"&amp;AC290&amp;"'!$L$7"))</f>
        <v/>
      </c>
      <c r="AE290" s="76">
        <f t="array" ref="AE290">IFERROR(OFFSET($BZ$11,ROW($B290)-11,MATCH(AE$10,$CA290:$FV290,0),),"")</f>
        <v/>
      </c>
      <c r="AF290" s="76">
        <f>IF(AE290="","",IF(VLOOKUP($B290,INDIRECT("'GRD-"&amp;AG290&amp;"'!$B:$R"),16,FALSE)="","",VLOOKUP($B290,INDIRECT("'GRD-"&amp;AG290&amp;"'!$B:$R"),16,FALSE)))</f>
        <v/>
      </c>
      <c r="AG290" s="132">
        <f t="array" ref="AG290">IF(AE290="","",IFERROR(OFFSET($BZ$11,0,MATCH($AE290,$CA290:$FV290,0),),""))</f>
        <v/>
      </c>
      <c r="AH290" s="121">
        <f t="array" ref="AH290">IF(AE290="","",INDIRECT("'GRD-"&amp;AG290&amp;"'!$L$7"))</f>
        <v/>
      </c>
      <c r="AI290" s="83">
        <f t="array" ref="AI290">IFERROR(OFFSET($BZ$11,ROW($B290)-11,MATCH(AI$10,$CA290:$FV290,0),),"")</f>
        <v/>
      </c>
      <c r="AJ290" s="83">
        <f>IF(AI290="","",IF(VLOOKUP($B290,INDIRECT("'GRD-"&amp;AK290&amp;"'!$B:$R"),16,FALSE)="","",VLOOKUP($B290,INDIRECT("'GRD-"&amp;AK290&amp;"'!$B:$R"),16,FALSE)))</f>
        <v/>
      </c>
      <c r="AK290" s="128">
        <f t="array" ref="AK290">IF(AI290="","",IFERROR(OFFSET($BZ$11,0,MATCH($AI290,$CA290:$FV290,0),),""))</f>
        <v/>
      </c>
      <c r="AL290" s="133">
        <f t="array" ref="AL290">IF(AI290="","",INDIRECT("'GRD-"&amp;AK290&amp;"'!$L$7"))</f>
        <v/>
      </c>
      <c r="AM290" s="84">
        <f t="array" ref="AM290">IFERROR(OFFSET($BZ$11,ROW($B290)-11,MATCH(AM$10,$CA290:$FV290,0),),"")</f>
        <v/>
      </c>
      <c r="AN290" s="84">
        <f>IF(AM290="","",IF(VLOOKUP($B290,INDIRECT("'GRD-"&amp;AO290&amp;"'!$B:$R"),16,FALSE)="","",VLOOKUP($B290,INDIRECT("'GRD-"&amp;AO290&amp;"'!$B:$R"),16,FALSE)))</f>
        <v/>
      </c>
      <c r="AO290" s="129">
        <f t="array" ref="AO290">IF(AM290="","",IFERROR(OFFSET($BZ$11,0,MATCH($AM290,$CA290:$FV290,0),),""))</f>
        <v/>
      </c>
      <c r="AP290" s="134">
        <f t="array" ref="AP290">IF(AM290="","",INDIRECT("'GRD-"&amp;AO290&amp;"'!$L$7"))</f>
        <v/>
      </c>
      <c r="AQ290" s="85">
        <f t="array" ref="AQ290">IFERROR(OFFSET($BZ$11,ROW($B290)-11,MATCH(AQ$10,$CA290:$FV290,0),),"")</f>
        <v/>
      </c>
      <c r="AR290" s="85">
        <f>IF(AQ290="","",IF(VLOOKUP($B290,INDIRECT("'GRD-"&amp;AS290&amp;"'!$B:$R"),16,FALSE)="","",VLOOKUP($B290,INDIRECT("'GRD-"&amp;AS290&amp;"'!$B:$R"),16,FALSE)))</f>
        <v/>
      </c>
      <c r="AS290" s="130">
        <f t="array" ref="AS290">IF(AQ290="","",IFERROR(OFFSET($BZ$11,0,MATCH($AQ290,$CA290:$FV290,0),),""))</f>
        <v/>
      </c>
      <c r="AT290" s="131">
        <f t="array" ref="AT290">IF(AQ290="","",INDIRECT("'GRD-"&amp;AS290&amp;"'!$L$7"))</f>
        <v/>
      </c>
      <c r="AU290" s="76">
        <f t="array" ref="AU290">IFERROR(OFFSET($BZ$11,ROW($B290)-11,MATCH(AU$10,$CA290:$FV290,0),),"")</f>
        <v/>
      </c>
      <c r="AV290" s="76">
        <f>IF(AU290="","",IF(VLOOKUP($B290,INDIRECT("'GRD-"&amp;AW290&amp;"'!$B:$R"),16,FALSE)="","",VLOOKUP($B290,INDIRECT("'GRD-"&amp;AW290&amp;"'!$B:$R"),16,FALSE)))</f>
        <v/>
      </c>
      <c r="AW290" s="132">
        <f t="array" ref="AW290">IF(AU290="","",IFERROR(OFFSET($BZ$11,0,MATCH($AU290,$CA290:$FV290,0),),""))</f>
        <v/>
      </c>
      <c r="AX290" s="121">
        <f t="array" ref="AX290">IF(AU290="","",INDIRECT("'GRD-"&amp;AW290&amp;"'!$L$7"))</f>
        <v/>
      </c>
      <c r="AY290" s="83">
        <f t="array" ref="AY290">IFERROR(OFFSET($BZ$11,ROW($B290)-11,MATCH(AY$10,$CA290:$FV290,0),),"")</f>
        <v/>
      </c>
      <c r="AZ290" s="83">
        <f>IF(AY290="","",IF(VLOOKUP($B290,INDIRECT("'GRD-"&amp;BA290&amp;"'!$B:$R"),16,FALSE)="","",VLOOKUP($B290,INDIRECT("'GRD-"&amp;BA290&amp;"'!$B:$R"),16,FALSE)))</f>
        <v/>
      </c>
      <c r="BA290" s="128">
        <f t="array" ref="BA290">IF(AY290="","",IFERROR(OFFSET($BZ$11,0,MATCH($AY290,$CA290:$FV290,0),),""))</f>
        <v/>
      </c>
      <c r="BB290" s="133">
        <f t="array" ref="BB290">IF(AY290="","",INDIRECT("'GRD-"&amp;BA290&amp;"'!$L$7"))</f>
        <v/>
      </c>
      <c r="BC290" s="84">
        <f t="array" ref="BC290">IFERROR(OFFSET($BZ$11,ROW($B290)-11,MATCH(BC$10,$CA290:$FV290,0),),"")</f>
        <v/>
      </c>
      <c r="BD290" s="84">
        <f>IF(BC290="","",IF(VLOOKUP($B290,INDIRECT("'GRD-"&amp;BE290&amp;"'!$B:$R"),16,FALSE)="","",VLOOKUP($B290,INDIRECT("'GRD-"&amp;BE290&amp;"'!$B:$R"),16,FALSE)))</f>
        <v/>
      </c>
      <c r="BE290" s="129">
        <f t="array" ref="BE290">IF(BC290="","",IFERROR(OFFSET($BZ$11,0,MATCH($BC290,$CA290:$FV290,0),),""))</f>
        <v/>
      </c>
      <c r="BF290" s="134">
        <f t="array" ref="BF290">IF(BC290="","",INDIRECT("'GRD-"&amp;BE290&amp;"'!$L$7"))</f>
        <v/>
      </c>
      <c r="CA290" s="96">
        <f>IFERROR(VLOOKUP($B290,INDIRECT("'GRD-"&amp;CA$11&amp;"'!B:R"),15,FALSE),"")</f>
        <v/>
      </c>
      <c r="CB290" s="96">
        <f>IFERROR(VLOOKUP($B290,INDIRECT("'GRD-"&amp;CB$11&amp;"'!B:R"),15,FALSE),"")</f>
        <v/>
      </c>
      <c r="CC290" s="96">
        <f>IFERROR(VLOOKUP($B290,INDIRECT("'GRD-"&amp;CC$11&amp;"'!B:R"),15,FALSE),"")</f>
        <v/>
      </c>
      <c r="CD290" s="96">
        <f>IFERROR(VLOOKUP($B290,INDIRECT("'GRD-"&amp;CD$11&amp;"'!B:R"),15,FALSE),"")</f>
        <v/>
      </c>
      <c r="CE290" s="96">
        <f>IFERROR(VLOOKUP($B290,INDIRECT("'GRD-"&amp;CE$11&amp;"'!B:R"),15,FALSE),"")</f>
        <v/>
      </c>
      <c r="CF290" s="96">
        <f>IFERROR(VLOOKUP($B290,INDIRECT("'GRD-"&amp;CF$11&amp;"'!B:R"),15,FALSE),"")</f>
        <v/>
      </c>
      <c r="CG290" s="96">
        <f>IFERROR(VLOOKUP($B290,INDIRECT("'GRD-"&amp;CG$11&amp;"'!B:R"),15,FALSE),"")</f>
        <v/>
      </c>
      <c r="CH290" s="96">
        <f>IFERROR(VLOOKUP($B290,INDIRECT("'GRD-"&amp;CH$11&amp;"'!B:R"),15,FALSE),"")</f>
        <v/>
      </c>
      <c r="CI290" s="96">
        <f>IFERROR(VLOOKUP($B290,INDIRECT("'GRD-"&amp;CI$11&amp;"'!B:R"),15,FALSE),"")</f>
        <v/>
      </c>
      <c r="CJ290" s="96">
        <f>IFERROR(VLOOKUP($B290,INDIRECT("'GRD-"&amp;CJ$11&amp;"'!B:R"),15,FALSE),"")</f>
        <v/>
      </c>
      <c r="CK290" s="96">
        <f>IFERROR(VLOOKUP($B290,INDIRECT("'GRD-"&amp;CK$11&amp;"'!B:R"),15,FALSE),"")</f>
        <v/>
      </c>
      <c r="CL290" s="96">
        <f>IFERROR(VLOOKUP($B290,INDIRECT("'GRD-"&amp;CL$11&amp;"'!B:R"),15,FALSE),"")</f>
        <v/>
      </c>
      <c r="CM290" s="96">
        <f>IFERROR(VLOOKUP($B290,INDIRECT("'GRD-"&amp;CM$11&amp;"'!B:R"),15,FALSE),"")</f>
        <v/>
      </c>
      <c r="CN290" s="96">
        <f>IFERROR(VLOOKUP($B290,INDIRECT("'GRD-"&amp;CN$11&amp;"'!B:R"),15,FALSE),"")</f>
        <v/>
      </c>
      <c r="CO290" s="96">
        <f>IFERROR(VLOOKUP($B290,INDIRECT("'GRD-"&amp;CO$11&amp;"'!B:R"),15,FALSE),"")</f>
        <v/>
      </c>
      <c r="CP290" s="96">
        <f>IFERROR(VLOOKUP($B290,INDIRECT("'GRD-"&amp;CP$11&amp;"'!B:R"),15,FALSE),"")</f>
        <v/>
      </c>
      <c r="CQ290" s="96">
        <f>IFERROR(VLOOKUP($B290,INDIRECT("'GRD-"&amp;CQ$11&amp;"'!B:R"),15,FALSE),"")</f>
        <v/>
      </c>
      <c r="CR290" s="96">
        <f>IFERROR(VLOOKUP($B290,INDIRECT("'GRD-"&amp;CR$11&amp;"'!B:R"),15,FALSE),"")</f>
        <v/>
      </c>
      <c r="CS290" s="96">
        <f>IFERROR(VLOOKUP($B290,INDIRECT("'GRD-"&amp;CS$11&amp;"'!B:R"),15,FALSE),"")</f>
        <v/>
      </c>
      <c r="CT290" s="96">
        <f>IFERROR(VLOOKUP($B290,INDIRECT("'GRD-"&amp;CT$11&amp;"'!B:R"),15,FALSE),"")</f>
        <v/>
      </c>
      <c r="CU290" s="96">
        <f>IFERROR(VLOOKUP($B290,INDIRECT("'GRD-"&amp;CU$11&amp;"'!B:R"),15,FALSE),"")</f>
        <v/>
      </c>
      <c r="CV290" s="96">
        <f>IFERROR(VLOOKUP($B290,INDIRECT("'GRD-"&amp;CV$11&amp;"'!B:R"),15,FALSE),"")</f>
        <v/>
      </c>
      <c r="CW290" s="96">
        <f>IFERROR(VLOOKUP($B290,INDIRECT("'GRD-"&amp;CW$11&amp;"'!B:R"),15,FALSE),"")</f>
        <v/>
      </c>
      <c r="CX290" s="96">
        <f>IFERROR(VLOOKUP($B290,INDIRECT("'GRD-"&amp;CX$11&amp;"'!B:R"),15,FALSE),"")</f>
        <v/>
      </c>
      <c r="CY290" s="96">
        <f>IFERROR(VLOOKUP($B290,INDIRECT("'GRD-"&amp;CY$11&amp;"'!B:R"),15,FALSE),"")</f>
        <v/>
      </c>
      <c r="CZ290" s="96">
        <f>IFERROR(VLOOKUP($B290,INDIRECT("'GRD-"&amp;CZ$11&amp;"'!B:R"),15,FALSE),"")</f>
        <v/>
      </c>
      <c r="DA290" s="96">
        <f>IFERROR(VLOOKUP($B290,INDIRECT("'GRD-"&amp;DA$11&amp;"'!B:R"),15,FALSE),"")</f>
        <v/>
      </c>
      <c r="DB290" s="96">
        <f>IFERROR(VLOOKUP($B290,INDIRECT("'GRD-"&amp;DB$11&amp;"'!B:R"),15,FALSE),"")</f>
        <v/>
      </c>
      <c r="DC290" s="96">
        <f>IFERROR(VLOOKUP($B290,INDIRECT("'GRD-"&amp;DC$11&amp;"'!B:R"),15,FALSE),"")</f>
        <v/>
      </c>
      <c r="DD290" s="96">
        <f>IFERROR(VLOOKUP($B290,INDIRECT("'GRD-"&amp;DD$11&amp;"'!B:R"),15,FALSE),"")</f>
        <v/>
      </c>
      <c r="DE290" s="96">
        <f>IFERROR(VLOOKUP($B290,INDIRECT("'GRD-"&amp;DE$11&amp;"'!B:R"),15,FALSE),"")</f>
        <v/>
      </c>
      <c r="DF290" s="96">
        <f>IFERROR(VLOOKUP($B290,INDIRECT("'GRD-"&amp;DF$11&amp;"'!B:R"),15,FALSE),"")</f>
        <v/>
      </c>
      <c r="DG290" s="96">
        <f>IFERROR(VLOOKUP($B290,INDIRECT("'GRD-"&amp;DG$11&amp;"'!B:R"),15,FALSE),"")</f>
        <v/>
      </c>
      <c r="DH290" s="96">
        <f>IFERROR(VLOOKUP($B290,INDIRECT("'GRD-"&amp;DH$11&amp;"'!B:R"),15,FALSE),"")</f>
        <v/>
      </c>
      <c r="DI290" s="96">
        <f>IFERROR(VLOOKUP($B290,INDIRECT("'GRD-"&amp;DI$11&amp;"'!B:R"),15,FALSE),"")</f>
        <v/>
      </c>
      <c r="DJ290" s="96">
        <f>IFERROR(VLOOKUP($B290,INDIRECT("'GRD-"&amp;DJ$11&amp;"'!B:R"),15,FALSE),"")</f>
        <v/>
      </c>
      <c r="DK290" s="96">
        <f>IFERROR(VLOOKUP($B290,INDIRECT("'GRD-"&amp;DK$11&amp;"'!B:R"),15,FALSE),"")</f>
        <v/>
      </c>
      <c r="DL290" s="96">
        <f>IFERROR(VLOOKUP($B290,INDIRECT("'GRD-"&amp;DL$11&amp;"'!B:R"),15,FALSE),"")</f>
        <v/>
      </c>
      <c r="DM290" s="96">
        <f>IFERROR(VLOOKUP($B290,INDIRECT("'GRD-"&amp;DM$11&amp;"'!B:R"),15,FALSE),"")</f>
        <v/>
      </c>
      <c r="DN290" s="96">
        <f>IFERROR(VLOOKUP($B290,INDIRECT("'GRD-"&amp;DN$11&amp;"'!B:R"),15,FALSE),"")</f>
        <v/>
      </c>
      <c r="DO290" s="96">
        <f>IFERROR(VLOOKUP($B290,INDIRECT("'GRD-"&amp;DO$11&amp;"'!B:R"),15,FALSE),"")</f>
        <v/>
      </c>
      <c r="DP290" s="96">
        <f>IFERROR(VLOOKUP($B290,INDIRECT("'GRD-"&amp;DP$11&amp;"'!B:R"),15,FALSE),"")</f>
        <v/>
      </c>
      <c r="DQ290" s="96">
        <f>IFERROR(VLOOKUP($B290,INDIRECT("'GRD-"&amp;DQ$11&amp;"'!B:R"),15,FALSE),"")</f>
        <v/>
      </c>
      <c r="DR290" s="96">
        <f>IFERROR(VLOOKUP($B290,INDIRECT("'GRD-"&amp;DR$11&amp;"'!B:R"),15,FALSE),"")</f>
        <v/>
      </c>
      <c r="DS290" s="96">
        <f>IFERROR(VLOOKUP($B290,INDIRECT("'GRD-"&amp;DS$11&amp;"'!B:R"),15,FALSE),"")</f>
        <v/>
      </c>
      <c r="DT290" s="96">
        <f>IFERROR(VLOOKUP($B290,INDIRECT("'GRD-"&amp;DT$11&amp;"'!B:R"),15,FALSE),"")</f>
        <v/>
      </c>
      <c r="DU290" s="96">
        <f>IFERROR(VLOOKUP($B290,INDIRECT("'GRD-"&amp;DU$11&amp;"'!B:R"),15,FALSE),"")</f>
        <v/>
      </c>
      <c r="DV290" s="96">
        <f>IFERROR(VLOOKUP($B290,INDIRECT("'GRD-"&amp;DV$11&amp;"'!B:R"),15,FALSE),"")</f>
        <v/>
      </c>
      <c r="DW290" s="96">
        <f>IFERROR(VLOOKUP($B290,INDIRECT("'GRD-"&amp;DW$11&amp;"'!B:R"),15,FALSE),"")</f>
        <v/>
      </c>
      <c r="DX290" s="96">
        <f>IFERROR(VLOOKUP($B290,INDIRECT("'GRD-"&amp;DX$11&amp;"'!B:R"),15,FALSE),"")</f>
        <v/>
      </c>
      <c r="DY290" s="96">
        <f>IFERROR(VLOOKUP($B290,INDIRECT("'GRD-"&amp;DY$11&amp;"'!B:R"),15,FALSE),"")</f>
        <v/>
      </c>
      <c r="DZ290" s="96">
        <f>IFERROR(VLOOKUP($B290,INDIRECT("'GRD-"&amp;DZ$11&amp;"'!B:R"),15,FALSE),"")</f>
        <v/>
      </c>
      <c r="EA290" s="96">
        <f>IFERROR(VLOOKUP($B290,INDIRECT("'GRD-"&amp;EA$11&amp;"'!B:R"),15,FALSE),"")</f>
        <v/>
      </c>
      <c r="EB290" s="96">
        <f>IFERROR(VLOOKUP($B290,INDIRECT("'GRD-"&amp;EB$11&amp;"'!B:R"),15,FALSE),"")</f>
        <v/>
      </c>
      <c r="EC290" s="96">
        <f>IFERROR(VLOOKUP($B290,INDIRECT("'GRD-"&amp;EC$11&amp;"'!B:R"),15,FALSE),"")</f>
        <v/>
      </c>
      <c r="ED290" s="96">
        <f>IFERROR(VLOOKUP($B290,INDIRECT("'GRD-"&amp;ED$11&amp;"'!B:R"),15,FALSE),"")</f>
        <v/>
      </c>
      <c r="EE290" s="96">
        <f>IFERROR(VLOOKUP($B290,INDIRECT("'GRD-"&amp;EE$11&amp;"'!B:R"),15,FALSE),"")</f>
        <v/>
      </c>
      <c r="EF290" s="96">
        <f>IFERROR(VLOOKUP($B290,INDIRECT("'GRD-"&amp;EF$11&amp;"'!B:R"),15,FALSE),"")</f>
        <v/>
      </c>
      <c r="EG290" s="96">
        <f>IFERROR(VLOOKUP($B290,INDIRECT("'GRD-"&amp;EG$11&amp;"'!B:R"),15,FALSE),"")</f>
        <v/>
      </c>
      <c r="EH290" s="96">
        <f>IFERROR(VLOOKUP($B290,INDIRECT("'GRD-"&amp;EH$11&amp;"'!B:R"),15,FALSE),"")</f>
        <v/>
      </c>
      <c r="EI290" s="96">
        <f>IFERROR(VLOOKUP($B290,INDIRECT("'GRD-"&amp;EI$11&amp;"'!B:R"),15,FALSE),"")</f>
        <v/>
      </c>
      <c r="EJ290" s="96">
        <f>IFERROR(VLOOKUP($B290,INDIRECT("'GRD-"&amp;EJ$11&amp;"'!B:R"),15,FALSE),"")</f>
        <v/>
      </c>
      <c r="EK290" s="96">
        <f>IFERROR(VLOOKUP($B290,INDIRECT("'GRD-"&amp;EK$11&amp;"'!B:R"),15,FALSE),"")</f>
        <v/>
      </c>
      <c r="EL290" s="96">
        <f>IFERROR(VLOOKUP($B290,INDIRECT("'GRD-"&amp;EL$11&amp;"'!B:R"),15,FALSE),"")</f>
        <v/>
      </c>
      <c r="EM290" s="96">
        <f>IFERROR(VLOOKUP($B290,INDIRECT("'GRD-"&amp;EM$11&amp;"'!B:R"),15,FALSE),"")</f>
        <v/>
      </c>
      <c r="EN290" s="96">
        <f>IFERROR(VLOOKUP($B290,INDIRECT("'GRD-"&amp;EN$11&amp;"'!B:R"),15,FALSE),"")</f>
        <v/>
      </c>
      <c r="EO290" s="96">
        <f>IFERROR(VLOOKUP($B290,INDIRECT("'GRD-"&amp;EO$11&amp;"'!B:R"),15,FALSE),"")</f>
        <v/>
      </c>
      <c r="EP290" s="96">
        <f>IFERROR(VLOOKUP($B290,INDIRECT("'GRD-"&amp;EP$11&amp;"'!B:R"),15,FALSE),"")</f>
        <v/>
      </c>
      <c r="EQ290" s="96">
        <f>IFERROR(VLOOKUP($B290,INDIRECT("'GRD-"&amp;EQ$11&amp;"'!B:R"),15,FALSE),"")</f>
        <v/>
      </c>
      <c r="ER290" s="96">
        <f>IFERROR(VLOOKUP($B290,INDIRECT("'GRD-"&amp;ER$11&amp;"'!B:R"),15,FALSE),"")</f>
        <v/>
      </c>
      <c r="ES290" s="96">
        <f>IFERROR(VLOOKUP($B290,INDIRECT("'GRD-"&amp;ES$11&amp;"'!B:R"),15,FALSE),"")</f>
        <v/>
      </c>
      <c r="ET290" s="96">
        <f>IFERROR(VLOOKUP($B290,INDIRECT("'GRD-"&amp;ET$11&amp;"'!B:R"),15,FALSE),"")</f>
        <v/>
      </c>
      <c r="EU290" s="96">
        <f>IFERROR(VLOOKUP($B290,INDIRECT("'GRD-"&amp;EU$11&amp;"'!B:R"),15,FALSE),"")</f>
        <v/>
      </c>
      <c r="EV290" s="96">
        <f>IFERROR(VLOOKUP($B290,INDIRECT("'GRD-"&amp;EV$11&amp;"'!B:R"),15,FALSE),"")</f>
        <v/>
      </c>
      <c r="EW290" s="96">
        <f>IFERROR(VLOOKUP($B290,INDIRECT("'GRD-"&amp;EW$11&amp;"'!B:R"),15,FALSE),"")</f>
        <v/>
      </c>
      <c r="EX290" s="96">
        <f>IFERROR(VLOOKUP($B290,INDIRECT("'GRD-"&amp;EX$11&amp;"'!B:R"),15,FALSE),"")</f>
        <v/>
      </c>
      <c r="EY290" s="96">
        <f>IFERROR(VLOOKUP($B290,INDIRECT("'GRD-"&amp;EY$11&amp;"'!B:R"),15,FALSE),"")</f>
        <v/>
      </c>
      <c r="EZ290" s="96">
        <f>IFERROR(VLOOKUP($B290,INDIRECT("'GRD-"&amp;EZ$11&amp;"'!B:R"),15,FALSE),"")</f>
        <v/>
      </c>
      <c r="FA290" s="96">
        <f>IFERROR(VLOOKUP($B290,INDIRECT("'GRD-"&amp;FA$11&amp;"'!B:R"),15,FALSE),"")</f>
        <v/>
      </c>
      <c r="FB290" s="96">
        <f>IFERROR(VLOOKUP($B290,INDIRECT("'GRD-"&amp;FB$11&amp;"'!B:R"),15,FALSE),"")</f>
        <v/>
      </c>
      <c r="FC290" s="96">
        <f>IFERROR(VLOOKUP($B290,INDIRECT("'GRD-"&amp;FC$11&amp;"'!B:R"),15,FALSE),"")</f>
        <v/>
      </c>
      <c r="FD290" s="96">
        <f>IFERROR(VLOOKUP($B290,INDIRECT("'GRD-"&amp;FD$11&amp;"'!B:R"),15,FALSE),"")</f>
        <v/>
      </c>
      <c r="FE290" s="96">
        <f>IFERROR(VLOOKUP($B290,INDIRECT("'GRD-"&amp;FE$11&amp;"'!B:R"),15,FALSE),"")</f>
        <v/>
      </c>
      <c r="FF290" s="96">
        <f>IFERROR(VLOOKUP($B290,INDIRECT("'GRD-"&amp;FF$11&amp;"'!B:R"),15,FALSE),"")</f>
        <v/>
      </c>
      <c r="FG290" s="96">
        <f>IFERROR(VLOOKUP($B290,INDIRECT("'GRD-"&amp;FG$11&amp;"'!B:R"),15,FALSE),"")</f>
        <v/>
      </c>
      <c r="FH290" s="96">
        <f>IFERROR(VLOOKUP($B290,INDIRECT("'GRD-"&amp;FH$11&amp;"'!B:R"),15,FALSE),"")</f>
        <v/>
      </c>
      <c r="FI290" s="96">
        <f>IFERROR(VLOOKUP($B290,INDIRECT("'GRD-"&amp;FI$11&amp;"'!B:R"),15,FALSE),"")</f>
        <v/>
      </c>
      <c r="FJ290" s="96">
        <f>IFERROR(VLOOKUP($B290,INDIRECT("'GRD-"&amp;FJ$11&amp;"'!B:R"),15,FALSE),"")</f>
        <v/>
      </c>
      <c r="FK290" s="96">
        <f>IFERROR(VLOOKUP($B290,INDIRECT("'GRD-"&amp;FK$11&amp;"'!B:R"),15,FALSE),"")</f>
        <v/>
      </c>
      <c r="FL290" s="96">
        <f>IFERROR(VLOOKUP($B290,INDIRECT("'GRD-"&amp;FL$11&amp;"'!B:R"),15,FALSE),"")</f>
        <v/>
      </c>
      <c r="FM290" s="96">
        <f>IFERROR(VLOOKUP($B290,INDIRECT("'GRD-"&amp;FM$11&amp;"'!B:R"),15,FALSE),"")</f>
        <v/>
      </c>
      <c r="FN290" s="96">
        <f>IFERROR(VLOOKUP($B290,INDIRECT("'GRD-"&amp;FN$11&amp;"'!B:R"),15,FALSE),"")</f>
        <v/>
      </c>
      <c r="FO290" s="96">
        <f>IFERROR(VLOOKUP($B290,INDIRECT("'GRD-"&amp;FO$11&amp;"'!B:R"),15,FALSE),"")</f>
        <v/>
      </c>
      <c r="FP290" s="96">
        <f>IFERROR(VLOOKUP($B290,INDIRECT("'GRD-"&amp;FP$11&amp;"'!B:R"),15,FALSE),"")</f>
        <v/>
      </c>
      <c r="FQ290" s="96">
        <f>IFERROR(VLOOKUP($B290,INDIRECT("'GRD-"&amp;FQ$11&amp;"'!B:R"),15,FALSE),"")</f>
        <v/>
      </c>
      <c r="FR290" s="96">
        <f>IFERROR(VLOOKUP($B290,INDIRECT("'GRD-"&amp;FR$11&amp;"'!B:R"),15,FALSE),"")</f>
        <v/>
      </c>
      <c r="FS290" s="96">
        <f>IFERROR(VLOOKUP($B290,INDIRECT("'GRD-"&amp;FS$11&amp;"'!B:R"),15,FALSE),"")</f>
        <v/>
      </c>
      <c r="FT290" s="96">
        <f>IFERROR(VLOOKUP($B290,INDIRECT("'GRD-"&amp;FT$11&amp;"'!B:R"),15,FALSE),"")</f>
        <v/>
      </c>
      <c r="FU290" s="96">
        <f>IFERROR(VLOOKUP($B290,INDIRECT("'GRD-"&amp;FU$11&amp;"'!B:R"),15,FALSE),"")</f>
        <v/>
      </c>
      <c r="FV290" s="96">
        <f>IFERROR(VLOOKUP($B290,INDIRECT("'GRD-"&amp;FV$11&amp;"'!B:R"),15,FALSE),"")</f>
        <v/>
      </c>
    </row>
    <row r="291">
      <c r="B291" s="85" t="n"/>
      <c r="C291" s="93" t="n"/>
      <c r="D291" s="73">
        <f>IF(K291="","",MAX($CA291:$FV291))</f>
        <v/>
      </c>
      <c r="E291" s="74">
        <f t="array" ref="E291">IF($K291="","",OFFSET($A$1,ROW($B291)-1,11+$D291*4,))</f>
        <v/>
      </c>
      <c r="F291" s="74">
        <f t="array" ref="F291">IF($K291="","",OFFSET($A$1,ROW($B291)-1,12+$D291*4,))</f>
        <v/>
      </c>
      <c r="G291" s="118">
        <f t="array" ref="G291">IF($K291="","",OFFSET($A$1,ROW($B291)-1,13+$D291*4,))</f>
        <v/>
      </c>
      <c r="H291" s="81" t="n"/>
      <c r="I291" s="82" t="n"/>
      <c r="J291" s="75">
        <f>IF(I291="A4",H291/8,IF(I291="A3",H291/4,IF(I291="A2",H291/2,IF(I291="A1",H291/1,IF(I291="A0",H291*2,"")))))</f>
        <v/>
      </c>
      <c r="K291" s="68">
        <f t="array" ref="K291">IFERROR(OFFSET($BZ$11,ROW($B291)-11,MATCH(K$10,$CA291:$FV291,0),),"")</f>
        <v/>
      </c>
      <c r="L291" s="85">
        <f>IF(K291="","",IF(VLOOKUP($B291,INDIRECT("'GRD-"&amp;M291&amp;"'!$B:$R"),16,FALSE)="","",VLOOKUP($B291,INDIRECT("'GRD-"&amp;M291&amp;"'!$B:$R"),16,FALSE)))</f>
        <v/>
      </c>
      <c r="M291" s="130">
        <f t="array" ref="M291">IF(K291="","",IFERROR(OFFSET($BZ$11,0,MATCH($K291,$CA291:$FV291,0),),""))</f>
        <v/>
      </c>
      <c r="N291" s="119">
        <f t="array" ref="N291">IF(K291="","",INDIRECT("'GRD-"&amp;M291&amp;"'!$L$7"))</f>
        <v/>
      </c>
      <c r="O291" s="76">
        <f t="array" ref="O291">IFERROR(OFFSET($BZ$11,ROW($B291)-11,MATCH(O$10,$CA291:$FV291,0),),"")</f>
        <v/>
      </c>
      <c r="P291" s="76">
        <f>IF(O291="","",IF(VLOOKUP($B291,INDIRECT("'GRD-"&amp;Q291&amp;"'!$B:$R"),16,FALSE)="","",VLOOKUP($B291,INDIRECT("'GRD-"&amp;Q291&amp;"'!$B:$R"),16,FALSE)))</f>
        <v/>
      </c>
      <c r="Q291" s="132">
        <f t="array" ref="Q291">IF(O291="","",IFERROR(OFFSET($BZ$11,0,MATCH($O291,$CA291:$FV291,0),),""))</f>
        <v/>
      </c>
      <c r="R291" s="121">
        <f t="array" ref="R291">IF(O291="","",INDIRECT("'GRD-"&amp;Q291&amp;"'!$L$7"))</f>
        <v/>
      </c>
      <c r="S291" s="83">
        <f t="array" ref="S291">IFERROR(OFFSET($BZ$11,ROW($B291)-11,MATCH(S$10,$CA291:$FV291,0),),"")</f>
        <v/>
      </c>
      <c r="T291" s="83">
        <f>IF(S291="","",IF(VLOOKUP($B291,INDIRECT("'GRD-"&amp;U291&amp;"'!$B:$R"),16,FALSE)="","",VLOOKUP($B291,INDIRECT("'GRD-"&amp;U291&amp;"'!$B:$R"),16,FALSE)))</f>
        <v/>
      </c>
      <c r="U291" s="128">
        <f t="array" ref="U291">IF(S291="","",IFERROR(OFFSET($BZ$11,0,MATCH($S291,$CA291:$FV291,0),),""))</f>
        <v/>
      </c>
      <c r="V291" s="133">
        <f t="array" ref="V291">IF(S291="","",INDIRECT("'GRD-"&amp;U291&amp;"'!$L$7"))</f>
        <v/>
      </c>
      <c r="W291" s="84">
        <f t="array" ref="W291">IFERROR(OFFSET($BZ$11,ROW($B291)-11,MATCH(W$10,$CA291:$FV291,0),),"")</f>
        <v/>
      </c>
      <c r="X291" s="84">
        <f>IF(W291="","",IF(VLOOKUP($B291,INDIRECT("'GRD-"&amp;Y291&amp;"'!$B:$R"),16,FALSE)="","",VLOOKUP($B291,INDIRECT("'GRD-"&amp;Y291&amp;"'!$B:$R"),16,FALSE)))</f>
        <v/>
      </c>
      <c r="Y291" s="129">
        <f t="array" ref="Y291">IF(W291="","",IFERROR(OFFSET($BZ$11,0,MATCH($W291,$CA291:$FV291,0),),""))</f>
        <v/>
      </c>
      <c r="Z291" s="134">
        <f t="array" ref="Z291">IF(W291="","",INDIRECT("'GRD-"&amp;Y291&amp;"'!$L$7"))</f>
        <v/>
      </c>
      <c r="AA291" s="85">
        <f t="array" ref="AA291">IFERROR(OFFSET($BZ$11,ROW($B291)-11,MATCH(AA$10,$CA291:$FV291,0),),"")</f>
        <v/>
      </c>
      <c r="AB291" s="85">
        <f>IF(AA291="","",IF(VLOOKUP($B291,INDIRECT("'GRD-"&amp;AC291&amp;"'!$B:$R"),16,FALSE)="","",VLOOKUP($B291,INDIRECT("'GRD-"&amp;AC291&amp;"'!$B:$R"),16,FALSE)))</f>
        <v/>
      </c>
      <c r="AC291" s="130">
        <f t="array" ref="AC291">IF(AA291="","",IFERROR(OFFSET($BZ$11,0,MATCH($AA291,$CA291:$FV291,0),),""))</f>
        <v/>
      </c>
      <c r="AD291" s="131">
        <f t="array" ref="AD291">IF(AA291="","",INDIRECT("'GRD-"&amp;AC291&amp;"'!$L$7"))</f>
        <v/>
      </c>
      <c r="AE291" s="76">
        <f t="array" ref="AE291">IFERROR(OFFSET($BZ$11,ROW($B291)-11,MATCH(AE$10,$CA291:$FV291,0),),"")</f>
        <v/>
      </c>
      <c r="AF291" s="76">
        <f>IF(AE291="","",IF(VLOOKUP($B291,INDIRECT("'GRD-"&amp;AG291&amp;"'!$B:$R"),16,FALSE)="","",VLOOKUP($B291,INDIRECT("'GRD-"&amp;AG291&amp;"'!$B:$R"),16,FALSE)))</f>
        <v/>
      </c>
      <c r="AG291" s="132">
        <f t="array" ref="AG291">IF(AE291="","",IFERROR(OFFSET($BZ$11,0,MATCH($AE291,$CA291:$FV291,0),),""))</f>
        <v/>
      </c>
      <c r="AH291" s="121">
        <f t="array" ref="AH291">IF(AE291="","",INDIRECT("'GRD-"&amp;AG291&amp;"'!$L$7"))</f>
        <v/>
      </c>
      <c r="AI291" s="83">
        <f t="array" ref="AI291">IFERROR(OFFSET($BZ$11,ROW($B291)-11,MATCH(AI$10,$CA291:$FV291,0),),"")</f>
        <v/>
      </c>
      <c r="AJ291" s="83">
        <f>IF(AI291="","",IF(VLOOKUP($B291,INDIRECT("'GRD-"&amp;AK291&amp;"'!$B:$R"),16,FALSE)="","",VLOOKUP($B291,INDIRECT("'GRD-"&amp;AK291&amp;"'!$B:$R"),16,FALSE)))</f>
        <v/>
      </c>
      <c r="AK291" s="128">
        <f t="array" ref="AK291">IF(AI291="","",IFERROR(OFFSET($BZ$11,0,MATCH($AI291,$CA291:$FV291,0),),""))</f>
        <v/>
      </c>
      <c r="AL291" s="133">
        <f t="array" ref="AL291">IF(AI291="","",INDIRECT("'GRD-"&amp;AK291&amp;"'!$L$7"))</f>
        <v/>
      </c>
      <c r="AM291" s="84">
        <f t="array" ref="AM291">IFERROR(OFFSET($BZ$11,ROW($B291)-11,MATCH(AM$10,$CA291:$FV291,0),),"")</f>
        <v/>
      </c>
      <c r="AN291" s="84">
        <f>IF(AM291="","",IF(VLOOKUP($B291,INDIRECT("'GRD-"&amp;AO291&amp;"'!$B:$R"),16,FALSE)="","",VLOOKUP($B291,INDIRECT("'GRD-"&amp;AO291&amp;"'!$B:$R"),16,FALSE)))</f>
        <v/>
      </c>
      <c r="AO291" s="129">
        <f t="array" ref="AO291">IF(AM291="","",IFERROR(OFFSET($BZ$11,0,MATCH($AM291,$CA291:$FV291,0),),""))</f>
        <v/>
      </c>
      <c r="AP291" s="134">
        <f t="array" ref="AP291">IF(AM291="","",INDIRECT("'GRD-"&amp;AO291&amp;"'!$L$7"))</f>
        <v/>
      </c>
      <c r="AQ291" s="85">
        <f t="array" ref="AQ291">IFERROR(OFFSET($BZ$11,ROW($B291)-11,MATCH(AQ$10,$CA291:$FV291,0),),"")</f>
        <v/>
      </c>
      <c r="AR291" s="85">
        <f>IF(AQ291="","",IF(VLOOKUP($B291,INDIRECT("'GRD-"&amp;AS291&amp;"'!$B:$R"),16,FALSE)="","",VLOOKUP($B291,INDIRECT("'GRD-"&amp;AS291&amp;"'!$B:$R"),16,FALSE)))</f>
        <v/>
      </c>
      <c r="AS291" s="130">
        <f t="array" ref="AS291">IF(AQ291="","",IFERROR(OFFSET($BZ$11,0,MATCH($AQ291,$CA291:$FV291,0),),""))</f>
        <v/>
      </c>
      <c r="AT291" s="131">
        <f t="array" ref="AT291">IF(AQ291="","",INDIRECT("'GRD-"&amp;AS291&amp;"'!$L$7"))</f>
        <v/>
      </c>
      <c r="AU291" s="76">
        <f t="array" ref="AU291">IFERROR(OFFSET($BZ$11,ROW($B291)-11,MATCH(AU$10,$CA291:$FV291,0),),"")</f>
        <v/>
      </c>
      <c r="AV291" s="76">
        <f>IF(AU291="","",IF(VLOOKUP($B291,INDIRECT("'GRD-"&amp;AW291&amp;"'!$B:$R"),16,FALSE)="","",VLOOKUP($B291,INDIRECT("'GRD-"&amp;AW291&amp;"'!$B:$R"),16,FALSE)))</f>
        <v/>
      </c>
      <c r="AW291" s="132">
        <f t="array" ref="AW291">IF(AU291="","",IFERROR(OFFSET($BZ$11,0,MATCH($AU291,$CA291:$FV291,0),),""))</f>
        <v/>
      </c>
      <c r="AX291" s="121">
        <f t="array" ref="AX291">IF(AU291="","",INDIRECT("'GRD-"&amp;AW291&amp;"'!$L$7"))</f>
        <v/>
      </c>
      <c r="AY291" s="83">
        <f t="array" ref="AY291">IFERROR(OFFSET($BZ$11,ROW($B291)-11,MATCH(AY$10,$CA291:$FV291,0),),"")</f>
        <v/>
      </c>
      <c r="AZ291" s="83">
        <f>IF(AY291="","",IF(VLOOKUP($B291,INDIRECT("'GRD-"&amp;BA291&amp;"'!$B:$R"),16,FALSE)="","",VLOOKUP($B291,INDIRECT("'GRD-"&amp;BA291&amp;"'!$B:$R"),16,FALSE)))</f>
        <v/>
      </c>
      <c r="BA291" s="128">
        <f t="array" ref="BA291">IF(AY291="","",IFERROR(OFFSET($BZ$11,0,MATCH($AY291,$CA291:$FV291,0),),""))</f>
        <v/>
      </c>
      <c r="BB291" s="133">
        <f t="array" ref="BB291">IF(AY291="","",INDIRECT("'GRD-"&amp;BA291&amp;"'!$L$7"))</f>
        <v/>
      </c>
      <c r="BC291" s="84">
        <f t="array" ref="BC291">IFERROR(OFFSET($BZ$11,ROW($B291)-11,MATCH(BC$10,$CA291:$FV291,0),),"")</f>
        <v/>
      </c>
      <c r="BD291" s="84">
        <f>IF(BC291="","",IF(VLOOKUP($B291,INDIRECT("'GRD-"&amp;BE291&amp;"'!$B:$R"),16,FALSE)="","",VLOOKUP($B291,INDIRECT("'GRD-"&amp;BE291&amp;"'!$B:$R"),16,FALSE)))</f>
        <v/>
      </c>
      <c r="BE291" s="129">
        <f t="array" ref="BE291">IF(BC291="","",IFERROR(OFFSET($BZ$11,0,MATCH($BC291,$CA291:$FV291,0),),""))</f>
        <v/>
      </c>
      <c r="BF291" s="134">
        <f t="array" ref="BF291">IF(BC291="","",INDIRECT("'GRD-"&amp;BE291&amp;"'!$L$7"))</f>
        <v/>
      </c>
      <c r="CA291" s="96">
        <f>IFERROR(VLOOKUP($B291,INDIRECT("'GRD-"&amp;CA$11&amp;"'!B:R"),15,FALSE),"")</f>
        <v/>
      </c>
      <c r="CB291" s="96">
        <f>IFERROR(VLOOKUP($B291,INDIRECT("'GRD-"&amp;CB$11&amp;"'!B:R"),15,FALSE),"")</f>
        <v/>
      </c>
      <c r="CC291" s="96">
        <f>IFERROR(VLOOKUP($B291,INDIRECT("'GRD-"&amp;CC$11&amp;"'!B:R"),15,FALSE),"")</f>
        <v/>
      </c>
      <c r="CD291" s="96">
        <f>IFERROR(VLOOKUP($B291,INDIRECT("'GRD-"&amp;CD$11&amp;"'!B:R"),15,FALSE),"")</f>
        <v/>
      </c>
      <c r="CE291" s="96">
        <f>IFERROR(VLOOKUP($B291,INDIRECT("'GRD-"&amp;CE$11&amp;"'!B:R"),15,FALSE),"")</f>
        <v/>
      </c>
      <c r="CF291" s="96">
        <f>IFERROR(VLOOKUP($B291,INDIRECT("'GRD-"&amp;CF$11&amp;"'!B:R"),15,FALSE),"")</f>
        <v/>
      </c>
      <c r="CG291" s="96">
        <f>IFERROR(VLOOKUP($B291,INDIRECT("'GRD-"&amp;CG$11&amp;"'!B:R"),15,FALSE),"")</f>
        <v/>
      </c>
      <c r="CH291" s="96">
        <f>IFERROR(VLOOKUP($B291,INDIRECT("'GRD-"&amp;CH$11&amp;"'!B:R"),15,FALSE),"")</f>
        <v/>
      </c>
      <c r="CI291" s="96">
        <f>IFERROR(VLOOKUP($B291,INDIRECT("'GRD-"&amp;CI$11&amp;"'!B:R"),15,FALSE),"")</f>
        <v/>
      </c>
      <c r="CJ291" s="96">
        <f>IFERROR(VLOOKUP($B291,INDIRECT("'GRD-"&amp;CJ$11&amp;"'!B:R"),15,FALSE),"")</f>
        <v/>
      </c>
      <c r="CK291" s="96">
        <f>IFERROR(VLOOKUP($B291,INDIRECT("'GRD-"&amp;CK$11&amp;"'!B:R"),15,FALSE),"")</f>
        <v/>
      </c>
      <c r="CL291" s="96">
        <f>IFERROR(VLOOKUP($B291,INDIRECT("'GRD-"&amp;CL$11&amp;"'!B:R"),15,FALSE),"")</f>
        <v/>
      </c>
      <c r="CM291" s="96">
        <f>IFERROR(VLOOKUP($B291,INDIRECT("'GRD-"&amp;CM$11&amp;"'!B:R"),15,FALSE),"")</f>
        <v/>
      </c>
      <c r="CN291" s="96">
        <f>IFERROR(VLOOKUP($B291,INDIRECT("'GRD-"&amp;CN$11&amp;"'!B:R"),15,FALSE),"")</f>
        <v/>
      </c>
      <c r="CO291" s="96">
        <f>IFERROR(VLOOKUP($B291,INDIRECT("'GRD-"&amp;CO$11&amp;"'!B:R"),15,FALSE),"")</f>
        <v/>
      </c>
      <c r="CP291" s="96">
        <f>IFERROR(VLOOKUP($B291,INDIRECT("'GRD-"&amp;CP$11&amp;"'!B:R"),15,FALSE),"")</f>
        <v/>
      </c>
      <c r="CQ291" s="96">
        <f>IFERROR(VLOOKUP($B291,INDIRECT("'GRD-"&amp;CQ$11&amp;"'!B:R"),15,FALSE),"")</f>
        <v/>
      </c>
      <c r="CR291" s="96">
        <f>IFERROR(VLOOKUP($B291,INDIRECT("'GRD-"&amp;CR$11&amp;"'!B:R"),15,FALSE),"")</f>
        <v/>
      </c>
      <c r="CS291" s="96">
        <f>IFERROR(VLOOKUP($B291,INDIRECT("'GRD-"&amp;CS$11&amp;"'!B:R"),15,FALSE),"")</f>
        <v/>
      </c>
      <c r="CT291" s="96">
        <f>IFERROR(VLOOKUP($B291,INDIRECT("'GRD-"&amp;CT$11&amp;"'!B:R"),15,FALSE),"")</f>
        <v/>
      </c>
      <c r="CU291" s="96">
        <f>IFERROR(VLOOKUP($B291,INDIRECT("'GRD-"&amp;CU$11&amp;"'!B:R"),15,FALSE),"")</f>
        <v/>
      </c>
      <c r="CV291" s="96">
        <f>IFERROR(VLOOKUP($B291,INDIRECT("'GRD-"&amp;CV$11&amp;"'!B:R"),15,FALSE),"")</f>
        <v/>
      </c>
      <c r="CW291" s="96">
        <f>IFERROR(VLOOKUP($B291,INDIRECT("'GRD-"&amp;CW$11&amp;"'!B:R"),15,FALSE),"")</f>
        <v/>
      </c>
      <c r="CX291" s="96">
        <f>IFERROR(VLOOKUP($B291,INDIRECT("'GRD-"&amp;CX$11&amp;"'!B:R"),15,FALSE),"")</f>
        <v/>
      </c>
      <c r="CY291" s="96">
        <f>IFERROR(VLOOKUP($B291,INDIRECT("'GRD-"&amp;CY$11&amp;"'!B:R"),15,FALSE),"")</f>
        <v/>
      </c>
      <c r="CZ291" s="96">
        <f>IFERROR(VLOOKUP($B291,INDIRECT("'GRD-"&amp;CZ$11&amp;"'!B:R"),15,FALSE),"")</f>
        <v/>
      </c>
      <c r="DA291" s="96">
        <f>IFERROR(VLOOKUP($B291,INDIRECT("'GRD-"&amp;DA$11&amp;"'!B:R"),15,FALSE),"")</f>
        <v/>
      </c>
      <c r="DB291" s="96">
        <f>IFERROR(VLOOKUP($B291,INDIRECT("'GRD-"&amp;DB$11&amp;"'!B:R"),15,FALSE),"")</f>
        <v/>
      </c>
      <c r="DC291" s="96">
        <f>IFERROR(VLOOKUP($B291,INDIRECT("'GRD-"&amp;DC$11&amp;"'!B:R"),15,FALSE),"")</f>
        <v/>
      </c>
      <c r="DD291" s="96">
        <f>IFERROR(VLOOKUP($B291,INDIRECT("'GRD-"&amp;DD$11&amp;"'!B:R"),15,FALSE),"")</f>
        <v/>
      </c>
      <c r="DE291" s="96">
        <f>IFERROR(VLOOKUP($B291,INDIRECT("'GRD-"&amp;DE$11&amp;"'!B:R"),15,FALSE),"")</f>
        <v/>
      </c>
      <c r="DF291" s="96">
        <f>IFERROR(VLOOKUP($B291,INDIRECT("'GRD-"&amp;DF$11&amp;"'!B:R"),15,FALSE),"")</f>
        <v/>
      </c>
      <c r="DG291" s="96">
        <f>IFERROR(VLOOKUP($B291,INDIRECT("'GRD-"&amp;DG$11&amp;"'!B:R"),15,FALSE),"")</f>
        <v/>
      </c>
      <c r="DH291" s="96">
        <f>IFERROR(VLOOKUP($B291,INDIRECT("'GRD-"&amp;DH$11&amp;"'!B:R"),15,FALSE),"")</f>
        <v/>
      </c>
      <c r="DI291" s="96">
        <f>IFERROR(VLOOKUP($B291,INDIRECT("'GRD-"&amp;DI$11&amp;"'!B:R"),15,FALSE),"")</f>
        <v/>
      </c>
      <c r="DJ291" s="96">
        <f>IFERROR(VLOOKUP($B291,INDIRECT("'GRD-"&amp;DJ$11&amp;"'!B:R"),15,FALSE),"")</f>
        <v/>
      </c>
      <c r="DK291" s="96">
        <f>IFERROR(VLOOKUP($B291,INDIRECT("'GRD-"&amp;DK$11&amp;"'!B:R"),15,FALSE),"")</f>
        <v/>
      </c>
      <c r="DL291" s="96">
        <f>IFERROR(VLOOKUP($B291,INDIRECT("'GRD-"&amp;DL$11&amp;"'!B:R"),15,FALSE),"")</f>
        <v/>
      </c>
      <c r="DM291" s="96">
        <f>IFERROR(VLOOKUP($B291,INDIRECT("'GRD-"&amp;DM$11&amp;"'!B:R"),15,FALSE),"")</f>
        <v/>
      </c>
      <c r="DN291" s="96">
        <f>IFERROR(VLOOKUP($B291,INDIRECT("'GRD-"&amp;DN$11&amp;"'!B:R"),15,FALSE),"")</f>
        <v/>
      </c>
      <c r="DO291" s="96">
        <f>IFERROR(VLOOKUP($B291,INDIRECT("'GRD-"&amp;DO$11&amp;"'!B:R"),15,FALSE),"")</f>
        <v/>
      </c>
      <c r="DP291" s="96">
        <f>IFERROR(VLOOKUP($B291,INDIRECT("'GRD-"&amp;DP$11&amp;"'!B:R"),15,FALSE),"")</f>
        <v/>
      </c>
      <c r="DQ291" s="96">
        <f>IFERROR(VLOOKUP($B291,INDIRECT("'GRD-"&amp;DQ$11&amp;"'!B:R"),15,FALSE),"")</f>
        <v/>
      </c>
      <c r="DR291" s="96">
        <f>IFERROR(VLOOKUP($B291,INDIRECT("'GRD-"&amp;DR$11&amp;"'!B:R"),15,FALSE),"")</f>
        <v/>
      </c>
      <c r="DS291" s="96">
        <f>IFERROR(VLOOKUP($B291,INDIRECT("'GRD-"&amp;DS$11&amp;"'!B:R"),15,FALSE),"")</f>
        <v/>
      </c>
      <c r="DT291" s="96">
        <f>IFERROR(VLOOKUP($B291,INDIRECT("'GRD-"&amp;DT$11&amp;"'!B:R"),15,FALSE),"")</f>
        <v/>
      </c>
      <c r="DU291" s="96">
        <f>IFERROR(VLOOKUP($B291,INDIRECT("'GRD-"&amp;DU$11&amp;"'!B:R"),15,FALSE),"")</f>
        <v/>
      </c>
      <c r="DV291" s="96">
        <f>IFERROR(VLOOKUP($B291,INDIRECT("'GRD-"&amp;DV$11&amp;"'!B:R"),15,FALSE),"")</f>
        <v/>
      </c>
      <c r="DW291" s="96">
        <f>IFERROR(VLOOKUP($B291,INDIRECT("'GRD-"&amp;DW$11&amp;"'!B:R"),15,FALSE),"")</f>
        <v/>
      </c>
      <c r="DX291" s="96">
        <f>IFERROR(VLOOKUP($B291,INDIRECT("'GRD-"&amp;DX$11&amp;"'!B:R"),15,FALSE),"")</f>
        <v/>
      </c>
      <c r="DY291" s="96">
        <f>IFERROR(VLOOKUP($B291,INDIRECT("'GRD-"&amp;DY$11&amp;"'!B:R"),15,FALSE),"")</f>
        <v/>
      </c>
      <c r="DZ291" s="96">
        <f>IFERROR(VLOOKUP($B291,INDIRECT("'GRD-"&amp;DZ$11&amp;"'!B:R"),15,FALSE),"")</f>
        <v/>
      </c>
      <c r="EA291" s="96">
        <f>IFERROR(VLOOKUP($B291,INDIRECT("'GRD-"&amp;EA$11&amp;"'!B:R"),15,FALSE),"")</f>
        <v/>
      </c>
      <c r="EB291" s="96">
        <f>IFERROR(VLOOKUP($B291,INDIRECT("'GRD-"&amp;EB$11&amp;"'!B:R"),15,FALSE),"")</f>
        <v/>
      </c>
      <c r="EC291" s="96">
        <f>IFERROR(VLOOKUP($B291,INDIRECT("'GRD-"&amp;EC$11&amp;"'!B:R"),15,FALSE),"")</f>
        <v/>
      </c>
      <c r="ED291" s="96">
        <f>IFERROR(VLOOKUP($B291,INDIRECT("'GRD-"&amp;ED$11&amp;"'!B:R"),15,FALSE),"")</f>
        <v/>
      </c>
      <c r="EE291" s="96">
        <f>IFERROR(VLOOKUP($B291,INDIRECT("'GRD-"&amp;EE$11&amp;"'!B:R"),15,FALSE),"")</f>
        <v/>
      </c>
      <c r="EF291" s="96">
        <f>IFERROR(VLOOKUP($B291,INDIRECT("'GRD-"&amp;EF$11&amp;"'!B:R"),15,FALSE),"")</f>
        <v/>
      </c>
      <c r="EG291" s="96">
        <f>IFERROR(VLOOKUP($B291,INDIRECT("'GRD-"&amp;EG$11&amp;"'!B:R"),15,FALSE),"")</f>
        <v/>
      </c>
      <c r="EH291" s="96">
        <f>IFERROR(VLOOKUP($B291,INDIRECT("'GRD-"&amp;EH$11&amp;"'!B:R"),15,FALSE),"")</f>
        <v/>
      </c>
      <c r="EI291" s="96">
        <f>IFERROR(VLOOKUP($B291,INDIRECT("'GRD-"&amp;EI$11&amp;"'!B:R"),15,FALSE),"")</f>
        <v/>
      </c>
      <c r="EJ291" s="96">
        <f>IFERROR(VLOOKUP($B291,INDIRECT("'GRD-"&amp;EJ$11&amp;"'!B:R"),15,FALSE),"")</f>
        <v/>
      </c>
      <c r="EK291" s="96">
        <f>IFERROR(VLOOKUP($B291,INDIRECT("'GRD-"&amp;EK$11&amp;"'!B:R"),15,FALSE),"")</f>
        <v/>
      </c>
      <c r="EL291" s="96">
        <f>IFERROR(VLOOKUP($B291,INDIRECT("'GRD-"&amp;EL$11&amp;"'!B:R"),15,FALSE),"")</f>
        <v/>
      </c>
      <c r="EM291" s="96">
        <f>IFERROR(VLOOKUP($B291,INDIRECT("'GRD-"&amp;EM$11&amp;"'!B:R"),15,FALSE),"")</f>
        <v/>
      </c>
      <c r="EN291" s="96">
        <f>IFERROR(VLOOKUP($B291,INDIRECT("'GRD-"&amp;EN$11&amp;"'!B:R"),15,FALSE),"")</f>
        <v/>
      </c>
      <c r="EO291" s="96">
        <f>IFERROR(VLOOKUP($B291,INDIRECT("'GRD-"&amp;EO$11&amp;"'!B:R"),15,FALSE),"")</f>
        <v/>
      </c>
      <c r="EP291" s="96">
        <f>IFERROR(VLOOKUP($B291,INDIRECT("'GRD-"&amp;EP$11&amp;"'!B:R"),15,FALSE),"")</f>
        <v/>
      </c>
      <c r="EQ291" s="96">
        <f>IFERROR(VLOOKUP($B291,INDIRECT("'GRD-"&amp;EQ$11&amp;"'!B:R"),15,FALSE),"")</f>
        <v/>
      </c>
      <c r="ER291" s="96">
        <f>IFERROR(VLOOKUP($B291,INDIRECT("'GRD-"&amp;ER$11&amp;"'!B:R"),15,FALSE),"")</f>
        <v/>
      </c>
      <c r="ES291" s="96">
        <f>IFERROR(VLOOKUP($B291,INDIRECT("'GRD-"&amp;ES$11&amp;"'!B:R"),15,FALSE),"")</f>
        <v/>
      </c>
      <c r="ET291" s="96">
        <f>IFERROR(VLOOKUP($B291,INDIRECT("'GRD-"&amp;ET$11&amp;"'!B:R"),15,FALSE),"")</f>
        <v/>
      </c>
      <c r="EU291" s="96">
        <f>IFERROR(VLOOKUP($B291,INDIRECT("'GRD-"&amp;EU$11&amp;"'!B:R"),15,FALSE),"")</f>
        <v/>
      </c>
      <c r="EV291" s="96">
        <f>IFERROR(VLOOKUP($B291,INDIRECT("'GRD-"&amp;EV$11&amp;"'!B:R"),15,FALSE),"")</f>
        <v/>
      </c>
      <c r="EW291" s="96">
        <f>IFERROR(VLOOKUP($B291,INDIRECT("'GRD-"&amp;EW$11&amp;"'!B:R"),15,FALSE),"")</f>
        <v/>
      </c>
      <c r="EX291" s="96">
        <f>IFERROR(VLOOKUP($B291,INDIRECT("'GRD-"&amp;EX$11&amp;"'!B:R"),15,FALSE),"")</f>
        <v/>
      </c>
      <c r="EY291" s="96">
        <f>IFERROR(VLOOKUP($B291,INDIRECT("'GRD-"&amp;EY$11&amp;"'!B:R"),15,FALSE),"")</f>
        <v/>
      </c>
      <c r="EZ291" s="96">
        <f>IFERROR(VLOOKUP($B291,INDIRECT("'GRD-"&amp;EZ$11&amp;"'!B:R"),15,FALSE),"")</f>
        <v/>
      </c>
      <c r="FA291" s="96">
        <f>IFERROR(VLOOKUP($B291,INDIRECT("'GRD-"&amp;FA$11&amp;"'!B:R"),15,FALSE),"")</f>
        <v/>
      </c>
      <c r="FB291" s="96">
        <f>IFERROR(VLOOKUP($B291,INDIRECT("'GRD-"&amp;FB$11&amp;"'!B:R"),15,FALSE),"")</f>
        <v/>
      </c>
      <c r="FC291" s="96">
        <f>IFERROR(VLOOKUP($B291,INDIRECT("'GRD-"&amp;FC$11&amp;"'!B:R"),15,FALSE),"")</f>
        <v/>
      </c>
      <c r="FD291" s="96">
        <f>IFERROR(VLOOKUP($B291,INDIRECT("'GRD-"&amp;FD$11&amp;"'!B:R"),15,FALSE),"")</f>
        <v/>
      </c>
      <c r="FE291" s="96">
        <f>IFERROR(VLOOKUP($B291,INDIRECT("'GRD-"&amp;FE$11&amp;"'!B:R"),15,FALSE),"")</f>
        <v/>
      </c>
      <c r="FF291" s="96">
        <f>IFERROR(VLOOKUP($B291,INDIRECT("'GRD-"&amp;FF$11&amp;"'!B:R"),15,FALSE),"")</f>
        <v/>
      </c>
      <c r="FG291" s="96">
        <f>IFERROR(VLOOKUP($B291,INDIRECT("'GRD-"&amp;FG$11&amp;"'!B:R"),15,FALSE),"")</f>
        <v/>
      </c>
      <c r="FH291" s="96">
        <f>IFERROR(VLOOKUP($B291,INDIRECT("'GRD-"&amp;FH$11&amp;"'!B:R"),15,FALSE),"")</f>
        <v/>
      </c>
      <c r="FI291" s="96">
        <f>IFERROR(VLOOKUP($B291,INDIRECT("'GRD-"&amp;FI$11&amp;"'!B:R"),15,FALSE),"")</f>
        <v/>
      </c>
      <c r="FJ291" s="96">
        <f>IFERROR(VLOOKUP($B291,INDIRECT("'GRD-"&amp;FJ$11&amp;"'!B:R"),15,FALSE),"")</f>
        <v/>
      </c>
      <c r="FK291" s="96">
        <f>IFERROR(VLOOKUP($B291,INDIRECT("'GRD-"&amp;FK$11&amp;"'!B:R"),15,FALSE),"")</f>
        <v/>
      </c>
      <c r="FL291" s="96">
        <f>IFERROR(VLOOKUP($B291,INDIRECT("'GRD-"&amp;FL$11&amp;"'!B:R"),15,FALSE),"")</f>
        <v/>
      </c>
      <c r="FM291" s="96">
        <f>IFERROR(VLOOKUP($B291,INDIRECT("'GRD-"&amp;FM$11&amp;"'!B:R"),15,FALSE),"")</f>
        <v/>
      </c>
      <c r="FN291" s="96">
        <f>IFERROR(VLOOKUP($B291,INDIRECT("'GRD-"&amp;FN$11&amp;"'!B:R"),15,FALSE),"")</f>
        <v/>
      </c>
      <c r="FO291" s="96">
        <f>IFERROR(VLOOKUP($B291,INDIRECT("'GRD-"&amp;FO$11&amp;"'!B:R"),15,FALSE),"")</f>
        <v/>
      </c>
      <c r="FP291" s="96">
        <f>IFERROR(VLOOKUP($B291,INDIRECT("'GRD-"&amp;FP$11&amp;"'!B:R"),15,FALSE),"")</f>
        <v/>
      </c>
      <c r="FQ291" s="96">
        <f>IFERROR(VLOOKUP($B291,INDIRECT("'GRD-"&amp;FQ$11&amp;"'!B:R"),15,FALSE),"")</f>
        <v/>
      </c>
      <c r="FR291" s="96">
        <f>IFERROR(VLOOKUP($B291,INDIRECT("'GRD-"&amp;FR$11&amp;"'!B:R"),15,FALSE),"")</f>
        <v/>
      </c>
      <c r="FS291" s="96">
        <f>IFERROR(VLOOKUP($B291,INDIRECT("'GRD-"&amp;FS$11&amp;"'!B:R"),15,FALSE),"")</f>
        <v/>
      </c>
      <c r="FT291" s="96">
        <f>IFERROR(VLOOKUP($B291,INDIRECT("'GRD-"&amp;FT$11&amp;"'!B:R"),15,FALSE),"")</f>
        <v/>
      </c>
      <c r="FU291" s="96">
        <f>IFERROR(VLOOKUP($B291,INDIRECT("'GRD-"&amp;FU$11&amp;"'!B:R"),15,FALSE),"")</f>
        <v/>
      </c>
      <c r="FV291" s="96">
        <f>IFERROR(VLOOKUP($B291,INDIRECT("'GRD-"&amp;FV$11&amp;"'!B:R"),15,FALSE),"")</f>
        <v/>
      </c>
    </row>
    <row r="292">
      <c r="B292" s="85" t="n"/>
      <c r="C292" s="93" t="n"/>
      <c r="D292" s="73">
        <f>IF(K292="","",MAX($CA292:$FV292))</f>
        <v/>
      </c>
      <c r="E292" s="74">
        <f t="array" ref="E292">IF($K292="","",OFFSET($A$1,ROW($B292)-1,11+$D292*4,))</f>
        <v/>
      </c>
      <c r="F292" s="74">
        <f t="array" ref="F292">IF($K292="","",OFFSET($A$1,ROW($B292)-1,12+$D292*4,))</f>
        <v/>
      </c>
      <c r="G292" s="118">
        <f t="array" ref="G292">IF($K292="","",OFFSET($A$1,ROW($B292)-1,13+$D292*4,))</f>
        <v/>
      </c>
      <c r="H292" s="81" t="n"/>
      <c r="I292" s="82" t="n"/>
      <c r="J292" s="75">
        <f>IF(I292="A4",H292/8,IF(I292="A3",H292/4,IF(I292="A2",H292/2,IF(I292="A1",H292/1,IF(I292="A0",H292*2,"")))))</f>
        <v/>
      </c>
      <c r="K292" s="68">
        <f t="array" ref="K292">IFERROR(OFFSET($BZ$11,ROW($B292)-11,MATCH(K$10,$CA292:$FV292,0),),"")</f>
        <v/>
      </c>
      <c r="L292" s="85">
        <f>IF(K292="","",IF(VLOOKUP($B292,INDIRECT("'GRD-"&amp;M292&amp;"'!$B:$R"),16,FALSE)="","",VLOOKUP($B292,INDIRECT("'GRD-"&amp;M292&amp;"'!$B:$R"),16,FALSE)))</f>
        <v/>
      </c>
      <c r="M292" s="130">
        <f t="array" ref="M292">IF(K292="","",IFERROR(OFFSET($BZ$11,0,MATCH($K292,$CA292:$FV292,0),),""))</f>
        <v/>
      </c>
      <c r="N292" s="119">
        <f t="array" ref="N292">IF(K292="","",INDIRECT("'GRD-"&amp;M292&amp;"'!$L$7"))</f>
        <v/>
      </c>
      <c r="O292" s="76">
        <f t="array" ref="O292">IFERROR(OFFSET($BZ$11,ROW($B292)-11,MATCH(O$10,$CA292:$FV292,0),),"")</f>
        <v/>
      </c>
      <c r="P292" s="76">
        <f>IF(O292="","",IF(VLOOKUP($B292,INDIRECT("'GRD-"&amp;Q292&amp;"'!$B:$R"),16,FALSE)="","",VLOOKUP($B292,INDIRECT("'GRD-"&amp;Q292&amp;"'!$B:$R"),16,FALSE)))</f>
        <v/>
      </c>
      <c r="Q292" s="132">
        <f t="array" ref="Q292">IF(O292="","",IFERROR(OFFSET($BZ$11,0,MATCH($O292,$CA292:$FV292,0),),""))</f>
        <v/>
      </c>
      <c r="R292" s="121">
        <f t="array" ref="R292">IF(O292="","",INDIRECT("'GRD-"&amp;Q292&amp;"'!$L$7"))</f>
        <v/>
      </c>
      <c r="S292" s="83">
        <f t="array" ref="S292">IFERROR(OFFSET($BZ$11,ROW($B292)-11,MATCH(S$10,$CA292:$FV292,0),),"")</f>
        <v/>
      </c>
      <c r="T292" s="83">
        <f>IF(S292="","",IF(VLOOKUP($B292,INDIRECT("'GRD-"&amp;U292&amp;"'!$B:$R"),16,FALSE)="","",VLOOKUP($B292,INDIRECT("'GRD-"&amp;U292&amp;"'!$B:$R"),16,FALSE)))</f>
        <v/>
      </c>
      <c r="U292" s="128">
        <f t="array" ref="U292">IF(S292="","",IFERROR(OFFSET($BZ$11,0,MATCH($S292,$CA292:$FV292,0),),""))</f>
        <v/>
      </c>
      <c r="V292" s="133">
        <f t="array" ref="V292">IF(S292="","",INDIRECT("'GRD-"&amp;U292&amp;"'!$L$7"))</f>
        <v/>
      </c>
      <c r="W292" s="84">
        <f t="array" ref="W292">IFERROR(OFFSET($BZ$11,ROW($B292)-11,MATCH(W$10,$CA292:$FV292,0),),"")</f>
        <v/>
      </c>
      <c r="X292" s="84">
        <f>IF(W292="","",IF(VLOOKUP($B292,INDIRECT("'GRD-"&amp;Y292&amp;"'!$B:$R"),16,FALSE)="","",VLOOKUP($B292,INDIRECT("'GRD-"&amp;Y292&amp;"'!$B:$R"),16,FALSE)))</f>
        <v/>
      </c>
      <c r="Y292" s="129">
        <f t="array" ref="Y292">IF(W292="","",IFERROR(OFFSET($BZ$11,0,MATCH($W292,$CA292:$FV292,0),),""))</f>
        <v/>
      </c>
      <c r="Z292" s="134">
        <f t="array" ref="Z292">IF(W292="","",INDIRECT("'GRD-"&amp;Y292&amp;"'!$L$7"))</f>
        <v/>
      </c>
      <c r="AA292" s="85">
        <f t="array" ref="AA292">IFERROR(OFFSET($BZ$11,ROW($B292)-11,MATCH(AA$10,$CA292:$FV292,0),),"")</f>
        <v/>
      </c>
      <c r="AB292" s="85">
        <f>IF(AA292="","",IF(VLOOKUP($B292,INDIRECT("'GRD-"&amp;AC292&amp;"'!$B:$R"),16,FALSE)="","",VLOOKUP($B292,INDIRECT("'GRD-"&amp;AC292&amp;"'!$B:$R"),16,FALSE)))</f>
        <v/>
      </c>
      <c r="AC292" s="130">
        <f t="array" ref="AC292">IF(AA292="","",IFERROR(OFFSET($BZ$11,0,MATCH($AA292,$CA292:$FV292,0),),""))</f>
        <v/>
      </c>
      <c r="AD292" s="131">
        <f t="array" ref="AD292">IF(AA292="","",INDIRECT("'GRD-"&amp;AC292&amp;"'!$L$7"))</f>
        <v/>
      </c>
      <c r="AE292" s="76">
        <f t="array" ref="AE292">IFERROR(OFFSET($BZ$11,ROW($B292)-11,MATCH(AE$10,$CA292:$FV292,0),),"")</f>
        <v/>
      </c>
      <c r="AF292" s="76">
        <f>IF(AE292="","",IF(VLOOKUP($B292,INDIRECT("'GRD-"&amp;AG292&amp;"'!$B:$R"),16,FALSE)="","",VLOOKUP($B292,INDIRECT("'GRD-"&amp;AG292&amp;"'!$B:$R"),16,FALSE)))</f>
        <v/>
      </c>
      <c r="AG292" s="132">
        <f t="array" ref="AG292">IF(AE292="","",IFERROR(OFFSET($BZ$11,0,MATCH($AE292,$CA292:$FV292,0),),""))</f>
        <v/>
      </c>
      <c r="AH292" s="121">
        <f t="array" ref="AH292">IF(AE292="","",INDIRECT("'GRD-"&amp;AG292&amp;"'!$L$7"))</f>
        <v/>
      </c>
      <c r="AI292" s="83">
        <f t="array" ref="AI292">IFERROR(OFFSET($BZ$11,ROW($B292)-11,MATCH(AI$10,$CA292:$FV292,0),),"")</f>
        <v/>
      </c>
      <c r="AJ292" s="83">
        <f>IF(AI292="","",IF(VLOOKUP($B292,INDIRECT("'GRD-"&amp;AK292&amp;"'!$B:$R"),16,FALSE)="","",VLOOKUP($B292,INDIRECT("'GRD-"&amp;AK292&amp;"'!$B:$R"),16,FALSE)))</f>
        <v/>
      </c>
      <c r="AK292" s="128">
        <f t="array" ref="AK292">IF(AI292="","",IFERROR(OFFSET($BZ$11,0,MATCH($AI292,$CA292:$FV292,0),),""))</f>
        <v/>
      </c>
      <c r="AL292" s="133">
        <f t="array" ref="AL292">IF(AI292="","",INDIRECT("'GRD-"&amp;AK292&amp;"'!$L$7"))</f>
        <v/>
      </c>
      <c r="AM292" s="84">
        <f t="array" ref="AM292">IFERROR(OFFSET($BZ$11,ROW($B292)-11,MATCH(AM$10,$CA292:$FV292,0),),"")</f>
        <v/>
      </c>
      <c r="AN292" s="84">
        <f>IF(AM292="","",IF(VLOOKUP($B292,INDIRECT("'GRD-"&amp;AO292&amp;"'!$B:$R"),16,FALSE)="","",VLOOKUP($B292,INDIRECT("'GRD-"&amp;AO292&amp;"'!$B:$R"),16,FALSE)))</f>
        <v/>
      </c>
      <c r="AO292" s="129">
        <f t="array" ref="AO292">IF(AM292="","",IFERROR(OFFSET($BZ$11,0,MATCH($AM292,$CA292:$FV292,0),),""))</f>
        <v/>
      </c>
      <c r="AP292" s="134">
        <f t="array" ref="AP292">IF(AM292="","",INDIRECT("'GRD-"&amp;AO292&amp;"'!$L$7"))</f>
        <v/>
      </c>
      <c r="AQ292" s="85">
        <f t="array" ref="AQ292">IFERROR(OFFSET($BZ$11,ROW($B292)-11,MATCH(AQ$10,$CA292:$FV292,0),),"")</f>
        <v/>
      </c>
      <c r="AR292" s="85">
        <f>IF(AQ292="","",IF(VLOOKUP($B292,INDIRECT("'GRD-"&amp;AS292&amp;"'!$B:$R"),16,FALSE)="","",VLOOKUP($B292,INDIRECT("'GRD-"&amp;AS292&amp;"'!$B:$R"),16,FALSE)))</f>
        <v/>
      </c>
      <c r="AS292" s="130">
        <f t="array" ref="AS292">IF(AQ292="","",IFERROR(OFFSET($BZ$11,0,MATCH($AQ292,$CA292:$FV292,0),),""))</f>
        <v/>
      </c>
      <c r="AT292" s="131">
        <f t="array" ref="AT292">IF(AQ292="","",INDIRECT("'GRD-"&amp;AS292&amp;"'!$L$7"))</f>
        <v/>
      </c>
      <c r="AU292" s="76">
        <f t="array" ref="AU292">IFERROR(OFFSET($BZ$11,ROW($B292)-11,MATCH(AU$10,$CA292:$FV292,0),),"")</f>
        <v/>
      </c>
      <c r="AV292" s="76">
        <f>IF(AU292="","",IF(VLOOKUP($B292,INDIRECT("'GRD-"&amp;AW292&amp;"'!$B:$R"),16,FALSE)="","",VLOOKUP($B292,INDIRECT("'GRD-"&amp;AW292&amp;"'!$B:$R"),16,FALSE)))</f>
        <v/>
      </c>
      <c r="AW292" s="132">
        <f t="array" ref="AW292">IF(AU292="","",IFERROR(OFFSET($BZ$11,0,MATCH($AU292,$CA292:$FV292,0),),""))</f>
        <v/>
      </c>
      <c r="AX292" s="121">
        <f t="array" ref="AX292">IF(AU292="","",INDIRECT("'GRD-"&amp;AW292&amp;"'!$L$7"))</f>
        <v/>
      </c>
      <c r="AY292" s="83">
        <f t="array" ref="AY292">IFERROR(OFFSET($BZ$11,ROW($B292)-11,MATCH(AY$10,$CA292:$FV292,0),),"")</f>
        <v/>
      </c>
      <c r="AZ292" s="83">
        <f>IF(AY292="","",IF(VLOOKUP($B292,INDIRECT("'GRD-"&amp;BA292&amp;"'!$B:$R"),16,FALSE)="","",VLOOKUP($B292,INDIRECT("'GRD-"&amp;BA292&amp;"'!$B:$R"),16,FALSE)))</f>
        <v/>
      </c>
      <c r="BA292" s="128">
        <f t="array" ref="BA292">IF(AY292="","",IFERROR(OFFSET($BZ$11,0,MATCH($AY292,$CA292:$FV292,0),),""))</f>
        <v/>
      </c>
      <c r="BB292" s="133">
        <f t="array" ref="BB292">IF(AY292="","",INDIRECT("'GRD-"&amp;BA292&amp;"'!$L$7"))</f>
        <v/>
      </c>
      <c r="BC292" s="84">
        <f t="array" ref="BC292">IFERROR(OFFSET($BZ$11,ROW($B292)-11,MATCH(BC$10,$CA292:$FV292,0),),"")</f>
        <v/>
      </c>
      <c r="BD292" s="84">
        <f>IF(BC292="","",IF(VLOOKUP($B292,INDIRECT("'GRD-"&amp;BE292&amp;"'!$B:$R"),16,FALSE)="","",VLOOKUP($B292,INDIRECT("'GRD-"&amp;BE292&amp;"'!$B:$R"),16,FALSE)))</f>
        <v/>
      </c>
      <c r="BE292" s="129">
        <f t="array" ref="BE292">IF(BC292="","",IFERROR(OFFSET($BZ$11,0,MATCH($BC292,$CA292:$FV292,0),),""))</f>
        <v/>
      </c>
      <c r="BF292" s="134">
        <f t="array" ref="BF292">IF(BC292="","",INDIRECT("'GRD-"&amp;BE292&amp;"'!$L$7"))</f>
        <v/>
      </c>
      <c r="CA292" s="96">
        <f>IFERROR(VLOOKUP($B292,INDIRECT("'GRD-"&amp;CA$11&amp;"'!B:R"),15,FALSE),"")</f>
        <v/>
      </c>
      <c r="CB292" s="96">
        <f>IFERROR(VLOOKUP($B292,INDIRECT("'GRD-"&amp;CB$11&amp;"'!B:R"),15,FALSE),"")</f>
        <v/>
      </c>
      <c r="CC292" s="96">
        <f>IFERROR(VLOOKUP($B292,INDIRECT("'GRD-"&amp;CC$11&amp;"'!B:R"),15,FALSE),"")</f>
        <v/>
      </c>
      <c r="CD292" s="96">
        <f>IFERROR(VLOOKUP($B292,INDIRECT("'GRD-"&amp;CD$11&amp;"'!B:R"),15,FALSE),"")</f>
        <v/>
      </c>
      <c r="CE292" s="96">
        <f>IFERROR(VLOOKUP($B292,INDIRECT("'GRD-"&amp;CE$11&amp;"'!B:R"),15,FALSE),"")</f>
        <v/>
      </c>
      <c r="CF292" s="96">
        <f>IFERROR(VLOOKUP($B292,INDIRECT("'GRD-"&amp;CF$11&amp;"'!B:R"),15,FALSE),"")</f>
        <v/>
      </c>
      <c r="CG292" s="96">
        <f>IFERROR(VLOOKUP($B292,INDIRECT("'GRD-"&amp;CG$11&amp;"'!B:R"),15,FALSE),"")</f>
        <v/>
      </c>
      <c r="CH292" s="96">
        <f>IFERROR(VLOOKUP($B292,INDIRECT("'GRD-"&amp;CH$11&amp;"'!B:R"),15,FALSE),"")</f>
        <v/>
      </c>
      <c r="CI292" s="96">
        <f>IFERROR(VLOOKUP($B292,INDIRECT("'GRD-"&amp;CI$11&amp;"'!B:R"),15,FALSE),"")</f>
        <v/>
      </c>
      <c r="CJ292" s="96">
        <f>IFERROR(VLOOKUP($B292,INDIRECT("'GRD-"&amp;CJ$11&amp;"'!B:R"),15,FALSE),"")</f>
        <v/>
      </c>
      <c r="CK292" s="96">
        <f>IFERROR(VLOOKUP($B292,INDIRECT("'GRD-"&amp;CK$11&amp;"'!B:R"),15,FALSE),"")</f>
        <v/>
      </c>
      <c r="CL292" s="96">
        <f>IFERROR(VLOOKUP($B292,INDIRECT("'GRD-"&amp;CL$11&amp;"'!B:R"),15,FALSE),"")</f>
        <v/>
      </c>
      <c r="CM292" s="96">
        <f>IFERROR(VLOOKUP($B292,INDIRECT("'GRD-"&amp;CM$11&amp;"'!B:R"),15,FALSE),"")</f>
        <v/>
      </c>
      <c r="CN292" s="96">
        <f>IFERROR(VLOOKUP($B292,INDIRECT("'GRD-"&amp;CN$11&amp;"'!B:R"),15,FALSE),"")</f>
        <v/>
      </c>
      <c r="CO292" s="96">
        <f>IFERROR(VLOOKUP($B292,INDIRECT("'GRD-"&amp;CO$11&amp;"'!B:R"),15,FALSE),"")</f>
        <v/>
      </c>
      <c r="CP292" s="96">
        <f>IFERROR(VLOOKUP($B292,INDIRECT("'GRD-"&amp;CP$11&amp;"'!B:R"),15,FALSE),"")</f>
        <v/>
      </c>
      <c r="CQ292" s="96">
        <f>IFERROR(VLOOKUP($B292,INDIRECT("'GRD-"&amp;CQ$11&amp;"'!B:R"),15,FALSE),"")</f>
        <v/>
      </c>
      <c r="CR292" s="96">
        <f>IFERROR(VLOOKUP($B292,INDIRECT("'GRD-"&amp;CR$11&amp;"'!B:R"),15,FALSE),"")</f>
        <v/>
      </c>
      <c r="CS292" s="96">
        <f>IFERROR(VLOOKUP($B292,INDIRECT("'GRD-"&amp;CS$11&amp;"'!B:R"),15,FALSE),"")</f>
        <v/>
      </c>
      <c r="CT292" s="96">
        <f>IFERROR(VLOOKUP($B292,INDIRECT("'GRD-"&amp;CT$11&amp;"'!B:R"),15,FALSE),"")</f>
        <v/>
      </c>
      <c r="CU292" s="96">
        <f>IFERROR(VLOOKUP($B292,INDIRECT("'GRD-"&amp;CU$11&amp;"'!B:R"),15,FALSE),"")</f>
        <v/>
      </c>
      <c r="CV292" s="96">
        <f>IFERROR(VLOOKUP($B292,INDIRECT("'GRD-"&amp;CV$11&amp;"'!B:R"),15,FALSE),"")</f>
        <v/>
      </c>
      <c r="CW292" s="96">
        <f>IFERROR(VLOOKUP($B292,INDIRECT("'GRD-"&amp;CW$11&amp;"'!B:R"),15,FALSE),"")</f>
        <v/>
      </c>
      <c r="CX292" s="96">
        <f>IFERROR(VLOOKUP($B292,INDIRECT("'GRD-"&amp;CX$11&amp;"'!B:R"),15,FALSE),"")</f>
        <v/>
      </c>
      <c r="CY292" s="96">
        <f>IFERROR(VLOOKUP($B292,INDIRECT("'GRD-"&amp;CY$11&amp;"'!B:R"),15,FALSE),"")</f>
        <v/>
      </c>
      <c r="CZ292" s="96">
        <f>IFERROR(VLOOKUP($B292,INDIRECT("'GRD-"&amp;CZ$11&amp;"'!B:R"),15,FALSE),"")</f>
        <v/>
      </c>
      <c r="DA292" s="96">
        <f>IFERROR(VLOOKUP($B292,INDIRECT("'GRD-"&amp;DA$11&amp;"'!B:R"),15,FALSE),"")</f>
        <v/>
      </c>
      <c r="DB292" s="96">
        <f>IFERROR(VLOOKUP($B292,INDIRECT("'GRD-"&amp;DB$11&amp;"'!B:R"),15,FALSE),"")</f>
        <v/>
      </c>
      <c r="DC292" s="96">
        <f>IFERROR(VLOOKUP($B292,INDIRECT("'GRD-"&amp;DC$11&amp;"'!B:R"),15,FALSE),"")</f>
        <v/>
      </c>
      <c r="DD292" s="96">
        <f>IFERROR(VLOOKUP($B292,INDIRECT("'GRD-"&amp;DD$11&amp;"'!B:R"),15,FALSE),"")</f>
        <v/>
      </c>
      <c r="DE292" s="96">
        <f>IFERROR(VLOOKUP($B292,INDIRECT("'GRD-"&amp;DE$11&amp;"'!B:R"),15,FALSE),"")</f>
        <v/>
      </c>
      <c r="DF292" s="96">
        <f>IFERROR(VLOOKUP($B292,INDIRECT("'GRD-"&amp;DF$11&amp;"'!B:R"),15,FALSE),"")</f>
        <v/>
      </c>
      <c r="DG292" s="96">
        <f>IFERROR(VLOOKUP($B292,INDIRECT("'GRD-"&amp;DG$11&amp;"'!B:R"),15,FALSE),"")</f>
        <v/>
      </c>
      <c r="DH292" s="96">
        <f>IFERROR(VLOOKUP($B292,INDIRECT("'GRD-"&amp;DH$11&amp;"'!B:R"),15,FALSE),"")</f>
        <v/>
      </c>
      <c r="DI292" s="96">
        <f>IFERROR(VLOOKUP($B292,INDIRECT("'GRD-"&amp;DI$11&amp;"'!B:R"),15,FALSE),"")</f>
        <v/>
      </c>
      <c r="DJ292" s="96">
        <f>IFERROR(VLOOKUP($B292,INDIRECT("'GRD-"&amp;DJ$11&amp;"'!B:R"),15,FALSE),"")</f>
        <v/>
      </c>
      <c r="DK292" s="96">
        <f>IFERROR(VLOOKUP($B292,INDIRECT("'GRD-"&amp;DK$11&amp;"'!B:R"),15,FALSE),"")</f>
        <v/>
      </c>
      <c r="DL292" s="96">
        <f>IFERROR(VLOOKUP($B292,INDIRECT("'GRD-"&amp;DL$11&amp;"'!B:R"),15,FALSE),"")</f>
        <v/>
      </c>
      <c r="DM292" s="96">
        <f>IFERROR(VLOOKUP($B292,INDIRECT("'GRD-"&amp;DM$11&amp;"'!B:R"),15,FALSE),"")</f>
        <v/>
      </c>
      <c r="DN292" s="96">
        <f>IFERROR(VLOOKUP($B292,INDIRECT("'GRD-"&amp;DN$11&amp;"'!B:R"),15,FALSE),"")</f>
        <v/>
      </c>
      <c r="DO292" s="96">
        <f>IFERROR(VLOOKUP($B292,INDIRECT("'GRD-"&amp;DO$11&amp;"'!B:R"),15,FALSE),"")</f>
        <v/>
      </c>
      <c r="DP292" s="96">
        <f>IFERROR(VLOOKUP($B292,INDIRECT("'GRD-"&amp;DP$11&amp;"'!B:R"),15,FALSE),"")</f>
        <v/>
      </c>
      <c r="DQ292" s="96">
        <f>IFERROR(VLOOKUP($B292,INDIRECT("'GRD-"&amp;DQ$11&amp;"'!B:R"),15,FALSE),"")</f>
        <v/>
      </c>
      <c r="DR292" s="96">
        <f>IFERROR(VLOOKUP($B292,INDIRECT("'GRD-"&amp;DR$11&amp;"'!B:R"),15,FALSE),"")</f>
        <v/>
      </c>
      <c r="DS292" s="96">
        <f>IFERROR(VLOOKUP($B292,INDIRECT("'GRD-"&amp;DS$11&amp;"'!B:R"),15,FALSE),"")</f>
        <v/>
      </c>
      <c r="DT292" s="96">
        <f>IFERROR(VLOOKUP($B292,INDIRECT("'GRD-"&amp;DT$11&amp;"'!B:R"),15,FALSE),"")</f>
        <v/>
      </c>
      <c r="DU292" s="96">
        <f>IFERROR(VLOOKUP($B292,INDIRECT("'GRD-"&amp;DU$11&amp;"'!B:R"),15,FALSE),"")</f>
        <v/>
      </c>
      <c r="DV292" s="96">
        <f>IFERROR(VLOOKUP($B292,INDIRECT("'GRD-"&amp;DV$11&amp;"'!B:R"),15,FALSE),"")</f>
        <v/>
      </c>
      <c r="DW292" s="96">
        <f>IFERROR(VLOOKUP($B292,INDIRECT("'GRD-"&amp;DW$11&amp;"'!B:R"),15,FALSE),"")</f>
        <v/>
      </c>
      <c r="DX292" s="96">
        <f>IFERROR(VLOOKUP($B292,INDIRECT("'GRD-"&amp;DX$11&amp;"'!B:R"),15,FALSE),"")</f>
        <v/>
      </c>
      <c r="DY292" s="96">
        <f>IFERROR(VLOOKUP($B292,INDIRECT("'GRD-"&amp;DY$11&amp;"'!B:R"),15,FALSE),"")</f>
        <v/>
      </c>
      <c r="DZ292" s="96">
        <f>IFERROR(VLOOKUP($B292,INDIRECT("'GRD-"&amp;DZ$11&amp;"'!B:R"),15,FALSE),"")</f>
        <v/>
      </c>
      <c r="EA292" s="96">
        <f>IFERROR(VLOOKUP($B292,INDIRECT("'GRD-"&amp;EA$11&amp;"'!B:R"),15,FALSE),"")</f>
        <v/>
      </c>
      <c r="EB292" s="96">
        <f>IFERROR(VLOOKUP($B292,INDIRECT("'GRD-"&amp;EB$11&amp;"'!B:R"),15,FALSE),"")</f>
        <v/>
      </c>
      <c r="EC292" s="96">
        <f>IFERROR(VLOOKUP($B292,INDIRECT("'GRD-"&amp;EC$11&amp;"'!B:R"),15,FALSE),"")</f>
        <v/>
      </c>
      <c r="ED292" s="96">
        <f>IFERROR(VLOOKUP($B292,INDIRECT("'GRD-"&amp;ED$11&amp;"'!B:R"),15,FALSE),"")</f>
        <v/>
      </c>
      <c r="EE292" s="96">
        <f>IFERROR(VLOOKUP($B292,INDIRECT("'GRD-"&amp;EE$11&amp;"'!B:R"),15,FALSE),"")</f>
        <v/>
      </c>
      <c r="EF292" s="96">
        <f>IFERROR(VLOOKUP($B292,INDIRECT("'GRD-"&amp;EF$11&amp;"'!B:R"),15,FALSE),"")</f>
        <v/>
      </c>
      <c r="EG292" s="96">
        <f>IFERROR(VLOOKUP($B292,INDIRECT("'GRD-"&amp;EG$11&amp;"'!B:R"),15,FALSE),"")</f>
        <v/>
      </c>
      <c r="EH292" s="96">
        <f>IFERROR(VLOOKUP($B292,INDIRECT("'GRD-"&amp;EH$11&amp;"'!B:R"),15,FALSE),"")</f>
        <v/>
      </c>
      <c r="EI292" s="96">
        <f>IFERROR(VLOOKUP($B292,INDIRECT("'GRD-"&amp;EI$11&amp;"'!B:R"),15,FALSE),"")</f>
        <v/>
      </c>
      <c r="EJ292" s="96">
        <f>IFERROR(VLOOKUP($B292,INDIRECT("'GRD-"&amp;EJ$11&amp;"'!B:R"),15,FALSE),"")</f>
        <v/>
      </c>
      <c r="EK292" s="96">
        <f>IFERROR(VLOOKUP($B292,INDIRECT("'GRD-"&amp;EK$11&amp;"'!B:R"),15,FALSE),"")</f>
        <v/>
      </c>
      <c r="EL292" s="96">
        <f>IFERROR(VLOOKUP($B292,INDIRECT("'GRD-"&amp;EL$11&amp;"'!B:R"),15,FALSE),"")</f>
        <v/>
      </c>
      <c r="EM292" s="96">
        <f>IFERROR(VLOOKUP($B292,INDIRECT("'GRD-"&amp;EM$11&amp;"'!B:R"),15,FALSE),"")</f>
        <v/>
      </c>
      <c r="EN292" s="96">
        <f>IFERROR(VLOOKUP($B292,INDIRECT("'GRD-"&amp;EN$11&amp;"'!B:R"),15,FALSE),"")</f>
        <v/>
      </c>
      <c r="EO292" s="96">
        <f>IFERROR(VLOOKUP($B292,INDIRECT("'GRD-"&amp;EO$11&amp;"'!B:R"),15,FALSE),"")</f>
        <v/>
      </c>
      <c r="EP292" s="96">
        <f>IFERROR(VLOOKUP($B292,INDIRECT("'GRD-"&amp;EP$11&amp;"'!B:R"),15,FALSE),"")</f>
        <v/>
      </c>
      <c r="EQ292" s="96">
        <f>IFERROR(VLOOKUP($B292,INDIRECT("'GRD-"&amp;EQ$11&amp;"'!B:R"),15,FALSE),"")</f>
        <v/>
      </c>
      <c r="ER292" s="96">
        <f>IFERROR(VLOOKUP($B292,INDIRECT("'GRD-"&amp;ER$11&amp;"'!B:R"),15,FALSE),"")</f>
        <v/>
      </c>
      <c r="ES292" s="96">
        <f>IFERROR(VLOOKUP($B292,INDIRECT("'GRD-"&amp;ES$11&amp;"'!B:R"),15,FALSE),"")</f>
        <v/>
      </c>
      <c r="ET292" s="96">
        <f>IFERROR(VLOOKUP($B292,INDIRECT("'GRD-"&amp;ET$11&amp;"'!B:R"),15,FALSE),"")</f>
        <v/>
      </c>
      <c r="EU292" s="96">
        <f>IFERROR(VLOOKUP($B292,INDIRECT("'GRD-"&amp;EU$11&amp;"'!B:R"),15,FALSE),"")</f>
        <v/>
      </c>
      <c r="EV292" s="96">
        <f>IFERROR(VLOOKUP($B292,INDIRECT("'GRD-"&amp;EV$11&amp;"'!B:R"),15,FALSE),"")</f>
        <v/>
      </c>
      <c r="EW292" s="96">
        <f>IFERROR(VLOOKUP($B292,INDIRECT("'GRD-"&amp;EW$11&amp;"'!B:R"),15,FALSE),"")</f>
        <v/>
      </c>
      <c r="EX292" s="96">
        <f>IFERROR(VLOOKUP($B292,INDIRECT("'GRD-"&amp;EX$11&amp;"'!B:R"),15,FALSE),"")</f>
        <v/>
      </c>
      <c r="EY292" s="96">
        <f>IFERROR(VLOOKUP($B292,INDIRECT("'GRD-"&amp;EY$11&amp;"'!B:R"),15,FALSE),"")</f>
        <v/>
      </c>
      <c r="EZ292" s="96">
        <f>IFERROR(VLOOKUP($B292,INDIRECT("'GRD-"&amp;EZ$11&amp;"'!B:R"),15,FALSE),"")</f>
        <v/>
      </c>
      <c r="FA292" s="96">
        <f>IFERROR(VLOOKUP($B292,INDIRECT("'GRD-"&amp;FA$11&amp;"'!B:R"),15,FALSE),"")</f>
        <v/>
      </c>
      <c r="FB292" s="96">
        <f>IFERROR(VLOOKUP($B292,INDIRECT("'GRD-"&amp;FB$11&amp;"'!B:R"),15,FALSE),"")</f>
        <v/>
      </c>
      <c r="FC292" s="96">
        <f>IFERROR(VLOOKUP($B292,INDIRECT("'GRD-"&amp;FC$11&amp;"'!B:R"),15,FALSE),"")</f>
        <v/>
      </c>
      <c r="FD292" s="96">
        <f>IFERROR(VLOOKUP($B292,INDIRECT("'GRD-"&amp;FD$11&amp;"'!B:R"),15,FALSE),"")</f>
        <v/>
      </c>
      <c r="FE292" s="96">
        <f>IFERROR(VLOOKUP($B292,INDIRECT("'GRD-"&amp;FE$11&amp;"'!B:R"),15,FALSE),"")</f>
        <v/>
      </c>
      <c r="FF292" s="96">
        <f>IFERROR(VLOOKUP($B292,INDIRECT("'GRD-"&amp;FF$11&amp;"'!B:R"),15,FALSE),"")</f>
        <v/>
      </c>
      <c r="FG292" s="96">
        <f>IFERROR(VLOOKUP($B292,INDIRECT("'GRD-"&amp;FG$11&amp;"'!B:R"),15,FALSE),"")</f>
        <v/>
      </c>
      <c r="FH292" s="96">
        <f>IFERROR(VLOOKUP($B292,INDIRECT("'GRD-"&amp;FH$11&amp;"'!B:R"),15,FALSE),"")</f>
        <v/>
      </c>
      <c r="FI292" s="96">
        <f>IFERROR(VLOOKUP($B292,INDIRECT("'GRD-"&amp;FI$11&amp;"'!B:R"),15,FALSE),"")</f>
        <v/>
      </c>
      <c r="FJ292" s="96">
        <f>IFERROR(VLOOKUP($B292,INDIRECT("'GRD-"&amp;FJ$11&amp;"'!B:R"),15,FALSE),"")</f>
        <v/>
      </c>
      <c r="FK292" s="96">
        <f>IFERROR(VLOOKUP($B292,INDIRECT("'GRD-"&amp;FK$11&amp;"'!B:R"),15,FALSE),"")</f>
        <v/>
      </c>
      <c r="FL292" s="96">
        <f>IFERROR(VLOOKUP($B292,INDIRECT("'GRD-"&amp;FL$11&amp;"'!B:R"),15,FALSE),"")</f>
        <v/>
      </c>
      <c r="FM292" s="96">
        <f>IFERROR(VLOOKUP($B292,INDIRECT("'GRD-"&amp;FM$11&amp;"'!B:R"),15,FALSE),"")</f>
        <v/>
      </c>
      <c r="FN292" s="96">
        <f>IFERROR(VLOOKUP($B292,INDIRECT("'GRD-"&amp;FN$11&amp;"'!B:R"),15,FALSE),"")</f>
        <v/>
      </c>
      <c r="FO292" s="96">
        <f>IFERROR(VLOOKUP($B292,INDIRECT("'GRD-"&amp;FO$11&amp;"'!B:R"),15,FALSE),"")</f>
        <v/>
      </c>
      <c r="FP292" s="96">
        <f>IFERROR(VLOOKUP($B292,INDIRECT("'GRD-"&amp;FP$11&amp;"'!B:R"),15,FALSE),"")</f>
        <v/>
      </c>
      <c r="FQ292" s="96">
        <f>IFERROR(VLOOKUP($B292,INDIRECT("'GRD-"&amp;FQ$11&amp;"'!B:R"),15,FALSE),"")</f>
        <v/>
      </c>
      <c r="FR292" s="96">
        <f>IFERROR(VLOOKUP($B292,INDIRECT("'GRD-"&amp;FR$11&amp;"'!B:R"),15,FALSE),"")</f>
        <v/>
      </c>
      <c r="FS292" s="96">
        <f>IFERROR(VLOOKUP($B292,INDIRECT("'GRD-"&amp;FS$11&amp;"'!B:R"),15,FALSE),"")</f>
        <v/>
      </c>
      <c r="FT292" s="96">
        <f>IFERROR(VLOOKUP($B292,INDIRECT("'GRD-"&amp;FT$11&amp;"'!B:R"),15,FALSE),"")</f>
        <v/>
      </c>
      <c r="FU292" s="96">
        <f>IFERROR(VLOOKUP($B292,INDIRECT("'GRD-"&amp;FU$11&amp;"'!B:R"),15,FALSE),"")</f>
        <v/>
      </c>
      <c r="FV292" s="96">
        <f>IFERROR(VLOOKUP($B292,INDIRECT("'GRD-"&amp;FV$11&amp;"'!B:R"),15,FALSE),"")</f>
        <v/>
      </c>
    </row>
    <row r="293">
      <c r="B293" s="85" t="n"/>
      <c r="C293" s="93" t="n"/>
      <c r="D293" s="73">
        <f>IF(K293="","",MAX($CA293:$FV293))</f>
        <v/>
      </c>
      <c r="E293" s="74">
        <f t="array" ref="E293">IF($K293="","",OFFSET($A$1,ROW($B293)-1,11+$D293*4,))</f>
        <v/>
      </c>
      <c r="F293" s="74">
        <f t="array" ref="F293">IF($K293="","",OFFSET($A$1,ROW($B293)-1,12+$D293*4,))</f>
        <v/>
      </c>
      <c r="G293" s="118">
        <f t="array" ref="G293">IF($K293="","",OFFSET($A$1,ROW($B293)-1,13+$D293*4,))</f>
        <v/>
      </c>
      <c r="H293" s="81" t="n"/>
      <c r="I293" s="82" t="n"/>
      <c r="J293" s="75">
        <f>IF(I293="A4",H293/8,IF(I293="A3",H293/4,IF(I293="A2",H293/2,IF(I293="A1",H293/1,IF(I293="A0",H293*2,"")))))</f>
        <v/>
      </c>
      <c r="K293" s="68">
        <f t="array" ref="K293">IFERROR(OFFSET($BZ$11,ROW($B293)-11,MATCH(K$10,$CA293:$FV293,0),),"")</f>
        <v/>
      </c>
      <c r="L293" s="85">
        <f>IF(K293="","",IF(VLOOKUP($B293,INDIRECT("'GRD-"&amp;M293&amp;"'!$B:$R"),16,FALSE)="","",VLOOKUP($B293,INDIRECT("'GRD-"&amp;M293&amp;"'!$B:$R"),16,FALSE)))</f>
        <v/>
      </c>
      <c r="M293" s="130">
        <f t="array" ref="M293">IF(K293="","",IFERROR(OFFSET($BZ$11,0,MATCH($K293,$CA293:$FV293,0),),""))</f>
        <v/>
      </c>
      <c r="N293" s="119">
        <f t="array" ref="N293">IF(K293="","",INDIRECT("'GRD-"&amp;M293&amp;"'!$L$7"))</f>
        <v/>
      </c>
      <c r="O293" s="76">
        <f t="array" ref="O293">IFERROR(OFFSET($BZ$11,ROW($B293)-11,MATCH(O$10,$CA293:$FV293,0),),"")</f>
        <v/>
      </c>
      <c r="P293" s="76">
        <f>IF(O293="","",IF(VLOOKUP($B293,INDIRECT("'GRD-"&amp;Q293&amp;"'!$B:$R"),16,FALSE)="","",VLOOKUP($B293,INDIRECT("'GRD-"&amp;Q293&amp;"'!$B:$R"),16,FALSE)))</f>
        <v/>
      </c>
      <c r="Q293" s="132">
        <f t="array" ref="Q293">IF(O293="","",IFERROR(OFFSET($BZ$11,0,MATCH($O293,$CA293:$FV293,0),),""))</f>
        <v/>
      </c>
      <c r="R293" s="121">
        <f t="array" ref="R293">IF(O293="","",INDIRECT("'GRD-"&amp;Q293&amp;"'!$L$7"))</f>
        <v/>
      </c>
      <c r="S293" s="83">
        <f t="array" ref="S293">IFERROR(OFFSET($BZ$11,ROW($B293)-11,MATCH(S$10,$CA293:$FV293,0),),"")</f>
        <v/>
      </c>
      <c r="T293" s="83">
        <f>IF(S293="","",IF(VLOOKUP($B293,INDIRECT("'GRD-"&amp;U293&amp;"'!$B:$R"),16,FALSE)="","",VLOOKUP($B293,INDIRECT("'GRD-"&amp;U293&amp;"'!$B:$R"),16,FALSE)))</f>
        <v/>
      </c>
      <c r="U293" s="128">
        <f t="array" ref="U293">IF(S293="","",IFERROR(OFFSET($BZ$11,0,MATCH($S293,$CA293:$FV293,0),),""))</f>
        <v/>
      </c>
      <c r="V293" s="133">
        <f t="array" ref="V293">IF(S293="","",INDIRECT("'GRD-"&amp;U293&amp;"'!$L$7"))</f>
        <v/>
      </c>
      <c r="W293" s="84">
        <f t="array" ref="W293">IFERROR(OFFSET($BZ$11,ROW($B293)-11,MATCH(W$10,$CA293:$FV293,0),),"")</f>
        <v/>
      </c>
      <c r="X293" s="84">
        <f>IF(W293="","",IF(VLOOKUP($B293,INDIRECT("'GRD-"&amp;Y293&amp;"'!$B:$R"),16,FALSE)="","",VLOOKUP($B293,INDIRECT("'GRD-"&amp;Y293&amp;"'!$B:$R"),16,FALSE)))</f>
        <v/>
      </c>
      <c r="Y293" s="129">
        <f t="array" ref="Y293">IF(W293="","",IFERROR(OFFSET($BZ$11,0,MATCH($W293,$CA293:$FV293,0),),""))</f>
        <v/>
      </c>
      <c r="Z293" s="134">
        <f t="array" ref="Z293">IF(W293="","",INDIRECT("'GRD-"&amp;Y293&amp;"'!$L$7"))</f>
        <v/>
      </c>
      <c r="AA293" s="85">
        <f t="array" ref="AA293">IFERROR(OFFSET($BZ$11,ROW($B293)-11,MATCH(AA$10,$CA293:$FV293,0),),"")</f>
        <v/>
      </c>
      <c r="AB293" s="85">
        <f>IF(AA293="","",IF(VLOOKUP($B293,INDIRECT("'GRD-"&amp;AC293&amp;"'!$B:$R"),16,FALSE)="","",VLOOKUP($B293,INDIRECT("'GRD-"&amp;AC293&amp;"'!$B:$R"),16,FALSE)))</f>
        <v/>
      </c>
      <c r="AC293" s="130">
        <f t="array" ref="AC293">IF(AA293="","",IFERROR(OFFSET($BZ$11,0,MATCH($AA293,$CA293:$FV293,0),),""))</f>
        <v/>
      </c>
      <c r="AD293" s="131">
        <f t="array" ref="AD293">IF(AA293="","",INDIRECT("'GRD-"&amp;AC293&amp;"'!$L$7"))</f>
        <v/>
      </c>
      <c r="AE293" s="76">
        <f t="array" ref="AE293">IFERROR(OFFSET($BZ$11,ROW($B293)-11,MATCH(AE$10,$CA293:$FV293,0),),"")</f>
        <v/>
      </c>
      <c r="AF293" s="76">
        <f>IF(AE293="","",IF(VLOOKUP($B293,INDIRECT("'GRD-"&amp;AG293&amp;"'!$B:$R"),16,FALSE)="","",VLOOKUP($B293,INDIRECT("'GRD-"&amp;AG293&amp;"'!$B:$R"),16,FALSE)))</f>
        <v/>
      </c>
      <c r="AG293" s="132">
        <f t="array" ref="AG293">IF(AE293="","",IFERROR(OFFSET($BZ$11,0,MATCH($AE293,$CA293:$FV293,0),),""))</f>
        <v/>
      </c>
      <c r="AH293" s="121">
        <f t="array" ref="AH293">IF(AE293="","",INDIRECT("'GRD-"&amp;AG293&amp;"'!$L$7"))</f>
        <v/>
      </c>
      <c r="AI293" s="83">
        <f t="array" ref="AI293">IFERROR(OFFSET($BZ$11,ROW($B293)-11,MATCH(AI$10,$CA293:$FV293,0),),"")</f>
        <v/>
      </c>
      <c r="AJ293" s="83">
        <f>IF(AI293="","",IF(VLOOKUP($B293,INDIRECT("'GRD-"&amp;AK293&amp;"'!$B:$R"),16,FALSE)="","",VLOOKUP($B293,INDIRECT("'GRD-"&amp;AK293&amp;"'!$B:$R"),16,FALSE)))</f>
        <v/>
      </c>
      <c r="AK293" s="128">
        <f t="array" ref="AK293">IF(AI293="","",IFERROR(OFFSET($BZ$11,0,MATCH($AI293,$CA293:$FV293,0),),""))</f>
        <v/>
      </c>
      <c r="AL293" s="133">
        <f t="array" ref="AL293">IF(AI293="","",INDIRECT("'GRD-"&amp;AK293&amp;"'!$L$7"))</f>
        <v/>
      </c>
      <c r="AM293" s="84">
        <f t="array" ref="AM293">IFERROR(OFFSET($BZ$11,ROW($B293)-11,MATCH(AM$10,$CA293:$FV293,0),),"")</f>
        <v/>
      </c>
      <c r="AN293" s="84">
        <f>IF(AM293="","",IF(VLOOKUP($B293,INDIRECT("'GRD-"&amp;AO293&amp;"'!$B:$R"),16,FALSE)="","",VLOOKUP($B293,INDIRECT("'GRD-"&amp;AO293&amp;"'!$B:$R"),16,FALSE)))</f>
        <v/>
      </c>
      <c r="AO293" s="129">
        <f t="array" ref="AO293">IF(AM293="","",IFERROR(OFFSET($BZ$11,0,MATCH($AM293,$CA293:$FV293,0),),""))</f>
        <v/>
      </c>
      <c r="AP293" s="134">
        <f t="array" ref="AP293">IF(AM293="","",INDIRECT("'GRD-"&amp;AO293&amp;"'!$L$7"))</f>
        <v/>
      </c>
      <c r="AQ293" s="85">
        <f t="array" ref="AQ293">IFERROR(OFFSET($BZ$11,ROW($B293)-11,MATCH(AQ$10,$CA293:$FV293,0),),"")</f>
        <v/>
      </c>
      <c r="AR293" s="85">
        <f>IF(AQ293="","",IF(VLOOKUP($B293,INDIRECT("'GRD-"&amp;AS293&amp;"'!$B:$R"),16,FALSE)="","",VLOOKUP($B293,INDIRECT("'GRD-"&amp;AS293&amp;"'!$B:$R"),16,FALSE)))</f>
        <v/>
      </c>
      <c r="AS293" s="130">
        <f t="array" ref="AS293">IF(AQ293="","",IFERROR(OFFSET($BZ$11,0,MATCH($AQ293,$CA293:$FV293,0),),""))</f>
        <v/>
      </c>
      <c r="AT293" s="131">
        <f t="array" ref="AT293">IF(AQ293="","",INDIRECT("'GRD-"&amp;AS293&amp;"'!$L$7"))</f>
        <v/>
      </c>
      <c r="AU293" s="76">
        <f t="array" ref="AU293">IFERROR(OFFSET($BZ$11,ROW($B293)-11,MATCH(AU$10,$CA293:$FV293,0),),"")</f>
        <v/>
      </c>
      <c r="AV293" s="76">
        <f>IF(AU293="","",IF(VLOOKUP($B293,INDIRECT("'GRD-"&amp;AW293&amp;"'!$B:$R"),16,FALSE)="","",VLOOKUP($B293,INDIRECT("'GRD-"&amp;AW293&amp;"'!$B:$R"),16,FALSE)))</f>
        <v/>
      </c>
      <c r="AW293" s="132">
        <f t="array" ref="AW293">IF(AU293="","",IFERROR(OFFSET($BZ$11,0,MATCH($AU293,$CA293:$FV293,0),),""))</f>
        <v/>
      </c>
      <c r="AX293" s="121">
        <f t="array" ref="AX293">IF(AU293="","",INDIRECT("'GRD-"&amp;AW293&amp;"'!$L$7"))</f>
        <v/>
      </c>
      <c r="AY293" s="83">
        <f t="array" ref="AY293">IFERROR(OFFSET($BZ$11,ROW($B293)-11,MATCH(AY$10,$CA293:$FV293,0),),"")</f>
        <v/>
      </c>
      <c r="AZ293" s="83">
        <f>IF(AY293="","",IF(VLOOKUP($B293,INDIRECT("'GRD-"&amp;BA293&amp;"'!$B:$R"),16,FALSE)="","",VLOOKUP($B293,INDIRECT("'GRD-"&amp;BA293&amp;"'!$B:$R"),16,FALSE)))</f>
        <v/>
      </c>
      <c r="BA293" s="128">
        <f t="array" ref="BA293">IF(AY293="","",IFERROR(OFFSET($BZ$11,0,MATCH($AY293,$CA293:$FV293,0),),""))</f>
        <v/>
      </c>
      <c r="BB293" s="133">
        <f t="array" ref="BB293">IF(AY293="","",INDIRECT("'GRD-"&amp;BA293&amp;"'!$L$7"))</f>
        <v/>
      </c>
      <c r="BC293" s="84">
        <f t="array" ref="BC293">IFERROR(OFFSET($BZ$11,ROW($B293)-11,MATCH(BC$10,$CA293:$FV293,0),),"")</f>
        <v/>
      </c>
      <c r="BD293" s="84">
        <f>IF(BC293="","",IF(VLOOKUP($B293,INDIRECT("'GRD-"&amp;BE293&amp;"'!$B:$R"),16,FALSE)="","",VLOOKUP($B293,INDIRECT("'GRD-"&amp;BE293&amp;"'!$B:$R"),16,FALSE)))</f>
        <v/>
      </c>
      <c r="BE293" s="129">
        <f t="array" ref="BE293">IF(BC293="","",IFERROR(OFFSET($BZ$11,0,MATCH($BC293,$CA293:$FV293,0),),""))</f>
        <v/>
      </c>
      <c r="BF293" s="134">
        <f t="array" ref="BF293">IF(BC293="","",INDIRECT("'GRD-"&amp;BE293&amp;"'!$L$7"))</f>
        <v/>
      </c>
      <c r="CA293" s="96">
        <f>IFERROR(VLOOKUP($B293,INDIRECT("'GRD-"&amp;CA$11&amp;"'!B:R"),15,FALSE),"")</f>
        <v/>
      </c>
      <c r="CB293" s="96">
        <f>IFERROR(VLOOKUP($B293,INDIRECT("'GRD-"&amp;CB$11&amp;"'!B:R"),15,FALSE),"")</f>
        <v/>
      </c>
      <c r="CC293" s="96">
        <f>IFERROR(VLOOKUP($B293,INDIRECT("'GRD-"&amp;CC$11&amp;"'!B:R"),15,FALSE),"")</f>
        <v/>
      </c>
      <c r="CD293" s="96">
        <f>IFERROR(VLOOKUP($B293,INDIRECT("'GRD-"&amp;CD$11&amp;"'!B:R"),15,FALSE),"")</f>
        <v/>
      </c>
      <c r="CE293" s="96">
        <f>IFERROR(VLOOKUP($B293,INDIRECT("'GRD-"&amp;CE$11&amp;"'!B:R"),15,FALSE),"")</f>
        <v/>
      </c>
      <c r="CF293" s="96">
        <f>IFERROR(VLOOKUP($B293,INDIRECT("'GRD-"&amp;CF$11&amp;"'!B:R"),15,FALSE),"")</f>
        <v/>
      </c>
      <c r="CG293" s="96">
        <f>IFERROR(VLOOKUP($B293,INDIRECT("'GRD-"&amp;CG$11&amp;"'!B:R"),15,FALSE),"")</f>
        <v/>
      </c>
      <c r="CH293" s="96">
        <f>IFERROR(VLOOKUP($B293,INDIRECT("'GRD-"&amp;CH$11&amp;"'!B:R"),15,FALSE),"")</f>
        <v/>
      </c>
      <c r="CI293" s="96">
        <f>IFERROR(VLOOKUP($B293,INDIRECT("'GRD-"&amp;CI$11&amp;"'!B:R"),15,FALSE),"")</f>
        <v/>
      </c>
      <c r="CJ293" s="96">
        <f>IFERROR(VLOOKUP($B293,INDIRECT("'GRD-"&amp;CJ$11&amp;"'!B:R"),15,FALSE),"")</f>
        <v/>
      </c>
      <c r="CK293" s="96">
        <f>IFERROR(VLOOKUP($B293,INDIRECT("'GRD-"&amp;CK$11&amp;"'!B:R"),15,FALSE),"")</f>
        <v/>
      </c>
      <c r="CL293" s="96">
        <f>IFERROR(VLOOKUP($B293,INDIRECT("'GRD-"&amp;CL$11&amp;"'!B:R"),15,FALSE),"")</f>
        <v/>
      </c>
      <c r="CM293" s="96">
        <f>IFERROR(VLOOKUP($B293,INDIRECT("'GRD-"&amp;CM$11&amp;"'!B:R"),15,FALSE),"")</f>
        <v/>
      </c>
      <c r="CN293" s="96">
        <f>IFERROR(VLOOKUP($B293,INDIRECT("'GRD-"&amp;CN$11&amp;"'!B:R"),15,FALSE),"")</f>
        <v/>
      </c>
      <c r="CO293" s="96">
        <f>IFERROR(VLOOKUP($B293,INDIRECT("'GRD-"&amp;CO$11&amp;"'!B:R"),15,FALSE),"")</f>
        <v/>
      </c>
      <c r="CP293" s="96">
        <f>IFERROR(VLOOKUP($B293,INDIRECT("'GRD-"&amp;CP$11&amp;"'!B:R"),15,FALSE),"")</f>
        <v/>
      </c>
      <c r="CQ293" s="96">
        <f>IFERROR(VLOOKUP($B293,INDIRECT("'GRD-"&amp;CQ$11&amp;"'!B:R"),15,FALSE),"")</f>
        <v/>
      </c>
      <c r="CR293" s="96">
        <f>IFERROR(VLOOKUP($B293,INDIRECT("'GRD-"&amp;CR$11&amp;"'!B:R"),15,FALSE),"")</f>
        <v/>
      </c>
      <c r="CS293" s="96">
        <f>IFERROR(VLOOKUP($B293,INDIRECT("'GRD-"&amp;CS$11&amp;"'!B:R"),15,FALSE),"")</f>
        <v/>
      </c>
      <c r="CT293" s="96">
        <f>IFERROR(VLOOKUP($B293,INDIRECT("'GRD-"&amp;CT$11&amp;"'!B:R"),15,FALSE),"")</f>
        <v/>
      </c>
      <c r="CU293" s="96">
        <f>IFERROR(VLOOKUP($B293,INDIRECT("'GRD-"&amp;CU$11&amp;"'!B:R"),15,FALSE),"")</f>
        <v/>
      </c>
      <c r="CV293" s="96">
        <f>IFERROR(VLOOKUP($B293,INDIRECT("'GRD-"&amp;CV$11&amp;"'!B:R"),15,FALSE),"")</f>
        <v/>
      </c>
      <c r="CW293" s="96">
        <f>IFERROR(VLOOKUP($B293,INDIRECT("'GRD-"&amp;CW$11&amp;"'!B:R"),15,FALSE),"")</f>
        <v/>
      </c>
      <c r="CX293" s="96">
        <f>IFERROR(VLOOKUP($B293,INDIRECT("'GRD-"&amp;CX$11&amp;"'!B:R"),15,FALSE),"")</f>
        <v/>
      </c>
      <c r="CY293" s="96">
        <f>IFERROR(VLOOKUP($B293,INDIRECT("'GRD-"&amp;CY$11&amp;"'!B:R"),15,FALSE),"")</f>
        <v/>
      </c>
      <c r="CZ293" s="96">
        <f>IFERROR(VLOOKUP($B293,INDIRECT("'GRD-"&amp;CZ$11&amp;"'!B:R"),15,FALSE),"")</f>
        <v/>
      </c>
      <c r="DA293" s="96">
        <f>IFERROR(VLOOKUP($B293,INDIRECT("'GRD-"&amp;DA$11&amp;"'!B:R"),15,FALSE),"")</f>
        <v/>
      </c>
      <c r="DB293" s="96">
        <f>IFERROR(VLOOKUP($B293,INDIRECT("'GRD-"&amp;DB$11&amp;"'!B:R"),15,FALSE),"")</f>
        <v/>
      </c>
      <c r="DC293" s="96">
        <f>IFERROR(VLOOKUP($B293,INDIRECT("'GRD-"&amp;DC$11&amp;"'!B:R"),15,FALSE),"")</f>
        <v/>
      </c>
      <c r="DD293" s="96">
        <f>IFERROR(VLOOKUP($B293,INDIRECT("'GRD-"&amp;DD$11&amp;"'!B:R"),15,FALSE),"")</f>
        <v/>
      </c>
      <c r="DE293" s="96">
        <f>IFERROR(VLOOKUP($B293,INDIRECT("'GRD-"&amp;DE$11&amp;"'!B:R"),15,FALSE),"")</f>
        <v/>
      </c>
      <c r="DF293" s="96">
        <f>IFERROR(VLOOKUP($B293,INDIRECT("'GRD-"&amp;DF$11&amp;"'!B:R"),15,FALSE),"")</f>
        <v/>
      </c>
      <c r="DG293" s="96">
        <f>IFERROR(VLOOKUP($B293,INDIRECT("'GRD-"&amp;DG$11&amp;"'!B:R"),15,FALSE),"")</f>
        <v/>
      </c>
      <c r="DH293" s="96">
        <f>IFERROR(VLOOKUP($B293,INDIRECT("'GRD-"&amp;DH$11&amp;"'!B:R"),15,FALSE),"")</f>
        <v/>
      </c>
      <c r="DI293" s="96">
        <f>IFERROR(VLOOKUP($B293,INDIRECT("'GRD-"&amp;DI$11&amp;"'!B:R"),15,FALSE),"")</f>
        <v/>
      </c>
      <c r="DJ293" s="96">
        <f>IFERROR(VLOOKUP($B293,INDIRECT("'GRD-"&amp;DJ$11&amp;"'!B:R"),15,FALSE),"")</f>
        <v/>
      </c>
      <c r="DK293" s="96">
        <f>IFERROR(VLOOKUP($B293,INDIRECT("'GRD-"&amp;DK$11&amp;"'!B:R"),15,FALSE),"")</f>
        <v/>
      </c>
      <c r="DL293" s="96">
        <f>IFERROR(VLOOKUP($B293,INDIRECT("'GRD-"&amp;DL$11&amp;"'!B:R"),15,FALSE),"")</f>
        <v/>
      </c>
      <c r="DM293" s="96">
        <f>IFERROR(VLOOKUP($B293,INDIRECT("'GRD-"&amp;DM$11&amp;"'!B:R"),15,FALSE),"")</f>
        <v/>
      </c>
      <c r="DN293" s="96">
        <f>IFERROR(VLOOKUP($B293,INDIRECT("'GRD-"&amp;DN$11&amp;"'!B:R"),15,FALSE),"")</f>
        <v/>
      </c>
      <c r="DO293" s="96">
        <f>IFERROR(VLOOKUP($B293,INDIRECT("'GRD-"&amp;DO$11&amp;"'!B:R"),15,FALSE),"")</f>
        <v/>
      </c>
      <c r="DP293" s="96">
        <f>IFERROR(VLOOKUP($B293,INDIRECT("'GRD-"&amp;DP$11&amp;"'!B:R"),15,FALSE),"")</f>
        <v/>
      </c>
      <c r="DQ293" s="96">
        <f>IFERROR(VLOOKUP($B293,INDIRECT("'GRD-"&amp;DQ$11&amp;"'!B:R"),15,FALSE),"")</f>
        <v/>
      </c>
      <c r="DR293" s="96">
        <f>IFERROR(VLOOKUP($B293,INDIRECT("'GRD-"&amp;DR$11&amp;"'!B:R"),15,FALSE),"")</f>
        <v/>
      </c>
      <c r="DS293" s="96">
        <f>IFERROR(VLOOKUP($B293,INDIRECT("'GRD-"&amp;DS$11&amp;"'!B:R"),15,FALSE),"")</f>
        <v/>
      </c>
      <c r="DT293" s="96">
        <f>IFERROR(VLOOKUP($B293,INDIRECT("'GRD-"&amp;DT$11&amp;"'!B:R"),15,FALSE),"")</f>
        <v/>
      </c>
      <c r="DU293" s="96">
        <f>IFERROR(VLOOKUP($B293,INDIRECT("'GRD-"&amp;DU$11&amp;"'!B:R"),15,FALSE),"")</f>
        <v/>
      </c>
      <c r="DV293" s="96">
        <f>IFERROR(VLOOKUP($B293,INDIRECT("'GRD-"&amp;DV$11&amp;"'!B:R"),15,FALSE),"")</f>
        <v/>
      </c>
      <c r="DW293" s="96">
        <f>IFERROR(VLOOKUP($B293,INDIRECT("'GRD-"&amp;DW$11&amp;"'!B:R"),15,FALSE),"")</f>
        <v/>
      </c>
      <c r="DX293" s="96">
        <f>IFERROR(VLOOKUP($B293,INDIRECT("'GRD-"&amp;DX$11&amp;"'!B:R"),15,FALSE),"")</f>
        <v/>
      </c>
      <c r="DY293" s="96">
        <f>IFERROR(VLOOKUP($B293,INDIRECT("'GRD-"&amp;DY$11&amp;"'!B:R"),15,FALSE),"")</f>
        <v/>
      </c>
      <c r="DZ293" s="96">
        <f>IFERROR(VLOOKUP($B293,INDIRECT("'GRD-"&amp;DZ$11&amp;"'!B:R"),15,FALSE),"")</f>
        <v/>
      </c>
      <c r="EA293" s="96">
        <f>IFERROR(VLOOKUP($B293,INDIRECT("'GRD-"&amp;EA$11&amp;"'!B:R"),15,FALSE),"")</f>
        <v/>
      </c>
      <c r="EB293" s="96">
        <f>IFERROR(VLOOKUP($B293,INDIRECT("'GRD-"&amp;EB$11&amp;"'!B:R"),15,FALSE),"")</f>
        <v/>
      </c>
      <c r="EC293" s="96">
        <f>IFERROR(VLOOKUP($B293,INDIRECT("'GRD-"&amp;EC$11&amp;"'!B:R"),15,FALSE),"")</f>
        <v/>
      </c>
      <c r="ED293" s="96">
        <f>IFERROR(VLOOKUP($B293,INDIRECT("'GRD-"&amp;ED$11&amp;"'!B:R"),15,FALSE),"")</f>
        <v/>
      </c>
      <c r="EE293" s="96">
        <f>IFERROR(VLOOKUP($B293,INDIRECT("'GRD-"&amp;EE$11&amp;"'!B:R"),15,FALSE),"")</f>
        <v/>
      </c>
      <c r="EF293" s="96">
        <f>IFERROR(VLOOKUP($B293,INDIRECT("'GRD-"&amp;EF$11&amp;"'!B:R"),15,FALSE),"")</f>
        <v/>
      </c>
      <c r="EG293" s="96">
        <f>IFERROR(VLOOKUP($B293,INDIRECT("'GRD-"&amp;EG$11&amp;"'!B:R"),15,FALSE),"")</f>
        <v/>
      </c>
      <c r="EH293" s="96">
        <f>IFERROR(VLOOKUP($B293,INDIRECT("'GRD-"&amp;EH$11&amp;"'!B:R"),15,FALSE),"")</f>
        <v/>
      </c>
      <c r="EI293" s="96">
        <f>IFERROR(VLOOKUP($B293,INDIRECT("'GRD-"&amp;EI$11&amp;"'!B:R"),15,FALSE),"")</f>
        <v/>
      </c>
      <c r="EJ293" s="96">
        <f>IFERROR(VLOOKUP($B293,INDIRECT("'GRD-"&amp;EJ$11&amp;"'!B:R"),15,FALSE),"")</f>
        <v/>
      </c>
      <c r="EK293" s="96">
        <f>IFERROR(VLOOKUP($B293,INDIRECT("'GRD-"&amp;EK$11&amp;"'!B:R"),15,FALSE),"")</f>
        <v/>
      </c>
      <c r="EL293" s="96">
        <f>IFERROR(VLOOKUP($B293,INDIRECT("'GRD-"&amp;EL$11&amp;"'!B:R"),15,FALSE),"")</f>
        <v/>
      </c>
      <c r="EM293" s="96">
        <f>IFERROR(VLOOKUP($B293,INDIRECT("'GRD-"&amp;EM$11&amp;"'!B:R"),15,FALSE),"")</f>
        <v/>
      </c>
      <c r="EN293" s="96">
        <f>IFERROR(VLOOKUP($B293,INDIRECT("'GRD-"&amp;EN$11&amp;"'!B:R"),15,FALSE),"")</f>
        <v/>
      </c>
      <c r="EO293" s="96">
        <f>IFERROR(VLOOKUP($B293,INDIRECT("'GRD-"&amp;EO$11&amp;"'!B:R"),15,FALSE),"")</f>
        <v/>
      </c>
      <c r="EP293" s="96">
        <f>IFERROR(VLOOKUP($B293,INDIRECT("'GRD-"&amp;EP$11&amp;"'!B:R"),15,FALSE),"")</f>
        <v/>
      </c>
      <c r="EQ293" s="96">
        <f>IFERROR(VLOOKUP($B293,INDIRECT("'GRD-"&amp;EQ$11&amp;"'!B:R"),15,FALSE),"")</f>
        <v/>
      </c>
      <c r="ER293" s="96">
        <f>IFERROR(VLOOKUP($B293,INDIRECT("'GRD-"&amp;ER$11&amp;"'!B:R"),15,FALSE),"")</f>
        <v/>
      </c>
      <c r="ES293" s="96">
        <f>IFERROR(VLOOKUP($B293,INDIRECT("'GRD-"&amp;ES$11&amp;"'!B:R"),15,FALSE),"")</f>
        <v/>
      </c>
      <c r="ET293" s="96">
        <f>IFERROR(VLOOKUP($B293,INDIRECT("'GRD-"&amp;ET$11&amp;"'!B:R"),15,FALSE),"")</f>
        <v/>
      </c>
      <c r="EU293" s="96">
        <f>IFERROR(VLOOKUP($B293,INDIRECT("'GRD-"&amp;EU$11&amp;"'!B:R"),15,FALSE),"")</f>
        <v/>
      </c>
      <c r="EV293" s="96">
        <f>IFERROR(VLOOKUP($B293,INDIRECT("'GRD-"&amp;EV$11&amp;"'!B:R"),15,FALSE),"")</f>
        <v/>
      </c>
      <c r="EW293" s="96">
        <f>IFERROR(VLOOKUP($B293,INDIRECT("'GRD-"&amp;EW$11&amp;"'!B:R"),15,FALSE),"")</f>
        <v/>
      </c>
      <c r="EX293" s="96">
        <f>IFERROR(VLOOKUP($B293,INDIRECT("'GRD-"&amp;EX$11&amp;"'!B:R"),15,FALSE),"")</f>
        <v/>
      </c>
      <c r="EY293" s="96">
        <f>IFERROR(VLOOKUP($B293,INDIRECT("'GRD-"&amp;EY$11&amp;"'!B:R"),15,FALSE),"")</f>
        <v/>
      </c>
      <c r="EZ293" s="96">
        <f>IFERROR(VLOOKUP($B293,INDIRECT("'GRD-"&amp;EZ$11&amp;"'!B:R"),15,FALSE),"")</f>
        <v/>
      </c>
      <c r="FA293" s="96">
        <f>IFERROR(VLOOKUP($B293,INDIRECT("'GRD-"&amp;FA$11&amp;"'!B:R"),15,FALSE),"")</f>
        <v/>
      </c>
      <c r="FB293" s="96">
        <f>IFERROR(VLOOKUP($B293,INDIRECT("'GRD-"&amp;FB$11&amp;"'!B:R"),15,FALSE),"")</f>
        <v/>
      </c>
      <c r="FC293" s="96">
        <f>IFERROR(VLOOKUP($B293,INDIRECT("'GRD-"&amp;FC$11&amp;"'!B:R"),15,FALSE),"")</f>
        <v/>
      </c>
      <c r="FD293" s="96">
        <f>IFERROR(VLOOKUP($B293,INDIRECT("'GRD-"&amp;FD$11&amp;"'!B:R"),15,FALSE),"")</f>
        <v/>
      </c>
      <c r="FE293" s="96">
        <f>IFERROR(VLOOKUP($B293,INDIRECT("'GRD-"&amp;FE$11&amp;"'!B:R"),15,FALSE),"")</f>
        <v/>
      </c>
      <c r="FF293" s="96">
        <f>IFERROR(VLOOKUP($B293,INDIRECT("'GRD-"&amp;FF$11&amp;"'!B:R"),15,FALSE),"")</f>
        <v/>
      </c>
      <c r="FG293" s="96">
        <f>IFERROR(VLOOKUP($B293,INDIRECT("'GRD-"&amp;FG$11&amp;"'!B:R"),15,FALSE),"")</f>
        <v/>
      </c>
      <c r="FH293" s="96">
        <f>IFERROR(VLOOKUP($B293,INDIRECT("'GRD-"&amp;FH$11&amp;"'!B:R"),15,FALSE),"")</f>
        <v/>
      </c>
      <c r="FI293" s="96">
        <f>IFERROR(VLOOKUP($B293,INDIRECT("'GRD-"&amp;FI$11&amp;"'!B:R"),15,FALSE),"")</f>
        <v/>
      </c>
      <c r="FJ293" s="96">
        <f>IFERROR(VLOOKUP($B293,INDIRECT("'GRD-"&amp;FJ$11&amp;"'!B:R"),15,FALSE),"")</f>
        <v/>
      </c>
      <c r="FK293" s="96">
        <f>IFERROR(VLOOKUP($B293,INDIRECT("'GRD-"&amp;FK$11&amp;"'!B:R"),15,FALSE),"")</f>
        <v/>
      </c>
      <c r="FL293" s="96">
        <f>IFERROR(VLOOKUP($B293,INDIRECT("'GRD-"&amp;FL$11&amp;"'!B:R"),15,FALSE),"")</f>
        <v/>
      </c>
      <c r="FM293" s="96">
        <f>IFERROR(VLOOKUP($B293,INDIRECT("'GRD-"&amp;FM$11&amp;"'!B:R"),15,FALSE),"")</f>
        <v/>
      </c>
      <c r="FN293" s="96">
        <f>IFERROR(VLOOKUP($B293,INDIRECT("'GRD-"&amp;FN$11&amp;"'!B:R"),15,FALSE),"")</f>
        <v/>
      </c>
      <c r="FO293" s="96">
        <f>IFERROR(VLOOKUP($B293,INDIRECT("'GRD-"&amp;FO$11&amp;"'!B:R"),15,FALSE),"")</f>
        <v/>
      </c>
      <c r="FP293" s="96">
        <f>IFERROR(VLOOKUP($B293,INDIRECT("'GRD-"&amp;FP$11&amp;"'!B:R"),15,FALSE),"")</f>
        <v/>
      </c>
      <c r="FQ293" s="96">
        <f>IFERROR(VLOOKUP($B293,INDIRECT("'GRD-"&amp;FQ$11&amp;"'!B:R"),15,FALSE),"")</f>
        <v/>
      </c>
      <c r="FR293" s="96">
        <f>IFERROR(VLOOKUP($B293,INDIRECT("'GRD-"&amp;FR$11&amp;"'!B:R"),15,FALSE),"")</f>
        <v/>
      </c>
      <c r="FS293" s="96">
        <f>IFERROR(VLOOKUP($B293,INDIRECT("'GRD-"&amp;FS$11&amp;"'!B:R"),15,FALSE),"")</f>
        <v/>
      </c>
      <c r="FT293" s="96">
        <f>IFERROR(VLOOKUP($B293,INDIRECT("'GRD-"&amp;FT$11&amp;"'!B:R"),15,FALSE),"")</f>
        <v/>
      </c>
      <c r="FU293" s="96">
        <f>IFERROR(VLOOKUP($B293,INDIRECT("'GRD-"&amp;FU$11&amp;"'!B:R"),15,FALSE),"")</f>
        <v/>
      </c>
      <c r="FV293" s="96">
        <f>IFERROR(VLOOKUP($B293,INDIRECT("'GRD-"&amp;FV$11&amp;"'!B:R"),15,FALSE),"")</f>
        <v/>
      </c>
    </row>
    <row r="294">
      <c r="B294" s="85" t="n"/>
      <c r="C294" s="93" t="n"/>
      <c r="D294" s="73">
        <f>IF(K294="","",MAX($CA294:$FV294))</f>
        <v/>
      </c>
      <c r="E294" s="74">
        <f t="array" ref="E294">IF($K294="","",OFFSET($A$1,ROW($B294)-1,11+$D294*4,))</f>
        <v/>
      </c>
      <c r="F294" s="74">
        <f t="array" ref="F294">IF($K294="","",OFFSET($A$1,ROW($B294)-1,12+$D294*4,))</f>
        <v/>
      </c>
      <c r="G294" s="118">
        <f t="array" ref="G294">IF($K294="","",OFFSET($A$1,ROW($B294)-1,13+$D294*4,))</f>
        <v/>
      </c>
      <c r="H294" s="81" t="n"/>
      <c r="I294" s="82" t="n"/>
      <c r="J294" s="75">
        <f>IF(I294="A4",H294/8,IF(I294="A3",H294/4,IF(I294="A2",H294/2,IF(I294="A1",H294/1,IF(I294="A0",H294*2,"")))))</f>
        <v/>
      </c>
      <c r="K294" s="68">
        <f t="array" ref="K294">IFERROR(OFFSET($BZ$11,ROW($B294)-11,MATCH(K$10,$CA294:$FV294,0),),"")</f>
        <v/>
      </c>
      <c r="L294" s="85">
        <f>IF(K294="","",IF(VLOOKUP($B294,INDIRECT("'GRD-"&amp;M294&amp;"'!$B:$R"),16,FALSE)="","",VLOOKUP($B294,INDIRECT("'GRD-"&amp;M294&amp;"'!$B:$R"),16,FALSE)))</f>
        <v/>
      </c>
      <c r="M294" s="130">
        <f t="array" ref="M294">IF(K294="","",IFERROR(OFFSET($BZ$11,0,MATCH($K294,$CA294:$FV294,0),),""))</f>
        <v/>
      </c>
      <c r="N294" s="119">
        <f t="array" ref="N294">IF(K294="","",INDIRECT("'GRD-"&amp;M294&amp;"'!$L$7"))</f>
        <v/>
      </c>
      <c r="O294" s="76">
        <f t="array" ref="O294">IFERROR(OFFSET($BZ$11,ROW($B294)-11,MATCH(O$10,$CA294:$FV294,0),),"")</f>
        <v/>
      </c>
      <c r="P294" s="76">
        <f>IF(O294="","",IF(VLOOKUP($B294,INDIRECT("'GRD-"&amp;Q294&amp;"'!$B:$R"),16,FALSE)="","",VLOOKUP($B294,INDIRECT("'GRD-"&amp;Q294&amp;"'!$B:$R"),16,FALSE)))</f>
        <v/>
      </c>
      <c r="Q294" s="132">
        <f t="array" ref="Q294">IF(O294="","",IFERROR(OFFSET($BZ$11,0,MATCH($O294,$CA294:$FV294,0),),""))</f>
        <v/>
      </c>
      <c r="R294" s="121">
        <f t="array" ref="R294">IF(O294="","",INDIRECT("'GRD-"&amp;Q294&amp;"'!$L$7"))</f>
        <v/>
      </c>
      <c r="S294" s="83">
        <f t="array" ref="S294">IFERROR(OFFSET($BZ$11,ROW($B294)-11,MATCH(S$10,$CA294:$FV294,0),),"")</f>
        <v/>
      </c>
      <c r="T294" s="83">
        <f>IF(S294="","",IF(VLOOKUP($B294,INDIRECT("'GRD-"&amp;U294&amp;"'!$B:$R"),16,FALSE)="","",VLOOKUP($B294,INDIRECT("'GRD-"&amp;U294&amp;"'!$B:$R"),16,FALSE)))</f>
        <v/>
      </c>
      <c r="U294" s="128">
        <f t="array" ref="U294">IF(S294="","",IFERROR(OFFSET($BZ$11,0,MATCH($S294,$CA294:$FV294,0),),""))</f>
        <v/>
      </c>
      <c r="V294" s="133">
        <f t="array" ref="V294">IF(S294="","",INDIRECT("'GRD-"&amp;U294&amp;"'!$L$7"))</f>
        <v/>
      </c>
      <c r="W294" s="84">
        <f t="array" ref="W294">IFERROR(OFFSET($BZ$11,ROW($B294)-11,MATCH(W$10,$CA294:$FV294,0),),"")</f>
        <v/>
      </c>
      <c r="X294" s="84">
        <f>IF(W294="","",IF(VLOOKUP($B294,INDIRECT("'GRD-"&amp;Y294&amp;"'!$B:$R"),16,FALSE)="","",VLOOKUP($B294,INDIRECT("'GRD-"&amp;Y294&amp;"'!$B:$R"),16,FALSE)))</f>
        <v/>
      </c>
      <c r="Y294" s="129">
        <f t="array" ref="Y294">IF(W294="","",IFERROR(OFFSET($BZ$11,0,MATCH($W294,$CA294:$FV294,0),),""))</f>
        <v/>
      </c>
      <c r="Z294" s="134">
        <f t="array" ref="Z294">IF(W294="","",INDIRECT("'GRD-"&amp;Y294&amp;"'!$L$7"))</f>
        <v/>
      </c>
      <c r="AA294" s="85">
        <f t="array" ref="AA294">IFERROR(OFFSET($BZ$11,ROW($B294)-11,MATCH(AA$10,$CA294:$FV294,0),),"")</f>
        <v/>
      </c>
      <c r="AB294" s="85">
        <f>IF(AA294="","",IF(VLOOKUP($B294,INDIRECT("'GRD-"&amp;AC294&amp;"'!$B:$R"),16,FALSE)="","",VLOOKUP($B294,INDIRECT("'GRD-"&amp;AC294&amp;"'!$B:$R"),16,FALSE)))</f>
        <v/>
      </c>
      <c r="AC294" s="130">
        <f t="array" ref="AC294">IF(AA294="","",IFERROR(OFFSET($BZ$11,0,MATCH($AA294,$CA294:$FV294,0),),""))</f>
        <v/>
      </c>
      <c r="AD294" s="131">
        <f t="array" ref="AD294">IF(AA294="","",INDIRECT("'GRD-"&amp;AC294&amp;"'!$L$7"))</f>
        <v/>
      </c>
      <c r="AE294" s="76">
        <f t="array" ref="AE294">IFERROR(OFFSET($BZ$11,ROW($B294)-11,MATCH(AE$10,$CA294:$FV294,0),),"")</f>
        <v/>
      </c>
      <c r="AF294" s="76">
        <f>IF(AE294="","",IF(VLOOKUP($B294,INDIRECT("'GRD-"&amp;AG294&amp;"'!$B:$R"),16,FALSE)="","",VLOOKUP($B294,INDIRECT("'GRD-"&amp;AG294&amp;"'!$B:$R"),16,FALSE)))</f>
        <v/>
      </c>
      <c r="AG294" s="132">
        <f t="array" ref="AG294">IF(AE294="","",IFERROR(OFFSET($BZ$11,0,MATCH($AE294,$CA294:$FV294,0),),""))</f>
        <v/>
      </c>
      <c r="AH294" s="121">
        <f t="array" ref="AH294">IF(AE294="","",INDIRECT("'GRD-"&amp;AG294&amp;"'!$L$7"))</f>
        <v/>
      </c>
      <c r="AI294" s="83">
        <f t="array" ref="AI294">IFERROR(OFFSET($BZ$11,ROW($B294)-11,MATCH(AI$10,$CA294:$FV294,0),),"")</f>
        <v/>
      </c>
      <c r="AJ294" s="83">
        <f>IF(AI294="","",IF(VLOOKUP($B294,INDIRECT("'GRD-"&amp;AK294&amp;"'!$B:$R"),16,FALSE)="","",VLOOKUP($B294,INDIRECT("'GRD-"&amp;AK294&amp;"'!$B:$R"),16,FALSE)))</f>
        <v/>
      </c>
      <c r="AK294" s="128">
        <f t="array" ref="AK294">IF(AI294="","",IFERROR(OFFSET($BZ$11,0,MATCH($AI294,$CA294:$FV294,0),),""))</f>
        <v/>
      </c>
      <c r="AL294" s="133">
        <f t="array" ref="AL294">IF(AI294="","",INDIRECT("'GRD-"&amp;AK294&amp;"'!$L$7"))</f>
        <v/>
      </c>
      <c r="AM294" s="84">
        <f t="array" ref="AM294">IFERROR(OFFSET($BZ$11,ROW($B294)-11,MATCH(AM$10,$CA294:$FV294,0),),"")</f>
        <v/>
      </c>
      <c r="AN294" s="84">
        <f>IF(AM294="","",IF(VLOOKUP($B294,INDIRECT("'GRD-"&amp;AO294&amp;"'!$B:$R"),16,FALSE)="","",VLOOKUP($B294,INDIRECT("'GRD-"&amp;AO294&amp;"'!$B:$R"),16,FALSE)))</f>
        <v/>
      </c>
      <c r="AO294" s="129">
        <f t="array" ref="AO294">IF(AM294="","",IFERROR(OFFSET($BZ$11,0,MATCH($AM294,$CA294:$FV294,0),),""))</f>
        <v/>
      </c>
      <c r="AP294" s="134">
        <f t="array" ref="AP294">IF(AM294="","",INDIRECT("'GRD-"&amp;AO294&amp;"'!$L$7"))</f>
        <v/>
      </c>
      <c r="AQ294" s="85">
        <f t="array" ref="AQ294">IFERROR(OFFSET($BZ$11,ROW($B294)-11,MATCH(AQ$10,$CA294:$FV294,0),),"")</f>
        <v/>
      </c>
      <c r="AR294" s="85">
        <f>IF(AQ294="","",IF(VLOOKUP($B294,INDIRECT("'GRD-"&amp;AS294&amp;"'!$B:$R"),16,FALSE)="","",VLOOKUP($B294,INDIRECT("'GRD-"&amp;AS294&amp;"'!$B:$R"),16,FALSE)))</f>
        <v/>
      </c>
      <c r="AS294" s="130">
        <f t="array" ref="AS294">IF(AQ294="","",IFERROR(OFFSET($BZ$11,0,MATCH($AQ294,$CA294:$FV294,0),),""))</f>
        <v/>
      </c>
      <c r="AT294" s="131">
        <f t="array" ref="AT294">IF(AQ294="","",INDIRECT("'GRD-"&amp;AS294&amp;"'!$L$7"))</f>
        <v/>
      </c>
      <c r="AU294" s="76">
        <f t="array" ref="AU294">IFERROR(OFFSET($BZ$11,ROW($B294)-11,MATCH(AU$10,$CA294:$FV294,0),),"")</f>
        <v/>
      </c>
      <c r="AV294" s="76">
        <f>IF(AU294="","",IF(VLOOKUP($B294,INDIRECT("'GRD-"&amp;AW294&amp;"'!$B:$R"),16,FALSE)="","",VLOOKUP($B294,INDIRECT("'GRD-"&amp;AW294&amp;"'!$B:$R"),16,FALSE)))</f>
        <v/>
      </c>
      <c r="AW294" s="132">
        <f t="array" ref="AW294">IF(AU294="","",IFERROR(OFFSET($BZ$11,0,MATCH($AU294,$CA294:$FV294,0),),""))</f>
        <v/>
      </c>
      <c r="AX294" s="121">
        <f t="array" ref="AX294">IF(AU294="","",INDIRECT("'GRD-"&amp;AW294&amp;"'!$L$7"))</f>
        <v/>
      </c>
      <c r="AY294" s="83">
        <f t="array" ref="AY294">IFERROR(OFFSET($BZ$11,ROW($B294)-11,MATCH(AY$10,$CA294:$FV294,0),),"")</f>
        <v/>
      </c>
      <c r="AZ294" s="83">
        <f>IF(AY294="","",IF(VLOOKUP($B294,INDIRECT("'GRD-"&amp;BA294&amp;"'!$B:$R"),16,FALSE)="","",VLOOKUP($B294,INDIRECT("'GRD-"&amp;BA294&amp;"'!$B:$R"),16,FALSE)))</f>
        <v/>
      </c>
      <c r="BA294" s="128">
        <f t="array" ref="BA294">IF(AY294="","",IFERROR(OFFSET($BZ$11,0,MATCH($AY294,$CA294:$FV294,0),),""))</f>
        <v/>
      </c>
      <c r="BB294" s="133">
        <f t="array" ref="BB294">IF(AY294="","",INDIRECT("'GRD-"&amp;BA294&amp;"'!$L$7"))</f>
        <v/>
      </c>
      <c r="BC294" s="84">
        <f t="array" ref="BC294">IFERROR(OFFSET($BZ$11,ROW($B294)-11,MATCH(BC$10,$CA294:$FV294,0),),"")</f>
        <v/>
      </c>
      <c r="BD294" s="84">
        <f>IF(BC294="","",IF(VLOOKUP($B294,INDIRECT("'GRD-"&amp;BE294&amp;"'!$B:$R"),16,FALSE)="","",VLOOKUP($B294,INDIRECT("'GRD-"&amp;BE294&amp;"'!$B:$R"),16,FALSE)))</f>
        <v/>
      </c>
      <c r="BE294" s="129">
        <f t="array" ref="BE294">IF(BC294="","",IFERROR(OFFSET($BZ$11,0,MATCH($BC294,$CA294:$FV294,0),),""))</f>
        <v/>
      </c>
      <c r="BF294" s="134">
        <f t="array" ref="BF294">IF(BC294="","",INDIRECT("'GRD-"&amp;BE294&amp;"'!$L$7"))</f>
        <v/>
      </c>
      <c r="CA294" s="96">
        <f>IFERROR(VLOOKUP($B294,INDIRECT("'GRD-"&amp;CA$11&amp;"'!B:R"),15,FALSE),"")</f>
        <v/>
      </c>
      <c r="CB294" s="96">
        <f>IFERROR(VLOOKUP($B294,INDIRECT("'GRD-"&amp;CB$11&amp;"'!B:R"),15,FALSE),"")</f>
        <v/>
      </c>
      <c r="CC294" s="96">
        <f>IFERROR(VLOOKUP($B294,INDIRECT("'GRD-"&amp;CC$11&amp;"'!B:R"),15,FALSE),"")</f>
        <v/>
      </c>
      <c r="CD294" s="96">
        <f>IFERROR(VLOOKUP($B294,INDIRECT("'GRD-"&amp;CD$11&amp;"'!B:R"),15,FALSE),"")</f>
        <v/>
      </c>
      <c r="CE294" s="96">
        <f>IFERROR(VLOOKUP($B294,INDIRECT("'GRD-"&amp;CE$11&amp;"'!B:R"),15,FALSE),"")</f>
        <v/>
      </c>
      <c r="CF294" s="96">
        <f>IFERROR(VLOOKUP($B294,INDIRECT("'GRD-"&amp;CF$11&amp;"'!B:R"),15,FALSE),"")</f>
        <v/>
      </c>
      <c r="CG294" s="96">
        <f>IFERROR(VLOOKUP($B294,INDIRECT("'GRD-"&amp;CG$11&amp;"'!B:R"),15,FALSE),"")</f>
        <v/>
      </c>
      <c r="CH294" s="96">
        <f>IFERROR(VLOOKUP($B294,INDIRECT("'GRD-"&amp;CH$11&amp;"'!B:R"),15,FALSE),"")</f>
        <v/>
      </c>
      <c r="CI294" s="96">
        <f>IFERROR(VLOOKUP($B294,INDIRECT("'GRD-"&amp;CI$11&amp;"'!B:R"),15,FALSE),"")</f>
        <v/>
      </c>
      <c r="CJ294" s="96">
        <f>IFERROR(VLOOKUP($B294,INDIRECT("'GRD-"&amp;CJ$11&amp;"'!B:R"),15,FALSE),"")</f>
        <v/>
      </c>
      <c r="CK294" s="96">
        <f>IFERROR(VLOOKUP($B294,INDIRECT("'GRD-"&amp;CK$11&amp;"'!B:R"),15,FALSE),"")</f>
        <v/>
      </c>
      <c r="CL294" s="96">
        <f>IFERROR(VLOOKUP($B294,INDIRECT("'GRD-"&amp;CL$11&amp;"'!B:R"),15,FALSE),"")</f>
        <v/>
      </c>
      <c r="CM294" s="96">
        <f>IFERROR(VLOOKUP($B294,INDIRECT("'GRD-"&amp;CM$11&amp;"'!B:R"),15,FALSE),"")</f>
        <v/>
      </c>
      <c r="CN294" s="96">
        <f>IFERROR(VLOOKUP($B294,INDIRECT("'GRD-"&amp;CN$11&amp;"'!B:R"),15,FALSE),"")</f>
        <v/>
      </c>
      <c r="CO294" s="96">
        <f>IFERROR(VLOOKUP($B294,INDIRECT("'GRD-"&amp;CO$11&amp;"'!B:R"),15,FALSE),"")</f>
        <v/>
      </c>
      <c r="CP294" s="96">
        <f>IFERROR(VLOOKUP($B294,INDIRECT("'GRD-"&amp;CP$11&amp;"'!B:R"),15,FALSE),"")</f>
        <v/>
      </c>
      <c r="CQ294" s="96">
        <f>IFERROR(VLOOKUP($B294,INDIRECT("'GRD-"&amp;CQ$11&amp;"'!B:R"),15,FALSE),"")</f>
        <v/>
      </c>
      <c r="CR294" s="96">
        <f>IFERROR(VLOOKUP($B294,INDIRECT("'GRD-"&amp;CR$11&amp;"'!B:R"),15,FALSE),"")</f>
        <v/>
      </c>
      <c r="CS294" s="96">
        <f>IFERROR(VLOOKUP($B294,INDIRECT("'GRD-"&amp;CS$11&amp;"'!B:R"),15,FALSE),"")</f>
        <v/>
      </c>
      <c r="CT294" s="96">
        <f>IFERROR(VLOOKUP($B294,INDIRECT("'GRD-"&amp;CT$11&amp;"'!B:R"),15,FALSE),"")</f>
        <v/>
      </c>
      <c r="CU294" s="96">
        <f>IFERROR(VLOOKUP($B294,INDIRECT("'GRD-"&amp;CU$11&amp;"'!B:R"),15,FALSE),"")</f>
        <v/>
      </c>
      <c r="CV294" s="96">
        <f>IFERROR(VLOOKUP($B294,INDIRECT("'GRD-"&amp;CV$11&amp;"'!B:R"),15,FALSE),"")</f>
        <v/>
      </c>
      <c r="CW294" s="96">
        <f>IFERROR(VLOOKUP($B294,INDIRECT("'GRD-"&amp;CW$11&amp;"'!B:R"),15,FALSE),"")</f>
        <v/>
      </c>
      <c r="CX294" s="96">
        <f>IFERROR(VLOOKUP($B294,INDIRECT("'GRD-"&amp;CX$11&amp;"'!B:R"),15,FALSE),"")</f>
        <v/>
      </c>
      <c r="CY294" s="96">
        <f>IFERROR(VLOOKUP($B294,INDIRECT("'GRD-"&amp;CY$11&amp;"'!B:R"),15,FALSE),"")</f>
        <v/>
      </c>
      <c r="CZ294" s="96">
        <f>IFERROR(VLOOKUP($B294,INDIRECT("'GRD-"&amp;CZ$11&amp;"'!B:R"),15,FALSE),"")</f>
        <v/>
      </c>
      <c r="DA294" s="96">
        <f>IFERROR(VLOOKUP($B294,INDIRECT("'GRD-"&amp;DA$11&amp;"'!B:R"),15,FALSE),"")</f>
        <v/>
      </c>
      <c r="DB294" s="96">
        <f>IFERROR(VLOOKUP($B294,INDIRECT("'GRD-"&amp;DB$11&amp;"'!B:R"),15,FALSE),"")</f>
        <v/>
      </c>
      <c r="DC294" s="96">
        <f>IFERROR(VLOOKUP($B294,INDIRECT("'GRD-"&amp;DC$11&amp;"'!B:R"),15,FALSE),"")</f>
        <v/>
      </c>
      <c r="DD294" s="96">
        <f>IFERROR(VLOOKUP($B294,INDIRECT("'GRD-"&amp;DD$11&amp;"'!B:R"),15,FALSE),"")</f>
        <v/>
      </c>
      <c r="DE294" s="96">
        <f>IFERROR(VLOOKUP($B294,INDIRECT("'GRD-"&amp;DE$11&amp;"'!B:R"),15,FALSE),"")</f>
        <v/>
      </c>
      <c r="DF294" s="96">
        <f>IFERROR(VLOOKUP($B294,INDIRECT("'GRD-"&amp;DF$11&amp;"'!B:R"),15,FALSE),"")</f>
        <v/>
      </c>
      <c r="DG294" s="96">
        <f>IFERROR(VLOOKUP($B294,INDIRECT("'GRD-"&amp;DG$11&amp;"'!B:R"),15,FALSE),"")</f>
        <v/>
      </c>
      <c r="DH294" s="96">
        <f>IFERROR(VLOOKUP($B294,INDIRECT("'GRD-"&amp;DH$11&amp;"'!B:R"),15,FALSE),"")</f>
        <v/>
      </c>
      <c r="DI294" s="96">
        <f>IFERROR(VLOOKUP($B294,INDIRECT("'GRD-"&amp;DI$11&amp;"'!B:R"),15,FALSE),"")</f>
        <v/>
      </c>
      <c r="DJ294" s="96">
        <f>IFERROR(VLOOKUP($B294,INDIRECT("'GRD-"&amp;DJ$11&amp;"'!B:R"),15,FALSE),"")</f>
        <v/>
      </c>
      <c r="DK294" s="96">
        <f>IFERROR(VLOOKUP($B294,INDIRECT("'GRD-"&amp;DK$11&amp;"'!B:R"),15,FALSE),"")</f>
        <v/>
      </c>
      <c r="DL294" s="96">
        <f>IFERROR(VLOOKUP($B294,INDIRECT("'GRD-"&amp;DL$11&amp;"'!B:R"),15,FALSE),"")</f>
        <v/>
      </c>
      <c r="DM294" s="96">
        <f>IFERROR(VLOOKUP($B294,INDIRECT("'GRD-"&amp;DM$11&amp;"'!B:R"),15,FALSE),"")</f>
        <v/>
      </c>
      <c r="DN294" s="96">
        <f>IFERROR(VLOOKUP($B294,INDIRECT("'GRD-"&amp;DN$11&amp;"'!B:R"),15,FALSE),"")</f>
        <v/>
      </c>
      <c r="DO294" s="96">
        <f>IFERROR(VLOOKUP($B294,INDIRECT("'GRD-"&amp;DO$11&amp;"'!B:R"),15,FALSE),"")</f>
        <v/>
      </c>
      <c r="DP294" s="96">
        <f>IFERROR(VLOOKUP($B294,INDIRECT("'GRD-"&amp;DP$11&amp;"'!B:R"),15,FALSE),"")</f>
        <v/>
      </c>
      <c r="DQ294" s="96">
        <f>IFERROR(VLOOKUP($B294,INDIRECT("'GRD-"&amp;DQ$11&amp;"'!B:R"),15,FALSE),"")</f>
        <v/>
      </c>
      <c r="DR294" s="96">
        <f>IFERROR(VLOOKUP($B294,INDIRECT("'GRD-"&amp;DR$11&amp;"'!B:R"),15,FALSE),"")</f>
        <v/>
      </c>
      <c r="DS294" s="96">
        <f>IFERROR(VLOOKUP($B294,INDIRECT("'GRD-"&amp;DS$11&amp;"'!B:R"),15,FALSE),"")</f>
        <v/>
      </c>
      <c r="DT294" s="96">
        <f>IFERROR(VLOOKUP($B294,INDIRECT("'GRD-"&amp;DT$11&amp;"'!B:R"),15,FALSE),"")</f>
        <v/>
      </c>
      <c r="DU294" s="96">
        <f>IFERROR(VLOOKUP($B294,INDIRECT("'GRD-"&amp;DU$11&amp;"'!B:R"),15,FALSE),"")</f>
        <v/>
      </c>
      <c r="DV294" s="96">
        <f>IFERROR(VLOOKUP($B294,INDIRECT("'GRD-"&amp;DV$11&amp;"'!B:R"),15,FALSE),"")</f>
        <v/>
      </c>
      <c r="DW294" s="96">
        <f>IFERROR(VLOOKUP($B294,INDIRECT("'GRD-"&amp;DW$11&amp;"'!B:R"),15,FALSE),"")</f>
        <v/>
      </c>
      <c r="DX294" s="96">
        <f>IFERROR(VLOOKUP($B294,INDIRECT("'GRD-"&amp;DX$11&amp;"'!B:R"),15,FALSE),"")</f>
        <v/>
      </c>
      <c r="DY294" s="96">
        <f>IFERROR(VLOOKUP($B294,INDIRECT("'GRD-"&amp;DY$11&amp;"'!B:R"),15,FALSE),"")</f>
        <v/>
      </c>
      <c r="DZ294" s="96">
        <f>IFERROR(VLOOKUP($B294,INDIRECT("'GRD-"&amp;DZ$11&amp;"'!B:R"),15,FALSE),"")</f>
        <v/>
      </c>
      <c r="EA294" s="96">
        <f>IFERROR(VLOOKUP($B294,INDIRECT("'GRD-"&amp;EA$11&amp;"'!B:R"),15,FALSE),"")</f>
        <v/>
      </c>
      <c r="EB294" s="96">
        <f>IFERROR(VLOOKUP($B294,INDIRECT("'GRD-"&amp;EB$11&amp;"'!B:R"),15,FALSE),"")</f>
        <v/>
      </c>
      <c r="EC294" s="96">
        <f>IFERROR(VLOOKUP($B294,INDIRECT("'GRD-"&amp;EC$11&amp;"'!B:R"),15,FALSE),"")</f>
        <v/>
      </c>
      <c r="ED294" s="96">
        <f>IFERROR(VLOOKUP($B294,INDIRECT("'GRD-"&amp;ED$11&amp;"'!B:R"),15,FALSE),"")</f>
        <v/>
      </c>
      <c r="EE294" s="96">
        <f>IFERROR(VLOOKUP($B294,INDIRECT("'GRD-"&amp;EE$11&amp;"'!B:R"),15,FALSE),"")</f>
        <v/>
      </c>
      <c r="EF294" s="96">
        <f>IFERROR(VLOOKUP($B294,INDIRECT("'GRD-"&amp;EF$11&amp;"'!B:R"),15,FALSE),"")</f>
        <v/>
      </c>
      <c r="EG294" s="96">
        <f>IFERROR(VLOOKUP($B294,INDIRECT("'GRD-"&amp;EG$11&amp;"'!B:R"),15,FALSE),"")</f>
        <v/>
      </c>
      <c r="EH294" s="96">
        <f>IFERROR(VLOOKUP($B294,INDIRECT("'GRD-"&amp;EH$11&amp;"'!B:R"),15,FALSE),"")</f>
        <v/>
      </c>
      <c r="EI294" s="96">
        <f>IFERROR(VLOOKUP($B294,INDIRECT("'GRD-"&amp;EI$11&amp;"'!B:R"),15,FALSE),"")</f>
        <v/>
      </c>
      <c r="EJ294" s="96">
        <f>IFERROR(VLOOKUP($B294,INDIRECT("'GRD-"&amp;EJ$11&amp;"'!B:R"),15,FALSE),"")</f>
        <v/>
      </c>
      <c r="EK294" s="96">
        <f>IFERROR(VLOOKUP($B294,INDIRECT("'GRD-"&amp;EK$11&amp;"'!B:R"),15,FALSE),"")</f>
        <v/>
      </c>
      <c r="EL294" s="96">
        <f>IFERROR(VLOOKUP($B294,INDIRECT("'GRD-"&amp;EL$11&amp;"'!B:R"),15,FALSE),"")</f>
        <v/>
      </c>
      <c r="EM294" s="96">
        <f>IFERROR(VLOOKUP($B294,INDIRECT("'GRD-"&amp;EM$11&amp;"'!B:R"),15,FALSE),"")</f>
        <v/>
      </c>
      <c r="EN294" s="96">
        <f>IFERROR(VLOOKUP($B294,INDIRECT("'GRD-"&amp;EN$11&amp;"'!B:R"),15,FALSE),"")</f>
        <v/>
      </c>
      <c r="EO294" s="96">
        <f>IFERROR(VLOOKUP($B294,INDIRECT("'GRD-"&amp;EO$11&amp;"'!B:R"),15,FALSE),"")</f>
        <v/>
      </c>
      <c r="EP294" s="96">
        <f>IFERROR(VLOOKUP($B294,INDIRECT("'GRD-"&amp;EP$11&amp;"'!B:R"),15,FALSE),"")</f>
        <v/>
      </c>
      <c r="EQ294" s="96">
        <f>IFERROR(VLOOKUP($B294,INDIRECT("'GRD-"&amp;EQ$11&amp;"'!B:R"),15,FALSE),"")</f>
        <v/>
      </c>
      <c r="ER294" s="96">
        <f>IFERROR(VLOOKUP($B294,INDIRECT("'GRD-"&amp;ER$11&amp;"'!B:R"),15,FALSE),"")</f>
        <v/>
      </c>
      <c r="ES294" s="96">
        <f>IFERROR(VLOOKUP($B294,INDIRECT("'GRD-"&amp;ES$11&amp;"'!B:R"),15,FALSE),"")</f>
        <v/>
      </c>
      <c r="ET294" s="96">
        <f>IFERROR(VLOOKUP($B294,INDIRECT("'GRD-"&amp;ET$11&amp;"'!B:R"),15,FALSE),"")</f>
        <v/>
      </c>
      <c r="EU294" s="96">
        <f>IFERROR(VLOOKUP($B294,INDIRECT("'GRD-"&amp;EU$11&amp;"'!B:R"),15,FALSE),"")</f>
        <v/>
      </c>
      <c r="EV294" s="96">
        <f>IFERROR(VLOOKUP($B294,INDIRECT("'GRD-"&amp;EV$11&amp;"'!B:R"),15,FALSE),"")</f>
        <v/>
      </c>
      <c r="EW294" s="96">
        <f>IFERROR(VLOOKUP($B294,INDIRECT("'GRD-"&amp;EW$11&amp;"'!B:R"),15,FALSE),"")</f>
        <v/>
      </c>
      <c r="EX294" s="96">
        <f>IFERROR(VLOOKUP($B294,INDIRECT("'GRD-"&amp;EX$11&amp;"'!B:R"),15,FALSE),"")</f>
        <v/>
      </c>
      <c r="EY294" s="96">
        <f>IFERROR(VLOOKUP($B294,INDIRECT("'GRD-"&amp;EY$11&amp;"'!B:R"),15,FALSE),"")</f>
        <v/>
      </c>
      <c r="EZ294" s="96">
        <f>IFERROR(VLOOKUP($B294,INDIRECT("'GRD-"&amp;EZ$11&amp;"'!B:R"),15,FALSE),"")</f>
        <v/>
      </c>
      <c r="FA294" s="96">
        <f>IFERROR(VLOOKUP($B294,INDIRECT("'GRD-"&amp;FA$11&amp;"'!B:R"),15,FALSE),"")</f>
        <v/>
      </c>
      <c r="FB294" s="96">
        <f>IFERROR(VLOOKUP($B294,INDIRECT("'GRD-"&amp;FB$11&amp;"'!B:R"),15,FALSE),"")</f>
        <v/>
      </c>
      <c r="FC294" s="96">
        <f>IFERROR(VLOOKUP($B294,INDIRECT("'GRD-"&amp;FC$11&amp;"'!B:R"),15,FALSE),"")</f>
        <v/>
      </c>
      <c r="FD294" s="96">
        <f>IFERROR(VLOOKUP($B294,INDIRECT("'GRD-"&amp;FD$11&amp;"'!B:R"),15,FALSE),"")</f>
        <v/>
      </c>
      <c r="FE294" s="96">
        <f>IFERROR(VLOOKUP($B294,INDIRECT("'GRD-"&amp;FE$11&amp;"'!B:R"),15,FALSE),"")</f>
        <v/>
      </c>
      <c r="FF294" s="96">
        <f>IFERROR(VLOOKUP($B294,INDIRECT("'GRD-"&amp;FF$11&amp;"'!B:R"),15,FALSE),"")</f>
        <v/>
      </c>
      <c r="FG294" s="96">
        <f>IFERROR(VLOOKUP($B294,INDIRECT("'GRD-"&amp;FG$11&amp;"'!B:R"),15,FALSE),"")</f>
        <v/>
      </c>
      <c r="FH294" s="96">
        <f>IFERROR(VLOOKUP($B294,INDIRECT("'GRD-"&amp;FH$11&amp;"'!B:R"),15,FALSE),"")</f>
        <v/>
      </c>
      <c r="FI294" s="96">
        <f>IFERROR(VLOOKUP($B294,INDIRECT("'GRD-"&amp;FI$11&amp;"'!B:R"),15,FALSE),"")</f>
        <v/>
      </c>
      <c r="FJ294" s="96">
        <f>IFERROR(VLOOKUP($B294,INDIRECT("'GRD-"&amp;FJ$11&amp;"'!B:R"),15,FALSE),"")</f>
        <v/>
      </c>
      <c r="FK294" s="96">
        <f>IFERROR(VLOOKUP($B294,INDIRECT("'GRD-"&amp;FK$11&amp;"'!B:R"),15,FALSE),"")</f>
        <v/>
      </c>
      <c r="FL294" s="96">
        <f>IFERROR(VLOOKUP($B294,INDIRECT("'GRD-"&amp;FL$11&amp;"'!B:R"),15,FALSE),"")</f>
        <v/>
      </c>
      <c r="FM294" s="96">
        <f>IFERROR(VLOOKUP($B294,INDIRECT("'GRD-"&amp;FM$11&amp;"'!B:R"),15,FALSE),"")</f>
        <v/>
      </c>
      <c r="FN294" s="96">
        <f>IFERROR(VLOOKUP($B294,INDIRECT("'GRD-"&amp;FN$11&amp;"'!B:R"),15,FALSE),"")</f>
        <v/>
      </c>
      <c r="FO294" s="96">
        <f>IFERROR(VLOOKUP($B294,INDIRECT("'GRD-"&amp;FO$11&amp;"'!B:R"),15,FALSE),"")</f>
        <v/>
      </c>
      <c r="FP294" s="96">
        <f>IFERROR(VLOOKUP($B294,INDIRECT("'GRD-"&amp;FP$11&amp;"'!B:R"),15,FALSE),"")</f>
        <v/>
      </c>
      <c r="FQ294" s="96">
        <f>IFERROR(VLOOKUP($B294,INDIRECT("'GRD-"&amp;FQ$11&amp;"'!B:R"),15,FALSE),"")</f>
        <v/>
      </c>
      <c r="FR294" s="96">
        <f>IFERROR(VLOOKUP($B294,INDIRECT("'GRD-"&amp;FR$11&amp;"'!B:R"),15,FALSE),"")</f>
        <v/>
      </c>
      <c r="FS294" s="96">
        <f>IFERROR(VLOOKUP($B294,INDIRECT("'GRD-"&amp;FS$11&amp;"'!B:R"),15,FALSE),"")</f>
        <v/>
      </c>
      <c r="FT294" s="96">
        <f>IFERROR(VLOOKUP($B294,INDIRECT("'GRD-"&amp;FT$11&amp;"'!B:R"),15,FALSE),"")</f>
        <v/>
      </c>
      <c r="FU294" s="96">
        <f>IFERROR(VLOOKUP($B294,INDIRECT("'GRD-"&amp;FU$11&amp;"'!B:R"),15,FALSE),"")</f>
        <v/>
      </c>
      <c r="FV294" s="96">
        <f>IFERROR(VLOOKUP($B294,INDIRECT("'GRD-"&amp;FV$11&amp;"'!B:R"),15,FALSE),"")</f>
        <v/>
      </c>
    </row>
    <row r="295">
      <c r="B295" s="85" t="n"/>
      <c r="C295" s="93" t="n"/>
      <c r="D295" s="73">
        <f>IF(K295="","",MAX($CA295:$FV295))</f>
        <v/>
      </c>
      <c r="E295" s="74">
        <f t="array" ref="E295">IF($K295="","",OFFSET($A$1,ROW($B295)-1,11+$D295*4,))</f>
        <v/>
      </c>
      <c r="F295" s="74">
        <f t="array" ref="F295">IF($K295="","",OFFSET($A$1,ROW($B295)-1,12+$D295*4,))</f>
        <v/>
      </c>
      <c r="G295" s="118">
        <f t="array" ref="G295">IF($K295="","",OFFSET($A$1,ROW($B295)-1,13+$D295*4,))</f>
        <v/>
      </c>
      <c r="H295" s="81" t="n"/>
      <c r="I295" s="82" t="n"/>
      <c r="J295" s="75">
        <f>IF(I295="A4",H295/8,IF(I295="A3",H295/4,IF(I295="A2",H295/2,IF(I295="A1",H295/1,IF(I295="A0",H295*2,"")))))</f>
        <v/>
      </c>
      <c r="K295" s="68">
        <f t="array" ref="K295">IFERROR(OFFSET($BZ$11,ROW($B295)-11,MATCH(K$10,$CA295:$FV295,0),),"")</f>
        <v/>
      </c>
      <c r="L295" s="85">
        <f>IF(K295="","",IF(VLOOKUP($B295,INDIRECT("'GRD-"&amp;M295&amp;"'!$B:$R"),16,FALSE)="","",VLOOKUP($B295,INDIRECT("'GRD-"&amp;M295&amp;"'!$B:$R"),16,FALSE)))</f>
        <v/>
      </c>
      <c r="M295" s="130">
        <f t="array" ref="M295">IF(K295="","",IFERROR(OFFSET($BZ$11,0,MATCH($K295,$CA295:$FV295,0),),""))</f>
        <v/>
      </c>
      <c r="N295" s="119">
        <f t="array" ref="N295">IF(K295="","",INDIRECT("'GRD-"&amp;M295&amp;"'!$L$7"))</f>
        <v/>
      </c>
      <c r="O295" s="76">
        <f t="array" ref="O295">IFERROR(OFFSET($BZ$11,ROW($B295)-11,MATCH(O$10,$CA295:$FV295,0),),"")</f>
        <v/>
      </c>
      <c r="P295" s="76">
        <f>IF(O295="","",IF(VLOOKUP($B295,INDIRECT("'GRD-"&amp;Q295&amp;"'!$B:$R"),16,FALSE)="","",VLOOKUP($B295,INDIRECT("'GRD-"&amp;Q295&amp;"'!$B:$R"),16,FALSE)))</f>
        <v/>
      </c>
      <c r="Q295" s="132">
        <f t="array" ref="Q295">IF(O295="","",IFERROR(OFFSET($BZ$11,0,MATCH($O295,$CA295:$FV295,0),),""))</f>
        <v/>
      </c>
      <c r="R295" s="121">
        <f t="array" ref="R295">IF(O295="","",INDIRECT("'GRD-"&amp;Q295&amp;"'!$L$7"))</f>
        <v/>
      </c>
      <c r="S295" s="83">
        <f t="array" ref="S295">IFERROR(OFFSET($BZ$11,ROW($B295)-11,MATCH(S$10,$CA295:$FV295,0),),"")</f>
        <v/>
      </c>
      <c r="T295" s="83">
        <f>IF(S295="","",IF(VLOOKUP($B295,INDIRECT("'GRD-"&amp;U295&amp;"'!$B:$R"),16,FALSE)="","",VLOOKUP($B295,INDIRECT("'GRD-"&amp;U295&amp;"'!$B:$R"),16,FALSE)))</f>
        <v/>
      </c>
      <c r="U295" s="128">
        <f t="array" ref="U295">IF(S295="","",IFERROR(OFFSET($BZ$11,0,MATCH($S295,$CA295:$FV295,0),),""))</f>
        <v/>
      </c>
      <c r="V295" s="133">
        <f t="array" ref="V295">IF(S295="","",INDIRECT("'GRD-"&amp;U295&amp;"'!$L$7"))</f>
        <v/>
      </c>
      <c r="W295" s="84">
        <f t="array" ref="W295">IFERROR(OFFSET($BZ$11,ROW($B295)-11,MATCH(W$10,$CA295:$FV295,0),),"")</f>
        <v/>
      </c>
      <c r="X295" s="84">
        <f>IF(W295="","",IF(VLOOKUP($B295,INDIRECT("'GRD-"&amp;Y295&amp;"'!$B:$R"),16,FALSE)="","",VLOOKUP($B295,INDIRECT("'GRD-"&amp;Y295&amp;"'!$B:$R"),16,FALSE)))</f>
        <v/>
      </c>
      <c r="Y295" s="129">
        <f t="array" ref="Y295">IF(W295="","",IFERROR(OFFSET($BZ$11,0,MATCH($W295,$CA295:$FV295,0),),""))</f>
        <v/>
      </c>
      <c r="Z295" s="134">
        <f t="array" ref="Z295">IF(W295="","",INDIRECT("'GRD-"&amp;Y295&amp;"'!$L$7"))</f>
        <v/>
      </c>
      <c r="AA295" s="85">
        <f t="array" ref="AA295">IFERROR(OFFSET($BZ$11,ROW($B295)-11,MATCH(AA$10,$CA295:$FV295,0),),"")</f>
        <v/>
      </c>
      <c r="AB295" s="85">
        <f>IF(AA295="","",IF(VLOOKUP($B295,INDIRECT("'GRD-"&amp;AC295&amp;"'!$B:$R"),16,FALSE)="","",VLOOKUP($B295,INDIRECT("'GRD-"&amp;AC295&amp;"'!$B:$R"),16,FALSE)))</f>
        <v/>
      </c>
      <c r="AC295" s="130">
        <f t="array" ref="AC295">IF(AA295="","",IFERROR(OFFSET($BZ$11,0,MATCH($AA295,$CA295:$FV295,0),),""))</f>
        <v/>
      </c>
      <c r="AD295" s="131">
        <f t="array" ref="AD295">IF(AA295="","",INDIRECT("'GRD-"&amp;AC295&amp;"'!$L$7"))</f>
        <v/>
      </c>
      <c r="AE295" s="76">
        <f t="array" ref="AE295">IFERROR(OFFSET($BZ$11,ROW($B295)-11,MATCH(AE$10,$CA295:$FV295,0),),"")</f>
        <v/>
      </c>
      <c r="AF295" s="76">
        <f>IF(AE295="","",IF(VLOOKUP($B295,INDIRECT("'GRD-"&amp;AG295&amp;"'!$B:$R"),16,FALSE)="","",VLOOKUP($B295,INDIRECT("'GRD-"&amp;AG295&amp;"'!$B:$R"),16,FALSE)))</f>
        <v/>
      </c>
      <c r="AG295" s="132">
        <f t="array" ref="AG295">IF(AE295="","",IFERROR(OFFSET($BZ$11,0,MATCH($AE295,$CA295:$FV295,0),),""))</f>
        <v/>
      </c>
      <c r="AH295" s="121">
        <f t="array" ref="AH295">IF(AE295="","",INDIRECT("'GRD-"&amp;AG295&amp;"'!$L$7"))</f>
        <v/>
      </c>
      <c r="AI295" s="83">
        <f t="array" ref="AI295">IFERROR(OFFSET($BZ$11,ROW($B295)-11,MATCH(AI$10,$CA295:$FV295,0),),"")</f>
        <v/>
      </c>
      <c r="AJ295" s="83">
        <f>IF(AI295="","",IF(VLOOKUP($B295,INDIRECT("'GRD-"&amp;AK295&amp;"'!$B:$R"),16,FALSE)="","",VLOOKUP($B295,INDIRECT("'GRD-"&amp;AK295&amp;"'!$B:$R"),16,FALSE)))</f>
        <v/>
      </c>
      <c r="AK295" s="128">
        <f t="array" ref="AK295">IF(AI295="","",IFERROR(OFFSET($BZ$11,0,MATCH($AI295,$CA295:$FV295,0),),""))</f>
        <v/>
      </c>
      <c r="AL295" s="133">
        <f t="array" ref="AL295">IF(AI295="","",INDIRECT("'GRD-"&amp;AK295&amp;"'!$L$7"))</f>
        <v/>
      </c>
      <c r="AM295" s="84">
        <f t="array" ref="AM295">IFERROR(OFFSET($BZ$11,ROW($B295)-11,MATCH(AM$10,$CA295:$FV295,0),),"")</f>
        <v/>
      </c>
      <c r="AN295" s="84">
        <f>IF(AM295="","",IF(VLOOKUP($B295,INDIRECT("'GRD-"&amp;AO295&amp;"'!$B:$R"),16,FALSE)="","",VLOOKUP($B295,INDIRECT("'GRD-"&amp;AO295&amp;"'!$B:$R"),16,FALSE)))</f>
        <v/>
      </c>
      <c r="AO295" s="129">
        <f t="array" ref="AO295">IF(AM295="","",IFERROR(OFFSET($BZ$11,0,MATCH($AM295,$CA295:$FV295,0),),""))</f>
        <v/>
      </c>
      <c r="AP295" s="134">
        <f t="array" ref="AP295">IF(AM295="","",INDIRECT("'GRD-"&amp;AO295&amp;"'!$L$7"))</f>
        <v/>
      </c>
      <c r="AQ295" s="85">
        <f t="array" ref="AQ295">IFERROR(OFFSET($BZ$11,ROW($B295)-11,MATCH(AQ$10,$CA295:$FV295,0),),"")</f>
        <v/>
      </c>
      <c r="AR295" s="85">
        <f>IF(AQ295="","",IF(VLOOKUP($B295,INDIRECT("'GRD-"&amp;AS295&amp;"'!$B:$R"),16,FALSE)="","",VLOOKUP($B295,INDIRECT("'GRD-"&amp;AS295&amp;"'!$B:$R"),16,FALSE)))</f>
        <v/>
      </c>
      <c r="AS295" s="130">
        <f t="array" ref="AS295">IF(AQ295="","",IFERROR(OFFSET($BZ$11,0,MATCH($AQ295,$CA295:$FV295,0),),""))</f>
        <v/>
      </c>
      <c r="AT295" s="131">
        <f t="array" ref="AT295">IF(AQ295="","",INDIRECT("'GRD-"&amp;AS295&amp;"'!$L$7"))</f>
        <v/>
      </c>
      <c r="AU295" s="76">
        <f t="array" ref="AU295">IFERROR(OFFSET($BZ$11,ROW($B295)-11,MATCH(AU$10,$CA295:$FV295,0),),"")</f>
        <v/>
      </c>
      <c r="AV295" s="76">
        <f>IF(AU295="","",IF(VLOOKUP($B295,INDIRECT("'GRD-"&amp;AW295&amp;"'!$B:$R"),16,FALSE)="","",VLOOKUP($B295,INDIRECT("'GRD-"&amp;AW295&amp;"'!$B:$R"),16,FALSE)))</f>
        <v/>
      </c>
      <c r="AW295" s="132">
        <f t="array" ref="AW295">IF(AU295="","",IFERROR(OFFSET($BZ$11,0,MATCH($AU295,$CA295:$FV295,0),),""))</f>
        <v/>
      </c>
      <c r="AX295" s="121">
        <f t="array" ref="AX295">IF(AU295="","",INDIRECT("'GRD-"&amp;AW295&amp;"'!$L$7"))</f>
        <v/>
      </c>
      <c r="AY295" s="83">
        <f t="array" ref="AY295">IFERROR(OFFSET($BZ$11,ROW($B295)-11,MATCH(AY$10,$CA295:$FV295,0),),"")</f>
        <v/>
      </c>
      <c r="AZ295" s="83">
        <f>IF(AY295="","",IF(VLOOKUP($B295,INDIRECT("'GRD-"&amp;BA295&amp;"'!$B:$R"),16,FALSE)="","",VLOOKUP($B295,INDIRECT("'GRD-"&amp;BA295&amp;"'!$B:$R"),16,FALSE)))</f>
        <v/>
      </c>
      <c r="BA295" s="128">
        <f t="array" ref="BA295">IF(AY295="","",IFERROR(OFFSET($BZ$11,0,MATCH($AY295,$CA295:$FV295,0),),""))</f>
        <v/>
      </c>
      <c r="BB295" s="133">
        <f t="array" ref="BB295">IF(AY295="","",INDIRECT("'GRD-"&amp;BA295&amp;"'!$L$7"))</f>
        <v/>
      </c>
      <c r="BC295" s="84">
        <f t="array" ref="BC295">IFERROR(OFFSET($BZ$11,ROW($B295)-11,MATCH(BC$10,$CA295:$FV295,0),),"")</f>
        <v/>
      </c>
      <c r="BD295" s="84">
        <f>IF(BC295="","",IF(VLOOKUP($B295,INDIRECT("'GRD-"&amp;BE295&amp;"'!$B:$R"),16,FALSE)="","",VLOOKUP($B295,INDIRECT("'GRD-"&amp;BE295&amp;"'!$B:$R"),16,FALSE)))</f>
        <v/>
      </c>
      <c r="BE295" s="129">
        <f t="array" ref="BE295">IF(BC295="","",IFERROR(OFFSET($BZ$11,0,MATCH($BC295,$CA295:$FV295,0),),""))</f>
        <v/>
      </c>
      <c r="BF295" s="134">
        <f t="array" ref="BF295">IF(BC295="","",INDIRECT("'GRD-"&amp;BE295&amp;"'!$L$7"))</f>
        <v/>
      </c>
      <c r="CA295" s="96">
        <f>IFERROR(VLOOKUP($B295,INDIRECT("'GRD-"&amp;CA$11&amp;"'!B:R"),15,FALSE),"")</f>
        <v/>
      </c>
      <c r="CB295" s="96">
        <f>IFERROR(VLOOKUP($B295,INDIRECT("'GRD-"&amp;CB$11&amp;"'!B:R"),15,FALSE),"")</f>
        <v/>
      </c>
      <c r="CC295" s="96">
        <f>IFERROR(VLOOKUP($B295,INDIRECT("'GRD-"&amp;CC$11&amp;"'!B:R"),15,FALSE),"")</f>
        <v/>
      </c>
      <c r="CD295" s="96">
        <f>IFERROR(VLOOKUP($B295,INDIRECT("'GRD-"&amp;CD$11&amp;"'!B:R"),15,FALSE),"")</f>
        <v/>
      </c>
      <c r="CE295" s="96">
        <f>IFERROR(VLOOKUP($B295,INDIRECT("'GRD-"&amp;CE$11&amp;"'!B:R"),15,FALSE),"")</f>
        <v/>
      </c>
      <c r="CF295" s="96">
        <f>IFERROR(VLOOKUP($B295,INDIRECT("'GRD-"&amp;CF$11&amp;"'!B:R"),15,FALSE),"")</f>
        <v/>
      </c>
      <c r="CG295" s="96">
        <f>IFERROR(VLOOKUP($B295,INDIRECT("'GRD-"&amp;CG$11&amp;"'!B:R"),15,FALSE),"")</f>
        <v/>
      </c>
      <c r="CH295" s="96">
        <f>IFERROR(VLOOKUP($B295,INDIRECT("'GRD-"&amp;CH$11&amp;"'!B:R"),15,FALSE),"")</f>
        <v/>
      </c>
      <c r="CI295" s="96">
        <f>IFERROR(VLOOKUP($B295,INDIRECT("'GRD-"&amp;CI$11&amp;"'!B:R"),15,FALSE),"")</f>
        <v/>
      </c>
      <c r="CJ295" s="96">
        <f>IFERROR(VLOOKUP($B295,INDIRECT("'GRD-"&amp;CJ$11&amp;"'!B:R"),15,FALSE),"")</f>
        <v/>
      </c>
      <c r="CK295" s="96">
        <f>IFERROR(VLOOKUP($B295,INDIRECT("'GRD-"&amp;CK$11&amp;"'!B:R"),15,FALSE),"")</f>
        <v/>
      </c>
      <c r="CL295" s="96">
        <f>IFERROR(VLOOKUP($B295,INDIRECT("'GRD-"&amp;CL$11&amp;"'!B:R"),15,FALSE),"")</f>
        <v/>
      </c>
      <c r="CM295" s="96">
        <f>IFERROR(VLOOKUP($B295,INDIRECT("'GRD-"&amp;CM$11&amp;"'!B:R"),15,FALSE),"")</f>
        <v/>
      </c>
      <c r="CN295" s="96">
        <f>IFERROR(VLOOKUP($B295,INDIRECT("'GRD-"&amp;CN$11&amp;"'!B:R"),15,FALSE),"")</f>
        <v/>
      </c>
      <c r="CO295" s="96">
        <f>IFERROR(VLOOKUP($B295,INDIRECT("'GRD-"&amp;CO$11&amp;"'!B:R"),15,FALSE),"")</f>
        <v/>
      </c>
      <c r="CP295" s="96">
        <f>IFERROR(VLOOKUP($B295,INDIRECT("'GRD-"&amp;CP$11&amp;"'!B:R"),15,FALSE),"")</f>
        <v/>
      </c>
      <c r="CQ295" s="96">
        <f>IFERROR(VLOOKUP($B295,INDIRECT("'GRD-"&amp;CQ$11&amp;"'!B:R"),15,FALSE),"")</f>
        <v/>
      </c>
      <c r="CR295" s="96">
        <f>IFERROR(VLOOKUP($B295,INDIRECT("'GRD-"&amp;CR$11&amp;"'!B:R"),15,FALSE),"")</f>
        <v/>
      </c>
      <c r="CS295" s="96">
        <f>IFERROR(VLOOKUP($B295,INDIRECT("'GRD-"&amp;CS$11&amp;"'!B:R"),15,FALSE),"")</f>
        <v/>
      </c>
      <c r="CT295" s="96">
        <f>IFERROR(VLOOKUP($B295,INDIRECT("'GRD-"&amp;CT$11&amp;"'!B:R"),15,FALSE),"")</f>
        <v/>
      </c>
      <c r="CU295" s="96">
        <f>IFERROR(VLOOKUP($B295,INDIRECT("'GRD-"&amp;CU$11&amp;"'!B:R"),15,FALSE),"")</f>
        <v/>
      </c>
      <c r="CV295" s="96">
        <f>IFERROR(VLOOKUP($B295,INDIRECT("'GRD-"&amp;CV$11&amp;"'!B:R"),15,FALSE),"")</f>
        <v/>
      </c>
      <c r="CW295" s="96">
        <f>IFERROR(VLOOKUP($B295,INDIRECT("'GRD-"&amp;CW$11&amp;"'!B:R"),15,FALSE),"")</f>
        <v/>
      </c>
      <c r="CX295" s="96">
        <f>IFERROR(VLOOKUP($B295,INDIRECT("'GRD-"&amp;CX$11&amp;"'!B:R"),15,FALSE),"")</f>
        <v/>
      </c>
      <c r="CY295" s="96">
        <f>IFERROR(VLOOKUP($B295,INDIRECT("'GRD-"&amp;CY$11&amp;"'!B:R"),15,FALSE),"")</f>
        <v/>
      </c>
      <c r="CZ295" s="96">
        <f>IFERROR(VLOOKUP($B295,INDIRECT("'GRD-"&amp;CZ$11&amp;"'!B:R"),15,FALSE),"")</f>
        <v/>
      </c>
      <c r="DA295" s="96">
        <f>IFERROR(VLOOKUP($B295,INDIRECT("'GRD-"&amp;DA$11&amp;"'!B:R"),15,FALSE),"")</f>
        <v/>
      </c>
      <c r="DB295" s="96">
        <f>IFERROR(VLOOKUP($B295,INDIRECT("'GRD-"&amp;DB$11&amp;"'!B:R"),15,FALSE),"")</f>
        <v/>
      </c>
      <c r="DC295" s="96">
        <f>IFERROR(VLOOKUP($B295,INDIRECT("'GRD-"&amp;DC$11&amp;"'!B:R"),15,FALSE),"")</f>
        <v/>
      </c>
      <c r="DD295" s="96">
        <f>IFERROR(VLOOKUP($B295,INDIRECT("'GRD-"&amp;DD$11&amp;"'!B:R"),15,FALSE),"")</f>
        <v/>
      </c>
      <c r="DE295" s="96">
        <f>IFERROR(VLOOKUP($B295,INDIRECT("'GRD-"&amp;DE$11&amp;"'!B:R"),15,FALSE),"")</f>
        <v/>
      </c>
      <c r="DF295" s="96">
        <f>IFERROR(VLOOKUP($B295,INDIRECT("'GRD-"&amp;DF$11&amp;"'!B:R"),15,FALSE),"")</f>
        <v/>
      </c>
      <c r="DG295" s="96">
        <f>IFERROR(VLOOKUP($B295,INDIRECT("'GRD-"&amp;DG$11&amp;"'!B:R"),15,FALSE),"")</f>
        <v/>
      </c>
      <c r="DH295" s="96">
        <f>IFERROR(VLOOKUP($B295,INDIRECT("'GRD-"&amp;DH$11&amp;"'!B:R"),15,FALSE),"")</f>
        <v/>
      </c>
      <c r="DI295" s="96">
        <f>IFERROR(VLOOKUP($B295,INDIRECT("'GRD-"&amp;DI$11&amp;"'!B:R"),15,FALSE),"")</f>
        <v/>
      </c>
      <c r="DJ295" s="96">
        <f>IFERROR(VLOOKUP($B295,INDIRECT("'GRD-"&amp;DJ$11&amp;"'!B:R"),15,FALSE),"")</f>
        <v/>
      </c>
      <c r="DK295" s="96">
        <f>IFERROR(VLOOKUP($B295,INDIRECT("'GRD-"&amp;DK$11&amp;"'!B:R"),15,FALSE),"")</f>
        <v/>
      </c>
      <c r="DL295" s="96">
        <f>IFERROR(VLOOKUP($B295,INDIRECT("'GRD-"&amp;DL$11&amp;"'!B:R"),15,FALSE),"")</f>
        <v/>
      </c>
      <c r="DM295" s="96">
        <f>IFERROR(VLOOKUP($B295,INDIRECT("'GRD-"&amp;DM$11&amp;"'!B:R"),15,FALSE),"")</f>
        <v/>
      </c>
      <c r="DN295" s="96">
        <f>IFERROR(VLOOKUP($B295,INDIRECT("'GRD-"&amp;DN$11&amp;"'!B:R"),15,FALSE),"")</f>
        <v/>
      </c>
      <c r="DO295" s="96">
        <f>IFERROR(VLOOKUP($B295,INDIRECT("'GRD-"&amp;DO$11&amp;"'!B:R"),15,FALSE),"")</f>
        <v/>
      </c>
      <c r="DP295" s="96">
        <f>IFERROR(VLOOKUP($B295,INDIRECT("'GRD-"&amp;DP$11&amp;"'!B:R"),15,FALSE),"")</f>
        <v/>
      </c>
      <c r="DQ295" s="96">
        <f>IFERROR(VLOOKUP($B295,INDIRECT("'GRD-"&amp;DQ$11&amp;"'!B:R"),15,FALSE),"")</f>
        <v/>
      </c>
      <c r="DR295" s="96">
        <f>IFERROR(VLOOKUP($B295,INDIRECT("'GRD-"&amp;DR$11&amp;"'!B:R"),15,FALSE),"")</f>
        <v/>
      </c>
      <c r="DS295" s="96">
        <f>IFERROR(VLOOKUP($B295,INDIRECT("'GRD-"&amp;DS$11&amp;"'!B:R"),15,FALSE),"")</f>
        <v/>
      </c>
      <c r="DT295" s="96">
        <f>IFERROR(VLOOKUP($B295,INDIRECT("'GRD-"&amp;DT$11&amp;"'!B:R"),15,FALSE),"")</f>
        <v/>
      </c>
      <c r="DU295" s="96">
        <f>IFERROR(VLOOKUP($B295,INDIRECT("'GRD-"&amp;DU$11&amp;"'!B:R"),15,FALSE),"")</f>
        <v/>
      </c>
      <c r="DV295" s="96">
        <f>IFERROR(VLOOKUP($B295,INDIRECT("'GRD-"&amp;DV$11&amp;"'!B:R"),15,FALSE),"")</f>
        <v/>
      </c>
      <c r="DW295" s="96">
        <f>IFERROR(VLOOKUP($B295,INDIRECT("'GRD-"&amp;DW$11&amp;"'!B:R"),15,FALSE),"")</f>
        <v/>
      </c>
      <c r="DX295" s="96">
        <f>IFERROR(VLOOKUP($B295,INDIRECT("'GRD-"&amp;DX$11&amp;"'!B:R"),15,FALSE),"")</f>
        <v/>
      </c>
      <c r="DY295" s="96">
        <f>IFERROR(VLOOKUP($B295,INDIRECT("'GRD-"&amp;DY$11&amp;"'!B:R"),15,FALSE),"")</f>
        <v/>
      </c>
      <c r="DZ295" s="96">
        <f>IFERROR(VLOOKUP($B295,INDIRECT("'GRD-"&amp;DZ$11&amp;"'!B:R"),15,FALSE),"")</f>
        <v/>
      </c>
      <c r="EA295" s="96">
        <f>IFERROR(VLOOKUP($B295,INDIRECT("'GRD-"&amp;EA$11&amp;"'!B:R"),15,FALSE),"")</f>
        <v/>
      </c>
      <c r="EB295" s="96">
        <f>IFERROR(VLOOKUP($B295,INDIRECT("'GRD-"&amp;EB$11&amp;"'!B:R"),15,FALSE),"")</f>
        <v/>
      </c>
      <c r="EC295" s="96">
        <f>IFERROR(VLOOKUP($B295,INDIRECT("'GRD-"&amp;EC$11&amp;"'!B:R"),15,FALSE),"")</f>
        <v/>
      </c>
      <c r="ED295" s="96">
        <f>IFERROR(VLOOKUP($B295,INDIRECT("'GRD-"&amp;ED$11&amp;"'!B:R"),15,FALSE),"")</f>
        <v/>
      </c>
      <c r="EE295" s="96">
        <f>IFERROR(VLOOKUP($B295,INDIRECT("'GRD-"&amp;EE$11&amp;"'!B:R"),15,FALSE),"")</f>
        <v/>
      </c>
      <c r="EF295" s="96">
        <f>IFERROR(VLOOKUP($B295,INDIRECT("'GRD-"&amp;EF$11&amp;"'!B:R"),15,FALSE),"")</f>
        <v/>
      </c>
      <c r="EG295" s="96">
        <f>IFERROR(VLOOKUP($B295,INDIRECT("'GRD-"&amp;EG$11&amp;"'!B:R"),15,FALSE),"")</f>
        <v/>
      </c>
      <c r="EH295" s="96">
        <f>IFERROR(VLOOKUP($B295,INDIRECT("'GRD-"&amp;EH$11&amp;"'!B:R"),15,FALSE),"")</f>
        <v/>
      </c>
      <c r="EI295" s="96">
        <f>IFERROR(VLOOKUP($B295,INDIRECT("'GRD-"&amp;EI$11&amp;"'!B:R"),15,FALSE),"")</f>
        <v/>
      </c>
      <c r="EJ295" s="96">
        <f>IFERROR(VLOOKUP($B295,INDIRECT("'GRD-"&amp;EJ$11&amp;"'!B:R"),15,FALSE),"")</f>
        <v/>
      </c>
      <c r="EK295" s="96">
        <f>IFERROR(VLOOKUP($B295,INDIRECT("'GRD-"&amp;EK$11&amp;"'!B:R"),15,FALSE),"")</f>
        <v/>
      </c>
      <c r="EL295" s="96">
        <f>IFERROR(VLOOKUP($B295,INDIRECT("'GRD-"&amp;EL$11&amp;"'!B:R"),15,FALSE),"")</f>
        <v/>
      </c>
      <c r="EM295" s="96">
        <f>IFERROR(VLOOKUP($B295,INDIRECT("'GRD-"&amp;EM$11&amp;"'!B:R"),15,FALSE),"")</f>
        <v/>
      </c>
      <c r="EN295" s="96">
        <f>IFERROR(VLOOKUP($B295,INDIRECT("'GRD-"&amp;EN$11&amp;"'!B:R"),15,FALSE),"")</f>
        <v/>
      </c>
      <c r="EO295" s="96">
        <f>IFERROR(VLOOKUP($B295,INDIRECT("'GRD-"&amp;EO$11&amp;"'!B:R"),15,FALSE),"")</f>
        <v/>
      </c>
      <c r="EP295" s="96">
        <f>IFERROR(VLOOKUP($B295,INDIRECT("'GRD-"&amp;EP$11&amp;"'!B:R"),15,FALSE),"")</f>
        <v/>
      </c>
      <c r="EQ295" s="96">
        <f>IFERROR(VLOOKUP($B295,INDIRECT("'GRD-"&amp;EQ$11&amp;"'!B:R"),15,FALSE),"")</f>
        <v/>
      </c>
      <c r="ER295" s="96">
        <f>IFERROR(VLOOKUP($B295,INDIRECT("'GRD-"&amp;ER$11&amp;"'!B:R"),15,FALSE),"")</f>
        <v/>
      </c>
      <c r="ES295" s="96">
        <f>IFERROR(VLOOKUP($B295,INDIRECT("'GRD-"&amp;ES$11&amp;"'!B:R"),15,FALSE),"")</f>
        <v/>
      </c>
      <c r="ET295" s="96">
        <f>IFERROR(VLOOKUP($B295,INDIRECT("'GRD-"&amp;ET$11&amp;"'!B:R"),15,FALSE),"")</f>
        <v/>
      </c>
      <c r="EU295" s="96">
        <f>IFERROR(VLOOKUP($B295,INDIRECT("'GRD-"&amp;EU$11&amp;"'!B:R"),15,FALSE),"")</f>
        <v/>
      </c>
      <c r="EV295" s="96">
        <f>IFERROR(VLOOKUP($B295,INDIRECT("'GRD-"&amp;EV$11&amp;"'!B:R"),15,FALSE),"")</f>
        <v/>
      </c>
      <c r="EW295" s="96">
        <f>IFERROR(VLOOKUP($B295,INDIRECT("'GRD-"&amp;EW$11&amp;"'!B:R"),15,FALSE),"")</f>
        <v/>
      </c>
      <c r="EX295" s="96">
        <f>IFERROR(VLOOKUP($B295,INDIRECT("'GRD-"&amp;EX$11&amp;"'!B:R"),15,FALSE),"")</f>
        <v/>
      </c>
      <c r="EY295" s="96">
        <f>IFERROR(VLOOKUP($B295,INDIRECT("'GRD-"&amp;EY$11&amp;"'!B:R"),15,FALSE),"")</f>
        <v/>
      </c>
      <c r="EZ295" s="96">
        <f>IFERROR(VLOOKUP($B295,INDIRECT("'GRD-"&amp;EZ$11&amp;"'!B:R"),15,FALSE),"")</f>
        <v/>
      </c>
      <c r="FA295" s="96">
        <f>IFERROR(VLOOKUP($B295,INDIRECT("'GRD-"&amp;FA$11&amp;"'!B:R"),15,FALSE),"")</f>
        <v/>
      </c>
      <c r="FB295" s="96">
        <f>IFERROR(VLOOKUP($B295,INDIRECT("'GRD-"&amp;FB$11&amp;"'!B:R"),15,FALSE),"")</f>
        <v/>
      </c>
      <c r="FC295" s="96">
        <f>IFERROR(VLOOKUP($B295,INDIRECT("'GRD-"&amp;FC$11&amp;"'!B:R"),15,FALSE),"")</f>
        <v/>
      </c>
      <c r="FD295" s="96">
        <f>IFERROR(VLOOKUP($B295,INDIRECT("'GRD-"&amp;FD$11&amp;"'!B:R"),15,FALSE),"")</f>
        <v/>
      </c>
      <c r="FE295" s="96">
        <f>IFERROR(VLOOKUP($B295,INDIRECT("'GRD-"&amp;FE$11&amp;"'!B:R"),15,FALSE),"")</f>
        <v/>
      </c>
      <c r="FF295" s="96">
        <f>IFERROR(VLOOKUP($B295,INDIRECT("'GRD-"&amp;FF$11&amp;"'!B:R"),15,FALSE),"")</f>
        <v/>
      </c>
      <c r="FG295" s="96">
        <f>IFERROR(VLOOKUP($B295,INDIRECT("'GRD-"&amp;FG$11&amp;"'!B:R"),15,FALSE),"")</f>
        <v/>
      </c>
      <c r="FH295" s="96">
        <f>IFERROR(VLOOKUP($B295,INDIRECT("'GRD-"&amp;FH$11&amp;"'!B:R"),15,FALSE),"")</f>
        <v/>
      </c>
      <c r="FI295" s="96">
        <f>IFERROR(VLOOKUP($B295,INDIRECT("'GRD-"&amp;FI$11&amp;"'!B:R"),15,FALSE),"")</f>
        <v/>
      </c>
      <c r="FJ295" s="96">
        <f>IFERROR(VLOOKUP($B295,INDIRECT("'GRD-"&amp;FJ$11&amp;"'!B:R"),15,FALSE),"")</f>
        <v/>
      </c>
      <c r="FK295" s="96">
        <f>IFERROR(VLOOKUP($B295,INDIRECT("'GRD-"&amp;FK$11&amp;"'!B:R"),15,FALSE),"")</f>
        <v/>
      </c>
      <c r="FL295" s="96">
        <f>IFERROR(VLOOKUP($B295,INDIRECT("'GRD-"&amp;FL$11&amp;"'!B:R"),15,FALSE),"")</f>
        <v/>
      </c>
      <c r="FM295" s="96">
        <f>IFERROR(VLOOKUP($B295,INDIRECT("'GRD-"&amp;FM$11&amp;"'!B:R"),15,FALSE),"")</f>
        <v/>
      </c>
      <c r="FN295" s="96">
        <f>IFERROR(VLOOKUP($B295,INDIRECT("'GRD-"&amp;FN$11&amp;"'!B:R"),15,FALSE),"")</f>
        <v/>
      </c>
      <c r="FO295" s="96">
        <f>IFERROR(VLOOKUP($B295,INDIRECT("'GRD-"&amp;FO$11&amp;"'!B:R"),15,FALSE),"")</f>
        <v/>
      </c>
      <c r="FP295" s="96">
        <f>IFERROR(VLOOKUP($B295,INDIRECT("'GRD-"&amp;FP$11&amp;"'!B:R"),15,FALSE),"")</f>
        <v/>
      </c>
      <c r="FQ295" s="96">
        <f>IFERROR(VLOOKUP($B295,INDIRECT("'GRD-"&amp;FQ$11&amp;"'!B:R"),15,FALSE),"")</f>
        <v/>
      </c>
      <c r="FR295" s="96">
        <f>IFERROR(VLOOKUP($B295,INDIRECT("'GRD-"&amp;FR$11&amp;"'!B:R"),15,FALSE),"")</f>
        <v/>
      </c>
      <c r="FS295" s="96">
        <f>IFERROR(VLOOKUP($B295,INDIRECT("'GRD-"&amp;FS$11&amp;"'!B:R"),15,FALSE),"")</f>
        <v/>
      </c>
      <c r="FT295" s="96">
        <f>IFERROR(VLOOKUP($B295,INDIRECT("'GRD-"&amp;FT$11&amp;"'!B:R"),15,FALSE),"")</f>
        <v/>
      </c>
      <c r="FU295" s="96">
        <f>IFERROR(VLOOKUP($B295,INDIRECT("'GRD-"&amp;FU$11&amp;"'!B:R"),15,FALSE),"")</f>
        <v/>
      </c>
      <c r="FV295" s="96">
        <f>IFERROR(VLOOKUP($B295,INDIRECT("'GRD-"&amp;FV$11&amp;"'!B:R"),15,FALSE),"")</f>
        <v/>
      </c>
    </row>
    <row r="296">
      <c r="B296" s="85" t="n"/>
      <c r="C296" s="93" t="n"/>
      <c r="D296" s="73">
        <f>IF(K296="","",MAX($CA296:$FV296))</f>
        <v/>
      </c>
      <c r="E296" s="74">
        <f t="array" ref="E296">IF($K296="","",OFFSET($A$1,ROW($B296)-1,11+$D296*4,))</f>
        <v/>
      </c>
      <c r="F296" s="74">
        <f t="array" ref="F296">IF($K296="","",OFFSET($A$1,ROW($B296)-1,12+$D296*4,))</f>
        <v/>
      </c>
      <c r="G296" s="118">
        <f t="array" ref="G296">IF($K296="","",OFFSET($A$1,ROW($B296)-1,13+$D296*4,))</f>
        <v/>
      </c>
      <c r="H296" s="81" t="n"/>
      <c r="I296" s="82" t="n"/>
      <c r="J296" s="75">
        <f>IF(I296="A4",H296/8,IF(I296="A3",H296/4,IF(I296="A2",H296/2,IF(I296="A1",H296/1,IF(I296="A0",H296*2,"")))))</f>
        <v/>
      </c>
      <c r="K296" s="68">
        <f t="array" ref="K296">IFERROR(OFFSET($BZ$11,ROW($B296)-11,MATCH(K$10,$CA296:$FV296,0),),"")</f>
        <v/>
      </c>
      <c r="L296" s="85">
        <f>IF(K296="","",IF(VLOOKUP($B296,INDIRECT("'GRD-"&amp;M296&amp;"'!$B:$R"),16,FALSE)="","",VLOOKUP($B296,INDIRECT("'GRD-"&amp;M296&amp;"'!$B:$R"),16,FALSE)))</f>
        <v/>
      </c>
      <c r="M296" s="130">
        <f t="array" ref="M296">IF(K296="","",IFERROR(OFFSET($BZ$11,0,MATCH($K296,$CA296:$FV296,0),),""))</f>
        <v/>
      </c>
      <c r="N296" s="119">
        <f t="array" ref="N296">IF(K296="","",INDIRECT("'GRD-"&amp;M296&amp;"'!$L$7"))</f>
        <v/>
      </c>
      <c r="O296" s="76">
        <f t="array" ref="O296">IFERROR(OFFSET($BZ$11,ROW($B296)-11,MATCH(O$10,$CA296:$FV296,0),),"")</f>
        <v/>
      </c>
      <c r="P296" s="76">
        <f>IF(O296="","",IF(VLOOKUP($B296,INDIRECT("'GRD-"&amp;Q296&amp;"'!$B:$R"),16,FALSE)="","",VLOOKUP($B296,INDIRECT("'GRD-"&amp;Q296&amp;"'!$B:$R"),16,FALSE)))</f>
        <v/>
      </c>
      <c r="Q296" s="132">
        <f t="array" ref="Q296">IF(O296="","",IFERROR(OFFSET($BZ$11,0,MATCH($O296,$CA296:$FV296,0),),""))</f>
        <v/>
      </c>
      <c r="R296" s="121">
        <f t="array" ref="R296">IF(O296="","",INDIRECT("'GRD-"&amp;Q296&amp;"'!$L$7"))</f>
        <v/>
      </c>
      <c r="S296" s="83">
        <f t="array" ref="S296">IFERROR(OFFSET($BZ$11,ROW($B296)-11,MATCH(S$10,$CA296:$FV296,0),),"")</f>
        <v/>
      </c>
      <c r="T296" s="83">
        <f>IF(S296="","",IF(VLOOKUP($B296,INDIRECT("'GRD-"&amp;U296&amp;"'!$B:$R"),16,FALSE)="","",VLOOKUP($B296,INDIRECT("'GRD-"&amp;U296&amp;"'!$B:$R"),16,FALSE)))</f>
        <v/>
      </c>
      <c r="U296" s="128">
        <f t="array" ref="U296">IF(S296="","",IFERROR(OFFSET($BZ$11,0,MATCH($S296,$CA296:$FV296,0),),""))</f>
        <v/>
      </c>
      <c r="V296" s="133">
        <f t="array" ref="V296">IF(S296="","",INDIRECT("'GRD-"&amp;U296&amp;"'!$L$7"))</f>
        <v/>
      </c>
      <c r="W296" s="84">
        <f t="array" ref="W296">IFERROR(OFFSET($BZ$11,ROW($B296)-11,MATCH(W$10,$CA296:$FV296,0),),"")</f>
        <v/>
      </c>
      <c r="X296" s="84">
        <f>IF(W296="","",IF(VLOOKUP($B296,INDIRECT("'GRD-"&amp;Y296&amp;"'!$B:$R"),16,FALSE)="","",VLOOKUP($B296,INDIRECT("'GRD-"&amp;Y296&amp;"'!$B:$R"),16,FALSE)))</f>
        <v/>
      </c>
      <c r="Y296" s="129">
        <f t="array" ref="Y296">IF(W296="","",IFERROR(OFFSET($BZ$11,0,MATCH($W296,$CA296:$FV296,0),),""))</f>
        <v/>
      </c>
      <c r="Z296" s="134">
        <f t="array" ref="Z296">IF(W296="","",INDIRECT("'GRD-"&amp;Y296&amp;"'!$L$7"))</f>
        <v/>
      </c>
      <c r="AA296" s="85">
        <f t="array" ref="AA296">IFERROR(OFFSET($BZ$11,ROW($B296)-11,MATCH(AA$10,$CA296:$FV296,0),),"")</f>
        <v/>
      </c>
      <c r="AB296" s="85">
        <f>IF(AA296="","",IF(VLOOKUP($B296,INDIRECT("'GRD-"&amp;AC296&amp;"'!$B:$R"),16,FALSE)="","",VLOOKUP($B296,INDIRECT("'GRD-"&amp;AC296&amp;"'!$B:$R"),16,FALSE)))</f>
        <v/>
      </c>
      <c r="AC296" s="130">
        <f t="array" ref="AC296">IF(AA296="","",IFERROR(OFFSET($BZ$11,0,MATCH($AA296,$CA296:$FV296,0),),""))</f>
        <v/>
      </c>
      <c r="AD296" s="131">
        <f t="array" ref="AD296">IF(AA296="","",INDIRECT("'GRD-"&amp;AC296&amp;"'!$L$7"))</f>
        <v/>
      </c>
      <c r="AE296" s="76">
        <f t="array" ref="AE296">IFERROR(OFFSET($BZ$11,ROW($B296)-11,MATCH(AE$10,$CA296:$FV296,0),),"")</f>
        <v/>
      </c>
      <c r="AF296" s="76">
        <f>IF(AE296="","",IF(VLOOKUP($B296,INDIRECT("'GRD-"&amp;AG296&amp;"'!$B:$R"),16,FALSE)="","",VLOOKUP($B296,INDIRECT("'GRD-"&amp;AG296&amp;"'!$B:$R"),16,FALSE)))</f>
        <v/>
      </c>
      <c r="AG296" s="132">
        <f t="array" ref="AG296">IF(AE296="","",IFERROR(OFFSET($BZ$11,0,MATCH($AE296,$CA296:$FV296,0),),""))</f>
        <v/>
      </c>
      <c r="AH296" s="121">
        <f t="array" ref="AH296">IF(AE296="","",INDIRECT("'GRD-"&amp;AG296&amp;"'!$L$7"))</f>
        <v/>
      </c>
      <c r="AI296" s="83">
        <f t="array" ref="AI296">IFERROR(OFFSET($BZ$11,ROW($B296)-11,MATCH(AI$10,$CA296:$FV296,0),),"")</f>
        <v/>
      </c>
      <c r="AJ296" s="83">
        <f>IF(AI296="","",IF(VLOOKUP($B296,INDIRECT("'GRD-"&amp;AK296&amp;"'!$B:$R"),16,FALSE)="","",VLOOKUP($B296,INDIRECT("'GRD-"&amp;AK296&amp;"'!$B:$R"),16,FALSE)))</f>
        <v/>
      </c>
      <c r="AK296" s="128">
        <f t="array" ref="AK296">IF(AI296="","",IFERROR(OFFSET($BZ$11,0,MATCH($AI296,$CA296:$FV296,0),),""))</f>
        <v/>
      </c>
      <c r="AL296" s="133">
        <f t="array" ref="AL296">IF(AI296="","",INDIRECT("'GRD-"&amp;AK296&amp;"'!$L$7"))</f>
        <v/>
      </c>
      <c r="AM296" s="84">
        <f t="array" ref="AM296">IFERROR(OFFSET($BZ$11,ROW($B296)-11,MATCH(AM$10,$CA296:$FV296,0),),"")</f>
        <v/>
      </c>
      <c r="AN296" s="84">
        <f>IF(AM296="","",IF(VLOOKUP($B296,INDIRECT("'GRD-"&amp;AO296&amp;"'!$B:$R"),16,FALSE)="","",VLOOKUP($B296,INDIRECT("'GRD-"&amp;AO296&amp;"'!$B:$R"),16,FALSE)))</f>
        <v/>
      </c>
      <c r="AO296" s="129">
        <f t="array" ref="AO296">IF(AM296="","",IFERROR(OFFSET($BZ$11,0,MATCH($AM296,$CA296:$FV296,0),),""))</f>
        <v/>
      </c>
      <c r="AP296" s="134">
        <f t="array" ref="AP296">IF(AM296="","",INDIRECT("'GRD-"&amp;AO296&amp;"'!$L$7"))</f>
        <v/>
      </c>
      <c r="AQ296" s="85">
        <f t="array" ref="AQ296">IFERROR(OFFSET($BZ$11,ROW($B296)-11,MATCH(AQ$10,$CA296:$FV296,0),),"")</f>
        <v/>
      </c>
      <c r="AR296" s="85">
        <f>IF(AQ296="","",IF(VLOOKUP($B296,INDIRECT("'GRD-"&amp;AS296&amp;"'!$B:$R"),16,FALSE)="","",VLOOKUP($B296,INDIRECT("'GRD-"&amp;AS296&amp;"'!$B:$R"),16,FALSE)))</f>
        <v/>
      </c>
      <c r="AS296" s="130">
        <f t="array" ref="AS296">IF(AQ296="","",IFERROR(OFFSET($BZ$11,0,MATCH($AQ296,$CA296:$FV296,0),),""))</f>
        <v/>
      </c>
      <c r="AT296" s="131">
        <f t="array" ref="AT296">IF(AQ296="","",INDIRECT("'GRD-"&amp;AS296&amp;"'!$L$7"))</f>
        <v/>
      </c>
      <c r="AU296" s="76">
        <f t="array" ref="AU296">IFERROR(OFFSET($BZ$11,ROW($B296)-11,MATCH(AU$10,$CA296:$FV296,0),),"")</f>
        <v/>
      </c>
      <c r="AV296" s="76">
        <f>IF(AU296="","",IF(VLOOKUP($B296,INDIRECT("'GRD-"&amp;AW296&amp;"'!$B:$R"),16,FALSE)="","",VLOOKUP($B296,INDIRECT("'GRD-"&amp;AW296&amp;"'!$B:$R"),16,FALSE)))</f>
        <v/>
      </c>
      <c r="AW296" s="132">
        <f t="array" ref="AW296">IF(AU296="","",IFERROR(OFFSET($BZ$11,0,MATCH($AU296,$CA296:$FV296,0),),""))</f>
        <v/>
      </c>
      <c r="AX296" s="121">
        <f t="array" ref="AX296">IF(AU296="","",INDIRECT("'GRD-"&amp;AW296&amp;"'!$L$7"))</f>
        <v/>
      </c>
      <c r="AY296" s="83">
        <f t="array" ref="AY296">IFERROR(OFFSET($BZ$11,ROW($B296)-11,MATCH(AY$10,$CA296:$FV296,0),),"")</f>
        <v/>
      </c>
      <c r="AZ296" s="83">
        <f>IF(AY296="","",IF(VLOOKUP($B296,INDIRECT("'GRD-"&amp;BA296&amp;"'!$B:$R"),16,FALSE)="","",VLOOKUP($B296,INDIRECT("'GRD-"&amp;BA296&amp;"'!$B:$R"),16,FALSE)))</f>
        <v/>
      </c>
      <c r="BA296" s="128">
        <f t="array" ref="BA296">IF(AY296="","",IFERROR(OFFSET($BZ$11,0,MATCH($AY296,$CA296:$FV296,0),),""))</f>
        <v/>
      </c>
      <c r="BB296" s="133">
        <f t="array" ref="BB296">IF(AY296="","",INDIRECT("'GRD-"&amp;BA296&amp;"'!$L$7"))</f>
        <v/>
      </c>
      <c r="BC296" s="84">
        <f t="array" ref="BC296">IFERROR(OFFSET($BZ$11,ROW($B296)-11,MATCH(BC$10,$CA296:$FV296,0),),"")</f>
        <v/>
      </c>
      <c r="BD296" s="84">
        <f>IF(BC296="","",IF(VLOOKUP($B296,INDIRECT("'GRD-"&amp;BE296&amp;"'!$B:$R"),16,FALSE)="","",VLOOKUP($B296,INDIRECT("'GRD-"&amp;BE296&amp;"'!$B:$R"),16,FALSE)))</f>
        <v/>
      </c>
      <c r="BE296" s="129">
        <f t="array" ref="BE296">IF(BC296="","",IFERROR(OFFSET($BZ$11,0,MATCH($BC296,$CA296:$FV296,0),),""))</f>
        <v/>
      </c>
      <c r="BF296" s="134">
        <f t="array" ref="BF296">IF(BC296="","",INDIRECT("'GRD-"&amp;BE296&amp;"'!$L$7"))</f>
        <v/>
      </c>
      <c r="CA296" s="96">
        <f>IFERROR(VLOOKUP($B296,INDIRECT("'GRD-"&amp;CA$11&amp;"'!B:R"),15,FALSE),"")</f>
        <v/>
      </c>
      <c r="CB296" s="96">
        <f>IFERROR(VLOOKUP($B296,INDIRECT("'GRD-"&amp;CB$11&amp;"'!B:R"),15,FALSE),"")</f>
        <v/>
      </c>
      <c r="CC296" s="96">
        <f>IFERROR(VLOOKUP($B296,INDIRECT("'GRD-"&amp;CC$11&amp;"'!B:R"),15,FALSE),"")</f>
        <v/>
      </c>
      <c r="CD296" s="96">
        <f>IFERROR(VLOOKUP($B296,INDIRECT("'GRD-"&amp;CD$11&amp;"'!B:R"),15,FALSE),"")</f>
        <v/>
      </c>
      <c r="CE296" s="96">
        <f>IFERROR(VLOOKUP($B296,INDIRECT("'GRD-"&amp;CE$11&amp;"'!B:R"),15,FALSE),"")</f>
        <v/>
      </c>
      <c r="CF296" s="96">
        <f>IFERROR(VLOOKUP($B296,INDIRECT("'GRD-"&amp;CF$11&amp;"'!B:R"),15,FALSE),"")</f>
        <v/>
      </c>
      <c r="CG296" s="96">
        <f>IFERROR(VLOOKUP($B296,INDIRECT("'GRD-"&amp;CG$11&amp;"'!B:R"),15,FALSE),"")</f>
        <v/>
      </c>
      <c r="CH296" s="96">
        <f>IFERROR(VLOOKUP($B296,INDIRECT("'GRD-"&amp;CH$11&amp;"'!B:R"),15,FALSE),"")</f>
        <v/>
      </c>
      <c r="CI296" s="96">
        <f>IFERROR(VLOOKUP($B296,INDIRECT("'GRD-"&amp;CI$11&amp;"'!B:R"),15,FALSE),"")</f>
        <v/>
      </c>
      <c r="CJ296" s="96">
        <f>IFERROR(VLOOKUP($B296,INDIRECT("'GRD-"&amp;CJ$11&amp;"'!B:R"),15,FALSE),"")</f>
        <v/>
      </c>
      <c r="CK296" s="96">
        <f>IFERROR(VLOOKUP($B296,INDIRECT("'GRD-"&amp;CK$11&amp;"'!B:R"),15,FALSE),"")</f>
        <v/>
      </c>
      <c r="CL296" s="96">
        <f>IFERROR(VLOOKUP($B296,INDIRECT("'GRD-"&amp;CL$11&amp;"'!B:R"),15,FALSE),"")</f>
        <v/>
      </c>
      <c r="CM296" s="96">
        <f>IFERROR(VLOOKUP($B296,INDIRECT("'GRD-"&amp;CM$11&amp;"'!B:R"),15,FALSE),"")</f>
        <v/>
      </c>
      <c r="CN296" s="96">
        <f>IFERROR(VLOOKUP($B296,INDIRECT("'GRD-"&amp;CN$11&amp;"'!B:R"),15,FALSE),"")</f>
        <v/>
      </c>
      <c r="CO296" s="96">
        <f>IFERROR(VLOOKUP($B296,INDIRECT("'GRD-"&amp;CO$11&amp;"'!B:R"),15,FALSE),"")</f>
        <v/>
      </c>
      <c r="CP296" s="96">
        <f>IFERROR(VLOOKUP($B296,INDIRECT("'GRD-"&amp;CP$11&amp;"'!B:R"),15,FALSE),"")</f>
        <v/>
      </c>
      <c r="CQ296" s="96">
        <f>IFERROR(VLOOKUP($B296,INDIRECT("'GRD-"&amp;CQ$11&amp;"'!B:R"),15,FALSE),"")</f>
        <v/>
      </c>
      <c r="CR296" s="96">
        <f>IFERROR(VLOOKUP($B296,INDIRECT("'GRD-"&amp;CR$11&amp;"'!B:R"),15,FALSE),"")</f>
        <v/>
      </c>
      <c r="CS296" s="96">
        <f>IFERROR(VLOOKUP($B296,INDIRECT("'GRD-"&amp;CS$11&amp;"'!B:R"),15,FALSE),"")</f>
        <v/>
      </c>
      <c r="CT296" s="96">
        <f>IFERROR(VLOOKUP($B296,INDIRECT("'GRD-"&amp;CT$11&amp;"'!B:R"),15,FALSE),"")</f>
        <v/>
      </c>
      <c r="CU296" s="96">
        <f>IFERROR(VLOOKUP($B296,INDIRECT("'GRD-"&amp;CU$11&amp;"'!B:R"),15,FALSE),"")</f>
        <v/>
      </c>
      <c r="CV296" s="96">
        <f>IFERROR(VLOOKUP($B296,INDIRECT("'GRD-"&amp;CV$11&amp;"'!B:R"),15,FALSE),"")</f>
        <v/>
      </c>
      <c r="CW296" s="96">
        <f>IFERROR(VLOOKUP($B296,INDIRECT("'GRD-"&amp;CW$11&amp;"'!B:R"),15,FALSE),"")</f>
        <v/>
      </c>
      <c r="CX296" s="96">
        <f>IFERROR(VLOOKUP($B296,INDIRECT("'GRD-"&amp;CX$11&amp;"'!B:R"),15,FALSE),"")</f>
        <v/>
      </c>
      <c r="CY296" s="96">
        <f>IFERROR(VLOOKUP($B296,INDIRECT("'GRD-"&amp;CY$11&amp;"'!B:R"),15,FALSE),"")</f>
        <v/>
      </c>
      <c r="CZ296" s="96">
        <f>IFERROR(VLOOKUP($B296,INDIRECT("'GRD-"&amp;CZ$11&amp;"'!B:R"),15,FALSE),"")</f>
        <v/>
      </c>
      <c r="DA296" s="96">
        <f>IFERROR(VLOOKUP($B296,INDIRECT("'GRD-"&amp;DA$11&amp;"'!B:R"),15,FALSE),"")</f>
        <v/>
      </c>
      <c r="DB296" s="96">
        <f>IFERROR(VLOOKUP($B296,INDIRECT("'GRD-"&amp;DB$11&amp;"'!B:R"),15,FALSE),"")</f>
        <v/>
      </c>
      <c r="DC296" s="96">
        <f>IFERROR(VLOOKUP($B296,INDIRECT("'GRD-"&amp;DC$11&amp;"'!B:R"),15,FALSE),"")</f>
        <v/>
      </c>
      <c r="DD296" s="96">
        <f>IFERROR(VLOOKUP($B296,INDIRECT("'GRD-"&amp;DD$11&amp;"'!B:R"),15,FALSE),"")</f>
        <v/>
      </c>
      <c r="DE296" s="96">
        <f>IFERROR(VLOOKUP($B296,INDIRECT("'GRD-"&amp;DE$11&amp;"'!B:R"),15,FALSE),"")</f>
        <v/>
      </c>
      <c r="DF296" s="96">
        <f>IFERROR(VLOOKUP($B296,INDIRECT("'GRD-"&amp;DF$11&amp;"'!B:R"),15,FALSE),"")</f>
        <v/>
      </c>
      <c r="DG296" s="96">
        <f>IFERROR(VLOOKUP($B296,INDIRECT("'GRD-"&amp;DG$11&amp;"'!B:R"),15,FALSE),"")</f>
        <v/>
      </c>
      <c r="DH296" s="96">
        <f>IFERROR(VLOOKUP($B296,INDIRECT("'GRD-"&amp;DH$11&amp;"'!B:R"),15,FALSE),"")</f>
        <v/>
      </c>
      <c r="DI296" s="96">
        <f>IFERROR(VLOOKUP($B296,INDIRECT("'GRD-"&amp;DI$11&amp;"'!B:R"),15,FALSE),"")</f>
        <v/>
      </c>
      <c r="DJ296" s="96">
        <f>IFERROR(VLOOKUP($B296,INDIRECT("'GRD-"&amp;DJ$11&amp;"'!B:R"),15,FALSE),"")</f>
        <v/>
      </c>
      <c r="DK296" s="96">
        <f>IFERROR(VLOOKUP($B296,INDIRECT("'GRD-"&amp;DK$11&amp;"'!B:R"),15,FALSE),"")</f>
        <v/>
      </c>
      <c r="DL296" s="96">
        <f>IFERROR(VLOOKUP($B296,INDIRECT("'GRD-"&amp;DL$11&amp;"'!B:R"),15,FALSE),"")</f>
        <v/>
      </c>
      <c r="DM296" s="96">
        <f>IFERROR(VLOOKUP($B296,INDIRECT("'GRD-"&amp;DM$11&amp;"'!B:R"),15,FALSE),"")</f>
        <v/>
      </c>
      <c r="DN296" s="96">
        <f>IFERROR(VLOOKUP($B296,INDIRECT("'GRD-"&amp;DN$11&amp;"'!B:R"),15,FALSE),"")</f>
        <v/>
      </c>
      <c r="DO296" s="96">
        <f>IFERROR(VLOOKUP($B296,INDIRECT("'GRD-"&amp;DO$11&amp;"'!B:R"),15,FALSE),"")</f>
        <v/>
      </c>
      <c r="DP296" s="96">
        <f>IFERROR(VLOOKUP($B296,INDIRECT("'GRD-"&amp;DP$11&amp;"'!B:R"),15,FALSE),"")</f>
        <v/>
      </c>
      <c r="DQ296" s="96">
        <f>IFERROR(VLOOKUP($B296,INDIRECT("'GRD-"&amp;DQ$11&amp;"'!B:R"),15,FALSE),"")</f>
        <v/>
      </c>
      <c r="DR296" s="96">
        <f>IFERROR(VLOOKUP($B296,INDIRECT("'GRD-"&amp;DR$11&amp;"'!B:R"),15,FALSE),"")</f>
        <v/>
      </c>
      <c r="DS296" s="96">
        <f>IFERROR(VLOOKUP($B296,INDIRECT("'GRD-"&amp;DS$11&amp;"'!B:R"),15,FALSE),"")</f>
        <v/>
      </c>
      <c r="DT296" s="96">
        <f>IFERROR(VLOOKUP($B296,INDIRECT("'GRD-"&amp;DT$11&amp;"'!B:R"),15,FALSE),"")</f>
        <v/>
      </c>
      <c r="DU296" s="96">
        <f>IFERROR(VLOOKUP($B296,INDIRECT("'GRD-"&amp;DU$11&amp;"'!B:R"),15,FALSE),"")</f>
        <v/>
      </c>
      <c r="DV296" s="96">
        <f>IFERROR(VLOOKUP($B296,INDIRECT("'GRD-"&amp;DV$11&amp;"'!B:R"),15,FALSE),"")</f>
        <v/>
      </c>
      <c r="DW296" s="96">
        <f>IFERROR(VLOOKUP($B296,INDIRECT("'GRD-"&amp;DW$11&amp;"'!B:R"),15,FALSE),"")</f>
        <v/>
      </c>
      <c r="DX296" s="96">
        <f>IFERROR(VLOOKUP($B296,INDIRECT("'GRD-"&amp;DX$11&amp;"'!B:R"),15,FALSE),"")</f>
        <v/>
      </c>
      <c r="DY296" s="96">
        <f>IFERROR(VLOOKUP($B296,INDIRECT("'GRD-"&amp;DY$11&amp;"'!B:R"),15,FALSE),"")</f>
        <v/>
      </c>
      <c r="DZ296" s="96">
        <f>IFERROR(VLOOKUP($B296,INDIRECT("'GRD-"&amp;DZ$11&amp;"'!B:R"),15,FALSE),"")</f>
        <v/>
      </c>
      <c r="EA296" s="96">
        <f>IFERROR(VLOOKUP($B296,INDIRECT("'GRD-"&amp;EA$11&amp;"'!B:R"),15,FALSE),"")</f>
        <v/>
      </c>
      <c r="EB296" s="96">
        <f>IFERROR(VLOOKUP($B296,INDIRECT("'GRD-"&amp;EB$11&amp;"'!B:R"),15,FALSE),"")</f>
        <v/>
      </c>
      <c r="EC296" s="96">
        <f>IFERROR(VLOOKUP($B296,INDIRECT("'GRD-"&amp;EC$11&amp;"'!B:R"),15,FALSE),"")</f>
        <v/>
      </c>
      <c r="ED296" s="96">
        <f>IFERROR(VLOOKUP($B296,INDIRECT("'GRD-"&amp;ED$11&amp;"'!B:R"),15,FALSE),"")</f>
        <v/>
      </c>
      <c r="EE296" s="96">
        <f>IFERROR(VLOOKUP($B296,INDIRECT("'GRD-"&amp;EE$11&amp;"'!B:R"),15,FALSE),"")</f>
        <v/>
      </c>
      <c r="EF296" s="96">
        <f>IFERROR(VLOOKUP($B296,INDIRECT("'GRD-"&amp;EF$11&amp;"'!B:R"),15,FALSE),"")</f>
        <v/>
      </c>
      <c r="EG296" s="96">
        <f>IFERROR(VLOOKUP($B296,INDIRECT("'GRD-"&amp;EG$11&amp;"'!B:R"),15,FALSE),"")</f>
        <v/>
      </c>
      <c r="EH296" s="96">
        <f>IFERROR(VLOOKUP($B296,INDIRECT("'GRD-"&amp;EH$11&amp;"'!B:R"),15,FALSE),"")</f>
        <v/>
      </c>
      <c r="EI296" s="96">
        <f>IFERROR(VLOOKUP($B296,INDIRECT("'GRD-"&amp;EI$11&amp;"'!B:R"),15,FALSE),"")</f>
        <v/>
      </c>
      <c r="EJ296" s="96">
        <f>IFERROR(VLOOKUP($B296,INDIRECT("'GRD-"&amp;EJ$11&amp;"'!B:R"),15,FALSE),"")</f>
        <v/>
      </c>
      <c r="EK296" s="96">
        <f>IFERROR(VLOOKUP($B296,INDIRECT("'GRD-"&amp;EK$11&amp;"'!B:R"),15,FALSE),"")</f>
        <v/>
      </c>
      <c r="EL296" s="96">
        <f>IFERROR(VLOOKUP($B296,INDIRECT("'GRD-"&amp;EL$11&amp;"'!B:R"),15,FALSE),"")</f>
        <v/>
      </c>
      <c r="EM296" s="96">
        <f>IFERROR(VLOOKUP($B296,INDIRECT("'GRD-"&amp;EM$11&amp;"'!B:R"),15,FALSE),"")</f>
        <v/>
      </c>
      <c r="EN296" s="96">
        <f>IFERROR(VLOOKUP($B296,INDIRECT("'GRD-"&amp;EN$11&amp;"'!B:R"),15,FALSE),"")</f>
        <v/>
      </c>
      <c r="EO296" s="96">
        <f>IFERROR(VLOOKUP($B296,INDIRECT("'GRD-"&amp;EO$11&amp;"'!B:R"),15,FALSE),"")</f>
        <v/>
      </c>
      <c r="EP296" s="96">
        <f>IFERROR(VLOOKUP($B296,INDIRECT("'GRD-"&amp;EP$11&amp;"'!B:R"),15,FALSE),"")</f>
        <v/>
      </c>
      <c r="EQ296" s="96">
        <f>IFERROR(VLOOKUP($B296,INDIRECT("'GRD-"&amp;EQ$11&amp;"'!B:R"),15,FALSE),"")</f>
        <v/>
      </c>
      <c r="ER296" s="96">
        <f>IFERROR(VLOOKUP($B296,INDIRECT("'GRD-"&amp;ER$11&amp;"'!B:R"),15,FALSE),"")</f>
        <v/>
      </c>
      <c r="ES296" s="96">
        <f>IFERROR(VLOOKUP($B296,INDIRECT("'GRD-"&amp;ES$11&amp;"'!B:R"),15,FALSE),"")</f>
        <v/>
      </c>
      <c r="ET296" s="96">
        <f>IFERROR(VLOOKUP($B296,INDIRECT("'GRD-"&amp;ET$11&amp;"'!B:R"),15,FALSE),"")</f>
        <v/>
      </c>
      <c r="EU296" s="96">
        <f>IFERROR(VLOOKUP($B296,INDIRECT("'GRD-"&amp;EU$11&amp;"'!B:R"),15,FALSE),"")</f>
        <v/>
      </c>
      <c r="EV296" s="96">
        <f>IFERROR(VLOOKUP($B296,INDIRECT("'GRD-"&amp;EV$11&amp;"'!B:R"),15,FALSE),"")</f>
        <v/>
      </c>
      <c r="EW296" s="96">
        <f>IFERROR(VLOOKUP($B296,INDIRECT("'GRD-"&amp;EW$11&amp;"'!B:R"),15,FALSE),"")</f>
        <v/>
      </c>
      <c r="EX296" s="96">
        <f>IFERROR(VLOOKUP($B296,INDIRECT("'GRD-"&amp;EX$11&amp;"'!B:R"),15,FALSE),"")</f>
        <v/>
      </c>
      <c r="EY296" s="96">
        <f>IFERROR(VLOOKUP($B296,INDIRECT("'GRD-"&amp;EY$11&amp;"'!B:R"),15,FALSE),"")</f>
        <v/>
      </c>
      <c r="EZ296" s="96">
        <f>IFERROR(VLOOKUP($B296,INDIRECT("'GRD-"&amp;EZ$11&amp;"'!B:R"),15,FALSE),"")</f>
        <v/>
      </c>
      <c r="FA296" s="96">
        <f>IFERROR(VLOOKUP($B296,INDIRECT("'GRD-"&amp;FA$11&amp;"'!B:R"),15,FALSE),"")</f>
        <v/>
      </c>
      <c r="FB296" s="96">
        <f>IFERROR(VLOOKUP($B296,INDIRECT("'GRD-"&amp;FB$11&amp;"'!B:R"),15,FALSE),"")</f>
        <v/>
      </c>
      <c r="FC296" s="96">
        <f>IFERROR(VLOOKUP($B296,INDIRECT("'GRD-"&amp;FC$11&amp;"'!B:R"),15,FALSE),"")</f>
        <v/>
      </c>
      <c r="FD296" s="96">
        <f>IFERROR(VLOOKUP($B296,INDIRECT("'GRD-"&amp;FD$11&amp;"'!B:R"),15,FALSE),"")</f>
        <v/>
      </c>
      <c r="FE296" s="96">
        <f>IFERROR(VLOOKUP($B296,INDIRECT("'GRD-"&amp;FE$11&amp;"'!B:R"),15,FALSE),"")</f>
        <v/>
      </c>
      <c r="FF296" s="96">
        <f>IFERROR(VLOOKUP($B296,INDIRECT("'GRD-"&amp;FF$11&amp;"'!B:R"),15,FALSE),"")</f>
        <v/>
      </c>
      <c r="FG296" s="96">
        <f>IFERROR(VLOOKUP($B296,INDIRECT("'GRD-"&amp;FG$11&amp;"'!B:R"),15,FALSE),"")</f>
        <v/>
      </c>
      <c r="FH296" s="96">
        <f>IFERROR(VLOOKUP($B296,INDIRECT("'GRD-"&amp;FH$11&amp;"'!B:R"),15,FALSE),"")</f>
        <v/>
      </c>
      <c r="FI296" s="96">
        <f>IFERROR(VLOOKUP($B296,INDIRECT("'GRD-"&amp;FI$11&amp;"'!B:R"),15,FALSE),"")</f>
        <v/>
      </c>
      <c r="FJ296" s="96">
        <f>IFERROR(VLOOKUP($B296,INDIRECT("'GRD-"&amp;FJ$11&amp;"'!B:R"),15,FALSE),"")</f>
        <v/>
      </c>
      <c r="FK296" s="96">
        <f>IFERROR(VLOOKUP($B296,INDIRECT("'GRD-"&amp;FK$11&amp;"'!B:R"),15,FALSE),"")</f>
        <v/>
      </c>
      <c r="FL296" s="96">
        <f>IFERROR(VLOOKUP($B296,INDIRECT("'GRD-"&amp;FL$11&amp;"'!B:R"),15,FALSE),"")</f>
        <v/>
      </c>
      <c r="FM296" s="96">
        <f>IFERROR(VLOOKUP($B296,INDIRECT("'GRD-"&amp;FM$11&amp;"'!B:R"),15,FALSE),"")</f>
        <v/>
      </c>
      <c r="FN296" s="96">
        <f>IFERROR(VLOOKUP($B296,INDIRECT("'GRD-"&amp;FN$11&amp;"'!B:R"),15,FALSE),"")</f>
        <v/>
      </c>
      <c r="FO296" s="96">
        <f>IFERROR(VLOOKUP($B296,INDIRECT("'GRD-"&amp;FO$11&amp;"'!B:R"),15,FALSE),"")</f>
        <v/>
      </c>
      <c r="FP296" s="96">
        <f>IFERROR(VLOOKUP($B296,INDIRECT("'GRD-"&amp;FP$11&amp;"'!B:R"),15,FALSE),"")</f>
        <v/>
      </c>
      <c r="FQ296" s="96">
        <f>IFERROR(VLOOKUP($B296,INDIRECT("'GRD-"&amp;FQ$11&amp;"'!B:R"),15,FALSE),"")</f>
        <v/>
      </c>
      <c r="FR296" s="96">
        <f>IFERROR(VLOOKUP($B296,INDIRECT("'GRD-"&amp;FR$11&amp;"'!B:R"),15,FALSE),"")</f>
        <v/>
      </c>
      <c r="FS296" s="96">
        <f>IFERROR(VLOOKUP($B296,INDIRECT("'GRD-"&amp;FS$11&amp;"'!B:R"),15,FALSE),"")</f>
        <v/>
      </c>
      <c r="FT296" s="96">
        <f>IFERROR(VLOOKUP($B296,INDIRECT("'GRD-"&amp;FT$11&amp;"'!B:R"),15,FALSE),"")</f>
        <v/>
      </c>
      <c r="FU296" s="96">
        <f>IFERROR(VLOOKUP($B296,INDIRECT("'GRD-"&amp;FU$11&amp;"'!B:R"),15,FALSE),"")</f>
        <v/>
      </c>
      <c r="FV296" s="96">
        <f>IFERROR(VLOOKUP($B296,INDIRECT("'GRD-"&amp;FV$11&amp;"'!B:R"),15,FALSE),"")</f>
        <v/>
      </c>
    </row>
    <row r="297">
      <c r="B297" s="85" t="n"/>
      <c r="C297" s="93" t="n"/>
      <c r="D297" s="73">
        <f>IF(K297="","",MAX($CA297:$FV297))</f>
        <v/>
      </c>
      <c r="E297" s="74">
        <f t="array" ref="E297">IF($K297="","",OFFSET($A$1,ROW($B297)-1,11+$D297*4,))</f>
        <v/>
      </c>
      <c r="F297" s="74">
        <f t="array" ref="F297">IF($K297="","",OFFSET($A$1,ROW($B297)-1,12+$D297*4,))</f>
        <v/>
      </c>
      <c r="G297" s="118">
        <f t="array" ref="G297">IF($K297="","",OFFSET($A$1,ROW($B297)-1,13+$D297*4,))</f>
        <v/>
      </c>
      <c r="H297" s="81" t="n"/>
      <c r="I297" s="82" t="n"/>
      <c r="J297" s="75">
        <f>IF(I297="A4",H297/8,IF(I297="A3",H297/4,IF(I297="A2",H297/2,IF(I297="A1",H297/1,IF(I297="A0",H297*2,"")))))</f>
        <v/>
      </c>
      <c r="K297" s="68">
        <f t="array" ref="K297">IFERROR(OFFSET($BZ$11,ROW($B297)-11,MATCH(K$10,$CA297:$FV297,0),),"")</f>
        <v/>
      </c>
      <c r="L297" s="85">
        <f>IF(K297="","",IF(VLOOKUP($B297,INDIRECT("'GRD-"&amp;M297&amp;"'!$B:$R"),16,FALSE)="","",VLOOKUP($B297,INDIRECT("'GRD-"&amp;M297&amp;"'!$B:$R"),16,FALSE)))</f>
        <v/>
      </c>
      <c r="M297" s="130">
        <f t="array" ref="M297">IF(K297="","",IFERROR(OFFSET($BZ$11,0,MATCH($K297,$CA297:$FV297,0),),""))</f>
        <v/>
      </c>
      <c r="N297" s="119">
        <f t="array" ref="N297">IF(K297="","",INDIRECT("'GRD-"&amp;M297&amp;"'!$L$7"))</f>
        <v/>
      </c>
      <c r="O297" s="76">
        <f t="array" ref="O297">IFERROR(OFFSET($BZ$11,ROW($B297)-11,MATCH(O$10,$CA297:$FV297,0),),"")</f>
        <v/>
      </c>
      <c r="P297" s="76">
        <f>IF(O297="","",IF(VLOOKUP($B297,INDIRECT("'GRD-"&amp;Q297&amp;"'!$B:$R"),16,FALSE)="","",VLOOKUP($B297,INDIRECT("'GRD-"&amp;Q297&amp;"'!$B:$R"),16,FALSE)))</f>
        <v/>
      </c>
      <c r="Q297" s="132">
        <f t="array" ref="Q297">IF(O297="","",IFERROR(OFFSET($BZ$11,0,MATCH($O297,$CA297:$FV297,0),),""))</f>
        <v/>
      </c>
      <c r="R297" s="121">
        <f t="array" ref="R297">IF(O297="","",INDIRECT("'GRD-"&amp;Q297&amp;"'!$L$7"))</f>
        <v/>
      </c>
      <c r="S297" s="83">
        <f t="array" ref="S297">IFERROR(OFFSET($BZ$11,ROW($B297)-11,MATCH(S$10,$CA297:$FV297,0),),"")</f>
        <v/>
      </c>
      <c r="T297" s="83">
        <f>IF(S297="","",IF(VLOOKUP($B297,INDIRECT("'GRD-"&amp;U297&amp;"'!$B:$R"),16,FALSE)="","",VLOOKUP($B297,INDIRECT("'GRD-"&amp;U297&amp;"'!$B:$R"),16,FALSE)))</f>
        <v/>
      </c>
      <c r="U297" s="128">
        <f t="array" ref="U297">IF(S297="","",IFERROR(OFFSET($BZ$11,0,MATCH($S297,$CA297:$FV297,0),),""))</f>
        <v/>
      </c>
      <c r="V297" s="133">
        <f t="array" ref="V297">IF(S297="","",INDIRECT("'GRD-"&amp;U297&amp;"'!$L$7"))</f>
        <v/>
      </c>
      <c r="W297" s="84">
        <f t="array" ref="W297">IFERROR(OFFSET($BZ$11,ROW($B297)-11,MATCH(W$10,$CA297:$FV297,0),),"")</f>
        <v/>
      </c>
      <c r="X297" s="84">
        <f>IF(W297="","",IF(VLOOKUP($B297,INDIRECT("'GRD-"&amp;Y297&amp;"'!$B:$R"),16,FALSE)="","",VLOOKUP($B297,INDIRECT("'GRD-"&amp;Y297&amp;"'!$B:$R"),16,FALSE)))</f>
        <v/>
      </c>
      <c r="Y297" s="129">
        <f t="array" ref="Y297">IF(W297="","",IFERROR(OFFSET($BZ$11,0,MATCH($W297,$CA297:$FV297,0),),""))</f>
        <v/>
      </c>
      <c r="Z297" s="134">
        <f t="array" ref="Z297">IF(W297="","",INDIRECT("'GRD-"&amp;Y297&amp;"'!$L$7"))</f>
        <v/>
      </c>
      <c r="AA297" s="85">
        <f t="array" ref="AA297">IFERROR(OFFSET($BZ$11,ROW($B297)-11,MATCH(AA$10,$CA297:$FV297,0),),"")</f>
        <v/>
      </c>
      <c r="AB297" s="85">
        <f>IF(AA297="","",IF(VLOOKUP($B297,INDIRECT("'GRD-"&amp;AC297&amp;"'!$B:$R"),16,FALSE)="","",VLOOKUP($B297,INDIRECT("'GRD-"&amp;AC297&amp;"'!$B:$R"),16,FALSE)))</f>
        <v/>
      </c>
      <c r="AC297" s="130">
        <f t="array" ref="AC297">IF(AA297="","",IFERROR(OFFSET($BZ$11,0,MATCH($AA297,$CA297:$FV297,0),),""))</f>
        <v/>
      </c>
      <c r="AD297" s="131">
        <f t="array" ref="AD297">IF(AA297="","",INDIRECT("'GRD-"&amp;AC297&amp;"'!$L$7"))</f>
        <v/>
      </c>
      <c r="AE297" s="76">
        <f t="array" ref="AE297">IFERROR(OFFSET($BZ$11,ROW($B297)-11,MATCH(AE$10,$CA297:$FV297,0),),"")</f>
        <v/>
      </c>
      <c r="AF297" s="76">
        <f>IF(AE297="","",IF(VLOOKUP($B297,INDIRECT("'GRD-"&amp;AG297&amp;"'!$B:$R"),16,FALSE)="","",VLOOKUP($B297,INDIRECT("'GRD-"&amp;AG297&amp;"'!$B:$R"),16,FALSE)))</f>
        <v/>
      </c>
      <c r="AG297" s="132">
        <f t="array" ref="AG297">IF(AE297="","",IFERROR(OFFSET($BZ$11,0,MATCH($AE297,$CA297:$FV297,0),),""))</f>
        <v/>
      </c>
      <c r="AH297" s="121">
        <f t="array" ref="AH297">IF(AE297="","",INDIRECT("'GRD-"&amp;AG297&amp;"'!$L$7"))</f>
        <v/>
      </c>
      <c r="AI297" s="83">
        <f t="array" ref="AI297">IFERROR(OFFSET($BZ$11,ROW($B297)-11,MATCH(AI$10,$CA297:$FV297,0),),"")</f>
        <v/>
      </c>
      <c r="AJ297" s="83">
        <f>IF(AI297="","",IF(VLOOKUP($B297,INDIRECT("'GRD-"&amp;AK297&amp;"'!$B:$R"),16,FALSE)="","",VLOOKUP($B297,INDIRECT("'GRD-"&amp;AK297&amp;"'!$B:$R"),16,FALSE)))</f>
        <v/>
      </c>
      <c r="AK297" s="128">
        <f t="array" ref="AK297">IF(AI297="","",IFERROR(OFFSET($BZ$11,0,MATCH($AI297,$CA297:$FV297,0),),""))</f>
        <v/>
      </c>
      <c r="AL297" s="133">
        <f t="array" ref="AL297">IF(AI297="","",INDIRECT("'GRD-"&amp;AK297&amp;"'!$L$7"))</f>
        <v/>
      </c>
      <c r="AM297" s="84">
        <f t="array" ref="AM297">IFERROR(OFFSET($BZ$11,ROW($B297)-11,MATCH(AM$10,$CA297:$FV297,0),),"")</f>
        <v/>
      </c>
      <c r="AN297" s="84">
        <f>IF(AM297="","",IF(VLOOKUP($B297,INDIRECT("'GRD-"&amp;AO297&amp;"'!$B:$R"),16,FALSE)="","",VLOOKUP($B297,INDIRECT("'GRD-"&amp;AO297&amp;"'!$B:$R"),16,FALSE)))</f>
        <v/>
      </c>
      <c r="AO297" s="129">
        <f t="array" ref="AO297">IF(AM297="","",IFERROR(OFFSET($BZ$11,0,MATCH($AM297,$CA297:$FV297,0),),""))</f>
        <v/>
      </c>
      <c r="AP297" s="134">
        <f t="array" ref="AP297">IF(AM297="","",INDIRECT("'GRD-"&amp;AO297&amp;"'!$L$7"))</f>
        <v/>
      </c>
      <c r="AQ297" s="85">
        <f t="array" ref="AQ297">IFERROR(OFFSET($BZ$11,ROW($B297)-11,MATCH(AQ$10,$CA297:$FV297,0),),"")</f>
        <v/>
      </c>
      <c r="AR297" s="85">
        <f>IF(AQ297="","",IF(VLOOKUP($B297,INDIRECT("'GRD-"&amp;AS297&amp;"'!$B:$R"),16,FALSE)="","",VLOOKUP($B297,INDIRECT("'GRD-"&amp;AS297&amp;"'!$B:$R"),16,FALSE)))</f>
        <v/>
      </c>
      <c r="AS297" s="130">
        <f t="array" ref="AS297">IF(AQ297="","",IFERROR(OFFSET($BZ$11,0,MATCH($AQ297,$CA297:$FV297,0),),""))</f>
        <v/>
      </c>
      <c r="AT297" s="131">
        <f t="array" ref="AT297">IF(AQ297="","",INDIRECT("'GRD-"&amp;AS297&amp;"'!$L$7"))</f>
        <v/>
      </c>
      <c r="AU297" s="76">
        <f t="array" ref="AU297">IFERROR(OFFSET($BZ$11,ROW($B297)-11,MATCH(AU$10,$CA297:$FV297,0),),"")</f>
        <v/>
      </c>
      <c r="AV297" s="76">
        <f>IF(AU297="","",IF(VLOOKUP($B297,INDIRECT("'GRD-"&amp;AW297&amp;"'!$B:$R"),16,FALSE)="","",VLOOKUP($B297,INDIRECT("'GRD-"&amp;AW297&amp;"'!$B:$R"),16,FALSE)))</f>
        <v/>
      </c>
      <c r="AW297" s="132">
        <f t="array" ref="AW297">IF(AU297="","",IFERROR(OFFSET($BZ$11,0,MATCH($AU297,$CA297:$FV297,0),),""))</f>
        <v/>
      </c>
      <c r="AX297" s="121">
        <f t="array" ref="AX297">IF(AU297="","",INDIRECT("'GRD-"&amp;AW297&amp;"'!$L$7"))</f>
        <v/>
      </c>
      <c r="AY297" s="83">
        <f t="array" ref="AY297">IFERROR(OFFSET($BZ$11,ROW($B297)-11,MATCH(AY$10,$CA297:$FV297,0),),"")</f>
        <v/>
      </c>
      <c r="AZ297" s="83">
        <f>IF(AY297="","",IF(VLOOKUP($B297,INDIRECT("'GRD-"&amp;BA297&amp;"'!$B:$R"),16,FALSE)="","",VLOOKUP($B297,INDIRECT("'GRD-"&amp;BA297&amp;"'!$B:$R"),16,FALSE)))</f>
        <v/>
      </c>
      <c r="BA297" s="128">
        <f t="array" ref="BA297">IF(AY297="","",IFERROR(OFFSET($BZ$11,0,MATCH($AY297,$CA297:$FV297,0),),""))</f>
        <v/>
      </c>
      <c r="BB297" s="133">
        <f t="array" ref="BB297">IF(AY297="","",INDIRECT("'GRD-"&amp;BA297&amp;"'!$L$7"))</f>
        <v/>
      </c>
      <c r="BC297" s="84">
        <f t="array" ref="BC297">IFERROR(OFFSET($BZ$11,ROW($B297)-11,MATCH(BC$10,$CA297:$FV297,0),),"")</f>
        <v/>
      </c>
      <c r="BD297" s="84">
        <f>IF(BC297="","",IF(VLOOKUP($B297,INDIRECT("'GRD-"&amp;BE297&amp;"'!$B:$R"),16,FALSE)="","",VLOOKUP($B297,INDIRECT("'GRD-"&amp;BE297&amp;"'!$B:$R"),16,FALSE)))</f>
        <v/>
      </c>
      <c r="BE297" s="129">
        <f t="array" ref="BE297">IF(BC297="","",IFERROR(OFFSET($BZ$11,0,MATCH($BC297,$CA297:$FV297,0),),""))</f>
        <v/>
      </c>
      <c r="BF297" s="134">
        <f t="array" ref="BF297">IF(BC297="","",INDIRECT("'GRD-"&amp;BE297&amp;"'!$L$7"))</f>
        <v/>
      </c>
      <c r="CA297" s="96">
        <f>IFERROR(VLOOKUP($B297,INDIRECT("'GRD-"&amp;CA$11&amp;"'!B:R"),15,FALSE),"")</f>
        <v/>
      </c>
      <c r="CB297" s="96">
        <f>IFERROR(VLOOKUP($B297,INDIRECT("'GRD-"&amp;CB$11&amp;"'!B:R"),15,FALSE),"")</f>
        <v/>
      </c>
      <c r="CC297" s="96">
        <f>IFERROR(VLOOKUP($B297,INDIRECT("'GRD-"&amp;CC$11&amp;"'!B:R"),15,FALSE),"")</f>
        <v/>
      </c>
      <c r="CD297" s="96">
        <f>IFERROR(VLOOKUP($B297,INDIRECT("'GRD-"&amp;CD$11&amp;"'!B:R"),15,FALSE),"")</f>
        <v/>
      </c>
      <c r="CE297" s="96">
        <f>IFERROR(VLOOKUP($B297,INDIRECT("'GRD-"&amp;CE$11&amp;"'!B:R"),15,FALSE),"")</f>
        <v/>
      </c>
      <c r="CF297" s="96">
        <f>IFERROR(VLOOKUP($B297,INDIRECT("'GRD-"&amp;CF$11&amp;"'!B:R"),15,FALSE),"")</f>
        <v/>
      </c>
      <c r="CG297" s="96">
        <f>IFERROR(VLOOKUP($B297,INDIRECT("'GRD-"&amp;CG$11&amp;"'!B:R"),15,FALSE),"")</f>
        <v/>
      </c>
      <c r="CH297" s="96">
        <f>IFERROR(VLOOKUP($B297,INDIRECT("'GRD-"&amp;CH$11&amp;"'!B:R"),15,FALSE),"")</f>
        <v/>
      </c>
      <c r="CI297" s="96">
        <f>IFERROR(VLOOKUP($B297,INDIRECT("'GRD-"&amp;CI$11&amp;"'!B:R"),15,FALSE),"")</f>
        <v/>
      </c>
      <c r="CJ297" s="96">
        <f>IFERROR(VLOOKUP($B297,INDIRECT("'GRD-"&amp;CJ$11&amp;"'!B:R"),15,FALSE),"")</f>
        <v/>
      </c>
      <c r="CK297" s="96">
        <f>IFERROR(VLOOKUP($B297,INDIRECT("'GRD-"&amp;CK$11&amp;"'!B:R"),15,FALSE),"")</f>
        <v/>
      </c>
      <c r="CL297" s="96">
        <f>IFERROR(VLOOKUP($B297,INDIRECT("'GRD-"&amp;CL$11&amp;"'!B:R"),15,FALSE),"")</f>
        <v/>
      </c>
      <c r="CM297" s="96">
        <f>IFERROR(VLOOKUP($B297,INDIRECT("'GRD-"&amp;CM$11&amp;"'!B:R"),15,FALSE),"")</f>
        <v/>
      </c>
      <c r="CN297" s="96">
        <f>IFERROR(VLOOKUP($B297,INDIRECT("'GRD-"&amp;CN$11&amp;"'!B:R"),15,FALSE),"")</f>
        <v/>
      </c>
      <c r="CO297" s="96">
        <f>IFERROR(VLOOKUP($B297,INDIRECT("'GRD-"&amp;CO$11&amp;"'!B:R"),15,FALSE),"")</f>
        <v/>
      </c>
      <c r="CP297" s="96">
        <f>IFERROR(VLOOKUP($B297,INDIRECT("'GRD-"&amp;CP$11&amp;"'!B:R"),15,FALSE),"")</f>
        <v/>
      </c>
      <c r="CQ297" s="96">
        <f>IFERROR(VLOOKUP($B297,INDIRECT("'GRD-"&amp;CQ$11&amp;"'!B:R"),15,FALSE),"")</f>
        <v/>
      </c>
      <c r="CR297" s="96">
        <f>IFERROR(VLOOKUP($B297,INDIRECT("'GRD-"&amp;CR$11&amp;"'!B:R"),15,FALSE),"")</f>
        <v/>
      </c>
      <c r="CS297" s="96">
        <f>IFERROR(VLOOKUP($B297,INDIRECT("'GRD-"&amp;CS$11&amp;"'!B:R"),15,FALSE),"")</f>
        <v/>
      </c>
      <c r="CT297" s="96">
        <f>IFERROR(VLOOKUP($B297,INDIRECT("'GRD-"&amp;CT$11&amp;"'!B:R"),15,FALSE),"")</f>
        <v/>
      </c>
      <c r="CU297" s="96">
        <f>IFERROR(VLOOKUP($B297,INDIRECT("'GRD-"&amp;CU$11&amp;"'!B:R"),15,FALSE),"")</f>
        <v/>
      </c>
      <c r="CV297" s="96">
        <f>IFERROR(VLOOKUP($B297,INDIRECT("'GRD-"&amp;CV$11&amp;"'!B:R"),15,FALSE),"")</f>
        <v/>
      </c>
      <c r="CW297" s="96">
        <f>IFERROR(VLOOKUP($B297,INDIRECT("'GRD-"&amp;CW$11&amp;"'!B:R"),15,FALSE),"")</f>
        <v/>
      </c>
      <c r="CX297" s="96">
        <f>IFERROR(VLOOKUP($B297,INDIRECT("'GRD-"&amp;CX$11&amp;"'!B:R"),15,FALSE),"")</f>
        <v/>
      </c>
      <c r="CY297" s="96">
        <f>IFERROR(VLOOKUP($B297,INDIRECT("'GRD-"&amp;CY$11&amp;"'!B:R"),15,FALSE),"")</f>
        <v/>
      </c>
      <c r="CZ297" s="96">
        <f>IFERROR(VLOOKUP($B297,INDIRECT("'GRD-"&amp;CZ$11&amp;"'!B:R"),15,FALSE),"")</f>
        <v/>
      </c>
      <c r="DA297" s="96">
        <f>IFERROR(VLOOKUP($B297,INDIRECT("'GRD-"&amp;DA$11&amp;"'!B:R"),15,FALSE),"")</f>
        <v/>
      </c>
      <c r="DB297" s="96">
        <f>IFERROR(VLOOKUP($B297,INDIRECT("'GRD-"&amp;DB$11&amp;"'!B:R"),15,FALSE),"")</f>
        <v/>
      </c>
      <c r="DC297" s="96">
        <f>IFERROR(VLOOKUP($B297,INDIRECT("'GRD-"&amp;DC$11&amp;"'!B:R"),15,FALSE),"")</f>
        <v/>
      </c>
      <c r="DD297" s="96">
        <f>IFERROR(VLOOKUP($B297,INDIRECT("'GRD-"&amp;DD$11&amp;"'!B:R"),15,FALSE),"")</f>
        <v/>
      </c>
      <c r="DE297" s="96">
        <f>IFERROR(VLOOKUP($B297,INDIRECT("'GRD-"&amp;DE$11&amp;"'!B:R"),15,FALSE),"")</f>
        <v/>
      </c>
      <c r="DF297" s="96">
        <f>IFERROR(VLOOKUP($B297,INDIRECT("'GRD-"&amp;DF$11&amp;"'!B:R"),15,FALSE),"")</f>
        <v/>
      </c>
      <c r="DG297" s="96">
        <f>IFERROR(VLOOKUP($B297,INDIRECT("'GRD-"&amp;DG$11&amp;"'!B:R"),15,FALSE),"")</f>
        <v/>
      </c>
      <c r="DH297" s="96">
        <f>IFERROR(VLOOKUP($B297,INDIRECT("'GRD-"&amp;DH$11&amp;"'!B:R"),15,FALSE),"")</f>
        <v/>
      </c>
      <c r="DI297" s="96">
        <f>IFERROR(VLOOKUP($B297,INDIRECT("'GRD-"&amp;DI$11&amp;"'!B:R"),15,FALSE),"")</f>
        <v/>
      </c>
      <c r="DJ297" s="96">
        <f>IFERROR(VLOOKUP($B297,INDIRECT("'GRD-"&amp;DJ$11&amp;"'!B:R"),15,FALSE),"")</f>
        <v/>
      </c>
      <c r="DK297" s="96">
        <f>IFERROR(VLOOKUP($B297,INDIRECT("'GRD-"&amp;DK$11&amp;"'!B:R"),15,FALSE),"")</f>
        <v/>
      </c>
      <c r="DL297" s="96">
        <f>IFERROR(VLOOKUP($B297,INDIRECT("'GRD-"&amp;DL$11&amp;"'!B:R"),15,FALSE),"")</f>
        <v/>
      </c>
      <c r="DM297" s="96">
        <f>IFERROR(VLOOKUP($B297,INDIRECT("'GRD-"&amp;DM$11&amp;"'!B:R"),15,FALSE),"")</f>
        <v/>
      </c>
      <c r="DN297" s="96">
        <f>IFERROR(VLOOKUP($B297,INDIRECT("'GRD-"&amp;DN$11&amp;"'!B:R"),15,FALSE),"")</f>
        <v/>
      </c>
      <c r="DO297" s="96">
        <f>IFERROR(VLOOKUP($B297,INDIRECT("'GRD-"&amp;DO$11&amp;"'!B:R"),15,FALSE),"")</f>
        <v/>
      </c>
      <c r="DP297" s="96">
        <f>IFERROR(VLOOKUP($B297,INDIRECT("'GRD-"&amp;DP$11&amp;"'!B:R"),15,FALSE),"")</f>
        <v/>
      </c>
      <c r="DQ297" s="96">
        <f>IFERROR(VLOOKUP($B297,INDIRECT("'GRD-"&amp;DQ$11&amp;"'!B:R"),15,FALSE),"")</f>
        <v/>
      </c>
      <c r="DR297" s="96">
        <f>IFERROR(VLOOKUP($B297,INDIRECT("'GRD-"&amp;DR$11&amp;"'!B:R"),15,FALSE),"")</f>
        <v/>
      </c>
      <c r="DS297" s="96">
        <f>IFERROR(VLOOKUP($B297,INDIRECT("'GRD-"&amp;DS$11&amp;"'!B:R"),15,FALSE),"")</f>
        <v/>
      </c>
      <c r="DT297" s="96">
        <f>IFERROR(VLOOKUP($B297,INDIRECT("'GRD-"&amp;DT$11&amp;"'!B:R"),15,FALSE),"")</f>
        <v/>
      </c>
      <c r="DU297" s="96">
        <f>IFERROR(VLOOKUP($B297,INDIRECT("'GRD-"&amp;DU$11&amp;"'!B:R"),15,FALSE),"")</f>
        <v/>
      </c>
      <c r="DV297" s="96">
        <f>IFERROR(VLOOKUP($B297,INDIRECT("'GRD-"&amp;DV$11&amp;"'!B:R"),15,FALSE),"")</f>
        <v/>
      </c>
      <c r="DW297" s="96">
        <f>IFERROR(VLOOKUP($B297,INDIRECT("'GRD-"&amp;DW$11&amp;"'!B:R"),15,FALSE),"")</f>
        <v/>
      </c>
      <c r="DX297" s="96">
        <f>IFERROR(VLOOKUP($B297,INDIRECT("'GRD-"&amp;DX$11&amp;"'!B:R"),15,FALSE),"")</f>
        <v/>
      </c>
      <c r="DY297" s="96">
        <f>IFERROR(VLOOKUP($B297,INDIRECT("'GRD-"&amp;DY$11&amp;"'!B:R"),15,FALSE),"")</f>
        <v/>
      </c>
      <c r="DZ297" s="96">
        <f>IFERROR(VLOOKUP($B297,INDIRECT("'GRD-"&amp;DZ$11&amp;"'!B:R"),15,FALSE),"")</f>
        <v/>
      </c>
      <c r="EA297" s="96">
        <f>IFERROR(VLOOKUP($B297,INDIRECT("'GRD-"&amp;EA$11&amp;"'!B:R"),15,FALSE),"")</f>
        <v/>
      </c>
      <c r="EB297" s="96">
        <f>IFERROR(VLOOKUP($B297,INDIRECT("'GRD-"&amp;EB$11&amp;"'!B:R"),15,FALSE),"")</f>
        <v/>
      </c>
      <c r="EC297" s="96">
        <f>IFERROR(VLOOKUP($B297,INDIRECT("'GRD-"&amp;EC$11&amp;"'!B:R"),15,FALSE),"")</f>
        <v/>
      </c>
      <c r="ED297" s="96">
        <f>IFERROR(VLOOKUP($B297,INDIRECT("'GRD-"&amp;ED$11&amp;"'!B:R"),15,FALSE),"")</f>
        <v/>
      </c>
      <c r="EE297" s="96">
        <f>IFERROR(VLOOKUP($B297,INDIRECT("'GRD-"&amp;EE$11&amp;"'!B:R"),15,FALSE),"")</f>
        <v/>
      </c>
      <c r="EF297" s="96">
        <f>IFERROR(VLOOKUP($B297,INDIRECT("'GRD-"&amp;EF$11&amp;"'!B:R"),15,FALSE),"")</f>
        <v/>
      </c>
      <c r="EG297" s="96">
        <f>IFERROR(VLOOKUP($B297,INDIRECT("'GRD-"&amp;EG$11&amp;"'!B:R"),15,FALSE),"")</f>
        <v/>
      </c>
      <c r="EH297" s="96">
        <f>IFERROR(VLOOKUP($B297,INDIRECT("'GRD-"&amp;EH$11&amp;"'!B:R"),15,FALSE),"")</f>
        <v/>
      </c>
      <c r="EI297" s="96">
        <f>IFERROR(VLOOKUP($B297,INDIRECT("'GRD-"&amp;EI$11&amp;"'!B:R"),15,FALSE),"")</f>
        <v/>
      </c>
      <c r="EJ297" s="96">
        <f>IFERROR(VLOOKUP($B297,INDIRECT("'GRD-"&amp;EJ$11&amp;"'!B:R"),15,FALSE),"")</f>
        <v/>
      </c>
      <c r="EK297" s="96">
        <f>IFERROR(VLOOKUP($B297,INDIRECT("'GRD-"&amp;EK$11&amp;"'!B:R"),15,FALSE),"")</f>
        <v/>
      </c>
      <c r="EL297" s="96">
        <f>IFERROR(VLOOKUP($B297,INDIRECT("'GRD-"&amp;EL$11&amp;"'!B:R"),15,FALSE),"")</f>
        <v/>
      </c>
      <c r="EM297" s="96">
        <f>IFERROR(VLOOKUP($B297,INDIRECT("'GRD-"&amp;EM$11&amp;"'!B:R"),15,FALSE),"")</f>
        <v/>
      </c>
      <c r="EN297" s="96">
        <f>IFERROR(VLOOKUP($B297,INDIRECT("'GRD-"&amp;EN$11&amp;"'!B:R"),15,FALSE),"")</f>
        <v/>
      </c>
      <c r="EO297" s="96">
        <f>IFERROR(VLOOKUP($B297,INDIRECT("'GRD-"&amp;EO$11&amp;"'!B:R"),15,FALSE),"")</f>
        <v/>
      </c>
      <c r="EP297" s="96">
        <f>IFERROR(VLOOKUP($B297,INDIRECT("'GRD-"&amp;EP$11&amp;"'!B:R"),15,FALSE),"")</f>
        <v/>
      </c>
      <c r="EQ297" s="96">
        <f>IFERROR(VLOOKUP($B297,INDIRECT("'GRD-"&amp;EQ$11&amp;"'!B:R"),15,FALSE),"")</f>
        <v/>
      </c>
      <c r="ER297" s="96">
        <f>IFERROR(VLOOKUP($B297,INDIRECT("'GRD-"&amp;ER$11&amp;"'!B:R"),15,FALSE),"")</f>
        <v/>
      </c>
      <c r="ES297" s="96">
        <f>IFERROR(VLOOKUP($B297,INDIRECT("'GRD-"&amp;ES$11&amp;"'!B:R"),15,FALSE),"")</f>
        <v/>
      </c>
      <c r="ET297" s="96">
        <f>IFERROR(VLOOKUP($B297,INDIRECT("'GRD-"&amp;ET$11&amp;"'!B:R"),15,FALSE),"")</f>
        <v/>
      </c>
      <c r="EU297" s="96">
        <f>IFERROR(VLOOKUP($B297,INDIRECT("'GRD-"&amp;EU$11&amp;"'!B:R"),15,FALSE),"")</f>
        <v/>
      </c>
      <c r="EV297" s="96">
        <f>IFERROR(VLOOKUP($B297,INDIRECT("'GRD-"&amp;EV$11&amp;"'!B:R"),15,FALSE),"")</f>
        <v/>
      </c>
      <c r="EW297" s="96">
        <f>IFERROR(VLOOKUP($B297,INDIRECT("'GRD-"&amp;EW$11&amp;"'!B:R"),15,FALSE),"")</f>
        <v/>
      </c>
      <c r="EX297" s="96">
        <f>IFERROR(VLOOKUP($B297,INDIRECT("'GRD-"&amp;EX$11&amp;"'!B:R"),15,FALSE),"")</f>
        <v/>
      </c>
      <c r="EY297" s="96">
        <f>IFERROR(VLOOKUP($B297,INDIRECT("'GRD-"&amp;EY$11&amp;"'!B:R"),15,FALSE),"")</f>
        <v/>
      </c>
      <c r="EZ297" s="96">
        <f>IFERROR(VLOOKUP($B297,INDIRECT("'GRD-"&amp;EZ$11&amp;"'!B:R"),15,FALSE),"")</f>
        <v/>
      </c>
      <c r="FA297" s="96">
        <f>IFERROR(VLOOKUP($B297,INDIRECT("'GRD-"&amp;FA$11&amp;"'!B:R"),15,FALSE),"")</f>
        <v/>
      </c>
      <c r="FB297" s="96">
        <f>IFERROR(VLOOKUP($B297,INDIRECT("'GRD-"&amp;FB$11&amp;"'!B:R"),15,FALSE),"")</f>
        <v/>
      </c>
      <c r="FC297" s="96">
        <f>IFERROR(VLOOKUP($B297,INDIRECT("'GRD-"&amp;FC$11&amp;"'!B:R"),15,FALSE),"")</f>
        <v/>
      </c>
      <c r="FD297" s="96">
        <f>IFERROR(VLOOKUP($B297,INDIRECT("'GRD-"&amp;FD$11&amp;"'!B:R"),15,FALSE),"")</f>
        <v/>
      </c>
      <c r="FE297" s="96">
        <f>IFERROR(VLOOKUP($B297,INDIRECT("'GRD-"&amp;FE$11&amp;"'!B:R"),15,FALSE),"")</f>
        <v/>
      </c>
      <c r="FF297" s="96">
        <f>IFERROR(VLOOKUP($B297,INDIRECT("'GRD-"&amp;FF$11&amp;"'!B:R"),15,FALSE),"")</f>
        <v/>
      </c>
      <c r="FG297" s="96">
        <f>IFERROR(VLOOKUP($B297,INDIRECT("'GRD-"&amp;FG$11&amp;"'!B:R"),15,FALSE),"")</f>
        <v/>
      </c>
      <c r="FH297" s="96">
        <f>IFERROR(VLOOKUP($B297,INDIRECT("'GRD-"&amp;FH$11&amp;"'!B:R"),15,FALSE),"")</f>
        <v/>
      </c>
      <c r="FI297" s="96">
        <f>IFERROR(VLOOKUP($B297,INDIRECT("'GRD-"&amp;FI$11&amp;"'!B:R"),15,FALSE),"")</f>
        <v/>
      </c>
      <c r="FJ297" s="96">
        <f>IFERROR(VLOOKUP($B297,INDIRECT("'GRD-"&amp;FJ$11&amp;"'!B:R"),15,FALSE),"")</f>
        <v/>
      </c>
      <c r="FK297" s="96">
        <f>IFERROR(VLOOKUP($B297,INDIRECT("'GRD-"&amp;FK$11&amp;"'!B:R"),15,FALSE),"")</f>
        <v/>
      </c>
      <c r="FL297" s="96">
        <f>IFERROR(VLOOKUP($B297,INDIRECT("'GRD-"&amp;FL$11&amp;"'!B:R"),15,FALSE),"")</f>
        <v/>
      </c>
      <c r="FM297" s="96">
        <f>IFERROR(VLOOKUP($B297,INDIRECT("'GRD-"&amp;FM$11&amp;"'!B:R"),15,FALSE),"")</f>
        <v/>
      </c>
      <c r="FN297" s="96">
        <f>IFERROR(VLOOKUP($B297,INDIRECT("'GRD-"&amp;FN$11&amp;"'!B:R"),15,FALSE),"")</f>
        <v/>
      </c>
      <c r="FO297" s="96">
        <f>IFERROR(VLOOKUP($B297,INDIRECT("'GRD-"&amp;FO$11&amp;"'!B:R"),15,FALSE),"")</f>
        <v/>
      </c>
      <c r="FP297" s="96">
        <f>IFERROR(VLOOKUP($B297,INDIRECT("'GRD-"&amp;FP$11&amp;"'!B:R"),15,FALSE),"")</f>
        <v/>
      </c>
      <c r="FQ297" s="96">
        <f>IFERROR(VLOOKUP($B297,INDIRECT("'GRD-"&amp;FQ$11&amp;"'!B:R"),15,FALSE),"")</f>
        <v/>
      </c>
      <c r="FR297" s="96">
        <f>IFERROR(VLOOKUP($B297,INDIRECT("'GRD-"&amp;FR$11&amp;"'!B:R"),15,FALSE),"")</f>
        <v/>
      </c>
      <c r="FS297" s="96">
        <f>IFERROR(VLOOKUP($B297,INDIRECT("'GRD-"&amp;FS$11&amp;"'!B:R"),15,FALSE),"")</f>
        <v/>
      </c>
      <c r="FT297" s="96">
        <f>IFERROR(VLOOKUP($B297,INDIRECT("'GRD-"&amp;FT$11&amp;"'!B:R"),15,FALSE),"")</f>
        <v/>
      </c>
      <c r="FU297" s="96">
        <f>IFERROR(VLOOKUP($B297,INDIRECT("'GRD-"&amp;FU$11&amp;"'!B:R"),15,FALSE),"")</f>
        <v/>
      </c>
      <c r="FV297" s="96">
        <f>IFERROR(VLOOKUP($B297,INDIRECT("'GRD-"&amp;FV$11&amp;"'!B:R"),15,FALSE),"")</f>
        <v/>
      </c>
    </row>
    <row r="298">
      <c r="B298" s="85" t="n"/>
      <c r="C298" s="93" t="n"/>
      <c r="D298" s="73">
        <f>IF(K298="","",MAX($CA298:$FV298))</f>
        <v/>
      </c>
      <c r="E298" s="74">
        <f t="array" ref="E298">IF($K298="","",OFFSET($A$1,ROW($B298)-1,11+$D298*4,))</f>
        <v/>
      </c>
      <c r="F298" s="74">
        <f t="array" ref="F298">IF($K298="","",OFFSET($A$1,ROW($B298)-1,12+$D298*4,))</f>
        <v/>
      </c>
      <c r="G298" s="118">
        <f t="array" ref="G298">IF($K298="","",OFFSET($A$1,ROW($B298)-1,13+$D298*4,))</f>
        <v/>
      </c>
      <c r="H298" s="81" t="n"/>
      <c r="I298" s="82" t="n"/>
      <c r="J298" s="75">
        <f>IF(I298="A4",H298/8,IF(I298="A3",H298/4,IF(I298="A2",H298/2,IF(I298="A1",H298/1,IF(I298="A0",H298*2,"")))))</f>
        <v/>
      </c>
      <c r="K298" s="68">
        <f t="array" ref="K298">IFERROR(OFFSET($BZ$11,ROW($B298)-11,MATCH(K$10,$CA298:$FV298,0),),"")</f>
        <v/>
      </c>
      <c r="L298" s="85">
        <f>IF(K298="","",IF(VLOOKUP($B298,INDIRECT("'GRD-"&amp;M298&amp;"'!$B:$R"),16,FALSE)="","",VLOOKUP($B298,INDIRECT("'GRD-"&amp;M298&amp;"'!$B:$R"),16,FALSE)))</f>
        <v/>
      </c>
      <c r="M298" s="130">
        <f t="array" ref="M298">IF(K298="","",IFERROR(OFFSET($BZ$11,0,MATCH($K298,$CA298:$FV298,0),),""))</f>
        <v/>
      </c>
      <c r="N298" s="119">
        <f t="array" ref="N298">IF(K298="","",INDIRECT("'GRD-"&amp;M298&amp;"'!$L$7"))</f>
        <v/>
      </c>
      <c r="O298" s="76">
        <f t="array" ref="O298">IFERROR(OFFSET($BZ$11,ROW($B298)-11,MATCH(O$10,$CA298:$FV298,0),),"")</f>
        <v/>
      </c>
      <c r="P298" s="76">
        <f>IF(O298="","",IF(VLOOKUP($B298,INDIRECT("'GRD-"&amp;Q298&amp;"'!$B:$R"),16,FALSE)="","",VLOOKUP($B298,INDIRECT("'GRD-"&amp;Q298&amp;"'!$B:$R"),16,FALSE)))</f>
        <v/>
      </c>
      <c r="Q298" s="132">
        <f t="array" ref="Q298">IF(O298="","",IFERROR(OFFSET($BZ$11,0,MATCH($O298,$CA298:$FV298,0),),""))</f>
        <v/>
      </c>
      <c r="R298" s="121">
        <f t="array" ref="R298">IF(O298="","",INDIRECT("'GRD-"&amp;Q298&amp;"'!$L$7"))</f>
        <v/>
      </c>
      <c r="S298" s="83">
        <f t="array" ref="S298">IFERROR(OFFSET($BZ$11,ROW($B298)-11,MATCH(S$10,$CA298:$FV298,0),),"")</f>
        <v/>
      </c>
      <c r="T298" s="83">
        <f>IF(S298="","",IF(VLOOKUP($B298,INDIRECT("'GRD-"&amp;U298&amp;"'!$B:$R"),16,FALSE)="","",VLOOKUP($B298,INDIRECT("'GRD-"&amp;U298&amp;"'!$B:$R"),16,FALSE)))</f>
        <v/>
      </c>
      <c r="U298" s="128">
        <f t="array" ref="U298">IF(S298="","",IFERROR(OFFSET($BZ$11,0,MATCH($S298,$CA298:$FV298,0),),""))</f>
        <v/>
      </c>
      <c r="V298" s="133">
        <f t="array" ref="V298">IF(S298="","",INDIRECT("'GRD-"&amp;U298&amp;"'!$L$7"))</f>
        <v/>
      </c>
      <c r="W298" s="84">
        <f t="array" ref="W298">IFERROR(OFFSET($BZ$11,ROW($B298)-11,MATCH(W$10,$CA298:$FV298,0),),"")</f>
        <v/>
      </c>
      <c r="X298" s="84">
        <f>IF(W298="","",IF(VLOOKUP($B298,INDIRECT("'GRD-"&amp;Y298&amp;"'!$B:$R"),16,FALSE)="","",VLOOKUP($B298,INDIRECT("'GRD-"&amp;Y298&amp;"'!$B:$R"),16,FALSE)))</f>
        <v/>
      </c>
      <c r="Y298" s="129">
        <f t="array" ref="Y298">IF(W298="","",IFERROR(OFFSET($BZ$11,0,MATCH($W298,$CA298:$FV298,0),),""))</f>
        <v/>
      </c>
      <c r="Z298" s="134">
        <f t="array" ref="Z298">IF(W298="","",INDIRECT("'GRD-"&amp;Y298&amp;"'!$L$7"))</f>
        <v/>
      </c>
      <c r="AA298" s="85">
        <f t="array" ref="AA298">IFERROR(OFFSET($BZ$11,ROW($B298)-11,MATCH(AA$10,$CA298:$FV298,0),),"")</f>
        <v/>
      </c>
      <c r="AB298" s="85">
        <f>IF(AA298="","",IF(VLOOKUP($B298,INDIRECT("'GRD-"&amp;AC298&amp;"'!$B:$R"),16,FALSE)="","",VLOOKUP($B298,INDIRECT("'GRD-"&amp;AC298&amp;"'!$B:$R"),16,FALSE)))</f>
        <v/>
      </c>
      <c r="AC298" s="130">
        <f t="array" ref="AC298">IF(AA298="","",IFERROR(OFFSET($BZ$11,0,MATCH($AA298,$CA298:$FV298,0),),""))</f>
        <v/>
      </c>
      <c r="AD298" s="131">
        <f t="array" ref="AD298">IF(AA298="","",INDIRECT("'GRD-"&amp;AC298&amp;"'!$L$7"))</f>
        <v/>
      </c>
      <c r="AE298" s="76">
        <f t="array" ref="AE298">IFERROR(OFFSET($BZ$11,ROW($B298)-11,MATCH(AE$10,$CA298:$FV298,0),),"")</f>
        <v/>
      </c>
      <c r="AF298" s="76">
        <f>IF(AE298="","",IF(VLOOKUP($B298,INDIRECT("'GRD-"&amp;AG298&amp;"'!$B:$R"),16,FALSE)="","",VLOOKUP($B298,INDIRECT("'GRD-"&amp;AG298&amp;"'!$B:$R"),16,FALSE)))</f>
        <v/>
      </c>
      <c r="AG298" s="132">
        <f t="array" ref="AG298">IF(AE298="","",IFERROR(OFFSET($BZ$11,0,MATCH($AE298,$CA298:$FV298,0),),""))</f>
        <v/>
      </c>
      <c r="AH298" s="121">
        <f t="array" ref="AH298">IF(AE298="","",INDIRECT("'GRD-"&amp;AG298&amp;"'!$L$7"))</f>
        <v/>
      </c>
      <c r="AI298" s="83">
        <f t="array" ref="AI298">IFERROR(OFFSET($BZ$11,ROW($B298)-11,MATCH(AI$10,$CA298:$FV298,0),),"")</f>
        <v/>
      </c>
      <c r="AJ298" s="83">
        <f>IF(AI298="","",IF(VLOOKUP($B298,INDIRECT("'GRD-"&amp;AK298&amp;"'!$B:$R"),16,FALSE)="","",VLOOKUP($B298,INDIRECT("'GRD-"&amp;AK298&amp;"'!$B:$R"),16,FALSE)))</f>
        <v/>
      </c>
      <c r="AK298" s="128">
        <f t="array" ref="AK298">IF(AI298="","",IFERROR(OFFSET($BZ$11,0,MATCH($AI298,$CA298:$FV298,0),),""))</f>
        <v/>
      </c>
      <c r="AL298" s="133">
        <f t="array" ref="AL298">IF(AI298="","",INDIRECT("'GRD-"&amp;AK298&amp;"'!$L$7"))</f>
        <v/>
      </c>
      <c r="AM298" s="84">
        <f t="array" ref="AM298">IFERROR(OFFSET($BZ$11,ROW($B298)-11,MATCH(AM$10,$CA298:$FV298,0),),"")</f>
        <v/>
      </c>
      <c r="AN298" s="84">
        <f>IF(AM298="","",IF(VLOOKUP($B298,INDIRECT("'GRD-"&amp;AO298&amp;"'!$B:$R"),16,FALSE)="","",VLOOKUP($B298,INDIRECT("'GRD-"&amp;AO298&amp;"'!$B:$R"),16,FALSE)))</f>
        <v/>
      </c>
      <c r="AO298" s="129">
        <f t="array" ref="AO298">IF(AM298="","",IFERROR(OFFSET($BZ$11,0,MATCH($AM298,$CA298:$FV298,0),),""))</f>
        <v/>
      </c>
      <c r="AP298" s="134">
        <f t="array" ref="AP298">IF(AM298="","",INDIRECT("'GRD-"&amp;AO298&amp;"'!$L$7"))</f>
        <v/>
      </c>
      <c r="AQ298" s="85">
        <f t="array" ref="AQ298">IFERROR(OFFSET($BZ$11,ROW($B298)-11,MATCH(AQ$10,$CA298:$FV298,0),),"")</f>
        <v/>
      </c>
      <c r="AR298" s="85">
        <f>IF(AQ298="","",IF(VLOOKUP($B298,INDIRECT("'GRD-"&amp;AS298&amp;"'!$B:$R"),16,FALSE)="","",VLOOKUP($B298,INDIRECT("'GRD-"&amp;AS298&amp;"'!$B:$R"),16,FALSE)))</f>
        <v/>
      </c>
      <c r="AS298" s="130">
        <f t="array" ref="AS298">IF(AQ298="","",IFERROR(OFFSET($BZ$11,0,MATCH($AQ298,$CA298:$FV298,0),),""))</f>
        <v/>
      </c>
      <c r="AT298" s="131">
        <f t="array" ref="AT298">IF(AQ298="","",INDIRECT("'GRD-"&amp;AS298&amp;"'!$L$7"))</f>
        <v/>
      </c>
      <c r="AU298" s="76">
        <f t="array" ref="AU298">IFERROR(OFFSET($BZ$11,ROW($B298)-11,MATCH(AU$10,$CA298:$FV298,0),),"")</f>
        <v/>
      </c>
      <c r="AV298" s="76">
        <f>IF(AU298="","",IF(VLOOKUP($B298,INDIRECT("'GRD-"&amp;AW298&amp;"'!$B:$R"),16,FALSE)="","",VLOOKUP($B298,INDIRECT("'GRD-"&amp;AW298&amp;"'!$B:$R"),16,FALSE)))</f>
        <v/>
      </c>
      <c r="AW298" s="132">
        <f t="array" ref="AW298">IF(AU298="","",IFERROR(OFFSET($BZ$11,0,MATCH($AU298,$CA298:$FV298,0),),""))</f>
        <v/>
      </c>
      <c r="AX298" s="121">
        <f t="array" ref="AX298">IF(AU298="","",INDIRECT("'GRD-"&amp;AW298&amp;"'!$L$7"))</f>
        <v/>
      </c>
      <c r="AY298" s="83">
        <f t="array" ref="AY298">IFERROR(OFFSET($BZ$11,ROW($B298)-11,MATCH(AY$10,$CA298:$FV298,0),),"")</f>
        <v/>
      </c>
      <c r="AZ298" s="83">
        <f>IF(AY298="","",IF(VLOOKUP($B298,INDIRECT("'GRD-"&amp;BA298&amp;"'!$B:$R"),16,FALSE)="","",VLOOKUP($B298,INDIRECT("'GRD-"&amp;BA298&amp;"'!$B:$R"),16,FALSE)))</f>
        <v/>
      </c>
      <c r="BA298" s="128">
        <f t="array" ref="BA298">IF(AY298="","",IFERROR(OFFSET($BZ$11,0,MATCH($AY298,$CA298:$FV298,0),),""))</f>
        <v/>
      </c>
      <c r="BB298" s="133">
        <f t="array" ref="BB298">IF(AY298="","",INDIRECT("'GRD-"&amp;BA298&amp;"'!$L$7"))</f>
        <v/>
      </c>
      <c r="BC298" s="84">
        <f t="array" ref="BC298">IFERROR(OFFSET($BZ$11,ROW($B298)-11,MATCH(BC$10,$CA298:$FV298,0),),"")</f>
        <v/>
      </c>
      <c r="BD298" s="84">
        <f>IF(BC298="","",IF(VLOOKUP($B298,INDIRECT("'GRD-"&amp;BE298&amp;"'!$B:$R"),16,FALSE)="","",VLOOKUP($B298,INDIRECT("'GRD-"&amp;BE298&amp;"'!$B:$R"),16,FALSE)))</f>
        <v/>
      </c>
      <c r="BE298" s="129">
        <f t="array" ref="BE298">IF(BC298="","",IFERROR(OFFSET($BZ$11,0,MATCH($BC298,$CA298:$FV298,0),),""))</f>
        <v/>
      </c>
      <c r="BF298" s="134">
        <f t="array" ref="BF298">IF(BC298="","",INDIRECT("'GRD-"&amp;BE298&amp;"'!$L$7"))</f>
        <v/>
      </c>
      <c r="CA298" s="96">
        <f>IFERROR(VLOOKUP($B298,INDIRECT("'GRD-"&amp;CA$11&amp;"'!B:R"),15,FALSE),"")</f>
        <v/>
      </c>
      <c r="CB298" s="96">
        <f>IFERROR(VLOOKUP($B298,INDIRECT("'GRD-"&amp;CB$11&amp;"'!B:R"),15,FALSE),"")</f>
        <v/>
      </c>
      <c r="CC298" s="96">
        <f>IFERROR(VLOOKUP($B298,INDIRECT("'GRD-"&amp;CC$11&amp;"'!B:R"),15,FALSE),"")</f>
        <v/>
      </c>
      <c r="CD298" s="96">
        <f>IFERROR(VLOOKUP($B298,INDIRECT("'GRD-"&amp;CD$11&amp;"'!B:R"),15,FALSE),"")</f>
        <v/>
      </c>
      <c r="CE298" s="96">
        <f>IFERROR(VLOOKUP($B298,INDIRECT("'GRD-"&amp;CE$11&amp;"'!B:R"),15,FALSE),"")</f>
        <v/>
      </c>
      <c r="CF298" s="96">
        <f>IFERROR(VLOOKUP($B298,INDIRECT("'GRD-"&amp;CF$11&amp;"'!B:R"),15,FALSE),"")</f>
        <v/>
      </c>
      <c r="CG298" s="96">
        <f>IFERROR(VLOOKUP($B298,INDIRECT("'GRD-"&amp;CG$11&amp;"'!B:R"),15,FALSE),"")</f>
        <v/>
      </c>
      <c r="CH298" s="96">
        <f>IFERROR(VLOOKUP($B298,INDIRECT("'GRD-"&amp;CH$11&amp;"'!B:R"),15,FALSE),"")</f>
        <v/>
      </c>
      <c r="CI298" s="96">
        <f>IFERROR(VLOOKUP($B298,INDIRECT("'GRD-"&amp;CI$11&amp;"'!B:R"),15,FALSE),"")</f>
        <v/>
      </c>
      <c r="CJ298" s="96">
        <f>IFERROR(VLOOKUP($B298,INDIRECT("'GRD-"&amp;CJ$11&amp;"'!B:R"),15,FALSE),"")</f>
        <v/>
      </c>
      <c r="CK298" s="96">
        <f>IFERROR(VLOOKUP($B298,INDIRECT("'GRD-"&amp;CK$11&amp;"'!B:R"),15,FALSE),"")</f>
        <v/>
      </c>
      <c r="CL298" s="96">
        <f>IFERROR(VLOOKUP($B298,INDIRECT("'GRD-"&amp;CL$11&amp;"'!B:R"),15,FALSE),"")</f>
        <v/>
      </c>
      <c r="CM298" s="96">
        <f>IFERROR(VLOOKUP($B298,INDIRECT("'GRD-"&amp;CM$11&amp;"'!B:R"),15,FALSE),"")</f>
        <v/>
      </c>
      <c r="CN298" s="96">
        <f>IFERROR(VLOOKUP($B298,INDIRECT("'GRD-"&amp;CN$11&amp;"'!B:R"),15,FALSE),"")</f>
        <v/>
      </c>
      <c r="CO298" s="96">
        <f>IFERROR(VLOOKUP($B298,INDIRECT("'GRD-"&amp;CO$11&amp;"'!B:R"),15,FALSE),"")</f>
        <v/>
      </c>
      <c r="CP298" s="96">
        <f>IFERROR(VLOOKUP($B298,INDIRECT("'GRD-"&amp;CP$11&amp;"'!B:R"),15,FALSE),"")</f>
        <v/>
      </c>
      <c r="CQ298" s="96">
        <f>IFERROR(VLOOKUP($B298,INDIRECT("'GRD-"&amp;CQ$11&amp;"'!B:R"),15,FALSE),"")</f>
        <v/>
      </c>
      <c r="CR298" s="96">
        <f>IFERROR(VLOOKUP($B298,INDIRECT("'GRD-"&amp;CR$11&amp;"'!B:R"),15,FALSE),"")</f>
        <v/>
      </c>
      <c r="CS298" s="96">
        <f>IFERROR(VLOOKUP($B298,INDIRECT("'GRD-"&amp;CS$11&amp;"'!B:R"),15,FALSE),"")</f>
        <v/>
      </c>
      <c r="CT298" s="96">
        <f>IFERROR(VLOOKUP($B298,INDIRECT("'GRD-"&amp;CT$11&amp;"'!B:R"),15,FALSE),"")</f>
        <v/>
      </c>
      <c r="CU298" s="96">
        <f>IFERROR(VLOOKUP($B298,INDIRECT("'GRD-"&amp;CU$11&amp;"'!B:R"),15,FALSE),"")</f>
        <v/>
      </c>
      <c r="CV298" s="96">
        <f>IFERROR(VLOOKUP($B298,INDIRECT("'GRD-"&amp;CV$11&amp;"'!B:R"),15,FALSE),"")</f>
        <v/>
      </c>
      <c r="CW298" s="96">
        <f>IFERROR(VLOOKUP($B298,INDIRECT("'GRD-"&amp;CW$11&amp;"'!B:R"),15,FALSE),"")</f>
        <v/>
      </c>
      <c r="CX298" s="96">
        <f>IFERROR(VLOOKUP($B298,INDIRECT("'GRD-"&amp;CX$11&amp;"'!B:R"),15,FALSE),"")</f>
        <v/>
      </c>
      <c r="CY298" s="96">
        <f>IFERROR(VLOOKUP($B298,INDIRECT("'GRD-"&amp;CY$11&amp;"'!B:R"),15,FALSE),"")</f>
        <v/>
      </c>
      <c r="CZ298" s="96">
        <f>IFERROR(VLOOKUP($B298,INDIRECT("'GRD-"&amp;CZ$11&amp;"'!B:R"),15,FALSE),"")</f>
        <v/>
      </c>
      <c r="DA298" s="96">
        <f>IFERROR(VLOOKUP($B298,INDIRECT("'GRD-"&amp;DA$11&amp;"'!B:R"),15,FALSE),"")</f>
        <v/>
      </c>
      <c r="DB298" s="96">
        <f>IFERROR(VLOOKUP($B298,INDIRECT("'GRD-"&amp;DB$11&amp;"'!B:R"),15,FALSE),"")</f>
        <v/>
      </c>
      <c r="DC298" s="96">
        <f>IFERROR(VLOOKUP($B298,INDIRECT("'GRD-"&amp;DC$11&amp;"'!B:R"),15,FALSE),"")</f>
        <v/>
      </c>
      <c r="DD298" s="96">
        <f>IFERROR(VLOOKUP($B298,INDIRECT("'GRD-"&amp;DD$11&amp;"'!B:R"),15,FALSE),"")</f>
        <v/>
      </c>
      <c r="DE298" s="96">
        <f>IFERROR(VLOOKUP($B298,INDIRECT("'GRD-"&amp;DE$11&amp;"'!B:R"),15,FALSE),"")</f>
        <v/>
      </c>
      <c r="DF298" s="96">
        <f>IFERROR(VLOOKUP($B298,INDIRECT("'GRD-"&amp;DF$11&amp;"'!B:R"),15,FALSE),"")</f>
        <v/>
      </c>
      <c r="DG298" s="96">
        <f>IFERROR(VLOOKUP($B298,INDIRECT("'GRD-"&amp;DG$11&amp;"'!B:R"),15,FALSE),"")</f>
        <v/>
      </c>
      <c r="DH298" s="96">
        <f>IFERROR(VLOOKUP($B298,INDIRECT("'GRD-"&amp;DH$11&amp;"'!B:R"),15,FALSE),"")</f>
        <v/>
      </c>
      <c r="DI298" s="96">
        <f>IFERROR(VLOOKUP($B298,INDIRECT("'GRD-"&amp;DI$11&amp;"'!B:R"),15,FALSE),"")</f>
        <v/>
      </c>
      <c r="DJ298" s="96">
        <f>IFERROR(VLOOKUP($B298,INDIRECT("'GRD-"&amp;DJ$11&amp;"'!B:R"),15,FALSE),"")</f>
        <v/>
      </c>
      <c r="DK298" s="96">
        <f>IFERROR(VLOOKUP($B298,INDIRECT("'GRD-"&amp;DK$11&amp;"'!B:R"),15,FALSE),"")</f>
        <v/>
      </c>
      <c r="DL298" s="96">
        <f>IFERROR(VLOOKUP($B298,INDIRECT("'GRD-"&amp;DL$11&amp;"'!B:R"),15,FALSE),"")</f>
        <v/>
      </c>
      <c r="DM298" s="96">
        <f>IFERROR(VLOOKUP($B298,INDIRECT("'GRD-"&amp;DM$11&amp;"'!B:R"),15,FALSE),"")</f>
        <v/>
      </c>
      <c r="DN298" s="96">
        <f>IFERROR(VLOOKUP($B298,INDIRECT("'GRD-"&amp;DN$11&amp;"'!B:R"),15,FALSE),"")</f>
        <v/>
      </c>
      <c r="DO298" s="96">
        <f>IFERROR(VLOOKUP($B298,INDIRECT("'GRD-"&amp;DO$11&amp;"'!B:R"),15,FALSE),"")</f>
        <v/>
      </c>
      <c r="DP298" s="96">
        <f>IFERROR(VLOOKUP($B298,INDIRECT("'GRD-"&amp;DP$11&amp;"'!B:R"),15,FALSE),"")</f>
        <v/>
      </c>
      <c r="DQ298" s="96">
        <f>IFERROR(VLOOKUP($B298,INDIRECT("'GRD-"&amp;DQ$11&amp;"'!B:R"),15,FALSE),"")</f>
        <v/>
      </c>
      <c r="DR298" s="96">
        <f>IFERROR(VLOOKUP($B298,INDIRECT("'GRD-"&amp;DR$11&amp;"'!B:R"),15,FALSE),"")</f>
        <v/>
      </c>
      <c r="DS298" s="96">
        <f>IFERROR(VLOOKUP($B298,INDIRECT("'GRD-"&amp;DS$11&amp;"'!B:R"),15,FALSE),"")</f>
        <v/>
      </c>
      <c r="DT298" s="96">
        <f>IFERROR(VLOOKUP($B298,INDIRECT("'GRD-"&amp;DT$11&amp;"'!B:R"),15,FALSE),"")</f>
        <v/>
      </c>
      <c r="DU298" s="96">
        <f>IFERROR(VLOOKUP($B298,INDIRECT("'GRD-"&amp;DU$11&amp;"'!B:R"),15,FALSE),"")</f>
        <v/>
      </c>
      <c r="DV298" s="96">
        <f>IFERROR(VLOOKUP($B298,INDIRECT("'GRD-"&amp;DV$11&amp;"'!B:R"),15,FALSE),"")</f>
        <v/>
      </c>
      <c r="DW298" s="96">
        <f>IFERROR(VLOOKUP($B298,INDIRECT("'GRD-"&amp;DW$11&amp;"'!B:R"),15,FALSE),"")</f>
        <v/>
      </c>
      <c r="DX298" s="96">
        <f>IFERROR(VLOOKUP($B298,INDIRECT("'GRD-"&amp;DX$11&amp;"'!B:R"),15,FALSE),"")</f>
        <v/>
      </c>
      <c r="DY298" s="96">
        <f>IFERROR(VLOOKUP($B298,INDIRECT("'GRD-"&amp;DY$11&amp;"'!B:R"),15,FALSE),"")</f>
        <v/>
      </c>
      <c r="DZ298" s="96">
        <f>IFERROR(VLOOKUP($B298,INDIRECT("'GRD-"&amp;DZ$11&amp;"'!B:R"),15,FALSE),"")</f>
        <v/>
      </c>
      <c r="EA298" s="96">
        <f>IFERROR(VLOOKUP($B298,INDIRECT("'GRD-"&amp;EA$11&amp;"'!B:R"),15,FALSE),"")</f>
        <v/>
      </c>
      <c r="EB298" s="96">
        <f>IFERROR(VLOOKUP($B298,INDIRECT("'GRD-"&amp;EB$11&amp;"'!B:R"),15,FALSE),"")</f>
        <v/>
      </c>
      <c r="EC298" s="96">
        <f>IFERROR(VLOOKUP($B298,INDIRECT("'GRD-"&amp;EC$11&amp;"'!B:R"),15,FALSE),"")</f>
        <v/>
      </c>
      <c r="ED298" s="96">
        <f>IFERROR(VLOOKUP($B298,INDIRECT("'GRD-"&amp;ED$11&amp;"'!B:R"),15,FALSE),"")</f>
        <v/>
      </c>
      <c r="EE298" s="96">
        <f>IFERROR(VLOOKUP($B298,INDIRECT("'GRD-"&amp;EE$11&amp;"'!B:R"),15,FALSE),"")</f>
        <v/>
      </c>
      <c r="EF298" s="96">
        <f>IFERROR(VLOOKUP($B298,INDIRECT("'GRD-"&amp;EF$11&amp;"'!B:R"),15,FALSE),"")</f>
        <v/>
      </c>
      <c r="EG298" s="96">
        <f>IFERROR(VLOOKUP($B298,INDIRECT("'GRD-"&amp;EG$11&amp;"'!B:R"),15,FALSE),"")</f>
        <v/>
      </c>
      <c r="EH298" s="96">
        <f>IFERROR(VLOOKUP($B298,INDIRECT("'GRD-"&amp;EH$11&amp;"'!B:R"),15,FALSE),"")</f>
        <v/>
      </c>
      <c r="EI298" s="96">
        <f>IFERROR(VLOOKUP($B298,INDIRECT("'GRD-"&amp;EI$11&amp;"'!B:R"),15,FALSE),"")</f>
        <v/>
      </c>
      <c r="EJ298" s="96">
        <f>IFERROR(VLOOKUP($B298,INDIRECT("'GRD-"&amp;EJ$11&amp;"'!B:R"),15,FALSE),"")</f>
        <v/>
      </c>
      <c r="EK298" s="96">
        <f>IFERROR(VLOOKUP($B298,INDIRECT("'GRD-"&amp;EK$11&amp;"'!B:R"),15,FALSE),"")</f>
        <v/>
      </c>
      <c r="EL298" s="96">
        <f>IFERROR(VLOOKUP($B298,INDIRECT("'GRD-"&amp;EL$11&amp;"'!B:R"),15,FALSE),"")</f>
        <v/>
      </c>
      <c r="EM298" s="96">
        <f>IFERROR(VLOOKUP($B298,INDIRECT("'GRD-"&amp;EM$11&amp;"'!B:R"),15,FALSE),"")</f>
        <v/>
      </c>
      <c r="EN298" s="96">
        <f>IFERROR(VLOOKUP($B298,INDIRECT("'GRD-"&amp;EN$11&amp;"'!B:R"),15,FALSE),"")</f>
        <v/>
      </c>
      <c r="EO298" s="96">
        <f>IFERROR(VLOOKUP($B298,INDIRECT("'GRD-"&amp;EO$11&amp;"'!B:R"),15,FALSE),"")</f>
        <v/>
      </c>
      <c r="EP298" s="96">
        <f>IFERROR(VLOOKUP($B298,INDIRECT("'GRD-"&amp;EP$11&amp;"'!B:R"),15,FALSE),"")</f>
        <v/>
      </c>
      <c r="EQ298" s="96">
        <f>IFERROR(VLOOKUP($B298,INDIRECT("'GRD-"&amp;EQ$11&amp;"'!B:R"),15,FALSE),"")</f>
        <v/>
      </c>
      <c r="ER298" s="96">
        <f>IFERROR(VLOOKUP($B298,INDIRECT("'GRD-"&amp;ER$11&amp;"'!B:R"),15,FALSE),"")</f>
        <v/>
      </c>
      <c r="ES298" s="96">
        <f>IFERROR(VLOOKUP($B298,INDIRECT("'GRD-"&amp;ES$11&amp;"'!B:R"),15,FALSE),"")</f>
        <v/>
      </c>
      <c r="ET298" s="96">
        <f>IFERROR(VLOOKUP($B298,INDIRECT("'GRD-"&amp;ET$11&amp;"'!B:R"),15,FALSE),"")</f>
        <v/>
      </c>
      <c r="EU298" s="96">
        <f>IFERROR(VLOOKUP($B298,INDIRECT("'GRD-"&amp;EU$11&amp;"'!B:R"),15,FALSE),"")</f>
        <v/>
      </c>
      <c r="EV298" s="96">
        <f>IFERROR(VLOOKUP($B298,INDIRECT("'GRD-"&amp;EV$11&amp;"'!B:R"),15,FALSE),"")</f>
        <v/>
      </c>
      <c r="EW298" s="96">
        <f>IFERROR(VLOOKUP($B298,INDIRECT("'GRD-"&amp;EW$11&amp;"'!B:R"),15,FALSE),"")</f>
        <v/>
      </c>
      <c r="EX298" s="96">
        <f>IFERROR(VLOOKUP($B298,INDIRECT("'GRD-"&amp;EX$11&amp;"'!B:R"),15,FALSE),"")</f>
        <v/>
      </c>
      <c r="EY298" s="96">
        <f>IFERROR(VLOOKUP($B298,INDIRECT("'GRD-"&amp;EY$11&amp;"'!B:R"),15,FALSE),"")</f>
        <v/>
      </c>
      <c r="EZ298" s="96">
        <f>IFERROR(VLOOKUP($B298,INDIRECT("'GRD-"&amp;EZ$11&amp;"'!B:R"),15,FALSE),"")</f>
        <v/>
      </c>
      <c r="FA298" s="96">
        <f>IFERROR(VLOOKUP($B298,INDIRECT("'GRD-"&amp;FA$11&amp;"'!B:R"),15,FALSE),"")</f>
        <v/>
      </c>
      <c r="FB298" s="96">
        <f>IFERROR(VLOOKUP($B298,INDIRECT("'GRD-"&amp;FB$11&amp;"'!B:R"),15,FALSE),"")</f>
        <v/>
      </c>
      <c r="FC298" s="96">
        <f>IFERROR(VLOOKUP($B298,INDIRECT("'GRD-"&amp;FC$11&amp;"'!B:R"),15,FALSE),"")</f>
        <v/>
      </c>
      <c r="FD298" s="96">
        <f>IFERROR(VLOOKUP($B298,INDIRECT("'GRD-"&amp;FD$11&amp;"'!B:R"),15,FALSE),"")</f>
        <v/>
      </c>
      <c r="FE298" s="96">
        <f>IFERROR(VLOOKUP($B298,INDIRECT("'GRD-"&amp;FE$11&amp;"'!B:R"),15,FALSE),"")</f>
        <v/>
      </c>
      <c r="FF298" s="96">
        <f>IFERROR(VLOOKUP($B298,INDIRECT("'GRD-"&amp;FF$11&amp;"'!B:R"),15,FALSE),"")</f>
        <v/>
      </c>
      <c r="FG298" s="96">
        <f>IFERROR(VLOOKUP($B298,INDIRECT("'GRD-"&amp;FG$11&amp;"'!B:R"),15,FALSE),"")</f>
        <v/>
      </c>
      <c r="FH298" s="96">
        <f>IFERROR(VLOOKUP($B298,INDIRECT("'GRD-"&amp;FH$11&amp;"'!B:R"),15,FALSE),"")</f>
        <v/>
      </c>
      <c r="FI298" s="96">
        <f>IFERROR(VLOOKUP($B298,INDIRECT("'GRD-"&amp;FI$11&amp;"'!B:R"),15,FALSE),"")</f>
        <v/>
      </c>
      <c r="FJ298" s="96">
        <f>IFERROR(VLOOKUP($B298,INDIRECT("'GRD-"&amp;FJ$11&amp;"'!B:R"),15,FALSE),"")</f>
        <v/>
      </c>
      <c r="FK298" s="96">
        <f>IFERROR(VLOOKUP($B298,INDIRECT("'GRD-"&amp;FK$11&amp;"'!B:R"),15,FALSE),"")</f>
        <v/>
      </c>
      <c r="FL298" s="96">
        <f>IFERROR(VLOOKUP($B298,INDIRECT("'GRD-"&amp;FL$11&amp;"'!B:R"),15,FALSE),"")</f>
        <v/>
      </c>
      <c r="FM298" s="96">
        <f>IFERROR(VLOOKUP($B298,INDIRECT("'GRD-"&amp;FM$11&amp;"'!B:R"),15,FALSE),"")</f>
        <v/>
      </c>
      <c r="FN298" s="96">
        <f>IFERROR(VLOOKUP($B298,INDIRECT("'GRD-"&amp;FN$11&amp;"'!B:R"),15,FALSE),"")</f>
        <v/>
      </c>
      <c r="FO298" s="96">
        <f>IFERROR(VLOOKUP($B298,INDIRECT("'GRD-"&amp;FO$11&amp;"'!B:R"),15,FALSE),"")</f>
        <v/>
      </c>
      <c r="FP298" s="96">
        <f>IFERROR(VLOOKUP($B298,INDIRECT("'GRD-"&amp;FP$11&amp;"'!B:R"),15,FALSE),"")</f>
        <v/>
      </c>
      <c r="FQ298" s="96">
        <f>IFERROR(VLOOKUP($B298,INDIRECT("'GRD-"&amp;FQ$11&amp;"'!B:R"),15,FALSE),"")</f>
        <v/>
      </c>
      <c r="FR298" s="96">
        <f>IFERROR(VLOOKUP($B298,INDIRECT("'GRD-"&amp;FR$11&amp;"'!B:R"),15,FALSE),"")</f>
        <v/>
      </c>
      <c r="FS298" s="96">
        <f>IFERROR(VLOOKUP($B298,INDIRECT("'GRD-"&amp;FS$11&amp;"'!B:R"),15,FALSE),"")</f>
        <v/>
      </c>
      <c r="FT298" s="96">
        <f>IFERROR(VLOOKUP($B298,INDIRECT("'GRD-"&amp;FT$11&amp;"'!B:R"),15,FALSE),"")</f>
        <v/>
      </c>
      <c r="FU298" s="96">
        <f>IFERROR(VLOOKUP($B298,INDIRECT("'GRD-"&amp;FU$11&amp;"'!B:R"),15,FALSE),"")</f>
        <v/>
      </c>
      <c r="FV298" s="96">
        <f>IFERROR(VLOOKUP($B298,INDIRECT("'GRD-"&amp;FV$11&amp;"'!B:R"),15,FALSE),"")</f>
        <v/>
      </c>
    </row>
    <row r="299">
      <c r="B299" s="85" t="n"/>
      <c r="C299" s="93" t="n"/>
      <c r="D299" s="73">
        <f>IF(K299="","",MAX($CA299:$FV299))</f>
        <v/>
      </c>
      <c r="E299" s="74">
        <f t="array" ref="E299">IF($K299="","",OFFSET($A$1,ROW($B299)-1,11+$D299*4,))</f>
        <v/>
      </c>
      <c r="F299" s="74">
        <f t="array" ref="F299">IF($K299="","",OFFSET($A$1,ROW($B299)-1,12+$D299*4,))</f>
        <v/>
      </c>
      <c r="G299" s="118">
        <f t="array" ref="G299">IF($K299="","",OFFSET($A$1,ROW($B299)-1,13+$D299*4,))</f>
        <v/>
      </c>
      <c r="H299" s="81" t="n"/>
      <c r="I299" s="82" t="n"/>
      <c r="J299" s="75">
        <f>IF(I299="A4",H299/8,IF(I299="A3",H299/4,IF(I299="A2",H299/2,IF(I299="A1",H299/1,IF(I299="A0",H299*2,"")))))</f>
        <v/>
      </c>
      <c r="K299" s="68">
        <f t="array" ref="K299">IFERROR(OFFSET($BZ$11,ROW($B299)-11,MATCH(K$10,$CA299:$FV299,0),),"")</f>
        <v/>
      </c>
      <c r="L299" s="85">
        <f>IF(K299="","",IF(VLOOKUP($B299,INDIRECT("'GRD-"&amp;M299&amp;"'!$B:$R"),16,FALSE)="","",VLOOKUP($B299,INDIRECT("'GRD-"&amp;M299&amp;"'!$B:$R"),16,FALSE)))</f>
        <v/>
      </c>
      <c r="M299" s="130">
        <f t="array" ref="M299">IF(K299="","",IFERROR(OFFSET($BZ$11,0,MATCH($K299,$CA299:$FV299,0),),""))</f>
        <v/>
      </c>
      <c r="N299" s="119">
        <f t="array" ref="N299">IF(K299="","",INDIRECT("'GRD-"&amp;M299&amp;"'!$L$7"))</f>
        <v/>
      </c>
      <c r="O299" s="76">
        <f t="array" ref="O299">IFERROR(OFFSET($BZ$11,ROW($B299)-11,MATCH(O$10,$CA299:$FV299,0),),"")</f>
        <v/>
      </c>
      <c r="P299" s="76">
        <f>IF(O299="","",IF(VLOOKUP($B299,INDIRECT("'GRD-"&amp;Q299&amp;"'!$B:$R"),16,FALSE)="","",VLOOKUP($B299,INDIRECT("'GRD-"&amp;Q299&amp;"'!$B:$R"),16,FALSE)))</f>
        <v/>
      </c>
      <c r="Q299" s="132">
        <f t="array" ref="Q299">IF(O299="","",IFERROR(OFFSET($BZ$11,0,MATCH($O299,$CA299:$FV299,0),),""))</f>
        <v/>
      </c>
      <c r="R299" s="121">
        <f t="array" ref="R299">IF(O299="","",INDIRECT("'GRD-"&amp;Q299&amp;"'!$L$7"))</f>
        <v/>
      </c>
      <c r="S299" s="83">
        <f t="array" ref="S299">IFERROR(OFFSET($BZ$11,ROW($B299)-11,MATCH(S$10,$CA299:$FV299,0),),"")</f>
        <v/>
      </c>
      <c r="T299" s="83">
        <f>IF(S299="","",IF(VLOOKUP($B299,INDIRECT("'GRD-"&amp;U299&amp;"'!$B:$R"),16,FALSE)="","",VLOOKUP($B299,INDIRECT("'GRD-"&amp;U299&amp;"'!$B:$R"),16,FALSE)))</f>
        <v/>
      </c>
      <c r="U299" s="128">
        <f t="array" ref="U299">IF(S299="","",IFERROR(OFFSET($BZ$11,0,MATCH($S299,$CA299:$FV299,0),),""))</f>
        <v/>
      </c>
      <c r="V299" s="133">
        <f t="array" ref="V299">IF(S299="","",INDIRECT("'GRD-"&amp;U299&amp;"'!$L$7"))</f>
        <v/>
      </c>
      <c r="W299" s="84">
        <f t="array" ref="W299">IFERROR(OFFSET($BZ$11,ROW($B299)-11,MATCH(W$10,$CA299:$FV299,0),),"")</f>
        <v/>
      </c>
      <c r="X299" s="84">
        <f>IF(W299="","",IF(VLOOKUP($B299,INDIRECT("'GRD-"&amp;Y299&amp;"'!$B:$R"),16,FALSE)="","",VLOOKUP($B299,INDIRECT("'GRD-"&amp;Y299&amp;"'!$B:$R"),16,FALSE)))</f>
        <v/>
      </c>
      <c r="Y299" s="129">
        <f t="array" ref="Y299">IF(W299="","",IFERROR(OFFSET($BZ$11,0,MATCH($W299,$CA299:$FV299,0),),""))</f>
        <v/>
      </c>
      <c r="Z299" s="134">
        <f t="array" ref="Z299">IF(W299="","",INDIRECT("'GRD-"&amp;Y299&amp;"'!$L$7"))</f>
        <v/>
      </c>
      <c r="AA299" s="85">
        <f t="array" ref="AA299">IFERROR(OFFSET($BZ$11,ROW($B299)-11,MATCH(AA$10,$CA299:$FV299,0),),"")</f>
        <v/>
      </c>
      <c r="AB299" s="85">
        <f>IF(AA299="","",IF(VLOOKUP($B299,INDIRECT("'GRD-"&amp;AC299&amp;"'!$B:$R"),16,FALSE)="","",VLOOKUP($B299,INDIRECT("'GRD-"&amp;AC299&amp;"'!$B:$R"),16,FALSE)))</f>
        <v/>
      </c>
      <c r="AC299" s="130">
        <f t="array" ref="AC299">IF(AA299="","",IFERROR(OFFSET($BZ$11,0,MATCH($AA299,$CA299:$FV299,0),),""))</f>
        <v/>
      </c>
      <c r="AD299" s="131">
        <f t="array" ref="AD299">IF(AA299="","",INDIRECT("'GRD-"&amp;AC299&amp;"'!$L$7"))</f>
        <v/>
      </c>
      <c r="AE299" s="76">
        <f t="array" ref="AE299">IFERROR(OFFSET($BZ$11,ROW($B299)-11,MATCH(AE$10,$CA299:$FV299,0),),"")</f>
        <v/>
      </c>
      <c r="AF299" s="76">
        <f>IF(AE299="","",IF(VLOOKUP($B299,INDIRECT("'GRD-"&amp;AG299&amp;"'!$B:$R"),16,FALSE)="","",VLOOKUP($B299,INDIRECT("'GRD-"&amp;AG299&amp;"'!$B:$R"),16,FALSE)))</f>
        <v/>
      </c>
      <c r="AG299" s="132">
        <f t="array" ref="AG299">IF(AE299="","",IFERROR(OFFSET($BZ$11,0,MATCH($AE299,$CA299:$FV299,0),),""))</f>
        <v/>
      </c>
      <c r="AH299" s="121">
        <f t="array" ref="AH299">IF(AE299="","",INDIRECT("'GRD-"&amp;AG299&amp;"'!$L$7"))</f>
        <v/>
      </c>
      <c r="AI299" s="83">
        <f t="array" ref="AI299">IFERROR(OFFSET($BZ$11,ROW($B299)-11,MATCH(AI$10,$CA299:$FV299,0),),"")</f>
        <v/>
      </c>
      <c r="AJ299" s="83">
        <f>IF(AI299="","",IF(VLOOKUP($B299,INDIRECT("'GRD-"&amp;AK299&amp;"'!$B:$R"),16,FALSE)="","",VLOOKUP($B299,INDIRECT("'GRD-"&amp;AK299&amp;"'!$B:$R"),16,FALSE)))</f>
        <v/>
      </c>
      <c r="AK299" s="128">
        <f t="array" ref="AK299">IF(AI299="","",IFERROR(OFFSET($BZ$11,0,MATCH($AI299,$CA299:$FV299,0),),""))</f>
        <v/>
      </c>
      <c r="AL299" s="133">
        <f t="array" ref="AL299">IF(AI299="","",INDIRECT("'GRD-"&amp;AK299&amp;"'!$L$7"))</f>
        <v/>
      </c>
      <c r="AM299" s="84">
        <f t="array" ref="AM299">IFERROR(OFFSET($BZ$11,ROW($B299)-11,MATCH(AM$10,$CA299:$FV299,0),),"")</f>
        <v/>
      </c>
      <c r="AN299" s="84">
        <f>IF(AM299="","",IF(VLOOKUP($B299,INDIRECT("'GRD-"&amp;AO299&amp;"'!$B:$R"),16,FALSE)="","",VLOOKUP($B299,INDIRECT("'GRD-"&amp;AO299&amp;"'!$B:$R"),16,FALSE)))</f>
        <v/>
      </c>
      <c r="AO299" s="129">
        <f t="array" ref="AO299">IF(AM299="","",IFERROR(OFFSET($BZ$11,0,MATCH($AM299,$CA299:$FV299,0),),""))</f>
        <v/>
      </c>
      <c r="AP299" s="134">
        <f t="array" ref="AP299">IF(AM299="","",INDIRECT("'GRD-"&amp;AO299&amp;"'!$L$7"))</f>
        <v/>
      </c>
      <c r="AQ299" s="85">
        <f t="array" ref="AQ299">IFERROR(OFFSET($BZ$11,ROW($B299)-11,MATCH(AQ$10,$CA299:$FV299,0),),"")</f>
        <v/>
      </c>
      <c r="AR299" s="85">
        <f>IF(AQ299="","",IF(VLOOKUP($B299,INDIRECT("'GRD-"&amp;AS299&amp;"'!$B:$R"),16,FALSE)="","",VLOOKUP($B299,INDIRECT("'GRD-"&amp;AS299&amp;"'!$B:$R"),16,FALSE)))</f>
        <v/>
      </c>
      <c r="AS299" s="130">
        <f t="array" ref="AS299">IF(AQ299="","",IFERROR(OFFSET($BZ$11,0,MATCH($AQ299,$CA299:$FV299,0),),""))</f>
        <v/>
      </c>
      <c r="AT299" s="131">
        <f t="array" ref="AT299">IF(AQ299="","",INDIRECT("'GRD-"&amp;AS299&amp;"'!$L$7"))</f>
        <v/>
      </c>
      <c r="AU299" s="76">
        <f t="array" ref="AU299">IFERROR(OFFSET($BZ$11,ROW($B299)-11,MATCH(AU$10,$CA299:$FV299,0),),"")</f>
        <v/>
      </c>
      <c r="AV299" s="76">
        <f>IF(AU299="","",IF(VLOOKUP($B299,INDIRECT("'GRD-"&amp;AW299&amp;"'!$B:$R"),16,FALSE)="","",VLOOKUP($B299,INDIRECT("'GRD-"&amp;AW299&amp;"'!$B:$R"),16,FALSE)))</f>
        <v/>
      </c>
      <c r="AW299" s="132">
        <f t="array" ref="AW299">IF(AU299="","",IFERROR(OFFSET($BZ$11,0,MATCH($AU299,$CA299:$FV299,0),),""))</f>
        <v/>
      </c>
      <c r="AX299" s="121">
        <f t="array" ref="AX299">IF(AU299="","",INDIRECT("'GRD-"&amp;AW299&amp;"'!$L$7"))</f>
        <v/>
      </c>
      <c r="AY299" s="83">
        <f t="array" ref="AY299">IFERROR(OFFSET($BZ$11,ROW($B299)-11,MATCH(AY$10,$CA299:$FV299,0),),"")</f>
        <v/>
      </c>
      <c r="AZ299" s="83">
        <f>IF(AY299="","",IF(VLOOKUP($B299,INDIRECT("'GRD-"&amp;BA299&amp;"'!$B:$R"),16,FALSE)="","",VLOOKUP($B299,INDIRECT("'GRD-"&amp;BA299&amp;"'!$B:$R"),16,FALSE)))</f>
        <v/>
      </c>
      <c r="BA299" s="128">
        <f t="array" ref="BA299">IF(AY299="","",IFERROR(OFFSET($BZ$11,0,MATCH($AY299,$CA299:$FV299,0),),""))</f>
        <v/>
      </c>
      <c r="BB299" s="133">
        <f t="array" ref="BB299">IF(AY299="","",INDIRECT("'GRD-"&amp;BA299&amp;"'!$L$7"))</f>
        <v/>
      </c>
      <c r="BC299" s="84">
        <f t="array" ref="BC299">IFERROR(OFFSET($BZ$11,ROW($B299)-11,MATCH(BC$10,$CA299:$FV299,0),),"")</f>
        <v/>
      </c>
      <c r="BD299" s="84">
        <f>IF(BC299="","",IF(VLOOKUP($B299,INDIRECT("'GRD-"&amp;BE299&amp;"'!$B:$R"),16,FALSE)="","",VLOOKUP($B299,INDIRECT("'GRD-"&amp;BE299&amp;"'!$B:$R"),16,FALSE)))</f>
        <v/>
      </c>
      <c r="BE299" s="129">
        <f t="array" ref="BE299">IF(BC299="","",IFERROR(OFFSET($BZ$11,0,MATCH($BC299,$CA299:$FV299,0),),""))</f>
        <v/>
      </c>
      <c r="BF299" s="134">
        <f t="array" ref="BF299">IF(BC299="","",INDIRECT("'GRD-"&amp;BE299&amp;"'!$L$7"))</f>
        <v/>
      </c>
      <c r="CA299" s="96">
        <f>IFERROR(VLOOKUP($B299,INDIRECT("'GRD-"&amp;CA$11&amp;"'!B:R"),15,FALSE),"")</f>
        <v/>
      </c>
      <c r="CB299" s="96">
        <f>IFERROR(VLOOKUP($B299,INDIRECT("'GRD-"&amp;CB$11&amp;"'!B:R"),15,FALSE),"")</f>
        <v/>
      </c>
      <c r="CC299" s="96">
        <f>IFERROR(VLOOKUP($B299,INDIRECT("'GRD-"&amp;CC$11&amp;"'!B:R"),15,FALSE),"")</f>
        <v/>
      </c>
      <c r="CD299" s="96">
        <f>IFERROR(VLOOKUP($B299,INDIRECT("'GRD-"&amp;CD$11&amp;"'!B:R"),15,FALSE),"")</f>
        <v/>
      </c>
      <c r="CE299" s="96">
        <f>IFERROR(VLOOKUP($B299,INDIRECT("'GRD-"&amp;CE$11&amp;"'!B:R"),15,FALSE),"")</f>
        <v/>
      </c>
      <c r="CF299" s="96">
        <f>IFERROR(VLOOKUP($B299,INDIRECT("'GRD-"&amp;CF$11&amp;"'!B:R"),15,FALSE),"")</f>
        <v/>
      </c>
      <c r="CG299" s="96">
        <f>IFERROR(VLOOKUP($B299,INDIRECT("'GRD-"&amp;CG$11&amp;"'!B:R"),15,FALSE),"")</f>
        <v/>
      </c>
      <c r="CH299" s="96">
        <f>IFERROR(VLOOKUP($B299,INDIRECT("'GRD-"&amp;CH$11&amp;"'!B:R"),15,FALSE),"")</f>
        <v/>
      </c>
      <c r="CI299" s="96">
        <f>IFERROR(VLOOKUP($B299,INDIRECT("'GRD-"&amp;CI$11&amp;"'!B:R"),15,FALSE),"")</f>
        <v/>
      </c>
      <c r="CJ299" s="96">
        <f>IFERROR(VLOOKUP($B299,INDIRECT("'GRD-"&amp;CJ$11&amp;"'!B:R"),15,FALSE),"")</f>
        <v/>
      </c>
      <c r="CK299" s="96">
        <f>IFERROR(VLOOKUP($B299,INDIRECT("'GRD-"&amp;CK$11&amp;"'!B:R"),15,FALSE),"")</f>
        <v/>
      </c>
      <c r="CL299" s="96">
        <f>IFERROR(VLOOKUP($B299,INDIRECT("'GRD-"&amp;CL$11&amp;"'!B:R"),15,FALSE),"")</f>
        <v/>
      </c>
      <c r="CM299" s="96">
        <f>IFERROR(VLOOKUP($B299,INDIRECT("'GRD-"&amp;CM$11&amp;"'!B:R"),15,FALSE),"")</f>
        <v/>
      </c>
      <c r="CN299" s="96">
        <f>IFERROR(VLOOKUP($B299,INDIRECT("'GRD-"&amp;CN$11&amp;"'!B:R"),15,FALSE),"")</f>
        <v/>
      </c>
      <c r="CO299" s="96">
        <f>IFERROR(VLOOKUP($B299,INDIRECT("'GRD-"&amp;CO$11&amp;"'!B:R"),15,FALSE),"")</f>
        <v/>
      </c>
      <c r="CP299" s="96">
        <f>IFERROR(VLOOKUP($B299,INDIRECT("'GRD-"&amp;CP$11&amp;"'!B:R"),15,FALSE),"")</f>
        <v/>
      </c>
      <c r="CQ299" s="96">
        <f>IFERROR(VLOOKUP($B299,INDIRECT("'GRD-"&amp;CQ$11&amp;"'!B:R"),15,FALSE),"")</f>
        <v/>
      </c>
      <c r="CR299" s="96">
        <f>IFERROR(VLOOKUP($B299,INDIRECT("'GRD-"&amp;CR$11&amp;"'!B:R"),15,FALSE),"")</f>
        <v/>
      </c>
      <c r="CS299" s="96">
        <f>IFERROR(VLOOKUP($B299,INDIRECT("'GRD-"&amp;CS$11&amp;"'!B:R"),15,FALSE),"")</f>
        <v/>
      </c>
      <c r="CT299" s="96">
        <f>IFERROR(VLOOKUP($B299,INDIRECT("'GRD-"&amp;CT$11&amp;"'!B:R"),15,FALSE),"")</f>
        <v/>
      </c>
      <c r="CU299" s="96">
        <f>IFERROR(VLOOKUP($B299,INDIRECT("'GRD-"&amp;CU$11&amp;"'!B:R"),15,FALSE),"")</f>
        <v/>
      </c>
      <c r="CV299" s="96">
        <f>IFERROR(VLOOKUP($B299,INDIRECT("'GRD-"&amp;CV$11&amp;"'!B:R"),15,FALSE),"")</f>
        <v/>
      </c>
      <c r="CW299" s="96">
        <f>IFERROR(VLOOKUP($B299,INDIRECT("'GRD-"&amp;CW$11&amp;"'!B:R"),15,FALSE),"")</f>
        <v/>
      </c>
      <c r="CX299" s="96">
        <f>IFERROR(VLOOKUP($B299,INDIRECT("'GRD-"&amp;CX$11&amp;"'!B:R"),15,FALSE),"")</f>
        <v/>
      </c>
      <c r="CY299" s="96">
        <f>IFERROR(VLOOKUP($B299,INDIRECT("'GRD-"&amp;CY$11&amp;"'!B:R"),15,FALSE),"")</f>
        <v/>
      </c>
      <c r="CZ299" s="96">
        <f>IFERROR(VLOOKUP($B299,INDIRECT("'GRD-"&amp;CZ$11&amp;"'!B:R"),15,FALSE),"")</f>
        <v/>
      </c>
      <c r="DA299" s="96">
        <f>IFERROR(VLOOKUP($B299,INDIRECT("'GRD-"&amp;DA$11&amp;"'!B:R"),15,FALSE),"")</f>
        <v/>
      </c>
      <c r="DB299" s="96">
        <f>IFERROR(VLOOKUP($B299,INDIRECT("'GRD-"&amp;DB$11&amp;"'!B:R"),15,FALSE),"")</f>
        <v/>
      </c>
      <c r="DC299" s="96">
        <f>IFERROR(VLOOKUP($B299,INDIRECT("'GRD-"&amp;DC$11&amp;"'!B:R"),15,FALSE),"")</f>
        <v/>
      </c>
      <c r="DD299" s="96">
        <f>IFERROR(VLOOKUP($B299,INDIRECT("'GRD-"&amp;DD$11&amp;"'!B:R"),15,FALSE),"")</f>
        <v/>
      </c>
      <c r="DE299" s="96">
        <f>IFERROR(VLOOKUP($B299,INDIRECT("'GRD-"&amp;DE$11&amp;"'!B:R"),15,FALSE),"")</f>
        <v/>
      </c>
      <c r="DF299" s="96">
        <f>IFERROR(VLOOKUP($B299,INDIRECT("'GRD-"&amp;DF$11&amp;"'!B:R"),15,FALSE),"")</f>
        <v/>
      </c>
      <c r="DG299" s="96">
        <f>IFERROR(VLOOKUP($B299,INDIRECT("'GRD-"&amp;DG$11&amp;"'!B:R"),15,FALSE),"")</f>
        <v/>
      </c>
      <c r="DH299" s="96">
        <f>IFERROR(VLOOKUP($B299,INDIRECT("'GRD-"&amp;DH$11&amp;"'!B:R"),15,FALSE),"")</f>
        <v/>
      </c>
      <c r="DI299" s="96">
        <f>IFERROR(VLOOKUP($B299,INDIRECT("'GRD-"&amp;DI$11&amp;"'!B:R"),15,FALSE),"")</f>
        <v/>
      </c>
      <c r="DJ299" s="96">
        <f>IFERROR(VLOOKUP($B299,INDIRECT("'GRD-"&amp;DJ$11&amp;"'!B:R"),15,FALSE),"")</f>
        <v/>
      </c>
      <c r="DK299" s="96">
        <f>IFERROR(VLOOKUP($B299,INDIRECT("'GRD-"&amp;DK$11&amp;"'!B:R"),15,FALSE),"")</f>
        <v/>
      </c>
      <c r="DL299" s="96">
        <f>IFERROR(VLOOKUP($B299,INDIRECT("'GRD-"&amp;DL$11&amp;"'!B:R"),15,FALSE),"")</f>
        <v/>
      </c>
      <c r="DM299" s="96">
        <f>IFERROR(VLOOKUP($B299,INDIRECT("'GRD-"&amp;DM$11&amp;"'!B:R"),15,FALSE),"")</f>
        <v/>
      </c>
      <c r="DN299" s="96">
        <f>IFERROR(VLOOKUP($B299,INDIRECT("'GRD-"&amp;DN$11&amp;"'!B:R"),15,FALSE),"")</f>
        <v/>
      </c>
      <c r="DO299" s="96">
        <f>IFERROR(VLOOKUP($B299,INDIRECT("'GRD-"&amp;DO$11&amp;"'!B:R"),15,FALSE),"")</f>
        <v/>
      </c>
      <c r="DP299" s="96">
        <f>IFERROR(VLOOKUP($B299,INDIRECT("'GRD-"&amp;DP$11&amp;"'!B:R"),15,FALSE),"")</f>
        <v/>
      </c>
      <c r="DQ299" s="96">
        <f>IFERROR(VLOOKUP($B299,INDIRECT("'GRD-"&amp;DQ$11&amp;"'!B:R"),15,FALSE),"")</f>
        <v/>
      </c>
      <c r="DR299" s="96">
        <f>IFERROR(VLOOKUP($B299,INDIRECT("'GRD-"&amp;DR$11&amp;"'!B:R"),15,FALSE),"")</f>
        <v/>
      </c>
      <c r="DS299" s="96">
        <f>IFERROR(VLOOKUP($B299,INDIRECT("'GRD-"&amp;DS$11&amp;"'!B:R"),15,FALSE),"")</f>
        <v/>
      </c>
      <c r="DT299" s="96">
        <f>IFERROR(VLOOKUP($B299,INDIRECT("'GRD-"&amp;DT$11&amp;"'!B:R"),15,FALSE),"")</f>
        <v/>
      </c>
      <c r="DU299" s="96">
        <f>IFERROR(VLOOKUP($B299,INDIRECT("'GRD-"&amp;DU$11&amp;"'!B:R"),15,FALSE),"")</f>
        <v/>
      </c>
      <c r="DV299" s="96">
        <f>IFERROR(VLOOKUP($B299,INDIRECT("'GRD-"&amp;DV$11&amp;"'!B:R"),15,FALSE),"")</f>
        <v/>
      </c>
      <c r="DW299" s="96">
        <f>IFERROR(VLOOKUP($B299,INDIRECT("'GRD-"&amp;DW$11&amp;"'!B:R"),15,FALSE),"")</f>
        <v/>
      </c>
      <c r="DX299" s="96">
        <f>IFERROR(VLOOKUP($B299,INDIRECT("'GRD-"&amp;DX$11&amp;"'!B:R"),15,FALSE),"")</f>
        <v/>
      </c>
      <c r="DY299" s="96">
        <f>IFERROR(VLOOKUP($B299,INDIRECT("'GRD-"&amp;DY$11&amp;"'!B:R"),15,FALSE),"")</f>
        <v/>
      </c>
      <c r="DZ299" s="96">
        <f>IFERROR(VLOOKUP($B299,INDIRECT("'GRD-"&amp;DZ$11&amp;"'!B:R"),15,FALSE),"")</f>
        <v/>
      </c>
      <c r="EA299" s="96">
        <f>IFERROR(VLOOKUP($B299,INDIRECT("'GRD-"&amp;EA$11&amp;"'!B:R"),15,FALSE),"")</f>
        <v/>
      </c>
      <c r="EB299" s="96">
        <f>IFERROR(VLOOKUP($B299,INDIRECT("'GRD-"&amp;EB$11&amp;"'!B:R"),15,FALSE),"")</f>
        <v/>
      </c>
      <c r="EC299" s="96">
        <f>IFERROR(VLOOKUP($B299,INDIRECT("'GRD-"&amp;EC$11&amp;"'!B:R"),15,FALSE),"")</f>
        <v/>
      </c>
      <c r="ED299" s="96">
        <f>IFERROR(VLOOKUP($B299,INDIRECT("'GRD-"&amp;ED$11&amp;"'!B:R"),15,FALSE),"")</f>
        <v/>
      </c>
      <c r="EE299" s="96">
        <f>IFERROR(VLOOKUP($B299,INDIRECT("'GRD-"&amp;EE$11&amp;"'!B:R"),15,FALSE),"")</f>
        <v/>
      </c>
      <c r="EF299" s="96">
        <f>IFERROR(VLOOKUP($B299,INDIRECT("'GRD-"&amp;EF$11&amp;"'!B:R"),15,FALSE),"")</f>
        <v/>
      </c>
      <c r="EG299" s="96">
        <f>IFERROR(VLOOKUP($B299,INDIRECT("'GRD-"&amp;EG$11&amp;"'!B:R"),15,FALSE),"")</f>
        <v/>
      </c>
      <c r="EH299" s="96">
        <f>IFERROR(VLOOKUP($B299,INDIRECT("'GRD-"&amp;EH$11&amp;"'!B:R"),15,FALSE),"")</f>
        <v/>
      </c>
      <c r="EI299" s="96">
        <f>IFERROR(VLOOKUP($B299,INDIRECT("'GRD-"&amp;EI$11&amp;"'!B:R"),15,FALSE),"")</f>
        <v/>
      </c>
      <c r="EJ299" s="96">
        <f>IFERROR(VLOOKUP($B299,INDIRECT("'GRD-"&amp;EJ$11&amp;"'!B:R"),15,FALSE),"")</f>
        <v/>
      </c>
      <c r="EK299" s="96">
        <f>IFERROR(VLOOKUP($B299,INDIRECT("'GRD-"&amp;EK$11&amp;"'!B:R"),15,FALSE),"")</f>
        <v/>
      </c>
      <c r="EL299" s="96">
        <f>IFERROR(VLOOKUP($B299,INDIRECT("'GRD-"&amp;EL$11&amp;"'!B:R"),15,FALSE),"")</f>
        <v/>
      </c>
      <c r="EM299" s="96">
        <f>IFERROR(VLOOKUP($B299,INDIRECT("'GRD-"&amp;EM$11&amp;"'!B:R"),15,FALSE),"")</f>
        <v/>
      </c>
      <c r="EN299" s="96">
        <f>IFERROR(VLOOKUP($B299,INDIRECT("'GRD-"&amp;EN$11&amp;"'!B:R"),15,FALSE),"")</f>
        <v/>
      </c>
      <c r="EO299" s="96">
        <f>IFERROR(VLOOKUP($B299,INDIRECT("'GRD-"&amp;EO$11&amp;"'!B:R"),15,FALSE),"")</f>
        <v/>
      </c>
      <c r="EP299" s="96">
        <f>IFERROR(VLOOKUP($B299,INDIRECT("'GRD-"&amp;EP$11&amp;"'!B:R"),15,FALSE),"")</f>
        <v/>
      </c>
      <c r="EQ299" s="96">
        <f>IFERROR(VLOOKUP($B299,INDIRECT("'GRD-"&amp;EQ$11&amp;"'!B:R"),15,FALSE),"")</f>
        <v/>
      </c>
      <c r="ER299" s="96">
        <f>IFERROR(VLOOKUP($B299,INDIRECT("'GRD-"&amp;ER$11&amp;"'!B:R"),15,FALSE),"")</f>
        <v/>
      </c>
      <c r="ES299" s="96">
        <f>IFERROR(VLOOKUP($B299,INDIRECT("'GRD-"&amp;ES$11&amp;"'!B:R"),15,FALSE),"")</f>
        <v/>
      </c>
      <c r="ET299" s="96">
        <f>IFERROR(VLOOKUP($B299,INDIRECT("'GRD-"&amp;ET$11&amp;"'!B:R"),15,FALSE),"")</f>
        <v/>
      </c>
      <c r="EU299" s="96">
        <f>IFERROR(VLOOKUP($B299,INDIRECT("'GRD-"&amp;EU$11&amp;"'!B:R"),15,FALSE),"")</f>
        <v/>
      </c>
      <c r="EV299" s="96">
        <f>IFERROR(VLOOKUP($B299,INDIRECT("'GRD-"&amp;EV$11&amp;"'!B:R"),15,FALSE),"")</f>
        <v/>
      </c>
      <c r="EW299" s="96">
        <f>IFERROR(VLOOKUP($B299,INDIRECT("'GRD-"&amp;EW$11&amp;"'!B:R"),15,FALSE),"")</f>
        <v/>
      </c>
      <c r="EX299" s="96">
        <f>IFERROR(VLOOKUP($B299,INDIRECT("'GRD-"&amp;EX$11&amp;"'!B:R"),15,FALSE),"")</f>
        <v/>
      </c>
      <c r="EY299" s="96">
        <f>IFERROR(VLOOKUP($B299,INDIRECT("'GRD-"&amp;EY$11&amp;"'!B:R"),15,FALSE),"")</f>
        <v/>
      </c>
      <c r="EZ299" s="96">
        <f>IFERROR(VLOOKUP($B299,INDIRECT("'GRD-"&amp;EZ$11&amp;"'!B:R"),15,FALSE),"")</f>
        <v/>
      </c>
      <c r="FA299" s="96">
        <f>IFERROR(VLOOKUP($B299,INDIRECT("'GRD-"&amp;FA$11&amp;"'!B:R"),15,FALSE),"")</f>
        <v/>
      </c>
      <c r="FB299" s="96">
        <f>IFERROR(VLOOKUP($B299,INDIRECT("'GRD-"&amp;FB$11&amp;"'!B:R"),15,FALSE),"")</f>
        <v/>
      </c>
      <c r="FC299" s="96">
        <f>IFERROR(VLOOKUP($B299,INDIRECT("'GRD-"&amp;FC$11&amp;"'!B:R"),15,FALSE),"")</f>
        <v/>
      </c>
      <c r="FD299" s="96">
        <f>IFERROR(VLOOKUP($B299,INDIRECT("'GRD-"&amp;FD$11&amp;"'!B:R"),15,FALSE),"")</f>
        <v/>
      </c>
      <c r="FE299" s="96">
        <f>IFERROR(VLOOKUP($B299,INDIRECT("'GRD-"&amp;FE$11&amp;"'!B:R"),15,FALSE),"")</f>
        <v/>
      </c>
      <c r="FF299" s="96">
        <f>IFERROR(VLOOKUP($B299,INDIRECT("'GRD-"&amp;FF$11&amp;"'!B:R"),15,FALSE),"")</f>
        <v/>
      </c>
      <c r="FG299" s="96">
        <f>IFERROR(VLOOKUP($B299,INDIRECT("'GRD-"&amp;FG$11&amp;"'!B:R"),15,FALSE),"")</f>
        <v/>
      </c>
      <c r="FH299" s="96">
        <f>IFERROR(VLOOKUP($B299,INDIRECT("'GRD-"&amp;FH$11&amp;"'!B:R"),15,FALSE),"")</f>
        <v/>
      </c>
      <c r="FI299" s="96">
        <f>IFERROR(VLOOKUP($B299,INDIRECT("'GRD-"&amp;FI$11&amp;"'!B:R"),15,FALSE),"")</f>
        <v/>
      </c>
      <c r="FJ299" s="96">
        <f>IFERROR(VLOOKUP($B299,INDIRECT("'GRD-"&amp;FJ$11&amp;"'!B:R"),15,FALSE),"")</f>
        <v/>
      </c>
      <c r="FK299" s="96">
        <f>IFERROR(VLOOKUP($B299,INDIRECT("'GRD-"&amp;FK$11&amp;"'!B:R"),15,FALSE),"")</f>
        <v/>
      </c>
      <c r="FL299" s="96">
        <f>IFERROR(VLOOKUP($B299,INDIRECT("'GRD-"&amp;FL$11&amp;"'!B:R"),15,FALSE),"")</f>
        <v/>
      </c>
      <c r="FM299" s="96">
        <f>IFERROR(VLOOKUP($B299,INDIRECT("'GRD-"&amp;FM$11&amp;"'!B:R"),15,FALSE),"")</f>
        <v/>
      </c>
      <c r="FN299" s="96">
        <f>IFERROR(VLOOKUP($B299,INDIRECT("'GRD-"&amp;FN$11&amp;"'!B:R"),15,FALSE),"")</f>
        <v/>
      </c>
      <c r="FO299" s="96">
        <f>IFERROR(VLOOKUP($B299,INDIRECT("'GRD-"&amp;FO$11&amp;"'!B:R"),15,FALSE),"")</f>
        <v/>
      </c>
      <c r="FP299" s="96">
        <f>IFERROR(VLOOKUP($B299,INDIRECT("'GRD-"&amp;FP$11&amp;"'!B:R"),15,FALSE),"")</f>
        <v/>
      </c>
      <c r="FQ299" s="96">
        <f>IFERROR(VLOOKUP($B299,INDIRECT("'GRD-"&amp;FQ$11&amp;"'!B:R"),15,FALSE),"")</f>
        <v/>
      </c>
      <c r="FR299" s="96">
        <f>IFERROR(VLOOKUP($B299,INDIRECT("'GRD-"&amp;FR$11&amp;"'!B:R"),15,FALSE),"")</f>
        <v/>
      </c>
      <c r="FS299" s="96">
        <f>IFERROR(VLOOKUP($B299,INDIRECT("'GRD-"&amp;FS$11&amp;"'!B:R"),15,FALSE),"")</f>
        <v/>
      </c>
      <c r="FT299" s="96">
        <f>IFERROR(VLOOKUP($B299,INDIRECT("'GRD-"&amp;FT$11&amp;"'!B:R"),15,FALSE),"")</f>
        <v/>
      </c>
      <c r="FU299" s="96">
        <f>IFERROR(VLOOKUP($B299,INDIRECT("'GRD-"&amp;FU$11&amp;"'!B:R"),15,FALSE),"")</f>
        <v/>
      </c>
      <c r="FV299" s="96">
        <f>IFERROR(VLOOKUP($B299,INDIRECT("'GRD-"&amp;FV$11&amp;"'!B:R"),15,FALSE),"")</f>
        <v/>
      </c>
    </row>
    <row r="300">
      <c r="B300" s="85" t="n"/>
      <c r="C300" s="93" t="n"/>
      <c r="D300" s="73">
        <f>IF(K300="","",MAX($CA300:$FV300))</f>
        <v/>
      </c>
      <c r="E300" s="74">
        <f t="array" ref="E300">IF($K300="","",OFFSET($A$1,ROW($B300)-1,11+$D300*4,))</f>
        <v/>
      </c>
      <c r="F300" s="74">
        <f t="array" ref="F300">IF($K300="","",OFFSET($A$1,ROW($B300)-1,12+$D300*4,))</f>
        <v/>
      </c>
      <c r="G300" s="118">
        <f t="array" ref="G300">IF($K300="","",OFFSET($A$1,ROW($B300)-1,13+$D300*4,))</f>
        <v/>
      </c>
      <c r="H300" s="81" t="n"/>
      <c r="I300" s="82" t="n"/>
      <c r="J300" s="75">
        <f>IF(I300="A4",H300/8,IF(I300="A3",H300/4,IF(I300="A2",H300/2,IF(I300="A1",H300/1,IF(I300="A0",H300*2,"")))))</f>
        <v/>
      </c>
      <c r="K300" s="68">
        <f t="array" ref="K300">IFERROR(OFFSET($BZ$11,ROW($B300)-11,MATCH(K$10,$CA300:$FV300,0),),"")</f>
        <v/>
      </c>
      <c r="L300" s="85">
        <f>IF(K300="","",IF(VLOOKUP($B300,INDIRECT("'GRD-"&amp;M300&amp;"'!$B:$R"),16,FALSE)="","",VLOOKUP($B300,INDIRECT("'GRD-"&amp;M300&amp;"'!$B:$R"),16,FALSE)))</f>
        <v/>
      </c>
      <c r="M300" s="130">
        <f t="array" ref="M300">IF(K300="","",IFERROR(OFFSET($BZ$11,0,MATCH($K300,$CA300:$FV300,0),),""))</f>
        <v/>
      </c>
      <c r="N300" s="119">
        <f t="array" ref="N300">IF(K300="","",INDIRECT("'GRD-"&amp;M300&amp;"'!$L$7"))</f>
        <v/>
      </c>
      <c r="O300" s="76">
        <f t="array" ref="O300">IFERROR(OFFSET($BZ$11,ROW($B300)-11,MATCH(O$10,$CA300:$FV300,0),),"")</f>
        <v/>
      </c>
      <c r="P300" s="76">
        <f>IF(O300="","",IF(VLOOKUP($B300,INDIRECT("'GRD-"&amp;Q300&amp;"'!$B:$R"),16,FALSE)="","",VLOOKUP($B300,INDIRECT("'GRD-"&amp;Q300&amp;"'!$B:$R"),16,FALSE)))</f>
        <v/>
      </c>
      <c r="Q300" s="132">
        <f t="array" ref="Q300">IF(O300="","",IFERROR(OFFSET($BZ$11,0,MATCH($O300,$CA300:$FV300,0),),""))</f>
        <v/>
      </c>
      <c r="R300" s="121">
        <f t="array" ref="R300">IF(O300="","",INDIRECT("'GRD-"&amp;Q300&amp;"'!$L$7"))</f>
        <v/>
      </c>
      <c r="S300" s="83">
        <f t="array" ref="S300">IFERROR(OFFSET($BZ$11,ROW($B300)-11,MATCH(S$10,$CA300:$FV300,0),),"")</f>
        <v/>
      </c>
      <c r="T300" s="83">
        <f>IF(S300="","",IF(VLOOKUP($B300,INDIRECT("'GRD-"&amp;U300&amp;"'!$B:$R"),16,FALSE)="","",VLOOKUP($B300,INDIRECT("'GRD-"&amp;U300&amp;"'!$B:$R"),16,FALSE)))</f>
        <v/>
      </c>
      <c r="U300" s="128">
        <f t="array" ref="U300">IF(S300="","",IFERROR(OFFSET($BZ$11,0,MATCH($S300,$CA300:$FV300,0),),""))</f>
        <v/>
      </c>
      <c r="V300" s="133">
        <f t="array" ref="V300">IF(S300="","",INDIRECT("'GRD-"&amp;U300&amp;"'!$L$7"))</f>
        <v/>
      </c>
      <c r="W300" s="84">
        <f t="array" ref="W300">IFERROR(OFFSET($BZ$11,ROW($B300)-11,MATCH(W$10,$CA300:$FV300,0),),"")</f>
        <v/>
      </c>
      <c r="X300" s="84">
        <f>IF(W300="","",IF(VLOOKUP($B300,INDIRECT("'GRD-"&amp;Y300&amp;"'!$B:$R"),16,FALSE)="","",VLOOKUP($B300,INDIRECT("'GRD-"&amp;Y300&amp;"'!$B:$R"),16,FALSE)))</f>
        <v/>
      </c>
      <c r="Y300" s="129">
        <f t="array" ref="Y300">IF(W300="","",IFERROR(OFFSET($BZ$11,0,MATCH($W300,$CA300:$FV300,0),),""))</f>
        <v/>
      </c>
      <c r="Z300" s="134">
        <f t="array" ref="Z300">IF(W300="","",INDIRECT("'GRD-"&amp;Y300&amp;"'!$L$7"))</f>
        <v/>
      </c>
      <c r="AA300" s="85">
        <f t="array" ref="AA300">IFERROR(OFFSET($BZ$11,ROW($B300)-11,MATCH(AA$10,$CA300:$FV300,0),),"")</f>
        <v/>
      </c>
      <c r="AB300" s="85">
        <f>IF(AA300="","",IF(VLOOKUP($B300,INDIRECT("'GRD-"&amp;AC300&amp;"'!$B:$R"),16,FALSE)="","",VLOOKUP($B300,INDIRECT("'GRD-"&amp;AC300&amp;"'!$B:$R"),16,FALSE)))</f>
        <v/>
      </c>
      <c r="AC300" s="130">
        <f t="array" ref="AC300">IF(AA300="","",IFERROR(OFFSET($BZ$11,0,MATCH($AA300,$CA300:$FV300,0),),""))</f>
        <v/>
      </c>
      <c r="AD300" s="131">
        <f t="array" ref="AD300">IF(AA300="","",INDIRECT("'GRD-"&amp;AC300&amp;"'!$L$7"))</f>
        <v/>
      </c>
      <c r="AE300" s="76">
        <f t="array" ref="AE300">IFERROR(OFFSET($BZ$11,ROW($B300)-11,MATCH(AE$10,$CA300:$FV300,0),),"")</f>
        <v/>
      </c>
      <c r="AF300" s="76">
        <f>IF(AE300="","",IF(VLOOKUP($B300,INDIRECT("'GRD-"&amp;AG300&amp;"'!$B:$R"),16,FALSE)="","",VLOOKUP($B300,INDIRECT("'GRD-"&amp;AG300&amp;"'!$B:$R"),16,FALSE)))</f>
        <v/>
      </c>
      <c r="AG300" s="132">
        <f t="array" ref="AG300">IF(AE300="","",IFERROR(OFFSET($BZ$11,0,MATCH($AE300,$CA300:$FV300,0),),""))</f>
        <v/>
      </c>
      <c r="AH300" s="121">
        <f t="array" ref="AH300">IF(AE300="","",INDIRECT("'GRD-"&amp;AG300&amp;"'!$L$7"))</f>
        <v/>
      </c>
      <c r="AI300" s="83">
        <f t="array" ref="AI300">IFERROR(OFFSET($BZ$11,ROW($B300)-11,MATCH(AI$10,$CA300:$FV300,0),),"")</f>
        <v/>
      </c>
      <c r="AJ300" s="83">
        <f>IF(AI300="","",IF(VLOOKUP($B300,INDIRECT("'GRD-"&amp;AK300&amp;"'!$B:$R"),16,FALSE)="","",VLOOKUP($B300,INDIRECT("'GRD-"&amp;AK300&amp;"'!$B:$R"),16,FALSE)))</f>
        <v/>
      </c>
      <c r="AK300" s="128">
        <f t="array" ref="AK300">IF(AI300="","",IFERROR(OFFSET($BZ$11,0,MATCH($AI300,$CA300:$FV300,0),),""))</f>
        <v/>
      </c>
      <c r="AL300" s="133">
        <f t="array" ref="AL300">IF(AI300="","",INDIRECT("'GRD-"&amp;AK300&amp;"'!$L$7"))</f>
        <v/>
      </c>
      <c r="AM300" s="84">
        <f t="array" ref="AM300">IFERROR(OFFSET($BZ$11,ROW($B300)-11,MATCH(AM$10,$CA300:$FV300,0),),"")</f>
        <v/>
      </c>
      <c r="AN300" s="84">
        <f>IF(AM300="","",IF(VLOOKUP($B300,INDIRECT("'GRD-"&amp;AO300&amp;"'!$B:$R"),16,FALSE)="","",VLOOKUP($B300,INDIRECT("'GRD-"&amp;AO300&amp;"'!$B:$R"),16,FALSE)))</f>
        <v/>
      </c>
      <c r="AO300" s="129">
        <f t="array" ref="AO300">IF(AM300="","",IFERROR(OFFSET($BZ$11,0,MATCH($AM300,$CA300:$FV300,0),),""))</f>
        <v/>
      </c>
      <c r="AP300" s="134">
        <f t="array" ref="AP300">IF(AM300="","",INDIRECT("'GRD-"&amp;AO300&amp;"'!$L$7"))</f>
        <v/>
      </c>
      <c r="AQ300" s="85">
        <f t="array" ref="AQ300">IFERROR(OFFSET($BZ$11,ROW($B300)-11,MATCH(AQ$10,$CA300:$FV300,0),),"")</f>
        <v/>
      </c>
      <c r="AR300" s="85">
        <f>IF(AQ300="","",IF(VLOOKUP($B300,INDIRECT("'GRD-"&amp;AS300&amp;"'!$B:$R"),16,FALSE)="","",VLOOKUP($B300,INDIRECT("'GRD-"&amp;AS300&amp;"'!$B:$R"),16,FALSE)))</f>
        <v/>
      </c>
      <c r="AS300" s="130">
        <f t="array" ref="AS300">IF(AQ300="","",IFERROR(OFFSET($BZ$11,0,MATCH($AQ300,$CA300:$FV300,0),),""))</f>
        <v/>
      </c>
      <c r="AT300" s="131">
        <f t="array" ref="AT300">IF(AQ300="","",INDIRECT("'GRD-"&amp;AS300&amp;"'!$L$7"))</f>
        <v/>
      </c>
      <c r="AU300" s="76">
        <f t="array" ref="AU300">IFERROR(OFFSET($BZ$11,ROW($B300)-11,MATCH(AU$10,$CA300:$FV300,0),),"")</f>
        <v/>
      </c>
      <c r="AV300" s="76">
        <f>IF(AU300="","",IF(VLOOKUP($B300,INDIRECT("'GRD-"&amp;AW300&amp;"'!$B:$R"),16,FALSE)="","",VLOOKUP($B300,INDIRECT("'GRD-"&amp;AW300&amp;"'!$B:$R"),16,FALSE)))</f>
        <v/>
      </c>
      <c r="AW300" s="132">
        <f t="array" ref="AW300">IF(AU300="","",IFERROR(OFFSET($BZ$11,0,MATCH($AU300,$CA300:$FV300,0),),""))</f>
        <v/>
      </c>
      <c r="AX300" s="121">
        <f t="array" ref="AX300">IF(AU300="","",INDIRECT("'GRD-"&amp;AW300&amp;"'!$L$7"))</f>
        <v/>
      </c>
      <c r="AY300" s="83">
        <f t="array" ref="AY300">IFERROR(OFFSET($BZ$11,ROW($B300)-11,MATCH(AY$10,$CA300:$FV300,0),),"")</f>
        <v/>
      </c>
      <c r="AZ300" s="83">
        <f>IF(AY300="","",IF(VLOOKUP($B300,INDIRECT("'GRD-"&amp;BA300&amp;"'!$B:$R"),16,FALSE)="","",VLOOKUP($B300,INDIRECT("'GRD-"&amp;BA300&amp;"'!$B:$R"),16,FALSE)))</f>
        <v/>
      </c>
      <c r="BA300" s="128">
        <f t="array" ref="BA300">IF(AY300="","",IFERROR(OFFSET($BZ$11,0,MATCH($AY300,$CA300:$FV300,0),),""))</f>
        <v/>
      </c>
      <c r="BB300" s="133">
        <f t="array" ref="BB300">IF(AY300="","",INDIRECT("'GRD-"&amp;BA300&amp;"'!$L$7"))</f>
        <v/>
      </c>
      <c r="BC300" s="84">
        <f t="array" ref="BC300">IFERROR(OFFSET($BZ$11,ROW($B300)-11,MATCH(BC$10,$CA300:$FV300,0),),"")</f>
        <v/>
      </c>
      <c r="BD300" s="84">
        <f>IF(BC300="","",IF(VLOOKUP($B300,INDIRECT("'GRD-"&amp;BE300&amp;"'!$B:$R"),16,FALSE)="","",VLOOKUP($B300,INDIRECT("'GRD-"&amp;BE300&amp;"'!$B:$R"),16,FALSE)))</f>
        <v/>
      </c>
      <c r="BE300" s="129">
        <f t="array" ref="BE300">IF(BC300="","",IFERROR(OFFSET($BZ$11,0,MATCH($BC300,$CA300:$FV300,0),),""))</f>
        <v/>
      </c>
      <c r="BF300" s="134">
        <f t="array" ref="BF300">IF(BC300="","",INDIRECT("'GRD-"&amp;BE300&amp;"'!$L$7"))</f>
        <v/>
      </c>
      <c r="CA300" s="96">
        <f>IFERROR(VLOOKUP($B300,INDIRECT("'GRD-"&amp;CA$11&amp;"'!B:R"),15,FALSE),"")</f>
        <v/>
      </c>
      <c r="CB300" s="96">
        <f>IFERROR(VLOOKUP($B300,INDIRECT("'GRD-"&amp;CB$11&amp;"'!B:R"),15,FALSE),"")</f>
        <v/>
      </c>
      <c r="CC300" s="96">
        <f>IFERROR(VLOOKUP($B300,INDIRECT("'GRD-"&amp;CC$11&amp;"'!B:R"),15,FALSE),"")</f>
        <v/>
      </c>
      <c r="CD300" s="96">
        <f>IFERROR(VLOOKUP($B300,INDIRECT("'GRD-"&amp;CD$11&amp;"'!B:R"),15,FALSE),"")</f>
        <v/>
      </c>
      <c r="CE300" s="96">
        <f>IFERROR(VLOOKUP($B300,INDIRECT("'GRD-"&amp;CE$11&amp;"'!B:R"),15,FALSE),"")</f>
        <v/>
      </c>
      <c r="CF300" s="96">
        <f>IFERROR(VLOOKUP($B300,INDIRECT("'GRD-"&amp;CF$11&amp;"'!B:R"),15,FALSE),"")</f>
        <v/>
      </c>
      <c r="CG300" s="96">
        <f>IFERROR(VLOOKUP($B300,INDIRECT("'GRD-"&amp;CG$11&amp;"'!B:R"),15,FALSE),"")</f>
        <v/>
      </c>
      <c r="CH300" s="96">
        <f>IFERROR(VLOOKUP($B300,INDIRECT("'GRD-"&amp;CH$11&amp;"'!B:R"),15,FALSE),"")</f>
        <v/>
      </c>
      <c r="CI300" s="96">
        <f>IFERROR(VLOOKUP($B300,INDIRECT("'GRD-"&amp;CI$11&amp;"'!B:R"),15,FALSE),"")</f>
        <v/>
      </c>
      <c r="CJ300" s="96">
        <f>IFERROR(VLOOKUP($B300,INDIRECT("'GRD-"&amp;CJ$11&amp;"'!B:R"),15,FALSE),"")</f>
        <v/>
      </c>
      <c r="CK300" s="96">
        <f>IFERROR(VLOOKUP($B300,INDIRECT("'GRD-"&amp;CK$11&amp;"'!B:R"),15,FALSE),"")</f>
        <v/>
      </c>
      <c r="CL300" s="96">
        <f>IFERROR(VLOOKUP($B300,INDIRECT("'GRD-"&amp;CL$11&amp;"'!B:R"),15,FALSE),"")</f>
        <v/>
      </c>
      <c r="CM300" s="96">
        <f>IFERROR(VLOOKUP($B300,INDIRECT("'GRD-"&amp;CM$11&amp;"'!B:R"),15,FALSE),"")</f>
        <v/>
      </c>
      <c r="CN300" s="96">
        <f>IFERROR(VLOOKUP($B300,INDIRECT("'GRD-"&amp;CN$11&amp;"'!B:R"),15,FALSE),"")</f>
        <v/>
      </c>
      <c r="CO300" s="96">
        <f>IFERROR(VLOOKUP($B300,INDIRECT("'GRD-"&amp;CO$11&amp;"'!B:R"),15,FALSE),"")</f>
        <v/>
      </c>
      <c r="CP300" s="96">
        <f>IFERROR(VLOOKUP($B300,INDIRECT("'GRD-"&amp;CP$11&amp;"'!B:R"),15,FALSE),"")</f>
        <v/>
      </c>
      <c r="CQ300" s="96">
        <f>IFERROR(VLOOKUP($B300,INDIRECT("'GRD-"&amp;CQ$11&amp;"'!B:R"),15,FALSE),"")</f>
        <v/>
      </c>
      <c r="CR300" s="96">
        <f>IFERROR(VLOOKUP($B300,INDIRECT("'GRD-"&amp;CR$11&amp;"'!B:R"),15,FALSE),"")</f>
        <v/>
      </c>
      <c r="CS300" s="96">
        <f>IFERROR(VLOOKUP($B300,INDIRECT("'GRD-"&amp;CS$11&amp;"'!B:R"),15,FALSE),"")</f>
        <v/>
      </c>
      <c r="CT300" s="96">
        <f>IFERROR(VLOOKUP($B300,INDIRECT("'GRD-"&amp;CT$11&amp;"'!B:R"),15,FALSE),"")</f>
        <v/>
      </c>
      <c r="CU300" s="96">
        <f>IFERROR(VLOOKUP($B300,INDIRECT("'GRD-"&amp;CU$11&amp;"'!B:R"),15,FALSE),"")</f>
        <v/>
      </c>
      <c r="CV300" s="96">
        <f>IFERROR(VLOOKUP($B300,INDIRECT("'GRD-"&amp;CV$11&amp;"'!B:R"),15,FALSE),"")</f>
        <v/>
      </c>
      <c r="CW300" s="96">
        <f>IFERROR(VLOOKUP($B300,INDIRECT("'GRD-"&amp;CW$11&amp;"'!B:R"),15,FALSE),"")</f>
        <v/>
      </c>
      <c r="CX300" s="96">
        <f>IFERROR(VLOOKUP($B300,INDIRECT("'GRD-"&amp;CX$11&amp;"'!B:R"),15,FALSE),"")</f>
        <v/>
      </c>
      <c r="CY300" s="96">
        <f>IFERROR(VLOOKUP($B300,INDIRECT("'GRD-"&amp;CY$11&amp;"'!B:R"),15,FALSE),"")</f>
        <v/>
      </c>
      <c r="CZ300" s="96">
        <f>IFERROR(VLOOKUP($B300,INDIRECT("'GRD-"&amp;CZ$11&amp;"'!B:R"),15,FALSE),"")</f>
        <v/>
      </c>
      <c r="DA300" s="96">
        <f>IFERROR(VLOOKUP($B300,INDIRECT("'GRD-"&amp;DA$11&amp;"'!B:R"),15,FALSE),"")</f>
        <v/>
      </c>
      <c r="DB300" s="96">
        <f>IFERROR(VLOOKUP($B300,INDIRECT("'GRD-"&amp;DB$11&amp;"'!B:R"),15,FALSE),"")</f>
        <v/>
      </c>
      <c r="DC300" s="96">
        <f>IFERROR(VLOOKUP($B300,INDIRECT("'GRD-"&amp;DC$11&amp;"'!B:R"),15,FALSE),"")</f>
        <v/>
      </c>
      <c r="DD300" s="96">
        <f>IFERROR(VLOOKUP($B300,INDIRECT("'GRD-"&amp;DD$11&amp;"'!B:R"),15,FALSE),"")</f>
        <v/>
      </c>
      <c r="DE300" s="96">
        <f>IFERROR(VLOOKUP($B300,INDIRECT("'GRD-"&amp;DE$11&amp;"'!B:R"),15,FALSE),"")</f>
        <v/>
      </c>
      <c r="DF300" s="96">
        <f>IFERROR(VLOOKUP($B300,INDIRECT("'GRD-"&amp;DF$11&amp;"'!B:R"),15,FALSE),"")</f>
        <v/>
      </c>
      <c r="DG300" s="96">
        <f>IFERROR(VLOOKUP($B300,INDIRECT("'GRD-"&amp;DG$11&amp;"'!B:R"),15,FALSE),"")</f>
        <v/>
      </c>
      <c r="DH300" s="96">
        <f>IFERROR(VLOOKUP($B300,INDIRECT("'GRD-"&amp;DH$11&amp;"'!B:R"),15,FALSE),"")</f>
        <v/>
      </c>
      <c r="DI300" s="96">
        <f>IFERROR(VLOOKUP($B300,INDIRECT("'GRD-"&amp;DI$11&amp;"'!B:R"),15,FALSE),"")</f>
        <v/>
      </c>
      <c r="DJ300" s="96">
        <f>IFERROR(VLOOKUP($B300,INDIRECT("'GRD-"&amp;DJ$11&amp;"'!B:R"),15,FALSE),"")</f>
        <v/>
      </c>
      <c r="DK300" s="96">
        <f>IFERROR(VLOOKUP($B300,INDIRECT("'GRD-"&amp;DK$11&amp;"'!B:R"),15,FALSE),"")</f>
        <v/>
      </c>
      <c r="DL300" s="96">
        <f>IFERROR(VLOOKUP($B300,INDIRECT("'GRD-"&amp;DL$11&amp;"'!B:R"),15,FALSE),"")</f>
        <v/>
      </c>
      <c r="DM300" s="96">
        <f>IFERROR(VLOOKUP($B300,INDIRECT("'GRD-"&amp;DM$11&amp;"'!B:R"),15,FALSE),"")</f>
        <v/>
      </c>
      <c r="DN300" s="96">
        <f>IFERROR(VLOOKUP($B300,INDIRECT("'GRD-"&amp;DN$11&amp;"'!B:R"),15,FALSE),"")</f>
        <v/>
      </c>
      <c r="DO300" s="96">
        <f>IFERROR(VLOOKUP($B300,INDIRECT("'GRD-"&amp;DO$11&amp;"'!B:R"),15,FALSE),"")</f>
        <v/>
      </c>
      <c r="DP300" s="96">
        <f>IFERROR(VLOOKUP($B300,INDIRECT("'GRD-"&amp;DP$11&amp;"'!B:R"),15,FALSE),"")</f>
        <v/>
      </c>
      <c r="DQ300" s="96">
        <f>IFERROR(VLOOKUP($B300,INDIRECT("'GRD-"&amp;DQ$11&amp;"'!B:R"),15,FALSE),"")</f>
        <v/>
      </c>
      <c r="DR300" s="96">
        <f>IFERROR(VLOOKUP($B300,INDIRECT("'GRD-"&amp;DR$11&amp;"'!B:R"),15,FALSE),"")</f>
        <v/>
      </c>
      <c r="DS300" s="96">
        <f>IFERROR(VLOOKUP($B300,INDIRECT("'GRD-"&amp;DS$11&amp;"'!B:R"),15,FALSE),"")</f>
        <v/>
      </c>
      <c r="DT300" s="96">
        <f>IFERROR(VLOOKUP($B300,INDIRECT("'GRD-"&amp;DT$11&amp;"'!B:R"),15,FALSE),"")</f>
        <v/>
      </c>
      <c r="DU300" s="96">
        <f>IFERROR(VLOOKUP($B300,INDIRECT("'GRD-"&amp;DU$11&amp;"'!B:R"),15,FALSE),"")</f>
        <v/>
      </c>
      <c r="DV300" s="96">
        <f>IFERROR(VLOOKUP($B300,INDIRECT("'GRD-"&amp;DV$11&amp;"'!B:R"),15,FALSE),"")</f>
        <v/>
      </c>
      <c r="DW300" s="96">
        <f>IFERROR(VLOOKUP($B300,INDIRECT("'GRD-"&amp;DW$11&amp;"'!B:R"),15,FALSE),"")</f>
        <v/>
      </c>
      <c r="DX300" s="96">
        <f>IFERROR(VLOOKUP($B300,INDIRECT("'GRD-"&amp;DX$11&amp;"'!B:R"),15,FALSE),"")</f>
        <v/>
      </c>
      <c r="DY300" s="96">
        <f>IFERROR(VLOOKUP($B300,INDIRECT("'GRD-"&amp;DY$11&amp;"'!B:R"),15,FALSE),"")</f>
        <v/>
      </c>
      <c r="DZ300" s="96">
        <f>IFERROR(VLOOKUP($B300,INDIRECT("'GRD-"&amp;DZ$11&amp;"'!B:R"),15,FALSE),"")</f>
        <v/>
      </c>
      <c r="EA300" s="96">
        <f>IFERROR(VLOOKUP($B300,INDIRECT("'GRD-"&amp;EA$11&amp;"'!B:R"),15,FALSE),"")</f>
        <v/>
      </c>
      <c r="EB300" s="96">
        <f>IFERROR(VLOOKUP($B300,INDIRECT("'GRD-"&amp;EB$11&amp;"'!B:R"),15,FALSE),"")</f>
        <v/>
      </c>
      <c r="EC300" s="96">
        <f>IFERROR(VLOOKUP($B300,INDIRECT("'GRD-"&amp;EC$11&amp;"'!B:R"),15,FALSE),"")</f>
        <v/>
      </c>
      <c r="ED300" s="96">
        <f>IFERROR(VLOOKUP($B300,INDIRECT("'GRD-"&amp;ED$11&amp;"'!B:R"),15,FALSE),"")</f>
        <v/>
      </c>
      <c r="EE300" s="96">
        <f>IFERROR(VLOOKUP($B300,INDIRECT("'GRD-"&amp;EE$11&amp;"'!B:R"),15,FALSE),"")</f>
        <v/>
      </c>
      <c r="EF300" s="96">
        <f>IFERROR(VLOOKUP($B300,INDIRECT("'GRD-"&amp;EF$11&amp;"'!B:R"),15,FALSE),"")</f>
        <v/>
      </c>
      <c r="EG300" s="96">
        <f>IFERROR(VLOOKUP($B300,INDIRECT("'GRD-"&amp;EG$11&amp;"'!B:R"),15,FALSE),"")</f>
        <v/>
      </c>
      <c r="EH300" s="96">
        <f>IFERROR(VLOOKUP($B300,INDIRECT("'GRD-"&amp;EH$11&amp;"'!B:R"),15,FALSE),"")</f>
        <v/>
      </c>
      <c r="EI300" s="96">
        <f>IFERROR(VLOOKUP($B300,INDIRECT("'GRD-"&amp;EI$11&amp;"'!B:R"),15,FALSE),"")</f>
        <v/>
      </c>
      <c r="EJ300" s="96">
        <f>IFERROR(VLOOKUP($B300,INDIRECT("'GRD-"&amp;EJ$11&amp;"'!B:R"),15,FALSE),"")</f>
        <v/>
      </c>
      <c r="EK300" s="96">
        <f>IFERROR(VLOOKUP($B300,INDIRECT("'GRD-"&amp;EK$11&amp;"'!B:R"),15,FALSE),"")</f>
        <v/>
      </c>
      <c r="EL300" s="96">
        <f>IFERROR(VLOOKUP($B300,INDIRECT("'GRD-"&amp;EL$11&amp;"'!B:R"),15,FALSE),"")</f>
        <v/>
      </c>
      <c r="EM300" s="96">
        <f>IFERROR(VLOOKUP($B300,INDIRECT("'GRD-"&amp;EM$11&amp;"'!B:R"),15,FALSE),"")</f>
        <v/>
      </c>
      <c r="EN300" s="96">
        <f>IFERROR(VLOOKUP($B300,INDIRECT("'GRD-"&amp;EN$11&amp;"'!B:R"),15,FALSE),"")</f>
        <v/>
      </c>
      <c r="EO300" s="96">
        <f>IFERROR(VLOOKUP($B300,INDIRECT("'GRD-"&amp;EO$11&amp;"'!B:R"),15,FALSE),"")</f>
        <v/>
      </c>
      <c r="EP300" s="96">
        <f>IFERROR(VLOOKUP($B300,INDIRECT("'GRD-"&amp;EP$11&amp;"'!B:R"),15,FALSE),"")</f>
        <v/>
      </c>
      <c r="EQ300" s="96">
        <f>IFERROR(VLOOKUP($B300,INDIRECT("'GRD-"&amp;EQ$11&amp;"'!B:R"),15,FALSE),"")</f>
        <v/>
      </c>
      <c r="ER300" s="96">
        <f>IFERROR(VLOOKUP($B300,INDIRECT("'GRD-"&amp;ER$11&amp;"'!B:R"),15,FALSE),"")</f>
        <v/>
      </c>
      <c r="ES300" s="96">
        <f>IFERROR(VLOOKUP($B300,INDIRECT("'GRD-"&amp;ES$11&amp;"'!B:R"),15,FALSE),"")</f>
        <v/>
      </c>
      <c r="ET300" s="96">
        <f>IFERROR(VLOOKUP($B300,INDIRECT("'GRD-"&amp;ET$11&amp;"'!B:R"),15,FALSE),"")</f>
        <v/>
      </c>
      <c r="EU300" s="96">
        <f>IFERROR(VLOOKUP($B300,INDIRECT("'GRD-"&amp;EU$11&amp;"'!B:R"),15,FALSE),"")</f>
        <v/>
      </c>
      <c r="EV300" s="96">
        <f>IFERROR(VLOOKUP($B300,INDIRECT("'GRD-"&amp;EV$11&amp;"'!B:R"),15,FALSE),"")</f>
        <v/>
      </c>
      <c r="EW300" s="96">
        <f>IFERROR(VLOOKUP($B300,INDIRECT("'GRD-"&amp;EW$11&amp;"'!B:R"),15,FALSE),"")</f>
        <v/>
      </c>
      <c r="EX300" s="96">
        <f>IFERROR(VLOOKUP($B300,INDIRECT("'GRD-"&amp;EX$11&amp;"'!B:R"),15,FALSE),"")</f>
        <v/>
      </c>
      <c r="EY300" s="96">
        <f>IFERROR(VLOOKUP($B300,INDIRECT("'GRD-"&amp;EY$11&amp;"'!B:R"),15,FALSE),"")</f>
        <v/>
      </c>
      <c r="EZ300" s="96">
        <f>IFERROR(VLOOKUP($B300,INDIRECT("'GRD-"&amp;EZ$11&amp;"'!B:R"),15,FALSE),"")</f>
        <v/>
      </c>
      <c r="FA300" s="96">
        <f>IFERROR(VLOOKUP($B300,INDIRECT("'GRD-"&amp;FA$11&amp;"'!B:R"),15,FALSE),"")</f>
        <v/>
      </c>
      <c r="FB300" s="96">
        <f>IFERROR(VLOOKUP($B300,INDIRECT("'GRD-"&amp;FB$11&amp;"'!B:R"),15,FALSE),"")</f>
        <v/>
      </c>
      <c r="FC300" s="96">
        <f>IFERROR(VLOOKUP($B300,INDIRECT("'GRD-"&amp;FC$11&amp;"'!B:R"),15,FALSE),"")</f>
        <v/>
      </c>
      <c r="FD300" s="96">
        <f>IFERROR(VLOOKUP($B300,INDIRECT("'GRD-"&amp;FD$11&amp;"'!B:R"),15,FALSE),"")</f>
        <v/>
      </c>
      <c r="FE300" s="96">
        <f>IFERROR(VLOOKUP($B300,INDIRECT("'GRD-"&amp;FE$11&amp;"'!B:R"),15,FALSE),"")</f>
        <v/>
      </c>
      <c r="FF300" s="96">
        <f>IFERROR(VLOOKUP($B300,INDIRECT("'GRD-"&amp;FF$11&amp;"'!B:R"),15,FALSE),"")</f>
        <v/>
      </c>
      <c r="FG300" s="96">
        <f>IFERROR(VLOOKUP($B300,INDIRECT("'GRD-"&amp;FG$11&amp;"'!B:R"),15,FALSE),"")</f>
        <v/>
      </c>
      <c r="FH300" s="96">
        <f>IFERROR(VLOOKUP($B300,INDIRECT("'GRD-"&amp;FH$11&amp;"'!B:R"),15,FALSE),"")</f>
        <v/>
      </c>
      <c r="FI300" s="96">
        <f>IFERROR(VLOOKUP($B300,INDIRECT("'GRD-"&amp;FI$11&amp;"'!B:R"),15,FALSE),"")</f>
        <v/>
      </c>
      <c r="FJ300" s="96">
        <f>IFERROR(VLOOKUP($B300,INDIRECT("'GRD-"&amp;FJ$11&amp;"'!B:R"),15,FALSE),"")</f>
        <v/>
      </c>
      <c r="FK300" s="96">
        <f>IFERROR(VLOOKUP($B300,INDIRECT("'GRD-"&amp;FK$11&amp;"'!B:R"),15,FALSE),"")</f>
        <v/>
      </c>
      <c r="FL300" s="96">
        <f>IFERROR(VLOOKUP($B300,INDIRECT("'GRD-"&amp;FL$11&amp;"'!B:R"),15,FALSE),"")</f>
        <v/>
      </c>
      <c r="FM300" s="96">
        <f>IFERROR(VLOOKUP($B300,INDIRECT("'GRD-"&amp;FM$11&amp;"'!B:R"),15,FALSE),"")</f>
        <v/>
      </c>
      <c r="FN300" s="96">
        <f>IFERROR(VLOOKUP($B300,INDIRECT("'GRD-"&amp;FN$11&amp;"'!B:R"),15,FALSE),"")</f>
        <v/>
      </c>
      <c r="FO300" s="96">
        <f>IFERROR(VLOOKUP($B300,INDIRECT("'GRD-"&amp;FO$11&amp;"'!B:R"),15,FALSE),"")</f>
        <v/>
      </c>
      <c r="FP300" s="96">
        <f>IFERROR(VLOOKUP($B300,INDIRECT("'GRD-"&amp;FP$11&amp;"'!B:R"),15,FALSE),"")</f>
        <v/>
      </c>
      <c r="FQ300" s="96">
        <f>IFERROR(VLOOKUP($B300,INDIRECT("'GRD-"&amp;FQ$11&amp;"'!B:R"),15,FALSE),"")</f>
        <v/>
      </c>
      <c r="FR300" s="96">
        <f>IFERROR(VLOOKUP($B300,INDIRECT("'GRD-"&amp;FR$11&amp;"'!B:R"),15,FALSE),"")</f>
        <v/>
      </c>
      <c r="FS300" s="96">
        <f>IFERROR(VLOOKUP($B300,INDIRECT("'GRD-"&amp;FS$11&amp;"'!B:R"),15,FALSE),"")</f>
        <v/>
      </c>
      <c r="FT300" s="96">
        <f>IFERROR(VLOOKUP($B300,INDIRECT("'GRD-"&amp;FT$11&amp;"'!B:R"),15,FALSE),"")</f>
        <v/>
      </c>
      <c r="FU300" s="96">
        <f>IFERROR(VLOOKUP($B300,INDIRECT("'GRD-"&amp;FU$11&amp;"'!B:R"),15,FALSE),"")</f>
        <v/>
      </c>
      <c r="FV300" s="96">
        <f>IFERROR(VLOOKUP($B300,INDIRECT("'GRD-"&amp;FV$11&amp;"'!B:R"),15,FALSE),"")</f>
        <v/>
      </c>
    </row>
  </sheetData>
  <mergeCells count="65">
    <mergeCell ref="AY11:BB11"/>
    <mergeCell ref="Y7:Y9"/>
    <mergeCell ref="AA7:AA9"/>
    <mergeCell ref="AG7:AG9"/>
    <mergeCell ref="P7:P9"/>
    <mergeCell ref="AS7:AS9"/>
    <mergeCell ref="AI7:AI9"/>
    <mergeCell ref="O11:R11"/>
    <mergeCell ref="T7:T9"/>
    <mergeCell ref="AU7:AU9"/>
    <mergeCell ref="V7:V9"/>
    <mergeCell ref="AB7:AB9"/>
    <mergeCell ref="W11:Z11"/>
    <mergeCell ref="BE7:BE9"/>
    <mergeCell ref="AD7:AD9"/>
    <mergeCell ref="AA11:AD11"/>
    <mergeCell ref="AM7:AM9"/>
    <mergeCell ref="AE11:AH11"/>
    <mergeCell ref="C4:G4"/>
    <mergeCell ref="AN7:AN9"/>
    <mergeCell ref="O7:O9"/>
    <mergeCell ref="C1:G1"/>
    <mergeCell ref="C10:J10"/>
    <mergeCell ref="AR7:AR9"/>
    <mergeCell ref="Q7:Q9"/>
    <mergeCell ref="AF7:AF9"/>
    <mergeCell ref="AH7:AH9"/>
    <mergeCell ref="AP7:AP9"/>
    <mergeCell ref="AY7:AY9"/>
    <mergeCell ref="AV7:AV9"/>
    <mergeCell ref="AK7:AK9"/>
    <mergeCell ref="BB7:BB9"/>
    <mergeCell ref="AT7:AT9"/>
    <mergeCell ref="B1:B4"/>
    <mergeCell ref="BD7:BD9"/>
    <mergeCell ref="B5:I8"/>
    <mergeCell ref="AQ11:AT11"/>
    <mergeCell ref="N7:N9"/>
    <mergeCell ref="BC11:BF11"/>
    <mergeCell ref="H1:J4"/>
    <mergeCell ref="AC7:AC9"/>
    <mergeCell ref="C2:G2"/>
    <mergeCell ref="BF7:BF9"/>
    <mergeCell ref="AE7:AE9"/>
    <mergeCell ref="K11:N11"/>
    <mergeCell ref="AW7:AW9"/>
    <mergeCell ref="R7:R9"/>
    <mergeCell ref="X7:X9"/>
    <mergeCell ref="S11:V11"/>
    <mergeCell ref="AO7:AO9"/>
    <mergeCell ref="Z7:Z9"/>
    <mergeCell ref="AQ7:AQ9"/>
    <mergeCell ref="BA7:BA9"/>
    <mergeCell ref="AI11:AL11"/>
    <mergeCell ref="W7:W9"/>
    <mergeCell ref="BC7:BC9"/>
    <mergeCell ref="S7:S9"/>
    <mergeCell ref="AJ7:AJ9"/>
    <mergeCell ref="U7:U9"/>
    <mergeCell ref="AL7:AL9"/>
    <mergeCell ref="AX7:AX9"/>
    <mergeCell ref="AZ7:AZ9"/>
    <mergeCell ref="AM11:AP11"/>
    <mergeCell ref="AU11:AX11"/>
    <mergeCell ref="C3:G3"/>
  </mergeCells>
  <conditionalFormatting sqref="H14:I24 H26:I1000 I25">
    <cfRule type="expression" priority="2" dxfId="0">
      <formula>AND($C14&lt;&gt;"",H14="")</formula>
    </cfRule>
  </conditionalFormatting>
  <dataValidations count="1">
    <dataValidation sqref="J14:J300" showDropDown="0" showInputMessage="1" showErrorMessage="1" allowBlank="0" error="Não é permitido editar que contém fórmulas" type="whole">
      <formula1>-99999999</formula1>
      <formula2>-99999998</formula2>
    </dataValidation>
  </dataValidations>
  <pageMargins left="0.3937007874015748" right="0.3937007874015748" top="0.8267716535433072" bottom="0.3937007874015748" header="1.299212598425197" footer="0.2755905511811024"/>
  <pageSetup orientation="landscape" paperSize="8" scale="84" fitToHeight="0" firstPageNumber="2" cellComments="asDisplayed"/>
  <headerFooter>
    <oddHeader>&amp;R&amp;"Arial,Negrito"&amp;P/&amp;N</oddHeader>
    <oddFooter/>
    <evenHeader/>
    <evenFooter/>
    <firstHeader/>
    <firstFooter/>
  </headerFooter>
  <colBreaks count="1" manualBreakCount="1">
    <brk id="3" min="0" max="31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B1:AA52"/>
  <sheetViews>
    <sheetView showGridLines="0" view="pageBreakPreview" zoomScale="85" zoomScaleNormal="85" zoomScaleSheetLayoutView="85" workbookViewId="0">
      <selection activeCell="E32" sqref="E32"/>
    </sheetView>
  </sheetViews>
  <sheetFormatPr baseColWidth="8" defaultColWidth="9.140625" defaultRowHeight="12.75"/>
  <cols>
    <col width="4.85546875" customWidth="1" style="145" min="1" max="1"/>
    <col width="9.140625" customWidth="1" style="145" min="2" max="2"/>
    <col width="12.85546875" customWidth="1" style="145" min="3" max="3"/>
    <col width="9.140625" customWidth="1" style="145" min="4" max="7"/>
    <col width="9.140625" customWidth="1" style="144" min="8" max="8"/>
    <col width="9.140625" customWidth="1" style="145" min="9" max="20"/>
    <col width="9.140625" customWidth="1" style="145" min="21" max="16384"/>
  </cols>
  <sheetData>
    <row r="1" ht="13.5" customHeight="1" thickBot="1">
      <c r="H1" s="145" t="n"/>
      <c r="I1" s="144" t="n"/>
    </row>
    <row r="2" ht="110.1" customHeight="1" thickBot="1">
      <c r="E2" s="214" t="inlineStr">
        <is>
          <t>SIGLA DA EMPRESA</t>
        </is>
      </c>
      <c r="F2" s="212" t="n"/>
      <c r="G2" s="211" t="inlineStr">
        <is>
          <t>NÚMERO PROJETO</t>
        </is>
      </c>
      <c r="H2" s="212" t="n"/>
      <c r="I2" s="211" t="inlineStr">
        <is>
          <t>CÓDIGO FASE</t>
        </is>
      </c>
      <c r="J2" s="211" t="inlineStr">
        <is>
          <t>CÓDIGO DA  MACRO ÁREA</t>
        </is>
      </c>
      <c r="K2" s="211" t="inlineStr">
        <is>
          <t>CÓDIGO  ÁREA</t>
        </is>
      </c>
      <c r="L2" s="213" t="n"/>
      <c r="M2" s="211" t="inlineStr">
        <is>
          <t>CÓDIGO DISCIPLINA</t>
        </is>
      </c>
      <c r="N2" s="212" t="n"/>
      <c r="O2" s="211" t="inlineStr">
        <is>
          <t>CÓDIGO TIPO DE DOCUMENTO</t>
        </is>
      </c>
      <c r="P2" s="212" t="n"/>
      <c r="Q2" s="211" t="inlineStr">
        <is>
          <t xml:space="preserve">Nº FAIXA DO DOCUMENTO </t>
        </is>
      </c>
      <c r="R2" s="212" t="n"/>
      <c r="S2" s="211" t="inlineStr">
        <is>
          <t>Nº REVISÃO EM QUE SE ENCONTRA O DOCUMENTO</t>
        </is>
      </c>
      <c r="W2" s="186" t="n"/>
    </row>
    <row r="3" ht="13.5" customHeight="1" thickBot="1">
      <c r="E3" s="210" t="n"/>
      <c r="F3" s="209" t="n"/>
      <c r="G3" s="208" t="n"/>
      <c r="H3" s="209" t="n"/>
      <c r="I3" s="208" t="n"/>
      <c r="J3" s="208" t="n"/>
      <c r="K3" s="208" t="n"/>
      <c r="L3" s="210" t="n"/>
      <c r="M3" s="208" t="n"/>
      <c r="N3" s="209" t="n"/>
      <c r="O3" s="208" t="n"/>
      <c r="P3" s="209" t="n"/>
      <c r="Q3" s="208" t="n"/>
      <c r="R3" s="209" t="n"/>
      <c r="S3" s="208" t="n"/>
    </row>
    <row r="4" ht="30.75" customFormat="1" customHeight="1" s="202" thickBot="1">
      <c r="E4" s="207" t="inlineStr">
        <is>
          <t>IFS</t>
        </is>
      </c>
      <c r="F4" s="206" t="inlineStr">
        <is>
          <t>-</t>
        </is>
      </c>
      <c r="G4" s="204" t="inlineStr">
        <is>
          <t>26XX</t>
        </is>
      </c>
      <c r="H4" s="205" t="inlineStr">
        <is>
          <t>-</t>
        </is>
      </c>
      <c r="I4" s="204" t="inlineStr">
        <is>
          <t>X</t>
        </is>
      </c>
      <c r="J4" s="204" t="inlineStr">
        <is>
          <t>X</t>
        </is>
      </c>
      <c r="K4" s="204" t="inlineStr">
        <is>
          <t>X</t>
        </is>
      </c>
      <c r="L4" s="205" t="inlineStr">
        <is>
          <t>-</t>
        </is>
      </c>
      <c r="M4" s="204" t="inlineStr">
        <is>
          <t>XXX</t>
        </is>
      </c>
      <c r="N4" s="205" t="inlineStr">
        <is>
          <t>-</t>
        </is>
      </c>
      <c r="O4" s="204" t="inlineStr">
        <is>
          <t>XX</t>
        </is>
      </c>
      <c r="P4" s="205" t="inlineStr">
        <is>
          <t>-</t>
        </is>
      </c>
      <c r="Q4" s="204" t="inlineStr">
        <is>
          <t>XXXX</t>
        </is>
      </c>
      <c r="R4" s="205" t="inlineStr">
        <is>
          <t>_</t>
        </is>
      </c>
      <c r="S4" s="204" t="inlineStr">
        <is>
          <t>R0</t>
        </is>
      </c>
      <c r="X4" s="203" t="inlineStr">
        <is>
          <t>GERADOR</t>
        </is>
      </c>
    </row>
    <row r="5" ht="9.949999999999999" customHeight="1">
      <c r="B5" s="201" t="n"/>
      <c r="C5" s="201" t="n"/>
      <c r="D5" s="201" t="n"/>
      <c r="E5" s="201" t="n"/>
      <c r="F5" s="197" t="n"/>
      <c r="G5" s="197" t="n"/>
      <c r="H5" s="200" t="n"/>
      <c r="I5" s="190" t="n"/>
      <c r="J5" s="199" t="n"/>
      <c r="K5" s="199" t="n"/>
      <c r="M5" s="190" t="n"/>
      <c r="O5" s="198" t="n"/>
      <c r="P5" s="197" t="n"/>
      <c r="Q5" s="197" t="n"/>
      <c r="R5" s="197" t="n"/>
    </row>
    <row r="6" ht="9.949999999999999" customHeight="1">
      <c r="B6" s="190" t="n"/>
      <c r="E6" s="194" t="n"/>
      <c r="F6" s="196" t="n"/>
      <c r="G6" s="186" t="n"/>
      <c r="H6" s="196" t="n"/>
      <c r="I6" s="195" t="n"/>
      <c r="J6" s="192" t="n"/>
      <c r="K6" s="190" t="n"/>
      <c r="M6" s="190" t="n"/>
      <c r="S6" s="190" t="n"/>
    </row>
    <row r="7" ht="9.949999999999999" customHeight="1">
      <c r="B7" s="190" t="n"/>
      <c r="E7" s="185" t="n"/>
      <c r="F7" s="194" t="n"/>
      <c r="G7" s="193" t="n"/>
      <c r="H7" s="145" t="n"/>
      <c r="I7" s="193" t="n"/>
      <c r="J7" s="186" t="n"/>
      <c r="K7" s="192" t="n"/>
      <c r="M7" s="191" t="n"/>
      <c r="S7" s="190" t="n"/>
    </row>
    <row r="8" ht="9.949999999999999" customHeight="1" thickBot="1">
      <c r="B8" s="190" t="n"/>
      <c r="F8" s="189" t="n"/>
      <c r="G8" s="188" t="n"/>
      <c r="H8" s="145" t="n"/>
      <c r="I8" s="186" t="n"/>
      <c r="J8" s="187" t="n"/>
      <c r="K8" s="186" t="n"/>
      <c r="M8" s="185" t="n"/>
      <c r="S8" s="184" t="n"/>
    </row>
    <row r="9" ht="12.75" customHeight="1">
      <c r="B9" s="424" t="inlineStr">
        <is>
          <t>CÓDIGO FASE</t>
        </is>
      </c>
      <c r="C9" s="425" t="n"/>
      <c r="D9" s="426" t="n"/>
      <c r="F9" s="424" t="inlineStr">
        <is>
          <t>CÓDIGO MACROÁREA</t>
        </is>
      </c>
      <c r="G9" s="425" t="n"/>
      <c r="H9" s="426" t="n"/>
      <c r="J9" s="424" t="inlineStr">
        <is>
          <t>CÓDIGO ÁREA</t>
        </is>
      </c>
      <c r="K9" s="425" t="n"/>
      <c r="L9" s="426" t="n"/>
      <c r="M9" s="212" t="n"/>
      <c r="N9" s="427" t="inlineStr">
        <is>
          <t>CÓDIGO DISCIPLINA</t>
        </is>
      </c>
      <c r="O9" s="421" t="n"/>
      <c r="P9" s="421" t="n"/>
      <c r="Q9" s="303" t="n"/>
      <c r="R9" s="183" t="n"/>
      <c r="S9" s="424" t="inlineStr">
        <is>
          <t>CÓDIGO TIPO DE DOCUMENTO</t>
        </is>
      </c>
      <c r="T9" s="425" t="n"/>
      <c r="U9" s="425" t="n"/>
      <c r="V9" s="426" t="n"/>
      <c r="X9" s="145" t="n"/>
      <c r="Z9" s="182" t="n"/>
      <c r="AA9" s="145" t="n"/>
    </row>
    <row r="10">
      <c r="B10" s="304" t="n"/>
      <c r="D10" s="314" t="n"/>
      <c r="F10" s="304" t="n"/>
      <c r="H10" s="314" t="n"/>
      <c r="J10" s="304" t="n"/>
      <c r="L10" s="314" t="n"/>
      <c r="M10" s="212" t="n"/>
      <c r="Q10" s="305" t="n"/>
      <c r="S10" s="304" t="n"/>
      <c r="V10" s="314" t="n"/>
      <c r="X10" s="145" t="n"/>
      <c r="Z10" s="182" t="n"/>
      <c r="AA10" s="145" t="n"/>
    </row>
    <row r="11" ht="13.5" customHeight="1" thickBot="1">
      <c r="B11" s="306" t="n"/>
      <c r="C11" s="322" t="n"/>
      <c r="D11" s="428" t="n"/>
      <c r="F11" s="306" t="n"/>
      <c r="G11" s="322" t="n"/>
      <c r="H11" s="428" t="n"/>
      <c r="J11" s="306" t="n"/>
      <c r="K11" s="322" t="n"/>
      <c r="L11" s="428" t="n"/>
      <c r="M11" s="212" t="n"/>
      <c r="N11" s="361" t="n"/>
      <c r="O11" s="361" t="n"/>
      <c r="P11" s="361" t="n"/>
      <c r="Q11" s="362" t="n"/>
      <c r="S11" s="306" t="n"/>
      <c r="T11" s="322" t="n"/>
      <c r="U11" s="322" t="n"/>
      <c r="V11" s="428" t="n"/>
      <c r="X11" s="145" t="n"/>
      <c r="Z11" s="145" t="n"/>
      <c r="AA11" s="145" t="n"/>
    </row>
    <row r="12" ht="12.6" customHeight="1">
      <c r="B12" s="166" t="n">
        <v>0</v>
      </c>
      <c r="C12" s="170" t="inlineStr">
        <is>
          <t>VIABILIDADE</t>
        </is>
      </c>
      <c r="D12" s="169" t="n"/>
      <c r="F12" s="166" t="n">
        <v>1</v>
      </c>
      <c r="G12" s="170" t="inlineStr">
        <is>
          <t>GERAL</t>
        </is>
      </c>
      <c r="H12" s="169" t="n"/>
      <c r="J12" s="176" t="n">
        <v>0</v>
      </c>
      <c r="K12" s="170" t="inlineStr">
        <is>
          <t>GERAL</t>
        </is>
      </c>
      <c r="L12" s="167" t="n"/>
      <c r="M12" s="171" t="n"/>
      <c r="N12" s="159" t="inlineStr">
        <is>
          <t>CIV</t>
        </is>
      </c>
      <c r="O12" s="180" t="inlineStr">
        <is>
          <t>CIVIL</t>
        </is>
      </c>
      <c r="P12" s="179" t="n"/>
      <c r="Q12" s="178" t="n"/>
      <c r="S12" s="165" t="inlineStr">
        <is>
          <t>CP</t>
        </is>
      </c>
      <c r="T12" s="153" t="inlineStr">
        <is>
          <t>CRITÉRIO DE PROJETO</t>
        </is>
      </c>
      <c r="U12" s="152" t="n"/>
      <c r="V12" s="151" t="n"/>
    </row>
    <row r="13">
      <c r="B13" s="166" t="n">
        <v>1</v>
      </c>
      <c r="C13" s="170" t="inlineStr">
        <is>
          <t>CONCEITUAL/ ANTEPROJETO</t>
        </is>
      </c>
      <c r="D13" s="169" t="n"/>
      <c r="F13" s="166" t="n">
        <v>2</v>
      </c>
      <c r="G13" s="170" t="inlineStr">
        <is>
          <t>PORTO</t>
        </is>
      </c>
      <c r="H13" s="169" t="n"/>
      <c r="J13" s="215" t="n">
        <v>1</v>
      </c>
      <c r="K13" s="168" t="inlineStr">
        <is>
          <t>Ex.: OFFSHORE</t>
        </is>
      </c>
      <c r="L13" s="167" t="n"/>
      <c r="M13" s="171" t="n"/>
      <c r="N13" s="159" t="inlineStr">
        <is>
          <t>ARM</t>
        </is>
      </c>
      <c r="O13" s="158" t="inlineStr">
        <is>
          <t>ARMADURA</t>
        </is>
      </c>
      <c r="P13" s="157" t="n"/>
      <c r="Q13" s="177" t="n"/>
      <c r="S13" s="166" t="inlineStr">
        <is>
          <t>CR</t>
        </is>
      </c>
      <c r="T13" s="161" t="inlineStr">
        <is>
          <t>CRONOGRAMA</t>
        </is>
      </c>
      <c r="U13" s="160" t="n"/>
      <c r="V13" s="146" t="n"/>
    </row>
    <row r="14">
      <c r="B14" s="166" t="n">
        <v>2</v>
      </c>
      <c r="C14" s="170" t="inlineStr">
        <is>
          <t>BÁSICO</t>
        </is>
      </c>
      <c r="D14" s="169" t="n"/>
      <c r="F14" s="166" t="n">
        <v>3</v>
      </c>
      <c r="G14" s="170" t="inlineStr">
        <is>
          <t>AEROPORTO</t>
        </is>
      </c>
      <c r="H14" s="169" t="n"/>
      <c r="J14" s="215" t="n">
        <v>2</v>
      </c>
      <c r="K14" s="168" t="inlineStr">
        <is>
          <t>Ex.: ONSHORE</t>
        </is>
      </c>
      <c r="L14" s="167" t="n"/>
      <c r="M14" s="171" t="n"/>
      <c r="N14" s="159" t="inlineStr">
        <is>
          <t>MET</t>
        </is>
      </c>
      <c r="O14" s="158" t="inlineStr">
        <is>
          <t>ESTRUTURAS METÁLICAS</t>
        </is>
      </c>
      <c r="P14" s="157" t="n"/>
      <c r="Q14" s="177" t="n"/>
      <c r="S14" s="165" t="inlineStr">
        <is>
          <t>CX</t>
        </is>
      </c>
      <c r="T14" s="153" t="inlineStr">
        <is>
          <t>CAPEX</t>
        </is>
      </c>
      <c r="U14" s="152" t="n"/>
      <c r="V14" s="151" t="n"/>
    </row>
    <row r="15">
      <c r="B15" s="166" t="n">
        <v>3</v>
      </c>
      <c r="C15" s="170" t="inlineStr">
        <is>
          <t>EXECUTIVO</t>
        </is>
      </c>
      <c r="D15" s="169" t="n"/>
      <c r="F15" s="166" t="n">
        <v>4</v>
      </c>
      <c r="G15" s="170" t="inlineStr">
        <is>
          <t>RODOVIA</t>
        </is>
      </c>
      <c r="H15" s="169" t="n"/>
      <c r="J15" s="215" t="n">
        <v>3</v>
      </c>
      <c r="K15" s="168" t="inlineStr">
        <is>
          <t>Ex.: GERAL</t>
        </is>
      </c>
      <c r="L15" s="167" t="n"/>
      <c r="M15" s="171" t="n"/>
      <c r="N15" s="159" t="inlineStr">
        <is>
          <t>FAS</t>
        </is>
      </c>
      <c r="O15" s="158" t="inlineStr">
        <is>
          <t>FASEAMENTO/METODOLOGIA</t>
        </is>
      </c>
      <c r="P15" s="157" t="n"/>
      <c r="Q15" s="177" t="n"/>
      <c r="S15" s="165" t="inlineStr">
        <is>
          <t>DE</t>
        </is>
      </c>
      <c r="T15" s="153" t="inlineStr">
        <is>
          <t>DESENHO</t>
        </is>
      </c>
      <c r="U15" s="152" t="n"/>
      <c r="V15" s="151" t="n"/>
    </row>
    <row r="16">
      <c r="B16" s="176" t="n">
        <v>4</v>
      </c>
      <c r="C16" s="173" t="inlineStr">
        <is>
          <t>(DISPONÍVEL)</t>
        </is>
      </c>
      <c r="D16" s="174" t="n"/>
      <c r="F16" s="166" t="n">
        <v>5</v>
      </c>
      <c r="G16" s="170" t="inlineStr">
        <is>
          <t>FERROVIA</t>
        </is>
      </c>
      <c r="H16" s="169" t="n"/>
      <c r="J16" s="215" t="n">
        <v>4</v>
      </c>
      <c r="K16" s="168" t="inlineStr">
        <is>
          <t>Ex.: ÁREA DE LAVAGEM</t>
        </is>
      </c>
      <c r="L16" s="167" t="n"/>
      <c r="M16" s="171" t="n"/>
      <c r="N16" s="159" t="inlineStr">
        <is>
          <t>FOR</t>
        </is>
      </c>
      <c r="O16" s="158" t="inlineStr">
        <is>
          <t>FORMA</t>
        </is>
      </c>
      <c r="P16" s="157" t="n"/>
      <c r="Q16" s="177" t="n"/>
      <c r="S16" s="166" t="inlineStr">
        <is>
          <t>DO</t>
        </is>
      </c>
      <c r="T16" s="161" t="inlineStr">
        <is>
          <t>DIÁRIO DE OBRA (FISCALIZAÇÃO)</t>
        </is>
      </c>
      <c r="U16" s="160" t="n"/>
      <c r="V16" s="146" t="n"/>
    </row>
    <row r="17">
      <c r="B17" s="176" t="n">
        <v>5</v>
      </c>
      <c r="C17" s="175" t="inlineStr">
        <is>
          <t>GERENCIAMENTO</t>
        </is>
      </c>
      <c r="D17" s="174" t="n"/>
      <c r="F17" s="166" t="n">
        <v>6</v>
      </c>
      <c r="G17" s="173" t="inlineStr">
        <is>
          <t>(DISPONÍVEL)</t>
        </is>
      </c>
      <c r="H17" s="169" t="n"/>
      <c r="J17" s="215" t="n">
        <v>5</v>
      </c>
      <c r="K17" s="168" t="inlineStr">
        <is>
          <t>Ex.: PONTE DE ACESSO</t>
        </is>
      </c>
      <c r="L17" s="167" t="n"/>
      <c r="M17" s="171" t="n"/>
      <c r="N17" s="162" t="inlineStr">
        <is>
          <t>AMB</t>
        </is>
      </c>
      <c r="O17" s="161" t="inlineStr">
        <is>
          <t>AMBIENTAL</t>
        </is>
      </c>
      <c r="P17" s="160" t="n"/>
      <c r="Q17" s="146" t="n"/>
      <c r="S17" s="166" t="inlineStr">
        <is>
          <t>ES</t>
        </is>
      </c>
      <c r="T17" s="161" t="inlineStr">
        <is>
          <t>ESPECIFICAÇÃO SERVIÇO</t>
        </is>
      </c>
      <c r="U17" s="160" t="n"/>
      <c r="V17" s="146" t="n"/>
    </row>
    <row r="18">
      <c r="B18" s="166" t="n">
        <v>6</v>
      </c>
      <c r="C18" s="170" t="inlineStr">
        <is>
          <t>FISCALIZAÇÃO</t>
        </is>
      </c>
      <c r="D18" s="169" t="n"/>
      <c r="F18" s="166" t="n">
        <v>7</v>
      </c>
      <c r="G18" s="173" t="inlineStr">
        <is>
          <t>(DISPONÍVEL)</t>
        </is>
      </c>
      <c r="H18" s="169" t="n"/>
      <c r="J18" s="215" t="n">
        <v>6</v>
      </c>
      <c r="K18" s="168" t="inlineStr">
        <is>
          <t>Ex.: GERAL</t>
        </is>
      </c>
      <c r="L18" s="167" t="n"/>
      <c r="M18" s="171" t="n"/>
      <c r="N18" s="162" t="inlineStr">
        <is>
          <t>DES</t>
        </is>
      </c>
      <c r="O18" s="161" t="inlineStr">
        <is>
          <t>DESAPROPRIAÇÃO</t>
        </is>
      </c>
      <c r="P18" s="160" t="n"/>
      <c r="Q18" s="146" t="n"/>
      <c r="S18" s="165" t="inlineStr">
        <is>
          <t>ET</t>
        </is>
      </c>
      <c r="T18" s="153" t="inlineStr">
        <is>
          <t>ESPECIFICAÇÃO TÉCNICA</t>
        </is>
      </c>
      <c r="U18" s="152" t="n"/>
      <c r="V18" s="151" t="n"/>
    </row>
    <row r="19">
      <c r="B19" s="166" t="n">
        <v>7</v>
      </c>
      <c r="C19" s="170" t="inlineStr">
        <is>
          <t>LAUDO</t>
        </is>
      </c>
      <c r="D19" s="169" t="n"/>
      <c r="F19" s="166" t="n">
        <v>8</v>
      </c>
      <c r="G19" s="173" t="inlineStr">
        <is>
          <t>(DISPONÍVEL)</t>
        </is>
      </c>
      <c r="H19" s="169" t="n"/>
      <c r="J19" s="215" t="n">
        <v>7</v>
      </c>
      <c r="K19" s="168" t="inlineStr">
        <is>
          <t>Ex.: BUCAREIN</t>
        </is>
      </c>
      <c r="L19" s="167" t="n"/>
      <c r="M19" s="171" t="n"/>
      <c r="N19" s="162" t="inlineStr">
        <is>
          <t>DRE</t>
        </is>
      </c>
      <c r="O19" s="161" t="inlineStr">
        <is>
          <t>DRENAGEM</t>
        </is>
      </c>
      <c r="P19" s="160" t="n"/>
      <c r="Q19" s="146" t="n"/>
      <c r="S19" s="166" t="inlineStr">
        <is>
          <t>FL</t>
        </is>
      </c>
      <c r="T19" s="161" t="inlineStr">
        <is>
          <t>FLUXOGRAMA</t>
        </is>
      </c>
      <c r="U19" s="160" t="n"/>
      <c r="V19" s="146" t="n"/>
    </row>
    <row r="20">
      <c r="B20" s="166" t="n">
        <v>8</v>
      </c>
      <c r="C20" s="170" t="inlineStr">
        <is>
          <t>AVAL. TÉC. PROJ. (ATP)</t>
        </is>
      </c>
      <c r="D20" s="172" t="n"/>
      <c r="F20" s="166" t="n">
        <v>9</v>
      </c>
      <c r="G20" s="170" t="inlineStr">
        <is>
          <t>OUTROS</t>
        </is>
      </c>
      <c r="H20" s="169" t="n"/>
      <c r="J20" s="215" t="n">
        <v>8</v>
      </c>
      <c r="K20" s="168" t="inlineStr">
        <is>
          <t>Ex.: ESPINHEROS</t>
        </is>
      </c>
      <c r="L20" s="167" t="n"/>
      <c r="M20" s="171" t="n"/>
      <c r="N20" s="162" t="inlineStr">
        <is>
          <t>GEO</t>
        </is>
      </c>
      <c r="O20" s="161" t="inlineStr">
        <is>
          <t>GEOMÉTRICO</t>
        </is>
      </c>
      <c r="P20" s="160" t="n"/>
      <c r="Q20" s="146" t="n"/>
      <c r="S20" s="166" t="inlineStr">
        <is>
          <t>LD</t>
        </is>
      </c>
      <c r="T20" s="161" t="inlineStr">
        <is>
          <t>LISTA DOCUMENTOS</t>
        </is>
      </c>
      <c r="U20" s="160" t="n"/>
      <c r="V20" s="146" t="n"/>
    </row>
    <row r="21">
      <c r="B21" s="166" t="n">
        <v>9</v>
      </c>
      <c r="C21" s="170" t="inlineStr">
        <is>
          <t>OUTROS</t>
        </is>
      </c>
      <c r="D21" s="169" t="n"/>
      <c r="H21" s="145" t="n"/>
      <c r="J21" s="215" t="n">
        <v>9</v>
      </c>
      <c r="K21" s="168" t="inlineStr">
        <is>
          <t>Ex.: VIGORELLI</t>
        </is>
      </c>
      <c r="L21" s="167" t="n"/>
      <c r="N21" s="162" t="inlineStr">
        <is>
          <t>ILU</t>
        </is>
      </c>
      <c r="O21" s="161" t="inlineStr">
        <is>
          <t>ILUMINAÇÃO</t>
        </is>
      </c>
      <c r="P21" s="160" t="n"/>
      <c r="Q21" s="146" t="n"/>
      <c r="S21" s="165" t="inlineStr">
        <is>
          <t>MC</t>
        </is>
      </c>
      <c r="T21" s="153" t="inlineStr">
        <is>
          <t>MEMÓRIA DE CÁLCULO</t>
        </is>
      </c>
      <c r="U21" s="152" t="n"/>
      <c r="V21" s="151" t="n"/>
    </row>
    <row r="22">
      <c r="H22" s="145" t="n"/>
      <c r="L22" s="144" t="n"/>
      <c r="N22" s="162" t="inlineStr">
        <is>
          <t>INT</t>
        </is>
      </c>
      <c r="O22" s="161" t="inlineStr">
        <is>
          <t>INTERFERÊNCIAS</t>
        </is>
      </c>
      <c r="P22" s="160" t="n"/>
      <c r="Q22" s="146" t="n"/>
      <c r="S22" s="165" t="inlineStr">
        <is>
          <t>MD</t>
        </is>
      </c>
      <c r="T22" s="153" t="inlineStr">
        <is>
          <t>MEMORIAL DESCRITIVO</t>
        </is>
      </c>
      <c r="U22" s="152" t="n"/>
      <c r="V22" s="151" t="n"/>
    </row>
    <row r="23">
      <c r="H23" s="145" t="n"/>
      <c r="L23" s="144" t="n"/>
      <c r="N23" s="162" t="inlineStr">
        <is>
          <t>OAE</t>
        </is>
      </c>
      <c r="O23" s="161" t="inlineStr">
        <is>
          <t>OBRA DE ARTE ESPECIAL</t>
        </is>
      </c>
      <c r="P23" s="160" t="n"/>
      <c r="Q23" s="146" t="n"/>
      <c r="S23" s="166" t="inlineStr">
        <is>
          <t>OX</t>
        </is>
      </c>
      <c r="T23" s="161" t="inlineStr">
        <is>
          <t>OPEX</t>
        </is>
      </c>
      <c r="U23" s="160" t="n"/>
      <c r="V23" s="146" t="n"/>
    </row>
    <row r="24">
      <c r="H24" s="145" t="n"/>
      <c r="L24" s="144" t="n"/>
      <c r="N24" s="162" t="inlineStr">
        <is>
          <t>PGM</t>
        </is>
      </c>
      <c r="O24" s="161" t="inlineStr">
        <is>
          <t>PAISAGISMO</t>
        </is>
      </c>
      <c r="P24" s="160" t="n"/>
      <c r="Q24" s="146" t="n"/>
      <c r="S24" s="165" t="inlineStr">
        <is>
          <t>PQ</t>
        </is>
      </c>
      <c r="T24" s="153" t="inlineStr">
        <is>
          <t>PLANILHA DE QUANTIDADES</t>
        </is>
      </c>
      <c r="U24" s="152" t="n"/>
      <c r="V24" s="151" t="n"/>
    </row>
    <row r="25">
      <c r="H25" s="145" t="n"/>
      <c r="L25" s="144" t="n"/>
      <c r="N25" s="162" t="inlineStr">
        <is>
          <t>PAV</t>
        </is>
      </c>
      <c r="O25" s="161" t="inlineStr">
        <is>
          <t>PAVIMENTAÇÃO</t>
        </is>
      </c>
      <c r="P25" s="160" t="n"/>
      <c r="Q25" s="146" t="n"/>
      <c r="S25" s="165" t="inlineStr">
        <is>
          <t>RL</t>
        </is>
      </c>
      <c r="T25" s="153" t="inlineStr">
        <is>
          <t>RELATÓRIO</t>
        </is>
      </c>
      <c r="U25" s="152" t="n"/>
      <c r="V25" s="151" t="n"/>
    </row>
    <row r="26" ht="12.6" customHeight="1">
      <c r="H26" s="145" t="n"/>
      <c r="L26" s="144" t="n"/>
      <c r="N26" s="162" t="inlineStr">
        <is>
          <t>SIN</t>
        </is>
      </c>
      <c r="O26" s="161" t="inlineStr">
        <is>
          <t>SINALIZAÇÃO</t>
        </is>
      </c>
      <c r="P26" s="160" t="n"/>
      <c r="Q26" s="146" t="n"/>
      <c r="S26" s="217" t="inlineStr">
        <is>
          <t>XX</t>
        </is>
      </c>
      <c r="T26" s="216" t="inlineStr">
        <is>
          <t>Disponivel</t>
        </is>
      </c>
      <c r="U26" s="147" t="n"/>
      <c r="V26" s="146" t="n"/>
    </row>
    <row r="27" ht="12.6" customHeight="1">
      <c r="H27" s="145" t="n"/>
      <c r="L27" s="144" t="n"/>
      <c r="N27" s="162" t="inlineStr">
        <is>
          <t>TER</t>
        </is>
      </c>
      <c r="O27" s="161" t="inlineStr">
        <is>
          <t>TERRAPLENAGEM</t>
        </is>
      </c>
      <c r="P27" s="160" t="n"/>
      <c r="Q27" s="146" t="n"/>
    </row>
    <row r="28">
      <c r="H28" s="145" t="n"/>
      <c r="L28" s="144" t="n"/>
      <c r="N28" s="162" t="inlineStr">
        <is>
          <t>LVT</t>
        </is>
      </c>
      <c r="O28" s="161" t="inlineStr">
        <is>
          <t>LEVANTAMENTOS</t>
        </is>
      </c>
      <c r="P28" s="160" t="n"/>
      <c r="Q28" s="146" t="n"/>
    </row>
    <row r="29">
      <c r="H29" s="145" t="n"/>
      <c r="L29" s="144" t="n"/>
      <c r="N29" s="159" t="inlineStr">
        <is>
          <t>DRA</t>
        </is>
      </c>
      <c r="O29" s="158" t="inlineStr">
        <is>
          <t>DRAGAGEM/DERROCAGEM</t>
        </is>
      </c>
      <c r="P29" s="157" t="n"/>
      <c r="Q29" s="164" t="n"/>
    </row>
    <row r="30" ht="12.6" customHeight="1">
      <c r="H30" s="145" t="n"/>
      <c r="L30" s="144" t="n"/>
      <c r="N30" s="159" t="inlineStr">
        <is>
          <t>QBR</t>
        </is>
      </c>
      <c r="O30" s="158" t="inlineStr">
        <is>
          <t>QUEBRA-MAR</t>
        </is>
      </c>
      <c r="P30" s="157" t="n"/>
      <c r="Q30" s="177" t="n"/>
    </row>
    <row r="31">
      <c r="H31" s="145" t="n"/>
      <c r="L31" s="144" t="n"/>
      <c r="N31" s="159" t="inlineStr">
        <is>
          <t>SNA</t>
        </is>
      </c>
      <c r="O31" s="158" t="inlineStr">
        <is>
          <t>SINALIZAÇÃO NÁUTICA</t>
        </is>
      </c>
      <c r="P31" s="157" t="n"/>
      <c r="Q31" s="177" t="n"/>
    </row>
    <row r="32">
      <c r="H32" s="145" t="n"/>
      <c r="L32" s="144" t="n"/>
      <c r="N32" s="162" t="inlineStr">
        <is>
          <t>ARQ</t>
        </is>
      </c>
      <c r="O32" s="161" t="inlineStr">
        <is>
          <t>ARQUITETURA</t>
        </is>
      </c>
      <c r="P32" s="160" t="n"/>
      <c r="Q32" s="146" t="n"/>
    </row>
    <row r="33">
      <c r="H33" s="145" t="n"/>
      <c r="L33" s="144" t="n"/>
      <c r="N33" s="162" t="inlineStr">
        <is>
          <t>AUT</t>
        </is>
      </c>
      <c r="O33" s="161" t="inlineStr">
        <is>
          <t>AUTOMAÇÃO</t>
        </is>
      </c>
      <c r="P33" s="160" t="n"/>
      <c r="Q33" s="146" t="n"/>
      <c r="V33" s="163" t="n"/>
    </row>
    <row r="34">
      <c r="H34" s="145" t="n"/>
      <c r="L34" s="144" t="n"/>
      <c r="N34" s="162" t="inlineStr">
        <is>
          <t>CTV</t>
        </is>
      </c>
      <c r="O34" s="161" t="inlineStr">
        <is>
          <t>CFTV/TELECOMUNICAÇÕES</t>
        </is>
      </c>
      <c r="P34" s="160" t="n"/>
      <c r="Q34" s="146" t="n"/>
      <c r="T34" s="163" t="n"/>
    </row>
    <row r="35" ht="12" customHeight="1">
      <c r="H35" s="145" t="n"/>
      <c r="L35" s="144" t="n"/>
      <c r="N35" s="162" t="inlineStr">
        <is>
          <t>ELE</t>
        </is>
      </c>
      <c r="O35" s="161" t="inlineStr">
        <is>
          <t>ELÉTRICA</t>
        </is>
      </c>
      <c r="P35" s="160" t="n"/>
      <c r="Q35" s="146" t="n"/>
      <c r="T35" s="163" t="n"/>
    </row>
    <row r="36" ht="12.6" customHeight="1">
      <c r="H36" s="145" t="n"/>
      <c r="L36" s="144" t="n"/>
      <c r="N36" s="162" t="inlineStr">
        <is>
          <t>HID</t>
        </is>
      </c>
      <c r="O36" s="161" t="inlineStr">
        <is>
          <t>HIDRÁULICA</t>
        </is>
      </c>
      <c r="P36" s="160" t="n"/>
      <c r="Q36" s="146" t="n"/>
      <c r="T36" s="163" t="n"/>
    </row>
    <row r="37">
      <c r="H37" s="145" t="n"/>
      <c r="L37" s="144" t="n"/>
      <c r="N37" s="162" t="inlineStr">
        <is>
          <t>LOG</t>
        </is>
      </c>
      <c r="O37" s="161" t="inlineStr">
        <is>
          <t>LÓGICA</t>
        </is>
      </c>
      <c r="P37" s="160" t="n"/>
      <c r="Q37" s="146" t="n"/>
    </row>
    <row r="38">
      <c r="H38" s="145" t="n"/>
      <c r="L38" s="144" t="n"/>
      <c r="N38" s="162" t="inlineStr">
        <is>
          <t>LUM</t>
        </is>
      </c>
      <c r="O38" s="161" t="inlineStr">
        <is>
          <t>LUMINOTÉCNICO</t>
        </is>
      </c>
      <c r="P38" s="160" t="n"/>
      <c r="Q38" s="146" t="n"/>
    </row>
    <row r="39" ht="12.6" customHeight="1">
      <c r="L39" s="144" t="n"/>
      <c r="N39" s="162" t="inlineStr">
        <is>
          <t>MEC</t>
        </is>
      </c>
      <c r="O39" s="161" t="inlineStr">
        <is>
          <t>MECÂNICA</t>
        </is>
      </c>
      <c r="P39" s="160" t="n"/>
      <c r="Q39" s="146" t="n"/>
    </row>
    <row r="40">
      <c r="J40" s="155" t="n"/>
      <c r="N40" s="162" t="inlineStr">
        <is>
          <t>SAN</t>
        </is>
      </c>
      <c r="O40" s="161" t="inlineStr">
        <is>
          <t>SANITÁRIO</t>
        </is>
      </c>
      <c r="P40" s="160" t="n"/>
      <c r="Q40" s="146" t="n"/>
    </row>
    <row r="41">
      <c r="J41" s="155" t="n"/>
      <c r="N41" s="162" t="inlineStr">
        <is>
          <t>SCI</t>
        </is>
      </c>
      <c r="O41" s="161" t="inlineStr">
        <is>
          <t>SPCI</t>
        </is>
      </c>
      <c r="P41" s="160" t="n"/>
      <c r="Q41" s="146" t="n"/>
    </row>
    <row r="42" ht="12.6" customHeight="1">
      <c r="J42" s="155" t="n"/>
      <c r="N42" s="159" t="inlineStr">
        <is>
          <t>SSO</t>
        </is>
      </c>
      <c r="O42" s="158" t="inlineStr">
        <is>
          <t>SEGURANÇA E SAÚDE OCUPACIONAL</t>
        </is>
      </c>
      <c r="P42" s="157" t="n"/>
      <c r="Q42" s="177" t="n"/>
    </row>
    <row r="43">
      <c r="J43" s="155" t="n"/>
      <c r="N43" s="154" t="inlineStr">
        <is>
          <t>GER</t>
        </is>
      </c>
      <c r="O43" s="153" t="inlineStr">
        <is>
          <t>GERAL</t>
        </is>
      </c>
      <c r="P43" s="152" t="n"/>
      <c r="Q43" s="151" t="n"/>
    </row>
    <row r="44">
      <c r="J44" s="150" t="n"/>
      <c r="N44" s="149" t="inlineStr">
        <is>
          <t>XXX</t>
        </is>
      </c>
      <c r="O44" s="148" t="inlineStr">
        <is>
          <t>(DISPONÍVEL)</t>
        </is>
      </c>
      <c r="P44" s="147" t="n"/>
      <c r="Q44" s="146" t="n"/>
    </row>
    <row r="45">
      <c r="S45" s="145" t="n"/>
    </row>
    <row r="46">
      <c r="I46" s="144" t="n"/>
      <c r="S46" s="145" t="n"/>
    </row>
    <row r="49">
      <c r="K49" s="144" t="n"/>
    </row>
    <row r="51">
      <c r="F51" s="145" t="n"/>
    </row>
    <row r="52">
      <c r="F52" s="145" t="n"/>
    </row>
  </sheetData>
  <mergeCells count="5">
    <mergeCell ref="N9:Q11"/>
    <mergeCell ref="S9:V11"/>
    <mergeCell ref="F9:H11"/>
    <mergeCell ref="J9:L11"/>
    <mergeCell ref="B9:D11"/>
  </mergeCells>
  <printOptions horizontalCentered="1"/>
  <pageMargins left="0.5118110236220472" right="0.5118110236220472" top="0.7874015748031497" bottom="0.7874015748031497" header="0.3149606299212598" footer="0.3149606299212598"/>
  <pageSetup orientation="landscape" paperSize="8" scale="2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A1:X26"/>
  <sheetViews>
    <sheetView tabSelected="1" workbookViewId="0">
      <selection activeCell="L5" sqref="L5"/>
    </sheetView>
  </sheetViews>
  <sheetFormatPr baseColWidth="8" defaultColWidth="8.7109375" defaultRowHeight="15"/>
  <cols>
    <col width="5" customWidth="1" style="234" min="1" max="1"/>
    <col width="26.7109375" customWidth="1" style="234" min="2" max="2"/>
    <col width="22.7109375" customWidth="1" style="234" min="3" max="3"/>
    <col width="15.28515625" customWidth="1" style="234" min="4" max="4"/>
    <col width="1.85546875" customWidth="1" style="234" min="5" max="5"/>
    <col width="4.7109375" customWidth="1" style="234" min="6" max="6"/>
    <col width="22.7109375" customWidth="1" style="234" min="7" max="7"/>
    <col width="2.28515625" customWidth="1" style="234" min="8" max="8"/>
    <col width="18.7109375" customWidth="1" style="234" min="9" max="9"/>
    <col width="3.7109375" customWidth="1" style="234" min="10" max="10"/>
    <col width="12.140625" customWidth="1" style="234" min="11" max="11"/>
    <col width="14.140625" customWidth="1" style="234" min="12" max="12"/>
    <col width="8.7109375" customWidth="1" style="234" min="13" max="14"/>
    <col width="2.85546875" customWidth="1" style="234" min="15" max="15"/>
    <col width="8.7109375" customWidth="1" style="234" min="16" max="16384"/>
  </cols>
  <sheetData>
    <row r="1" ht="39" customHeight="1">
      <c r="B1" s="263" t="n"/>
      <c r="C1" s="263" t="n"/>
      <c r="D1" s="263" t="n"/>
      <c r="E1" s="263" t="n"/>
      <c r="F1" s="263" t="n"/>
      <c r="G1" s="263" t="n"/>
    </row>
    <row r="2" ht="50.1" customHeight="1">
      <c r="A2" s="260" t="n"/>
      <c r="B2" s="224" t="n"/>
      <c r="C2" s="262" t="inlineStr">
        <is>
          <t>Descrição</t>
        </is>
      </c>
      <c r="D2" s="225" t="inlineStr">
        <is>
          <t>Cód</t>
        </is>
      </c>
      <c r="E2" s="226" t="n"/>
      <c r="F2" s="389" t="inlineStr">
        <is>
          <t>LEGENDA</t>
        </is>
      </c>
      <c r="G2" s="429" t="n"/>
      <c r="H2" s="235" t="n"/>
      <c r="I2" s="235" t="n"/>
      <c r="J2" s="219" t="n"/>
    </row>
    <row r="3" ht="22.5" customHeight="1">
      <c r="A3" s="260" t="n"/>
      <c r="B3" s="227" t="inlineStr">
        <is>
          <t xml:space="preserve">  Campo</t>
        </is>
      </c>
      <c r="C3" s="228" t="inlineStr">
        <is>
          <t>Preencher</t>
        </is>
      </c>
      <c r="D3" s="264" t="inlineStr">
        <is>
          <t>Resultado</t>
        </is>
      </c>
      <c r="E3" s="232" t="n"/>
      <c r="F3" s="241" t="n"/>
      <c r="G3" s="257" t="inlineStr">
        <is>
          <t>Preencher</t>
        </is>
      </c>
      <c r="H3" s="236" t="n"/>
      <c r="I3" s="242" t="n"/>
    </row>
    <row r="4" ht="22.5" customHeight="1">
      <c r="A4" s="260" t="n"/>
      <c r="B4" s="253" t="inlineStr">
        <is>
          <t xml:space="preserve">  Tipo de documento</t>
        </is>
      </c>
      <c r="C4" s="243" t="inlineStr">
        <is>
          <t>RELATÓRIO</t>
        </is>
      </c>
      <c r="D4" s="244">
        <f>IF($C4="","",IFERROR(INDEX('Estrutura (2027)'!$S$12:$S$100,MATCH($C4,'Estrutura (2027)'!$T$12:$T$100,0)),"?"))</f>
        <v/>
      </c>
      <c r="E4" s="245" t="n"/>
      <c r="F4" s="246" t="n"/>
      <c r="G4" s="258" t="inlineStr">
        <is>
          <t>Resultado (Não alterar)</t>
        </is>
      </c>
      <c r="H4" s="240" t="n"/>
      <c r="I4" s="240" t="n"/>
      <c r="J4" s="245" t="n"/>
      <c r="K4" s="247" t="n"/>
      <c r="L4" s="247" t="n"/>
      <c r="M4" s="247" t="n"/>
      <c r="N4" s="247" t="n"/>
      <c r="O4" s="247" t="n"/>
      <c r="P4" s="247" t="n"/>
      <c r="Q4" s="247" t="n"/>
      <c r="R4" s="247" t="n"/>
      <c r="S4" s="247" t="n"/>
      <c r="T4" s="247" t="n"/>
      <c r="U4" s="247" t="n"/>
      <c r="V4" s="247" t="n"/>
      <c r="W4" s="247" t="n"/>
      <c r="X4" s="248" t="n"/>
    </row>
    <row r="5" ht="26.1" customHeight="1">
      <c r="A5" s="260" t="n"/>
      <c r="B5" s="254" t="inlineStr">
        <is>
          <t xml:space="preserve">  Fase</t>
        </is>
      </c>
      <c r="C5" s="237" t="inlineStr">
        <is>
          <t>EXECUTIVO</t>
        </is>
      </c>
      <c r="D5" s="230">
        <f>IF($C5="","",IFERROR(INDEX('Estrutura (2027)'!$B$12:$B$100,MATCH($C5,'Estrutura (2027)'!$C$12:$C$100,0)),"?"))</f>
        <v/>
      </c>
      <c r="E5" s="220" t="n"/>
      <c r="F5" s="220" t="n"/>
      <c r="G5" s="259" t="n"/>
      <c r="H5" s="221" t="n"/>
      <c r="I5" s="221" t="n"/>
      <c r="J5" s="220" t="n"/>
      <c r="X5" s="249" t="n"/>
    </row>
    <row r="6" ht="26.1" customHeight="1">
      <c r="A6" s="260" t="n"/>
      <c r="B6" s="254" t="inlineStr">
        <is>
          <t xml:space="preserve">  Macro área</t>
        </is>
      </c>
      <c r="C6" s="237" t="inlineStr">
        <is>
          <t>PORTO</t>
        </is>
      </c>
      <c r="D6" s="230">
        <f>IF($C6="","",IFERROR(INDEX('Estrutura (2027)'!$F$12:$F$100,MATCH($C6,'Estrutura (2027)'!$G$12:$G$100,0)),"?"))</f>
        <v/>
      </c>
      <c r="G6" s="260" t="n"/>
      <c r="X6" s="249" t="n"/>
    </row>
    <row r="7" ht="26.1" customHeight="1">
      <c r="A7" s="260" t="n"/>
      <c r="B7" s="254" t="inlineStr">
        <is>
          <t xml:space="preserve">  Código área</t>
        </is>
      </c>
      <c r="C7" s="237" t="inlineStr">
        <is>
          <t>GERAL</t>
        </is>
      </c>
      <c r="D7" s="230">
        <f>IF($C7="","",IFERROR(INDEX('Estrutura (2027)'!$J$12:$J$100,MATCH($C7,'Estrutura (2027)'!$K$12:$K$100,0)),"?"))</f>
        <v/>
      </c>
      <c r="G7" s="260" t="n"/>
      <c r="X7" s="249" t="n"/>
    </row>
    <row r="8" ht="26.1" customHeight="1">
      <c r="A8" s="260" t="n"/>
      <c r="B8" s="254" t="inlineStr">
        <is>
          <t xml:space="preserve">  Disciplina</t>
        </is>
      </c>
      <c r="C8" s="237" t="inlineStr">
        <is>
          <t>CIVIL</t>
        </is>
      </c>
      <c r="D8" s="230">
        <f>IF($C8="","",IFERROR(INDEX('Estrutura (2027)'!$N$12:$N$100,MATCH($C8,'Estrutura (2027)'!$O$12:$O$100,0)),"?"))</f>
        <v/>
      </c>
      <c r="F8" s="234" t="n"/>
      <c r="G8" s="260" t="n"/>
      <c r="H8" s="234" t="n"/>
      <c r="I8" s="234" t="n"/>
      <c r="J8" s="234" t="n"/>
      <c r="K8" s="234" t="n"/>
      <c r="L8" s="234" t="n"/>
      <c r="M8" s="234" t="n"/>
      <c r="N8" s="234" t="n"/>
      <c r="O8" s="234" t="n"/>
      <c r="X8" s="249" t="n"/>
    </row>
    <row r="9" ht="26.1" customHeight="1">
      <c r="A9" s="260" t="n"/>
      <c r="B9" s="254" t="inlineStr">
        <is>
          <t xml:space="preserve">  Número faixa do documento</t>
        </is>
      </c>
      <c r="C9" s="238" t="n">
        <v>1</v>
      </c>
      <c r="D9" s="231">
        <f>IF($C$9="","",IF(LEN($C$9)=1,"0000"&amp;$C$9,IF(LEN($C$9)=2,"000"&amp;$C$9,IF(LEN($C$9)=3,"00"&amp;$C$9,IF(LEN($C$9)=4,"0"&amp;$C$9,$C$9)))))</f>
        <v/>
      </c>
      <c r="F9" s="222" t="n"/>
      <c r="G9" s="261" t="n"/>
      <c r="H9" s="222" t="n"/>
      <c r="I9" s="222" t="n"/>
      <c r="J9" s="222" t="n"/>
      <c r="K9" s="387" t="n"/>
      <c r="X9" s="249" t="n"/>
    </row>
    <row r="10" ht="26.1" customHeight="1">
      <c r="A10" s="260" t="n"/>
      <c r="B10" s="254" t="inlineStr">
        <is>
          <t xml:space="preserve">  Número do projeto</t>
        </is>
      </c>
      <c r="C10" s="237" t="n">
        <v>2516</v>
      </c>
      <c r="D10" s="230">
        <f>IF($C$10="","",IF(LEN($C$10)=1,"000"&amp;$C$10,IF(LEN($C$10)=2,"00"&amp;$C$10,IF(LEN($C$10)=3,"0"&amp;$C$10,$C$10))))</f>
        <v/>
      </c>
      <c r="F10" s="222" t="n"/>
      <c r="G10" s="261" t="n"/>
      <c r="H10" s="222" t="n"/>
      <c r="I10" s="222" t="n"/>
      <c r="J10" s="222" t="n"/>
      <c r="X10" s="249" t="n"/>
    </row>
    <row r="11" ht="23.25" customHeight="1">
      <c r="A11" s="260" t="n"/>
      <c r="B11" s="255" t="inlineStr">
        <is>
          <t xml:space="preserve">  Revisão</t>
        </is>
      </c>
      <c r="C11" s="239" t="n">
        <v>12</v>
      </c>
      <c r="D11" s="229">
        <f>IF($C$11="","","R"&amp;C11)</f>
        <v/>
      </c>
      <c r="F11" s="222" t="n"/>
      <c r="G11" s="261" t="n"/>
      <c r="H11" s="222" t="n"/>
      <c r="I11" s="222" t="n"/>
      <c r="J11" s="222" t="n"/>
      <c r="R11" s="251" t="n"/>
      <c r="X11" s="249" t="n"/>
    </row>
    <row r="12" ht="27" customHeight="1">
      <c r="A12" s="260" t="n"/>
      <c r="B12" s="383" t="inlineStr">
        <is>
          <t>Nomenclatura Gerada</t>
        </is>
      </c>
      <c r="G12" s="430" t="n"/>
      <c r="X12" s="249" t="n"/>
    </row>
    <row r="13" ht="39.95" customHeight="1">
      <c r="B13" s="431">
        <f>IF(OR($D$4="",$D$5="",$D$6="",$D$7="",$D$8="",$D$9="",$D$10=""),"PREENCHER TODOS OS CAMPOS EM CINZA",CONCATENATE("IFS-",$D$10,"-",$D$5,$D$6,$D$7,"-",$D$8,"-",$D$4,"-",$D$9,"_",$D$11))</f>
        <v/>
      </c>
      <c r="C13" s="432" t="n"/>
      <c r="D13" s="432" t="n"/>
      <c r="E13" s="432" t="n"/>
      <c r="F13" s="432" t="n"/>
      <c r="G13" s="433" t="n"/>
      <c r="H13" s="233" t="n"/>
      <c r="I13" s="233" t="n"/>
      <c r="J13" s="233" t="n"/>
      <c r="X13" s="249" t="n"/>
    </row>
    <row r="14" ht="9.949999999999999" customHeight="1">
      <c r="B14" s="250" t="n"/>
      <c r="C14" s="220" t="n"/>
      <c r="D14" s="220" t="n"/>
      <c r="E14" s="220" t="n"/>
      <c r="F14" s="220" t="n"/>
      <c r="G14" s="220" t="n"/>
      <c r="H14" s="220" t="n"/>
      <c r="I14" s="220" t="n"/>
      <c r="J14" s="220" t="n"/>
      <c r="X14" s="249" t="n"/>
    </row>
    <row r="15" ht="36" customHeight="1">
      <c r="B15" s="380" t="n"/>
      <c r="C15" s="434" t="n"/>
      <c r="D15" s="434" t="n"/>
      <c r="E15" s="434" t="n"/>
      <c r="F15" s="434" t="n"/>
      <c r="G15" s="434" t="n"/>
      <c r="H15" s="434" t="n"/>
      <c r="I15" s="434" t="n"/>
      <c r="J15" s="434" t="n"/>
      <c r="K15" s="251" t="n"/>
      <c r="L15" s="251" t="n"/>
      <c r="M15" s="251" t="n"/>
      <c r="N15" s="251" t="n"/>
      <c r="O15" s="251" t="n"/>
      <c r="P15" s="251" t="n"/>
      <c r="Q15" s="251" t="n"/>
      <c r="R15" s="251" t="n"/>
      <c r="S15" s="251" t="n"/>
      <c r="T15" s="251" t="n"/>
      <c r="U15" s="251" t="n"/>
      <c r="V15" s="251" t="n"/>
      <c r="W15" s="251" t="n"/>
      <c r="X15" s="252" t="n"/>
    </row>
    <row r="16" ht="8.1" customHeight="1"/>
    <row r="17" ht="36" customHeight="1"/>
    <row r="18" ht="8.1" customHeight="1"/>
    <row r="26">
      <c r="K26" s="223" t="n"/>
    </row>
  </sheetData>
  <mergeCells count="5">
    <mergeCell ref="B15:J15"/>
    <mergeCell ref="F2:G2"/>
    <mergeCell ref="B12:G12"/>
    <mergeCell ref="B13:G13"/>
    <mergeCell ref="K9:O11"/>
  </mergeCells>
  <pageMargins left="0.511811024" right="0.511811024" top="0.787401575" bottom="0.787401575" header="0.31496062" footer="0.31496062"/>
  <pageSetup orientation="portrait" paperSize="9" horizontalDpi="4294967293" verticalDpi="4294967293"/>
</worksheet>
</file>

<file path=xl/worksheets/sheet5.xml><?xml version="1.0" encoding="utf-8"?>
<worksheet xmlns="http://schemas.openxmlformats.org/spreadsheetml/2006/main">
  <sheetPr codeName="Planilha3">
    <outlinePr summaryBelow="1" summaryRight="1"/>
    <pageSetUpPr/>
  </sheetPr>
  <dimension ref="A1:R255"/>
  <sheetViews>
    <sheetView showGridLines="0" zoomScale="115" zoomScaleNormal="115" zoomScaleSheetLayoutView="100" zoomScalePageLayoutView="85" workbookViewId="0">
      <selection activeCell="S25" sqref="S25"/>
    </sheetView>
  </sheetViews>
  <sheetFormatPr baseColWidth="8" defaultColWidth="8" defaultRowHeight="12.75"/>
  <cols>
    <col width="4.5703125" customWidth="1" style="16" min="1" max="1"/>
    <col width="5" customWidth="1" style="16" min="2" max="2"/>
    <col width="8" customWidth="1" style="16" min="3" max="3"/>
    <col width="6.5703125" customWidth="1" style="16" min="4" max="4"/>
    <col width="3.7109375" customWidth="1" style="16" min="5" max="5"/>
    <col width="7.42578125" customWidth="1" style="16" min="6" max="6"/>
    <col width="5.85546875" customWidth="1" style="16" min="7" max="7"/>
    <col width="6.7109375" customWidth="1" style="16" min="8" max="8"/>
    <col width="7.7109375" customWidth="1" style="16" min="9" max="9"/>
    <col width="3.28515625" customWidth="1" style="16" min="10" max="11"/>
    <col width="3.85546875" customWidth="1" style="16" min="12" max="12"/>
    <col width="5.42578125" customWidth="1" style="16" min="13" max="13"/>
    <col width="4.140625" customWidth="1" style="16" min="14" max="14"/>
    <col width="4" customWidth="1" style="16" min="15" max="15"/>
    <col width="4.5703125" customWidth="1" style="16" min="16" max="17"/>
    <col width="7.5703125" customWidth="1" style="16" min="18" max="18"/>
    <col width="8" customWidth="1" style="16" min="19" max="19"/>
    <col width="8" customWidth="1" style="16" min="20" max="16384"/>
  </cols>
  <sheetData>
    <row r="1" ht="26.1" customHeight="1">
      <c r="A1" s="411" t="inlineStr">
        <is>
          <t>LOGO CLIENTE</t>
        </is>
      </c>
      <c r="B1" s="352" t="n"/>
      <c r="C1" s="352" t="n"/>
      <c r="D1" s="352" t="n"/>
      <c r="E1" s="412" t="n"/>
      <c r="F1" s="420" t="inlineStr">
        <is>
          <t>NOME DO PROJETO</t>
        </is>
      </c>
      <c r="G1" s="421" t="n"/>
      <c r="H1" s="421" t="n"/>
      <c r="I1" s="421" t="n"/>
      <c r="J1" s="421" t="n"/>
      <c r="K1" s="421" t="n"/>
      <c r="L1" s="422" t="n"/>
      <c r="M1" s="14" t="n"/>
      <c r="N1" s="14" t="n"/>
      <c r="O1" s="14" t="n"/>
      <c r="P1" s="14" t="n"/>
      <c r="Q1" s="14" t="n"/>
      <c r="R1" s="15" t="n"/>
    </row>
    <row r="2" ht="24.4" customHeight="1">
      <c r="A2" s="413" t="n"/>
      <c r="B2" s="414" t="n"/>
      <c r="C2" s="414" t="n"/>
      <c r="D2" s="414" t="n"/>
      <c r="E2" s="415" t="n"/>
      <c r="F2" s="423" t="n"/>
      <c r="G2" s="414" t="n"/>
      <c r="H2" s="414" t="n"/>
      <c r="I2" s="414" t="n"/>
      <c r="J2" s="414" t="n"/>
      <c r="K2" s="414" t="n"/>
      <c r="L2" s="415" t="n"/>
      <c r="M2" s="17" t="n"/>
      <c r="N2" s="17" t="n"/>
      <c r="O2" s="17" t="n"/>
      <c r="P2" s="17" t="n"/>
      <c r="Q2" s="17" t="n"/>
      <c r="R2" s="18" t="n"/>
    </row>
    <row r="3" ht="9.75" customHeight="1">
      <c r="A3" s="19" t="n"/>
      <c r="B3" s="19" t="n"/>
      <c r="C3" s="19" t="n"/>
      <c r="D3" s="19" t="n"/>
      <c r="E3" s="19" t="n"/>
      <c r="F3" s="398" t="inlineStr">
        <is>
          <t>area_e_contratada</t>
        </is>
      </c>
      <c r="G3" s="341" t="n"/>
      <c r="H3" s="341" t="n"/>
      <c r="I3" s="341" t="n"/>
      <c r="J3" s="398" t="inlineStr">
        <is>
          <t>projeto</t>
        </is>
      </c>
      <c r="K3" s="341" t="n"/>
      <c r="L3" s="341" t="n"/>
      <c r="M3" s="341" t="n"/>
      <c r="N3" s="341" t="n"/>
      <c r="O3" s="341" t="n"/>
      <c r="P3" s="341" t="n"/>
      <c r="Q3" s="341" t="n"/>
      <c r="R3" s="341" t="n"/>
    </row>
    <row r="4" ht="18.2" customHeight="1">
      <c r="A4" s="416" t="inlineStr">
        <is>
          <t>GUIA DE REMESSA DE DOCUMENTOS</t>
        </is>
      </c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401" t="n"/>
    </row>
    <row r="5" ht="9.75" customHeight="1">
      <c r="J5" s="20" t="n"/>
      <c r="Q5" s="21" t="n"/>
    </row>
    <row r="6" ht="15" customFormat="1" customHeight="1" s="397">
      <c r="A6" s="400" t="inlineStr">
        <is>
          <t>PARA (DESTINATÁRIO)</t>
        </is>
      </c>
      <c r="B6" s="392" t="n"/>
      <c r="C6" s="392" t="n"/>
      <c r="D6" s="392" t="n"/>
      <c r="E6" s="392" t="n"/>
      <c r="F6" s="392" t="n"/>
      <c r="G6" s="392" t="n"/>
      <c r="H6" s="392" t="n"/>
      <c r="I6" s="392" t="n"/>
      <c r="J6" s="401" t="n"/>
      <c r="L6" s="400" t="inlineStr">
        <is>
          <t>DATA DE ENVIO</t>
        </is>
      </c>
      <c r="M6" s="392" t="n"/>
      <c r="N6" s="392" t="n"/>
      <c r="O6" s="392" t="n"/>
      <c r="P6" s="392" t="n"/>
      <c r="Q6" s="392" t="n"/>
      <c r="R6" s="401" t="n"/>
    </row>
    <row r="7" ht="15" customFormat="1" customHeight="1" s="397">
      <c r="A7" s="407" t="n"/>
      <c r="B7" s="392" t="n"/>
      <c r="C7" s="392" t="n"/>
      <c r="D7" s="392" t="n"/>
      <c r="E7" s="392" t="n"/>
      <c r="F7" s="392" t="n"/>
      <c r="G7" s="392" t="n"/>
      <c r="H7" s="392" t="n"/>
      <c r="I7" s="392" t="n"/>
      <c r="J7" s="401" t="n"/>
      <c r="L7" s="410" t="n"/>
      <c r="M7" s="392" t="n"/>
      <c r="N7" s="392" t="n"/>
      <c r="O7" s="392" t="n"/>
      <c r="P7" s="392" t="n"/>
      <c r="Q7" s="392" t="n"/>
      <c r="R7" s="401" t="n"/>
    </row>
    <row r="8" ht="9.75" customFormat="1" customHeight="1" s="397">
      <c r="A8" s="402" t="inlineStr">
        <is>
          <t>nome_destinatario</t>
        </is>
      </c>
      <c r="J8" s="23" t="n"/>
      <c r="L8" s="402" t="inlineStr">
        <is>
          <t>data_envio</t>
        </is>
      </c>
    </row>
    <row r="9" ht="15" customFormat="1" customHeight="1" s="397">
      <c r="A9" s="400" t="inlineStr">
        <is>
          <t>COORDENADOR</t>
        </is>
      </c>
      <c r="B9" s="392" t="n"/>
      <c r="C9" s="392" t="n"/>
      <c r="D9" s="392" t="n"/>
      <c r="E9" s="392" t="n"/>
      <c r="F9" s="392" t="n"/>
      <c r="G9" s="392" t="n"/>
      <c r="H9" s="392" t="n"/>
      <c r="I9" s="392" t="n"/>
      <c r="J9" s="401" t="n"/>
      <c r="L9" s="400" t="inlineStr">
        <is>
          <t>NÚMERO DA GRD</t>
        </is>
      </c>
      <c r="M9" s="392" t="n"/>
      <c r="N9" s="392" t="n"/>
      <c r="O9" s="392" t="n"/>
      <c r="P9" s="392" t="n"/>
      <c r="Q9" s="392" t="n"/>
      <c r="R9" s="401" t="n"/>
    </row>
    <row r="10" ht="15" customFormat="1" customHeight="1" s="397">
      <c r="A10" s="407" t="n"/>
      <c r="B10" s="392" t="n"/>
      <c r="C10" s="392" t="n"/>
      <c r="D10" s="392" t="n"/>
      <c r="E10" s="392" t="n"/>
      <c r="F10" s="392" t="n"/>
      <c r="G10" s="392" t="n"/>
      <c r="H10" s="392" t="n"/>
      <c r="I10" s="392" t="n"/>
      <c r="J10" s="401" t="n"/>
      <c r="L10" s="418" t="inlineStr">
        <is>
          <t>IFS-GRD-00XX-XXX</t>
        </is>
      </c>
      <c r="M10" s="392" t="n"/>
      <c r="N10" s="392" t="n"/>
      <c r="O10" s="392" t="n"/>
      <c r="P10" s="392" t="n"/>
      <c r="Q10" s="392" t="n"/>
      <c r="R10" s="401" t="n"/>
    </row>
    <row r="11" ht="9.75" customFormat="1" customHeight="1" s="397">
      <c r="A11" s="406" t="inlineStr">
        <is>
          <t>nome_coordenador</t>
        </is>
      </c>
      <c r="B11" s="361" t="n"/>
      <c r="C11" s="361" t="n"/>
      <c r="D11" s="361" t="n"/>
      <c r="E11" s="361" t="n"/>
      <c r="F11" s="361" t="n"/>
      <c r="G11" s="361" t="n"/>
      <c r="H11" s="361" t="n"/>
      <c r="I11" s="361" t="n"/>
      <c r="J11" s="24" t="n"/>
      <c r="K11" s="406" t="inlineStr">
        <is>
          <t>numero_vale</t>
        </is>
      </c>
      <c r="L11" s="361" t="n"/>
      <c r="M11" s="361" t="n"/>
      <c r="N11" s="361" t="n"/>
      <c r="O11" s="361" t="n"/>
      <c r="P11" s="361" t="n"/>
      <c r="Q11" s="24" t="n"/>
      <c r="R11" s="24" t="n"/>
    </row>
    <row r="12" ht="9.75" customFormat="1" customHeight="1" s="397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</row>
    <row r="13" ht="15" customFormat="1" customHeight="1" s="397">
      <c r="A13" s="409" t="inlineStr">
        <is>
          <t>TIPO DE EMISSÃO</t>
        </is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3" t="n"/>
    </row>
    <row r="14" ht="15" customFormat="1" customHeight="1" s="397">
      <c r="A14" s="404" t="inlineStr">
        <is>
          <t>(A) PRELIMINAR</t>
        </is>
      </c>
      <c r="B14" s="352" t="n"/>
      <c r="C14" s="352" t="n"/>
      <c r="D14" s="352" t="n"/>
      <c r="E14" s="352" t="n"/>
      <c r="F14" s="353" t="n"/>
      <c r="G14" s="404" t="inlineStr">
        <is>
          <t>(D) PARA COTAÇÃO</t>
        </is>
      </c>
      <c r="H14" s="352" t="n"/>
      <c r="I14" s="352" t="n"/>
      <c r="J14" s="352" t="n"/>
      <c r="K14" s="352" t="n"/>
      <c r="L14" s="353" t="n"/>
      <c r="M14" s="404" t="inlineStr">
        <is>
          <t>(G) CONFORME CONSTRUIDO</t>
        </is>
      </c>
      <c r="N14" s="352" t="n"/>
      <c r="O14" s="352" t="n"/>
      <c r="P14" s="352" t="n"/>
      <c r="Q14" s="352" t="n"/>
      <c r="R14" s="353" t="n"/>
    </row>
    <row r="15" ht="15" customFormat="1" customHeight="1" s="397">
      <c r="A15" s="396" t="inlineStr">
        <is>
          <t>(B) PARA COMENTÁRIOS</t>
        </is>
      </c>
      <c r="F15" s="305" t="n"/>
      <c r="G15" s="396" t="inlineStr">
        <is>
          <t>(E) PARA CONSTRUÇÃO</t>
        </is>
      </c>
      <c r="L15" s="305" t="n"/>
      <c r="M15" s="396" t="inlineStr">
        <is>
          <t>(H) CANCELADO</t>
        </is>
      </c>
      <c r="R15" s="305" t="n"/>
    </row>
    <row r="16" ht="15" customFormat="1" customHeight="1" s="397">
      <c r="A16" s="408" t="inlineStr">
        <is>
          <t>(C) PARA CONHECIMENTO</t>
        </is>
      </c>
      <c r="B16" s="361" t="n"/>
      <c r="C16" s="361" t="n"/>
      <c r="D16" s="361" t="n"/>
      <c r="E16" s="361" t="n"/>
      <c r="F16" s="362" t="n"/>
      <c r="G16" s="408" t="inlineStr">
        <is>
          <t>(F) CONFORME COMPRADO</t>
        </is>
      </c>
      <c r="H16" s="361" t="n"/>
      <c r="I16" s="361" t="n"/>
      <c r="J16" s="361" t="n"/>
      <c r="K16" s="361" t="n"/>
      <c r="L16" s="362" t="n"/>
      <c r="M16" s="408" t="inlineStr">
        <is>
          <t>(I) APROVADO</t>
        </is>
      </c>
      <c r="N16" s="361" t="n"/>
      <c r="O16" s="361" t="n"/>
      <c r="P16" s="361" t="n"/>
      <c r="Q16" s="361" t="n"/>
      <c r="R16" s="362" t="n"/>
    </row>
    <row r="17" ht="9.75" customFormat="1" customHeight="1" s="397">
      <c r="A17" s="390" t="n"/>
      <c r="B17" s="341" t="n"/>
      <c r="C17" s="341" t="n"/>
      <c r="D17" s="341" t="n"/>
      <c r="E17" s="341" t="n"/>
      <c r="F17" s="341" t="n"/>
      <c r="G17" s="341" t="n"/>
      <c r="H17" s="341" t="n"/>
      <c r="I17" s="341" t="n"/>
      <c r="J17" s="341" t="n"/>
      <c r="K17" s="341" t="n"/>
      <c r="L17" s="341" t="n"/>
      <c r="M17" s="341" t="n"/>
      <c r="N17" s="341" t="n"/>
      <c r="O17" s="341" t="n"/>
      <c r="P17" s="341" t="n"/>
      <c r="Q17" s="341" t="n"/>
      <c r="R17" s="341" t="n"/>
    </row>
    <row r="18" ht="15" customFormat="1" customHeight="1" s="397">
      <c r="A18" s="403" t="inlineStr">
        <is>
          <t>OBSERVAÇÕES</t>
        </is>
      </c>
      <c r="B18" s="341" t="n"/>
      <c r="C18" s="341" t="n"/>
      <c r="D18" s="341" t="n"/>
      <c r="E18" s="341" t="n"/>
      <c r="F18" s="341" t="n"/>
      <c r="G18" s="341" t="n"/>
      <c r="H18" s="341" t="n"/>
      <c r="I18" s="341" t="n"/>
      <c r="J18" s="341" t="n"/>
      <c r="K18" s="341" t="n"/>
      <c r="L18" s="341" t="n"/>
      <c r="M18" s="341" t="n"/>
      <c r="N18" s="341" t="n"/>
      <c r="O18" s="341" t="n"/>
      <c r="P18" s="341" t="n"/>
      <c r="Q18" s="341" t="n"/>
      <c r="R18" s="342" t="n"/>
    </row>
    <row r="19" ht="15" customFormat="1" customHeight="1" s="397">
      <c r="A19" s="399" t="n"/>
      <c r="B19" s="352" t="n"/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3" t="n"/>
    </row>
    <row r="20" ht="15" customFormat="1" customHeight="1" s="397">
      <c r="A20" s="358" t="n"/>
      <c r="R20" s="305" t="n"/>
    </row>
    <row r="21" ht="15" customFormat="1" customHeight="1" s="397">
      <c r="A21" s="360" t="n"/>
      <c r="B21" s="361" t="n"/>
      <c r="C21" s="361" t="n"/>
      <c r="D21" s="361" t="n"/>
      <c r="E21" s="361" t="n"/>
      <c r="F21" s="361" t="n"/>
      <c r="G21" s="361" t="n"/>
      <c r="H21" s="361" t="n"/>
      <c r="I21" s="361" t="n"/>
      <c r="J21" s="361" t="n"/>
      <c r="K21" s="361" t="n"/>
      <c r="L21" s="361" t="n"/>
      <c r="M21" s="361" t="n"/>
      <c r="N21" s="361" t="n"/>
      <c r="O21" s="361" t="n"/>
      <c r="P21" s="361" t="n"/>
      <c r="Q21" s="361" t="n"/>
      <c r="R21" s="362" t="n"/>
    </row>
    <row r="22" ht="12" customFormat="1" customHeight="1" s="397">
      <c r="A22" s="405" t="n"/>
      <c r="B22" s="352" t="n"/>
      <c r="C22" s="352" t="n"/>
      <c r="D22" s="352" t="n"/>
      <c r="E22" s="352" t="n"/>
      <c r="F22" s="352" t="n"/>
      <c r="G22" s="352" t="n"/>
      <c r="H22" s="352" t="n"/>
      <c r="I22" s="352" t="n"/>
      <c r="J22" s="352" t="n"/>
      <c r="K22" s="352" t="n"/>
      <c r="L22" s="352" t="n"/>
      <c r="M22" s="352" t="n"/>
      <c r="N22" s="352" t="n"/>
      <c r="O22" s="352" t="n"/>
      <c r="P22" s="352" t="n"/>
      <c r="Q22" s="352" t="n"/>
      <c r="R22" s="352" t="n"/>
    </row>
    <row r="23" hidden="1" ht="67.5" customFormat="1" customHeight="1" s="397">
      <c r="A23" s="26" t="inlineStr">
        <is>
          <t>item</t>
        </is>
      </c>
      <c r="B23" s="395" t="inlineStr">
        <is>
          <t>numero_vale</t>
        </is>
      </c>
      <c r="C23" s="361" t="n"/>
      <c r="D23" s="361" t="n"/>
      <c r="E23" s="395" t="inlineStr">
        <is>
          <t>numero_vale_antigo</t>
        </is>
      </c>
      <c r="F23" s="361" t="n"/>
      <c r="G23" s="361" t="n"/>
      <c r="H23" s="395" t="inlineStr">
        <is>
          <t>title</t>
        </is>
      </c>
      <c r="I23" s="361" t="n"/>
      <c r="J23" s="361" t="n"/>
      <c r="K23" s="361" t="n"/>
      <c r="L23" s="26" t="inlineStr">
        <is>
          <t>revisao</t>
        </is>
      </c>
      <c r="M23" s="27" t="inlineStr">
        <is>
          <t>sigla_tipo_emissao</t>
        </is>
      </c>
      <c r="N23" s="27" t="inlineStr">
        <is>
          <t>nome_formato</t>
        </is>
      </c>
      <c r="O23" s="27" t="inlineStr">
        <is>
          <t>numero_paginas</t>
        </is>
      </c>
      <c r="P23" s="26" t="inlineStr">
        <is>
          <t>quantidade_copias</t>
        </is>
      </c>
      <c r="Q23" s="395" t="inlineStr">
        <is>
          <t>suporte_transmissao</t>
        </is>
      </c>
      <c r="R23" s="361" t="n"/>
    </row>
    <row r="24" ht="15" customFormat="1" customHeight="1" s="397">
      <c r="A24" s="400" t="inlineStr">
        <is>
          <t xml:space="preserve">RELAÇÃO DE DOCUMENTOS </t>
        </is>
      </c>
      <c r="B24" s="392" t="n"/>
      <c r="C24" s="392" t="n"/>
      <c r="D24" s="392" t="n"/>
      <c r="E24" s="392" t="n"/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2" t="n"/>
      <c r="O24" s="392" t="n"/>
      <c r="P24" s="392" t="n"/>
      <c r="Q24" s="392" t="n"/>
      <c r="R24" s="401" t="n"/>
    </row>
    <row r="25" ht="28.5" customFormat="1" customHeight="1" s="397">
      <c r="A25" s="28" t="inlineStr">
        <is>
          <t>ITEM</t>
        </is>
      </c>
      <c r="B25" s="419" t="inlineStr">
        <is>
          <t>No. DOC</t>
        </is>
      </c>
      <c r="C25" s="392" t="n"/>
      <c r="D25" s="401" t="n"/>
      <c r="E25" s="417" t="inlineStr">
        <is>
          <t>TÍTULO DO DOCUMENTO</t>
        </is>
      </c>
      <c r="F25" s="341" t="n"/>
      <c r="G25" s="341" t="n"/>
      <c r="H25" s="341" t="n"/>
      <c r="I25" s="341" t="n"/>
      <c r="J25" s="341" t="n"/>
      <c r="K25" s="341" t="n"/>
      <c r="L25" s="341" t="n"/>
      <c r="M25" s="341" t="n"/>
      <c r="N25" s="341" t="n"/>
      <c r="O25" s="342" t="n"/>
      <c r="P25" s="28" t="inlineStr">
        <is>
          <t>REV</t>
        </is>
      </c>
      <c r="Q25" s="28" t="inlineStr">
        <is>
          <t>TE</t>
        </is>
      </c>
      <c r="R25" s="28" t="inlineStr">
        <is>
          <t>FORMATO</t>
        </is>
      </c>
    </row>
    <row r="26" ht="45" customFormat="1" customHeight="1" s="397">
      <c r="A26" s="29" t="n"/>
      <c r="B26" s="394" t="n"/>
      <c r="C26" s="392" t="n"/>
      <c r="D26" s="393" t="n"/>
      <c r="E26" s="391">
        <f>IF(B26="","",IFERROR(VLOOKUP(B26,LD!$B:$J,2,FALSE),""))</f>
        <v/>
      </c>
      <c r="F26" s="392" t="n"/>
      <c r="G26" s="392" t="n"/>
      <c r="H26" s="392" t="n"/>
      <c r="I26" s="392" t="n"/>
      <c r="J26" s="392" t="n"/>
      <c r="K26" s="392" t="n"/>
      <c r="L26" s="392" t="n"/>
      <c r="M26" s="392" t="n"/>
      <c r="N26" s="392" t="n"/>
      <c r="O26" s="393" t="n"/>
      <c r="P26" s="30" t="n"/>
      <c r="Q26" s="30" t="n"/>
      <c r="R26" s="31">
        <f>IFERROR(VLOOKUP($B26,LD!$B:$J,8,FALSE),"")</f>
        <v/>
      </c>
    </row>
    <row r="27" ht="45" customFormat="1" customHeight="1" s="397">
      <c r="A27" s="29" t="n"/>
      <c r="B27" s="394" t="n"/>
      <c r="C27" s="392" t="n"/>
      <c r="D27" s="393" t="n"/>
      <c r="E27" s="391">
        <f>IF(B27="","",IFERROR(VLOOKUP(B27,LD!$B:$J,2,FALSE),""))</f>
        <v/>
      </c>
      <c r="F27" s="392" t="n"/>
      <c r="G27" s="392" t="n"/>
      <c r="H27" s="392" t="n"/>
      <c r="I27" s="392" t="n"/>
      <c r="J27" s="392" t="n"/>
      <c r="K27" s="392" t="n"/>
      <c r="L27" s="392" t="n"/>
      <c r="M27" s="392" t="n"/>
      <c r="N27" s="392" t="n"/>
      <c r="O27" s="393" t="n"/>
      <c r="P27" s="30" t="n"/>
      <c r="Q27" s="30" t="n"/>
      <c r="R27" s="31">
        <f>IFERROR(VLOOKUP($B27,LD!$B:$J,8,FALSE),"")</f>
        <v/>
      </c>
    </row>
    <row r="28" ht="45" customFormat="1" customHeight="1" s="397">
      <c r="A28" s="29" t="n"/>
      <c r="B28" s="394" t="n"/>
      <c r="C28" s="392" t="n"/>
      <c r="D28" s="393" t="n"/>
      <c r="E28" s="391">
        <f>IF(B28="","",IFERROR(VLOOKUP(B28,LD!$B:$J,2,FALSE),""))</f>
        <v/>
      </c>
      <c r="F28" s="392" t="n"/>
      <c r="G28" s="392" t="n"/>
      <c r="H28" s="392" t="n"/>
      <c r="I28" s="392" t="n"/>
      <c r="J28" s="392" t="n"/>
      <c r="K28" s="392" t="n"/>
      <c r="L28" s="392" t="n"/>
      <c r="M28" s="392" t="n"/>
      <c r="N28" s="392" t="n"/>
      <c r="O28" s="393" t="n"/>
      <c r="P28" s="30" t="n"/>
      <c r="Q28" s="30" t="n"/>
      <c r="R28" s="31">
        <f>IFERROR(VLOOKUP($B28,LD!$B:$J,8,FALSE),"")</f>
        <v/>
      </c>
    </row>
    <row r="29" ht="45" customFormat="1" customHeight="1" s="397">
      <c r="A29" s="29" t="n"/>
      <c r="B29" s="394" t="n"/>
      <c r="C29" s="392" t="n"/>
      <c r="D29" s="393" t="n"/>
      <c r="E29" s="391">
        <f>IF(B29="","",IFERROR(VLOOKUP(B29,LD!$B:$J,2,FALSE),""))</f>
        <v/>
      </c>
      <c r="F29" s="392" t="n"/>
      <c r="G29" s="392" t="n"/>
      <c r="H29" s="392" t="n"/>
      <c r="I29" s="392" t="n"/>
      <c r="J29" s="392" t="n"/>
      <c r="K29" s="392" t="n"/>
      <c r="L29" s="392" t="n"/>
      <c r="M29" s="392" t="n"/>
      <c r="N29" s="392" t="n"/>
      <c r="O29" s="393" t="n"/>
      <c r="P29" s="30" t="n"/>
      <c r="Q29" s="30" t="n"/>
      <c r="R29" s="31">
        <f>IFERROR(VLOOKUP($B29,LD!$B:$J,8,FALSE),"")</f>
        <v/>
      </c>
    </row>
    <row r="30" ht="45" customFormat="1" customHeight="1" s="397">
      <c r="A30" s="29" t="n"/>
      <c r="B30" s="394" t="n"/>
      <c r="C30" s="392" t="n"/>
      <c r="D30" s="393" t="n"/>
      <c r="E30" s="391">
        <f>IF(B30="","",IFERROR(VLOOKUP(B30,LD!$B:$J,2,FALSE),""))</f>
        <v/>
      </c>
      <c r="F30" s="392" t="n"/>
      <c r="G30" s="392" t="n"/>
      <c r="H30" s="392" t="n"/>
      <c r="I30" s="392" t="n"/>
      <c r="J30" s="392" t="n"/>
      <c r="K30" s="392" t="n"/>
      <c r="L30" s="392" t="n"/>
      <c r="M30" s="392" t="n"/>
      <c r="N30" s="392" t="n"/>
      <c r="O30" s="393" t="n"/>
      <c r="P30" s="30" t="n"/>
      <c r="Q30" s="30" t="n"/>
      <c r="R30" s="31">
        <f>IFERROR(VLOOKUP($B30,LD!$B:$J,8,FALSE),"")</f>
        <v/>
      </c>
    </row>
    <row r="31" ht="45" customFormat="1" customHeight="1" s="397">
      <c r="A31" s="29" t="n"/>
      <c r="B31" s="394" t="n"/>
      <c r="C31" s="392" t="n"/>
      <c r="D31" s="393" t="n"/>
      <c r="E31" s="391">
        <f>IF(B31="","",IFERROR(VLOOKUP(B31,LD!$B:$J,2,FALSE),""))</f>
        <v/>
      </c>
      <c r="F31" s="392" t="n"/>
      <c r="G31" s="392" t="n"/>
      <c r="H31" s="392" t="n"/>
      <c r="I31" s="392" t="n"/>
      <c r="J31" s="392" t="n"/>
      <c r="K31" s="392" t="n"/>
      <c r="L31" s="392" t="n"/>
      <c r="M31" s="392" t="n"/>
      <c r="N31" s="392" t="n"/>
      <c r="O31" s="393" t="n"/>
      <c r="P31" s="30" t="n"/>
      <c r="Q31" s="30" t="n"/>
      <c r="R31" s="31">
        <f>IFERROR(VLOOKUP($B31,LD!$B:$J,8,FALSE),"")</f>
        <v/>
      </c>
    </row>
    <row r="32" ht="45" customFormat="1" customHeight="1" s="397">
      <c r="A32" s="29" t="n"/>
      <c r="B32" s="394" t="n"/>
      <c r="C32" s="392" t="n"/>
      <c r="D32" s="393" t="n"/>
      <c r="E32" s="391">
        <f>IF(B32="","",IFERROR(VLOOKUP(B32,LD!$B:$J,2,FALSE),""))</f>
        <v/>
      </c>
      <c r="F32" s="392" t="n"/>
      <c r="G32" s="392" t="n"/>
      <c r="H32" s="392" t="n"/>
      <c r="I32" s="392" t="n"/>
      <c r="J32" s="392" t="n"/>
      <c r="K32" s="392" t="n"/>
      <c r="L32" s="392" t="n"/>
      <c r="M32" s="392" t="n"/>
      <c r="N32" s="392" t="n"/>
      <c r="O32" s="393" t="n"/>
      <c r="P32" s="30" t="n"/>
      <c r="Q32" s="30" t="n"/>
      <c r="R32" s="31">
        <f>IFERROR(VLOOKUP($B32,LD!$B:$J,8,FALSE),"")</f>
        <v/>
      </c>
    </row>
    <row r="33" ht="45" customFormat="1" customHeight="1" s="397">
      <c r="A33" s="29" t="n"/>
      <c r="B33" s="394" t="n"/>
      <c r="C33" s="392" t="n"/>
      <c r="D33" s="393" t="n"/>
      <c r="E33" s="391">
        <f>IF(B33="","",IFERROR(VLOOKUP(B33,LD!$B:$J,2,FALSE),""))</f>
        <v/>
      </c>
      <c r="F33" s="392" t="n"/>
      <c r="G33" s="392" t="n"/>
      <c r="H33" s="392" t="n"/>
      <c r="I33" s="392" t="n"/>
      <c r="J33" s="392" t="n"/>
      <c r="K33" s="392" t="n"/>
      <c r="L33" s="392" t="n"/>
      <c r="M33" s="392" t="n"/>
      <c r="N33" s="392" t="n"/>
      <c r="O33" s="393" t="n"/>
      <c r="P33" s="30" t="n"/>
      <c r="Q33" s="30" t="n"/>
      <c r="R33" s="31">
        <f>IFERROR(VLOOKUP($B33,LD!$B:$J,8,FALSE),"")</f>
        <v/>
      </c>
    </row>
    <row r="34" ht="45" customFormat="1" customHeight="1" s="397">
      <c r="A34" s="29" t="n"/>
      <c r="B34" s="394" t="n"/>
      <c r="C34" s="392" t="n"/>
      <c r="D34" s="393" t="n"/>
      <c r="E34" s="391">
        <f>IF(B34="","",IFERROR(VLOOKUP(B34,LD!$B:$J,2,FALSE),""))</f>
        <v/>
      </c>
      <c r="F34" s="392" t="n"/>
      <c r="G34" s="392" t="n"/>
      <c r="H34" s="392" t="n"/>
      <c r="I34" s="392" t="n"/>
      <c r="J34" s="392" t="n"/>
      <c r="K34" s="392" t="n"/>
      <c r="L34" s="392" t="n"/>
      <c r="M34" s="392" t="n"/>
      <c r="N34" s="392" t="n"/>
      <c r="O34" s="393" t="n"/>
      <c r="P34" s="30" t="n"/>
      <c r="Q34" s="30" t="n"/>
      <c r="R34" s="31">
        <f>IFERROR(VLOOKUP($B34,LD!$B:$J,8,FALSE),"")</f>
        <v/>
      </c>
    </row>
    <row r="35" ht="45" customFormat="1" customHeight="1" s="397">
      <c r="A35" s="29" t="n"/>
      <c r="B35" s="394" t="n"/>
      <c r="C35" s="392" t="n"/>
      <c r="D35" s="393" t="n"/>
      <c r="E35" s="391">
        <f>IF(B35="","",IFERROR(VLOOKUP(B35,LD!$B:$J,2,FALSE),""))</f>
        <v/>
      </c>
      <c r="F35" s="392" t="n"/>
      <c r="G35" s="392" t="n"/>
      <c r="H35" s="392" t="n"/>
      <c r="I35" s="392" t="n"/>
      <c r="J35" s="392" t="n"/>
      <c r="K35" s="392" t="n"/>
      <c r="L35" s="392" t="n"/>
      <c r="M35" s="392" t="n"/>
      <c r="N35" s="392" t="n"/>
      <c r="O35" s="393" t="n"/>
      <c r="P35" s="30" t="n"/>
      <c r="Q35" s="30" t="n"/>
      <c r="R35" s="31">
        <f>IFERROR(VLOOKUP($B35,LD!$B:$J,8,FALSE),"")</f>
        <v/>
      </c>
    </row>
    <row r="36" ht="45" customFormat="1" customHeight="1" s="397">
      <c r="A36" s="29" t="n"/>
      <c r="B36" s="394" t="n"/>
      <c r="C36" s="392" t="n"/>
      <c r="D36" s="393" t="n"/>
      <c r="E36" s="391">
        <f>IF(B36="","",IFERROR(VLOOKUP(B36,LD!$B:$J,2,FALSE),""))</f>
        <v/>
      </c>
      <c r="F36" s="392" t="n"/>
      <c r="G36" s="392" t="n"/>
      <c r="H36" s="392" t="n"/>
      <c r="I36" s="392" t="n"/>
      <c r="J36" s="392" t="n"/>
      <c r="K36" s="392" t="n"/>
      <c r="L36" s="392" t="n"/>
      <c r="M36" s="392" t="n"/>
      <c r="N36" s="392" t="n"/>
      <c r="O36" s="393" t="n"/>
      <c r="P36" s="30" t="n"/>
      <c r="Q36" s="30" t="n"/>
      <c r="R36" s="31">
        <f>IFERROR(VLOOKUP($B36,LD!$B:$J,8,FALSE),"")</f>
        <v/>
      </c>
    </row>
    <row r="37" ht="45" customFormat="1" customHeight="1" s="397">
      <c r="A37" s="29" t="n"/>
      <c r="B37" s="394" t="n"/>
      <c r="C37" s="392" t="n"/>
      <c r="D37" s="393" t="n"/>
      <c r="E37" s="391">
        <f>IF(B37="","",IFERROR(VLOOKUP(B37,LD!$B:$J,2,FALSE),""))</f>
        <v/>
      </c>
      <c r="F37" s="392" t="n"/>
      <c r="G37" s="392" t="n"/>
      <c r="H37" s="392" t="n"/>
      <c r="I37" s="392" t="n"/>
      <c r="J37" s="392" t="n"/>
      <c r="K37" s="392" t="n"/>
      <c r="L37" s="392" t="n"/>
      <c r="M37" s="392" t="n"/>
      <c r="N37" s="392" t="n"/>
      <c r="O37" s="393" t="n"/>
      <c r="P37" s="30" t="n"/>
      <c r="Q37" s="30" t="n"/>
      <c r="R37" s="31">
        <f>IFERROR(VLOOKUP($B37,LD!$B:$J,8,FALSE),"")</f>
        <v/>
      </c>
    </row>
    <row r="38" ht="45" customFormat="1" customHeight="1" s="397">
      <c r="A38" s="29" t="n"/>
      <c r="B38" s="394" t="n"/>
      <c r="C38" s="392" t="n"/>
      <c r="D38" s="393" t="n"/>
      <c r="E38" s="391">
        <f>IF(B38="","",IFERROR(VLOOKUP(B38,LD!$B:$J,2,FALSE),""))</f>
        <v/>
      </c>
      <c r="F38" s="392" t="n"/>
      <c r="G38" s="392" t="n"/>
      <c r="H38" s="392" t="n"/>
      <c r="I38" s="392" t="n"/>
      <c r="J38" s="392" t="n"/>
      <c r="K38" s="392" t="n"/>
      <c r="L38" s="392" t="n"/>
      <c r="M38" s="392" t="n"/>
      <c r="N38" s="392" t="n"/>
      <c r="O38" s="393" t="n"/>
      <c r="P38" s="30" t="n"/>
      <c r="Q38" s="30" t="n"/>
      <c r="R38" s="31">
        <f>IFERROR(VLOOKUP($B38,LD!$B:$J,8,FALSE),"")</f>
        <v/>
      </c>
    </row>
    <row r="39" ht="45" customFormat="1" customHeight="1" s="397">
      <c r="A39" s="29" t="n"/>
      <c r="B39" s="394" t="n"/>
      <c r="C39" s="392" t="n"/>
      <c r="D39" s="393" t="n"/>
      <c r="E39" s="391">
        <f>IF(B39="","",IFERROR(VLOOKUP(B39,LD!$B:$J,2,FALSE),""))</f>
        <v/>
      </c>
      <c r="F39" s="392" t="n"/>
      <c r="G39" s="392" t="n"/>
      <c r="H39" s="392" t="n"/>
      <c r="I39" s="392" t="n"/>
      <c r="J39" s="392" t="n"/>
      <c r="K39" s="392" t="n"/>
      <c r="L39" s="392" t="n"/>
      <c r="M39" s="392" t="n"/>
      <c r="N39" s="392" t="n"/>
      <c r="O39" s="393" t="n"/>
      <c r="P39" s="30" t="n"/>
      <c r="Q39" s="30" t="n"/>
      <c r="R39" s="31">
        <f>IFERROR(VLOOKUP($B39,LD!$B:$J,8,FALSE),"")</f>
        <v/>
      </c>
    </row>
    <row r="40" ht="45" customFormat="1" customHeight="1" s="397">
      <c r="A40" s="29" t="n"/>
      <c r="B40" s="394" t="n"/>
      <c r="C40" s="392" t="n"/>
      <c r="D40" s="393" t="n"/>
      <c r="E40" s="391">
        <f>IF(B40="","",IFERROR(VLOOKUP(B40,LD!$B:$J,2,FALSE),""))</f>
        <v/>
      </c>
      <c r="F40" s="392" t="n"/>
      <c r="G40" s="392" t="n"/>
      <c r="H40" s="392" t="n"/>
      <c r="I40" s="392" t="n"/>
      <c r="J40" s="392" t="n"/>
      <c r="K40" s="392" t="n"/>
      <c r="L40" s="392" t="n"/>
      <c r="M40" s="392" t="n"/>
      <c r="N40" s="392" t="n"/>
      <c r="O40" s="393" t="n"/>
      <c r="P40" s="30" t="n"/>
      <c r="Q40" s="30" t="n"/>
      <c r="R40" s="31">
        <f>IFERROR(VLOOKUP($B40,LD!$B:$J,8,FALSE),"")</f>
        <v/>
      </c>
    </row>
    <row r="41" ht="45" customFormat="1" customHeight="1" s="397">
      <c r="A41" s="29" t="n"/>
      <c r="B41" s="394" t="n"/>
      <c r="C41" s="392" t="n"/>
      <c r="D41" s="393" t="n"/>
      <c r="E41" s="391">
        <f>IF(B41="","",IFERROR(VLOOKUP(B41,LD!$B:$J,2,FALSE),""))</f>
        <v/>
      </c>
      <c r="F41" s="392" t="n"/>
      <c r="G41" s="392" t="n"/>
      <c r="H41" s="392" t="n"/>
      <c r="I41" s="392" t="n"/>
      <c r="J41" s="392" t="n"/>
      <c r="K41" s="392" t="n"/>
      <c r="L41" s="392" t="n"/>
      <c r="M41" s="392" t="n"/>
      <c r="N41" s="392" t="n"/>
      <c r="O41" s="393" t="n"/>
      <c r="P41" s="30" t="n"/>
      <c r="Q41" s="30" t="n"/>
      <c r="R41" s="31">
        <f>IFERROR(VLOOKUP($B41,LD!$B:$J,8,FALSE),"")</f>
        <v/>
      </c>
    </row>
    <row r="42" ht="45" customFormat="1" customHeight="1" s="397">
      <c r="A42" s="29" t="n"/>
      <c r="B42" s="394" t="n"/>
      <c r="C42" s="392" t="n"/>
      <c r="D42" s="393" t="n"/>
      <c r="E42" s="391">
        <f>IF(B42="","",IFERROR(VLOOKUP(B42,LD!$B:$J,2,FALSE),""))</f>
        <v/>
      </c>
      <c r="F42" s="392" t="n"/>
      <c r="G42" s="392" t="n"/>
      <c r="H42" s="392" t="n"/>
      <c r="I42" s="392" t="n"/>
      <c r="J42" s="392" t="n"/>
      <c r="K42" s="392" t="n"/>
      <c r="L42" s="392" t="n"/>
      <c r="M42" s="392" t="n"/>
      <c r="N42" s="392" t="n"/>
      <c r="O42" s="393" t="n"/>
      <c r="P42" s="30" t="n"/>
      <c r="Q42" s="30" t="n"/>
      <c r="R42" s="31">
        <f>IFERROR(VLOOKUP($B42,LD!$B:$J,8,FALSE),"")</f>
        <v/>
      </c>
    </row>
    <row r="43" ht="45" customFormat="1" customHeight="1" s="397">
      <c r="A43" s="29" t="n"/>
      <c r="B43" s="394" t="n"/>
      <c r="C43" s="392" t="n"/>
      <c r="D43" s="393" t="n"/>
      <c r="E43" s="391">
        <f>IF(B43="","",IFERROR(VLOOKUP(B43,LD!$B:$J,2,FALSE),""))</f>
        <v/>
      </c>
      <c r="F43" s="392" t="n"/>
      <c r="G43" s="392" t="n"/>
      <c r="H43" s="392" t="n"/>
      <c r="I43" s="392" t="n"/>
      <c r="J43" s="392" t="n"/>
      <c r="K43" s="392" t="n"/>
      <c r="L43" s="392" t="n"/>
      <c r="M43" s="392" t="n"/>
      <c r="N43" s="392" t="n"/>
      <c r="O43" s="393" t="n"/>
      <c r="P43" s="30" t="n"/>
      <c r="Q43" s="30" t="n"/>
      <c r="R43" s="31">
        <f>IFERROR(VLOOKUP($B43,LD!$B:$J,8,FALSE),"")</f>
        <v/>
      </c>
    </row>
    <row r="44" ht="45" customFormat="1" customHeight="1" s="397">
      <c r="A44" s="29" t="n"/>
      <c r="B44" s="394" t="n"/>
      <c r="C44" s="392" t="n"/>
      <c r="D44" s="393" t="n"/>
      <c r="E44" s="391">
        <f>IF(B44="","",IFERROR(VLOOKUP(B44,LD!$B:$J,2,FALSE),""))</f>
        <v/>
      </c>
      <c r="F44" s="392" t="n"/>
      <c r="G44" s="392" t="n"/>
      <c r="H44" s="392" t="n"/>
      <c r="I44" s="392" t="n"/>
      <c r="J44" s="392" t="n"/>
      <c r="K44" s="392" t="n"/>
      <c r="L44" s="392" t="n"/>
      <c r="M44" s="392" t="n"/>
      <c r="N44" s="392" t="n"/>
      <c r="O44" s="393" t="n"/>
      <c r="P44" s="30" t="n"/>
      <c r="Q44" s="30" t="n"/>
      <c r="R44" s="31">
        <f>IFERROR(VLOOKUP($B44,LD!$B:$J,8,FALSE),"")</f>
        <v/>
      </c>
    </row>
    <row r="45" ht="45" customFormat="1" customHeight="1" s="397">
      <c r="A45" s="29" t="n"/>
      <c r="B45" s="394" t="n"/>
      <c r="C45" s="392" t="n"/>
      <c r="D45" s="393" t="n"/>
      <c r="E45" s="391">
        <f>IF(B45="","",IFERROR(VLOOKUP(B45,LD!$B:$J,2,FALSE),""))</f>
        <v/>
      </c>
      <c r="F45" s="392" t="n"/>
      <c r="G45" s="392" t="n"/>
      <c r="H45" s="392" t="n"/>
      <c r="I45" s="392" t="n"/>
      <c r="J45" s="392" t="n"/>
      <c r="K45" s="392" t="n"/>
      <c r="L45" s="392" t="n"/>
      <c r="M45" s="392" t="n"/>
      <c r="N45" s="392" t="n"/>
      <c r="O45" s="393" t="n"/>
      <c r="P45" s="30" t="n"/>
      <c r="Q45" s="30" t="n"/>
      <c r="R45" s="31">
        <f>IFERROR(VLOOKUP($B45,LD!$B:$J,8,FALSE),"")</f>
        <v/>
      </c>
    </row>
    <row r="46" ht="45" customFormat="1" customHeight="1" s="397">
      <c r="A46" s="29" t="n"/>
      <c r="B46" s="394" t="n"/>
      <c r="C46" s="392" t="n"/>
      <c r="D46" s="393" t="n"/>
      <c r="E46" s="391">
        <f>IF(B46="","",IFERROR(VLOOKUP(B46,LD!$B:$J,2,FALSE),""))</f>
        <v/>
      </c>
      <c r="F46" s="392" t="n"/>
      <c r="G46" s="392" t="n"/>
      <c r="H46" s="392" t="n"/>
      <c r="I46" s="392" t="n"/>
      <c r="J46" s="392" t="n"/>
      <c r="K46" s="392" t="n"/>
      <c r="L46" s="392" t="n"/>
      <c r="M46" s="392" t="n"/>
      <c r="N46" s="392" t="n"/>
      <c r="O46" s="393" t="n"/>
      <c r="P46" s="30" t="n"/>
      <c r="Q46" s="30" t="n"/>
      <c r="R46" s="31">
        <f>IFERROR(VLOOKUP($B46,LD!$B:$J,8,FALSE),"")</f>
        <v/>
      </c>
    </row>
    <row r="47" ht="45" customFormat="1" customHeight="1" s="397">
      <c r="A47" s="29" t="n"/>
      <c r="B47" s="394" t="n"/>
      <c r="C47" s="392" t="n"/>
      <c r="D47" s="393" t="n"/>
      <c r="E47" s="391">
        <f>IF(B47="","",IFERROR(VLOOKUP(B47,LD!$B:$J,2,FALSE),""))</f>
        <v/>
      </c>
      <c r="F47" s="392" t="n"/>
      <c r="G47" s="392" t="n"/>
      <c r="H47" s="392" t="n"/>
      <c r="I47" s="392" t="n"/>
      <c r="J47" s="392" t="n"/>
      <c r="K47" s="392" t="n"/>
      <c r="L47" s="392" t="n"/>
      <c r="M47" s="392" t="n"/>
      <c r="N47" s="392" t="n"/>
      <c r="O47" s="393" t="n"/>
      <c r="P47" s="30" t="n"/>
      <c r="Q47" s="30" t="n"/>
      <c r="R47" s="31">
        <f>IFERROR(VLOOKUP($B47,LD!$B:$J,8,FALSE),"")</f>
        <v/>
      </c>
    </row>
    <row r="48" ht="45" customFormat="1" customHeight="1" s="397">
      <c r="A48" s="29" t="n"/>
      <c r="B48" s="394" t="n"/>
      <c r="C48" s="392" t="n"/>
      <c r="D48" s="393" t="n"/>
      <c r="E48" s="391">
        <f>IF(B48="","",IFERROR(VLOOKUP(B48,LD!$B:$J,2,FALSE),""))</f>
        <v/>
      </c>
      <c r="F48" s="392" t="n"/>
      <c r="G48" s="392" t="n"/>
      <c r="H48" s="392" t="n"/>
      <c r="I48" s="392" t="n"/>
      <c r="J48" s="392" t="n"/>
      <c r="K48" s="392" t="n"/>
      <c r="L48" s="392" t="n"/>
      <c r="M48" s="392" t="n"/>
      <c r="N48" s="392" t="n"/>
      <c r="O48" s="393" t="n"/>
      <c r="P48" s="30" t="n"/>
      <c r="Q48" s="30" t="n"/>
      <c r="R48" s="31">
        <f>IFERROR(VLOOKUP($B48,LD!$B:$J,8,FALSE),"")</f>
        <v/>
      </c>
    </row>
    <row r="49" ht="45" customFormat="1" customHeight="1" s="397">
      <c r="A49" s="29" t="n"/>
      <c r="B49" s="394" t="n"/>
      <c r="C49" s="392" t="n"/>
      <c r="D49" s="393" t="n"/>
      <c r="E49" s="391">
        <f>IF(B49="","",IFERROR(VLOOKUP(B49,LD!$B:$J,2,FALSE),""))</f>
        <v/>
      </c>
      <c r="F49" s="392" t="n"/>
      <c r="G49" s="392" t="n"/>
      <c r="H49" s="392" t="n"/>
      <c r="I49" s="392" t="n"/>
      <c r="J49" s="392" t="n"/>
      <c r="K49" s="392" t="n"/>
      <c r="L49" s="392" t="n"/>
      <c r="M49" s="392" t="n"/>
      <c r="N49" s="392" t="n"/>
      <c r="O49" s="393" t="n"/>
      <c r="P49" s="30" t="n"/>
      <c r="Q49" s="30" t="n"/>
      <c r="R49" s="31">
        <f>IFERROR(VLOOKUP($B49,LD!$B:$J,8,FALSE),"")</f>
        <v/>
      </c>
    </row>
    <row r="50" ht="45" customFormat="1" customHeight="1" s="397">
      <c r="A50" s="29" t="n"/>
      <c r="B50" s="394" t="n"/>
      <c r="C50" s="392" t="n"/>
      <c r="D50" s="393" t="n"/>
      <c r="E50" s="391">
        <f>IF(B50="","",IFERROR(VLOOKUP(B50,LD!$B:$J,2,FALSE),""))</f>
        <v/>
      </c>
      <c r="F50" s="392" t="n"/>
      <c r="G50" s="392" t="n"/>
      <c r="H50" s="392" t="n"/>
      <c r="I50" s="392" t="n"/>
      <c r="J50" s="392" t="n"/>
      <c r="K50" s="392" t="n"/>
      <c r="L50" s="392" t="n"/>
      <c r="M50" s="392" t="n"/>
      <c r="N50" s="392" t="n"/>
      <c r="O50" s="393" t="n"/>
      <c r="P50" s="30" t="n"/>
      <c r="Q50" s="30" t="n"/>
      <c r="R50" s="31">
        <f>IFERROR(VLOOKUP($B50,LD!$B:$J,8,FALSE),"")</f>
        <v/>
      </c>
    </row>
    <row r="51" ht="45" customFormat="1" customHeight="1" s="397">
      <c r="A51" s="29" t="n"/>
      <c r="B51" s="394" t="n"/>
      <c r="C51" s="392" t="n"/>
      <c r="D51" s="393" t="n"/>
      <c r="E51" s="391">
        <f>IF(B51="","",IFERROR(VLOOKUP(B51,LD!$B:$J,2,FALSE),""))</f>
        <v/>
      </c>
      <c r="F51" s="392" t="n"/>
      <c r="G51" s="392" t="n"/>
      <c r="H51" s="392" t="n"/>
      <c r="I51" s="392" t="n"/>
      <c r="J51" s="392" t="n"/>
      <c r="K51" s="392" t="n"/>
      <c r="L51" s="392" t="n"/>
      <c r="M51" s="392" t="n"/>
      <c r="N51" s="392" t="n"/>
      <c r="O51" s="393" t="n"/>
      <c r="P51" s="30" t="n"/>
      <c r="Q51" s="30" t="n"/>
      <c r="R51" s="31">
        <f>IFERROR(VLOOKUP($B51,LD!$B:$J,8,FALSE),"")</f>
        <v/>
      </c>
    </row>
    <row r="52" ht="45" customFormat="1" customHeight="1" s="397">
      <c r="A52" s="29" t="n"/>
      <c r="B52" s="394" t="n"/>
      <c r="C52" s="392" t="n"/>
      <c r="D52" s="393" t="n"/>
      <c r="E52" s="391">
        <f>IF(B52="","",IFERROR(VLOOKUP(B52,LD!$B:$J,2,FALSE),""))</f>
        <v/>
      </c>
      <c r="F52" s="392" t="n"/>
      <c r="G52" s="392" t="n"/>
      <c r="H52" s="392" t="n"/>
      <c r="I52" s="392" t="n"/>
      <c r="J52" s="392" t="n"/>
      <c r="K52" s="392" t="n"/>
      <c r="L52" s="392" t="n"/>
      <c r="M52" s="392" t="n"/>
      <c r="N52" s="392" t="n"/>
      <c r="O52" s="393" t="n"/>
      <c r="P52" s="30" t="n"/>
      <c r="Q52" s="30" t="n"/>
      <c r="R52" s="31">
        <f>IFERROR(VLOOKUP($B52,LD!$B:$J,8,FALSE),"")</f>
        <v/>
      </c>
    </row>
    <row r="53" ht="45" customFormat="1" customHeight="1" s="397">
      <c r="A53" s="29" t="n"/>
      <c r="B53" s="394" t="n"/>
      <c r="C53" s="392" t="n"/>
      <c r="D53" s="393" t="n"/>
      <c r="E53" s="391">
        <f>IF(B53="","",IFERROR(VLOOKUP(B53,LD!$B:$J,2,FALSE),""))</f>
        <v/>
      </c>
      <c r="F53" s="392" t="n"/>
      <c r="G53" s="392" t="n"/>
      <c r="H53" s="392" t="n"/>
      <c r="I53" s="392" t="n"/>
      <c r="J53" s="392" t="n"/>
      <c r="K53" s="392" t="n"/>
      <c r="L53" s="392" t="n"/>
      <c r="M53" s="392" t="n"/>
      <c r="N53" s="392" t="n"/>
      <c r="O53" s="393" t="n"/>
      <c r="P53" s="30" t="n"/>
      <c r="Q53" s="30" t="n"/>
      <c r="R53" s="31">
        <f>IFERROR(VLOOKUP($B53,LD!$B:$J,8,FALSE),"")</f>
        <v/>
      </c>
    </row>
    <row r="54" ht="45" customFormat="1" customHeight="1" s="397">
      <c r="A54" s="29" t="n"/>
      <c r="B54" s="394" t="n"/>
      <c r="C54" s="392" t="n"/>
      <c r="D54" s="393" t="n"/>
      <c r="E54" s="391">
        <f>IF(B54="","",IFERROR(VLOOKUP(B54,LD!$B:$J,2,FALSE),""))</f>
        <v/>
      </c>
      <c r="F54" s="392" t="n"/>
      <c r="G54" s="392" t="n"/>
      <c r="H54" s="392" t="n"/>
      <c r="I54" s="392" t="n"/>
      <c r="J54" s="392" t="n"/>
      <c r="K54" s="392" t="n"/>
      <c r="L54" s="392" t="n"/>
      <c r="M54" s="392" t="n"/>
      <c r="N54" s="392" t="n"/>
      <c r="O54" s="393" t="n"/>
      <c r="P54" s="30" t="n"/>
      <c r="Q54" s="30" t="n"/>
      <c r="R54" s="31">
        <f>IFERROR(VLOOKUP($B54,LD!$B:$J,8,FALSE),"")</f>
        <v/>
      </c>
    </row>
    <row r="55" ht="45" customFormat="1" customHeight="1" s="397">
      <c r="A55" s="29" t="n"/>
      <c r="B55" s="394" t="n"/>
      <c r="C55" s="392" t="n"/>
      <c r="D55" s="393" t="n"/>
      <c r="E55" s="391">
        <f>IF(B55="","",IFERROR(VLOOKUP(B55,LD!$B:$J,2,FALSE),""))</f>
        <v/>
      </c>
      <c r="F55" s="392" t="n"/>
      <c r="G55" s="392" t="n"/>
      <c r="H55" s="392" t="n"/>
      <c r="I55" s="392" t="n"/>
      <c r="J55" s="392" t="n"/>
      <c r="K55" s="392" t="n"/>
      <c r="L55" s="392" t="n"/>
      <c r="M55" s="392" t="n"/>
      <c r="N55" s="392" t="n"/>
      <c r="O55" s="393" t="n"/>
      <c r="P55" s="30" t="n"/>
      <c r="Q55" s="30" t="n"/>
      <c r="R55" s="31">
        <f>IFERROR(VLOOKUP($B55,LD!$B:$J,8,FALSE),"")</f>
        <v/>
      </c>
    </row>
    <row r="56" ht="45" customFormat="1" customHeight="1" s="397">
      <c r="A56" s="29" t="n"/>
      <c r="B56" s="394" t="n"/>
      <c r="C56" s="392" t="n"/>
      <c r="D56" s="393" t="n"/>
      <c r="E56" s="391">
        <f>IF(B56="","",IFERROR(VLOOKUP(B56,LD!$B:$J,2,FALSE),""))</f>
        <v/>
      </c>
      <c r="F56" s="392" t="n"/>
      <c r="G56" s="392" t="n"/>
      <c r="H56" s="392" t="n"/>
      <c r="I56" s="392" t="n"/>
      <c r="J56" s="392" t="n"/>
      <c r="K56" s="392" t="n"/>
      <c r="L56" s="392" t="n"/>
      <c r="M56" s="392" t="n"/>
      <c r="N56" s="392" t="n"/>
      <c r="O56" s="393" t="n"/>
      <c r="P56" s="30" t="n"/>
      <c r="Q56" s="30" t="n"/>
      <c r="R56" s="31">
        <f>IFERROR(VLOOKUP($B56,LD!$B:$J,8,FALSE),"")</f>
        <v/>
      </c>
    </row>
    <row r="57" ht="45" customFormat="1" customHeight="1" s="397">
      <c r="A57" s="29" t="n"/>
      <c r="B57" s="394" t="n"/>
      <c r="C57" s="392" t="n"/>
      <c r="D57" s="393" t="n"/>
      <c r="E57" s="391">
        <f>IF(B57="","",IFERROR(VLOOKUP(B57,LD!$B:$J,2,FALSE),""))</f>
        <v/>
      </c>
      <c r="F57" s="392" t="n"/>
      <c r="G57" s="392" t="n"/>
      <c r="H57" s="392" t="n"/>
      <c r="I57" s="392" t="n"/>
      <c r="J57" s="392" t="n"/>
      <c r="K57" s="392" t="n"/>
      <c r="L57" s="392" t="n"/>
      <c r="M57" s="392" t="n"/>
      <c r="N57" s="392" t="n"/>
      <c r="O57" s="393" t="n"/>
      <c r="P57" s="30" t="n"/>
      <c r="Q57" s="30" t="n"/>
      <c r="R57" s="31">
        <f>IFERROR(VLOOKUP($B57,LD!$B:$J,8,FALSE),"")</f>
        <v/>
      </c>
    </row>
    <row r="58" ht="45" customFormat="1" customHeight="1" s="397">
      <c r="A58" s="29" t="n"/>
      <c r="B58" s="394" t="n"/>
      <c r="C58" s="392" t="n"/>
      <c r="D58" s="393" t="n"/>
      <c r="E58" s="391">
        <f>IF(B58="","",IFERROR(VLOOKUP(B58,LD!$B:$J,2,FALSE),""))</f>
        <v/>
      </c>
      <c r="F58" s="392" t="n"/>
      <c r="G58" s="392" t="n"/>
      <c r="H58" s="392" t="n"/>
      <c r="I58" s="392" t="n"/>
      <c r="J58" s="392" t="n"/>
      <c r="K58" s="392" t="n"/>
      <c r="L58" s="392" t="n"/>
      <c r="M58" s="392" t="n"/>
      <c r="N58" s="392" t="n"/>
      <c r="O58" s="393" t="n"/>
      <c r="P58" s="30" t="n"/>
      <c r="Q58" s="30" t="n"/>
      <c r="R58" s="31">
        <f>IFERROR(VLOOKUP($B58,LD!$B:$J,8,FALSE),"")</f>
        <v/>
      </c>
    </row>
    <row r="59" ht="45" customFormat="1" customHeight="1" s="397">
      <c r="A59" s="29" t="n"/>
      <c r="B59" s="394" t="n"/>
      <c r="C59" s="392" t="n"/>
      <c r="D59" s="393" t="n"/>
      <c r="E59" s="391">
        <f>IF(B59="","",IFERROR(VLOOKUP(B59,LD!$B:$J,2,FALSE),""))</f>
        <v/>
      </c>
      <c r="F59" s="392" t="n"/>
      <c r="G59" s="392" t="n"/>
      <c r="H59" s="392" t="n"/>
      <c r="I59" s="392" t="n"/>
      <c r="J59" s="392" t="n"/>
      <c r="K59" s="392" t="n"/>
      <c r="L59" s="392" t="n"/>
      <c r="M59" s="392" t="n"/>
      <c r="N59" s="392" t="n"/>
      <c r="O59" s="393" t="n"/>
      <c r="P59" s="30" t="n"/>
      <c r="Q59" s="30" t="n"/>
      <c r="R59" s="31">
        <f>IFERROR(VLOOKUP($B59,LD!$B:$J,8,FALSE),"")</f>
        <v/>
      </c>
    </row>
    <row r="60" ht="45" customFormat="1" customHeight="1" s="397">
      <c r="A60" s="29" t="n"/>
      <c r="B60" s="394" t="n"/>
      <c r="C60" s="392" t="n"/>
      <c r="D60" s="393" t="n"/>
      <c r="E60" s="391">
        <f>IF(B60="","",IFERROR(VLOOKUP(B60,LD!$B:$J,2,FALSE),""))</f>
        <v/>
      </c>
      <c r="F60" s="392" t="n"/>
      <c r="G60" s="392" t="n"/>
      <c r="H60" s="392" t="n"/>
      <c r="I60" s="392" t="n"/>
      <c r="J60" s="392" t="n"/>
      <c r="K60" s="392" t="n"/>
      <c r="L60" s="392" t="n"/>
      <c r="M60" s="392" t="n"/>
      <c r="N60" s="392" t="n"/>
      <c r="O60" s="393" t="n"/>
      <c r="P60" s="30" t="n"/>
      <c r="Q60" s="30" t="n"/>
      <c r="R60" s="31">
        <f>IFERROR(VLOOKUP($B60,LD!$B:$J,8,FALSE),"")</f>
        <v/>
      </c>
    </row>
    <row r="61" ht="45" customHeight="1">
      <c r="A61" s="29" t="n"/>
      <c r="B61" s="394" t="n"/>
      <c r="C61" s="392" t="n"/>
      <c r="D61" s="393" t="n"/>
      <c r="E61" s="391">
        <f>IF(B61="","",IFERROR(VLOOKUP(B61,LD!$B:$J,2,FALSE),""))</f>
        <v/>
      </c>
      <c r="F61" s="392" t="n"/>
      <c r="G61" s="392" t="n"/>
      <c r="H61" s="392" t="n"/>
      <c r="I61" s="392" t="n"/>
      <c r="J61" s="392" t="n"/>
      <c r="K61" s="392" t="n"/>
      <c r="L61" s="392" t="n"/>
      <c r="M61" s="392" t="n"/>
      <c r="N61" s="392" t="n"/>
      <c r="O61" s="393" t="n"/>
      <c r="P61" s="30" t="n"/>
      <c r="Q61" s="30" t="n"/>
      <c r="R61" s="31">
        <f>IFERROR(VLOOKUP($B61,LD!$B:$J,8,FALSE),"")</f>
        <v/>
      </c>
    </row>
    <row r="62" ht="45" customHeight="1">
      <c r="A62" s="29" t="n"/>
      <c r="B62" s="394" t="n"/>
      <c r="C62" s="392" t="n"/>
      <c r="D62" s="393" t="n"/>
      <c r="E62" s="391">
        <f>IF(B62="","",IFERROR(VLOOKUP(B62,LD!$B:$J,2,FALSE),""))</f>
        <v/>
      </c>
      <c r="F62" s="392" t="n"/>
      <c r="G62" s="392" t="n"/>
      <c r="H62" s="392" t="n"/>
      <c r="I62" s="392" t="n"/>
      <c r="J62" s="392" t="n"/>
      <c r="K62" s="392" t="n"/>
      <c r="L62" s="392" t="n"/>
      <c r="M62" s="392" t="n"/>
      <c r="N62" s="392" t="n"/>
      <c r="O62" s="393" t="n"/>
      <c r="P62" s="30" t="n"/>
      <c r="Q62" s="30" t="n"/>
      <c r="R62" s="31">
        <f>IFERROR(VLOOKUP($B62,LD!$B:$J,8,FALSE),"")</f>
        <v/>
      </c>
    </row>
    <row r="63" ht="45" customHeight="1">
      <c r="A63" s="29" t="n"/>
      <c r="B63" s="394" t="n"/>
      <c r="C63" s="392" t="n"/>
      <c r="D63" s="393" t="n"/>
      <c r="E63" s="391">
        <f>IF(B63="","",IFERROR(VLOOKUP(B63,LD!$B:$J,2,FALSE),""))</f>
        <v/>
      </c>
      <c r="F63" s="392" t="n"/>
      <c r="G63" s="392" t="n"/>
      <c r="H63" s="392" t="n"/>
      <c r="I63" s="392" t="n"/>
      <c r="J63" s="392" t="n"/>
      <c r="K63" s="392" t="n"/>
      <c r="L63" s="392" t="n"/>
      <c r="M63" s="392" t="n"/>
      <c r="N63" s="392" t="n"/>
      <c r="O63" s="393" t="n"/>
      <c r="P63" s="30" t="n"/>
      <c r="Q63" s="30" t="n"/>
      <c r="R63" s="31">
        <f>IFERROR(VLOOKUP($B63,LD!$B:$J,8,FALSE),"")</f>
        <v/>
      </c>
    </row>
    <row r="64" ht="45" customHeight="1">
      <c r="A64" s="29" t="n"/>
      <c r="B64" s="394" t="n"/>
      <c r="C64" s="392" t="n"/>
      <c r="D64" s="393" t="n"/>
      <c r="E64" s="391">
        <f>IF(B64="","",IFERROR(VLOOKUP(B64,LD!$B:$J,2,FALSE),""))</f>
        <v/>
      </c>
      <c r="F64" s="392" t="n"/>
      <c r="G64" s="392" t="n"/>
      <c r="H64" s="392" t="n"/>
      <c r="I64" s="392" t="n"/>
      <c r="J64" s="392" t="n"/>
      <c r="K64" s="392" t="n"/>
      <c r="L64" s="392" t="n"/>
      <c r="M64" s="392" t="n"/>
      <c r="N64" s="392" t="n"/>
      <c r="O64" s="393" t="n"/>
      <c r="P64" s="30" t="n"/>
      <c r="Q64" s="30" t="n"/>
      <c r="R64" s="31">
        <f>IFERROR(VLOOKUP($B64,LD!$B:$J,8,FALSE),"")</f>
        <v/>
      </c>
    </row>
    <row r="65" ht="45" customHeight="1">
      <c r="A65" s="29" t="n"/>
      <c r="B65" s="394" t="n"/>
      <c r="C65" s="392" t="n"/>
      <c r="D65" s="393" t="n"/>
      <c r="E65" s="391">
        <f>IF(B65="","",IFERROR(VLOOKUP(B65,LD!$B:$J,2,FALSE),""))</f>
        <v/>
      </c>
      <c r="F65" s="392" t="n"/>
      <c r="G65" s="392" t="n"/>
      <c r="H65" s="392" t="n"/>
      <c r="I65" s="392" t="n"/>
      <c r="J65" s="392" t="n"/>
      <c r="K65" s="392" t="n"/>
      <c r="L65" s="392" t="n"/>
      <c r="M65" s="392" t="n"/>
      <c r="N65" s="392" t="n"/>
      <c r="O65" s="393" t="n"/>
      <c r="P65" s="30" t="n"/>
      <c r="Q65" s="30" t="n"/>
      <c r="R65" s="31">
        <f>IFERROR(VLOOKUP($B65,LD!$B:$J,8,FALSE),"")</f>
        <v/>
      </c>
    </row>
    <row r="66" ht="45" customHeight="1">
      <c r="A66" s="29" t="n"/>
      <c r="B66" s="394" t="n"/>
      <c r="C66" s="392" t="n"/>
      <c r="D66" s="393" t="n"/>
      <c r="E66" s="391">
        <f>IF(B66="","",IFERROR(VLOOKUP(B66,LD!$B:$J,2,FALSE),""))</f>
        <v/>
      </c>
      <c r="F66" s="392" t="n"/>
      <c r="G66" s="392" t="n"/>
      <c r="H66" s="392" t="n"/>
      <c r="I66" s="392" t="n"/>
      <c r="J66" s="392" t="n"/>
      <c r="K66" s="392" t="n"/>
      <c r="L66" s="392" t="n"/>
      <c r="M66" s="392" t="n"/>
      <c r="N66" s="392" t="n"/>
      <c r="O66" s="393" t="n"/>
      <c r="P66" s="30" t="n"/>
      <c r="Q66" s="30" t="n"/>
      <c r="R66" s="31">
        <f>IFERROR(VLOOKUP($B66,LD!$B:$J,8,FALSE),"")</f>
        <v/>
      </c>
    </row>
    <row r="67" ht="45" customHeight="1">
      <c r="A67" s="29" t="n"/>
      <c r="B67" s="394" t="n"/>
      <c r="C67" s="392" t="n"/>
      <c r="D67" s="393" t="n"/>
      <c r="E67" s="391">
        <f>IF(B67="","",IFERROR(VLOOKUP(B67,LD!$B:$J,2,FALSE),""))</f>
        <v/>
      </c>
      <c r="F67" s="392" t="n"/>
      <c r="G67" s="392" t="n"/>
      <c r="H67" s="392" t="n"/>
      <c r="I67" s="392" t="n"/>
      <c r="J67" s="392" t="n"/>
      <c r="K67" s="392" t="n"/>
      <c r="L67" s="392" t="n"/>
      <c r="M67" s="392" t="n"/>
      <c r="N67" s="392" t="n"/>
      <c r="O67" s="393" t="n"/>
      <c r="P67" s="30" t="n"/>
      <c r="Q67" s="30" t="n"/>
      <c r="R67" s="31">
        <f>IFERROR(VLOOKUP($B67,LD!$B:$J,8,FALSE),"")</f>
        <v/>
      </c>
    </row>
    <row r="68" ht="45" customHeight="1">
      <c r="A68" s="29" t="n"/>
      <c r="B68" s="394" t="n"/>
      <c r="C68" s="392" t="n"/>
      <c r="D68" s="393" t="n"/>
      <c r="E68" s="391">
        <f>IF(B68="","",IFERROR(VLOOKUP(B68,LD!$B:$J,2,FALSE),""))</f>
        <v/>
      </c>
      <c r="F68" s="392" t="n"/>
      <c r="G68" s="392" t="n"/>
      <c r="H68" s="392" t="n"/>
      <c r="I68" s="392" t="n"/>
      <c r="J68" s="392" t="n"/>
      <c r="K68" s="392" t="n"/>
      <c r="L68" s="392" t="n"/>
      <c r="M68" s="392" t="n"/>
      <c r="N68" s="392" t="n"/>
      <c r="O68" s="393" t="n"/>
      <c r="P68" s="30" t="n"/>
      <c r="Q68" s="30" t="n"/>
      <c r="R68" s="31">
        <f>IFERROR(VLOOKUP($B68,LD!$B:$J,8,FALSE),"")</f>
        <v/>
      </c>
    </row>
    <row r="69" ht="45" customHeight="1">
      <c r="A69" s="29" t="n"/>
      <c r="B69" s="394" t="n"/>
      <c r="C69" s="392" t="n"/>
      <c r="D69" s="393" t="n"/>
      <c r="E69" s="391">
        <f>IF(B69="","",IFERROR(VLOOKUP(B69,LD!$B:$J,2,FALSE),""))</f>
        <v/>
      </c>
      <c r="F69" s="392" t="n"/>
      <c r="G69" s="392" t="n"/>
      <c r="H69" s="392" t="n"/>
      <c r="I69" s="392" t="n"/>
      <c r="J69" s="392" t="n"/>
      <c r="K69" s="392" t="n"/>
      <c r="L69" s="392" t="n"/>
      <c r="M69" s="392" t="n"/>
      <c r="N69" s="392" t="n"/>
      <c r="O69" s="393" t="n"/>
      <c r="P69" s="30" t="n"/>
      <c r="Q69" s="30" t="n"/>
      <c r="R69" s="31">
        <f>IFERROR(VLOOKUP($B69,LD!$B:$J,8,FALSE),"")</f>
        <v/>
      </c>
    </row>
    <row r="70" ht="45" customHeight="1">
      <c r="A70" s="29" t="n"/>
      <c r="B70" s="394" t="n"/>
      <c r="C70" s="392" t="n"/>
      <c r="D70" s="393" t="n"/>
      <c r="E70" s="391">
        <f>IF(B70="","",IFERROR(VLOOKUP(B70,LD!$B:$J,2,FALSE),""))</f>
        <v/>
      </c>
      <c r="F70" s="392" t="n"/>
      <c r="G70" s="392" t="n"/>
      <c r="H70" s="392" t="n"/>
      <c r="I70" s="392" t="n"/>
      <c r="J70" s="392" t="n"/>
      <c r="K70" s="392" t="n"/>
      <c r="L70" s="392" t="n"/>
      <c r="M70" s="392" t="n"/>
      <c r="N70" s="392" t="n"/>
      <c r="O70" s="393" t="n"/>
      <c r="P70" s="30" t="n"/>
      <c r="Q70" s="30" t="n"/>
      <c r="R70" s="31">
        <f>IFERROR(VLOOKUP($B70,LD!$B:$J,8,FALSE),"")</f>
        <v/>
      </c>
    </row>
    <row r="71" ht="45" customHeight="1">
      <c r="A71" s="29" t="n"/>
      <c r="B71" s="394" t="n"/>
      <c r="C71" s="392" t="n"/>
      <c r="D71" s="393" t="n"/>
      <c r="E71" s="391">
        <f>IF(B71="","",IFERROR(VLOOKUP(B71,LD!$B:$J,2,FALSE),""))</f>
        <v/>
      </c>
      <c r="F71" s="392" t="n"/>
      <c r="G71" s="392" t="n"/>
      <c r="H71" s="392" t="n"/>
      <c r="I71" s="392" t="n"/>
      <c r="J71" s="392" t="n"/>
      <c r="K71" s="392" t="n"/>
      <c r="L71" s="392" t="n"/>
      <c r="M71" s="392" t="n"/>
      <c r="N71" s="392" t="n"/>
      <c r="O71" s="393" t="n"/>
      <c r="P71" s="30" t="n"/>
      <c r="Q71" s="30" t="n"/>
      <c r="R71" s="31">
        <f>IFERROR(VLOOKUP($B71,LD!$B:$J,8,FALSE),"")</f>
        <v/>
      </c>
    </row>
    <row r="72" ht="45" customHeight="1">
      <c r="A72" s="29" t="n"/>
      <c r="B72" s="394" t="n"/>
      <c r="C72" s="392" t="n"/>
      <c r="D72" s="393" t="n"/>
      <c r="E72" s="391">
        <f>IF(B72="","",IFERROR(VLOOKUP(B72,LD!$B:$J,2,FALSE),""))</f>
        <v/>
      </c>
      <c r="F72" s="392" t="n"/>
      <c r="G72" s="392" t="n"/>
      <c r="H72" s="392" t="n"/>
      <c r="I72" s="392" t="n"/>
      <c r="J72" s="392" t="n"/>
      <c r="K72" s="392" t="n"/>
      <c r="L72" s="392" t="n"/>
      <c r="M72" s="392" t="n"/>
      <c r="N72" s="392" t="n"/>
      <c r="O72" s="393" t="n"/>
      <c r="P72" s="30" t="n"/>
      <c r="Q72" s="30" t="n"/>
      <c r="R72" s="31">
        <f>IFERROR(VLOOKUP($B72,LD!$B:$J,8,FALSE),"")</f>
        <v/>
      </c>
    </row>
    <row r="73" ht="45" customHeight="1">
      <c r="A73" s="29" t="n"/>
      <c r="B73" s="394" t="n"/>
      <c r="C73" s="392" t="n"/>
      <c r="D73" s="393" t="n"/>
      <c r="E73" s="391">
        <f>IF(B73="","",IFERROR(VLOOKUP(B73,LD!$B:$J,2,FALSE),""))</f>
        <v/>
      </c>
      <c r="F73" s="392" t="n"/>
      <c r="G73" s="392" t="n"/>
      <c r="H73" s="392" t="n"/>
      <c r="I73" s="392" t="n"/>
      <c r="J73" s="392" t="n"/>
      <c r="K73" s="392" t="n"/>
      <c r="L73" s="392" t="n"/>
      <c r="M73" s="392" t="n"/>
      <c r="N73" s="392" t="n"/>
      <c r="O73" s="393" t="n"/>
      <c r="P73" s="30" t="n"/>
      <c r="Q73" s="30" t="n"/>
      <c r="R73" s="31">
        <f>IFERROR(VLOOKUP($B73,LD!$B:$J,8,FALSE),"")</f>
        <v/>
      </c>
    </row>
    <row r="74" ht="45" customHeight="1">
      <c r="A74" s="29" t="n"/>
      <c r="B74" s="394" t="n"/>
      <c r="C74" s="392" t="n"/>
      <c r="D74" s="393" t="n"/>
      <c r="E74" s="391">
        <f>IF(B74="","",IFERROR(VLOOKUP(B74,LD!$B:$J,2,FALSE),""))</f>
        <v/>
      </c>
      <c r="F74" s="392" t="n"/>
      <c r="G74" s="392" t="n"/>
      <c r="H74" s="392" t="n"/>
      <c r="I74" s="392" t="n"/>
      <c r="J74" s="392" t="n"/>
      <c r="K74" s="392" t="n"/>
      <c r="L74" s="392" t="n"/>
      <c r="M74" s="392" t="n"/>
      <c r="N74" s="392" t="n"/>
      <c r="O74" s="393" t="n"/>
      <c r="P74" s="30" t="n"/>
      <c r="Q74" s="30" t="n"/>
      <c r="R74" s="31">
        <f>IFERROR(VLOOKUP($B74,LD!$B:$J,8,FALSE),"")</f>
        <v/>
      </c>
    </row>
    <row r="75" ht="45" customHeight="1">
      <c r="A75" s="29" t="n"/>
      <c r="B75" s="394" t="n"/>
      <c r="C75" s="392" t="n"/>
      <c r="D75" s="393" t="n"/>
      <c r="E75" s="391">
        <f>IF(B75="","",IFERROR(VLOOKUP(B75,LD!$B:$J,2,FALSE),""))</f>
        <v/>
      </c>
      <c r="F75" s="392" t="n"/>
      <c r="G75" s="392" t="n"/>
      <c r="H75" s="392" t="n"/>
      <c r="I75" s="392" t="n"/>
      <c r="J75" s="392" t="n"/>
      <c r="K75" s="392" t="n"/>
      <c r="L75" s="392" t="n"/>
      <c r="M75" s="392" t="n"/>
      <c r="N75" s="392" t="n"/>
      <c r="O75" s="393" t="n"/>
      <c r="P75" s="30" t="n"/>
      <c r="Q75" s="30" t="n"/>
      <c r="R75" s="31">
        <f>IFERROR(VLOOKUP($B75,LD!$B:$J,8,FALSE),"")</f>
        <v/>
      </c>
    </row>
    <row r="76" ht="45" customHeight="1">
      <c r="A76" s="29" t="n"/>
      <c r="B76" s="394" t="n"/>
      <c r="C76" s="392" t="n"/>
      <c r="D76" s="393" t="n"/>
      <c r="E76" s="391">
        <f>IF(B76="","",IFERROR(VLOOKUP(B76,LD!$B:$J,2,FALSE),""))</f>
        <v/>
      </c>
      <c r="F76" s="392" t="n"/>
      <c r="G76" s="392" t="n"/>
      <c r="H76" s="392" t="n"/>
      <c r="I76" s="392" t="n"/>
      <c r="J76" s="392" t="n"/>
      <c r="K76" s="392" t="n"/>
      <c r="L76" s="392" t="n"/>
      <c r="M76" s="392" t="n"/>
      <c r="N76" s="392" t="n"/>
      <c r="O76" s="393" t="n"/>
      <c r="P76" s="30" t="n"/>
      <c r="Q76" s="30" t="n"/>
      <c r="R76" s="31">
        <f>IFERROR(VLOOKUP($B76,LD!$B:$J,8,FALSE),"")</f>
        <v/>
      </c>
    </row>
    <row r="77" ht="45" customHeight="1">
      <c r="A77" s="29" t="n"/>
      <c r="B77" s="394" t="n"/>
      <c r="C77" s="392" t="n"/>
      <c r="D77" s="393" t="n"/>
      <c r="E77" s="391">
        <f>IF(B77="","",IFERROR(VLOOKUP(B77,LD!$B:$J,2,FALSE),""))</f>
        <v/>
      </c>
      <c r="F77" s="392" t="n"/>
      <c r="G77" s="392" t="n"/>
      <c r="H77" s="392" t="n"/>
      <c r="I77" s="392" t="n"/>
      <c r="J77" s="392" t="n"/>
      <c r="K77" s="392" t="n"/>
      <c r="L77" s="392" t="n"/>
      <c r="M77" s="392" t="n"/>
      <c r="N77" s="392" t="n"/>
      <c r="O77" s="393" t="n"/>
      <c r="P77" s="30" t="n"/>
      <c r="Q77" s="30" t="n"/>
      <c r="R77" s="31">
        <f>IFERROR(VLOOKUP($B77,LD!$B:$J,8,FALSE),"")</f>
        <v/>
      </c>
    </row>
    <row r="78" ht="45" customHeight="1">
      <c r="A78" s="29" t="n"/>
      <c r="B78" s="394" t="n"/>
      <c r="C78" s="392" t="n"/>
      <c r="D78" s="393" t="n"/>
      <c r="E78" s="391">
        <f>IF(B78="","",IFERROR(VLOOKUP(B78,LD!$B:$J,2,FALSE),""))</f>
        <v/>
      </c>
      <c r="F78" s="392" t="n"/>
      <c r="G78" s="392" t="n"/>
      <c r="H78" s="392" t="n"/>
      <c r="I78" s="392" t="n"/>
      <c r="J78" s="392" t="n"/>
      <c r="K78" s="392" t="n"/>
      <c r="L78" s="392" t="n"/>
      <c r="M78" s="392" t="n"/>
      <c r="N78" s="392" t="n"/>
      <c r="O78" s="393" t="n"/>
      <c r="P78" s="30" t="n"/>
      <c r="Q78" s="30" t="n"/>
      <c r="R78" s="31">
        <f>IFERROR(VLOOKUP($B78,LD!$B:$J,8,FALSE),"")</f>
        <v/>
      </c>
    </row>
    <row r="79" ht="45" customHeight="1">
      <c r="A79" s="29" t="n"/>
      <c r="B79" s="394" t="n"/>
      <c r="C79" s="392" t="n"/>
      <c r="D79" s="393" t="n"/>
      <c r="E79" s="391">
        <f>IF(B79="","",IFERROR(VLOOKUP(B79,LD!$B:$J,2,FALSE),""))</f>
        <v/>
      </c>
      <c r="F79" s="392" t="n"/>
      <c r="G79" s="392" t="n"/>
      <c r="H79" s="392" t="n"/>
      <c r="I79" s="392" t="n"/>
      <c r="J79" s="392" t="n"/>
      <c r="K79" s="392" t="n"/>
      <c r="L79" s="392" t="n"/>
      <c r="M79" s="392" t="n"/>
      <c r="N79" s="392" t="n"/>
      <c r="O79" s="393" t="n"/>
      <c r="P79" s="30" t="n"/>
      <c r="Q79" s="30" t="n"/>
      <c r="R79" s="31">
        <f>IFERROR(VLOOKUP($B79,LD!$B:$J,8,FALSE),"")</f>
        <v/>
      </c>
    </row>
    <row r="80" ht="45" customHeight="1">
      <c r="A80" s="29" t="n"/>
      <c r="B80" s="394" t="n"/>
      <c r="C80" s="392" t="n"/>
      <c r="D80" s="393" t="n"/>
      <c r="E80" s="391">
        <f>IF(B80="","",IFERROR(VLOOKUP(B80,LD!$B:$J,2,FALSE),""))</f>
        <v/>
      </c>
      <c r="F80" s="392" t="n"/>
      <c r="G80" s="392" t="n"/>
      <c r="H80" s="392" t="n"/>
      <c r="I80" s="392" t="n"/>
      <c r="J80" s="392" t="n"/>
      <c r="K80" s="392" t="n"/>
      <c r="L80" s="392" t="n"/>
      <c r="M80" s="392" t="n"/>
      <c r="N80" s="392" t="n"/>
      <c r="O80" s="393" t="n"/>
      <c r="P80" s="30" t="n"/>
      <c r="Q80" s="30" t="n"/>
      <c r="R80" s="31">
        <f>IFERROR(VLOOKUP($B80,LD!$B:$J,8,FALSE),"")</f>
        <v/>
      </c>
    </row>
    <row r="81" ht="45" customHeight="1">
      <c r="A81" s="29" t="n"/>
      <c r="B81" s="394" t="n"/>
      <c r="C81" s="392" t="n"/>
      <c r="D81" s="393" t="n"/>
      <c r="E81" s="391">
        <f>IF(B81="","",IFERROR(VLOOKUP(B81,LD!$B:$J,2,FALSE),""))</f>
        <v/>
      </c>
      <c r="F81" s="392" t="n"/>
      <c r="G81" s="392" t="n"/>
      <c r="H81" s="392" t="n"/>
      <c r="I81" s="392" t="n"/>
      <c r="J81" s="392" t="n"/>
      <c r="K81" s="392" t="n"/>
      <c r="L81" s="392" t="n"/>
      <c r="M81" s="392" t="n"/>
      <c r="N81" s="392" t="n"/>
      <c r="O81" s="393" t="n"/>
      <c r="P81" s="30" t="n"/>
      <c r="Q81" s="30" t="n"/>
      <c r="R81" s="31">
        <f>IFERROR(VLOOKUP($B81,LD!$B:$J,8,FALSE),"")</f>
        <v/>
      </c>
    </row>
    <row r="82" ht="45" customHeight="1">
      <c r="A82" s="29" t="n"/>
      <c r="B82" s="394" t="n"/>
      <c r="C82" s="392" t="n"/>
      <c r="D82" s="393" t="n"/>
      <c r="E82" s="391">
        <f>IF(B82="","",IFERROR(VLOOKUP(B82,LD!$B:$J,2,FALSE),""))</f>
        <v/>
      </c>
      <c r="F82" s="392" t="n"/>
      <c r="G82" s="392" t="n"/>
      <c r="H82" s="392" t="n"/>
      <c r="I82" s="392" t="n"/>
      <c r="J82" s="392" t="n"/>
      <c r="K82" s="392" t="n"/>
      <c r="L82" s="392" t="n"/>
      <c r="M82" s="392" t="n"/>
      <c r="N82" s="392" t="n"/>
      <c r="O82" s="393" t="n"/>
      <c r="P82" s="30" t="n"/>
      <c r="Q82" s="30" t="n"/>
      <c r="R82" s="31">
        <f>IFERROR(VLOOKUP($B82,LD!$B:$J,8,FALSE),"")</f>
        <v/>
      </c>
    </row>
    <row r="83" ht="45" customHeight="1">
      <c r="A83" s="29" t="n"/>
      <c r="B83" s="394" t="n"/>
      <c r="C83" s="392" t="n"/>
      <c r="D83" s="393" t="n"/>
      <c r="E83" s="391">
        <f>IF(B83="","",IFERROR(VLOOKUP(B83,LD!$B:$J,2,FALSE),""))</f>
        <v/>
      </c>
      <c r="F83" s="392" t="n"/>
      <c r="G83" s="392" t="n"/>
      <c r="H83" s="392" t="n"/>
      <c r="I83" s="392" t="n"/>
      <c r="J83" s="392" t="n"/>
      <c r="K83" s="392" t="n"/>
      <c r="L83" s="392" t="n"/>
      <c r="M83" s="392" t="n"/>
      <c r="N83" s="392" t="n"/>
      <c r="O83" s="393" t="n"/>
      <c r="P83" s="30" t="n"/>
      <c r="Q83" s="30" t="n"/>
      <c r="R83" s="31">
        <f>IFERROR(VLOOKUP($B83,LD!$B:$J,8,FALSE),"")</f>
        <v/>
      </c>
    </row>
    <row r="84" ht="45" customHeight="1">
      <c r="A84" s="29" t="n"/>
      <c r="B84" s="394" t="n"/>
      <c r="C84" s="392" t="n"/>
      <c r="D84" s="393" t="n"/>
      <c r="E84" s="391">
        <f>IF(B84="","",IFERROR(VLOOKUP(B84,LD!$B:$J,2,FALSE),""))</f>
        <v/>
      </c>
      <c r="F84" s="392" t="n"/>
      <c r="G84" s="392" t="n"/>
      <c r="H84" s="392" t="n"/>
      <c r="I84" s="392" t="n"/>
      <c r="J84" s="392" t="n"/>
      <c r="K84" s="392" t="n"/>
      <c r="L84" s="392" t="n"/>
      <c r="M84" s="392" t="n"/>
      <c r="N84" s="392" t="n"/>
      <c r="O84" s="393" t="n"/>
      <c r="P84" s="30" t="n"/>
      <c r="Q84" s="30" t="n"/>
      <c r="R84" s="31">
        <f>IFERROR(VLOOKUP($B84,LD!$B:$J,8,FALSE),"")</f>
        <v/>
      </c>
    </row>
    <row r="85" ht="45" customHeight="1">
      <c r="A85" s="29" t="n"/>
      <c r="B85" s="394" t="n"/>
      <c r="C85" s="392" t="n"/>
      <c r="D85" s="393" t="n"/>
      <c r="E85" s="391">
        <f>IF(B85="","",IFERROR(VLOOKUP(B85,LD!$B:$J,2,FALSE),""))</f>
        <v/>
      </c>
      <c r="F85" s="392" t="n"/>
      <c r="G85" s="392" t="n"/>
      <c r="H85" s="392" t="n"/>
      <c r="I85" s="392" t="n"/>
      <c r="J85" s="392" t="n"/>
      <c r="K85" s="392" t="n"/>
      <c r="L85" s="392" t="n"/>
      <c r="M85" s="392" t="n"/>
      <c r="N85" s="392" t="n"/>
      <c r="O85" s="393" t="n"/>
      <c r="P85" s="30" t="n"/>
      <c r="Q85" s="30" t="n"/>
      <c r="R85" s="31">
        <f>IFERROR(VLOOKUP($B85,LD!$B:$J,8,FALSE),"")</f>
        <v/>
      </c>
    </row>
    <row r="86" ht="45" customHeight="1">
      <c r="A86" s="29" t="n"/>
      <c r="B86" s="394" t="n"/>
      <c r="C86" s="392" t="n"/>
      <c r="D86" s="393" t="n"/>
      <c r="E86" s="391">
        <f>IF(B86="","",IFERROR(VLOOKUP(B86,LD!$B:$J,2,FALSE),""))</f>
        <v/>
      </c>
      <c r="F86" s="392" t="n"/>
      <c r="G86" s="392" t="n"/>
      <c r="H86" s="392" t="n"/>
      <c r="I86" s="392" t="n"/>
      <c r="J86" s="392" t="n"/>
      <c r="K86" s="392" t="n"/>
      <c r="L86" s="392" t="n"/>
      <c r="M86" s="392" t="n"/>
      <c r="N86" s="392" t="n"/>
      <c r="O86" s="393" t="n"/>
      <c r="P86" s="30" t="n"/>
      <c r="Q86" s="30" t="n"/>
      <c r="R86" s="31">
        <f>IFERROR(VLOOKUP($B86,LD!$B:$J,8,FALSE),"")</f>
        <v/>
      </c>
    </row>
    <row r="87" ht="45" customHeight="1">
      <c r="A87" s="29" t="n"/>
      <c r="B87" s="394" t="n"/>
      <c r="C87" s="392" t="n"/>
      <c r="D87" s="393" t="n"/>
      <c r="E87" s="391">
        <f>IF(B87="","",IFERROR(VLOOKUP(B87,LD!$B:$J,2,FALSE),""))</f>
        <v/>
      </c>
      <c r="F87" s="392" t="n"/>
      <c r="G87" s="392" t="n"/>
      <c r="H87" s="392" t="n"/>
      <c r="I87" s="392" t="n"/>
      <c r="J87" s="392" t="n"/>
      <c r="K87" s="392" t="n"/>
      <c r="L87" s="392" t="n"/>
      <c r="M87" s="392" t="n"/>
      <c r="N87" s="392" t="n"/>
      <c r="O87" s="393" t="n"/>
      <c r="P87" s="30" t="n"/>
      <c r="Q87" s="30" t="n"/>
      <c r="R87" s="31">
        <f>IFERROR(VLOOKUP($B87,LD!$B:$J,8,FALSE),"")</f>
        <v/>
      </c>
    </row>
    <row r="88" ht="45" customHeight="1">
      <c r="A88" s="29" t="n"/>
      <c r="B88" s="394" t="n"/>
      <c r="C88" s="392" t="n"/>
      <c r="D88" s="393" t="n"/>
      <c r="E88" s="391">
        <f>IF(B88="","",IFERROR(VLOOKUP(B88,LD!$B:$J,2,FALSE),""))</f>
        <v/>
      </c>
      <c r="F88" s="392" t="n"/>
      <c r="G88" s="392" t="n"/>
      <c r="H88" s="392" t="n"/>
      <c r="I88" s="392" t="n"/>
      <c r="J88" s="392" t="n"/>
      <c r="K88" s="392" t="n"/>
      <c r="L88" s="392" t="n"/>
      <c r="M88" s="392" t="n"/>
      <c r="N88" s="392" t="n"/>
      <c r="O88" s="393" t="n"/>
      <c r="P88" s="30" t="n"/>
      <c r="Q88" s="30" t="n"/>
      <c r="R88" s="31">
        <f>IFERROR(VLOOKUP($B88,LD!$B:$J,8,FALSE),"")</f>
        <v/>
      </c>
    </row>
    <row r="89" ht="45" customHeight="1">
      <c r="A89" s="29" t="n"/>
      <c r="B89" s="394" t="n"/>
      <c r="C89" s="392" t="n"/>
      <c r="D89" s="393" t="n"/>
      <c r="E89" s="391">
        <f>IF(B89="","",IFERROR(VLOOKUP(B89,LD!$B:$J,2,FALSE),""))</f>
        <v/>
      </c>
      <c r="F89" s="392" t="n"/>
      <c r="G89" s="392" t="n"/>
      <c r="H89" s="392" t="n"/>
      <c r="I89" s="392" t="n"/>
      <c r="J89" s="392" t="n"/>
      <c r="K89" s="392" t="n"/>
      <c r="L89" s="392" t="n"/>
      <c r="M89" s="392" t="n"/>
      <c r="N89" s="392" t="n"/>
      <c r="O89" s="393" t="n"/>
      <c r="P89" s="30" t="n"/>
      <c r="Q89" s="30" t="n"/>
      <c r="R89" s="31">
        <f>IFERROR(VLOOKUP($B89,LD!$B:$J,8,FALSE),"")</f>
        <v/>
      </c>
    </row>
    <row r="90" ht="45" customHeight="1">
      <c r="A90" s="29" t="n"/>
      <c r="B90" s="394" t="n"/>
      <c r="C90" s="392" t="n"/>
      <c r="D90" s="393" t="n"/>
      <c r="E90" s="391">
        <f>IF(B90="","",IFERROR(VLOOKUP(B90,LD!$B:$J,2,FALSE),""))</f>
        <v/>
      </c>
      <c r="F90" s="392" t="n"/>
      <c r="G90" s="392" t="n"/>
      <c r="H90" s="392" t="n"/>
      <c r="I90" s="392" t="n"/>
      <c r="J90" s="392" t="n"/>
      <c r="K90" s="392" t="n"/>
      <c r="L90" s="392" t="n"/>
      <c r="M90" s="392" t="n"/>
      <c r="N90" s="392" t="n"/>
      <c r="O90" s="393" t="n"/>
      <c r="P90" s="30" t="n"/>
      <c r="Q90" s="30" t="n"/>
      <c r="R90" s="31">
        <f>IFERROR(VLOOKUP($B90,LD!$B:$J,8,FALSE),"")</f>
        <v/>
      </c>
    </row>
    <row r="91" ht="45" customHeight="1">
      <c r="A91" s="29" t="n"/>
      <c r="B91" s="394" t="n"/>
      <c r="C91" s="392" t="n"/>
      <c r="D91" s="393" t="n"/>
      <c r="E91" s="391">
        <f>IF(B91="","",IFERROR(VLOOKUP(B91,LD!$B:$J,2,FALSE),""))</f>
        <v/>
      </c>
      <c r="F91" s="392" t="n"/>
      <c r="G91" s="392" t="n"/>
      <c r="H91" s="392" t="n"/>
      <c r="I91" s="392" t="n"/>
      <c r="J91" s="392" t="n"/>
      <c r="K91" s="392" t="n"/>
      <c r="L91" s="392" t="n"/>
      <c r="M91" s="392" t="n"/>
      <c r="N91" s="392" t="n"/>
      <c r="O91" s="393" t="n"/>
      <c r="P91" s="30" t="n"/>
      <c r="Q91" s="30" t="n"/>
      <c r="R91" s="31">
        <f>IFERROR(VLOOKUP($B91,LD!$B:$J,8,FALSE),"")</f>
        <v/>
      </c>
    </row>
    <row r="92" ht="45" customHeight="1">
      <c r="A92" s="29" t="n"/>
      <c r="B92" s="394" t="n"/>
      <c r="C92" s="392" t="n"/>
      <c r="D92" s="393" t="n"/>
      <c r="E92" s="391">
        <f>IF(B92="","",IFERROR(VLOOKUP(B92,LD!$B:$J,2,FALSE),""))</f>
        <v/>
      </c>
      <c r="F92" s="392" t="n"/>
      <c r="G92" s="392" t="n"/>
      <c r="H92" s="392" t="n"/>
      <c r="I92" s="392" t="n"/>
      <c r="J92" s="392" t="n"/>
      <c r="K92" s="392" t="n"/>
      <c r="L92" s="392" t="n"/>
      <c r="M92" s="392" t="n"/>
      <c r="N92" s="392" t="n"/>
      <c r="O92" s="393" t="n"/>
      <c r="P92" s="30" t="n"/>
      <c r="Q92" s="30" t="n"/>
      <c r="R92" s="31">
        <f>IFERROR(VLOOKUP($B92,LD!$B:$J,8,FALSE),"")</f>
        <v/>
      </c>
    </row>
    <row r="93" ht="45" customHeight="1">
      <c r="A93" s="29" t="n"/>
      <c r="B93" s="394" t="n"/>
      <c r="C93" s="392" t="n"/>
      <c r="D93" s="393" t="n"/>
      <c r="E93" s="391">
        <f>IF(B93="","",IFERROR(VLOOKUP(B93,LD!$B:$J,2,FALSE),""))</f>
        <v/>
      </c>
      <c r="F93" s="392" t="n"/>
      <c r="G93" s="392" t="n"/>
      <c r="H93" s="392" t="n"/>
      <c r="I93" s="392" t="n"/>
      <c r="J93" s="392" t="n"/>
      <c r="K93" s="392" t="n"/>
      <c r="L93" s="392" t="n"/>
      <c r="M93" s="392" t="n"/>
      <c r="N93" s="392" t="n"/>
      <c r="O93" s="393" t="n"/>
      <c r="P93" s="30" t="n"/>
      <c r="Q93" s="30" t="n"/>
      <c r="R93" s="31">
        <f>IFERROR(VLOOKUP($B93,LD!$B:$J,8,FALSE),"")</f>
        <v/>
      </c>
    </row>
    <row r="94" ht="45" customHeight="1">
      <c r="A94" s="29" t="n"/>
      <c r="B94" s="394" t="n"/>
      <c r="C94" s="392" t="n"/>
      <c r="D94" s="393" t="n"/>
      <c r="E94" s="391">
        <f>IF(B94="","",IFERROR(VLOOKUP(B94,LD!$B:$J,2,FALSE),""))</f>
        <v/>
      </c>
      <c r="F94" s="392" t="n"/>
      <c r="G94" s="392" t="n"/>
      <c r="H94" s="392" t="n"/>
      <c r="I94" s="392" t="n"/>
      <c r="J94" s="392" t="n"/>
      <c r="K94" s="392" t="n"/>
      <c r="L94" s="392" t="n"/>
      <c r="M94" s="392" t="n"/>
      <c r="N94" s="392" t="n"/>
      <c r="O94" s="393" t="n"/>
      <c r="P94" s="30" t="n"/>
      <c r="Q94" s="30" t="n"/>
      <c r="R94" s="31">
        <f>IFERROR(VLOOKUP($B94,LD!$B:$J,8,FALSE),"")</f>
        <v/>
      </c>
    </row>
    <row r="95" ht="45" customHeight="1">
      <c r="A95" s="29" t="n"/>
      <c r="B95" s="394" t="n"/>
      <c r="C95" s="392" t="n"/>
      <c r="D95" s="393" t="n"/>
      <c r="E95" s="391">
        <f>IF(B95="","",IFERROR(VLOOKUP(B95,LD!$B:$J,2,FALSE),""))</f>
        <v/>
      </c>
      <c r="F95" s="392" t="n"/>
      <c r="G95" s="392" t="n"/>
      <c r="H95" s="392" t="n"/>
      <c r="I95" s="392" t="n"/>
      <c r="J95" s="392" t="n"/>
      <c r="K95" s="392" t="n"/>
      <c r="L95" s="392" t="n"/>
      <c r="M95" s="392" t="n"/>
      <c r="N95" s="392" t="n"/>
      <c r="O95" s="393" t="n"/>
      <c r="P95" s="30" t="n"/>
      <c r="Q95" s="30" t="n"/>
      <c r="R95" s="31">
        <f>IFERROR(VLOOKUP($B95,LD!$B:$J,8,FALSE),"")</f>
        <v/>
      </c>
    </row>
    <row r="96" ht="45" customHeight="1">
      <c r="A96" s="29" t="n"/>
      <c r="B96" s="394" t="n"/>
      <c r="C96" s="392" t="n"/>
      <c r="D96" s="393" t="n"/>
      <c r="E96" s="391">
        <f>IF(B96="","",IFERROR(VLOOKUP(B96,LD!$B:$J,2,FALSE),""))</f>
        <v/>
      </c>
      <c r="F96" s="392" t="n"/>
      <c r="G96" s="392" t="n"/>
      <c r="H96" s="392" t="n"/>
      <c r="I96" s="392" t="n"/>
      <c r="J96" s="392" t="n"/>
      <c r="K96" s="392" t="n"/>
      <c r="L96" s="392" t="n"/>
      <c r="M96" s="392" t="n"/>
      <c r="N96" s="392" t="n"/>
      <c r="O96" s="393" t="n"/>
      <c r="P96" s="30" t="n"/>
      <c r="Q96" s="30" t="n"/>
      <c r="R96" s="31">
        <f>IFERROR(VLOOKUP($B96,LD!$B:$J,8,FALSE),"")</f>
        <v/>
      </c>
    </row>
    <row r="97" ht="45" customHeight="1">
      <c r="A97" s="29" t="n"/>
      <c r="B97" s="394" t="n"/>
      <c r="C97" s="392" t="n"/>
      <c r="D97" s="393" t="n"/>
      <c r="E97" s="391">
        <f>IF(B97="","",IFERROR(VLOOKUP(B97,LD!$B:$J,2,FALSE),""))</f>
        <v/>
      </c>
      <c r="F97" s="392" t="n"/>
      <c r="G97" s="392" t="n"/>
      <c r="H97" s="392" t="n"/>
      <c r="I97" s="392" t="n"/>
      <c r="J97" s="392" t="n"/>
      <c r="K97" s="392" t="n"/>
      <c r="L97" s="392" t="n"/>
      <c r="M97" s="392" t="n"/>
      <c r="N97" s="392" t="n"/>
      <c r="O97" s="393" t="n"/>
      <c r="P97" s="30" t="n"/>
      <c r="Q97" s="30" t="n"/>
      <c r="R97" s="31">
        <f>IFERROR(VLOOKUP($B97,LD!$B:$J,8,FALSE),"")</f>
        <v/>
      </c>
    </row>
    <row r="98" ht="45" customHeight="1">
      <c r="A98" s="29" t="n"/>
      <c r="B98" s="394" t="n"/>
      <c r="C98" s="392" t="n"/>
      <c r="D98" s="393" t="n"/>
      <c r="E98" s="391">
        <f>IF(B98="","",IFERROR(VLOOKUP(B98,LD!$B:$J,2,FALSE),""))</f>
        <v/>
      </c>
      <c r="F98" s="392" t="n"/>
      <c r="G98" s="392" t="n"/>
      <c r="H98" s="392" t="n"/>
      <c r="I98" s="392" t="n"/>
      <c r="J98" s="392" t="n"/>
      <c r="K98" s="392" t="n"/>
      <c r="L98" s="392" t="n"/>
      <c r="M98" s="392" t="n"/>
      <c r="N98" s="392" t="n"/>
      <c r="O98" s="393" t="n"/>
      <c r="P98" s="30" t="n"/>
      <c r="Q98" s="30" t="n"/>
      <c r="R98" s="31">
        <f>IFERROR(VLOOKUP($B98,LD!$B:$J,8,FALSE),"")</f>
        <v/>
      </c>
    </row>
    <row r="99" ht="45" customHeight="1">
      <c r="A99" s="29" t="n"/>
      <c r="B99" s="394" t="n"/>
      <c r="C99" s="392" t="n"/>
      <c r="D99" s="393" t="n"/>
      <c r="E99" s="391">
        <f>IF(B99="","",IFERROR(VLOOKUP(B99,LD!$B:$J,2,FALSE),""))</f>
        <v/>
      </c>
      <c r="F99" s="392" t="n"/>
      <c r="G99" s="392" t="n"/>
      <c r="H99" s="392" t="n"/>
      <c r="I99" s="392" t="n"/>
      <c r="J99" s="392" t="n"/>
      <c r="K99" s="392" t="n"/>
      <c r="L99" s="392" t="n"/>
      <c r="M99" s="392" t="n"/>
      <c r="N99" s="392" t="n"/>
      <c r="O99" s="393" t="n"/>
      <c r="P99" s="30" t="n"/>
      <c r="Q99" s="30" t="n"/>
      <c r="R99" s="31">
        <f>IFERROR(VLOOKUP($B99,LD!$B:$J,8,FALSE),"")</f>
        <v/>
      </c>
    </row>
    <row r="100" ht="45" customHeight="1">
      <c r="A100" s="29" t="n"/>
      <c r="B100" s="394" t="n"/>
      <c r="C100" s="392" t="n"/>
      <c r="D100" s="393" t="n"/>
      <c r="E100" s="391">
        <f>IF(B100="","",IFERROR(VLOOKUP(B100,LD!$B:$J,2,FALSE),""))</f>
        <v/>
      </c>
      <c r="F100" s="392" t="n"/>
      <c r="G100" s="392" t="n"/>
      <c r="H100" s="392" t="n"/>
      <c r="I100" s="392" t="n"/>
      <c r="J100" s="392" t="n"/>
      <c r="K100" s="392" t="n"/>
      <c r="L100" s="392" t="n"/>
      <c r="M100" s="392" t="n"/>
      <c r="N100" s="392" t="n"/>
      <c r="O100" s="393" t="n"/>
      <c r="P100" s="30" t="n"/>
      <c r="Q100" s="30" t="n"/>
      <c r="R100" s="31">
        <f>IFERROR(VLOOKUP($B100,LD!$B:$J,8,FALSE),"")</f>
        <v/>
      </c>
    </row>
    <row r="101" ht="45" customHeight="1">
      <c r="A101" s="29" t="n"/>
      <c r="B101" s="394" t="n"/>
      <c r="C101" s="392" t="n"/>
      <c r="D101" s="393" t="n"/>
      <c r="E101" s="391">
        <f>IF(B101="","",IFERROR(VLOOKUP(B101,LD!$B:$J,2,FALSE),""))</f>
        <v/>
      </c>
      <c r="F101" s="392" t="n"/>
      <c r="G101" s="392" t="n"/>
      <c r="H101" s="392" t="n"/>
      <c r="I101" s="392" t="n"/>
      <c r="J101" s="392" t="n"/>
      <c r="K101" s="392" t="n"/>
      <c r="L101" s="392" t="n"/>
      <c r="M101" s="392" t="n"/>
      <c r="N101" s="392" t="n"/>
      <c r="O101" s="393" t="n"/>
      <c r="P101" s="30" t="n"/>
      <c r="Q101" s="30" t="n"/>
      <c r="R101" s="31">
        <f>IFERROR(VLOOKUP($B101,LD!$B:$J,8,FALSE),"")</f>
        <v/>
      </c>
    </row>
    <row r="102" ht="45" customHeight="1">
      <c r="A102" s="29" t="n"/>
      <c r="B102" s="394" t="n"/>
      <c r="C102" s="392" t="n"/>
      <c r="D102" s="393" t="n"/>
      <c r="E102" s="391">
        <f>IF(B102="","",IFERROR(VLOOKUP(B102,LD!$B:$J,2,FALSE),""))</f>
        <v/>
      </c>
      <c r="F102" s="392" t="n"/>
      <c r="G102" s="392" t="n"/>
      <c r="H102" s="392" t="n"/>
      <c r="I102" s="392" t="n"/>
      <c r="J102" s="392" t="n"/>
      <c r="K102" s="392" t="n"/>
      <c r="L102" s="392" t="n"/>
      <c r="M102" s="392" t="n"/>
      <c r="N102" s="392" t="n"/>
      <c r="O102" s="393" t="n"/>
      <c r="P102" s="30" t="n"/>
      <c r="Q102" s="30" t="n"/>
      <c r="R102" s="31">
        <f>IFERROR(VLOOKUP($B102,LD!$B:$J,8,FALSE),"")</f>
        <v/>
      </c>
    </row>
    <row r="103" ht="45" customHeight="1">
      <c r="A103" s="29" t="n"/>
      <c r="B103" s="394" t="n"/>
      <c r="C103" s="392" t="n"/>
      <c r="D103" s="393" t="n"/>
      <c r="E103" s="391">
        <f>IF(B103="","",IFERROR(VLOOKUP(B103,LD!$B:$J,2,FALSE),""))</f>
        <v/>
      </c>
      <c r="F103" s="392" t="n"/>
      <c r="G103" s="392" t="n"/>
      <c r="H103" s="392" t="n"/>
      <c r="I103" s="392" t="n"/>
      <c r="J103" s="392" t="n"/>
      <c r="K103" s="392" t="n"/>
      <c r="L103" s="392" t="n"/>
      <c r="M103" s="392" t="n"/>
      <c r="N103" s="392" t="n"/>
      <c r="O103" s="393" t="n"/>
      <c r="P103" s="30" t="n"/>
      <c r="Q103" s="30" t="n"/>
      <c r="R103" s="31">
        <f>IFERROR(VLOOKUP($B103,LD!$B:$J,8,FALSE),"")</f>
        <v/>
      </c>
    </row>
    <row r="104" ht="45" customHeight="1">
      <c r="A104" s="29" t="n"/>
      <c r="B104" s="394" t="n"/>
      <c r="C104" s="392" t="n"/>
      <c r="D104" s="393" t="n"/>
      <c r="E104" s="391">
        <f>IF(B104="","",IFERROR(VLOOKUP(B104,LD!$B:$J,2,FALSE),""))</f>
        <v/>
      </c>
      <c r="F104" s="392" t="n"/>
      <c r="G104" s="392" t="n"/>
      <c r="H104" s="392" t="n"/>
      <c r="I104" s="392" t="n"/>
      <c r="J104" s="392" t="n"/>
      <c r="K104" s="392" t="n"/>
      <c r="L104" s="392" t="n"/>
      <c r="M104" s="392" t="n"/>
      <c r="N104" s="392" t="n"/>
      <c r="O104" s="393" t="n"/>
      <c r="P104" s="30" t="n"/>
      <c r="Q104" s="30" t="n"/>
      <c r="R104" s="31">
        <f>IFERROR(VLOOKUP($B104,LD!$B:$J,8,FALSE),"")</f>
        <v/>
      </c>
    </row>
    <row r="105" ht="45" customHeight="1">
      <c r="A105" s="29" t="n"/>
      <c r="B105" s="394" t="n"/>
      <c r="C105" s="392" t="n"/>
      <c r="D105" s="393" t="n"/>
      <c r="E105" s="391">
        <f>IF(B105="","",IFERROR(VLOOKUP(B105,LD!$B:$J,2,FALSE),""))</f>
        <v/>
      </c>
      <c r="F105" s="392" t="n"/>
      <c r="G105" s="392" t="n"/>
      <c r="H105" s="392" t="n"/>
      <c r="I105" s="392" t="n"/>
      <c r="J105" s="392" t="n"/>
      <c r="K105" s="392" t="n"/>
      <c r="L105" s="392" t="n"/>
      <c r="M105" s="392" t="n"/>
      <c r="N105" s="392" t="n"/>
      <c r="O105" s="393" t="n"/>
      <c r="P105" s="30" t="n"/>
      <c r="Q105" s="30" t="n"/>
      <c r="R105" s="31">
        <f>IFERROR(VLOOKUP($B105,LD!$B:$J,8,FALSE),"")</f>
        <v/>
      </c>
    </row>
    <row r="106" ht="45" customHeight="1">
      <c r="A106" s="29" t="n"/>
      <c r="B106" s="394" t="n"/>
      <c r="C106" s="392" t="n"/>
      <c r="D106" s="393" t="n"/>
      <c r="E106" s="391">
        <f>IF(B106="","",IFERROR(VLOOKUP(B106,LD!$B:$J,2,FALSE),""))</f>
        <v/>
      </c>
      <c r="F106" s="392" t="n"/>
      <c r="G106" s="392" t="n"/>
      <c r="H106" s="392" t="n"/>
      <c r="I106" s="392" t="n"/>
      <c r="J106" s="392" t="n"/>
      <c r="K106" s="392" t="n"/>
      <c r="L106" s="392" t="n"/>
      <c r="M106" s="392" t="n"/>
      <c r="N106" s="392" t="n"/>
      <c r="O106" s="393" t="n"/>
      <c r="P106" s="30" t="n"/>
      <c r="Q106" s="30" t="n"/>
      <c r="R106" s="31">
        <f>IFERROR(VLOOKUP($B106,LD!$B:$J,8,FALSE),"")</f>
        <v/>
      </c>
    </row>
    <row r="107" ht="45" customHeight="1">
      <c r="A107" s="29" t="n"/>
      <c r="B107" s="394" t="n"/>
      <c r="C107" s="392" t="n"/>
      <c r="D107" s="393" t="n"/>
      <c r="E107" s="391">
        <f>IF(B107="","",IFERROR(VLOOKUP(B107,LD!$B:$J,2,FALSE),""))</f>
        <v/>
      </c>
      <c r="F107" s="392" t="n"/>
      <c r="G107" s="392" t="n"/>
      <c r="H107" s="392" t="n"/>
      <c r="I107" s="392" t="n"/>
      <c r="J107" s="392" t="n"/>
      <c r="K107" s="392" t="n"/>
      <c r="L107" s="392" t="n"/>
      <c r="M107" s="392" t="n"/>
      <c r="N107" s="392" t="n"/>
      <c r="O107" s="393" t="n"/>
      <c r="P107" s="30" t="n"/>
      <c r="Q107" s="30" t="n"/>
      <c r="R107" s="31">
        <f>IFERROR(VLOOKUP($B107,LD!$B:$J,8,FALSE),"")</f>
        <v/>
      </c>
    </row>
    <row r="108" ht="45" customHeight="1">
      <c r="A108" s="29" t="n"/>
      <c r="B108" s="394" t="n"/>
      <c r="C108" s="392" t="n"/>
      <c r="D108" s="393" t="n"/>
      <c r="E108" s="391">
        <f>IF(B108="","",IFERROR(VLOOKUP(B108,LD!$B:$J,2,FALSE),""))</f>
        <v/>
      </c>
      <c r="F108" s="392" t="n"/>
      <c r="G108" s="392" t="n"/>
      <c r="H108" s="392" t="n"/>
      <c r="I108" s="392" t="n"/>
      <c r="J108" s="392" t="n"/>
      <c r="K108" s="392" t="n"/>
      <c r="L108" s="392" t="n"/>
      <c r="M108" s="392" t="n"/>
      <c r="N108" s="392" t="n"/>
      <c r="O108" s="393" t="n"/>
      <c r="P108" s="30" t="n"/>
      <c r="Q108" s="30" t="n"/>
      <c r="R108" s="31">
        <f>IFERROR(VLOOKUP($B108,LD!$B:$J,8,FALSE),"")</f>
        <v/>
      </c>
    </row>
    <row r="109" ht="45" customHeight="1">
      <c r="A109" s="29" t="n"/>
      <c r="B109" s="394" t="n"/>
      <c r="C109" s="392" t="n"/>
      <c r="D109" s="393" t="n"/>
      <c r="E109" s="391">
        <f>IF(B109="","",IFERROR(VLOOKUP(B109,LD!$B:$J,2,FALSE),""))</f>
        <v/>
      </c>
      <c r="F109" s="392" t="n"/>
      <c r="G109" s="392" t="n"/>
      <c r="H109" s="392" t="n"/>
      <c r="I109" s="392" t="n"/>
      <c r="J109" s="392" t="n"/>
      <c r="K109" s="392" t="n"/>
      <c r="L109" s="392" t="n"/>
      <c r="M109" s="392" t="n"/>
      <c r="N109" s="392" t="n"/>
      <c r="O109" s="393" t="n"/>
      <c r="P109" s="30" t="n"/>
      <c r="Q109" s="30" t="n"/>
      <c r="R109" s="31">
        <f>IFERROR(VLOOKUP($B109,LD!$B:$J,8,FALSE),"")</f>
        <v/>
      </c>
    </row>
    <row r="110" ht="45" customHeight="1">
      <c r="A110" s="29" t="n"/>
      <c r="B110" s="394" t="n"/>
      <c r="C110" s="392" t="n"/>
      <c r="D110" s="393" t="n"/>
      <c r="E110" s="391">
        <f>IF(B110="","",IFERROR(VLOOKUP(B110,LD!$B:$J,2,FALSE),""))</f>
        <v/>
      </c>
      <c r="F110" s="392" t="n"/>
      <c r="G110" s="392" t="n"/>
      <c r="H110" s="392" t="n"/>
      <c r="I110" s="392" t="n"/>
      <c r="J110" s="392" t="n"/>
      <c r="K110" s="392" t="n"/>
      <c r="L110" s="392" t="n"/>
      <c r="M110" s="392" t="n"/>
      <c r="N110" s="392" t="n"/>
      <c r="O110" s="393" t="n"/>
      <c r="P110" s="30" t="n"/>
      <c r="Q110" s="30" t="n"/>
      <c r="R110" s="31">
        <f>IFERROR(VLOOKUP($B110,LD!$B:$J,8,FALSE),"")</f>
        <v/>
      </c>
    </row>
    <row r="111" ht="45" customHeight="1">
      <c r="A111" s="29" t="n"/>
      <c r="B111" s="394" t="n"/>
      <c r="C111" s="392" t="n"/>
      <c r="D111" s="393" t="n"/>
      <c r="E111" s="391">
        <f>IF(B111="","",IFERROR(VLOOKUP(B111,LD!$B:$J,2,FALSE),""))</f>
        <v/>
      </c>
      <c r="F111" s="392" t="n"/>
      <c r="G111" s="392" t="n"/>
      <c r="H111" s="392" t="n"/>
      <c r="I111" s="392" t="n"/>
      <c r="J111" s="392" t="n"/>
      <c r="K111" s="392" t="n"/>
      <c r="L111" s="392" t="n"/>
      <c r="M111" s="392" t="n"/>
      <c r="N111" s="392" t="n"/>
      <c r="O111" s="393" t="n"/>
      <c r="P111" s="30" t="n"/>
      <c r="Q111" s="30" t="n"/>
      <c r="R111" s="31">
        <f>IFERROR(VLOOKUP($B111,LD!$B:$J,8,FALSE),"")</f>
        <v/>
      </c>
    </row>
    <row r="112" ht="45" customHeight="1">
      <c r="A112" s="29" t="n"/>
      <c r="B112" s="394" t="n"/>
      <c r="C112" s="392" t="n"/>
      <c r="D112" s="393" t="n"/>
      <c r="E112" s="391">
        <f>IF(B112="","",IFERROR(VLOOKUP(B112,LD!$B:$J,2,FALSE),""))</f>
        <v/>
      </c>
      <c r="F112" s="392" t="n"/>
      <c r="G112" s="392" t="n"/>
      <c r="H112" s="392" t="n"/>
      <c r="I112" s="392" t="n"/>
      <c r="J112" s="392" t="n"/>
      <c r="K112" s="392" t="n"/>
      <c r="L112" s="392" t="n"/>
      <c r="M112" s="392" t="n"/>
      <c r="N112" s="392" t="n"/>
      <c r="O112" s="393" t="n"/>
      <c r="P112" s="30" t="n"/>
      <c r="Q112" s="30" t="n"/>
      <c r="R112" s="31">
        <f>IFERROR(VLOOKUP($B112,LD!$B:$J,8,FALSE),"")</f>
        <v/>
      </c>
    </row>
    <row r="113" ht="45" customHeight="1">
      <c r="A113" s="29" t="n"/>
      <c r="B113" s="394" t="n"/>
      <c r="C113" s="392" t="n"/>
      <c r="D113" s="393" t="n"/>
      <c r="E113" s="391">
        <f>IF(B113="","",IFERROR(VLOOKUP(B113,LD!$B:$J,2,FALSE),""))</f>
        <v/>
      </c>
      <c r="F113" s="392" t="n"/>
      <c r="G113" s="392" t="n"/>
      <c r="H113" s="392" t="n"/>
      <c r="I113" s="392" t="n"/>
      <c r="J113" s="392" t="n"/>
      <c r="K113" s="392" t="n"/>
      <c r="L113" s="392" t="n"/>
      <c r="M113" s="392" t="n"/>
      <c r="N113" s="392" t="n"/>
      <c r="O113" s="393" t="n"/>
      <c r="P113" s="30" t="n"/>
      <c r="Q113" s="30" t="n"/>
      <c r="R113" s="31">
        <f>IFERROR(VLOOKUP($B113,LD!$B:$J,8,FALSE),"")</f>
        <v/>
      </c>
    </row>
    <row r="114" ht="45" customHeight="1">
      <c r="A114" s="29" t="n"/>
      <c r="B114" s="394" t="n"/>
      <c r="C114" s="392" t="n"/>
      <c r="D114" s="393" t="n"/>
      <c r="E114" s="391">
        <f>IF(B114="","",IFERROR(VLOOKUP(B114,LD!$B:$J,2,FALSE),""))</f>
        <v/>
      </c>
      <c r="F114" s="392" t="n"/>
      <c r="G114" s="392" t="n"/>
      <c r="H114" s="392" t="n"/>
      <c r="I114" s="392" t="n"/>
      <c r="J114" s="392" t="n"/>
      <c r="K114" s="392" t="n"/>
      <c r="L114" s="392" t="n"/>
      <c r="M114" s="392" t="n"/>
      <c r="N114" s="392" t="n"/>
      <c r="O114" s="393" t="n"/>
      <c r="P114" s="30" t="n"/>
      <c r="Q114" s="30" t="n"/>
      <c r="R114" s="31">
        <f>IFERROR(VLOOKUP($B114,LD!$B:$J,8,FALSE),"")</f>
        <v/>
      </c>
    </row>
    <row r="115" ht="45" customHeight="1">
      <c r="A115" s="29" t="n"/>
      <c r="B115" s="394" t="n"/>
      <c r="C115" s="392" t="n"/>
      <c r="D115" s="393" t="n"/>
      <c r="E115" s="391">
        <f>IF(B115="","",IFERROR(VLOOKUP(B115,LD!$B:$J,2,FALSE),""))</f>
        <v/>
      </c>
      <c r="F115" s="392" t="n"/>
      <c r="G115" s="392" t="n"/>
      <c r="H115" s="392" t="n"/>
      <c r="I115" s="392" t="n"/>
      <c r="J115" s="392" t="n"/>
      <c r="K115" s="392" t="n"/>
      <c r="L115" s="392" t="n"/>
      <c r="M115" s="392" t="n"/>
      <c r="N115" s="392" t="n"/>
      <c r="O115" s="393" t="n"/>
      <c r="P115" s="30" t="n"/>
      <c r="Q115" s="30" t="n"/>
      <c r="R115" s="31">
        <f>IFERROR(VLOOKUP($B115,LD!$B:$J,8,FALSE),"")</f>
        <v/>
      </c>
    </row>
    <row r="116" ht="45" customHeight="1">
      <c r="A116" s="29" t="n"/>
      <c r="B116" s="394" t="n"/>
      <c r="C116" s="392" t="n"/>
      <c r="D116" s="393" t="n"/>
      <c r="E116" s="391">
        <f>IF(B116="","",IFERROR(VLOOKUP(B116,LD!$B:$J,2,FALSE),""))</f>
        <v/>
      </c>
      <c r="F116" s="392" t="n"/>
      <c r="G116" s="392" t="n"/>
      <c r="H116" s="392" t="n"/>
      <c r="I116" s="392" t="n"/>
      <c r="J116" s="392" t="n"/>
      <c r="K116" s="392" t="n"/>
      <c r="L116" s="392" t="n"/>
      <c r="M116" s="392" t="n"/>
      <c r="N116" s="392" t="n"/>
      <c r="O116" s="393" t="n"/>
      <c r="P116" s="30" t="n"/>
      <c r="Q116" s="30" t="n"/>
      <c r="R116" s="31">
        <f>IFERROR(VLOOKUP($B116,LD!$B:$J,8,FALSE),"")</f>
        <v/>
      </c>
    </row>
    <row r="117" ht="45" customHeight="1">
      <c r="A117" s="29" t="n"/>
      <c r="B117" s="394" t="n"/>
      <c r="C117" s="392" t="n"/>
      <c r="D117" s="393" t="n"/>
      <c r="E117" s="391">
        <f>IF(B117="","",IFERROR(VLOOKUP(B117,LD!$B:$J,2,FALSE),""))</f>
        <v/>
      </c>
      <c r="F117" s="392" t="n"/>
      <c r="G117" s="392" t="n"/>
      <c r="H117" s="392" t="n"/>
      <c r="I117" s="392" t="n"/>
      <c r="J117" s="392" t="n"/>
      <c r="K117" s="392" t="n"/>
      <c r="L117" s="392" t="n"/>
      <c r="M117" s="392" t="n"/>
      <c r="N117" s="392" t="n"/>
      <c r="O117" s="393" t="n"/>
      <c r="P117" s="30" t="n"/>
      <c r="Q117" s="30" t="n"/>
      <c r="R117" s="31">
        <f>IFERROR(VLOOKUP($B117,LD!$B:$J,8,FALSE),"")</f>
        <v/>
      </c>
    </row>
    <row r="118" ht="45" customHeight="1">
      <c r="A118" s="29" t="n"/>
      <c r="B118" s="394" t="n"/>
      <c r="C118" s="392" t="n"/>
      <c r="D118" s="393" t="n"/>
      <c r="E118" s="391">
        <f>IF(B118="","",IFERROR(VLOOKUP(B118,LD!$B:$J,2,FALSE),""))</f>
        <v/>
      </c>
      <c r="F118" s="392" t="n"/>
      <c r="G118" s="392" t="n"/>
      <c r="H118" s="392" t="n"/>
      <c r="I118" s="392" t="n"/>
      <c r="J118" s="392" t="n"/>
      <c r="K118" s="392" t="n"/>
      <c r="L118" s="392" t="n"/>
      <c r="M118" s="392" t="n"/>
      <c r="N118" s="392" t="n"/>
      <c r="O118" s="393" t="n"/>
      <c r="P118" s="30" t="n"/>
      <c r="Q118" s="30" t="n"/>
      <c r="R118" s="31">
        <f>IFERROR(VLOOKUP($B118,LD!$B:$J,8,FALSE),"")</f>
        <v/>
      </c>
    </row>
    <row r="119" ht="45" customHeight="1">
      <c r="A119" s="29" t="n"/>
      <c r="B119" s="394" t="n"/>
      <c r="C119" s="392" t="n"/>
      <c r="D119" s="393" t="n"/>
      <c r="E119" s="391">
        <f>IF(B119="","",IFERROR(VLOOKUP(B119,LD!$B:$J,2,FALSE),""))</f>
        <v/>
      </c>
      <c r="F119" s="392" t="n"/>
      <c r="G119" s="392" t="n"/>
      <c r="H119" s="392" t="n"/>
      <c r="I119" s="392" t="n"/>
      <c r="J119" s="392" t="n"/>
      <c r="K119" s="392" t="n"/>
      <c r="L119" s="392" t="n"/>
      <c r="M119" s="392" t="n"/>
      <c r="N119" s="392" t="n"/>
      <c r="O119" s="393" t="n"/>
      <c r="P119" s="30" t="n"/>
      <c r="Q119" s="30" t="n"/>
      <c r="R119" s="31">
        <f>IFERROR(VLOOKUP($B119,LD!$B:$J,8,FALSE),"")</f>
        <v/>
      </c>
    </row>
    <row r="120" ht="45" customHeight="1">
      <c r="A120" s="29" t="n"/>
      <c r="B120" s="394" t="n"/>
      <c r="C120" s="392" t="n"/>
      <c r="D120" s="393" t="n"/>
      <c r="E120" s="391">
        <f>IF(B120="","",IFERROR(VLOOKUP(B120,LD!$B:$J,2,FALSE),""))</f>
        <v/>
      </c>
      <c r="F120" s="392" t="n"/>
      <c r="G120" s="392" t="n"/>
      <c r="H120" s="392" t="n"/>
      <c r="I120" s="392" t="n"/>
      <c r="J120" s="392" t="n"/>
      <c r="K120" s="392" t="n"/>
      <c r="L120" s="392" t="n"/>
      <c r="M120" s="392" t="n"/>
      <c r="N120" s="392" t="n"/>
      <c r="O120" s="393" t="n"/>
      <c r="P120" s="30" t="n"/>
      <c r="Q120" s="30" t="n"/>
      <c r="R120" s="31">
        <f>IFERROR(VLOOKUP($B120,LD!$B:$J,8,FALSE),"")</f>
        <v/>
      </c>
    </row>
    <row r="121" ht="45" customHeight="1">
      <c r="A121" s="29" t="n"/>
      <c r="B121" s="394" t="n"/>
      <c r="C121" s="392" t="n"/>
      <c r="D121" s="393" t="n"/>
      <c r="E121" s="391">
        <f>IF(B121="","",IFERROR(VLOOKUP(B121,LD!$B:$J,2,FALSE),""))</f>
        <v/>
      </c>
      <c r="F121" s="392" t="n"/>
      <c r="G121" s="392" t="n"/>
      <c r="H121" s="392" t="n"/>
      <c r="I121" s="392" t="n"/>
      <c r="J121" s="392" t="n"/>
      <c r="K121" s="392" t="n"/>
      <c r="L121" s="392" t="n"/>
      <c r="M121" s="392" t="n"/>
      <c r="N121" s="392" t="n"/>
      <c r="O121" s="393" t="n"/>
      <c r="P121" s="30" t="n"/>
      <c r="Q121" s="30" t="n"/>
      <c r="R121" s="31">
        <f>IFERROR(VLOOKUP($B121,LD!$B:$J,8,FALSE),"")</f>
        <v/>
      </c>
    </row>
    <row r="122" ht="45" customHeight="1">
      <c r="A122" s="29" t="n"/>
      <c r="B122" s="394" t="n"/>
      <c r="C122" s="392" t="n"/>
      <c r="D122" s="393" t="n"/>
      <c r="E122" s="391">
        <f>IF(B122="","",IFERROR(VLOOKUP(B122,LD!$B:$J,2,FALSE),""))</f>
        <v/>
      </c>
      <c r="F122" s="392" t="n"/>
      <c r="G122" s="392" t="n"/>
      <c r="H122" s="392" t="n"/>
      <c r="I122" s="392" t="n"/>
      <c r="J122" s="392" t="n"/>
      <c r="K122" s="392" t="n"/>
      <c r="L122" s="392" t="n"/>
      <c r="M122" s="392" t="n"/>
      <c r="N122" s="392" t="n"/>
      <c r="O122" s="393" t="n"/>
      <c r="P122" s="30" t="n"/>
      <c r="Q122" s="30" t="n"/>
      <c r="R122" s="31">
        <f>IFERROR(VLOOKUP($B122,LD!$B:$J,8,FALSE),"")</f>
        <v/>
      </c>
    </row>
    <row r="123" ht="45" customHeight="1">
      <c r="A123" s="29" t="n"/>
      <c r="B123" s="394" t="n"/>
      <c r="C123" s="392" t="n"/>
      <c r="D123" s="393" t="n"/>
      <c r="E123" s="391">
        <f>IF(B123="","",IFERROR(VLOOKUP(B123,LD!$B:$J,2,FALSE),""))</f>
        <v/>
      </c>
      <c r="F123" s="392" t="n"/>
      <c r="G123" s="392" t="n"/>
      <c r="H123" s="392" t="n"/>
      <c r="I123" s="392" t="n"/>
      <c r="J123" s="392" t="n"/>
      <c r="K123" s="392" t="n"/>
      <c r="L123" s="392" t="n"/>
      <c r="M123" s="392" t="n"/>
      <c r="N123" s="392" t="n"/>
      <c r="O123" s="393" t="n"/>
      <c r="P123" s="30" t="n"/>
      <c r="Q123" s="30" t="n"/>
      <c r="R123" s="31">
        <f>IFERROR(VLOOKUP($B123,LD!$B:$J,8,FALSE),"")</f>
        <v/>
      </c>
    </row>
    <row r="124" ht="45" customHeight="1">
      <c r="A124" s="29" t="n"/>
      <c r="B124" s="394" t="n"/>
      <c r="C124" s="392" t="n"/>
      <c r="D124" s="393" t="n"/>
      <c r="E124" s="391">
        <f>IF(B124="","",IFERROR(VLOOKUP(B124,LD!$B:$J,2,FALSE),""))</f>
        <v/>
      </c>
      <c r="F124" s="392" t="n"/>
      <c r="G124" s="392" t="n"/>
      <c r="H124" s="392" t="n"/>
      <c r="I124" s="392" t="n"/>
      <c r="J124" s="392" t="n"/>
      <c r="K124" s="392" t="n"/>
      <c r="L124" s="392" t="n"/>
      <c r="M124" s="392" t="n"/>
      <c r="N124" s="392" t="n"/>
      <c r="O124" s="393" t="n"/>
      <c r="P124" s="30" t="n"/>
      <c r="Q124" s="30" t="n"/>
      <c r="R124" s="31">
        <f>IFERROR(VLOOKUP($B124,LD!$B:$J,8,FALSE),"")</f>
        <v/>
      </c>
    </row>
    <row r="125" ht="45" customHeight="1">
      <c r="A125" s="29" t="n"/>
      <c r="B125" s="394" t="n"/>
      <c r="C125" s="392" t="n"/>
      <c r="D125" s="393" t="n"/>
      <c r="E125" s="391">
        <f>IF(B125="","",IFERROR(VLOOKUP(B125,LD!$B:$J,2,FALSE),""))</f>
        <v/>
      </c>
      <c r="F125" s="392" t="n"/>
      <c r="G125" s="392" t="n"/>
      <c r="H125" s="392" t="n"/>
      <c r="I125" s="392" t="n"/>
      <c r="J125" s="392" t="n"/>
      <c r="K125" s="392" t="n"/>
      <c r="L125" s="392" t="n"/>
      <c r="M125" s="392" t="n"/>
      <c r="N125" s="392" t="n"/>
      <c r="O125" s="393" t="n"/>
      <c r="P125" s="30" t="n"/>
      <c r="Q125" s="30" t="n"/>
      <c r="R125" s="31">
        <f>IFERROR(VLOOKUP($B125,LD!$B:$J,8,FALSE),"")</f>
        <v/>
      </c>
    </row>
    <row r="126" ht="45" customHeight="1">
      <c r="A126" s="29" t="n"/>
      <c r="B126" s="394" t="n"/>
      <c r="C126" s="392" t="n"/>
      <c r="D126" s="393" t="n"/>
      <c r="E126" s="391">
        <f>IF(B126="","",IFERROR(VLOOKUP(B126,LD!$B:$J,2,FALSE),""))</f>
        <v/>
      </c>
      <c r="F126" s="392" t="n"/>
      <c r="G126" s="392" t="n"/>
      <c r="H126" s="392" t="n"/>
      <c r="I126" s="392" t="n"/>
      <c r="J126" s="392" t="n"/>
      <c r="K126" s="392" t="n"/>
      <c r="L126" s="392" t="n"/>
      <c r="M126" s="392" t="n"/>
      <c r="N126" s="392" t="n"/>
      <c r="O126" s="393" t="n"/>
      <c r="P126" s="30" t="n"/>
      <c r="Q126" s="30" t="n"/>
      <c r="R126" s="31">
        <f>IFERROR(VLOOKUP($B126,LD!$B:$J,8,FALSE),"")</f>
        <v/>
      </c>
    </row>
    <row r="127" ht="45" customHeight="1">
      <c r="A127" s="29" t="n"/>
      <c r="B127" s="394" t="n"/>
      <c r="C127" s="392" t="n"/>
      <c r="D127" s="393" t="n"/>
      <c r="E127" s="391">
        <f>IF(B127="","",IFERROR(VLOOKUP(B127,LD!$B:$J,2,FALSE),""))</f>
        <v/>
      </c>
      <c r="F127" s="392" t="n"/>
      <c r="G127" s="392" t="n"/>
      <c r="H127" s="392" t="n"/>
      <c r="I127" s="392" t="n"/>
      <c r="J127" s="392" t="n"/>
      <c r="K127" s="392" t="n"/>
      <c r="L127" s="392" t="n"/>
      <c r="M127" s="392" t="n"/>
      <c r="N127" s="392" t="n"/>
      <c r="O127" s="393" t="n"/>
      <c r="P127" s="30" t="n"/>
      <c r="Q127" s="30" t="n"/>
      <c r="R127" s="31">
        <f>IFERROR(VLOOKUP($B127,LD!$B:$J,8,FALSE),"")</f>
        <v/>
      </c>
    </row>
    <row r="128" ht="45" customHeight="1">
      <c r="A128" s="29" t="n"/>
      <c r="B128" s="394" t="n"/>
      <c r="C128" s="392" t="n"/>
      <c r="D128" s="393" t="n"/>
      <c r="E128" s="391">
        <f>IF(B128="","",IFERROR(VLOOKUP(B128,LD!$B:$J,2,FALSE),""))</f>
        <v/>
      </c>
      <c r="F128" s="392" t="n"/>
      <c r="G128" s="392" t="n"/>
      <c r="H128" s="392" t="n"/>
      <c r="I128" s="392" t="n"/>
      <c r="J128" s="392" t="n"/>
      <c r="K128" s="392" t="n"/>
      <c r="L128" s="392" t="n"/>
      <c r="M128" s="392" t="n"/>
      <c r="N128" s="392" t="n"/>
      <c r="O128" s="393" t="n"/>
      <c r="P128" s="30" t="n"/>
      <c r="Q128" s="30" t="n"/>
      <c r="R128" s="31">
        <f>IFERROR(VLOOKUP($B128,LD!$B:$J,8,FALSE),"")</f>
        <v/>
      </c>
    </row>
    <row r="129" ht="45" customHeight="1">
      <c r="A129" s="29" t="n"/>
      <c r="B129" s="394" t="n"/>
      <c r="C129" s="392" t="n"/>
      <c r="D129" s="393" t="n"/>
      <c r="E129" s="391">
        <f>IF(B129="","",IFERROR(VLOOKUP(B129,LD!$B:$J,2,FALSE),""))</f>
        <v/>
      </c>
      <c r="F129" s="392" t="n"/>
      <c r="G129" s="392" t="n"/>
      <c r="H129" s="392" t="n"/>
      <c r="I129" s="392" t="n"/>
      <c r="J129" s="392" t="n"/>
      <c r="K129" s="392" t="n"/>
      <c r="L129" s="392" t="n"/>
      <c r="M129" s="392" t="n"/>
      <c r="N129" s="392" t="n"/>
      <c r="O129" s="393" t="n"/>
      <c r="P129" s="30" t="n"/>
      <c r="Q129" s="30" t="n"/>
      <c r="R129" s="31">
        <f>IFERROR(VLOOKUP($B129,LD!$B:$J,8,FALSE),"")</f>
        <v/>
      </c>
    </row>
    <row r="130" ht="45" customHeight="1">
      <c r="A130" s="29" t="n"/>
      <c r="B130" s="394" t="n"/>
      <c r="C130" s="392" t="n"/>
      <c r="D130" s="393" t="n"/>
      <c r="E130" s="391">
        <f>IF(B130="","",IFERROR(VLOOKUP(B130,LD!$B:$J,2,FALSE),""))</f>
        <v/>
      </c>
      <c r="F130" s="392" t="n"/>
      <c r="G130" s="392" t="n"/>
      <c r="H130" s="392" t="n"/>
      <c r="I130" s="392" t="n"/>
      <c r="J130" s="392" t="n"/>
      <c r="K130" s="392" t="n"/>
      <c r="L130" s="392" t="n"/>
      <c r="M130" s="392" t="n"/>
      <c r="N130" s="392" t="n"/>
      <c r="O130" s="393" t="n"/>
      <c r="P130" s="30" t="n"/>
      <c r="Q130" s="30" t="n"/>
      <c r="R130" s="31">
        <f>IFERROR(VLOOKUP($B130,LD!$B:$J,8,FALSE),"")</f>
        <v/>
      </c>
    </row>
    <row r="131" ht="45" customHeight="1">
      <c r="A131" s="29" t="n"/>
      <c r="B131" s="394" t="n"/>
      <c r="C131" s="392" t="n"/>
      <c r="D131" s="393" t="n"/>
      <c r="E131" s="391">
        <f>IF(B131="","",IFERROR(VLOOKUP(B131,LD!$B:$J,2,FALSE),""))</f>
        <v/>
      </c>
      <c r="F131" s="392" t="n"/>
      <c r="G131" s="392" t="n"/>
      <c r="H131" s="392" t="n"/>
      <c r="I131" s="392" t="n"/>
      <c r="J131" s="392" t="n"/>
      <c r="K131" s="392" t="n"/>
      <c r="L131" s="392" t="n"/>
      <c r="M131" s="392" t="n"/>
      <c r="N131" s="392" t="n"/>
      <c r="O131" s="393" t="n"/>
      <c r="P131" s="30" t="n"/>
      <c r="Q131" s="30" t="n"/>
      <c r="R131" s="31">
        <f>IFERROR(VLOOKUP($B131,LD!$B:$J,8,FALSE),"")</f>
        <v/>
      </c>
    </row>
    <row r="132" ht="45" customHeight="1">
      <c r="A132" s="29" t="n"/>
      <c r="B132" s="394" t="n"/>
      <c r="C132" s="392" t="n"/>
      <c r="D132" s="393" t="n"/>
      <c r="E132" s="391">
        <f>IF(B132="","",IFERROR(VLOOKUP(B132,LD!$B:$J,2,FALSE),""))</f>
        <v/>
      </c>
      <c r="F132" s="392" t="n"/>
      <c r="G132" s="392" t="n"/>
      <c r="H132" s="392" t="n"/>
      <c r="I132" s="392" t="n"/>
      <c r="J132" s="392" t="n"/>
      <c r="K132" s="392" t="n"/>
      <c r="L132" s="392" t="n"/>
      <c r="M132" s="392" t="n"/>
      <c r="N132" s="392" t="n"/>
      <c r="O132" s="393" t="n"/>
      <c r="P132" s="30" t="n"/>
      <c r="Q132" s="30" t="n"/>
      <c r="R132" s="31">
        <f>IFERROR(VLOOKUP($B132,LD!$B:$J,8,FALSE),"")</f>
        <v/>
      </c>
    </row>
    <row r="133" ht="45" customHeight="1">
      <c r="A133" s="29" t="n"/>
      <c r="B133" s="394" t="n"/>
      <c r="C133" s="392" t="n"/>
      <c r="D133" s="393" t="n"/>
      <c r="E133" s="391">
        <f>IF(B133="","",IFERROR(VLOOKUP(B133,LD!$B:$J,2,FALSE),""))</f>
        <v/>
      </c>
      <c r="F133" s="392" t="n"/>
      <c r="G133" s="392" t="n"/>
      <c r="H133" s="392" t="n"/>
      <c r="I133" s="392" t="n"/>
      <c r="J133" s="392" t="n"/>
      <c r="K133" s="392" t="n"/>
      <c r="L133" s="392" t="n"/>
      <c r="M133" s="392" t="n"/>
      <c r="N133" s="392" t="n"/>
      <c r="O133" s="393" t="n"/>
      <c r="P133" s="30" t="n"/>
      <c r="Q133" s="30" t="n"/>
      <c r="R133" s="31">
        <f>IFERROR(VLOOKUP($B133,LD!$B:$J,8,FALSE),"")</f>
        <v/>
      </c>
    </row>
    <row r="134" ht="45" customHeight="1">
      <c r="A134" s="29" t="n"/>
      <c r="B134" s="394" t="n"/>
      <c r="C134" s="392" t="n"/>
      <c r="D134" s="393" t="n"/>
      <c r="E134" s="391">
        <f>IF(B134="","",IFERROR(VLOOKUP(B134,LD!$B:$J,2,FALSE),""))</f>
        <v/>
      </c>
      <c r="F134" s="392" t="n"/>
      <c r="G134" s="392" t="n"/>
      <c r="H134" s="392" t="n"/>
      <c r="I134" s="392" t="n"/>
      <c r="J134" s="392" t="n"/>
      <c r="K134" s="392" t="n"/>
      <c r="L134" s="392" t="n"/>
      <c r="M134" s="392" t="n"/>
      <c r="N134" s="392" t="n"/>
      <c r="O134" s="393" t="n"/>
      <c r="P134" s="30" t="n"/>
      <c r="Q134" s="30" t="n"/>
      <c r="R134" s="31">
        <f>IFERROR(VLOOKUP($B134,LD!$B:$J,8,FALSE),"")</f>
        <v/>
      </c>
    </row>
    <row r="135" ht="45" customHeight="1">
      <c r="A135" s="29" t="n"/>
      <c r="B135" s="394" t="n"/>
      <c r="C135" s="392" t="n"/>
      <c r="D135" s="393" t="n"/>
      <c r="E135" s="391">
        <f>IF(B135="","",IFERROR(VLOOKUP(B135,LD!$B:$J,2,FALSE),""))</f>
        <v/>
      </c>
      <c r="F135" s="392" t="n"/>
      <c r="G135" s="392" t="n"/>
      <c r="H135" s="392" t="n"/>
      <c r="I135" s="392" t="n"/>
      <c r="J135" s="392" t="n"/>
      <c r="K135" s="392" t="n"/>
      <c r="L135" s="392" t="n"/>
      <c r="M135" s="392" t="n"/>
      <c r="N135" s="392" t="n"/>
      <c r="O135" s="393" t="n"/>
      <c r="P135" s="30" t="n"/>
      <c r="Q135" s="30" t="n"/>
      <c r="R135" s="31">
        <f>IFERROR(VLOOKUP($B135,LD!$B:$J,8,FALSE),"")</f>
        <v/>
      </c>
    </row>
    <row r="136" ht="45" customHeight="1">
      <c r="A136" s="29" t="n"/>
      <c r="B136" s="394" t="n"/>
      <c r="C136" s="392" t="n"/>
      <c r="D136" s="393" t="n"/>
      <c r="E136" s="391">
        <f>IF(B136="","",IFERROR(VLOOKUP(B136,LD!$B:$J,2,FALSE),""))</f>
        <v/>
      </c>
      <c r="F136" s="392" t="n"/>
      <c r="G136" s="392" t="n"/>
      <c r="H136" s="392" t="n"/>
      <c r="I136" s="392" t="n"/>
      <c r="J136" s="392" t="n"/>
      <c r="K136" s="392" t="n"/>
      <c r="L136" s="392" t="n"/>
      <c r="M136" s="392" t="n"/>
      <c r="N136" s="392" t="n"/>
      <c r="O136" s="393" t="n"/>
      <c r="P136" s="30" t="n"/>
      <c r="Q136" s="30" t="n"/>
      <c r="R136" s="31">
        <f>IFERROR(VLOOKUP($B136,LD!$B:$J,8,FALSE),"")</f>
        <v/>
      </c>
    </row>
    <row r="137" ht="45" customHeight="1">
      <c r="A137" s="29" t="n"/>
      <c r="B137" s="394" t="n"/>
      <c r="C137" s="392" t="n"/>
      <c r="D137" s="393" t="n"/>
      <c r="E137" s="391">
        <f>IF(B137="","",IFERROR(VLOOKUP(B137,LD!$B:$J,2,FALSE),""))</f>
        <v/>
      </c>
      <c r="F137" s="392" t="n"/>
      <c r="G137" s="392" t="n"/>
      <c r="H137" s="392" t="n"/>
      <c r="I137" s="392" t="n"/>
      <c r="J137" s="392" t="n"/>
      <c r="K137" s="392" t="n"/>
      <c r="L137" s="392" t="n"/>
      <c r="M137" s="392" t="n"/>
      <c r="N137" s="392" t="n"/>
      <c r="O137" s="393" t="n"/>
      <c r="P137" s="30" t="n"/>
      <c r="Q137" s="30" t="n"/>
      <c r="R137" s="31">
        <f>IFERROR(VLOOKUP($B137,LD!$B:$J,8,FALSE),"")</f>
        <v/>
      </c>
    </row>
    <row r="138" ht="45" customHeight="1">
      <c r="A138" s="29" t="n"/>
      <c r="B138" s="394" t="n"/>
      <c r="C138" s="392" t="n"/>
      <c r="D138" s="393" t="n"/>
      <c r="E138" s="391">
        <f>IF(B138="","",IFERROR(VLOOKUP(B138,LD!$B:$J,2,FALSE),""))</f>
        <v/>
      </c>
      <c r="F138" s="392" t="n"/>
      <c r="G138" s="392" t="n"/>
      <c r="H138" s="392" t="n"/>
      <c r="I138" s="392" t="n"/>
      <c r="J138" s="392" t="n"/>
      <c r="K138" s="392" t="n"/>
      <c r="L138" s="392" t="n"/>
      <c r="M138" s="392" t="n"/>
      <c r="N138" s="392" t="n"/>
      <c r="O138" s="393" t="n"/>
      <c r="P138" s="30" t="n"/>
      <c r="Q138" s="30" t="n"/>
      <c r="R138" s="31">
        <f>IFERROR(VLOOKUP($B138,LD!$B:$J,8,FALSE),"")</f>
        <v/>
      </c>
    </row>
    <row r="139" ht="45" customHeight="1">
      <c r="A139" s="29" t="n"/>
      <c r="B139" s="394" t="n"/>
      <c r="C139" s="392" t="n"/>
      <c r="D139" s="393" t="n"/>
      <c r="E139" s="391">
        <f>IF(B139="","",IFERROR(VLOOKUP(B139,LD!$B:$J,2,FALSE),""))</f>
        <v/>
      </c>
      <c r="F139" s="392" t="n"/>
      <c r="G139" s="392" t="n"/>
      <c r="H139" s="392" t="n"/>
      <c r="I139" s="392" t="n"/>
      <c r="J139" s="392" t="n"/>
      <c r="K139" s="392" t="n"/>
      <c r="L139" s="392" t="n"/>
      <c r="M139" s="392" t="n"/>
      <c r="N139" s="392" t="n"/>
      <c r="O139" s="393" t="n"/>
      <c r="P139" s="30" t="n"/>
      <c r="Q139" s="30" t="n"/>
      <c r="R139" s="31">
        <f>IFERROR(VLOOKUP($B139,LD!$B:$J,8,FALSE),"")</f>
        <v/>
      </c>
    </row>
    <row r="140" ht="45" customHeight="1">
      <c r="A140" s="29" t="n"/>
      <c r="B140" s="394" t="n"/>
      <c r="C140" s="392" t="n"/>
      <c r="D140" s="393" t="n"/>
      <c r="E140" s="391">
        <f>IF(B140="","",IFERROR(VLOOKUP(B140,LD!$B:$J,2,FALSE),""))</f>
        <v/>
      </c>
      <c r="F140" s="392" t="n"/>
      <c r="G140" s="392" t="n"/>
      <c r="H140" s="392" t="n"/>
      <c r="I140" s="392" t="n"/>
      <c r="J140" s="392" t="n"/>
      <c r="K140" s="392" t="n"/>
      <c r="L140" s="392" t="n"/>
      <c r="M140" s="392" t="n"/>
      <c r="N140" s="392" t="n"/>
      <c r="O140" s="393" t="n"/>
      <c r="P140" s="30" t="n"/>
      <c r="Q140" s="30" t="n"/>
      <c r="R140" s="31">
        <f>IFERROR(VLOOKUP($B140,LD!$B:$J,8,FALSE),"")</f>
        <v/>
      </c>
    </row>
    <row r="141" ht="45" customHeight="1">
      <c r="A141" s="29" t="n"/>
      <c r="B141" s="394" t="n"/>
      <c r="C141" s="392" t="n"/>
      <c r="D141" s="393" t="n"/>
      <c r="E141" s="391">
        <f>IF(B141="","",IFERROR(VLOOKUP(B141,LD!$B:$J,2,FALSE),""))</f>
        <v/>
      </c>
      <c r="F141" s="392" t="n"/>
      <c r="G141" s="392" t="n"/>
      <c r="H141" s="392" t="n"/>
      <c r="I141" s="392" t="n"/>
      <c r="J141" s="392" t="n"/>
      <c r="K141" s="392" t="n"/>
      <c r="L141" s="392" t="n"/>
      <c r="M141" s="392" t="n"/>
      <c r="N141" s="392" t="n"/>
      <c r="O141" s="393" t="n"/>
      <c r="P141" s="30" t="n"/>
      <c r="Q141" s="30" t="n"/>
      <c r="R141" s="31">
        <f>IFERROR(VLOOKUP($B141,LD!$B:$J,8,FALSE),"")</f>
        <v/>
      </c>
    </row>
    <row r="142" ht="45" customHeight="1">
      <c r="A142" s="29" t="n"/>
      <c r="B142" s="394" t="n"/>
      <c r="C142" s="392" t="n"/>
      <c r="D142" s="393" t="n"/>
      <c r="E142" s="391">
        <f>IF(B142="","",IFERROR(VLOOKUP(B142,LD!$B:$J,2,FALSE),""))</f>
        <v/>
      </c>
      <c r="F142" s="392" t="n"/>
      <c r="G142" s="392" t="n"/>
      <c r="H142" s="392" t="n"/>
      <c r="I142" s="392" t="n"/>
      <c r="J142" s="392" t="n"/>
      <c r="K142" s="392" t="n"/>
      <c r="L142" s="392" t="n"/>
      <c r="M142" s="392" t="n"/>
      <c r="N142" s="392" t="n"/>
      <c r="O142" s="393" t="n"/>
      <c r="P142" s="30" t="n"/>
      <c r="Q142" s="30" t="n"/>
      <c r="R142" s="31">
        <f>IFERROR(VLOOKUP($B142,LD!$B:$J,8,FALSE),"")</f>
        <v/>
      </c>
    </row>
    <row r="143" ht="45" customHeight="1">
      <c r="A143" s="29" t="n"/>
      <c r="B143" s="394" t="n"/>
      <c r="C143" s="392" t="n"/>
      <c r="D143" s="393" t="n"/>
      <c r="E143" s="391">
        <f>IF(B143="","",IFERROR(VLOOKUP(B143,LD!$B:$J,2,FALSE),""))</f>
        <v/>
      </c>
      <c r="F143" s="392" t="n"/>
      <c r="G143" s="392" t="n"/>
      <c r="H143" s="392" t="n"/>
      <c r="I143" s="392" t="n"/>
      <c r="J143" s="392" t="n"/>
      <c r="K143" s="392" t="n"/>
      <c r="L143" s="392" t="n"/>
      <c r="M143" s="392" t="n"/>
      <c r="N143" s="392" t="n"/>
      <c r="O143" s="393" t="n"/>
      <c r="P143" s="30" t="n"/>
      <c r="Q143" s="30" t="n"/>
      <c r="R143" s="31">
        <f>IFERROR(VLOOKUP($B143,LD!$B:$J,8,FALSE),"")</f>
        <v/>
      </c>
    </row>
    <row r="144" ht="45" customHeight="1">
      <c r="A144" s="29" t="n"/>
      <c r="B144" s="394" t="n"/>
      <c r="C144" s="392" t="n"/>
      <c r="D144" s="393" t="n"/>
      <c r="E144" s="391">
        <f>IF(B144="","",IFERROR(VLOOKUP(B144,LD!$B:$J,2,FALSE),""))</f>
        <v/>
      </c>
      <c r="F144" s="392" t="n"/>
      <c r="G144" s="392" t="n"/>
      <c r="H144" s="392" t="n"/>
      <c r="I144" s="392" t="n"/>
      <c r="J144" s="392" t="n"/>
      <c r="K144" s="392" t="n"/>
      <c r="L144" s="392" t="n"/>
      <c r="M144" s="392" t="n"/>
      <c r="N144" s="392" t="n"/>
      <c r="O144" s="393" t="n"/>
      <c r="P144" s="30" t="n"/>
      <c r="Q144" s="30" t="n"/>
      <c r="R144" s="31">
        <f>IFERROR(VLOOKUP($B144,LD!$B:$J,8,FALSE),"")</f>
        <v/>
      </c>
    </row>
    <row r="145" ht="45" customHeight="1">
      <c r="A145" s="29" t="n"/>
      <c r="B145" s="394" t="n"/>
      <c r="C145" s="392" t="n"/>
      <c r="D145" s="393" t="n"/>
      <c r="E145" s="391">
        <f>IF(B145="","",IFERROR(VLOOKUP(B145,LD!$B:$J,2,FALSE),""))</f>
        <v/>
      </c>
      <c r="F145" s="392" t="n"/>
      <c r="G145" s="392" t="n"/>
      <c r="H145" s="392" t="n"/>
      <c r="I145" s="392" t="n"/>
      <c r="J145" s="392" t="n"/>
      <c r="K145" s="392" t="n"/>
      <c r="L145" s="392" t="n"/>
      <c r="M145" s="392" t="n"/>
      <c r="N145" s="392" t="n"/>
      <c r="O145" s="393" t="n"/>
      <c r="P145" s="30" t="n"/>
      <c r="Q145" s="30" t="n"/>
      <c r="R145" s="31">
        <f>IFERROR(VLOOKUP($B145,LD!$B:$J,8,FALSE),"")</f>
        <v/>
      </c>
    </row>
    <row r="146" ht="45" customHeight="1">
      <c r="A146" s="29" t="n"/>
      <c r="B146" s="394" t="n"/>
      <c r="C146" s="392" t="n"/>
      <c r="D146" s="393" t="n"/>
      <c r="E146" s="391">
        <f>IF(B146="","",IFERROR(VLOOKUP(B146,LD!$B:$J,2,FALSE),""))</f>
        <v/>
      </c>
      <c r="F146" s="392" t="n"/>
      <c r="G146" s="392" t="n"/>
      <c r="H146" s="392" t="n"/>
      <c r="I146" s="392" t="n"/>
      <c r="J146" s="392" t="n"/>
      <c r="K146" s="392" t="n"/>
      <c r="L146" s="392" t="n"/>
      <c r="M146" s="392" t="n"/>
      <c r="N146" s="392" t="n"/>
      <c r="O146" s="393" t="n"/>
      <c r="P146" s="30" t="n"/>
      <c r="Q146" s="30" t="n"/>
      <c r="R146" s="31">
        <f>IFERROR(VLOOKUP($B146,LD!$B:$J,8,FALSE),"")</f>
        <v/>
      </c>
    </row>
    <row r="147" ht="45" customHeight="1">
      <c r="A147" s="29" t="n"/>
      <c r="B147" s="394" t="n"/>
      <c r="C147" s="392" t="n"/>
      <c r="D147" s="393" t="n"/>
      <c r="E147" s="391">
        <f>IF(B147="","",IFERROR(VLOOKUP(B147,LD!$B:$J,2,FALSE),""))</f>
        <v/>
      </c>
      <c r="F147" s="392" t="n"/>
      <c r="G147" s="392" t="n"/>
      <c r="H147" s="392" t="n"/>
      <c r="I147" s="392" t="n"/>
      <c r="J147" s="392" t="n"/>
      <c r="K147" s="392" t="n"/>
      <c r="L147" s="392" t="n"/>
      <c r="M147" s="392" t="n"/>
      <c r="N147" s="392" t="n"/>
      <c r="O147" s="393" t="n"/>
      <c r="P147" s="30" t="n"/>
      <c r="Q147" s="30" t="n"/>
      <c r="R147" s="31">
        <f>IFERROR(VLOOKUP($B147,LD!$B:$J,8,FALSE),"")</f>
        <v/>
      </c>
    </row>
    <row r="148" ht="45" customHeight="1">
      <c r="A148" s="29" t="n"/>
      <c r="B148" s="394" t="n"/>
      <c r="C148" s="392" t="n"/>
      <c r="D148" s="393" t="n"/>
      <c r="E148" s="391">
        <f>IF(B148="","",IFERROR(VLOOKUP(B148,LD!$B:$J,2,FALSE),""))</f>
        <v/>
      </c>
      <c r="F148" s="392" t="n"/>
      <c r="G148" s="392" t="n"/>
      <c r="H148" s="392" t="n"/>
      <c r="I148" s="392" t="n"/>
      <c r="J148" s="392" t="n"/>
      <c r="K148" s="392" t="n"/>
      <c r="L148" s="392" t="n"/>
      <c r="M148" s="392" t="n"/>
      <c r="N148" s="392" t="n"/>
      <c r="O148" s="393" t="n"/>
      <c r="P148" s="30" t="n"/>
      <c r="Q148" s="30" t="n"/>
      <c r="R148" s="31">
        <f>IFERROR(VLOOKUP($B148,LD!$B:$J,8,FALSE),"")</f>
        <v/>
      </c>
    </row>
    <row r="149" ht="45" customHeight="1">
      <c r="A149" s="29" t="n"/>
      <c r="B149" s="394" t="n"/>
      <c r="C149" s="392" t="n"/>
      <c r="D149" s="393" t="n"/>
      <c r="E149" s="391">
        <f>IF(B149="","",IFERROR(VLOOKUP(B149,LD!$B:$J,2,FALSE),""))</f>
        <v/>
      </c>
      <c r="F149" s="392" t="n"/>
      <c r="G149" s="392" t="n"/>
      <c r="H149" s="392" t="n"/>
      <c r="I149" s="392" t="n"/>
      <c r="J149" s="392" t="n"/>
      <c r="K149" s="392" t="n"/>
      <c r="L149" s="392" t="n"/>
      <c r="M149" s="392" t="n"/>
      <c r="N149" s="392" t="n"/>
      <c r="O149" s="393" t="n"/>
      <c r="P149" s="30" t="n"/>
      <c r="Q149" s="30" t="n"/>
      <c r="R149" s="31">
        <f>IFERROR(VLOOKUP($B149,LD!$B:$J,8,FALSE),"")</f>
        <v/>
      </c>
    </row>
    <row r="150" ht="45" customHeight="1">
      <c r="A150" s="29" t="n"/>
      <c r="B150" s="394" t="n"/>
      <c r="C150" s="392" t="n"/>
      <c r="D150" s="393" t="n"/>
      <c r="E150" s="391">
        <f>IF(B150="","",IFERROR(VLOOKUP(B150,LD!$B:$J,2,FALSE),""))</f>
        <v/>
      </c>
      <c r="F150" s="392" t="n"/>
      <c r="G150" s="392" t="n"/>
      <c r="H150" s="392" t="n"/>
      <c r="I150" s="392" t="n"/>
      <c r="J150" s="392" t="n"/>
      <c r="K150" s="392" t="n"/>
      <c r="L150" s="392" t="n"/>
      <c r="M150" s="392" t="n"/>
      <c r="N150" s="392" t="n"/>
      <c r="O150" s="393" t="n"/>
      <c r="P150" s="30" t="n"/>
      <c r="Q150" s="30" t="n"/>
      <c r="R150" s="31">
        <f>IFERROR(VLOOKUP($B150,LD!$B:$J,8,FALSE),"")</f>
        <v/>
      </c>
    </row>
    <row r="151" ht="45" customHeight="1">
      <c r="A151" s="29" t="n"/>
      <c r="B151" s="394" t="n"/>
      <c r="C151" s="392" t="n"/>
      <c r="D151" s="393" t="n"/>
      <c r="E151" s="391">
        <f>IF(B151="","",IFERROR(VLOOKUP(B151,LD!$B:$J,2,FALSE),""))</f>
        <v/>
      </c>
      <c r="F151" s="392" t="n"/>
      <c r="G151" s="392" t="n"/>
      <c r="H151" s="392" t="n"/>
      <c r="I151" s="392" t="n"/>
      <c r="J151" s="392" t="n"/>
      <c r="K151" s="392" t="n"/>
      <c r="L151" s="392" t="n"/>
      <c r="M151" s="392" t="n"/>
      <c r="N151" s="392" t="n"/>
      <c r="O151" s="393" t="n"/>
      <c r="P151" s="30" t="n"/>
      <c r="Q151" s="30" t="n"/>
      <c r="R151" s="31">
        <f>IFERROR(VLOOKUP($B151,LD!$B:$J,8,FALSE),"")</f>
        <v/>
      </c>
    </row>
    <row r="152" ht="45" customHeight="1">
      <c r="A152" s="29" t="n"/>
      <c r="B152" s="394" t="n"/>
      <c r="C152" s="392" t="n"/>
      <c r="D152" s="393" t="n"/>
      <c r="E152" s="391">
        <f>IF(B152="","",IFERROR(VLOOKUP(B152,LD!$B:$J,2,FALSE),""))</f>
        <v/>
      </c>
      <c r="F152" s="392" t="n"/>
      <c r="G152" s="392" t="n"/>
      <c r="H152" s="392" t="n"/>
      <c r="I152" s="392" t="n"/>
      <c r="J152" s="392" t="n"/>
      <c r="K152" s="392" t="n"/>
      <c r="L152" s="392" t="n"/>
      <c r="M152" s="392" t="n"/>
      <c r="N152" s="392" t="n"/>
      <c r="O152" s="393" t="n"/>
      <c r="P152" s="30" t="n"/>
      <c r="Q152" s="30" t="n"/>
      <c r="R152" s="31">
        <f>IFERROR(VLOOKUP($B152,LD!$B:$J,8,FALSE),"")</f>
        <v/>
      </c>
    </row>
    <row r="153" ht="45" customHeight="1">
      <c r="A153" s="29" t="n"/>
      <c r="B153" s="394" t="n"/>
      <c r="C153" s="392" t="n"/>
      <c r="D153" s="393" t="n"/>
      <c r="E153" s="391">
        <f>IF(B153="","",IFERROR(VLOOKUP(B153,LD!$B:$J,2,FALSE),""))</f>
        <v/>
      </c>
      <c r="F153" s="392" t="n"/>
      <c r="G153" s="392" t="n"/>
      <c r="H153" s="392" t="n"/>
      <c r="I153" s="392" t="n"/>
      <c r="J153" s="392" t="n"/>
      <c r="K153" s="392" t="n"/>
      <c r="L153" s="392" t="n"/>
      <c r="M153" s="392" t="n"/>
      <c r="N153" s="392" t="n"/>
      <c r="O153" s="393" t="n"/>
      <c r="P153" s="30" t="n"/>
      <c r="Q153" s="30" t="n"/>
      <c r="R153" s="31">
        <f>IFERROR(VLOOKUP($B153,LD!$B:$J,8,FALSE),"")</f>
        <v/>
      </c>
    </row>
    <row r="154" ht="45" customHeight="1">
      <c r="A154" s="29" t="n"/>
      <c r="B154" s="394" t="n"/>
      <c r="C154" s="392" t="n"/>
      <c r="D154" s="393" t="n"/>
      <c r="E154" s="391">
        <f>IF(B154="","",IFERROR(VLOOKUP(B154,LD!$B:$J,2,FALSE),""))</f>
        <v/>
      </c>
      <c r="F154" s="392" t="n"/>
      <c r="G154" s="392" t="n"/>
      <c r="H154" s="392" t="n"/>
      <c r="I154" s="392" t="n"/>
      <c r="J154" s="392" t="n"/>
      <c r="K154" s="392" t="n"/>
      <c r="L154" s="392" t="n"/>
      <c r="M154" s="392" t="n"/>
      <c r="N154" s="392" t="n"/>
      <c r="O154" s="393" t="n"/>
      <c r="P154" s="30" t="n"/>
      <c r="Q154" s="30" t="n"/>
      <c r="R154" s="31">
        <f>IFERROR(VLOOKUP($B154,LD!$B:$J,8,FALSE),"")</f>
        <v/>
      </c>
    </row>
    <row r="155" ht="45" customHeight="1">
      <c r="A155" s="29" t="n"/>
      <c r="B155" s="394" t="n"/>
      <c r="C155" s="392" t="n"/>
      <c r="D155" s="393" t="n"/>
      <c r="E155" s="391">
        <f>IF(B155="","",IFERROR(VLOOKUP(B155,LD!$B:$J,2,FALSE),""))</f>
        <v/>
      </c>
      <c r="F155" s="392" t="n"/>
      <c r="G155" s="392" t="n"/>
      <c r="H155" s="392" t="n"/>
      <c r="I155" s="392" t="n"/>
      <c r="J155" s="392" t="n"/>
      <c r="K155" s="392" t="n"/>
      <c r="L155" s="392" t="n"/>
      <c r="M155" s="392" t="n"/>
      <c r="N155" s="392" t="n"/>
      <c r="O155" s="393" t="n"/>
      <c r="P155" s="30" t="n"/>
      <c r="Q155" s="30" t="n"/>
      <c r="R155" s="31">
        <f>IFERROR(VLOOKUP($B155,LD!$B:$J,8,FALSE),"")</f>
        <v/>
      </c>
    </row>
    <row r="156" ht="45" customHeight="1">
      <c r="A156" s="29" t="n"/>
      <c r="B156" s="394" t="n"/>
      <c r="C156" s="392" t="n"/>
      <c r="D156" s="393" t="n"/>
      <c r="E156" s="391">
        <f>IF(B156="","",IFERROR(VLOOKUP(B156,LD!$B:$J,2,FALSE),""))</f>
        <v/>
      </c>
      <c r="F156" s="392" t="n"/>
      <c r="G156" s="392" t="n"/>
      <c r="H156" s="392" t="n"/>
      <c r="I156" s="392" t="n"/>
      <c r="J156" s="392" t="n"/>
      <c r="K156" s="392" t="n"/>
      <c r="L156" s="392" t="n"/>
      <c r="M156" s="392" t="n"/>
      <c r="N156" s="392" t="n"/>
      <c r="O156" s="393" t="n"/>
      <c r="P156" s="30" t="n"/>
      <c r="Q156" s="30" t="n"/>
      <c r="R156" s="31">
        <f>IFERROR(VLOOKUP($B156,LD!$B:$J,8,FALSE),"")</f>
        <v/>
      </c>
    </row>
    <row r="157" ht="45" customHeight="1">
      <c r="A157" s="29" t="n"/>
      <c r="B157" s="394" t="n"/>
      <c r="C157" s="392" t="n"/>
      <c r="D157" s="393" t="n"/>
      <c r="E157" s="391">
        <f>IF(B157="","",IFERROR(VLOOKUP(B157,LD!$B:$J,2,FALSE),""))</f>
        <v/>
      </c>
      <c r="F157" s="392" t="n"/>
      <c r="G157" s="392" t="n"/>
      <c r="H157" s="392" t="n"/>
      <c r="I157" s="392" t="n"/>
      <c r="J157" s="392" t="n"/>
      <c r="K157" s="392" t="n"/>
      <c r="L157" s="392" t="n"/>
      <c r="M157" s="392" t="n"/>
      <c r="N157" s="392" t="n"/>
      <c r="O157" s="393" t="n"/>
      <c r="P157" s="30" t="n"/>
      <c r="Q157" s="30" t="n"/>
      <c r="R157" s="31">
        <f>IFERROR(VLOOKUP($B157,LD!$B:$J,8,FALSE),"")</f>
        <v/>
      </c>
    </row>
    <row r="158" ht="45" customHeight="1">
      <c r="A158" s="29" t="n"/>
      <c r="B158" s="394" t="n"/>
      <c r="C158" s="392" t="n"/>
      <c r="D158" s="393" t="n"/>
      <c r="E158" s="391">
        <f>IF(B158="","",IFERROR(VLOOKUP(B158,LD!$B:$J,2,FALSE),""))</f>
        <v/>
      </c>
      <c r="F158" s="392" t="n"/>
      <c r="G158" s="392" t="n"/>
      <c r="H158" s="392" t="n"/>
      <c r="I158" s="392" t="n"/>
      <c r="J158" s="392" t="n"/>
      <c r="K158" s="392" t="n"/>
      <c r="L158" s="392" t="n"/>
      <c r="M158" s="392" t="n"/>
      <c r="N158" s="392" t="n"/>
      <c r="O158" s="393" t="n"/>
      <c r="P158" s="30" t="n"/>
      <c r="Q158" s="30" t="n"/>
      <c r="R158" s="31">
        <f>IFERROR(VLOOKUP($B158,LD!$B:$J,8,FALSE),"")</f>
        <v/>
      </c>
    </row>
    <row r="159" ht="45" customHeight="1">
      <c r="A159" s="29" t="n"/>
      <c r="B159" s="394" t="n"/>
      <c r="C159" s="392" t="n"/>
      <c r="D159" s="393" t="n"/>
      <c r="E159" s="391">
        <f>IF(B159="","",IFERROR(VLOOKUP(B159,LD!$B:$J,2,FALSE),""))</f>
        <v/>
      </c>
      <c r="F159" s="392" t="n"/>
      <c r="G159" s="392" t="n"/>
      <c r="H159" s="392" t="n"/>
      <c r="I159" s="392" t="n"/>
      <c r="J159" s="392" t="n"/>
      <c r="K159" s="392" t="n"/>
      <c r="L159" s="392" t="n"/>
      <c r="M159" s="392" t="n"/>
      <c r="N159" s="392" t="n"/>
      <c r="O159" s="393" t="n"/>
      <c r="P159" s="30" t="n"/>
      <c r="Q159" s="30" t="n"/>
      <c r="R159" s="31">
        <f>IFERROR(VLOOKUP($B159,LD!$B:$J,8,FALSE),"")</f>
        <v/>
      </c>
    </row>
    <row r="160" ht="45" customHeight="1">
      <c r="A160" s="29" t="n"/>
      <c r="B160" s="394" t="n"/>
      <c r="C160" s="392" t="n"/>
      <c r="D160" s="393" t="n"/>
      <c r="E160" s="391">
        <f>IF(B160="","",IFERROR(VLOOKUP(B160,LD!$B:$J,2,FALSE),""))</f>
        <v/>
      </c>
      <c r="F160" s="392" t="n"/>
      <c r="G160" s="392" t="n"/>
      <c r="H160" s="392" t="n"/>
      <c r="I160" s="392" t="n"/>
      <c r="J160" s="392" t="n"/>
      <c r="K160" s="392" t="n"/>
      <c r="L160" s="392" t="n"/>
      <c r="M160" s="392" t="n"/>
      <c r="N160" s="392" t="n"/>
      <c r="O160" s="393" t="n"/>
      <c r="P160" s="30" t="n"/>
      <c r="Q160" s="30" t="n"/>
      <c r="R160" s="31">
        <f>IFERROR(VLOOKUP($B160,LD!$B:$J,8,FALSE),"")</f>
        <v/>
      </c>
    </row>
    <row r="161" ht="45" customHeight="1">
      <c r="A161" s="29" t="n"/>
      <c r="B161" s="394" t="n"/>
      <c r="C161" s="392" t="n"/>
      <c r="D161" s="393" t="n"/>
      <c r="E161" s="391">
        <f>IF(B161="","",IFERROR(VLOOKUP(B161,LD!$B:$J,2,FALSE),""))</f>
        <v/>
      </c>
      <c r="F161" s="392" t="n"/>
      <c r="G161" s="392" t="n"/>
      <c r="H161" s="392" t="n"/>
      <c r="I161" s="392" t="n"/>
      <c r="J161" s="392" t="n"/>
      <c r="K161" s="392" t="n"/>
      <c r="L161" s="392" t="n"/>
      <c r="M161" s="392" t="n"/>
      <c r="N161" s="392" t="n"/>
      <c r="O161" s="393" t="n"/>
      <c r="P161" s="30" t="n"/>
      <c r="Q161" s="30" t="n"/>
      <c r="R161" s="31">
        <f>IFERROR(VLOOKUP($B161,LD!$B:$J,8,FALSE),"")</f>
        <v/>
      </c>
    </row>
    <row r="162" ht="45" customHeight="1">
      <c r="A162" s="29" t="n"/>
      <c r="B162" s="394" t="n"/>
      <c r="C162" s="392" t="n"/>
      <c r="D162" s="393" t="n"/>
      <c r="E162" s="391">
        <f>IF(B162="","",IFERROR(VLOOKUP(B162,LD!$B:$J,2,FALSE),""))</f>
        <v/>
      </c>
      <c r="F162" s="392" t="n"/>
      <c r="G162" s="392" t="n"/>
      <c r="H162" s="392" t="n"/>
      <c r="I162" s="392" t="n"/>
      <c r="J162" s="392" t="n"/>
      <c r="K162" s="392" t="n"/>
      <c r="L162" s="392" t="n"/>
      <c r="M162" s="392" t="n"/>
      <c r="N162" s="392" t="n"/>
      <c r="O162" s="393" t="n"/>
      <c r="P162" s="30" t="n"/>
      <c r="Q162" s="30" t="n"/>
      <c r="R162" s="31">
        <f>IFERROR(VLOOKUP($B162,LD!$B:$J,8,FALSE),"")</f>
        <v/>
      </c>
    </row>
    <row r="163" ht="45" customHeight="1">
      <c r="A163" s="29" t="n"/>
      <c r="B163" s="394" t="n"/>
      <c r="C163" s="392" t="n"/>
      <c r="D163" s="393" t="n"/>
      <c r="E163" s="391">
        <f>IF(B163="","",IFERROR(VLOOKUP(B163,LD!$B:$J,2,FALSE),""))</f>
        <v/>
      </c>
      <c r="F163" s="392" t="n"/>
      <c r="G163" s="392" t="n"/>
      <c r="H163" s="392" t="n"/>
      <c r="I163" s="392" t="n"/>
      <c r="J163" s="392" t="n"/>
      <c r="K163" s="392" t="n"/>
      <c r="L163" s="392" t="n"/>
      <c r="M163" s="392" t="n"/>
      <c r="N163" s="392" t="n"/>
      <c r="O163" s="393" t="n"/>
      <c r="P163" s="30" t="n"/>
      <c r="Q163" s="30" t="n"/>
      <c r="R163" s="31">
        <f>IFERROR(VLOOKUP($B163,LD!$B:$J,8,FALSE),"")</f>
        <v/>
      </c>
    </row>
    <row r="164" ht="45" customHeight="1">
      <c r="A164" s="29" t="n"/>
      <c r="B164" s="394" t="n"/>
      <c r="C164" s="392" t="n"/>
      <c r="D164" s="393" t="n"/>
      <c r="E164" s="391">
        <f>IF(B164="","",IFERROR(VLOOKUP(B164,LD!$B:$J,2,FALSE),""))</f>
        <v/>
      </c>
      <c r="F164" s="392" t="n"/>
      <c r="G164" s="392" t="n"/>
      <c r="H164" s="392" t="n"/>
      <c r="I164" s="392" t="n"/>
      <c r="J164" s="392" t="n"/>
      <c r="K164" s="392" t="n"/>
      <c r="L164" s="392" t="n"/>
      <c r="M164" s="392" t="n"/>
      <c r="N164" s="392" t="n"/>
      <c r="O164" s="393" t="n"/>
      <c r="P164" s="30" t="n"/>
      <c r="Q164" s="30" t="n"/>
      <c r="R164" s="31">
        <f>IFERROR(VLOOKUP($B164,LD!$B:$J,8,FALSE),"")</f>
        <v/>
      </c>
    </row>
    <row r="165" ht="45" customHeight="1">
      <c r="A165" s="29" t="n"/>
      <c r="B165" s="394" t="n"/>
      <c r="C165" s="392" t="n"/>
      <c r="D165" s="393" t="n"/>
      <c r="E165" s="391">
        <f>IF(B165="","",IFERROR(VLOOKUP(B165,LD!$B:$J,2,FALSE),""))</f>
        <v/>
      </c>
      <c r="F165" s="392" t="n"/>
      <c r="G165" s="392" t="n"/>
      <c r="H165" s="392" t="n"/>
      <c r="I165" s="392" t="n"/>
      <c r="J165" s="392" t="n"/>
      <c r="K165" s="392" t="n"/>
      <c r="L165" s="392" t="n"/>
      <c r="M165" s="392" t="n"/>
      <c r="N165" s="392" t="n"/>
      <c r="O165" s="393" t="n"/>
      <c r="P165" s="30" t="n"/>
      <c r="Q165" s="30" t="n"/>
      <c r="R165" s="31">
        <f>IFERROR(VLOOKUP($B165,LD!$B:$J,8,FALSE),"")</f>
        <v/>
      </c>
    </row>
    <row r="166" ht="45" customHeight="1">
      <c r="A166" s="29" t="n"/>
      <c r="B166" s="394" t="n"/>
      <c r="C166" s="392" t="n"/>
      <c r="D166" s="393" t="n"/>
      <c r="E166" s="391">
        <f>IF(B166="","",IFERROR(VLOOKUP(B166,LD!$B:$J,2,FALSE),""))</f>
        <v/>
      </c>
      <c r="F166" s="392" t="n"/>
      <c r="G166" s="392" t="n"/>
      <c r="H166" s="392" t="n"/>
      <c r="I166" s="392" t="n"/>
      <c r="J166" s="392" t="n"/>
      <c r="K166" s="392" t="n"/>
      <c r="L166" s="392" t="n"/>
      <c r="M166" s="392" t="n"/>
      <c r="N166" s="392" t="n"/>
      <c r="O166" s="393" t="n"/>
      <c r="P166" s="30" t="n"/>
      <c r="Q166" s="30" t="n"/>
      <c r="R166" s="31">
        <f>IFERROR(VLOOKUP($B166,LD!$B:$J,8,FALSE),"")</f>
        <v/>
      </c>
    </row>
    <row r="167" ht="45" customHeight="1">
      <c r="A167" s="29" t="n"/>
      <c r="B167" s="394" t="n"/>
      <c r="C167" s="392" t="n"/>
      <c r="D167" s="393" t="n"/>
      <c r="E167" s="391">
        <f>IF(B167="","",IFERROR(VLOOKUP(B167,LD!$B:$J,2,FALSE),""))</f>
        <v/>
      </c>
      <c r="F167" s="392" t="n"/>
      <c r="G167" s="392" t="n"/>
      <c r="H167" s="392" t="n"/>
      <c r="I167" s="392" t="n"/>
      <c r="J167" s="392" t="n"/>
      <c r="K167" s="392" t="n"/>
      <c r="L167" s="392" t="n"/>
      <c r="M167" s="392" t="n"/>
      <c r="N167" s="392" t="n"/>
      <c r="O167" s="393" t="n"/>
      <c r="P167" s="30" t="n"/>
      <c r="Q167" s="30" t="n"/>
      <c r="R167" s="31">
        <f>IFERROR(VLOOKUP($B167,LD!$B:$J,8,FALSE),"")</f>
        <v/>
      </c>
    </row>
    <row r="168" ht="45" customHeight="1">
      <c r="A168" s="29" t="n"/>
      <c r="B168" s="394" t="n"/>
      <c r="C168" s="392" t="n"/>
      <c r="D168" s="393" t="n"/>
      <c r="E168" s="391">
        <f>IF(B168="","",IFERROR(VLOOKUP(B168,LD!$B:$J,2,FALSE),""))</f>
        <v/>
      </c>
      <c r="F168" s="392" t="n"/>
      <c r="G168" s="392" t="n"/>
      <c r="H168" s="392" t="n"/>
      <c r="I168" s="392" t="n"/>
      <c r="J168" s="392" t="n"/>
      <c r="K168" s="392" t="n"/>
      <c r="L168" s="392" t="n"/>
      <c r="M168" s="392" t="n"/>
      <c r="N168" s="392" t="n"/>
      <c r="O168" s="393" t="n"/>
      <c r="P168" s="30" t="n"/>
      <c r="Q168" s="30" t="n"/>
      <c r="R168" s="31">
        <f>IFERROR(VLOOKUP($B168,LD!$B:$J,8,FALSE),"")</f>
        <v/>
      </c>
    </row>
    <row r="169" ht="45" customHeight="1">
      <c r="A169" s="29" t="n"/>
      <c r="B169" s="394" t="n"/>
      <c r="C169" s="392" t="n"/>
      <c r="D169" s="393" t="n"/>
      <c r="E169" s="391">
        <f>IF(B169="","",IFERROR(VLOOKUP(B169,LD!$B:$J,2,FALSE),""))</f>
        <v/>
      </c>
      <c r="F169" s="392" t="n"/>
      <c r="G169" s="392" t="n"/>
      <c r="H169" s="392" t="n"/>
      <c r="I169" s="392" t="n"/>
      <c r="J169" s="392" t="n"/>
      <c r="K169" s="392" t="n"/>
      <c r="L169" s="392" t="n"/>
      <c r="M169" s="392" t="n"/>
      <c r="N169" s="392" t="n"/>
      <c r="O169" s="393" t="n"/>
      <c r="P169" s="30" t="n"/>
      <c r="Q169" s="30" t="n"/>
      <c r="R169" s="31">
        <f>IFERROR(VLOOKUP($B169,LD!$B:$J,8,FALSE),"")</f>
        <v/>
      </c>
    </row>
    <row r="170" ht="45" customHeight="1">
      <c r="A170" s="29" t="n"/>
      <c r="B170" s="394" t="n"/>
      <c r="C170" s="392" t="n"/>
      <c r="D170" s="393" t="n"/>
      <c r="E170" s="391">
        <f>IF(B170="","",IFERROR(VLOOKUP(B170,LD!$B:$J,2,FALSE),""))</f>
        <v/>
      </c>
      <c r="F170" s="392" t="n"/>
      <c r="G170" s="392" t="n"/>
      <c r="H170" s="392" t="n"/>
      <c r="I170" s="392" t="n"/>
      <c r="J170" s="392" t="n"/>
      <c r="K170" s="392" t="n"/>
      <c r="L170" s="392" t="n"/>
      <c r="M170" s="392" t="n"/>
      <c r="N170" s="392" t="n"/>
      <c r="O170" s="393" t="n"/>
      <c r="P170" s="30" t="n"/>
      <c r="Q170" s="30" t="n"/>
      <c r="R170" s="31">
        <f>IFERROR(VLOOKUP($B170,LD!$B:$J,8,FALSE),"")</f>
        <v/>
      </c>
    </row>
    <row r="171" ht="45" customHeight="1">
      <c r="A171" s="29" t="n"/>
      <c r="B171" s="394" t="n"/>
      <c r="C171" s="392" t="n"/>
      <c r="D171" s="393" t="n"/>
      <c r="E171" s="391">
        <f>IF(B171="","",IFERROR(VLOOKUP(B171,LD!$B:$J,2,FALSE),""))</f>
        <v/>
      </c>
      <c r="F171" s="392" t="n"/>
      <c r="G171" s="392" t="n"/>
      <c r="H171" s="392" t="n"/>
      <c r="I171" s="392" t="n"/>
      <c r="J171" s="392" t="n"/>
      <c r="K171" s="392" t="n"/>
      <c r="L171" s="392" t="n"/>
      <c r="M171" s="392" t="n"/>
      <c r="N171" s="392" t="n"/>
      <c r="O171" s="393" t="n"/>
      <c r="P171" s="30" t="n"/>
      <c r="Q171" s="30" t="n"/>
      <c r="R171" s="31">
        <f>IFERROR(VLOOKUP($B171,LD!$B:$J,8,FALSE),"")</f>
        <v/>
      </c>
    </row>
    <row r="172" ht="45" customHeight="1">
      <c r="A172" s="29" t="n"/>
      <c r="B172" s="394" t="n"/>
      <c r="C172" s="392" t="n"/>
      <c r="D172" s="393" t="n"/>
      <c r="E172" s="391">
        <f>IF(B172="","",IFERROR(VLOOKUP(B172,LD!$B:$J,2,FALSE),""))</f>
        <v/>
      </c>
      <c r="F172" s="392" t="n"/>
      <c r="G172" s="392" t="n"/>
      <c r="H172" s="392" t="n"/>
      <c r="I172" s="392" t="n"/>
      <c r="J172" s="392" t="n"/>
      <c r="K172" s="392" t="n"/>
      <c r="L172" s="392" t="n"/>
      <c r="M172" s="392" t="n"/>
      <c r="N172" s="392" t="n"/>
      <c r="O172" s="393" t="n"/>
      <c r="P172" s="30" t="n"/>
      <c r="Q172" s="30" t="n"/>
      <c r="R172" s="31">
        <f>IFERROR(VLOOKUP($B172,LD!$B:$J,8,FALSE),"")</f>
        <v/>
      </c>
    </row>
    <row r="173" ht="45" customHeight="1">
      <c r="A173" s="29" t="n"/>
      <c r="B173" s="394" t="n"/>
      <c r="C173" s="392" t="n"/>
      <c r="D173" s="393" t="n"/>
      <c r="E173" s="391">
        <f>IF(B173="","",IFERROR(VLOOKUP(B173,LD!$B:$J,2,FALSE),""))</f>
        <v/>
      </c>
      <c r="F173" s="392" t="n"/>
      <c r="G173" s="392" t="n"/>
      <c r="H173" s="392" t="n"/>
      <c r="I173" s="392" t="n"/>
      <c r="J173" s="392" t="n"/>
      <c r="K173" s="392" t="n"/>
      <c r="L173" s="392" t="n"/>
      <c r="M173" s="392" t="n"/>
      <c r="N173" s="392" t="n"/>
      <c r="O173" s="393" t="n"/>
      <c r="P173" s="30" t="n"/>
      <c r="Q173" s="30" t="n"/>
      <c r="R173" s="31">
        <f>IFERROR(VLOOKUP($B173,LD!$B:$J,8,FALSE),"")</f>
        <v/>
      </c>
    </row>
    <row r="174" ht="45" customHeight="1">
      <c r="A174" s="29" t="n"/>
      <c r="B174" s="394" t="n"/>
      <c r="C174" s="392" t="n"/>
      <c r="D174" s="393" t="n"/>
      <c r="E174" s="391">
        <f>IF(B174="","",IFERROR(VLOOKUP(B174,LD!$B:$J,2,FALSE),""))</f>
        <v/>
      </c>
      <c r="F174" s="392" t="n"/>
      <c r="G174" s="392" t="n"/>
      <c r="H174" s="392" t="n"/>
      <c r="I174" s="392" t="n"/>
      <c r="J174" s="392" t="n"/>
      <c r="K174" s="392" t="n"/>
      <c r="L174" s="392" t="n"/>
      <c r="M174" s="392" t="n"/>
      <c r="N174" s="392" t="n"/>
      <c r="O174" s="393" t="n"/>
      <c r="P174" s="30" t="n"/>
      <c r="Q174" s="30" t="n"/>
      <c r="R174" s="31">
        <f>IFERROR(VLOOKUP($B174,LD!$B:$J,8,FALSE),"")</f>
        <v/>
      </c>
    </row>
    <row r="175" ht="45" customHeight="1">
      <c r="A175" s="29" t="n"/>
      <c r="B175" s="394" t="n"/>
      <c r="C175" s="392" t="n"/>
      <c r="D175" s="393" t="n"/>
      <c r="E175" s="391">
        <f>IF(B175="","",IFERROR(VLOOKUP(B175,LD!$B:$J,2,FALSE),""))</f>
        <v/>
      </c>
      <c r="F175" s="392" t="n"/>
      <c r="G175" s="392" t="n"/>
      <c r="H175" s="392" t="n"/>
      <c r="I175" s="392" t="n"/>
      <c r="J175" s="392" t="n"/>
      <c r="K175" s="392" t="n"/>
      <c r="L175" s="392" t="n"/>
      <c r="M175" s="392" t="n"/>
      <c r="N175" s="392" t="n"/>
      <c r="O175" s="393" t="n"/>
      <c r="P175" s="30" t="n"/>
      <c r="Q175" s="30" t="n"/>
      <c r="R175" s="31">
        <f>IFERROR(VLOOKUP($B175,LD!$B:$J,8,FALSE),"")</f>
        <v/>
      </c>
    </row>
    <row r="176" ht="45" customHeight="1">
      <c r="A176" s="29" t="n"/>
      <c r="B176" s="394" t="n"/>
      <c r="C176" s="392" t="n"/>
      <c r="D176" s="393" t="n"/>
      <c r="E176" s="391">
        <f>IF(B176="","",IFERROR(VLOOKUP(B176,LD!$B:$J,2,FALSE),""))</f>
        <v/>
      </c>
      <c r="F176" s="392" t="n"/>
      <c r="G176" s="392" t="n"/>
      <c r="H176" s="392" t="n"/>
      <c r="I176" s="392" t="n"/>
      <c r="J176" s="392" t="n"/>
      <c r="K176" s="392" t="n"/>
      <c r="L176" s="392" t="n"/>
      <c r="M176" s="392" t="n"/>
      <c r="N176" s="392" t="n"/>
      <c r="O176" s="393" t="n"/>
      <c r="P176" s="30" t="n"/>
      <c r="Q176" s="30" t="n"/>
      <c r="R176" s="31">
        <f>IFERROR(VLOOKUP($B176,LD!$B:$J,8,FALSE),"")</f>
        <v/>
      </c>
    </row>
    <row r="177" ht="45" customHeight="1">
      <c r="A177" s="29" t="n"/>
      <c r="B177" s="394" t="n"/>
      <c r="C177" s="392" t="n"/>
      <c r="D177" s="393" t="n"/>
      <c r="E177" s="391">
        <f>IF(B177="","",IFERROR(VLOOKUP(B177,LD!$B:$J,2,FALSE),""))</f>
        <v/>
      </c>
      <c r="F177" s="392" t="n"/>
      <c r="G177" s="392" t="n"/>
      <c r="H177" s="392" t="n"/>
      <c r="I177" s="392" t="n"/>
      <c r="J177" s="392" t="n"/>
      <c r="K177" s="392" t="n"/>
      <c r="L177" s="392" t="n"/>
      <c r="M177" s="392" t="n"/>
      <c r="N177" s="392" t="n"/>
      <c r="O177" s="393" t="n"/>
      <c r="P177" s="30" t="n"/>
      <c r="Q177" s="30" t="n"/>
      <c r="R177" s="31">
        <f>IFERROR(VLOOKUP($B177,LD!$B:$J,8,FALSE),"")</f>
        <v/>
      </c>
    </row>
    <row r="178" ht="45" customHeight="1">
      <c r="A178" s="29" t="n"/>
      <c r="B178" s="394" t="n"/>
      <c r="C178" s="392" t="n"/>
      <c r="D178" s="393" t="n"/>
      <c r="E178" s="391">
        <f>IF(B178="","",IFERROR(VLOOKUP(B178,LD!$B:$J,2,FALSE),""))</f>
        <v/>
      </c>
      <c r="F178" s="392" t="n"/>
      <c r="G178" s="392" t="n"/>
      <c r="H178" s="392" t="n"/>
      <c r="I178" s="392" t="n"/>
      <c r="J178" s="392" t="n"/>
      <c r="K178" s="392" t="n"/>
      <c r="L178" s="392" t="n"/>
      <c r="M178" s="392" t="n"/>
      <c r="N178" s="392" t="n"/>
      <c r="O178" s="393" t="n"/>
      <c r="P178" s="30" t="n"/>
      <c r="Q178" s="30" t="n"/>
      <c r="R178" s="31">
        <f>IFERROR(VLOOKUP($B178,LD!$B:$J,8,FALSE),"")</f>
        <v/>
      </c>
    </row>
    <row r="179" ht="45" customHeight="1">
      <c r="A179" s="29" t="n"/>
      <c r="B179" s="394" t="n"/>
      <c r="C179" s="392" t="n"/>
      <c r="D179" s="393" t="n"/>
      <c r="E179" s="391">
        <f>IF(B179="","",IFERROR(VLOOKUP(B179,LD!$B:$J,2,FALSE),""))</f>
        <v/>
      </c>
      <c r="F179" s="392" t="n"/>
      <c r="G179" s="392" t="n"/>
      <c r="H179" s="392" t="n"/>
      <c r="I179" s="392" t="n"/>
      <c r="J179" s="392" t="n"/>
      <c r="K179" s="392" t="n"/>
      <c r="L179" s="392" t="n"/>
      <c r="M179" s="392" t="n"/>
      <c r="N179" s="392" t="n"/>
      <c r="O179" s="393" t="n"/>
      <c r="P179" s="30" t="n"/>
      <c r="Q179" s="30" t="n"/>
      <c r="R179" s="31">
        <f>IFERROR(VLOOKUP($B179,LD!$B:$J,8,FALSE),"")</f>
        <v/>
      </c>
    </row>
    <row r="180" ht="45" customHeight="1">
      <c r="A180" s="29" t="n"/>
      <c r="B180" s="394" t="n"/>
      <c r="C180" s="392" t="n"/>
      <c r="D180" s="393" t="n"/>
      <c r="E180" s="391">
        <f>IF(B180="","",IFERROR(VLOOKUP(B180,LD!$B:$J,2,FALSE),""))</f>
        <v/>
      </c>
      <c r="F180" s="392" t="n"/>
      <c r="G180" s="392" t="n"/>
      <c r="H180" s="392" t="n"/>
      <c r="I180" s="392" t="n"/>
      <c r="J180" s="392" t="n"/>
      <c r="K180" s="392" t="n"/>
      <c r="L180" s="392" t="n"/>
      <c r="M180" s="392" t="n"/>
      <c r="N180" s="392" t="n"/>
      <c r="O180" s="393" t="n"/>
      <c r="P180" s="30" t="n"/>
      <c r="Q180" s="30" t="n"/>
      <c r="R180" s="31">
        <f>IFERROR(VLOOKUP($B180,LD!$B:$J,8,FALSE),"")</f>
        <v/>
      </c>
    </row>
    <row r="181" ht="45" customHeight="1">
      <c r="A181" s="29" t="n"/>
      <c r="B181" s="394" t="n"/>
      <c r="C181" s="392" t="n"/>
      <c r="D181" s="393" t="n"/>
      <c r="E181" s="391">
        <f>IF(B181="","",IFERROR(VLOOKUP(B181,LD!$B:$J,2,FALSE),""))</f>
        <v/>
      </c>
      <c r="F181" s="392" t="n"/>
      <c r="G181" s="392" t="n"/>
      <c r="H181" s="392" t="n"/>
      <c r="I181" s="392" t="n"/>
      <c r="J181" s="392" t="n"/>
      <c r="K181" s="392" t="n"/>
      <c r="L181" s="392" t="n"/>
      <c r="M181" s="392" t="n"/>
      <c r="N181" s="392" t="n"/>
      <c r="O181" s="393" t="n"/>
      <c r="P181" s="30" t="n"/>
      <c r="Q181" s="30" t="n"/>
      <c r="R181" s="31">
        <f>IFERROR(VLOOKUP($B181,LD!$B:$J,8,FALSE),"")</f>
        <v/>
      </c>
    </row>
    <row r="182" ht="45" customHeight="1">
      <c r="A182" s="29" t="n"/>
      <c r="B182" s="394" t="n"/>
      <c r="C182" s="392" t="n"/>
      <c r="D182" s="393" t="n"/>
      <c r="E182" s="391">
        <f>IF(B182="","",IFERROR(VLOOKUP(B182,LD!$B:$J,2,FALSE),""))</f>
        <v/>
      </c>
      <c r="F182" s="392" t="n"/>
      <c r="G182" s="392" t="n"/>
      <c r="H182" s="392" t="n"/>
      <c r="I182" s="392" t="n"/>
      <c r="J182" s="392" t="n"/>
      <c r="K182" s="392" t="n"/>
      <c r="L182" s="392" t="n"/>
      <c r="M182" s="392" t="n"/>
      <c r="N182" s="392" t="n"/>
      <c r="O182" s="393" t="n"/>
      <c r="P182" s="30" t="n"/>
      <c r="Q182" s="30" t="n"/>
      <c r="R182" s="31">
        <f>IFERROR(VLOOKUP($B182,LD!$B:$J,8,FALSE),"")</f>
        <v/>
      </c>
    </row>
    <row r="183" ht="45" customHeight="1">
      <c r="A183" s="29" t="n"/>
      <c r="B183" s="394" t="n"/>
      <c r="C183" s="392" t="n"/>
      <c r="D183" s="393" t="n"/>
      <c r="E183" s="391">
        <f>IF(B183="","",IFERROR(VLOOKUP(B183,LD!$B:$J,2,FALSE),""))</f>
        <v/>
      </c>
      <c r="F183" s="392" t="n"/>
      <c r="G183" s="392" t="n"/>
      <c r="H183" s="392" t="n"/>
      <c r="I183" s="392" t="n"/>
      <c r="J183" s="392" t="n"/>
      <c r="K183" s="392" t="n"/>
      <c r="L183" s="392" t="n"/>
      <c r="M183" s="392" t="n"/>
      <c r="N183" s="392" t="n"/>
      <c r="O183" s="393" t="n"/>
      <c r="P183" s="30" t="n"/>
      <c r="Q183" s="30" t="n"/>
      <c r="R183" s="31">
        <f>IFERROR(VLOOKUP($B183,LD!$B:$J,8,FALSE),"")</f>
        <v/>
      </c>
    </row>
    <row r="184" ht="45" customHeight="1">
      <c r="A184" s="29" t="n"/>
      <c r="B184" s="394" t="n"/>
      <c r="C184" s="392" t="n"/>
      <c r="D184" s="393" t="n"/>
      <c r="E184" s="391">
        <f>IF(B184="","",IFERROR(VLOOKUP(B184,LD!$B:$J,2,FALSE),""))</f>
        <v/>
      </c>
      <c r="F184" s="392" t="n"/>
      <c r="G184" s="392" t="n"/>
      <c r="H184" s="392" t="n"/>
      <c r="I184" s="392" t="n"/>
      <c r="J184" s="392" t="n"/>
      <c r="K184" s="392" t="n"/>
      <c r="L184" s="392" t="n"/>
      <c r="M184" s="392" t="n"/>
      <c r="N184" s="392" t="n"/>
      <c r="O184" s="393" t="n"/>
      <c r="P184" s="30" t="n"/>
      <c r="Q184" s="30" t="n"/>
      <c r="R184" s="31">
        <f>IFERROR(VLOOKUP($B184,LD!$B:$J,8,FALSE),"")</f>
        <v/>
      </c>
    </row>
    <row r="185" ht="45" customHeight="1">
      <c r="A185" s="29" t="n"/>
      <c r="B185" s="394" t="n"/>
      <c r="C185" s="392" t="n"/>
      <c r="D185" s="393" t="n"/>
      <c r="E185" s="391">
        <f>IF(B185="","",IFERROR(VLOOKUP(B185,LD!$B:$J,2,FALSE),""))</f>
        <v/>
      </c>
      <c r="F185" s="392" t="n"/>
      <c r="G185" s="392" t="n"/>
      <c r="H185" s="392" t="n"/>
      <c r="I185" s="392" t="n"/>
      <c r="J185" s="392" t="n"/>
      <c r="K185" s="392" t="n"/>
      <c r="L185" s="392" t="n"/>
      <c r="M185" s="392" t="n"/>
      <c r="N185" s="392" t="n"/>
      <c r="O185" s="393" t="n"/>
      <c r="P185" s="30" t="n"/>
      <c r="Q185" s="30" t="n"/>
      <c r="R185" s="31">
        <f>IFERROR(VLOOKUP($B185,LD!$B:$J,8,FALSE),"")</f>
        <v/>
      </c>
    </row>
    <row r="186" ht="45" customHeight="1">
      <c r="A186" s="29" t="n"/>
      <c r="B186" s="394" t="n"/>
      <c r="C186" s="392" t="n"/>
      <c r="D186" s="393" t="n"/>
      <c r="E186" s="391">
        <f>IF(B186="","",IFERROR(VLOOKUP(B186,LD!$B:$J,2,FALSE),""))</f>
        <v/>
      </c>
      <c r="F186" s="392" t="n"/>
      <c r="G186" s="392" t="n"/>
      <c r="H186" s="392" t="n"/>
      <c r="I186" s="392" t="n"/>
      <c r="J186" s="392" t="n"/>
      <c r="K186" s="392" t="n"/>
      <c r="L186" s="392" t="n"/>
      <c r="M186" s="392" t="n"/>
      <c r="N186" s="392" t="n"/>
      <c r="O186" s="393" t="n"/>
      <c r="P186" s="30" t="n"/>
      <c r="Q186" s="30" t="n"/>
      <c r="R186" s="31">
        <f>IFERROR(VLOOKUP($B186,LD!$B:$J,8,FALSE),"")</f>
        <v/>
      </c>
    </row>
    <row r="187" ht="45" customHeight="1">
      <c r="A187" s="29" t="n"/>
      <c r="B187" s="394" t="n"/>
      <c r="C187" s="392" t="n"/>
      <c r="D187" s="393" t="n"/>
      <c r="E187" s="391">
        <f>IF(B187="","",IFERROR(VLOOKUP(B187,LD!$B:$J,2,FALSE),""))</f>
        <v/>
      </c>
      <c r="F187" s="392" t="n"/>
      <c r="G187" s="392" t="n"/>
      <c r="H187" s="392" t="n"/>
      <c r="I187" s="392" t="n"/>
      <c r="J187" s="392" t="n"/>
      <c r="K187" s="392" t="n"/>
      <c r="L187" s="392" t="n"/>
      <c r="M187" s="392" t="n"/>
      <c r="N187" s="392" t="n"/>
      <c r="O187" s="393" t="n"/>
      <c r="P187" s="30" t="n"/>
      <c r="Q187" s="30" t="n"/>
      <c r="R187" s="31">
        <f>IFERROR(VLOOKUP($B187,LD!$B:$J,8,FALSE),"")</f>
        <v/>
      </c>
    </row>
    <row r="188" ht="45" customHeight="1">
      <c r="A188" s="29" t="n"/>
      <c r="B188" s="394" t="n"/>
      <c r="C188" s="392" t="n"/>
      <c r="D188" s="393" t="n"/>
      <c r="E188" s="391">
        <f>IF(B188="","",IFERROR(VLOOKUP(B188,LD!$B:$J,2,FALSE),""))</f>
        <v/>
      </c>
      <c r="F188" s="392" t="n"/>
      <c r="G188" s="392" t="n"/>
      <c r="H188" s="392" t="n"/>
      <c r="I188" s="392" t="n"/>
      <c r="J188" s="392" t="n"/>
      <c r="K188" s="392" t="n"/>
      <c r="L188" s="392" t="n"/>
      <c r="M188" s="392" t="n"/>
      <c r="N188" s="392" t="n"/>
      <c r="O188" s="393" t="n"/>
      <c r="P188" s="30" t="n"/>
      <c r="Q188" s="30" t="n"/>
      <c r="R188" s="31">
        <f>IFERROR(VLOOKUP($B188,LD!$B:$J,8,FALSE),"")</f>
        <v/>
      </c>
    </row>
    <row r="189" ht="45" customHeight="1">
      <c r="A189" s="29" t="n"/>
      <c r="B189" s="394" t="n"/>
      <c r="C189" s="392" t="n"/>
      <c r="D189" s="393" t="n"/>
      <c r="E189" s="391">
        <f>IF(B189="","",IFERROR(VLOOKUP(B189,LD!$B:$J,2,FALSE),""))</f>
        <v/>
      </c>
      <c r="F189" s="392" t="n"/>
      <c r="G189" s="392" t="n"/>
      <c r="H189" s="392" t="n"/>
      <c r="I189" s="392" t="n"/>
      <c r="J189" s="392" t="n"/>
      <c r="K189" s="392" t="n"/>
      <c r="L189" s="392" t="n"/>
      <c r="M189" s="392" t="n"/>
      <c r="N189" s="392" t="n"/>
      <c r="O189" s="393" t="n"/>
      <c r="P189" s="30" t="n"/>
      <c r="Q189" s="30" t="n"/>
      <c r="R189" s="31">
        <f>IFERROR(VLOOKUP($B189,LD!$B:$J,8,FALSE),"")</f>
        <v/>
      </c>
    </row>
    <row r="190" ht="45" customHeight="1">
      <c r="A190" s="29" t="n"/>
      <c r="B190" s="394" t="n"/>
      <c r="C190" s="392" t="n"/>
      <c r="D190" s="393" t="n"/>
      <c r="E190" s="391">
        <f>IF(B190="","",IFERROR(VLOOKUP(B190,LD!$B:$J,2,FALSE),""))</f>
        <v/>
      </c>
      <c r="F190" s="392" t="n"/>
      <c r="G190" s="392" t="n"/>
      <c r="H190" s="392" t="n"/>
      <c r="I190" s="392" t="n"/>
      <c r="J190" s="392" t="n"/>
      <c r="K190" s="392" t="n"/>
      <c r="L190" s="392" t="n"/>
      <c r="M190" s="392" t="n"/>
      <c r="N190" s="392" t="n"/>
      <c r="O190" s="393" t="n"/>
      <c r="P190" s="30" t="n"/>
      <c r="Q190" s="30" t="n"/>
      <c r="R190" s="31">
        <f>IFERROR(VLOOKUP($B190,LD!$B:$J,8,FALSE),"")</f>
        <v/>
      </c>
    </row>
    <row r="191" ht="45" customHeight="1">
      <c r="A191" s="29" t="n"/>
      <c r="B191" s="394" t="n"/>
      <c r="C191" s="392" t="n"/>
      <c r="D191" s="393" t="n"/>
      <c r="E191" s="391">
        <f>IF(B191="","",IFERROR(VLOOKUP(B191,LD!$B:$J,2,FALSE),""))</f>
        <v/>
      </c>
      <c r="F191" s="392" t="n"/>
      <c r="G191" s="392" t="n"/>
      <c r="H191" s="392" t="n"/>
      <c r="I191" s="392" t="n"/>
      <c r="J191" s="392" t="n"/>
      <c r="K191" s="392" t="n"/>
      <c r="L191" s="392" t="n"/>
      <c r="M191" s="392" t="n"/>
      <c r="N191" s="392" t="n"/>
      <c r="O191" s="393" t="n"/>
      <c r="P191" s="30" t="n"/>
      <c r="Q191" s="30" t="n"/>
      <c r="R191" s="31">
        <f>IFERROR(VLOOKUP($B191,LD!$B:$J,8,FALSE),"")</f>
        <v/>
      </c>
    </row>
    <row r="192" ht="45" customHeight="1">
      <c r="A192" s="29" t="n"/>
      <c r="B192" s="394" t="n"/>
      <c r="C192" s="392" t="n"/>
      <c r="D192" s="393" t="n"/>
      <c r="E192" s="391">
        <f>IF(B192="","",IFERROR(VLOOKUP(B192,LD!$B:$J,2,FALSE),""))</f>
        <v/>
      </c>
      <c r="F192" s="392" t="n"/>
      <c r="G192" s="392" t="n"/>
      <c r="H192" s="392" t="n"/>
      <c r="I192" s="392" t="n"/>
      <c r="J192" s="392" t="n"/>
      <c r="K192" s="392" t="n"/>
      <c r="L192" s="392" t="n"/>
      <c r="M192" s="392" t="n"/>
      <c r="N192" s="392" t="n"/>
      <c r="O192" s="393" t="n"/>
      <c r="P192" s="30" t="n"/>
      <c r="Q192" s="30" t="n"/>
      <c r="R192" s="31">
        <f>IFERROR(VLOOKUP($B192,LD!$B:$J,8,FALSE),"")</f>
        <v/>
      </c>
    </row>
    <row r="193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</row>
  </sheetData>
  <mergeCells count="372">
    <mergeCell ref="B60:D60"/>
    <mergeCell ref="E71:O71"/>
    <mergeCell ref="E142:O142"/>
    <mergeCell ref="B53:D53"/>
    <mergeCell ref="M15:R15"/>
    <mergeCell ref="E79:O79"/>
    <mergeCell ref="E73:O73"/>
    <mergeCell ref="E171:O171"/>
    <mergeCell ref="B84:D84"/>
    <mergeCell ref="A17:R17"/>
    <mergeCell ref="E137:O137"/>
    <mergeCell ref="E173:O173"/>
    <mergeCell ref="B142:D142"/>
    <mergeCell ref="B80:D80"/>
    <mergeCell ref="E74:O74"/>
    <mergeCell ref="E166:O166"/>
    <mergeCell ref="B144:D144"/>
    <mergeCell ref="A15:F15"/>
    <mergeCell ref="B190:D190"/>
    <mergeCell ref="E168:O168"/>
    <mergeCell ref="B73:D73"/>
    <mergeCell ref="E67:O67"/>
    <mergeCell ref="E48:O48"/>
    <mergeCell ref="B137:D137"/>
    <mergeCell ref="B99:D99"/>
    <mergeCell ref="E87:O87"/>
    <mergeCell ref="B74:D74"/>
    <mergeCell ref="B68:D68"/>
    <mergeCell ref="B139:D139"/>
    <mergeCell ref="J3:R3"/>
    <mergeCell ref="B76:D76"/>
    <mergeCell ref="E110:O110"/>
    <mergeCell ref="B150:D150"/>
    <mergeCell ref="A19:R21"/>
    <mergeCell ref="E187:O187"/>
    <mergeCell ref="E76:O76"/>
    <mergeCell ref="E174:O174"/>
    <mergeCell ref="B152:D152"/>
    <mergeCell ref="E189:O189"/>
    <mergeCell ref="B23:D23"/>
    <mergeCell ref="B145:D145"/>
    <mergeCell ref="B181:D181"/>
    <mergeCell ref="B87:D87"/>
    <mergeCell ref="E92:O92"/>
    <mergeCell ref="E29:O29"/>
    <mergeCell ref="E94:O94"/>
    <mergeCell ref="B51:D51"/>
    <mergeCell ref="E31:O31"/>
    <mergeCell ref="E158:O158"/>
    <mergeCell ref="E108:O108"/>
    <mergeCell ref="B163:D163"/>
    <mergeCell ref="E95:O95"/>
    <mergeCell ref="E89:O89"/>
    <mergeCell ref="B113:D113"/>
    <mergeCell ref="B138:D138"/>
    <mergeCell ref="E162:O162"/>
    <mergeCell ref="B165:D165"/>
    <mergeCell ref="E124:O124"/>
    <mergeCell ref="B140:D140"/>
    <mergeCell ref="B115:D115"/>
    <mergeCell ref="E120:O120"/>
    <mergeCell ref="E72:O72"/>
    <mergeCell ref="E164:O164"/>
    <mergeCell ref="B77:D77"/>
    <mergeCell ref="E184:O184"/>
    <mergeCell ref="E42:O42"/>
    <mergeCell ref="B29:D29"/>
    <mergeCell ref="E188:O188"/>
    <mergeCell ref="E126:O126"/>
    <mergeCell ref="E44:O44"/>
    <mergeCell ref="A9:J9"/>
    <mergeCell ref="E190:O190"/>
    <mergeCell ref="B95:D95"/>
    <mergeCell ref="B89:D89"/>
    <mergeCell ref="B32:D32"/>
    <mergeCell ref="B26:D26"/>
    <mergeCell ref="B97:D97"/>
    <mergeCell ref="B153:D153"/>
    <mergeCell ref="E179:O179"/>
    <mergeCell ref="B90:D90"/>
    <mergeCell ref="B184:D184"/>
    <mergeCell ref="B27:D27"/>
    <mergeCell ref="E32:O32"/>
    <mergeCell ref="E159:O159"/>
    <mergeCell ref="E37:O37"/>
    <mergeCell ref="E97:O97"/>
    <mergeCell ref="E109:O109"/>
    <mergeCell ref="B42:D42"/>
    <mergeCell ref="E47:O47"/>
    <mergeCell ref="E96:O96"/>
    <mergeCell ref="E145:O145"/>
    <mergeCell ref="E139:O139"/>
    <mergeCell ref="B148:D148"/>
    <mergeCell ref="B179:D179"/>
    <mergeCell ref="E111:O111"/>
    <mergeCell ref="B44:D44"/>
    <mergeCell ref="L8:Q8"/>
    <mergeCell ref="B166:D166"/>
    <mergeCell ref="E98:O98"/>
    <mergeCell ref="A18:R18"/>
    <mergeCell ref="B37:D37"/>
    <mergeCell ref="B108:D108"/>
    <mergeCell ref="B168:D168"/>
    <mergeCell ref="G14:L14"/>
    <mergeCell ref="B143:D143"/>
    <mergeCell ref="E63:O63"/>
    <mergeCell ref="A22:R22"/>
    <mergeCell ref="E27:O27"/>
    <mergeCell ref="E45:O45"/>
    <mergeCell ref="E116:O116"/>
    <mergeCell ref="B159:D159"/>
    <mergeCell ref="B134:D134"/>
    <mergeCell ref="A11:I11"/>
    <mergeCell ref="E91:O91"/>
    <mergeCell ref="E85:O85"/>
    <mergeCell ref="B96:D96"/>
    <mergeCell ref="B167:D167"/>
    <mergeCell ref="B161:D161"/>
    <mergeCell ref="E93:O93"/>
    <mergeCell ref="B111:D111"/>
    <mergeCell ref="B98:D98"/>
    <mergeCell ref="B175:D175"/>
    <mergeCell ref="E122:O122"/>
    <mergeCell ref="B162:D162"/>
    <mergeCell ref="L6:R6"/>
    <mergeCell ref="E38:O38"/>
    <mergeCell ref="E147:O147"/>
    <mergeCell ref="B187:D187"/>
    <mergeCell ref="E40:O40"/>
    <mergeCell ref="B124:D124"/>
    <mergeCell ref="B189:D189"/>
    <mergeCell ref="B45:D45"/>
    <mergeCell ref="E148:O148"/>
    <mergeCell ref="E104:O104"/>
    <mergeCell ref="A7:J7"/>
    <mergeCell ref="B188:D188"/>
    <mergeCell ref="B126:D126"/>
    <mergeCell ref="B109:D109"/>
    <mergeCell ref="B47:D47"/>
    <mergeCell ref="B59:D59"/>
    <mergeCell ref="B46:D46"/>
    <mergeCell ref="E66:O66"/>
    <mergeCell ref="B48:D48"/>
    <mergeCell ref="E53:O53"/>
    <mergeCell ref="E130:O130"/>
    <mergeCell ref="E68:O68"/>
    <mergeCell ref="E117:O117"/>
    <mergeCell ref="E55:O55"/>
    <mergeCell ref="E160:O160"/>
    <mergeCell ref="E141:O141"/>
    <mergeCell ref="E132:O132"/>
    <mergeCell ref="E107:O107"/>
    <mergeCell ref="E143:O143"/>
    <mergeCell ref="B183:D183"/>
    <mergeCell ref="E161:O161"/>
    <mergeCell ref="B177:D177"/>
    <mergeCell ref="B164:D164"/>
    <mergeCell ref="B114:D114"/>
    <mergeCell ref="B41:D41"/>
    <mergeCell ref="B35:D35"/>
    <mergeCell ref="B66:D66"/>
    <mergeCell ref="E54:O54"/>
    <mergeCell ref="B180:D180"/>
    <mergeCell ref="E41:O41"/>
    <mergeCell ref="E112:O112"/>
    <mergeCell ref="B130:D130"/>
    <mergeCell ref="B117:D117"/>
    <mergeCell ref="E56:O56"/>
    <mergeCell ref="E43:O43"/>
    <mergeCell ref="B67:D67"/>
    <mergeCell ref="B61:D61"/>
    <mergeCell ref="B132:D132"/>
    <mergeCell ref="B119:D119"/>
    <mergeCell ref="A10:J10"/>
    <mergeCell ref="B69:D69"/>
    <mergeCell ref="B112:D112"/>
    <mergeCell ref="E138:O138"/>
    <mergeCell ref="B127:D127"/>
    <mergeCell ref="B64:D64"/>
    <mergeCell ref="E69:O69"/>
    <mergeCell ref="E167:O167"/>
    <mergeCell ref="G16:L16"/>
    <mergeCell ref="F3:I3"/>
    <mergeCell ref="A13:R13"/>
    <mergeCell ref="E77:O77"/>
    <mergeCell ref="E133:O133"/>
    <mergeCell ref="E169:O169"/>
    <mergeCell ref="B122:D122"/>
    <mergeCell ref="B57:D57"/>
    <mergeCell ref="E64:O64"/>
    <mergeCell ref="E88:O88"/>
    <mergeCell ref="E51:O51"/>
    <mergeCell ref="E82:O82"/>
    <mergeCell ref="E153:O153"/>
    <mergeCell ref="E180:O180"/>
    <mergeCell ref="E128:O128"/>
    <mergeCell ref="E155:O155"/>
    <mergeCell ref="B158:D158"/>
    <mergeCell ref="B133:D133"/>
    <mergeCell ref="E182:O182"/>
    <mergeCell ref="E65:O65"/>
    <mergeCell ref="B160:D160"/>
    <mergeCell ref="E157:O157"/>
    <mergeCell ref="B135:D135"/>
    <mergeCell ref="A1:E2"/>
    <mergeCell ref="B62:D62"/>
    <mergeCell ref="B72:D72"/>
    <mergeCell ref="B70:D70"/>
    <mergeCell ref="E75:O75"/>
    <mergeCell ref="E175:O175"/>
    <mergeCell ref="B88:D88"/>
    <mergeCell ref="B82:D82"/>
    <mergeCell ref="E185:O185"/>
    <mergeCell ref="B146:D146"/>
    <mergeCell ref="Q23:R23"/>
    <mergeCell ref="E170:O170"/>
    <mergeCell ref="B83:D83"/>
    <mergeCell ref="B110:D110"/>
    <mergeCell ref="B85:D85"/>
    <mergeCell ref="E90:O90"/>
    <mergeCell ref="E154:O154"/>
    <mergeCell ref="B141:D141"/>
    <mergeCell ref="E119:O119"/>
    <mergeCell ref="E25:O25"/>
    <mergeCell ref="E183:O183"/>
    <mergeCell ref="B136:D136"/>
    <mergeCell ref="L9:R9"/>
    <mergeCell ref="B78:D78"/>
    <mergeCell ref="M16:R16"/>
    <mergeCell ref="E84:O84"/>
    <mergeCell ref="E78:O78"/>
    <mergeCell ref="A4:R4"/>
    <mergeCell ref="E176:O176"/>
    <mergeCell ref="E114:O114"/>
    <mergeCell ref="B154:D154"/>
    <mergeCell ref="E186:O186"/>
    <mergeCell ref="E86:O86"/>
    <mergeCell ref="E191:O191"/>
    <mergeCell ref="E80:O80"/>
    <mergeCell ref="E178:O178"/>
    <mergeCell ref="B91:D91"/>
    <mergeCell ref="B25:D25"/>
    <mergeCell ref="B156:D156"/>
    <mergeCell ref="E144:O144"/>
    <mergeCell ref="B155:D155"/>
    <mergeCell ref="E23:G23"/>
    <mergeCell ref="B93:D93"/>
    <mergeCell ref="B149:D149"/>
    <mergeCell ref="E81:O81"/>
    <mergeCell ref="K11:P11"/>
    <mergeCell ref="B86:D86"/>
    <mergeCell ref="B151:D151"/>
    <mergeCell ref="B101:D101"/>
    <mergeCell ref="E106:O106"/>
    <mergeCell ref="E33:O33"/>
    <mergeCell ref="B182:D182"/>
    <mergeCell ref="B38:D38"/>
    <mergeCell ref="G15:L15"/>
    <mergeCell ref="E135:O135"/>
    <mergeCell ref="E35:O35"/>
    <mergeCell ref="B40:D40"/>
    <mergeCell ref="E28:O28"/>
    <mergeCell ref="B33:D33"/>
    <mergeCell ref="B104:D104"/>
    <mergeCell ref="B79:D79"/>
    <mergeCell ref="E30:O30"/>
    <mergeCell ref="E59:O59"/>
    <mergeCell ref="E46:O46"/>
    <mergeCell ref="B106:D106"/>
    <mergeCell ref="B81:D81"/>
    <mergeCell ref="E61:O61"/>
    <mergeCell ref="E125:O125"/>
    <mergeCell ref="E192:O192"/>
    <mergeCell ref="B170:D170"/>
    <mergeCell ref="B157:D157"/>
    <mergeCell ref="E129:O129"/>
    <mergeCell ref="E181:O181"/>
    <mergeCell ref="B34:D34"/>
    <mergeCell ref="B172:D172"/>
    <mergeCell ref="B28:D28"/>
    <mergeCell ref="E131:O131"/>
    <mergeCell ref="B186:D186"/>
    <mergeCell ref="B92:D92"/>
    <mergeCell ref="B30:D30"/>
    <mergeCell ref="L7:R7"/>
    <mergeCell ref="M14:R14"/>
    <mergeCell ref="E34:O34"/>
    <mergeCell ref="B94:D94"/>
    <mergeCell ref="E105:O105"/>
    <mergeCell ref="A6:J6"/>
    <mergeCell ref="E99:O99"/>
    <mergeCell ref="E49:O49"/>
    <mergeCell ref="E36:O36"/>
    <mergeCell ref="E163:O163"/>
    <mergeCell ref="B54:D54"/>
    <mergeCell ref="E101:O101"/>
    <mergeCell ref="B125:D125"/>
    <mergeCell ref="B185:D185"/>
    <mergeCell ref="E113:O113"/>
    <mergeCell ref="E100:O100"/>
    <mergeCell ref="B56:D56"/>
    <mergeCell ref="E136:O136"/>
    <mergeCell ref="B105:D105"/>
    <mergeCell ref="B176:D176"/>
    <mergeCell ref="B43:D43"/>
    <mergeCell ref="E115:O115"/>
    <mergeCell ref="E102:O102"/>
    <mergeCell ref="A16:F16"/>
    <mergeCell ref="B120:D120"/>
    <mergeCell ref="B107:D107"/>
    <mergeCell ref="E62:O62"/>
    <mergeCell ref="B147:D147"/>
    <mergeCell ref="E127:O127"/>
    <mergeCell ref="B171:D171"/>
    <mergeCell ref="H23:K23"/>
    <mergeCell ref="E156:O156"/>
    <mergeCell ref="A8:I8"/>
    <mergeCell ref="B36:D36"/>
    <mergeCell ref="B173:D173"/>
    <mergeCell ref="B100:D100"/>
    <mergeCell ref="B75:D75"/>
    <mergeCell ref="E26:O26"/>
    <mergeCell ref="B31:D31"/>
    <mergeCell ref="B102:D102"/>
    <mergeCell ref="B39:D39"/>
    <mergeCell ref="L10:R10"/>
    <mergeCell ref="E146:O146"/>
    <mergeCell ref="E50:O50"/>
    <mergeCell ref="E121:O121"/>
    <mergeCell ref="E151:O151"/>
    <mergeCell ref="B191:D191"/>
    <mergeCell ref="E52:O52"/>
    <mergeCell ref="E123:O123"/>
    <mergeCell ref="B178:D178"/>
    <mergeCell ref="E150:O150"/>
    <mergeCell ref="E39:O39"/>
    <mergeCell ref="B128:D128"/>
    <mergeCell ref="B49:D49"/>
    <mergeCell ref="E103:O103"/>
    <mergeCell ref="E152:O152"/>
    <mergeCell ref="B65:D65"/>
    <mergeCell ref="B192:D192"/>
    <mergeCell ref="E118:O118"/>
    <mergeCell ref="B63:D63"/>
    <mergeCell ref="B123:D123"/>
    <mergeCell ref="B50:D50"/>
    <mergeCell ref="E70:O70"/>
    <mergeCell ref="E57:O57"/>
    <mergeCell ref="E134:O134"/>
    <mergeCell ref="E172:O172"/>
    <mergeCell ref="E58:O58"/>
    <mergeCell ref="B116:D116"/>
    <mergeCell ref="E165:O165"/>
    <mergeCell ref="B103:D103"/>
    <mergeCell ref="B174:D174"/>
    <mergeCell ref="E83:O83"/>
    <mergeCell ref="E140:O140"/>
    <mergeCell ref="A14:F14"/>
    <mergeCell ref="B118:D118"/>
    <mergeCell ref="B55:D55"/>
    <mergeCell ref="E177:O177"/>
    <mergeCell ref="E60:O60"/>
    <mergeCell ref="B169:D169"/>
    <mergeCell ref="E149:O149"/>
    <mergeCell ref="B129:D129"/>
    <mergeCell ref="B121:D121"/>
    <mergeCell ref="A24:R24"/>
    <mergeCell ref="B71:D71"/>
    <mergeCell ref="B131:D131"/>
    <mergeCell ref="B58:D58"/>
    <mergeCell ref="B52:D52"/>
    <mergeCell ref="F1:L2"/>
  </mergeCells>
  <conditionalFormatting sqref="E26:O192 Q26:R192">
    <cfRule type="expression" priority="1" dxfId="0">
      <formula>AND($B26&lt;&gt;"",E26="")</formula>
    </cfRule>
  </conditionalFormatting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8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Planilha3"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ColWidth="8" defaultRowHeight="12.75"/>
  <cols>
    <col width="4.5703125" customWidth="1" style="16" min="1" max="1"/>
    <col width="5" customWidth="1" style="16" min="2" max="2"/>
    <col width="8" customWidth="1" style="16" min="3" max="3"/>
    <col width="6.5703125" customWidth="1" style="16" min="4" max="4"/>
    <col width="3.7109375" customWidth="1" style="16" min="5" max="5"/>
    <col width="7.42578125" customWidth="1" style="16" min="6" max="6"/>
    <col width="5.85546875" customWidth="1" style="16" min="7" max="7"/>
    <col width="6.7109375" customWidth="1" style="16" min="8" max="8"/>
    <col width="7.7109375" customWidth="1" style="16" min="9" max="9"/>
    <col width="3.28515625" customWidth="1" style="16" min="10" max="11"/>
    <col width="3.85546875" customWidth="1" style="16" min="12" max="12"/>
    <col width="5.42578125" customWidth="1" style="16" min="13" max="13"/>
    <col width="4.140625" customWidth="1" style="16" min="14" max="14"/>
    <col width="4" customWidth="1" style="16" min="15" max="15"/>
    <col width="4.5703125" customWidth="1" style="16" min="16" max="17"/>
    <col width="7.5703125" customWidth="1" style="16" min="18" max="18"/>
    <col width="8" customWidth="1" style="16" min="19" max="19"/>
    <col width="8" customWidth="1" style="16" min="20" max="16384"/>
  </cols>
  <sheetData>
    <row r="1" ht="26.1" customHeight="1">
      <c r="A1" s="411" t="inlineStr">
        <is>
          <t>LOGO CLIENTE</t>
        </is>
      </c>
      <c r="B1" s="352" t="n"/>
      <c r="C1" s="352" t="n"/>
      <c r="D1" s="352" t="n"/>
      <c r="E1" s="412" t="n"/>
      <c r="F1" s="420" t="inlineStr">
        <is>
          <t>NOME DO PROJETO</t>
        </is>
      </c>
      <c r="G1" s="421" t="n"/>
      <c r="H1" s="421" t="n"/>
      <c r="I1" s="421" t="n"/>
      <c r="J1" s="421" t="n"/>
      <c r="K1" s="421" t="n"/>
      <c r="L1" s="422" t="n"/>
      <c r="M1" s="14" t="n"/>
      <c r="N1" s="14" t="n"/>
      <c r="O1" s="14" t="n"/>
      <c r="P1" s="14" t="n"/>
      <c r="Q1" s="14" t="n"/>
      <c r="R1" s="15" t="n"/>
    </row>
    <row r="2" ht="24.4" customHeight="1">
      <c r="A2" s="413" t="n"/>
      <c r="B2" s="414" t="n"/>
      <c r="C2" s="414" t="n"/>
      <c r="D2" s="414" t="n"/>
      <c r="E2" s="415" t="n"/>
      <c r="F2" s="423" t="n"/>
      <c r="G2" s="414" t="n"/>
      <c r="H2" s="414" t="n"/>
      <c r="I2" s="414" t="n"/>
      <c r="J2" s="414" t="n"/>
      <c r="K2" s="414" t="n"/>
      <c r="L2" s="415" t="n"/>
      <c r="M2" s="17" t="n"/>
      <c r="N2" s="17" t="n"/>
      <c r="O2" s="17" t="n"/>
      <c r="P2" s="17" t="n"/>
      <c r="Q2" s="17" t="n"/>
      <c r="R2" s="18" t="n"/>
    </row>
    <row r="3" ht="9.75" customHeight="1">
      <c r="A3" s="19" t="n"/>
      <c r="B3" s="19" t="n"/>
      <c r="C3" s="19" t="n"/>
      <c r="D3" s="19" t="n"/>
      <c r="E3" s="19" t="n"/>
      <c r="F3" s="398" t="inlineStr">
        <is>
          <t>area_e_contratada</t>
        </is>
      </c>
      <c r="G3" s="341" t="n"/>
      <c r="H3" s="341" t="n"/>
      <c r="I3" s="341" t="n"/>
      <c r="J3" s="398" t="inlineStr">
        <is>
          <t>projeto</t>
        </is>
      </c>
      <c r="K3" s="341" t="n"/>
      <c r="L3" s="341" t="n"/>
      <c r="M3" s="341" t="n"/>
      <c r="N3" s="341" t="n"/>
      <c r="O3" s="341" t="n"/>
      <c r="P3" s="341" t="n"/>
      <c r="Q3" s="341" t="n"/>
      <c r="R3" s="341" t="n"/>
    </row>
    <row r="4" ht="18.2" customHeight="1">
      <c r="A4" s="416" t="inlineStr">
        <is>
          <t>GUIA DE REMESSA DE DOCUMENTOS</t>
        </is>
      </c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401" t="n"/>
    </row>
    <row r="5" ht="9.75" customHeight="1">
      <c r="J5" s="20" t="n"/>
      <c r="Q5" s="21" t="n"/>
    </row>
    <row r="6" ht="15" customFormat="1" customHeight="1" s="397">
      <c r="A6" s="400" t="inlineStr">
        <is>
          <t>PARA (DESTINATÁRIO)</t>
        </is>
      </c>
      <c r="B6" s="392" t="n"/>
      <c r="C6" s="392" t="n"/>
      <c r="D6" s="392" t="n"/>
      <c r="E6" s="392" t="n"/>
      <c r="F6" s="392" t="n"/>
      <c r="G6" s="392" t="n"/>
      <c r="H6" s="392" t="n"/>
      <c r="I6" s="392" t="n"/>
      <c r="J6" s="401" t="n"/>
      <c r="L6" s="400" t="inlineStr">
        <is>
          <t>DATA DE ENVIO</t>
        </is>
      </c>
      <c r="M6" s="392" t="n"/>
      <c r="N6" s="392" t="n"/>
      <c r="O6" s="392" t="n"/>
      <c r="P6" s="392" t="n"/>
      <c r="Q6" s="392" t="n"/>
      <c r="R6" s="401" t="n"/>
    </row>
    <row r="7" ht="15" customFormat="1" customHeight="1" s="397">
      <c r="A7" s="407" t="n"/>
      <c r="B7" s="392" t="n"/>
      <c r="C7" s="392" t="n"/>
      <c r="D7" s="392" t="n"/>
      <c r="E7" s="392" t="n"/>
      <c r="F7" s="392" t="n"/>
      <c r="G7" s="392" t="n"/>
      <c r="H7" s="392" t="n"/>
      <c r="I7" s="392" t="n"/>
      <c r="J7" s="401" t="n"/>
      <c r="L7" s="410" t="n"/>
      <c r="M7" s="392" t="n"/>
      <c r="N7" s="392" t="n"/>
      <c r="O7" s="392" t="n"/>
      <c r="P7" s="392" t="n"/>
      <c r="Q7" s="392" t="n"/>
      <c r="R7" s="401" t="n"/>
    </row>
    <row r="8" ht="9.75" customFormat="1" customHeight="1" s="397">
      <c r="A8" s="402" t="inlineStr">
        <is>
          <t>nome_destinatario</t>
        </is>
      </c>
      <c r="J8" s="23" t="n"/>
      <c r="L8" s="402" t="inlineStr">
        <is>
          <t>data_envio</t>
        </is>
      </c>
    </row>
    <row r="9" ht="15" customFormat="1" customHeight="1" s="397">
      <c r="A9" s="400" t="inlineStr">
        <is>
          <t>COORDENADOR</t>
        </is>
      </c>
      <c r="B9" s="392" t="n"/>
      <c r="C9" s="392" t="n"/>
      <c r="D9" s="392" t="n"/>
      <c r="E9" s="392" t="n"/>
      <c r="F9" s="392" t="n"/>
      <c r="G9" s="392" t="n"/>
      <c r="H9" s="392" t="n"/>
      <c r="I9" s="392" t="n"/>
      <c r="J9" s="401" t="n"/>
      <c r="L9" s="400" t="inlineStr">
        <is>
          <t>NÚMERO DA GRD</t>
        </is>
      </c>
      <c r="M9" s="392" t="n"/>
      <c r="N9" s="392" t="n"/>
      <c r="O9" s="392" t="n"/>
      <c r="P9" s="392" t="n"/>
      <c r="Q9" s="392" t="n"/>
      <c r="R9" s="401" t="n"/>
    </row>
    <row r="10" ht="15" customFormat="1" customHeight="1" s="397">
      <c r="A10" s="407" t="n"/>
      <c r="B10" s="392" t="n"/>
      <c r="C10" s="392" t="n"/>
      <c r="D10" s="392" t="n"/>
      <c r="E10" s="392" t="n"/>
      <c r="F10" s="392" t="n"/>
      <c r="G10" s="392" t="n"/>
      <c r="H10" s="392" t="n"/>
      <c r="I10" s="392" t="n"/>
      <c r="J10" s="401" t="n"/>
      <c r="L10" s="418" t="inlineStr">
        <is>
          <t>IFS-GRD-00XX-XXX</t>
        </is>
      </c>
      <c r="M10" s="392" t="n"/>
      <c r="N10" s="392" t="n"/>
      <c r="O10" s="392" t="n"/>
      <c r="P10" s="392" t="n"/>
      <c r="Q10" s="392" t="n"/>
      <c r="R10" s="401" t="n"/>
    </row>
    <row r="11" ht="9.75" customFormat="1" customHeight="1" s="397">
      <c r="A11" s="406" t="inlineStr">
        <is>
          <t>nome_coordenador</t>
        </is>
      </c>
      <c r="B11" s="361" t="n"/>
      <c r="C11" s="361" t="n"/>
      <c r="D11" s="361" t="n"/>
      <c r="E11" s="361" t="n"/>
      <c r="F11" s="361" t="n"/>
      <c r="G11" s="361" t="n"/>
      <c r="H11" s="361" t="n"/>
      <c r="I11" s="361" t="n"/>
      <c r="J11" s="24" t="n"/>
      <c r="K11" s="406" t="inlineStr">
        <is>
          <t>numero_vale</t>
        </is>
      </c>
      <c r="L11" s="361" t="n"/>
      <c r="M11" s="361" t="n"/>
      <c r="N11" s="361" t="n"/>
      <c r="O11" s="361" t="n"/>
      <c r="P11" s="361" t="n"/>
      <c r="Q11" s="24" t="n"/>
      <c r="R11" s="24" t="n"/>
    </row>
    <row r="12" ht="9.75" customFormat="1" customHeight="1" s="397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</row>
    <row r="13" ht="15" customFormat="1" customHeight="1" s="397">
      <c r="A13" s="409" t="inlineStr">
        <is>
          <t>TIPO DE EMISSÃO</t>
        </is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3" t="n"/>
    </row>
    <row r="14" ht="15" customFormat="1" customHeight="1" s="397">
      <c r="A14" s="404" t="inlineStr">
        <is>
          <t>(A) PRELIMINAR</t>
        </is>
      </c>
      <c r="B14" s="352" t="n"/>
      <c r="C14" s="352" t="n"/>
      <c r="D14" s="352" t="n"/>
      <c r="E14" s="352" t="n"/>
      <c r="F14" s="353" t="n"/>
      <c r="G14" s="404" t="inlineStr">
        <is>
          <t>(D) PARA COTAÇÃO</t>
        </is>
      </c>
      <c r="H14" s="352" t="n"/>
      <c r="I14" s="352" t="n"/>
      <c r="J14" s="352" t="n"/>
      <c r="K14" s="352" t="n"/>
      <c r="L14" s="353" t="n"/>
      <c r="M14" s="404" t="inlineStr">
        <is>
          <t>(G) CONFORME CONSTRUIDO</t>
        </is>
      </c>
      <c r="N14" s="352" t="n"/>
      <c r="O14" s="352" t="n"/>
      <c r="P14" s="352" t="n"/>
      <c r="Q14" s="352" t="n"/>
      <c r="R14" s="353" t="n"/>
    </row>
    <row r="15" ht="15" customFormat="1" customHeight="1" s="397">
      <c r="A15" s="396" t="inlineStr">
        <is>
          <t>(B) PARA COMENTÁRIOS</t>
        </is>
      </c>
      <c r="F15" s="305" t="n"/>
      <c r="G15" s="396" t="inlineStr">
        <is>
          <t>(E) PARA CONSTRUÇÃO</t>
        </is>
      </c>
      <c r="L15" s="305" t="n"/>
      <c r="M15" s="396" t="inlineStr">
        <is>
          <t>(H) CANCELADO</t>
        </is>
      </c>
      <c r="R15" s="305" t="n"/>
    </row>
    <row r="16" ht="15" customFormat="1" customHeight="1" s="397">
      <c r="A16" s="408" t="inlineStr">
        <is>
          <t>(C) PARA CONHECIMENTO</t>
        </is>
      </c>
      <c r="B16" s="361" t="n"/>
      <c r="C16" s="361" t="n"/>
      <c r="D16" s="361" t="n"/>
      <c r="E16" s="361" t="n"/>
      <c r="F16" s="362" t="n"/>
      <c r="G16" s="408" t="inlineStr">
        <is>
          <t>(F) CONFORME COMPRADO</t>
        </is>
      </c>
      <c r="H16" s="361" t="n"/>
      <c r="I16" s="361" t="n"/>
      <c r="J16" s="361" t="n"/>
      <c r="K16" s="361" t="n"/>
      <c r="L16" s="362" t="n"/>
      <c r="M16" s="408" t="inlineStr">
        <is>
          <t>(I) APROVADO</t>
        </is>
      </c>
      <c r="N16" s="361" t="n"/>
      <c r="O16" s="361" t="n"/>
      <c r="P16" s="361" t="n"/>
      <c r="Q16" s="361" t="n"/>
      <c r="R16" s="362" t="n"/>
    </row>
    <row r="17" ht="9.75" customFormat="1" customHeight="1" s="397">
      <c r="A17" s="390" t="n"/>
      <c r="B17" s="341" t="n"/>
      <c r="C17" s="341" t="n"/>
      <c r="D17" s="341" t="n"/>
      <c r="E17" s="341" t="n"/>
      <c r="F17" s="341" t="n"/>
      <c r="G17" s="341" t="n"/>
      <c r="H17" s="341" t="n"/>
      <c r="I17" s="341" t="n"/>
      <c r="J17" s="341" t="n"/>
      <c r="K17" s="341" t="n"/>
      <c r="L17" s="341" t="n"/>
      <c r="M17" s="341" t="n"/>
      <c r="N17" s="341" t="n"/>
      <c r="O17" s="341" t="n"/>
      <c r="P17" s="341" t="n"/>
      <c r="Q17" s="341" t="n"/>
      <c r="R17" s="341" t="n"/>
    </row>
    <row r="18" ht="15" customFormat="1" customHeight="1" s="397">
      <c r="A18" s="403" t="inlineStr">
        <is>
          <t>OBSERVAÇÕES</t>
        </is>
      </c>
      <c r="B18" s="341" t="n"/>
      <c r="C18" s="341" t="n"/>
      <c r="D18" s="341" t="n"/>
      <c r="E18" s="341" t="n"/>
      <c r="F18" s="341" t="n"/>
      <c r="G18" s="341" t="n"/>
      <c r="H18" s="341" t="n"/>
      <c r="I18" s="341" t="n"/>
      <c r="J18" s="341" t="n"/>
      <c r="K18" s="341" t="n"/>
      <c r="L18" s="341" t="n"/>
      <c r="M18" s="341" t="n"/>
      <c r="N18" s="341" t="n"/>
      <c r="O18" s="341" t="n"/>
      <c r="P18" s="341" t="n"/>
      <c r="Q18" s="341" t="n"/>
      <c r="R18" s="342" t="n"/>
    </row>
    <row r="19" ht="15" customFormat="1" customHeight="1" s="397">
      <c r="A19" s="399" t="n"/>
      <c r="B19" s="352" t="n"/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3" t="n"/>
    </row>
    <row r="20" ht="15" customFormat="1" customHeight="1" s="397">
      <c r="A20" s="358" t="n"/>
      <c r="R20" s="305" t="n"/>
    </row>
    <row r="21" ht="15" customFormat="1" customHeight="1" s="397">
      <c r="A21" s="360" t="n"/>
      <c r="B21" s="361" t="n"/>
      <c r="C21" s="361" t="n"/>
      <c r="D21" s="361" t="n"/>
      <c r="E21" s="361" t="n"/>
      <c r="F21" s="361" t="n"/>
      <c r="G21" s="361" t="n"/>
      <c r="H21" s="361" t="n"/>
      <c r="I21" s="361" t="n"/>
      <c r="J21" s="361" t="n"/>
      <c r="K21" s="361" t="n"/>
      <c r="L21" s="361" t="n"/>
      <c r="M21" s="361" t="n"/>
      <c r="N21" s="361" t="n"/>
      <c r="O21" s="361" t="n"/>
      <c r="P21" s="361" t="n"/>
      <c r="Q21" s="361" t="n"/>
      <c r="R21" s="362" t="n"/>
    </row>
    <row r="22" ht="12" customFormat="1" customHeight="1" s="397">
      <c r="A22" s="405" t="n"/>
      <c r="B22" s="352" t="n"/>
      <c r="C22" s="352" t="n"/>
      <c r="D22" s="352" t="n"/>
      <c r="E22" s="352" t="n"/>
      <c r="F22" s="352" t="n"/>
      <c r="G22" s="352" t="n"/>
      <c r="H22" s="352" t="n"/>
      <c r="I22" s="352" t="n"/>
      <c r="J22" s="352" t="n"/>
      <c r="K22" s="352" t="n"/>
      <c r="L22" s="352" t="n"/>
      <c r="M22" s="352" t="n"/>
      <c r="N22" s="352" t="n"/>
      <c r="O22" s="352" t="n"/>
      <c r="P22" s="352" t="n"/>
      <c r="Q22" s="352" t="n"/>
      <c r="R22" s="352" t="n"/>
    </row>
    <row r="23" hidden="1" ht="67.5" customFormat="1" customHeight="1" s="397">
      <c r="A23" s="26" t="inlineStr">
        <is>
          <t>item</t>
        </is>
      </c>
      <c r="B23" s="395" t="inlineStr">
        <is>
          <t>numero_vale</t>
        </is>
      </c>
      <c r="C23" s="361" t="n"/>
      <c r="D23" s="361" t="n"/>
      <c r="E23" s="395" t="inlineStr">
        <is>
          <t>numero_vale_antigo</t>
        </is>
      </c>
      <c r="F23" s="361" t="n"/>
      <c r="G23" s="361" t="n"/>
      <c r="H23" s="395" t="inlineStr">
        <is>
          <t>title</t>
        </is>
      </c>
      <c r="I23" s="361" t="n"/>
      <c r="J23" s="361" t="n"/>
      <c r="K23" s="361" t="n"/>
      <c r="L23" s="26" t="inlineStr">
        <is>
          <t>revisao</t>
        </is>
      </c>
      <c r="M23" s="27" t="inlineStr">
        <is>
          <t>sigla_tipo_emissao</t>
        </is>
      </c>
      <c r="N23" s="27" t="inlineStr">
        <is>
          <t>nome_formato</t>
        </is>
      </c>
      <c r="O23" s="27" t="inlineStr">
        <is>
          <t>numero_paginas</t>
        </is>
      </c>
      <c r="P23" s="26" t="inlineStr">
        <is>
          <t>quantidade_copias</t>
        </is>
      </c>
      <c r="Q23" s="395" t="inlineStr">
        <is>
          <t>suporte_transmissao</t>
        </is>
      </c>
      <c r="R23" s="361" t="n"/>
    </row>
    <row r="24" ht="15" customFormat="1" customHeight="1" s="397">
      <c r="A24" s="400" t="inlineStr">
        <is>
          <t xml:space="preserve">RELAÇÃO DE DOCUMENTOS </t>
        </is>
      </c>
      <c r="B24" s="392" t="n"/>
      <c r="C24" s="392" t="n"/>
      <c r="D24" s="392" t="n"/>
      <c r="E24" s="392" t="n"/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2" t="n"/>
      <c r="O24" s="392" t="n"/>
      <c r="P24" s="392" t="n"/>
      <c r="Q24" s="392" t="n"/>
      <c r="R24" s="401" t="n"/>
    </row>
    <row r="25" ht="28.5" customFormat="1" customHeight="1" s="397">
      <c r="A25" s="28" t="inlineStr">
        <is>
          <t>ITEM</t>
        </is>
      </c>
      <c r="B25" s="419" t="inlineStr">
        <is>
          <t>No. DOC</t>
        </is>
      </c>
      <c r="C25" s="392" t="n"/>
      <c r="D25" s="401" t="n"/>
      <c r="E25" s="417" t="inlineStr">
        <is>
          <t>TÍTULO DO DOCUMENTO</t>
        </is>
      </c>
      <c r="F25" s="341" t="n"/>
      <c r="G25" s="341" t="n"/>
      <c r="H25" s="341" t="n"/>
      <c r="I25" s="341" t="n"/>
      <c r="J25" s="341" t="n"/>
      <c r="K25" s="341" t="n"/>
      <c r="L25" s="341" t="n"/>
      <c r="M25" s="341" t="n"/>
      <c r="N25" s="341" t="n"/>
      <c r="O25" s="342" t="n"/>
      <c r="P25" s="28" t="inlineStr">
        <is>
          <t>REV</t>
        </is>
      </c>
      <c r="Q25" s="28" t="inlineStr">
        <is>
          <t>TE</t>
        </is>
      </c>
      <c r="R25" s="28" t="inlineStr">
        <is>
          <t>FORMATO</t>
        </is>
      </c>
    </row>
    <row r="26" ht="45" customFormat="1" customHeight="1" s="397">
      <c r="A26" s="29" t="n"/>
      <c r="B26" s="394" t="n"/>
      <c r="C26" s="392" t="n"/>
      <c r="D26" s="393" t="n"/>
      <c r="E26" s="391">
        <f>IF(B26="","",IFERROR(VLOOKUP(B26,LD!$B:$J,2,FALSE),""))</f>
        <v/>
      </c>
      <c r="F26" s="392" t="n"/>
      <c r="G26" s="392" t="n"/>
      <c r="H26" s="392" t="n"/>
      <c r="I26" s="392" t="n"/>
      <c r="J26" s="392" t="n"/>
      <c r="K26" s="392" t="n"/>
      <c r="L26" s="392" t="n"/>
      <c r="M26" s="392" t="n"/>
      <c r="N26" s="392" t="n"/>
      <c r="O26" s="393" t="n"/>
      <c r="P26" s="30" t="n"/>
      <c r="Q26" s="30" t="n"/>
      <c r="R26" s="31">
        <f>IFERROR(VLOOKUP($B26,LD!$B:$J,8,FALSE),"")</f>
        <v/>
      </c>
    </row>
    <row r="27" ht="45" customFormat="1" customHeight="1" s="397">
      <c r="A27" s="29" t="n"/>
      <c r="B27" s="394" t="n"/>
      <c r="C27" s="392" t="n"/>
      <c r="D27" s="393" t="n"/>
      <c r="E27" s="391">
        <f>IF(B27="","",IFERROR(VLOOKUP(B27,LD!$B:$J,2,FALSE),""))</f>
        <v/>
      </c>
      <c r="F27" s="392" t="n"/>
      <c r="G27" s="392" t="n"/>
      <c r="H27" s="392" t="n"/>
      <c r="I27" s="392" t="n"/>
      <c r="J27" s="392" t="n"/>
      <c r="K27" s="392" t="n"/>
      <c r="L27" s="392" t="n"/>
      <c r="M27" s="392" t="n"/>
      <c r="N27" s="392" t="n"/>
      <c r="O27" s="393" t="n"/>
      <c r="P27" s="30" t="n"/>
      <c r="Q27" s="30" t="n"/>
      <c r="R27" s="31">
        <f>IFERROR(VLOOKUP($B27,LD!$B:$J,8,FALSE),"")</f>
        <v/>
      </c>
    </row>
    <row r="28" ht="45" customFormat="1" customHeight="1" s="397">
      <c r="A28" s="29" t="n"/>
      <c r="B28" s="394" t="n"/>
      <c r="C28" s="392" t="n"/>
      <c r="D28" s="393" t="n"/>
      <c r="E28" s="391">
        <f>IF(B28="","",IFERROR(VLOOKUP(B28,LD!$B:$J,2,FALSE),""))</f>
        <v/>
      </c>
      <c r="F28" s="392" t="n"/>
      <c r="G28" s="392" t="n"/>
      <c r="H28" s="392" t="n"/>
      <c r="I28" s="392" t="n"/>
      <c r="J28" s="392" t="n"/>
      <c r="K28" s="392" t="n"/>
      <c r="L28" s="392" t="n"/>
      <c r="M28" s="392" t="n"/>
      <c r="N28" s="392" t="n"/>
      <c r="O28" s="393" t="n"/>
      <c r="P28" s="30" t="n"/>
      <c r="Q28" s="30" t="n"/>
      <c r="R28" s="31">
        <f>IFERROR(VLOOKUP($B28,LD!$B:$J,8,FALSE),"")</f>
        <v/>
      </c>
    </row>
    <row r="29" ht="45" customFormat="1" customHeight="1" s="397">
      <c r="A29" s="29" t="n"/>
      <c r="B29" s="394" t="n"/>
      <c r="C29" s="392" t="n"/>
      <c r="D29" s="393" t="n"/>
      <c r="E29" s="391">
        <f>IF(B29="","",IFERROR(VLOOKUP(B29,LD!$B:$J,2,FALSE),""))</f>
        <v/>
      </c>
      <c r="F29" s="392" t="n"/>
      <c r="G29" s="392" t="n"/>
      <c r="H29" s="392" t="n"/>
      <c r="I29" s="392" t="n"/>
      <c r="J29" s="392" t="n"/>
      <c r="K29" s="392" t="n"/>
      <c r="L29" s="392" t="n"/>
      <c r="M29" s="392" t="n"/>
      <c r="N29" s="392" t="n"/>
      <c r="O29" s="393" t="n"/>
      <c r="P29" s="30" t="n"/>
      <c r="Q29" s="30" t="n"/>
      <c r="R29" s="31">
        <f>IFERROR(VLOOKUP($B29,LD!$B:$J,8,FALSE),"")</f>
        <v/>
      </c>
    </row>
    <row r="30" ht="45" customFormat="1" customHeight="1" s="397">
      <c r="A30" s="29" t="n"/>
      <c r="B30" s="394" t="n"/>
      <c r="C30" s="392" t="n"/>
      <c r="D30" s="393" t="n"/>
      <c r="E30" s="391">
        <f>IF(B30="","",IFERROR(VLOOKUP(B30,LD!$B:$J,2,FALSE),""))</f>
        <v/>
      </c>
      <c r="F30" s="392" t="n"/>
      <c r="G30" s="392" t="n"/>
      <c r="H30" s="392" t="n"/>
      <c r="I30" s="392" t="n"/>
      <c r="J30" s="392" t="n"/>
      <c r="K30" s="392" t="n"/>
      <c r="L30" s="392" t="n"/>
      <c r="M30" s="392" t="n"/>
      <c r="N30" s="392" t="n"/>
      <c r="O30" s="393" t="n"/>
      <c r="P30" s="30" t="n"/>
      <c r="Q30" s="30" t="n"/>
      <c r="R30" s="31">
        <f>IFERROR(VLOOKUP($B30,LD!$B:$J,8,FALSE),"")</f>
        <v/>
      </c>
    </row>
    <row r="31" ht="45" customFormat="1" customHeight="1" s="397">
      <c r="A31" s="29" t="n"/>
      <c r="B31" s="394" t="n"/>
      <c r="C31" s="392" t="n"/>
      <c r="D31" s="393" t="n"/>
      <c r="E31" s="391">
        <f>IF(B31="","",IFERROR(VLOOKUP(B31,LD!$B:$J,2,FALSE),""))</f>
        <v/>
      </c>
      <c r="F31" s="392" t="n"/>
      <c r="G31" s="392" t="n"/>
      <c r="H31" s="392" t="n"/>
      <c r="I31" s="392" t="n"/>
      <c r="J31" s="392" t="n"/>
      <c r="K31" s="392" t="n"/>
      <c r="L31" s="392" t="n"/>
      <c r="M31" s="392" t="n"/>
      <c r="N31" s="392" t="n"/>
      <c r="O31" s="393" t="n"/>
      <c r="P31" s="30" t="n"/>
      <c r="Q31" s="30" t="n"/>
      <c r="R31" s="31">
        <f>IFERROR(VLOOKUP($B31,LD!$B:$J,8,FALSE),"")</f>
        <v/>
      </c>
    </row>
    <row r="32" ht="45" customFormat="1" customHeight="1" s="397">
      <c r="A32" s="29" t="n"/>
      <c r="B32" s="394" t="n"/>
      <c r="C32" s="392" t="n"/>
      <c r="D32" s="393" t="n"/>
      <c r="E32" s="391">
        <f>IF(B32="","",IFERROR(VLOOKUP(B32,LD!$B:$J,2,FALSE),""))</f>
        <v/>
      </c>
      <c r="F32" s="392" t="n"/>
      <c r="G32" s="392" t="n"/>
      <c r="H32" s="392" t="n"/>
      <c r="I32" s="392" t="n"/>
      <c r="J32" s="392" t="n"/>
      <c r="K32" s="392" t="n"/>
      <c r="L32" s="392" t="n"/>
      <c r="M32" s="392" t="n"/>
      <c r="N32" s="392" t="n"/>
      <c r="O32" s="393" t="n"/>
      <c r="P32" s="30" t="n"/>
      <c r="Q32" s="30" t="n"/>
      <c r="R32" s="31">
        <f>IFERROR(VLOOKUP($B32,LD!$B:$J,8,FALSE),"")</f>
        <v/>
      </c>
    </row>
    <row r="33" ht="45" customFormat="1" customHeight="1" s="397">
      <c r="A33" s="29" t="n"/>
      <c r="B33" s="394" t="n"/>
      <c r="C33" s="392" t="n"/>
      <c r="D33" s="393" t="n"/>
      <c r="E33" s="391">
        <f>IF(B33="","",IFERROR(VLOOKUP(B33,LD!$B:$J,2,FALSE),""))</f>
        <v/>
      </c>
      <c r="F33" s="392" t="n"/>
      <c r="G33" s="392" t="n"/>
      <c r="H33" s="392" t="n"/>
      <c r="I33" s="392" t="n"/>
      <c r="J33" s="392" t="n"/>
      <c r="K33" s="392" t="n"/>
      <c r="L33" s="392" t="n"/>
      <c r="M33" s="392" t="n"/>
      <c r="N33" s="392" t="n"/>
      <c r="O33" s="393" t="n"/>
      <c r="P33" s="30" t="n"/>
      <c r="Q33" s="30" t="n"/>
      <c r="R33" s="31">
        <f>IFERROR(VLOOKUP($B33,LD!$B:$J,8,FALSE),"")</f>
        <v/>
      </c>
    </row>
    <row r="34" ht="45" customFormat="1" customHeight="1" s="397">
      <c r="A34" s="29" t="n"/>
      <c r="B34" s="394" t="n"/>
      <c r="C34" s="392" t="n"/>
      <c r="D34" s="393" t="n"/>
      <c r="E34" s="391">
        <f>IF(B34="","",IFERROR(VLOOKUP(B34,LD!$B:$J,2,FALSE),""))</f>
        <v/>
      </c>
      <c r="F34" s="392" t="n"/>
      <c r="G34" s="392" t="n"/>
      <c r="H34" s="392" t="n"/>
      <c r="I34" s="392" t="n"/>
      <c r="J34" s="392" t="n"/>
      <c r="K34" s="392" t="n"/>
      <c r="L34" s="392" t="n"/>
      <c r="M34" s="392" t="n"/>
      <c r="N34" s="392" t="n"/>
      <c r="O34" s="393" t="n"/>
      <c r="P34" s="30" t="n"/>
      <c r="Q34" s="30" t="n"/>
      <c r="R34" s="31">
        <f>IFERROR(VLOOKUP($B34,LD!$B:$J,8,FALSE),"")</f>
        <v/>
      </c>
    </row>
    <row r="35" ht="45" customFormat="1" customHeight="1" s="397">
      <c r="A35" s="29" t="n"/>
      <c r="B35" s="394" t="n"/>
      <c r="C35" s="392" t="n"/>
      <c r="D35" s="393" t="n"/>
      <c r="E35" s="391">
        <f>IF(B35="","",IFERROR(VLOOKUP(B35,LD!$B:$J,2,FALSE),""))</f>
        <v/>
      </c>
      <c r="F35" s="392" t="n"/>
      <c r="G35" s="392" t="n"/>
      <c r="H35" s="392" t="n"/>
      <c r="I35" s="392" t="n"/>
      <c r="J35" s="392" t="n"/>
      <c r="K35" s="392" t="n"/>
      <c r="L35" s="392" t="n"/>
      <c r="M35" s="392" t="n"/>
      <c r="N35" s="392" t="n"/>
      <c r="O35" s="393" t="n"/>
      <c r="P35" s="30" t="n"/>
      <c r="Q35" s="30" t="n"/>
      <c r="R35" s="31">
        <f>IFERROR(VLOOKUP($B35,LD!$B:$J,8,FALSE),"")</f>
        <v/>
      </c>
    </row>
    <row r="36" ht="45" customFormat="1" customHeight="1" s="397">
      <c r="A36" s="29" t="n"/>
      <c r="B36" s="394" t="n"/>
      <c r="C36" s="392" t="n"/>
      <c r="D36" s="393" t="n"/>
      <c r="E36" s="391">
        <f>IF(B36="","",IFERROR(VLOOKUP(B36,LD!$B:$J,2,FALSE),""))</f>
        <v/>
      </c>
      <c r="F36" s="392" t="n"/>
      <c r="G36" s="392" t="n"/>
      <c r="H36" s="392" t="n"/>
      <c r="I36" s="392" t="n"/>
      <c r="J36" s="392" t="n"/>
      <c r="K36" s="392" t="n"/>
      <c r="L36" s="392" t="n"/>
      <c r="M36" s="392" t="n"/>
      <c r="N36" s="392" t="n"/>
      <c r="O36" s="393" t="n"/>
      <c r="P36" s="30" t="n"/>
      <c r="Q36" s="30" t="n"/>
      <c r="R36" s="31">
        <f>IFERROR(VLOOKUP($B36,LD!$B:$J,8,FALSE),"")</f>
        <v/>
      </c>
    </row>
    <row r="37" ht="45" customFormat="1" customHeight="1" s="397">
      <c r="A37" s="29" t="n"/>
      <c r="B37" s="394" t="n"/>
      <c r="C37" s="392" t="n"/>
      <c r="D37" s="393" t="n"/>
      <c r="E37" s="391">
        <f>IF(B37="","",IFERROR(VLOOKUP(B37,LD!$B:$J,2,FALSE),""))</f>
        <v/>
      </c>
      <c r="F37" s="392" t="n"/>
      <c r="G37" s="392" t="n"/>
      <c r="H37" s="392" t="n"/>
      <c r="I37" s="392" t="n"/>
      <c r="J37" s="392" t="n"/>
      <c r="K37" s="392" t="n"/>
      <c r="L37" s="392" t="n"/>
      <c r="M37" s="392" t="n"/>
      <c r="N37" s="392" t="n"/>
      <c r="O37" s="393" t="n"/>
      <c r="P37" s="30" t="n"/>
      <c r="Q37" s="30" t="n"/>
      <c r="R37" s="31">
        <f>IFERROR(VLOOKUP($B37,LD!$B:$J,8,FALSE),"")</f>
        <v/>
      </c>
    </row>
    <row r="38" ht="45" customFormat="1" customHeight="1" s="397">
      <c r="A38" s="29" t="n"/>
      <c r="B38" s="394" t="n"/>
      <c r="C38" s="392" t="n"/>
      <c r="D38" s="393" t="n"/>
      <c r="E38" s="391">
        <f>IF(B38="","",IFERROR(VLOOKUP(B38,LD!$B:$J,2,FALSE),""))</f>
        <v/>
      </c>
      <c r="F38" s="392" t="n"/>
      <c r="G38" s="392" t="n"/>
      <c r="H38" s="392" t="n"/>
      <c r="I38" s="392" t="n"/>
      <c r="J38" s="392" t="n"/>
      <c r="K38" s="392" t="n"/>
      <c r="L38" s="392" t="n"/>
      <c r="M38" s="392" t="n"/>
      <c r="N38" s="392" t="n"/>
      <c r="O38" s="393" t="n"/>
      <c r="P38" s="30" t="n"/>
      <c r="Q38" s="30" t="n"/>
      <c r="R38" s="31">
        <f>IFERROR(VLOOKUP($B38,LD!$B:$J,8,FALSE),"")</f>
        <v/>
      </c>
    </row>
    <row r="39" ht="45" customFormat="1" customHeight="1" s="397">
      <c r="A39" s="29" t="n"/>
      <c r="B39" s="394" t="n"/>
      <c r="C39" s="392" t="n"/>
      <c r="D39" s="393" t="n"/>
      <c r="E39" s="391">
        <f>IF(B39="","",IFERROR(VLOOKUP(B39,LD!$B:$J,2,FALSE),""))</f>
        <v/>
      </c>
      <c r="F39" s="392" t="n"/>
      <c r="G39" s="392" t="n"/>
      <c r="H39" s="392" t="n"/>
      <c r="I39" s="392" t="n"/>
      <c r="J39" s="392" t="n"/>
      <c r="K39" s="392" t="n"/>
      <c r="L39" s="392" t="n"/>
      <c r="M39" s="392" t="n"/>
      <c r="N39" s="392" t="n"/>
      <c r="O39" s="393" t="n"/>
      <c r="P39" s="30" t="n"/>
      <c r="Q39" s="30" t="n"/>
      <c r="R39" s="31">
        <f>IFERROR(VLOOKUP($B39,LD!$B:$J,8,FALSE),"")</f>
        <v/>
      </c>
    </row>
    <row r="40" ht="45" customFormat="1" customHeight="1" s="397">
      <c r="A40" s="29" t="n"/>
      <c r="B40" s="394" t="n"/>
      <c r="C40" s="392" t="n"/>
      <c r="D40" s="393" t="n"/>
      <c r="E40" s="391">
        <f>IF(B40="","",IFERROR(VLOOKUP(B40,LD!$B:$J,2,FALSE),""))</f>
        <v/>
      </c>
      <c r="F40" s="392" t="n"/>
      <c r="G40" s="392" t="n"/>
      <c r="H40" s="392" t="n"/>
      <c r="I40" s="392" t="n"/>
      <c r="J40" s="392" t="n"/>
      <c r="K40" s="392" t="n"/>
      <c r="L40" s="392" t="n"/>
      <c r="M40" s="392" t="n"/>
      <c r="N40" s="392" t="n"/>
      <c r="O40" s="393" t="n"/>
      <c r="P40" s="30" t="n"/>
      <c r="Q40" s="30" t="n"/>
      <c r="R40" s="31">
        <f>IFERROR(VLOOKUP($B40,LD!$B:$J,8,FALSE),"")</f>
        <v/>
      </c>
    </row>
    <row r="41" ht="45" customFormat="1" customHeight="1" s="397">
      <c r="A41" s="29" t="n"/>
      <c r="B41" s="394" t="n"/>
      <c r="C41" s="392" t="n"/>
      <c r="D41" s="393" t="n"/>
      <c r="E41" s="391">
        <f>IF(B41="","",IFERROR(VLOOKUP(B41,LD!$B:$J,2,FALSE),""))</f>
        <v/>
      </c>
      <c r="F41" s="392" t="n"/>
      <c r="G41" s="392" t="n"/>
      <c r="H41" s="392" t="n"/>
      <c r="I41" s="392" t="n"/>
      <c r="J41" s="392" t="n"/>
      <c r="K41" s="392" t="n"/>
      <c r="L41" s="392" t="n"/>
      <c r="M41" s="392" t="n"/>
      <c r="N41" s="392" t="n"/>
      <c r="O41" s="393" t="n"/>
      <c r="P41" s="30" t="n"/>
      <c r="Q41" s="30" t="n"/>
      <c r="R41" s="31">
        <f>IFERROR(VLOOKUP($B41,LD!$B:$J,8,FALSE),"")</f>
        <v/>
      </c>
    </row>
    <row r="42" ht="45" customFormat="1" customHeight="1" s="397">
      <c r="A42" s="29" t="n"/>
      <c r="B42" s="394" t="n"/>
      <c r="C42" s="392" t="n"/>
      <c r="D42" s="393" t="n"/>
      <c r="E42" s="391">
        <f>IF(B42="","",IFERROR(VLOOKUP(B42,LD!$B:$J,2,FALSE),""))</f>
        <v/>
      </c>
      <c r="F42" s="392" t="n"/>
      <c r="G42" s="392" t="n"/>
      <c r="H42" s="392" t="n"/>
      <c r="I42" s="392" t="n"/>
      <c r="J42" s="392" t="n"/>
      <c r="K42" s="392" t="n"/>
      <c r="L42" s="392" t="n"/>
      <c r="M42" s="392" t="n"/>
      <c r="N42" s="392" t="n"/>
      <c r="O42" s="393" t="n"/>
      <c r="P42" s="30" t="n"/>
      <c r="Q42" s="30" t="n"/>
      <c r="R42" s="31">
        <f>IFERROR(VLOOKUP($B42,LD!$B:$J,8,FALSE),"")</f>
        <v/>
      </c>
    </row>
    <row r="43" ht="45" customFormat="1" customHeight="1" s="397">
      <c r="A43" s="29" t="n"/>
      <c r="B43" s="394" t="n"/>
      <c r="C43" s="392" t="n"/>
      <c r="D43" s="393" t="n"/>
      <c r="E43" s="391">
        <f>IF(B43="","",IFERROR(VLOOKUP(B43,LD!$B:$J,2,FALSE),""))</f>
        <v/>
      </c>
      <c r="F43" s="392" t="n"/>
      <c r="G43" s="392" t="n"/>
      <c r="H43" s="392" t="n"/>
      <c r="I43" s="392" t="n"/>
      <c r="J43" s="392" t="n"/>
      <c r="K43" s="392" t="n"/>
      <c r="L43" s="392" t="n"/>
      <c r="M43" s="392" t="n"/>
      <c r="N43" s="392" t="n"/>
      <c r="O43" s="393" t="n"/>
      <c r="P43" s="30" t="n"/>
      <c r="Q43" s="30" t="n"/>
      <c r="R43" s="31">
        <f>IFERROR(VLOOKUP($B43,LD!$B:$J,8,FALSE),"")</f>
        <v/>
      </c>
    </row>
    <row r="44" ht="45" customFormat="1" customHeight="1" s="397">
      <c r="A44" s="29" t="n"/>
      <c r="B44" s="394" t="n"/>
      <c r="C44" s="392" t="n"/>
      <c r="D44" s="393" t="n"/>
      <c r="E44" s="391">
        <f>IF(B44="","",IFERROR(VLOOKUP(B44,LD!$B:$J,2,FALSE),""))</f>
        <v/>
      </c>
      <c r="F44" s="392" t="n"/>
      <c r="G44" s="392" t="n"/>
      <c r="H44" s="392" t="n"/>
      <c r="I44" s="392" t="n"/>
      <c r="J44" s="392" t="n"/>
      <c r="K44" s="392" t="n"/>
      <c r="L44" s="392" t="n"/>
      <c r="M44" s="392" t="n"/>
      <c r="N44" s="392" t="n"/>
      <c r="O44" s="393" t="n"/>
      <c r="P44" s="30" t="n"/>
      <c r="Q44" s="30" t="n"/>
      <c r="R44" s="31">
        <f>IFERROR(VLOOKUP($B44,LD!$B:$J,8,FALSE),"")</f>
        <v/>
      </c>
    </row>
    <row r="45" ht="45" customFormat="1" customHeight="1" s="397">
      <c r="A45" s="29" t="n"/>
      <c r="B45" s="394" t="n"/>
      <c r="C45" s="392" t="n"/>
      <c r="D45" s="393" t="n"/>
      <c r="E45" s="391">
        <f>IF(B45="","",IFERROR(VLOOKUP(B45,LD!$B:$J,2,FALSE),""))</f>
        <v/>
      </c>
      <c r="F45" s="392" t="n"/>
      <c r="G45" s="392" t="n"/>
      <c r="H45" s="392" t="n"/>
      <c r="I45" s="392" t="n"/>
      <c r="J45" s="392" t="n"/>
      <c r="K45" s="392" t="n"/>
      <c r="L45" s="392" t="n"/>
      <c r="M45" s="392" t="n"/>
      <c r="N45" s="392" t="n"/>
      <c r="O45" s="393" t="n"/>
      <c r="P45" s="30" t="n"/>
      <c r="Q45" s="30" t="n"/>
      <c r="R45" s="31">
        <f>IFERROR(VLOOKUP($B45,LD!$B:$J,8,FALSE),"")</f>
        <v/>
      </c>
    </row>
    <row r="46" ht="45" customFormat="1" customHeight="1" s="397">
      <c r="A46" s="29" t="n"/>
      <c r="B46" s="394" t="n"/>
      <c r="C46" s="392" t="n"/>
      <c r="D46" s="393" t="n"/>
      <c r="E46" s="391">
        <f>IF(B46="","",IFERROR(VLOOKUP(B46,LD!$B:$J,2,FALSE),""))</f>
        <v/>
      </c>
      <c r="F46" s="392" t="n"/>
      <c r="G46" s="392" t="n"/>
      <c r="H46" s="392" t="n"/>
      <c r="I46" s="392" t="n"/>
      <c r="J46" s="392" t="n"/>
      <c r="K46" s="392" t="n"/>
      <c r="L46" s="392" t="n"/>
      <c r="M46" s="392" t="n"/>
      <c r="N46" s="392" t="n"/>
      <c r="O46" s="393" t="n"/>
      <c r="P46" s="30" t="n"/>
      <c r="Q46" s="30" t="n"/>
      <c r="R46" s="31">
        <f>IFERROR(VLOOKUP($B46,LD!$B:$J,8,FALSE),"")</f>
        <v/>
      </c>
    </row>
    <row r="47" ht="45" customFormat="1" customHeight="1" s="397">
      <c r="A47" s="29" t="n"/>
      <c r="B47" s="394" t="n"/>
      <c r="C47" s="392" t="n"/>
      <c r="D47" s="393" t="n"/>
      <c r="E47" s="391">
        <f>IF(B47="","",IFERROR(VLOOKUP(B47,LD!$B:$J,2,FALSE),""))</f>
        <v/>
      </c>
      <c r="F47" s="392" t="n"/>
      <c r="G47" s="392" t="n"/>
      <c r="H47" s="392" t="n"/>
      <c r="I47" s="392" t="n"/>
      <c r="J47" s="392" t="n"/>
      <c r="K47" s="392" t="n"/>
      <c r="L47" s="392" t="n"/>
      <c r="M47" s="392" t="n"/>
      <c r="N47" s="392" t="n"/>
      <c r="O47" s="393" t="n"/>
      <c r="P47" s="30" t="n"/>
      <c r="Q47" s="30" t="n"/>
      <c r="R47" s="31">
        <f>IFERROR(VLOOKUP($B47,LD!$B:$J,8,FALSE),"")</f>
        <v/>
      </c>
    </row>
    <row r="48" ht="45" customFormat="1" customHeight="1" s="397">
      <c r="A48" s="29" t="n"/>
      <c r="B48" s="394" t="n"/>
      <c r="C48" s="392" t="n"/>
      <c r="D48" s="393" t="n"/>
      <c r="E48" s="391">
        <f>IF(B48="","",IFERROR(VLOOKUP(B48,LD!$B:$J,2,FALSE),""))</f>
        <v/>
      </c>
      <c r="F48" s="392" t="n"/>
      <c r="G48" s="392" t="n"/>
      <c r="H48" s="392" t="n"/>
      <c r="I48" s="392" t="n"/>
      <c r="J48" s="392" t="n"/>
      <c r="K48" s="392" t="n"/>
      <c r="L48" s="392" t="n"/>
      <c r="M48" s="392" t="n"/>
      <c r="N48" s="392" t="n"/>
      <c r="O48" s="393" t="n"/>
      <c r="P48" s="30" t="n"/>
      <c r="Q48" s="30" t="n"/>
      <c r="R48" s="31">
        <f>IFERROR(VLOOKUP($B48,LD!$B:$J,8,FALSE),"")</f>
        <v/>
      </c>
    </row>
    <row r="49" ht="45" customFormat="1" customHeight="1" s="397">
      <c r="A49" s="29" t="n"/>
      <c r="B49" s="394" t="n"/>
      <c r="C49" s="392" t="n"/>
      <c r="D49" s="393" t="n"/>
      <c r="E49" s="391">
        <f>IF(B49="","",IFERROR(VLOOKUP(B49,LD!$B:$J,2,FALSE),""))</f>
        <v/>
      </c>
      <c r="F49" s="392" t="n"/>
      <c r="G49" s="392" t="n"/>
      <c r="H49" s="392" t="n"/>
      <c r="I49" s="392" t="n"/>
      <c r="J49" s="392" t="n"/>
      <c r="K49" s="392" t="n"/>
      <c r="L49" s="392" t="n"/>
      <c r="M49" s="392" t="n"/>
      <c r="N49" s="392" t="n"/>
      <c r="O49" s="393" t="n"/>
      <c r="P49" s="30" t="n"/>
      <c r="Q49" s="30" t="n"/>
      <c r="R49" s="31">
        <f>IFERROR(VLOOKUP($B49,LD!$B:$J,8,FALSE),"")</f>
        <v/>
      </c>
    </row>
    <row r="50" ht="45" customFormat="1" customHeight="1" s="397">
      <c r="A50" s="29" t="n"/>
      <c r="B50" s="394" t="n"/>
      <c r="C50" s="392" t="n"/>
      <c r="D50" s="393" t="n"/>
      <c r="E50" s="391">
        <f>IF(B50="","",IFERROR(VLOOKUP(B50,LD!$B:$J,2,FALSE),""))</f>
        <v/>
      </c>
      <c r="F50" s="392" t="n"/>
      <c r="G50" s="392" t="n"/>
      <c r="H50" s="392" t="n"/>
      <c r="I50" s="392" t="n"/>
      <c r="J50" s="392" t="n"/>
      <c r="K50" s="392" t="n"/>
      <c r="L50" s="392" t="n"/>
      <c r="M50" s="392" t="n"/>
      <c r="N50" s="392" t="n"/>
      <c r="O50" s="393" t="n"/>
      <c r="P50" s="30" t="n"/>
      <c r="Q50" s="30" t="n"/>
      <c r="R50" s="31">
        <f>IFERROR(VLOOKUP($B50,LD!$B:$J,8,FALSE),"")</f>
        <v/>
      </c>
    </row>
    <row r="51" ht="45" customFormat="1" customHeight="1" s="397">
      <c r="A51" s="29" t="n"/>
      <c r="B51" s="394" t="n"/>
      <c r="C51" s="392" t="n"/>
      <c r="D51" s="393" t="n"/>
      <c r="E51" s="391">
        <f>IF(B51="","",IFERROR(VLOOKUP(B51,LD!$B:$J,2,FALSE),""))</f>
        <v/>
      </c>
      <c r="F51" s="392" t="n"/>
      <c r="G51" s="392" t="n"/>
      <c r="H51" s="392" t="n"/>
      <c r="I51" s="392" t="n"/>
      <c r="J51" s="392" t="n"/>
      <c r="K51" s="392" t="n"/>
      <c r="L51" s="392" t="n"/>
      <c r="M51" s="392" t="n"/>
      <c r="N51" s="392" t="n"/>
      <c r="O51" s="393" t="n"/>
      <c r="P51" s="30" t="n"/>
      <c r="Q51" s="30" t="n"/>
      <c r="R51" s="31">
        <f>IFERROR(VLOOKUP($B51,LD!$B:$J,8,FALSE),"")</f>
        <v/>
      </c>
    </row>
    <row r="52" ht="45" customFormat="1" customHeight="1" s="397">
      <c r="A52" s="29" t="n"/>
      <c r="B52" s="394" t="n"/>
      <c r="C52" s="392" t="n"/>
      <c r="D52" s="393" t="n"/>
      <c r="E52" s="391">
        <f>IF(B52="","",IFERROR(VLOOKUP(B52,LD!$B:$J,2,FALSE),""))</f>
        <v/>
      </c>
      <c r="F52" s="392" t="n"/>
      <c r="G52" s="392" t="n"/>
      <c r="H52" s="392" t="n"/>
      <c r="I52" s="392" t="n"/>
      <c r="J52" s="392" t="n"/>
      <c r="K52" s="392" t="n"/>
      <c r="L52" s="392" t="n"/>
      <c r="M52" s="392" t="n"/>
      <c r="N52" s="392" t="n"/>
      <c r="O52" s="393" t="n"/>
      <c r="P52" s="30" t="n"/>
      <c r="Q52" s="30" t="n"/>
      <c r="R52" s="31">
        <f>IFERROR(VLOOKUP($B52,LD!$B:$J,8,FALSE),"")</f>
        <v/>
      </c>
    </row>
    <row r="53" ht="45" customFormat="1" customHeight="1" s="397">
      <c r="A53" s="29" t="n"/>
      <c r="B53" s="394" t="n"/>
      <c r="C53" s="392" t="n"/>
      <c r="D53" s="393" t="n"/>
      <c r="E53" s="391">
        <f>IF(B53="","",IFERROR(VLOOKUP(B53,LD!$B:$J,2,FALSE),""))</f>
        <v/>
      </c>
      <c r="F53" s="392" t="n"/>
      <c r="G53" s="392" t="n"/>
      <c r="H53" s="392" t="n"/>
      <c r="I53" s="392" t="n"/>
      <c r="J53" s="392" t="n"/>
      <c r="K53" s="392" t="n"/>
      <c r="L53" s="392" t="n"/>
      <c r="M53" s="392" t="n"/>
      <c r="N53" s="392" t="n"/>
      <c r="O53" s="393" t="n"/>
      <c r="P53" s="30" t="n"/>
      <c r="Q53" s="30" t="n"/>
      <c r="R53" s="31">
        <f>IFERROR(VLOOKUP($B53,LD!$B:$J,8,FALSE),"")</f>
        <v/>
      </c>
    </row>
    <row r="54" ht="45" customFormat="1" customHeight="1" s="397">
      <c r="A54" s="29" t="n"/>
      <c r="B54" s="394" t="n"/>
      <c r="C54" s="392" t="n"/>
      <c r="D54" s="393" t="n"/>
      <c r="E54" s="391">
        <f>IF(B54="","",IFERROR(VLOOKUP(B54,LD!$B:$J,2,FALSE),""))</f>
        <v/>
      </c>
      <c r="F54" s="392" t="n"/>
      <c r="G54" s="392" t="n"/>
      <c r="H54" s="392" t="n"/>
      <c r="I54" s="392" t="n"/>
      <c r="J54" s="392" t="n"/>
      <c r="K54" s="392" t="n"/>
      <c r="L54" s="392" t="n"/>
      <c r="M54" s="392" t="n"/>
      <c r="N54" s="392" t="n"/>
      <c r="O54" s="393" t="n"/>
      <c r="P54" s="30" t="n"/>
      <c r="Q54" s="30" t="n"/>
      <c r="R54" s="31">
        <f>IFERROR(VLOOKUP($B54,LD!$B:$J,8,FALSE),"")</f>
        <v/>
      </c>
    </row>
    <row r="55" ht="45" customFormat="1" customHeight="1" s="397">
      <c r="A55" s="29" t="n"/>
      <c r="B55" s="394" t="n"/>
      <c r="C55" s="392" t="n"/>
      <c r="D55" s="393" t="n"/>
      <c r="E55" s="391">
        <f>IF(B55="","",IFERROR(VLOOKUP(B55,LD!$B:$J,2,FALSE),""))</f>
        <v/>
      </c>
      <c r="F55" s="392" t="n"/>
      <c r="G55" s="392" t="n"/>
      <c r="H55" s="392" t="n"/>
      <c r="I55" s="392" t="n"/>
      <c r="J55" s="392" t="n"/>
      <c r="K55" s="392" t="n"/>
      <c r="L55" s="392" t="n"/>
      <c r="M55" s="392" t="n"/>
      <c r="N55" s="392" t="n"/>
      <c r="O55" s="393" t="n"/>
      <c r="P55" s="30" t="n"/>
      <c r="Q55" s="30" t="n"/>
      <c r="R55" s="31">
        <f>IFERROR(VLOOKUP($B55,LD!$B:$J,8,FALSE),"")</f>
        <v/>
      </c>
    </row>
    <row r="56" ht="45" customFormat="1" customHeight="1" s="397">
      <c r="A56" s="29" t="n"/>
      <c r="B56" s="394" t="n"/>
      <c r="C56" s="392" t="n"/>
      <c r="D56" s="393" t="n"/>
      <c r="E56" s="391">
        <f>IF(B56="","",IFERROR(VLOOKUP(B56,LD!$B:$J,2,FALSE),""))</f>
        <v/>
      </c>
      <c r="F56" s="392" t="n"/>
      <c r="G56" s="392" t="n"/>
      <c r="H56" s="392" t="n"/>
      <c r="I56" s="392" t="n"/>
      <c r="J56" s="392" t="n"/>
      <c r="K56" s="392" t="n"/>
      <c r="L56" s="392" t="n"/>
      <c r="M56" s="392" t="n"/>
      <c r="N56" s="392" t="n"/>
      <c r="O56" s="393" t="n"/>
      <c r="P56" s="30" t="n"/>
      <c r="Q56" s="30" t="n"/>
      <c r="R56" s="31">
        <f>IFERROR(VLOOKUP($B56,LD!$B:$J,8,FALSE),"")</f>
        <v/>
      </c>
    </row>
    <row r="57" ht="45" customFormat="1" customHeight="1" s="397">
      <c r="A57" s="29" t="n"/>
      <c r="B57" s="394" t="n"/>
      <c r="C57" s="392" t="n"/>
      <c r="D57" s="393" t="n"/>
      <c r="E57" s="391">
        <f>IF(B57="","",IFERROR(VLOOKUP(B57,LD!$B:$J,2,FALSE),""))</f>
        <v/>
      </c>
      <c r="F57" s="392" t="n"/>
      <c r="G57" s="392" t="n"/>
      <c r="H57" s="392" t="n"/>
      <c r="I57" s="392" t="n"/>
      <c r="J57" s="392" t="n"/>
      <c r="K57" s="392" t="n"/>
      <c r="L57" s="392" t="n"/>
      <c r="M57" s="392" t="n"/>
      <c r="N57" s="392" t="n"/>
      <c r="O57" s="393" t="n"/>
      <c r="P57" s="30" t="n"/>
      <c r="Q57" s="30" t="n"/>
      <c r="R57" s="31">
        <f>IFERROR(VLOOKUP($B57,LD!$B:$J,8,FALSE),"")</f>
        <v/>
      </c>
    </row>
    <row r="58" ht="45" customFormat="1" customHeight="1" s="397">
      <c r="A58" s="29" t="n"/>
      <c r="B58" s="394" t="n"/>
      <c r="C58" s="392" t="n"/>
      <c r="D58" s="393" t="n"/>
      <c r="E58" s="391">
        <f>IF(B58="","",IFERROR(VLOOKUP(B58,LD!$B:$J,2,FALSE),""))</f>
        <v/>
      </c>
      <c r="F58" s="392" t="n"/>
      <c r="G58" s="392" t="n"/>
      <c r="H58" s="392" t="n"/>
      <c r="I58" s="392" t="n"/>
      <c r="J58" s="392" t="n"/>
      <c r="K58" s="392" t="n"/>
      <c r="L58" s="392" t="n"/>
      <c r="M58" s="392" t="n"/>
      <c r="N58" s="392" t="n"/>
      <c r="O58" s="393" t="n"/>
      <c r="P58" s="30" t="n"/>
      <c r="Q58" s="30" t="n"/>
      <c r="R58" s="31">
        <f>IFERROR(VLOOKUP($B58,LD!$B:$J,8,FALSE),"")</f>
        <v/>
      </c>
    </row>
    <row r="59" ht="45" customFormat="1" customHeight="1" s="397">
      <c r="A59" s="29" t="n"/>
      <c r="B59" s="394" t="n"/>
      <c r="C59" s="392" t="n"/>
      <c r="D59" s="393" t="n"/>
      <c r="E59" s="391">
        <f>IF(B59="","",IFERROR(VLOOKUP(B59,LD!$B:$J,2,FALSE),""))</f>
        <v/>
      </c>
      <c r="F59" s="392" t="n"/>
      <c r="G59" s="392" t="n"/>
      <c r="H59" s="392" t="n"/>
      <c r="I59" s="392" t="n"/>
      <c r="J59" s="392" t="n"/>
      <c r="K59" s="392" t="n"/>
      <c r="L59" s="392" t="n"/>
      <c r="M59" s="392" t="n"/>
      <c r="N59" s="392" t="n"/>
      <c r="O59" s="393" t="n"/>
      <c r="P59" s="30" t="n"/>
      <c r="Q59" s="30" t="n"/>
      <c r="R59" s="31">
        <f>IFERROR(VLOOKUP($B59,LD!$B:$J,8,FALSE),"")</f>
        <v/>
      </c>
    </row>
    <row r="60" ht="45" customFormat="1" customHeight="1" s="397">
      <c r="A60" s="29" t="n"/>
      <c r="B60" s="394" t="n"/>
      <c r="C60" s="392" t="n"/>
      <c r="D60" s="393" t="n"/>
      <c r="E60" s="391">
        <f>IF(B60="","",IFERROR(VLOOKUP(B60,LD!$B:$J,2,FALSE),""))</f>
        <v/>
      </c>
      <c r="F60" s="392" t="n"/>
      <c r="G60" s="392" t="n"/>
      <c r="H60" s="392" t="n"/>
      <c r="I60" s="392" t="n"/>
      <c r="J60" s="392" t="n"/>
      <c r="K60" s="392" t="n"/>
      <c r="L60" s="392" t="n"/>
      <c r="M60" s="392" t="n"/>
      <c r="N60" s="392" t="n"/>
      <c r="O60" s="393" t="n"/>
      <c r="P60" s="30" t="n"/>
      <c r="Q60" s="30" t="n"/>
      <c r="R60" s="31">
        <f>IFERROR(VLOOKUP($B60,LD!$B:$J,8,FALSE),"")</f>
        <v/>
      </c>
    </row>
    <row r="61" ht="45" customHeight="1">
      <c r="A61" s="29" t="n"/>
      <c r="B61" s="394" t="n"/>
      <c r="C61" s="392" t="n"/>
      <c r="D61" s="393" t="n"/>
      <c r="E61" s="391">
        <f>IF(B61="","",IFERROR(VLOOKUP(B61,LD!$B:$J,2,FALSE),""))</f>
        <v/>
      </c>
      <c r="F61" s="392" t="n"/>
      <c r="G61" s="392" t="n"/>
      <c r="H61" s="392" t="n"/>
      <c r="I61" s="392" t="n"/>
      <c r="J61" s="392" t="n"/>
      <c r="K61" s="392" t="n"/>
      <c r="L61" s="392" t="n"/>
      <c r="M61" s="392" t="n"/>
      <c r="N61" s="392" t="n"/>
      <c r="O61" s="393" t="n"/>
      <c r="P61" s="30" t="n"/>
      <c r="Q61" s="30" t="n"/>
      <c r="R61" s="31">
        <f>IFERROR(VLOOKUP($B61,LD!$B:$J,8,FALSE),"")</f>
        <v/>
      </c>
    </row>
    <row r="62" ht="45" customHeight="1">
      <c r="A62" s="29" t="n"/>
      <c r="B62" s="394" t="n"/>
      <c r="C62" s="392" t="n"/>
      <c r="D62" s="393" t="n"/>
      <c r="E62" s="391">
        <f>IF(B62="","",IFERROR(VLOOKUP(B62,LD!$B:$J,2,FALSE),""))</f>
        <v/>
      </c>
      <c r="F62" s="392" t="n"/>
      <c r="G62" s="392" t="n"/>
      <c r="H62" s="392" t="n"/>
      <c r="I62" s="392" t="n"/>
      <c r="J62" s="392" t="n"/>
      <c r="K62" s="392" t="n"/>
      <c r="L62" s="392" t="n"/>
      <c r="M62" s="392" t="n"/>
      <c r="N62" s="392" t="n"/>
      <c r="O62" s="393" t="n"/>
      <c r="P62" s="30" t="n"/>
      <c r="Q62" s="30" t="n"/>
      <c r="R62" s="31">
        <f>IFERROR(VLOOKUP($B62,LD!$B:$J,8,FALSE),"")</f>
        <v/>
      </c>
    </row>
    <row r="63" ht="45" customHeight="1">
      <c r="A63" s="29" t="n"/>
      <c r="B63" s="394" t="n"/>
      <c r="C63" s="392" t="n"/>
      <c r="D63" s="393" t="n"/>
      <c r="E63" s="391">
        <f>IF(B63="","",IFERROR(VLOOKUP(B63,LD!$B:$J,2,FALSE),""))</f>
        <v/>
      </c>
      <c r="F63" s="392" t="n"/>
      <c r="G63" s="392" t="n"/>
      <c r="H63" s="392" t="n"/>
      <c r="I63" s="392" t="n"/>
      <c r="J63" s="392" t="n"/>
      <c r="K63" s="392" t="n"/>
      <c r="L63" s="392" t="n"/>
      <c r="M63" s="392" t="n"/>
      <c r="N63" s="392" t="n"/>
      <c r="O63" s="393" t="n"/>
      <c r="P63" s="30" t="n"/>
      <c r="Q63" s="30" t="n"/>
      <c r="R63" s="31">
        <f>IFERROR(VLOOKUP($B63,LD!$B:$J,8,FALSE),"")</f>
        <v/>
      </c>
    </row>
    <row r="64" ht="45" customHeight="1">
      <c r="A64" s="29" t="n"/>
      <c r="B64" s="394" t="n"/>
      <c r="C64" s="392" t="n"/>
      <c r="D64" s="393" t="n"/>
      <c r="E64" s="391">
        <f>IF(B64="","",IFERROR(VLOOKUP(B64,LD!$B:$J,2,FALSE),""))</f>
        <v/>
      </c>
      <c r="F64" s="392" t="n"/>
      <c r="G64" s="392" t="n"/>
      <c r="H64" s="392" t="n"/>
      <c r="I64" s="392" t="n"/>
      <c r="J64" s="392" t="n"/>
      <c r="K64" s="392" t="n"/>
      <c r="L64" s="392" t="n"/>
      <c r="M64" s="392" t="n"/>
      <c r="N64" s="392" t="n"/>
      <c r="O64" s="393" t="n"/>
      <c r="P64" s="30" t="n"/>
      <c r="Q64" s="30" t="n"/>
      <c r="R64" s="31">
        <f>IFERROR(VLOOKUP($B64,LD!$B:$J,8,FALSE),"")</f>
        <v/>
      </c>
    </row>
    <row r="65" ht="45" customHeight="1">
      <c r="A65" s="29" t="n"/>
      <c r="B65" s="394" t="n"/>
      <c r="C65" s="392" t="n"/>
      <c r="D65" s="393" t="n"/>
      <c r="E65" s="391">
        <f>IF(B65="","",IFERROR(VLOOKUP(B65,LD!$B:$J,2,FALSE),""))</f>
        <v/>
      </c>
      <c r="F65" s="392" t="n"/>
      <c r="G65" s="392" t="n"/>
      <c r="H65" s="392" t="n"/>
      <c r="I65" s="392" t="n"/>
      <c r="J65" s="392" t="n"/>
      <c r="K65" s="392" t="n"/>
      <c r="L65" s="392" t="n"/>
      <c r="M65" s="392" t="n"/>
      <c r="N65" s="392" t="n"/>
      <c r="O65" s="393" t="n"/>
      <c r="P65" s="30" t="n"/>
      <c r="Q65" s="30" t="n"/>
      <c r="R65" s="31">
        <f>IFERROR(VLOOKUP($B65,LD!$B:$J,8,FALSE),"")</f>
        <v/>
      </c>
    </row>
    <row r="66" ht="45" customHeight="1">
      <c r="A66" s="29" t="n"/>
      <c r="B66" s="394" t="n"/>
      <c r="C66" s="392" t="n"/>
      <c r="D66" s="393" t="n"/>
      <c r="E66" s="391">
        <f>IF(B66="","",IFERROR(VLOOKUP(B66,LD!$B:$J,2,FALSE),""))</f>
        <v/>
      </c>
      <c r="F66" s="392" t="n"/>
      <c r="G66" s="392" t="n"/>
      <c r="H66" s="392" t="n"/>
      <c r="I66" s="392" t="n"/>
      <c r="J66" s="392" t="n"/>
      <c r="K66" s="392" t="n"/>
      <c r="L66" s="392" t="n"/>
      <c r="M66" s="392" t="n"/>
      <c r="N66" s="392" t="n"/>
      <c r="O66" s="393" t="n"/>
      <c r="P66" s="30" t="n"/>
      <c r="Q66" s="30" t="n"/>
      <c r="R66" s="31">
        <f>IFERROR(VLOOKUP($B66,LD!$B:$J,8,FALSE),"")</f>
        <v/>
      </c>
    </row>
    <row r="67" ht="45" customHeight="1">
      <c r="A67" s="29" t="n"/>
      <c r="B67" s="394" t="n"/>
      <c r="C67" s="392" t="n"/>
      <c r="D67" s="393" t="n"/>
      <c r="E67" s="391">
        <f>IF(B67="","",IFERROR(VLOOKUP(B67,LD!$B:$J,2,FALSE),""))</f>
        <v/>
      </c>
      <c r="F67" s="392" t="n"/>
      <c r="G67" s="392" t="n"/>
      <c r="H67" s="392" t="n"/>
      <c r="I67" s="392" t="n"/>
      <c r="J67" s="392" t="n"/>
      <c r="K67" s="392" t="n"/>
      <c r="L67" s="392" t="n"/>
      <c r="M67" s="392" t="n"/>
      <c r="N67" s="392" t="n"/>
      <c r="O67" s="393" t="n"/>
      <c r="P67" s="30" t="n"/>
      <c r="Q67" s="30" t="n"/>
      <c r="R67" s="31">
        <f>IFERROR(VLOOKUP($B67,LD!$B:$J,8,FALSE),"")</f>
        <v/>
      </c>
    </row>
    <row r="68" ht="45" customHeight="1">
      <c r="A68" s="29" t="n"/>
      <c r="B68" s="394" t="n"/>
      <c r="C68" s="392" t="n"/>
      <c r="D68" s="393" t="n"/>
      <c r="E68" s="391">
        <f>IF(B68="","",IFERROR(VLOOKUP(B68,LD!$B:$J,2,FALSE),""))</f>
        <v/>
      </c>
      <c r="F68" s="392" t="n"/>
      <c r="G68" s="392" t="n"/>
      <c r="H68" s="392" t="n"/>
      <c r="I68" s="392" t="n"/>
      <c r="J68" s="392" t="n"/>
      <c r="K68" s="392" t="n"/>
      <c r="L68" s="392" t="n"/>
      <c r="M68" s="392" t="n"/>
      <c r="N68" s="392" t="n"/>
      <c r="O68" s="393" t="n"/>
      <c r="P68" s="30" t="n"/>
      <c r="Q68" s="30" t="n"/>
      <c r="R68" s="31">
        <f>IFERROR(VLOOKUP($B68,LD!$B:$J,8,FALSE),"")</f>
        <v/>
      </c>
    </row>
    <row r="69" ht="45" customHeight="1">
      <c r="A69" s="29" t="n"/>
      <c r="B69" s="394" t="n"/>
      <c r="C69" s="392" t="n"/>
      <c r="D69" s="393" t="n"/>
      <c r="E69" s="391">
        <f>IF(B69="","",IFERROR(VLOOKUP(B69,LD!$B:$J,2,FALSE),""))</f>
        <v/>
      </c>
      <c r="F69" s="392" t="n"/>
      <c r="G69" s="392" t="n"/>
      <c r="H69" s="392" t="n"/>
      <c r="I69" s="392" t="n"/>
      <c r="J69" s="392" t="n"/>
      <c r="K69" s="392" t="n"/>
      <c r="L69" s="392" t="n"/>
      <c r="M69" s="392" t="n"/>
      <c r="N69" s="392" t="n"/>
      <c r="O69" s="393" t="n"/>
      <c r="P69" s="30" t="n"/>
      <c r="Q69" s="30" t="n"/>
      <c r="R69" s="31">
        <f>IFERROR(VLOOKUP($B69,LD!$B:$J,8,FALSE),"")</f>
        <v/>
      </c>
    </row>
    <row r="70" ht="45" customHeight="1">
      <c r="A70" s="29" t="n"/>
      <c r="B70" s="394" t="n"/>
      <c r="C70" s="392" t="n"/>
      <c r="D70" s="393" t="n"/>
      <c r="E70" s="391">
        <f>IF(B70="","",IFERROR(VLOOKUP(B70,LD!$B:$J,2,FALSE),""))</f>
        <v/>
      </c>
      <c r="F70" s="392" t="n"/>
      <c r="G70" s="392" t="n"/>
      <c r="H70" s="392" t="n"/>
      <c r="I70" s="392" t="n"/>
      <c r="J70" s="392" t="n"/>
      <c r="K70" s="392" t="n"/>
      <c r="L70" s="392" t="n"/>
      <c r="M70" s="392" t="n"/>
      <c r="N70" s="392" t="n"/>
      <c r="O70" s="393" t="n"/>
      <c r="P70" s="30" t="n"/>
      <c r="Q70" s="30" t="n"/>
      <c r="R70" s="31">
        <f>IFERROR(VLOOKUP($B70,LD!$B:$J,8,FALSE),"")</f>
        <v/>
      </c>
    </row>
    <row r="71" ht="45" customHeight="1">
      <c r="A71" s="29" t="n"/>
      <c r="B71" s="394" t="n"/>
      <c r="C71" s="392" t="n"/>
      <c r="D71" s="393" t="n"/>
      <c r="E71" s="391">
        <f>IF(B71="","",IFERROR(VLOOKUP(B71,LD!$B:$J,2,FALSE),""))</f>
        <v/>
      </c>
      <c r="F71" s="392" t="n"/>
      <c r="G71" s="392" t="n"/>
      <c r="H71" s="392" t="n"/>
      <c r="I71" s="392" t="n"/>
      <c r="J71" s="392" t="n"/>
      <c r="K71" s="392" t="n"/>
      <c r="L71" s="392" t="n"/>
      <c r="M71" s="392" t="n"/>
      <c r="N71" s="392" t="n"/>
      <c r="O71" s="393" t="n"/>
      <c r="P71" s="30" t="n"/>
      <c r="Q71" s="30" t="n"/>
      <c r="R71" s="31">
        <f>IFERROR(VLOOKUP($B71,LD!$B:$J,8,FALSE),"")</f>
        <v/>
      </c>
    </row>
    <row r="72" ht="45" customHeight="1">
      <c r="A72" s="29" t="n"/>
      <c r="B72" s="394" t="n"/>
      <c r="C72" s="392" t="n"/>
      <c r="D72" s="393" t="n"/>
      <c r="E72" s="391">
        <f>IF(B72="","",IFERROR(VLOOKUP(B72,LD!$B:$J,2,FALSE),""))</f>
        <v/>
      </c>
      <c r="F72" s="392" t="n"/>
      <c r="G72" s="392" t="n"/>
      <c r="H72" s="392" t="n"/>
      <c r="I72" s="392" t="n"/>
      <c r="J72" s="392" t="n"/>
      <c r="K72" s="392" t="n"/>
      <c r="L72" s="392" t="n"/>
      <c r="M72" s="392" t="n"/>
      <c r="N72" s="392" t="n"/>
      <c r="O72" s="393" t="n"/>
      <c r="P72" s="30" t="n"/>
      <c r="Q72" s="30" t="n"/>
      <c r="R72" s="31">
        <f>IFERROR(VLOOKUP($B72,LD!$B:$J,8,FALSE),"")</f>
        <v/>
      </c>
    </row>
    <row r="73" ht="45" customHeight="1">
      <c r="A73" s="29" t="n"/>
      <c r="B73" s="394" t="n"/>
      <c r="C73" s="392" t="n"/>
      <c r="D73" s="393" t="n"/>
      <c r="E73" s="391">
        <f>IF(B73="","",IFERROR(VLOOKUP(B73,LD!$B:$J,2,FALSE),""))</f>
        <v/>
      </c>
      <c r="F73" s="392" t="n"/>
      <c r="G73" s="392" t="n"/>
      <c r="H73" s="392" t="n"/>
      <c r="I73" s="392" t="n"/>
      <c r="J73" s="392" t="n"/>
      <c r="K73" s="392" t="n"/>
      <c r="L73" s="392" t="n"/>
      <c r="M73" s="392" t="n"/>
      <c r="N73" s="392" t="n"/>
      <c r="O73" s="393" t="n"/>
      <c r="P73" s="30" t="n"/>
      <c r="Q73" s="30" t="n"/>
      <c r="R73" s="31">
        <f>IFERROR(VLOOKUP($B73,LD!$B:$J,8,FALSE),"")</f>
        <v/>
      </c>
    </row>
    <row r="74" ht="45" customHeight="1">
      <c r="A74" s="29" t="n"/>
      <c r="B74" s="394" t="n"/>
      <c r="C74" s="392" t="n"/>
      <c r="D74" s="393" t="n"/>
      <c r="E74" s="391">
        <f>IF(B74="","",IFERROR(VLOOKUP(B74,LD!$B:$J,2,FALSE),""))</f>
        <v/>
      </c>
      <c r="F74" s="392" t="n"/>
      <c r="G74" s="392" t="n"/>
      <c r="H74" s="392" t="n"/>
      <c r="I74" s="392" t="n"/>
      <c r="J74" s="392" t="n"/>
      <c r="K74" s="392" t="n"/>
      <c r="L74" s="392" t="n"/>
      <c r="M74" s="392" t="n"/>
      <c r="N74" s="392" t="n"/>
      <c r="O74" s="393" t="n"/>
      <c r="P74" s="30" t="n"/>
      <c r="Q74" s="30" t="n"/>
      <c r="R74" s="31">
        <f>IFERROR(VLOOKUP($B74,LD!$B:$J,8,FALSE),"")</f>
        <v/>
      </c>
    </row>
    <row r="75" ht="45" customHeight="1">
      <c r="A75" s="29" t="n"/>
      <c r="B75" s="394" t="n"/>
      <c r="C75" s="392" t="n"/>
      <c r="D75" s="393" t="n"/>
      <c r="E75" s="391">
        <f>IF(B75="","",IFERROR(VLOOKUP(B75,LD!$B:$J,2,FALSE),""))</f>
        <v/>
      </c>
      <c r="F75" s="392" t="n"/>
      <c r="G75" s="392" t="n"/>
      <c r="H75" s="392" t="n"/>
      <c r="I75" s="392" t="n"/>
      <c r="J75" s="392" t="n"/>
      <c r="K75" s="392" t="n"/>
      <c r="L75" s="392" t="n"/>
      <c r="M75" s="392" t="n"/>
      <c r="N75" s="392" t="n"/>
      <c r="O75" s="393" t="n"/>
      <c r="P75" s="30" t="n"/>
      <c r="Q75" s="30" t="n"/>
      <c r="R75" s="31">
        <f>IFERROR(VLOOKUP($B75,LD!$B:$J,8,FALSE),"")</f>
        <v/>
      </c>
    </row>
    <row r="76" ht="45" customHeight="1">
      <c r="A76" s="29" t="n"/>
      <c r="B76" s="394" t="n"/>
      <c r="C76" s="392" t="n"/>
      <c r="D76" s="393" t="n"/>
      <c r="E76" s="391">
        <f>IF(B76="","",IFERROR(VLOOKUP(B76,LD!$B:$J,2,FALSE),""))</f>
        <v/>
      </c>
      <c r="F76" s="392" t="n"/>
      <c r="G76" s="392" t="n"/>
      <c r="H76" s="392" t="n"/>
      <c r="I76" s="392" t="n"/>
      <c r="J76" s="392" t="n"/>
      <c r="K76" s="392" t="n"/>
      <c r="L76" s="392" t="n"/>
      <c r="M76" s="392" t="n"/>
      <c r="N76" s="392" t="n"/>
      <c r="O76" s="393" t="n"/>
      <c r="P76" s="30" t="n"/>
      <c r="Q76" s="30" t="n"/>
      <c r="R76" s="31">
        <f>IFERROR(VLOOKUP($B76,LD!$B:$J,8,FALSE),"")</f>
        <v/>
      </c>
    </row>
    <row r="77" ht="45" customHeight="1">
      <c r="A77" s="29" t="n"/>
      <c r="B77" s="394" t="n"/>
      <c r="C77" s="392" t="n"/>
      <c r="D77" s="393" t="n"/>
      <c r="E77" s="391">
        <f>IF(B77="","",IFERROR(VLOOKUP(B77,LD!$B:$J,2,FALSE),""))</f>
        <v/>
      </c>
      <c r="F77" s="392" t="n"/>
      <c r="G77" s="392" t="n"/>
      <c r="H77" s="392" t="n"/>
      <c r="I77" s="392" t="n"/>
      <c r="J77" s="392" t="n"/>
      <c r="K77" s="392" t="n"/>
      <c r="L77" s="392" t="n"/>
      <c r="M77" s="392" t="n"/>
      <c r="N77" s="392" t="n"/>
      <c r="O77" s="393" t="n"/>
      <c r="P77" s="30" t="n"/>
      <c r="Q77" s="30" t="n"/>
      <c r="R77" s="31">
        <f>IFERROR(VLOOKUP($B77,LD!$B:$J,8,FALSE),"")</f>
        <v/>
      </c>
    </row>
    <row r="78" ht="45" customHeight="1">
      <c r="A78" s="29" t="n"/>
      <c r="B78" s="394" t="n"/>
      <c r="C78" s="392" t="n"/>
      <c r="D78" s="393" t="n"/>
      <c r="E78" s="391">
        <f>IF(B78="","",IFERROR(VLOOKUP(B78,LD!$B:$J,2,FALSE),""))</f>
        <v/>
      </c>
      <c r="F78" s="392" t="n"/>
      <c r="G78" s="392" t="n"/>
      <c r="H78" s="392" t="n"/>
      <c r="I78" s="392" t="n"/>
      <c r="J78" s="392" t="n"/>
      <c r="K78" s="392" t="n"/>
      <c r="L78" s="392" t="n"/>
      <c r="M78" s="392" t="n"/>
      <c r="N78" s="392" t="n"/>
      <c r="O78" s="393" t="n"/>
      <c r="P78" s="30" t="n"/>
      <c r="Q78" s="30" t="n"/>
      <c r="R78" s="31">
        <f>IFERROR(VLOOKUP($B78,LD!$B:$J,8,FALSE),"")</f>
        <v/>
      </c>
    </row>
    <row r="79" ht="45" customHeight="1">
      <c r="A79" s="29" t="n"/>
      <c r="B79" s="394" t="n"/>
      <c r="C79" s="392" t="n"/>
      <c r="D79" s="393" t="n"/>
      <c r="E79" s="391">
        <f>IF(B79="","",IFERROR(VLOOKUP(B79,LD!$B:$J,2,FALSE),""))</f>
        <v/>
      </c>
      <c r="F79" s="392" t="n"/>
      <c r="G79" s="392" t="n"/>
      <c r="H79" s="392" t="n"/>
      <c r="I79" s="392" t="n"/>
      <c r="J79" s="392" t="n"/>
      <c r="K79" s="392" t="n"/>
      <c r="L79" s="392" t="n"/>
      <c r="M79" s="392" t="n"/>
      <c r="N79" s="392" t="n"/>
      <c r="O79" s="393" t="n"/>
      <c r="P79" s="30" t="n"/>
      <c r="Q79" s="30" t="n"/>
      <c r="R79" s="31">
        <f>IFERROR(VLOOKUP($B79,LD!$B:$J,8,FALSE),"")</f>
        <v/>
      </c>
    </row>
    <row r="80" ht="45" customHeight="1">
      <c r="A80" s="29" t="n"/>
      <c r="B80" s="394" t="n"/>
      <c r="C80" s="392" t="n"/>
      <c r="D80" s="393" t="n"/>
      <c r="E80" s="391">
        <f>IF(B80="","",IFERROR(VLOOKUP(B80,LD!$B:$J,2,FALSE),""))</f>
        <v/>
      </c>
      <c r="F80" s="392" t="n"/>
      <c r="G80" s="392" t="n"/>
      <c r="H80" s="392" t="n"/>
      <c r="I80" s="392" t="n"/>
      <c r="J80" s="392" t="n"/>
      <c r="K80" s="392" t="n"/>
      <c r="L80" s="392" t="n"/>
      <c r="M80" s="392" t="n"/>
      <c r="N80" s="392" t="n"/>
      <c r="O80" s="393" t="n"/>
      <c r="P80" s="30" t="n"/>
      <c r="Q80" s="30" t="n"/>
      <c r="R80" s="31">
        <f>IFERROR(VLOOKUP($B80,LD!$B:$J,8,FALSE),"")</f>
        <v/>
      </c>
    </row>
    <row r="81" ht="45" customHeight="1">
      <c r="A81" s="29" t="n"/>
      <c r="B81" s="394" t="n"/>
      <c r="C81" s="392" t="n"/>
      <c r="D81" s="393" t="n"/>
      <c r="E81" s="391">
        <f>IF(B81="","",IFERROR(VLOOKUP(B81,LD!$B:$J,2,FALSE),""))</f>
        <v/>
      </c>
      <c r="F81" s="392" t="n"/>
      <c r="G81" s="392" t="n"/>
      <c r="H81" s="392" t="n"/>
      <c r="I81" s="392" t="n"/>
      <c r="J81" s="392" t="n"/>
      <c r="K81" s="392" t="n"/>
      <c r="L81" s="392" t="n"/>
      <c r="M81" s="392" t="n"/>
      <c r="N81" s="392" t="n"/>
      <c r="O81" s="393" t="n"/>
      <c r="P81" s="30" t="n"/>
      <c r="Q81" s="30" t="n"/>
      <c r="R81" s="31">
        <f>IFERROR(VLOOKUP($B81,LD!$B:$J,8,FALSE),"")</f>
        <v/>
      </c>
    </row>
    <row r="82" ht="45" customHeight="1">
      <c r="A82" s="29" t="n"/>
      <c r="B82" s="394" t="n"/>
      <c r="C82" s="392" t="n"/>
      <c r="D82" s="393" t="n"/>
      <c r="E82" s="391">
        <f>IF(B82="","",IFERROR(VLOOKUP(B82,LD!$B:$J,2,FALSE),""))</f>
        <v/>
      </c>
      <c r="F82" s="392" t="n"/>
      <c r="G82" s="392" t="n"/>
      <c r="H82" s="392" t="n"/>
      <c r="I82" s="392" t="n"/>
      <c r="J82" s="392" t="n"/>
      <c r="K82" s="392" t="n"/>
      <c r="L82" s="392" t="n"/>
      <c r="M82" s="392" t="n"/>
      <c r="N82" s="392" t="n"/>
      <c r="O82" s="393" t="n"/>
      <c r="P82" s="30" t="n"/>
      <c r="Q82" s="30" t="n"/>
      <c r="R82" s="31">
        <f>IFERROR(VLOOKUP($B82,LD!$B:$J,8,FALSE),"")</f>
        <v/>
      </c>
    </row>
    <row r="83" ht="45" customHeight="1">
      <c r="A83" s="29" t="n"/>
      <c r="B83" s="394" t="n"/>
      <c r="C83" s="392" t="n"/>
      <c r="D83" s="393" t="n"/>
      <c r="E83" s="391">
        <f>IF(B83="","",IFERROR(VLOOKUP(B83,LD!$B:$J,2,FALSE),""))</f>
        <v/>
      </c>
      <c r="F83" s="392" t="n"/>
      <c r="G83" s="392" t="n"/>
      <c r="H83" s="392" t="n"/>
      <c r="I83" s="392" t="n"/>
      <c r="J83" s="392" t="n"/>
      <c r="K83" s="392" t="n"/>
      <c r="L83" s="392" t="n"/>
      <c r="M83" s="392" t="n"/>
      <c r="N83" s="392" t="n"/>
      <c r="O83" s="393" t="n"/>
      <c r="P83" s="30" t="n"/>
      <c r="Q83" s="30" t="n"/>
      <c r="R83" s="31">
        <f>IFERROR(VLOOKUP($B83,LD!$B:$J,8,FALSE),"")</f>
        <v/>
      </c>
    </row>
    <row r="84" ht="45" customHeight="1">
      <c r="A84" s="29" t="n"/>
      <c r="B84" s="394" t="n"/>
      <c r="C84" s="392" t="n"/>
      <c r="D84" s="393" t="n"/>
      <c r="E84" s="391">
        <f>IF(B84="","",IFERROR(VLOOKUP(B84,LD!$B:$J,2,FALSE),""))</f>
        <v/>
      </c>
      <c r="F84" s="392" t="n"/>
      <c r="G84" s="392" t="n"/>
      <c r="H84" s="392" t="n"/>
      <c r="I84" s="392" t="n"/>
      <c r="J84" s="392" t="n"/>
      <c r="K84" s="392" t="n"/>
      <c r="L84" s="392" t="n"/>
      <c r="M84" s="392" t="n"/>
      <c r="N84" s="392" t="n"/>
      <c r="O84" s="393" t="n"/>
      <c r="P84" s="30" t="n"/>
      <c r="Q84" s="30" t="n"/>
      <c r="R84" s="31">
        <f>IFERROR(VLOOKUP($B84,LD!$B:$J,8,FALSE),"")</f>
        <v/>
      </c>
    </row>
    <row r="85" ht="45" customHeight="1">
      <c r="A85" s="29" t="n"/>
      <c r="B85" s="394" t="n"/>
      <c r="C85" s="392" t="n"/>
      <c r="D85" s="393" t="n"/>
      <c r="E85" s="391">
        <f>IF(B85="","",IFERROR(VLOOKUP(B85,LD!$B:$J,2,FALSE),""))</f>
        <v/>
      </c>
      <c r="F85" s="392" t="n"/>
      <c r="G85" s="392" t="n"/>
      <c r="H85" s="392" t="n"/>
      <c r="I85" s="392" t="n"/>
      <c r="J85" s="392" t="n"/>
      <c r="K85" s="392" t="n"/>
      <c r="L85" s="392" t="n"/>
      <c r="M85" s="392" t="n"/>
      <c r="N85" s="392" t="n"/>
      <c r="O85" s="393" t="n"/>
      <c r="P85" s="30" t="n"/>
      <c r="Q85" s="30" t="n"/>
      <c r="R85" s="31">
        <f>IFERROR(VLOOKUP($B85,LD!$B:$J,8,FALSE),"")</f>
        <v/>
      </c>
    </row>
    <row r="86" ht="45" customHeight="1">
      <c r="A86" s="29" t="n"/>
      <c r="B86" s="394" t="n"/>
      <c r="C86" s="392" t="n"/>
      <c r="D86" s="393" t="n"/>
      <c r="E86" s="391">
        <f>IF(B86="","",IFERROR(VLOOKUP(B86,LD!$B:$J,2,FALSE),""))</f>
        <v/>
      </c>
      <c r="F86" s="392" t="n"/>
      <c r="G86" s="392" t="n"/>
      <c r="H86" s="392" t="n"/>
      <c r="I86" s="392" t="n"/>
      <c r="J86" s="392" t="n"/>
      <c r="K86" s="392" t="n"/>
      <c r="L86" s="392" t="n"/>
      <c r="M86" s="392" t="n"/>
      <c r="N86" s="392" t="n"/>
      <c r="O86" s="393" t="n"/>
      <c r="P86" s="30" t="n"/>
      <c r="Q86" s="30" t="n"/>
      <c r="R86" s="31">
        <f>IFERROR(VLOOKUP($B86,LD!$B:$J,8,FALSE),"")</f>
        <v/>
      </c>
    </row>
    <row r="87" ht="45" customHeight="1">
      <c r="A87" s="29" t="n"/>
      <c r="B87" s="394" t="n"/>
      <c r="C87" s="392" t="n"/>
      <c r="D87" s="393" t="n"/>
      <c r="E87" s="391">
        <f>IF(B87="","",IFERROR(VLOOKUP(B87,LD!$B:$J,2,FALSE),""))</f>
        <v/>
      </c>
      <c r="F87" s="392" t="n"/>
      <c r="G87" s="392" t="n"/>
      <c r="H87" s="392" t="n"/>
      <c r="I87" s="392" t="n"/>
      <c r="J87" s="392" t="n"/>
      <c r="K87" s="392" t="n"/>
      <c r="L87" s="392" t="n"/>
      <c r="M87" s="392" t="n"/>
      <c r="N87" s="392" t="n"/>
      <c r="O87" s="393" t="n"/>
      <c r="P87" s="30" t="n"/>
      <c r="Q87" s="30" t="n"/>
      <c r="R87" s="31">
        <f>IFERROR(VLOOKUP($B87,LD!$B:$J,8,FALSE),"")</f>
        <v/>
      </c>
    </row>
    <row r="88" ht="45" customHeight="1">
      <c r="A88" s="29" t="n"/>
      <c r="B88" s="394" t="n"/>
      <c r="C88" s="392" t="n"/>
      <c r="D88" s="393" t="n"/>
      <c r="E88" s="391">
        <f>IF(B88="","",IFERROR(VLOOKUP(B88,LD!$B:$J,2,FALSE),""))</f>
        <v/>
      </c>
      <c r="F88" s="392" t="n"/>
      <c r="G88" s="392" t="n"/>
      <c r="H88" s="392" t="n"/>
      <c r="I88" s="392" t="n"/>
      <c r="J88" s="392" t="n"/>
      <c r="K88" s="392" t="n"/>
      <c r="L88" s="392" t="n"/>
      <c r="M88" s="392" t="n"/>
      <c r="N88" s="392" t="n"/>
      <c r="O88" s="393" t="n"/>
      <c r="P88" s="30" t="n"/>
      <c r="Q88" s="30" t="n"/>
      <c r="R88" s="31">
        <f>IFERROR(VLOOKUP($B88,LD!$B:$J,8,FALSE),"")</f>
        <v/>
      </c>
    </row>
    <row r="89" ht="45" customHeight="1">
      <c r="A89" s="29" t="n"/>
      <c r="B89" s="394" t="n"/>
      <c r="C89" s="392" t="n"/>
      <c r="D89" s="393" t="n"/>
      <c r="E89" s="391">
        <f>IF(B89="","",IFERROR(VLOOKUP(B89,LD!$B:$J,2,FALSE),""))</f>
        <v/>
      </c>
      <c r="F89" s="392" t="n"/>
      <c r="G89" s="392" t="n"/>
      <c r="H89" s="392" t="n"/>
      <c r="I89" s="392" t="n"/>
      <c r="J89" s="392" t="n"/>
      <c r="K89" s="392" t="n"/>
      <c r="L89" s="392" t="n"/>
      <c r="M89" s="392" t="n"/>
      <c r="N89" s="392" t="n"/>
      <c r="O89" s="393" t="n"/>
      <c r="P89" s="30" t="n"/>
      <c r="Q89" s="30" t="n"/>
      <c r="R89" s="31">
        <f>IFERROR(VLOOKUP($B89,LD!$B:$J,8,FALSE),"")</f>
        <v/>
      </c>
    </row>
    <row r="90" ht="45" customHeight="1">
      <c r="A90" s="29" t="n"/>
      <c r="B90" s="394" t="n"/>
      <c r="C90" s="392" t="n"/>
      <c r="D90" s="393" t="n"/>
      <c r="E90" s="391">
        <f>IF(B90="","",IFERROR(VLOOKUP(B90,LD!$B:$J,2,FALSE),""))</f>
        <v/>
      </c>
      <c r="F90" s="392" t="n"/>
      <c r="G90" s="392" t="n"/>
      <c r="H90" s="392" t="n"/>
      <c r="I90" s="392" t="n"/>
      <c r="J90" s="392" t="n"/>
      <c r="K90" s="392" t="n"/>
      <c r="L90" s="392" t="n"/>
      <c r="M90" s="392" t="n"/>
      <c r="N90" s="392" t="n"/>
      <c r="O90" s="393" t="n"/>
      <c r="P90" s="30" t="n"/>
      <c r="Q90" s="30" t="n"/>
      <c r="R90" s="31">
        <f>IFERROR(VLOOKUP($B90,LD!$B:$J,8,FALSE),"")</f>
        <v/>
      </c>
    </row>
    <row r="91" ht="45" customHeight="1">
      <c r="A91" s="29" t="n"/>
      <c r="B91" s="394" t="n"/>
      <c r="C91" s="392" t="n"/>
      <c r="D91" s="393" t="n"/>
      <c r="E91" s="391">
        <f>IF(B91="","",IFERROR(VLOOKUP(B91,LD!$B:$J,2,FALSE),""))</f>
        <v/>
      </c>
      <c r="F91" s="392" t="n"/>
      <c r="G91" s="392" t="n"/>
      <c r="H91" s="392" t="n"/>
      <c r="I91" s="392" t="n"/>
      <c r="J91" s="392" t="n"/>
      <c r="K91" s="392" t="n"/>
      <c r="L91" s="392" t="n"/>
      <c r="M91" s="392" t="n"/>
      <c r="N91" s="392" t="n"/>
      <c r="O91" s="393" t="n"/>
      <c r="P91" s="30" t="n"/>
      <c r="Q91" s="30" t="n"/>
      <c r="R91" s="31">
        <f>IFERROR(VLOOKUP($B91,LD!$B:$J,8,FALSE),"")</f>
        <v/>
      </c>
    </row>
    <row r="92" ht="45" customHeight="1">
      <c r="A92" s="29" t="n"/>
      <c r="B92" s="394" t="n"/>
      <c r="C92" s="392" t="n"/>
      <c r="D92" s="393" t="n"/>
      <c r="E92" s="391">
        <f>IF(B92="","",IFERROR(VLOOKUP(B92,LD!$B:$J,2,FALSE),""))</f>
        <v/>
      </c>
      <c r="F92" s="392" t="n"/>
      <c r="G92" s="392" t="n"/>
      <c r="H92" s="392" t="n"/>
      <c r="I92" s="392" t="n"/>
      <c r="J92" s="392" t="n"/>
      <c r="K92" s="392" t="n"/>
      <c r="L92" s="392" t="n"/>
      <c r="M92" s="392" t="n"/>
      <c r="N92" s="392" t="n"/>
      <c r="O92" s="393" t="n"/>
      <c r="P92" s="30" t="n"/>
      <c r="Q92" s="30" t="n"/>
      <c r="R92" s="31">
        <f>IFERROR(VLOOKUP($B92,LD!$B:$J,8,FALSE),"")</f>
        <v/>
      </c>
    </row>
    <row r="93" ht="45" customHeight="1">
      <c r="A93" s="29" t="n"/>
      <c r="B93" s="394" t="n"/>
      <c r="C93" s="392" t="n"/>
      <c r="D93" s="393" t="n"/>
      <c r="E93" s="391">
        <f>IF(B93="","",IFERROR(VLOOKUP(B93,LD!$B:$J,2,FALSE),""))</f>
        <v/>
      </c>
      <c r="F93" s="392" t="n"/>
      <c r="G93" s="392" t="n"/>
      <c r="H93" s="392" t="n"/>
      <c r="I93" s="392" t="n"/>
      <c r="J93" s="392" t="n"/>
      <c r="K93" s="392" t="n"/>
      <c r="L93" s="392" t="n"/>
      <c r="M93" s="392" t="n"/>
      <c r="N93" s="392" t="n"/>
      <c r="O93" s="393" t="n"/>
      <c r="P93" s="30" t="n"/>
      <c r="Q93" s="30" t="n"/>
      <c r="R93" s="31">
        <f>IFERROR(VLOOKUP($B93,LD!$B:$J,8,FALSE),"")</f>
        <v/>
      </c>
    </row>
    <row r="94" ht="45" customHeight="1">
      <c r="A94" s="29" t="n"/>
      <c r="B94" s="394" t="n"/>
      <c r="C94" s="392" t="n"/>
      <c r="D94" s="393" t="n"/>
      <c r="E94" s="391">
        <f>IF(B94="","",IFERROR(VLOOKUP(B94,LD!$B:$J,2,FALSE),""))</f>
        <v/>
      </c>
      <c r="F94" s="392" t="n"/>
      <c r="G94" s="392" t="n"/>
      <c r="H94" s="392" t="n"/>
      <c r="I94" s="392" t="n"/>
      <c r="J94" s="392" t="n"/>
      <c r="K94" s="392" t="n"/>
      <c r="L94" s="392" t="n"/>
      <c r="M94" s="392" t="n"/>
      <c r="N94" s="392" t="n"/>
      <c r="O94" s="393" t="n"/>
      <c r="P94" s="30" t="n"/>
      <c r="Q94" s="30" t="n"/>
      <c r="R94" s="31">
        <f>IFERROR(VLOOKUP($B94,LD!$B:$J,8,FALSE),"")</f>
        <v/>
      </c>
    </row>
    <row r="95" ht="45" customHeight="1">
      <c r="A95" s="29" t="n"/>
      <c r="B95" s="394" t="n"/>
      <c r="C95" s="392" t="n"/>
      <c r="D95" s="393" t="n"/>
      <c r="E95" s="391">
        <f>IF(B95="","",IFERROR(VLOOKUP(B95,LD!$B:$J,2,FALSE),""))</f>
        <v/>
      </c>
      <c r="F95" s="392" t="n"/>
      <c r="G95" s="392" t="n"/>
      <c r="H95" s="392" t="n"/>
      <c r="I95" s="392" t="n"/>
      <c r="J95" s="392" t="n"/>
      <c r="K95" s="392" t="n"/>
      <c r="L95" s="392" t="n"/>
      <c r="M95" s="392" t="n"/>
      <c r="N95" s="392" t="n"/>
      <c r="O95" s="393" t="n"/>
      <c r="P95" s="30" t="n"/>
      <c r="Q95" s="30" t="n"/>
      <c r="R95" s="31">
        <f>IFERROR(VLOOKUP($B95,LD!$B:$J,8,FALSE),"")</f>
        <v/>
      </c>
    </row>
    <row r="96" ht="45" customHeight="1">
      <c r="A96" s="29" t="n"/>
      <c r="B96" s="394" t="n"/>
      <c r="C96" s="392" t="n"/>
      <c r="D96" s="393" t="n"/>
      <c r="E96" s="391">
        <f>IF(B96="","",IFERROR(VLOOKUP(B96,LD!$B:$J,2,FALSE),""))</f>
        <v/>
      </c>
      <c r="F96" s="392" t="n"/>
      <c r="G96" s="392" t="n"/>
      <c r="H96" s="392" t="n"/>
      <c r="I96" s="392" t="n"/>
      <c r="J96" s="392" t="n"/>
      <c r="K96" s="392" t="n"/>
      <c r="L96" s="392" t="n"/>
      <c r="M96" s="392" t="n"/>
      <c r="N96" s="392" t="n"/>
      <c r="O96" s="393" t="n"/>
      <c r="P96" s="30" t="n"/>
      <c r="Q96" s="30" t="n"/>
      <c r="R96" s="31">
        <f>IFERROR(VLOOKUP($B96,LD!$B:$J,8,FALSE),"")</f>
        <v/>
      </c>
    </row>
    <row r="97" ht="45" customHeight="1">
      <c r="A97" s="29" t="n"/>
      <c r="B97" s="394" t="n"/>
      <c r="C97" s="392" t="n"/>
      <c r="D97" s="393" t="n"/>
      <c r="E97" s="391">
        <f>IF(B97="","",IFERROR(VLOOKUP(B97,LD!$B:$J,2,FALSE),""))</f>
        <v/>
      </c>
      <c r="F97" s="392" t="n"/>
      <c r="G97" s="392" t="n"/>
      <c r="H97" s="392" t="n"/>
      <c r="I97" s="392" t="n"/>
      <c r="J97" s="392" t="n"/>
      <c r="K97" s="392" t="n"/>
      <c r="L97" s="392" t="n"/>
      <c r="M97" s="392" t="n"/>
      <c r="N97" s="392" t="n"/>
      <c r="O97" s="393" t="n"/>
      <c r="P97" s="30" t="n"/>
      <c r="Q97" s="30" t="n"/>
      <c r="R97" s="31">
        <f>IFERROR(VLOOKUP($B97,LD!$B:$J,8,FALSE),"")</f>
        <v/>
      </c>
    </row>
    <row r="98" ht="45" customHeight="1">
      <c r="A98" s="29" t="n"/>
      <c r="B98" s="394" t="n"/>
      <c r="C98" s="392" t="n"/>
      <c r="D98" s="393" t="n"/>
      <c r="E98" s="391">
        <f>IF(B98="","",IFERROR(VLOOKUP(B98,LD!$B:$J,2,FALSE),""))</f>
        <v/>
      </c>
      <c r="F98" s="392" t="n"/>
      <c r="G98" s="392" t="n"/>
      <c r="H98" s="392" t="n"/>
      <c r="I98" s="392" t="n"/>
      <c r="J98" s="392" t="n"/>
      <c r="K98" s="392" t="n"/>
      <c r="L98" s="392" t="n"/>
      <c r="M98" s="392" t="n"/>
      <c r="N98" s="392" t="n"/>
      <c r="O98" s="393" t="n"/>
      <c r="P98" s="30" t="n"/>
      <c r="Q98" s="30" t="n"/>
      <c r="R98" s="31">
        <f>IFERROR(VLOOKUP($B98,LD!$B:$J,8,FALSE),"")</f>
        <v/>
      </c>
    </row>
    <row r="99" ht="45" customHeight="1">
      <c r="A99" s="29" t="n"/>
      <c r="B99" s="394" t="n"/>
      <c r="C99" s="392" t="n"/>
      <c r="D99" s="393" t="n"/>
      <c r="E99" s="391">
        <f>IF(B99="","",IFERROR(VLOOKUP(B99,LD!$B:$J,2,FALSE),""))</f>
        <v/>
      </c>
      <c r="F99" s="392" t="n"/>
      <c r="G99" s="392" t="n"/>
      <c r="H99" s="392" t="n"/>
      <c r="I99" s="392" t="n"/>
      <c r="J99" s="392" t="n"/>
      <c r="K99" s="392" t="n"/>
      <c r="L99" s="392" t="n"/>
      <c r="M99" s="392" t="n"/>
      <c r="N99" s="392" t="n"/>
      <c r="O99" s="393" t="n"/>
      <c r="P99" s="30" t="n"/>
      <c r="Q99" s="30" t="n"/>
      <c r="R99" s="31">
        <f>IFERROR(VLOOKUP($B99,LD!$B:$J,8,FALSE),"")</f>
        <v/>
      </c>
    </row>
    <row r="100" ht="45" customHeight="1">
      <c r="A100" s="29" t="n"/>
      <c r="B100" s="394" t="n"/>
      <c r="C100" s="392" t="n"/>
      <c r="D100" s="393" t="n"/>
      <c r="E100" s="391">
        <f>IF(B100="","",IFERROR(VLOOKUP(B100,LD!$B:$J,2,FALSE),""))</f>
        <v/>
      </c>
      <c r="F100" s="392" t="n"/>
      <c r="G100" s="392" t="n"/>
      <c r="H100" s="392" t="n"/>
      <c r="I100" s="392" t="n"/>
      <c r="J100" s="392" t="n"/>
      <c r="K100" s="392" t="n"/>
      <c r="L100" s="392" t="n"/>
      <c r="M100" s="392" t="n"/>
      <c r="N100" s="392" t="n"/>
      <c r="O100" s="393" t="n"/>
      <c r="P100" s="30" t="n"/>
      <c r="Q100" s="30" t="n"/>
      <c r="R100" s="31">
        <f>IFERROR(VLOOKUP($B100,LD!$B:$J,8,FALSE),"")</f>
        <v/>
      </c>
    </row>
    <row r="101" ht="45" customHeight="1">
      <c r="A101" s="29" t="n"/>
      <c r="B101" s="394" t="n"/>
      <c r="C101" s="392" t="n"/>
      <c r="D101" s="393" t="n"/>
      <c r="E101" s="391">
        <f>IF(B101="","",IFERROR(VLOOKUP(B101,LD!$B:$J,2,FALSE),""))</f>
        <v/>
      </c>
      <c r="F101" s="392" t="n"/>
      <c r="G101" s="392" t="n"/>
      <c r="H101" s="392" t="n"/>
      <c r="I101" s="392" t="n"/>
      <c r="J101" s="392" t="n"/>
      <c r="K101" s="392" t="n"/>
      <c r="L101" s="392" t="n"/>
      <c r="M101" s="392" t="n"/>
      <c r="N101" s="392" t="n"/>
      <c r="O101" s="393" t="n"/>
      <c r="P101" s="30" t="n"/>
      <c r="Q101" s="30" t="n"/>
      <c r="R101" s="31">
        <f>IFERROR(VLOOKUP($B101,LD!$B:$J,8,FALSE),"")</f>
        <v/>
      </c>
    </row>
    <row r="102" ht="45" customHeight="1">
      <c r="A102" s="29" t="n"/>
      <c r="B102" s="394" t="n"/>
      <c r="C102" s="392" t="n"/>
      <c r="D102" s="393" t="n"/>
      <c r="E102" s="391">
        <f>IF(B102="","",IFERROR(VLOOKUP(B102,LD!$B:$J,2,FALSE),""))</f>
        <v/>
      </c>
      <c r="F102" s="392" t="n"/>
      <c r="G102" s="392" t="n"/>
      <c r="H102" s="392" t="n"/>
      <c r="I102" s="392" t="n"/>
      <c r="J102" s="392" t="n"/>
      <c r="K102" s="392" t="n"/>
      <c r="L102" s="392" t="n"/>
      <c r="M102" s="392" t="n"/>
      <c r="N102" s="392" t="n"/>
      <c r="O102" s="393" t="n"/>
      <c r="P102" s="30" t="n"/>
      <c r="Q102" s="30" t="n"/>
      <c r="R102" s="31">
        <f>IFERROR(VLOOKUP($B102,LD!$B:$J,8,FALSE),"")</f>
        <v/>
      </c>
    </row>
    <row r="103" ht="45" customHeight="1">
      <c r="A103" s="29" t="n"/>
      <c r="B103" s="394" t="n"/>
      <c r="C103" s="392" t="n"/>
      <c r="D103" s="393" t="n"/>
      <c r="E103" s="391">
        <f>IF(B103="","",IFERROR(VLOOKUP(B103,LD!$B:$J,2,FALSE),""))</f>
        <v/>
      </c>
      <c r="F103" s="392" t="n"/>
      <c r="G103" s="392" t="n"/>
      <c r="H103" s="392" t="n"/>
      <c r="I103" s="392" t="n"/>
      <c r="J103" s="392" t="n"/>
      <c r="K103" s="392" t="n"/>
      <c r="L103" s="392" t="n"/>
      <c r="M103" s="392" t="n"/>
      <c r="N103" s="392" t="n"/>
      <c r="O103" s="393" t="n"/>
      <c r="P103" s="30" t="n"/>
      <c r="Q103" s="30" t="n"/>
      <c r="R103" s="31">
        <f>IFERROR(VLOOKUP($B103,LD!$B:$J,8,FALSE),"")</f>
        <v/>
      </c>
    </row>
    <row r="104" ht="45" customHeight="1">
      <c r="A104" s="29" t="n"/>
      <c r="B104" s="394" t="n"/>
      <c r="C104" s="392" t="n"/>
      <c r="D104" s="393" t="n"/>
      <c r="E104" s="391">
        <f>IF(B104="","",IFERROR(VLOOKUP(B104,LD!$B:$J,2,FALSE),""))</f>
        <v/>
      </c>
      <c r="F104" s="392" t="n"/>
      <c r="G104" s="392" t="n"/>
      <c r="H104" s="392" t="n"/>
      <c r="I104" s="392" t="n"/>
      <c r="J104" s="392" t="n"/>
      <c r="K104" s="392" t="n"/>
      <c r="L104" s="392" t="n"/>
      <c r="M104" s="392" t="n"/>
      <c r="N104" s="392" t="n"/>
      <c r="O104" s="393" t="n"/>
      <c r="P104" s="30" t="n"/>
      <c r="Q104" s="30" t="n"/>
      <c r="R104" s="31">
        <f>IFERROR(VLOOKUP($B104,LD!$B:$J,8,FALSE),"")</f>
        <v/>
      </c>
    </row>
    <row r="105" ht="45" customHeight="1">
      <c r="A105" s="29" t="n"/>
      <c r="B105" s="394" t="n"/>
      <c r="C105" s="392" t="n"/>
      <c r="D105" s="393" t="n"/>
      <c r="E105" s="391">
        <f>IF(B105="","",IFERROR(VLOOKUP(B105,LD!$B:$J,2,FALSE),""))</f>
        <v/>
      </c>
      <c r="F105" s="392" t="n"/>
      <c r="G105" s="392" t="n"/>
      <c r="H105" s="392" t="n"/>
      <c r="I105" s="392" t="n"/>
      <c r="J105" s="392" t="n"/>
      <c r="K105" s="392" t="n"/>
      <c r="L105" s="392" t="n"/>
      <c r="M105" s="392" t="n"/>
      <c r="N105" s="392" t="n"/>
      <c r="O105" s="393" t="n"/>
      <c r="P105" s="30" t="n"/>
      <c r="Q105" s="30" t="n"/>
      <c r="R105" s="31">
        <f>IFERROR(VLOOKUP($B105,LD!$B:$J,8,FALSE),"")</f>
        <v/>
      </c>
    </row>
    <row r="106" ht="45" customHeight="1">
      <c r="A106" s="29" t="n"/>
      <c r="B106" s="394" t="n"/>
      <c r="C106" s="392" t="n"/>
      <c r="D106" s="393" t="n"/>
      <c r="E106" s="391">
        <f>IF(B106="","",IFERROR(VLOOKUP(B106,LD!$B:$J,2,FALSE),""))</f>
        <v/>
      </c>
      <c r="F106" s="392" t="n"/>
      <c r="G106" s="392" t="n"/>
      <c r="H106" s="392" t="n"/>
      <c r="I106" s="392" t="n"/>
      <c r="J106" s="392" t="n"/>
      <c r="K106" s="392" t="n"/>
      <c r="L106" s="392" t="n"/>
      <c r="M106" s="392" t="n"/>
      <c r="N106" s="392" t="n"/>
      <c r="O106" s="393" t="n"/>
      <c r="P106" s="30" t="n"/>
      <c r="Q106" s="30" t="n"/>
      <c r="R106" s="31">
        <f>IFERROR(VLOOKUP($B106,LD!$B:$J,8,FALSE),"")</f>
        <v/>
      </c>
    </row>
    <row r="107" ht="45" customHeight="1">
      <c r="A107" s="29" t="n"/>
      <c r="B107" s="394" t="n"/>
      <c r="C107" s="392" t="n"/>
      <c r="D107" s="393" t="n"/>
      <c r="E107" s="391">
        <f>IF(B107="","",IFERROR(VLOOKUP(B107,LD!$B:$J,2,FALSE),""))</f>
        <v/>
      </c>
      <c r="F107" s="392" t="n"/>
      <c r="G107" s="392" t="n"/>
      <c r="H107" s="392" t="n"/>
      <c r="I107" s="392" t="n"/>
      <c r="J107" s="392" t="n"/>
      <c r="K107" s="392" t="n"/>
      <c r="L107" s="392" t="n"/>
      <c r="M107" s="392" t="n"/>
      <c r="N107" s="392" t="n"/>
      <c r="O107" s="393" t="n"/>
      <c r="P107" s="30" t="n"/>
      <c r="Q107" s="30" t="n"/>
      <c r="R107" s="31">
        <f>IFERROR(VLOOKUP($B107,LD!$B:$J,8,FALSE),"")</f>
        <v/>
      </c>
    </row>
    <row r="108" ht="45" customHeight="1">
      <c r="A108" s="29" t="n"/>
      <c r="B108" s="394" t="n"/>
      <c r="C108" s="392" t="n"/>
      <c r="D108" s="393" t="n"/>
      <c r="E108" s="391">
        <f>IF(B108="","",IFERROR(VLOOKUP(B108,LD!$B:$J,2,FALSE),""))</f>
        <v/>
      </c>
      <c r="F108" s="392" t="n"/>
      <c r="G108" s="392" t="n"/>
      <c r="H108" s="392" t="n"/>
      <c r="I108" s="392" t="n"/>
      <c r="J108" s="392" t="n"/>
      <c r="K108" s="392" t="n"/>
      <c r="L108" s="392" t="n"/>
      <c r="M108" s="392" t="n"/>
      <c r="N108" s="392" t="n"/>
      <c r="O108" s="393" t="n"/>
      <c r="P108" s="30" t="n"/>
      <c r="Q108" s="30" t="n"/>
      <c r="R108" s="31">
        <f>IFERROR(VLOOKUP($B108,LD!$B:$J,8,FALSE),"")</f>
        <v/>
      </c>
    </row>
    <row r="109" ht="45" customHeight="1">
      <c r="A109" s="29" t="n"/>
      <c r="B109" s="394" t="n"/>
      <c r="C109" s="392" t="n"/>
      <c r="D109" s="393" t="n"/>
      <c r="E109" s="391">
        <f>IF(B109="","",IFERROR(VLOOKUP(B109,LD!$B:$J,2,FALSE),""))</f>
        <v/>
      </c>
      <c r="F109" s="392" t="n"/>
      <c r="G109" s="392" t="n"/>
      <c r="H109" s="392" t="n"/>
      <c r="I109" s="392" t="n"/>
      <c r="J109" s="392" t="n"/>
      <c r="K109" s="392" t="n"/>
      <c r="L109" s="392" t="n"/>
      <c r="M109" s="392" t="n"/>
      <c r="N109" s="392" t="n"/>
      <c r="O109" s="393" t="n"/>
      <c r="P109" s="30" t="n"/>
      <c r="Q109" s="30" t="n"/>
      <c r="R109" s="31">
        <f>IFERROR(VLOOKUP($B109,LD!$B:$J,8,FALSE),"")</f>
        <v/>
      </c>
    </row>
    <row r="110" ht="45" customHeight="1">
      <c r="A110" s="29" t="n"/>
      <c r="B110" s="394" t="n"/>
      <c r="C110" s="392" t="n"/>
      <c r="D110" s="393" t="n"/>
      <c r="E110" s="391">
        <f>IF(B110="","",IFERROR(VLOOKUP(B110,LD!$B:$J,2,FALSE),""))</f>
        <v/>
      </c>
      <c r="F110" s="392" t="n"/>
      <c r="G110" s="392" t="n"/>
      <c r="H110" s="392" t="n"/>
      <c r="I110" s="392" t="n"/>
      <c r="J110" s="392" t="n"/>
      <c r="K110" s="392" t="n"/>
      <c r="L110" s="392" t="n"/>
      <c r="M110" s="392" t="n"/>
      <c r="N110" s="392" t="n"/>
      <c r="O110" s="393" t="n"/>
      <c r="P110" s="30" t="n"/>
      <c r="Q110" s="30" t="n"/>
      <c r="R110" s="31">
        <f>IFERROR(VLOOKUP($B110,LD!$B:$J,8,FALSE),"")</f>
        <v/>
      </c>
    </row>
    <row r="111" ht="45" customHeight="1">
      <c r="A111" s="29" t="n"/>
      <c r="B111" s="394" t="n"/>
      <c r="C111" s="392" t="n"/>
      <c r="D111" s="393" t="n"/>
      <c r="E111" s="391">
        <f>IF(B111="","",IFERROR(VLOOKUP(B111,LD!$B:$J,2,FALSE),""))</f>
        <v/>
      </c>
      <c r="F111" s="392" t="n"/>
      <c r="G111" s="392" t="n"/>
      <c r="H111" s="392" t="n"/>
      <c r="I111" s="392" t="n"/>
      <c r="J111" s="392" t="n"/>
      <c r="K111" s="392" t="n"/>
      <c r="L111" s="392" t="n"/>
      <c r="M111" s="392" t="n"/>
      <c r="N111" s="392" t="n"/>
      <c r="O111" s="393" t="n"/>
      <c r="P111" s="30" t="n"/>
      <c r="Q111" s="30" t="n"/>
      <c r="R111" s="31">
        <f>IFERROR(VLOOKUP($B111,LD!$B:$J,8,FALSE),"")</f>
        <v/>
      </c>
    </row>
    <row r="112" ht="45" customHeight="1">
      <c r="A112" s="29" t="n"/>
      <c r="B112" s="394" t="n"/>
      <c r="C112" s="392" t="n"/>
      <c r="D112" s="393" t="n"/>
      <c r="E112" s="391">
        <f>IF(B112="","",IFERROR(VLOOKUP(B112,LD!$B:$J,2,FALSE),""))</f>
        <v/>
      </c>
      <c r="F112" s="392" t="n"/>
      <c r="G112" s="392" t="n"/>
      <c r="H112" s="392" t="n"/>
      <c r="I112" s="392" t="n"/>
      <c r="J112" s="392" t="n"/>
      <c r="K112" s="392" t="n"/>
      <c r="L112" s="392" t="n"/>
      <c r="M112" s="392" t="n"/>
      <c r="N112" s="392" t="n"/>
      <c r="O112" s="393" t="n"/>
      <c r="P112" s="30" t="n"/>
      <c r="Q112" s="30" t="n"/>
      <c r="R112" s="31">
        <f>IFERROR(VLOOKUP($B112,LD!$B:$J,8,FALSE),"")</f>
        <v/>
      </c>
    </row>
    <row r="113" ht="45" customHeight="1">
      <c r="A113" s="29" t="n"/>
      <c r="B113" s="394" t="n"/>
      <c r="C113" s="392" t="n"/>
      <c r="D113" s="393" t="n"/>
      <c r="E113" s="391">
        <f>IF(B113="","",IFERROR(VLOOKUP(B113,LD!$B:$J,2,FALSE),""))</f>
        <v/>
      </c>
      <c r="F113" s="392" t="n"/>
      <c r="G113" s="392" t="n"/>
      <c r="H113" s="392" t="n"/>
      <c r="I113" s="392" t="n"/>
      <c r="J113" s="392" t="n"/>
      <c r="K113" s="392" t="n"/>
      <c r="L113" s="392" t="n"/>
      <c r="M113" s="392" t="n"/>
      <c r="N113" s="392" t="n"/>
      <c r="O113" s="393" t="n"/>
      <c r="P113" s="30" t="n"/>
      <c r="Q113" s="30" t="n"/>
      <c r="R113" s="31">
        <f>IFERROR(VLOOKUP($B113,LD!$B:$J,8,FALSE),"")</f>
        <v/>
      </c>
    </row>
    <row r="114" ht="45" customHeight="1">
      <c r="A114" s="29" t="n"/>
      <c r="B114" s="394" t="n"/>
      <c r="C114" s="392" t="n"/>
      <c r="D114" s="393" t="n"/>
      <c r="E114" s="391">
        <f>IF(B114="","",IFERROR(VLOOKUP(B114,LD!$B:$J,2,FALSE),""))</f>
        <v/>
      </c>
      <c r="F114" s="392" t="n"/>
      <c r="G114" s="392" t="n"/>
      <c r="H114" s="392" t="n"/>
      <c r="I114" s="392" t="n"/>
      <c r="J114" s="392" t="n"/>
      <c r="K114" s="392" t="n"/>
      <c r="L114" s="392" t="n"/>
      <c r="M114" s="392" t="n"/>
      <c r="N114" s="392" t="n"/>
      <c r="O114" s="393" t="n"/>
      <c r="P114" s="30" t="n"/>
      <c r="Q114" s="30" t="n"/>
      <c r="R114" s="31">
        <f>IFERROR(VLOOKUP($B114,LD!$B:$J,8,FALSE),"")</f>
        <v/>
      </c>
    </row>
    <row r="115" ht="45" customHeight="1">
      <c r="A115" s="29" t="n"/>
      <c r="B115" s="394" t="n"/>
      <c r="C115" s="392" t="n"/>
      <c r="D115" s="393" t="n"/>
      <c r="E115" s="391">
        <f>IF(B115="","",IFERROR(VLOOKUP(B115,LD!$B:$J,2,FALSE),""))</f>
        <v/>
      </c>
      <c r="F115" s="392" t="n"/>
      <c r="G115" s="392" t="n"/>
      <c r="H115" s="392" t="n"/>
      <c r="I115" s="392" t="n"/>
      <c r="J115" s="392" t="n"/>
      <c r="K115" s="392" t="n"/>
      <c r="L115" s="392" t="n"/>
      <c r="M115" s="392" t="n"/>
      <c r="N115" s="392" t="n"/>
      <c r="O115" s="393" t="n"/>
      <c r="P115" s="30" t="n"/>
      <c r="Q115" s="30" t="n"/>
      <c r="R115" s="31">
        <f>IFERROR(VLOOKUP($B115,LD!$B:$J,8,FALSE),"")</f>
        <v/>
      </c>
    </row>
    <row r="116" ht="45" customHeight="1">
      <c r="A116" s="29" t="n"/>
      <c r="B116" s="394" t="n"/>
      <c r="C116" s="392" t="n"/>
      <c r="D116" s="393" t="n"/>
      <c r="E116" s="391">
        <f>IF(B116="","",IFERROR(VLOOKUP(B116,LD!$B:$J,2,FALSE),""))</f>
        <v/>
      </c>
      <c r="F116" s="392" t="n"/>
      <c r="G116" s="392" t="n"/>
      <c r="H116" s="392" t="n"/>
      <c r="I116" s="392" t="n"/>
      <c r="J116" s="392" t="n"/>
      <c r="K116" s="392" t="n"/>
      <c r="L116" s="392" t="n"/>
      <c r="M116" s="392" t="n"/>
      <c r="N116" s="392" t="n"/>
      <c r="O116" s="393" t="n"/>
      <c r="P116" s="30" t="n"/>
      <c r="Q116" s="30" t="n"/>
      <c r="R116" s="31">
        <f>IFERROR(VLOOKUP($B116,LD!$B:$J,8,FALSE),"")</f>
        <v/>
      </c>
    </row>
    <row r="117" ht="45" customHeight="1">
      <c r="A117" s="29" t="n"/>
      <c r="B117" s="394" t="n"/>
      <c r="C117" s="392" t="n"/>
      <c r="D117" s="393" t="n"/>
      <c r="E117" s="391">
        <f>IF(B117="","",IFERROR(VLOOKUP(B117,LD!$B:$J,2,FALSE),""))</f>
        <v/>
      </c>
      <c r="F117" s="392" t="n"/>
      <c r="G117" s="392" t="n"/>
      <c r="H117" s="392" t="n"/>
      <c r="I117" s="392" t="n"/>
      <c r="J117" s="392" t="n"/>
      <c r="K117" s="392" t="n"/>
      <c r="L117" s="392" t="n"/>
      <c r="M117" s="392" t="n"/>
      <c r="N117" s="392" t="n"/>
      <c r="O117" s="393" t="n"/>
      <c r="P117" s="30" t="n"/>
      <c r="Q117" s="30" t="n"/>
      <c r="R117" s="31">
        <f>IFERROR(VLOOKUP($B117,LD!$B:$J,8,FALSE),"")</f>
        <v/>
      </c>
    </row>
    <row r="118" ht="45" customHeight="1">
      <c r="A118" s="29" t="n"/>
      <c r="B118" s="394" t="n"/>
      <c r="C118" s="392" t="n"/>
      <c r="D118" s="393" t="n"/>
      <c r="E118" s="391">
        <f>IF(B118="","",IFERROR(VLOOKUP(B118,LD!$B:$J,2,FALSE),""))</f>
        <v/>
      </c>
      <c r="F118" s="392" t="n"/>
      <c r="G118" s="392" t="n"/>
      <c r="H118" s="392" t="n"/>
      <c r="I118" s="392" t="n"/>
      <c r="J118" s="392" t="n"/>
      <c r="K118" s="392" t="n"/>
      <c r="L118" s="392" t="n"/>
      <c r="M118" s="392" t="n"/>
      <c r="N118" s="392" t="n"/>
      <c r="O118" s="393" t="n"/>
      <c r="P118" s="30" t="n"/>
      <c r="Q118" s="30" t="n"/>
      <c r="R118" s="31">
        <f>IFERROR(VLOOKUP($B118,LD!$B:$J,8,FALSE),"")</f>
        <v/>
      </c>
    </row>
    <row r="119" ht="45" customHeight="1">
      <c r="A119" s="29" t="n"/>
      <c r="B119" s="394" t="n"/>
      <c r="C119" s="392" t="n"/>
      <c r="D119" s="393" t="n"/>
      <c r="E119" s="391">
        <f>IF(B119="","",IFERROR(VLOOKUP(B119,LD!$B:$J,2,FALSE),""))</f>
        <v/>
      </c>
      <c r="F119" s="392" t="n"/>
      <c r="G119" s="392" t="n"/>
      <c r="H119" s="392" t="n"/>
      <c r="I119" s="392" t="n"/>
      <c r="J119" s="392" t="n"/>
      <c r="K119" s="392" t="n"/>
      <c r="L119" s="392" t="n"/>
      <c r="M119" s="392" t="n"/>
      <c r="N119" s="392" t="n"/>
      <c r="O119" s="393" t="n"/>
      <c r="P119" s="30" t="n"/>
      <c r="Q119" s="30" t="n"/>
      <c r="R119" s="31">
        <f>IFERROR(VLOOKUP($B119,LD!$B:$J,8,FALSE),"")</f>
        <v/>
      </c>
    </row>
    <row r="120" ht="45" customHeight="1">
      <c r="A120" s="29" t="n"/>
      <c r="B120" s="394" t="n"/>
      <c r="C120" s="392" t="n"/>
      <c r="D120" s="393" t="n"/>
      <c r="E120" s="391">
        <f>IF(B120="","",IFERROR(VLOOKUP(B120,LD!$B:$J,2,FALSE),""))</f>
        <v/>
      </c>
      <c r="F120" s="392" t="n"/>
      <c r="G120" s="392" t="n"/>
      <c r="H120" s="392" t="n"/>
      <c r="I120" s="392" t="n"/>
      <c r="J120" s="392" t="n"/>
      <c r="K120" s="392" t="n"/>
      <c r="L120" s="392" t="n"/>
      <c r="M120" s="392" t="n"/>
      <c r="N120" s="392" t="n"/>
      <c r="O120" s="393" t="n"/>
      <c r="P120" s="30" t="n"/>
      <c r="Q120" s="30" t="n"/>
      <c r="R120" s="31">
        <f>IFERROR(VLOOKUP($B120,LD!$B:$J,8,FALSE),"")</f>
        <v/>
      </c>
    </row>
    <row r="121" ht="45" customHeight="1">
      <c r="A121" s="29" t="n"/>
      <c r="B121" s="394" t="n"/>
      <c r="C121" s="392" t="n"/>
      <c r="D121" s="393" t="n"/>
      <c r="E121" s="391">
        <f>IF(B121="","",IFERROR(VLOOKUP(B121,LD!$B:$J,2,FALSE),""))</f>
        <v/>
      </c>
      <c r="F121" s="392" t="n"/>
      <c r="G121" s="392" t="n"/>
      <c r="H121" s="392" t="n"/>
      <c r="I121" s="392" t="n"/>
      <c r="J121" s="392" t="n"/>
      <c r="K121" s="392" t="n"/>
      <c r="L121" s="392" t="n"/>
      <c r="M121" s="392" t="n"/>
      <c r="N121" s="392" t="n"/>
      <c r="O121" s="393" t="n"/>
      <c r="P121" s="30" t="n"/>
      <c r="Q121" s="30" t="n"/>
      <c r="R121" s="31">
        <f>IFERROR(VLOOKUP($B121,LD!$B:$J,8,FALSE),"")</f>
        <v/>
      </c>
    </row>
    <row r="122" ht="45" customHeight="1">
      <c r="A122" s="29" t="n"/>
      <c r="B122" s="394" t="n"/>
      <c r="C122" s="392" t="n"/>
      <c r="D122" s="393" t="n"/>
      <c r="E122" s="391">
        <f>IF(B122="","",IFERROR(VLOOKUP(B122,LD!$B:$J,2,FALSE),""))</f>
        <v/>
      </c>
      <c r="F122" s="392" t="n"/>
      <c r="G122" s="392" t="n"/>
      <c r="H122" s="392" t="n"/>
      <c r="I122" s="392" t="n"/>
      <c r="J122" s="392" t="n"/>
      <c r="K122" s="392" t="n"/>
      <c r="L122" s="392" t="n"/>
      <c r="M122" s="392" t="n"/>
      <c r="N122" s="392" t="n"/>
      <c r="O122" s="393" t="n"/>
      <c r="P122" s="30" t="n"/>
      <c r="Q122" s="30" t="n"/>
      <c r="R122" s="31">
        <f>IFERROR(VLOOKUP($B122,LD!$B:$J,8,FALSE),"")</f>
        <v/>
      </c>
    </row>
    <row r="123" ht="45" customHeight="1">
      <c r="A123" s="29" t="n"/>
      <c r="B123" s="394" t="n"/>
      <c r="C123" s="392" t="n"/>
      <c r="D123" s="393" t="n"/>
      <c r="E123" s="391">
        <f>IF(B123="","",IFERROR(VLOOKUP(B123,LD!$B:$J,2,FALSE),""))</f>
        <v/>
      </c>
      <c r="F123" s="392" t="n"/>
      <c r="G123" s="392" t="n"/>
      <c r="H123" s="392" t="n"/>
      <c r="I123" s="392" t="n"/>
      <c r="J123" s="392" t="n"/>
      <c r="K123" s="392" t="n"/>
      <c r="L123" s="392" t="n"/>
      <c r="M123" s="392" t="n"/>
      <c r="N123" s="392" t="n"/>
      <c r="O123" s="393" t="n"/>
      <c r="P123" s="30" t="n"/>
      <c r="Q123" s="30" t="n"/>
      <c r="R123" s="31">
        <f>IFERROR(VLOOKUP($B123,LD!$B:$J,8,FALSE),"")</f>
        <v/>
      </c>
    </row>
    <row r="124" ht="45" customHeight="1">
      <c r="A124" s="29" t="n"/>
      <c r="B124" s="394" t="n"/>
      <c r="C124" s="392" t="n"/>
      <c r="D124" s="393" t="n"/>
      <c r="E124" s="391">
        <f>IF(B124="","",IFERROR(VLOOKUP(B124,LD!$B:$J,2,FALSE),""))</f>
        <v/>
      </c>
      <c r="F124" s="392" t="n"/>
      <c r="G124" s="392" t="n"/>
      <c r="H124" s="392" t="n"/>
      <c r="I124" s="392" t="n"/>
      <c r="J124" s="392" t="n"/>
      <c r="K124" s="392" t="n"/>
      <c r="L124" s="392" t="n"/>
      <c r="M124" s="392" t="n"/>
      <c r="N124" s="392" t="n"/>
      <c r="O124" s="393" t="n"/>
      <c r="P124" s="30" t="n"/>
      <c r="Q124" s="30" t="n"/>
      <c r="R124" s="31">
        <f>IFERROR(VLOOKUP($B124,LD!$B:$J,8,FALSE),"")</f>
        <v/>
      </c>
    </row>
    <row r="125" ht="45" customHeight="1">
      <c r="A125" s="29" t="n"/>
      <c r="B125" s="394" t="n"/>
      <c r="C125" s="392" t="n"/>
      <c r="D125" s="393" t="n"/>
      <c r="E125" s="391">
        <f>IF(B125="","",IFERROR(VLOOKUP(B125,LD!$B:$J,2,FALSE),""))</f>
        <v/>
      </c>
      <c r="F125" s="392" t="n"/>
      <c r="G125" s="392" t="n"/>
      <c r="H125" s="392" t="n"/>
      <c r="I125" s="392" t="n"/>
      <c r="J125" s="392" t="n"/>
      <c r="K125" s="392" t="n"/>
      <c r="L125" s="392" t="n"/>
      <c r="M125" s="392" t="n"/>
      <c r="N125" s="392" t="n"/>
      <c r="O125" s="393" t="n"/>
      <c r="P125" s="30" t="n"/>
      <c r="Q125" s="30" t="n"/>
      <c r="R125" s="31">
        <f>IFERROR(VLOOKUP($B125,LD!$B:$J,8,FALSE),"")</f>
        <v/>
      </c>
    </row>
    <row r="126" ht="45" customHeight="1">
      <c r="A126" s="29" t="n"/>
      <c r="B126" s="394" t="n"/>
      <c r="C126" s="392" t="n"/>
      <c r="D126" s="393" t="n"/>
      <c r="E126" s="391">
        <f>IF(B126="","",IFERROR(VLOOKUP(B126,LD!$B:$J,2,FALSE),""))</f>
        <v/>
      </c>
      <c r="F126" s="392" t="n"/>
      <c r="G126" s="392" t="n"/>
      <c r="H126" s="392" t="n"/>
      <c r="I126" s="392" t="n"/>
      <c r="J126" s="392" t="n"/>
      <c r="K126" s="392" t="n"/>
      <c r="L126" s="392" t="n"/>
      <c r="M126" s="392" t="n"/>
      <c r="N126" s="392" t="n"/>
      <c r="O126" s="393" t="n"/>
      <c r="P126" s="30" t="n"/>
      <c r="Q126" s="30" t="n"/>
      <c r="R126" s="31">
        <f>IFERROR(VLOOKUP($B126,LD!$B:$J,8,FALSE),"")</f>
        <v/>
      </c>
    </row>
    <row r="127" ht="45" customHeight="1">
      <c r="A127" s="29" t="n"/>
      <c r="B127" s="394" t="n"/>
      <c r="C127" s="392" t="n"/>
      <c r="D127" s="393" t="n"/>
      <c r="E127" s="391">
        <f>IF(B127="","",IFERROR(VLOOKUP(B127,LD!$B:$J,2,FALSE),""))</f>
        <v/>
      </c>
      <c r="F127" s="392" t="n"/>
      <c r="G127" s="392" t="n"/>
      <c r="H127" s="392" t="n"/>
      <c r="I127" s="392" t="n"/>
      <c r="J127" s="392" t="n"/>
      <c r="K127" s="392" t="n"/>
      <c r="L127" s="392" t="n"/>
      <c r="M127" s="392" t="n"/>
      <c r="N127" s="392" t="n"/>
      <c r="O127" s="393" t="n"/>
      <c r="P127" s="30" t="n"/>
      <c r="Q127" s="30" t="n"/>
      <c r="R127" s="31">
        <f>IFERROR(VLOOKUP($B127,LD!$B:$J,8,FALSE),"")</f>
        <v/>
      </c>
    </row>
    <row r="128" ht="45" customHeight="1">
      <c r="A128" s="29" t="n"/>
      <c r="B128" s="394" t="n"/>
      <c r="C128" s="392" t="n"/>
      <c r="D128" s="393" t="n"/>
      <c r="E128" s="391">
        <f>IF(B128="","",IFERROR(VLOOKUP(B128,LD!$B:$J,2,FALSE),""))</f>
        <v/>
      </c>
      <c r="F128" s="392" t="n"/>
      <c r="G128" s="392" t="n"/>
      <c r="H128" s="392" t="n"/>
      <c r="I128" s="392" t="n"/>
      <c r="J128" s="392" t="n"/>
      <c r="K128" s="392" t="n"/>
      <c r="L128" s="392" t="n"/>
      <c r="M128" s="392" t="n"/>
      <c r="N128" s="392" t="n"/>
      <c r="O128" s="393" t="n"/>
      <c r="P128" s="30" t="n"/>
      <c r="Q128" s="30" t="n"/>
      <c r="R128" s="31">
        <f>IFERROR(VLOOKUP($B128,LD!$B:$J,8,FALSE),"")</f>
        <v/>
      </c>
    </row>
    <row r="129" ht="45" customHeight="1">
      <c r="A129" s="29" t="n"/>
      <c r="B129" s="394" t="n"/>
      <c r="C129" s="392" t="n"/>
      <c r="D129" s="393" t="n"/>
      <c r="E129" s="391">
        <f>IF(B129="","",IFERROR(VLOOKUP(B129,LD!$B:$J,2,FALSE),""))</f>
        <v/>
      </c>
      <c r="F129" s="392" t="n"/>
      <c r="G129" s="392" t="n"/>
      <c r="H129" s="392" t="n"/>
      <c r="I129" s="392" t="n"/>
      <c r="J129" s="392" t="n"/>
      <c r="K129" s="392" t="n"/>
      <c r="L129" s="392" t="n"/>
      <c r="M129" s="392" t="n"/>
      <c r="N129" s="392" t="n"/>
      <c r="O129" s="393" t="n"/>
      <c r="P129" s="30" t="n"/>
      <c r="Q129" s="30" t="n"/>
      <c r="R129" s="31">
        <f>IFERROR(VLOOKUP($B129,LD!$B:$J,8,FALSE),"")</f>
        <v/>
      </c>
    </row>
    <row r="130" ht="45" customHeight="1">
      <c r="A130" s="29" t="n"/>
      <c r="B130" s="394" t="n"/>
      <c r="C130" s="392" t="n"/>
      <c r="D130" s="393" t="n"/>
      <c r="E130" s="391">
        <f>IF(B130="","",IFERROR(VLOOKUP(B130,LD!$B:$J,2,FALSE),""))</f>
        <v/>
      </c>
      <c r="F130" s="392" t="n"/>
      <c r="G130" s="392" t="n"/>
      <c r="H130" s="392" t="n"/>
      <c r="I130" s="392" t="n"/>
      <c r="J130" s="392" t="n"/>
      <c r="K130" s="392" t="n"/>
      <c r="L130" s="392" t="n"/>
      <c r="M130" s="392" t="n"/>
      <c r="N130" s="392" t="n"/>
      <c r="O130" s="393" t="n"/>
      <c r="P130" s="30" t="n"/>
      <c r="Q130" s="30" t="n"/>
      <c r="R130" s="31">
        <f>IFERROR(VLOOKUP($B130,LD!$B:$J,8,FALSE),"")</f>
        <v/>
      </c>
    </row>
    <row r="131" ht="45" customHeight="1">
      <c r="A131" s="29" t="n"/>
      <c r="B131" s="394" t="n"/>
      <c r="C131" s="392" t="n"/>
      <c r="D131" s="393" t="n"/>
      <c r="E131" s="391">
        <f>IF(B131="","",IFERROR(VLOOKUP(B131,LD!$B:$J,2,FALSE),""))</f>
        <v/>
      </c>
      <c r="F131" s="392" t="n"/>
      <c r="G131" s="392" t="n"/>
      <c r="H131" s="392" t="n"/>
      <c r="I131" s="392" t="n"/>
      <c r="J131" s="392" t="n"/>
      <c r="K131" s="392" t="n"/>
      <c r="L131" s="392" t="n"/>
      <c r="M131" s="392" t="n"/>
      <c r="N131" s="392" t="n"/>
      <c r="O131" s="393" t="n"/>
      <c r="P131" s="30" t="n"/>
      <c r="Q131" s="30" t="n"/>
      <c r="R131" s="31">
        <f>IFERROR(VLOOKUP($B131,LD!$B:$J,8,FALSE),"")</f>
        <v/>
      </c>
    </row>
    <row r="132" ht="45" customHeight="1">
      <c r="A132" s="29" t="n"/>
      <c r="B132" s="394" t="n"/>
      <c r="C132" s="392" t="n"/>
      <c r="D132" s="393" t="n"/>
      <c r="E132" s="391">
        <f>IF(B132="","",IFERROR(VLOOKUP(B132,LD!$B:$J,2,FALSE),""))</f>
        <v/>
      </c>
      <c r="F132" s="392" t="n"/>
      <c r="G132" s="392" t="n"/>
      <c r="H132" s="392" t="n"/>
      <c r="I132" s="392" t="n"/>
      <c r="J132" s="392" t="n"/>
      <c r="K132" s="392" t="n"/>
      <c r="L132" s="392" t="n"/>
      <c r="M132" s="392" t="n"/>
      <c r="N132" s="392" t="n"/>
      <c r="O132" s="393" t="n"/>
      <c r="P132" s="30" t="n"/>
      <c r="Q132" s="30" t="n"/>
      <c r="R132" s="31">
        <f>IFERROR(VLOOKUP($B132,LD!$B:$J,8,FALSE),"")</f>
        <v/>
      </c>
    </row>
    <row r="133" ht="45" customHeight="1">
      <c r="A133" s="29" t="n"/>
      <c r="B133" s="394" t="n"/>
      <c r="C133" s="392" t="n"/>
      <c r="D133" s="393" t="n"/>
      <c r="E133" s="391">
        <f>IF(B133="","",IFERROR(VLOOKUP(B133,LD!$B:$J,2,FALSE),""))</f>
        <v/>
      </c>
      <c r="F133" s="392" t="n"/>
      <c r="G133" s="392" t="n"/>
      <c r="H133" s="392" t="n"/>
      <c r="I133" s="392" t="n"/>
      <c r="J133" s="392" t="n"/>
      <c r="K133" s="392" t="n"/>
      <c r="L133" s="392" t="n"/>
      <c r="M133" s="392" t="n"/>
      <c r="N133" s="392" t="n"/>
      <c r="O133" s="393" t="n"/>
      <c r="P133" s="30" t="n"/>
      <c r="Q133" s="30" t="n"/>
      <c r="R133" s="31">
        <f>IFERROR(VLOOKUP($B133,LD!$B:$J,8,FALSE),"")</f>
        <v/>
      </c>
    </row>
    <row r="134" ht="45" customHeight="1">
      <c r="A134" s="29" t="n"/>
      <c r="B134" s="394" t="n"/>
      <c r="C134" s="392" t="n"/>
      <c r="D134" s="393" t="n"/>
      <c r="E134" s="391">
        <f>IF(B134="","",IFERROR(VLOOKUP(B134,LD!$B:$J,2,FALSE),""))</f>
        <v/>
      </c>
      <c r="F134" s="392" t="n"/>
      <c r="G134" s="392" t="n"/>
      <c r="H134" s="392" t="n"/>
      <c r="I134" s="392" t="n"/>
      <c r="J134" s="392" t="n"/>
      <c r="K134" s="392" t="n"/>
      <c r="L134" s="392" t="n"/>
      <c r="M134" s="392" t="n"/>
      <c r="N134" s="392" t="n"/>
      <c r="O134" s="393" t="n"/>
      <c r="P134" s="30" t="n"/>
      <c r="Q134" s="30" t="n"/>
      <c r="R134" s="31">
        <f>IFERROR(VLOOKUP($B134,LD!$B:$J,8,FALSE),"")</f>
        <v/>
      </c>
    </row>
    <row r="135" ht="45" customHeight="1">
      <c r="A135" s="29" t="n"/>
      <c r="B135" s="394" t="n"/>
      <c r="C135" s="392" t="n"/>
      <c r="D135" s="393" t="n"/>
      <c r="E135" s="391">
        <f>IF(B135="","",IFERROR(VLOOKUP(B135,LD!$B:$J,2,FALSE),""))</f>
        <v/>
      </c>
      <c r="F135" s="392" t="n"/>
      <c r="G135" s="392" t="n"/>
      <c r="H135" s="392" t="n"/>
      <c r="I135" s="392" t="n"/>
      <c r="J135" s="392" t="n"/>
      <c r="K135" s="392" t="n"/>
      <c r="L135" s="392" t="n"/>
      <c r="M135" s="392" t="n"/>
      <c r="N135" s="392" t="n"/>
      <c r="O135" s="393" t="n"/>
      <c r="P135" s="30" t="n"/>
      <c r="Q135" s="30" t="n"/>
      <c r="R135" s="31">
        <f>IFERROR(VLOOKUP($B135,LD!$B:$J,8,FALSE),"")</f>
        <v/>
      </c>
    </row>
    <row r="136" ht="45" customHeight="1">
      <c r="A136" s="29" t="n"/>
      <c r="B136" s="394" t="n"/>
      <c r="C136" s="392" t="n"/>
      <c r="D136" s="393" t="n"/>
      <c r="E136" s="391">
        <f>IF(B136="","",IFERROR(VLOOKUP(B136,LD!$B:$J,2,FALSE),""))</f>
        <v/>
      </c>
      <c r="F136" s="392" t="n"/>
      <c r="G136" s="392" t="n"/>
      <c r="H136" s="392" t="n"/>
      <c r="I136" s="392" t="n"/>
      <c r="J136" s="392" t="n"/>
      <c r="K136" s="392" t="n"/>
      <c r="L136" s="392" t="n"/>
      <c r="M136" s="392" t="n"/>
      <c r="N136" s="392" t="n"/>
      <c r="O136" s="393" t="n"/>
      <c r="P136" s="30" t="n"/>
      <c r="Q136" s="30" t="n"/>
      <c r="R136" s="31">
        <f>IFERROR(VLOOKUP($B136,LD!$B:$J,8,FALSE),"")</f>
        <v/>
      </c>
    </row>
    <row r="137" ht="45" customHeight="1">
      <c r="A137" s="29" t="n"/>
      <c r="B137" s="394" t="n"/>
      <c r="C137" s="392" t="n"/>
      <c r="D137" s="393" t="n"/>
      <c r="E137" s="391">
        <f>IF(B137="","",IFERROR(VLOOKUP(B137,LD!$B:$J,2,FALSE),""))</f>
        <v/>
      </c>
      <c r="F137" s="392" t="n"/>
      <c r="G137" s="392" t="n"/>
      <c r="H137" s="392" t="n"/>
      <c r="I137" s="392" t="n"/>
      <c r="J137" s="392" t="n"/>
      <c r="K137" s="392" t="n"/>
      <c r="L137" s="392" t="n"/>
      <c r="M137" s="392" t="n"/>
      <c r="N137" s="392" t="n"/>
      <c r="O137" s="393" t="n"/>
      <c r="P137" s="30" t="n"/>
      <c r="Q137" s="30" t="n"/>
      <c r="R137" s="31">
        <f>IFERROR(VLOOKUP($B137,LD!$B:$J,8,FALSE),"")</f>
        <v/>
      </c>
    </row>
    <row r="138" ht="45" customHeight="1">
      <c r="A138" s="29" t="n"/>
      <c r="B138" s="394" t="n"/>
      <c r="C138" s="392" t="n"/>
      <c r="D138" s="393" t="n"/>
      <c r="E138" s="391">
        <f>IF(B138="","",IFERROR(VLOOKUP(B138,LD!$B:$J,2,FALSE),""))</f>
        <v/>
      </c>
      <c r="F138" s="392" t="n"/>
      <c r="G138" s="392" t="n"/>
      <c r="H138" s="392" t="n"/>
      <c r="I138" s="392" t="n"/>
      <c r="J138" s="392" t="n"/>
      <c r="K138" s="392" t="n"/>
      <c r="L138" s="392" t="n"/>
      <c r="M138" s="392" t="n"/>
      <c r="N138" s="392" t="n"/>
      <c r="O138" s="393" t="n"/>
      <c r="P138" s="30" t="n"/>
      <c r="Q138" s="30" t="n"/>
      <c r="R138" s="31">
        <f>IFERROR(VLOOKUP($B138,LD!$B:$J,8,FALSE),"")</f>
        <v/>
      </c>
    </row>
    <row r="139" ht="45" customHeight="1">
      <c r="A139" s="29" t="n"/>
      <c r="B139" s="394" t="n"/>
      <c r="C139" s="392" t="n"/>
      <c r="D139" s="393" t="n"/>
      <c r="E139" s="391">
        <f>IF(B139="","",IFERROR(VLOOKUP(B139,LD!$B:$J,2,FALSE),""))</f>
        <v/>
      </c>
      <c r="F139" s="392" t="n"/>
      <c r="G139" s="392" t="n"/>
      <c r="H139" s="392" t="n"/>
      <c r="I139" s="392" t="n"/>
      <c r="J139" s="392" t="n"/>
      <c r="K139" s="392" t="n"/>
      <c r="L139" s="392" t="n"/>
      <c r="M139" s="392" t="n"/>
      <c r="N139" s="392" t="n"/>
      <c r="O139" s="393" t="n"/>
      <c r="P139" s="30" t="n"/>
      <c r="Q139" s="30" t="n"/>
      <c r="R139" s="31">
        <f>IFERROR(VLOOKUP($B139,LD!$B:$J,8,FALSE),"")</f>
        <v/>
      </c>
    </row>
    <row r="140" ht="45" customHeight="1">
      <c r="A140" s="29" t="n"/>
      <c r="B140" s="394" t="n"/>
      <c r="C140" s="392" t="n"/>
      <c r="D140" s="393" t="n"/>
      <c r="E140" s="391">
        <f>IF(B140="","",IFERROR(VLOOKUP(B140,LD!$B:$J,2,FALSE),""))</f>
        <v/>
      </c>
      <c r="F140" s="392" t="n"/>
      <c r="G140" s="392" t="n"/>
      <c r="H140" s="392" t="n"/>
      <c r="I140" s="392" t="n"/>
      <c r="J140" s="392" t="n"/>
      <c r="K140" s="392" t="n"/>
      <c r="L140" s="392" t="n"/>
      <c r="M140" s="392" t="n"/>
      <c r="N140" s="392" t="n"/>
      <c r="O140" s="393" t="n"/>
      <c r="P140" s="30" t="n"/>
      <c r="Q140" s="30" t="n"/>
      <c r="R140" s="31">
        <f>IFERROR(VLOOKUP($B140,LD!$B:$J,8,FALSE),"")</f>
        <v/>
      </c>
    </row>
    <row r="141" ht="45" customHeight="1">
      <c r="A141" s="29" t="n"/>
      <c r="B141" s="394" t="n"/>
      <c r="C141" s="392" t="n"/>
      <c r="D141" s="393" t="n"/>
      <c r="E141" s="391">
        <f>IF(B141="","",IFERROR(VLOOKUP(B141,LD!$B:$J,2,FALSE),""))</f>
        <v/>
      </c>
      <c r="F141" s="392" t="n"/>
      <c r="G141" s="392" t="n"/>
      <c r="H141" s="392" t="n"/>
      <c r="I141" s="392" t="n"/>
      <c r="J141" s="392" t="n"/>
      <c r="K141" s="392" t="n"/>
      <c r="L141" s="392" t="n"/>
      <c r="M141" s="392" t="n"/>
      <c r="N141" s="392" t="n"/>
      <c r="O141" s="393" t="n"/>
      <c r="P141" s="30" t="n"/>
      <c r="Q141" s="30" t="n"/>
      <c r="R141" s="31">
        <f>IFERROR(VLOOKUP($B141,LD!$B:$J,8,FALSE),"")</f>
        <v/>
      </c>
    </row>
    <row r="142" ht="45" customHeight="1">
      <c r="A142" s="29" t="n"/>
      <c r="B142" s="394" t="n"/>
      <c r="C142" s="392" t="n"/>
      <c r="D142" s="393" t="n"/>
      <c r="E142" s="391">
        <f>IF(B142="","",IFERROR(VLOOKUP(B142,LD!$B:$J,2,FALSE),""))</f>
        <v/>
      </c>
      <c r="F142" s="392" t="n"/>
      <c r="G142" s="392" t="n"/>
      <c r="H142" s="392" t="n"/>
      <c r="I142" s="392" t="n"/>
      <c r="J142" s="392" t="n"/>
      <c r="K142" s="392" t="n"/>
      <c r="L142" s="392" t="n"/>
      <c r="M142" s="392" t="n"/>
      <c r="N142" s="392" t="n"/>
      <c r="O142" s="393" t="n"/>
      <c r="P142" s="30" t="n"/>
      <c r="Q142" s="30" t="n"/>
      <c r="R142" s="31">
        <f>IFERROR(VLOOKUP($B142,LD!$B:$J,8,FALSE),"")</f>
        <v/>
      </c>
    </row>
    <row r="143" ht="45" customHeight="1">
      <c r="A143" s="29" t="n"/>
      <c r="B143" s="394" t="n"/>
      <c r="C143" s="392" t="n"/>
      <c r="D143" s="393" t="n"/>
      <c r="E143" s="391">
        <f>IF(B143="","",IFERROR(VLOOKUP(B143,LD!$B:$J,2,FALSE),""))</f>
        <v/>
      </c>
      <c r="F143" s="392" t="n"/>
      <c r="G143" s="392" t="n"/>
      <c r="H143" s="392" t="n"/>
      <c r="I143" s="392" t="n"/>
      <c r="J143" s="392" t="n"/>
      <c r="K143" s="392" t="n"/>
      <c r="L143" s="392" t="n"/>
      <c r="M143" s="392" t="n"/>
      <c r="N143" s="392" t="n"/>
      <c r="O143" s="393" t="n"/>
      <c r="P143" s="30" t="n"/>
      <c r="Q143" s="30" t="n"/>
      <c r="R143" s="31">
        <f>IFERROR(VLOOKUP($B143,LD!$B:$J,8,FALSE),"")</f>
        <v/>
      </c>
    </row>
    <row r="144" ht="45" customHeight="1">
      <c r="A144" s="29" t="n"/>
      <c r="B144" s="394" t="n"/>
      <c r="C144" s="392" t="n"/>
      <c r="D144" s="393" t="n"/>
      <c r="E144" s="391">
        <f>IF(B144="","",IFERROR(VLOOKUP(B144,LD!$B:$J,2,FALSE),""))</f>
        <v/>
      </c>
      <c r="F144" s="392" t="n"/>
      <c r="G144" s="392" t="n"/>
      <c r="H144" s="392" t="n"/>
      <c r="I144" s="392" t="n"/>
      <c r="J144" s="392" t="n"/>
      <c r="K144" s="392" t="n"/>
      <c r="L144" s="392" t="n"/>
      <c r="M144" s="392" t="n"/>
      <c r="N144" s="392" t="n"/>
      <c r="O144" s="393" t="n"/>
      <c r="P144" s="30" t="n"/>
      <c r="Q144" s="30" t="n"/>
      <c r="R144" s="31">
        <f>IFERROR(VLOOKUP($B144,LD!$B:$J,8,FALSE),"")</f>
        <v/>
      </c>
    </row>
    <row r="145" ht="45" customHeight="1">
      <c r="A145" s="29" t="n"/>
      <c r="B145" s="394" t="n"/>
      <c r="C145" s="392" t="n"/>
      <c r="D145" s="393" t="n"/>
      <c r="E145" s="391">
        <f>IF(B145="","",IFERROR(VLOOKUP(B145,LD!$B:$J,2,FALSE),""))</f>
        <v/>
      </c>
      <c r="F145" s="392" t="n"/>
      <c r="G145" s="392" t="n"/>
      <c r="H145" s="392" t="n"/>
      <c r="I145" s="392" t="n"/>
      <c r="J145" s="392" t="n"/>
      <c r="K145" s="392" t="n"/>
      <c r="L145" s="392" t="n"/>
      <c r="M145" s="392" t="n"/>
      <c r="N145" s="392" t="n"/>
      <c r="O145" s="393" t="n"/>
      <c r="P145" s="30" t="n"/>
      <c r="Q145" s="30" t="n"/>
      <c r="R145" s="31">
        <f>IFERROR(VLOOKUP($B145,LD!$B:$J,8,FALSE),"")</f>
        <v/>
      </c>
    </row>
    <row r="146" ht="45" customHeight="1">
      <c r="A146" s="29" t="n"/>
      <c r="B146" s="394" t="n"/>
      <c r="C146" s="392" t="n"/>
      <c r="D146" s="393" t="n"/>
      <c r="E146" s="391">
        <f>IF(B146="","",IFERROR(VLOOKUP(B146,LD!$B:$J,2,FALSE),""))</f>
        <v/>
      </c>
      <c r="F146" s="392" t="n"/>
      <c r="G146" s="392" t="n"/>
      <c r="H146" s="392" t="n"/>
      <c r="I146" s="392" t="n"/>
      <c r="J146" s="392" t="n"/>
      <c r="K146" s="392" t="n"/>
      <c r="L146" s="392" t="n"/>
      <c r="M146" s="392" t="n"/>
      <c r="N146" s="392" t="n"/>
      <c r="O146" s="393" t="n"/>
      <c r="P146" s="30" t="n"/>
      <c r="Q146" s="30" t="n"/>
      <c r="R146" s="31">
        <f>IFERROR(VLOOKUP($B146,LD!$B:$J,8,FALSE),"")</f>
        <v/>
      </c>
    </row>
    <row r="147" ht="45" customHeight="1">
      <c r="A147" s="29" t="n"/>
      <c r="B147" s="394" t="n"/>
      <c r="C147" s="392" t="n"/>
      <c r="D147" s="393" t="n"/>
      <c r="E147" s="391">
        <f>IF(B147="","",IFERROR(VLOOKUP(B147,LD!$B:$J,2,FALSE),""))</f>
        <v/>
      </c>
      <c r="F147" s="392" t="n"/>
      <c r="G147" s="392" t="n"/>
      <c r="H147" s="392" t="n"/>
      <c r="I147" s="392" t="n"/>
      <c r="J147" s="392" t="n"/>
      <c r="K147" s="392" t="n"/>
      <c r="L147" s="392" t="n"/>
      <c r="M147" s="392" t="n"/>
      <c r="N147" s="392" t="n"/>
      <c r="O147" s="393" t="n"/>
      <c r="P147" s="30" t="n"/>
      <c r="Q147" s="30" t="n"/>
      <c r="R147" s="31">
        <f>IFERROR(VLOOKUP($B147,LD!$B:$J,8,FALSE),"")</f>
        <v/>
      </c>
    </row>
    <row r="148" ht="45" customHeight="1">
      <c r="A148" s="29" t="n"/>
      <c r="B148" s="394" t="n"/>
      <c r="C148" s="392" t="n"/>
      <c r="D148" s="393" t="n"/>
      <c r="E148" s="391">
        <f>IF(B148="","",IFERROR(VLOOKUP(B148,LD!$B:$J,2,FALSE),""))</f>
        <v/>
      </c>
      <c r="F148" s="392" t="n"/>
      <c r="G148" s="392" t="n"/>
      <c r="H148" s="392" t="n"/>
      <c r="I148" s="392" t="n"/>
      <c r="J148" s="392" t="n"/>
      <c r="K148" s="392" t="n"/>
      <c r="L148" s="392" t="n"/>
      <c r="M148" s="392" t="n"/>
      <c r="N148" s="392" t="n"/>
      <c r="O148" s="393" t="n"/>
      <c r="P148" s="30" t="n"/>
      <c r="Q148" s="30" t="n"/>
      <c r="R148" s="31">
        <f>IFERROR(VLOOKUP($B148,LD!$B:$J,8,FALSE),"")</f>
        <v/>
      </c>
    </row>
    <row r="149" ht="45" customHeight="1">
      <c r="A149" s="29" t="n"/>
      <c r="B149" s="394" t="n"/>
      <c r="C149" s="392" t="n"/>
      <c r="D149" s="393" t="n"/>
      <c r="E149" s="391">
        <f>IF(B149="","",IFERROR(VLOOKUP(B149,LD!$B:$J,2,FALSE),""))</f>
        <v/>
      </c>
      <c r="F149" s="392" t="n"/>
      <c r="G149" s="392" t="n"/>
      <c r="H149" s="392" t="n"/>
      <c r="I149" s="392" t="n"/>
      <c r="J149" s="392" t="n"/>
      <c r="K149" s="392" t="n"/>
      <c r="L149" s="392" t="n"/>
      <c r="M149" s="392" t="n"/>
      <c r="N149" s="392" t="n"/>
      <c r="O149" s="393" t="n"/>
      <c r="P149" s="30" t="n"/>
      <c r="Q149" s="30" t="n"/>
      <c r="R149" s="31">
        <f>IFERROR(VLOOKUP($B149,LD!$B:$J,8,FALSE),"")</f>
        <v/>
      </c>
    </row>
    <row r="150" ht="45" customHeight="1">
      <c r="A150" s="29" t="n"/>
      <c r="B150" s="394" t="n"/>
      <c r="C150" s="392" t="n"/>
      <c r="D150" s="393" t="n"/>
      <c r="E150" s="391">
        <f>IF(B150="","",IFERROR(VLOOKUP(B150,LD!$B:$J,2,FALSE),""))</f>
        <v/>
      </c>
      <c r="F150" s="392" t="n"/>
      <c r="G150" s="392" t="n"/>
      <c r="H150" s="392" t="n"/>
      <c r="I150" s="392" t="n"/>
      <c r="J150" s="392" t="n"/>
      <c r="K150" s="392" t="n"/>
      <c r="L150" s="392" t="n"/>
      <c r="M150" s="392" t="n"/>
      <c r="N150" s="392" t="n"/>
      <c r="O150" s="393" t="n"/>
      <c r="P150" s="30" t="n"/>
      <c r="Q150" s="30" t="n"/>
      <c r="R150" s="31">
        <f>IFERROR(VLOOKUP($B150,LD!$B:$J,8,FALSE),"")</f>
        <v/>
      </c>
    </row>
    <row r="151" ht="45" customHeight="1">
      <c r="A151" s="29" t="n"/>
      <c r="B151" s="394" t="n"/>
      <c r="C151" s="392" t="n"/>
      <c r="D151" s="393" t="n"/>
      <c r="E151" s="391">
        <f>IF(B151="","",IFERROR(VLOOKUP(B151,LD!$B:$J,2,FALSE),""))</f>
        <v/>
      </c>
      <c r="F151" s="392" t="n"/>
      <c r="G151" s="392" t="n"/>
      <c r="H151" s="392" t="n"/>
      <c r="I151" s="392" t="n"/>
      <c r="J151" s="392" t="n"/>
      <c r="K151" s="392" t="n"/>
      <c r="L151" s="392" t="n"/>
      <c r="M151" s="392" t="n"/>
      <c r="N151" s="392" t="n"/>
      <c r="O151" s="393" t="n"/>
      <c r="P151" s="30" t="n"/>
      <c r="Q151" s="30" t="n"/>
      <c r="R151" s="31">
        <f>IFERROR(VLOOKUP($B151,LD!$B:$J,8,FALSE),"")</f>
        <v/>
      </c>
    </row>
    <row r="152" ht="45" customHeight="1">
      <c r="A152" s="29" t="n"/>
      <c r="B152" s="394" t="n"/>
      <c r="C152" s="392" t="n"/>
      <c r="D152" s="393" t="n"/>
      <c r="E152" s="391">
        <f>IF(B152="","",IFERROR(VLOOKUP(B152,LD!$B:$J,2,FALSE),""))</f>
        <v/>
      </c>
      <c r="F152" s="392" t="n"/>
      <c r="G152" s="392" t="n"/>
      <c r="H152" s="392" t="n"/>
      <c r="I152" s="392" t="n"/>
      <c r="J152" s="392" t="n"/>
      <c r="K152" s="392" t="n"/>
      <c r="L152" s="392" t="n"/>
      <c r="M152" s="392" t="n"/>
      <c r="N152" s="392" t="n"/>
      <c r="O152" s="393" t="n"/>
      <c r="P152" s="30" t="n"/>
      <c r="Q152" s="30" t="n"/>
      <c r="R152" s="31">
        <f>IFERROR(VLOOKUP($B152,LD!$B:$J,8,FALSE),"")</f>
        <v/>
      </c>
    </row>
    <row r="153" ht="45" customHeight="1">
      <c r="A153" s="29" t="n"/>
      <c r="B153" s="394" t="n"/>
      <c r="C153" s="392" t="n"/>
      <c r="D153" s="393" t="n"/>
      <c r="E153" s="391">
        <f>IF(B153="","",IFERROR(VLOOKUP(B153,LD!$B:$J,2,FALSE),""))</f>
        <v/>
      </c>
      <c r="F153" s="392" t="n"/>
      <c r="G153" s="392" t="n"/>
      <c r="H153" s="392" t="n"/>
      <c r="I153" s="392" t="n"/>
      <c r="J153" s="392" t="n"/>
      <c r="K153" s="392" t="n"/>
      <c r="L153" s="392" t="n"/>
      <c r="M153" s="392" t="n"/>
      <c r="N153" s="392" t="n"/>
      <c r="O153" s="393" t="n"/>
      <c r="P153" s="30" t="n"/>
      <c r="Q153" s="30" t="n"/>
      <c r="R153" s="31">
        <f>IFERROR(VLOOKUP($B153,LD!$B:$J,8,FALSE),"")</f>
        <v/>
      </c>
    </row>
    <row r="154" ht="45" customHeight="1">
      <c r="A154" s="29" t="n"/>
      <c r="B154" s="394" t="n"/>
      <c r="C154" s="392" t="n"/>
      <c r="D154" s="393" t="n"/>
      <c r="E154" s="391">
        <f>IF(B154="","",IFERROR(VLOOKUP(B154,LD!$B:$J,2,FALSE),""))</f>
        <v/>
      </c>
      <c r="F154" s="392" t="n"/>
      <c r="G154" s="392" t="n"/>
      <c r="H154" s="392" t="n"/>
      <c r="I154" s="392" t="n"/>
      <c r="J154" s="392" t="n"/>
      <c r="K154" s="392" t="n"/>
      <c r="L154" s="392" t="n"/>
      <c r="M154" s="392" t="n"/>
      <c r="N154" s="392" t="n"/>
      <c r="O154" s="393" t="n"/>
      <c r="P154" s="30" t="n"/>
      <c r="Q154" s="30" t="n"/>
      <c r="R154" s="31">
        <f>IFERROR(VLOOKUP($B154,LD!$B:$J,8,FALSE),"")</f>
        <v/>
      </c>
    </row>
    <row r="155" ht="45" customHeight="1">
      <c r="A155" s="29" t="n"/>
      <c r="B155" s="394" t="n"/>
      <c r="C155" s="392" t="n"/>
      <c r="D155" s="393" t="n"/>
      <c r="E155" s="391">
        <f>IF(B155="","",IFERROR(VLOOKUP(B155,LD!$B:$J,2,FALSE),""))</f>
        <v/>
      </c>
      <c r="F155" s="392" t="n"/>
      <c r="G155" s="392" t="n"/>
      <c r="H155" s="392" t="n"/>
      <c r="I155" s="392" t="n"/>
      <c r="J155" s="392" t="n"/>
      <c r="K155" s="392" t="n"/>
      <c r="L155" s="392" t="n"/>
      <c r="M155" s="392" t="n"/>
      <c r="N155" s="392" t="n"/>
      <c r="O155" s="393" t="n"/>
      <c r="P155" s="30" t="n"/>
      <c r="Q155" s="30" t="n"/>
      <c r="R155" s="31">
        <f>IFERROR(VLOOKUP($B155,LD!$B:$J,8,FALSE),"")</f>
        <v/>
      </c>
    </row>
    <row r="156" ht="45" customHeight="1">
      <c r="A156" s="29" t="n"/>
      <c r="B156" s="394" t="n"/>
      <c r="C156" s="392" t="n"/>
      <c r="D156" s="393" t="n"/>
      <c r="E156" s="391">
        <f>IF(B156="","",IFERROR(VLOOKUP(B156,LD!$B:$J,2,FALSE),""))</f>
        <v/>
      </c>
      <c r="F156" s="392" t="n"/>
      <c r="G156" s="392" t="n"/>
      <c r="H156" s="392" t="n"/>
      <c r="I156" s="392" t="n"/>
      <c r="J156" s="392" t="n"/>
      <c r="K156" s="392" t="n"/>
      <c r="L156" s="392" t="n"/>
      <c r="M156" s="392" t="n"/>
      <c r="N156" s="392" t="n"/>
      <c r="O156" s="393" t="n"/>
      <c r="P156" s="30" t="n"/>
      <c r="Q156" s="30" t="n"/>
      <c r="R156" s="31">
        <f>IFERROR(VLOOKUP($B156,LD!$B:$J,8,FALSE),"")</f>
        <v/>
      </c>
    </row>
    <row r="157" ht="45" customHeight="1">
      <c r="A157" s="29" t="n"/>
      <c r="B157" s="394" t="n"/>
      <c r="C157" s="392" t="n"/>
      <c r="D157" s="393" t="n"/>
      <c r="E157" s="391">
        <f>IF(B157="","",IFERROR(VLOOKUP(B157,LD!$B:$J,2,FALSE),""))</f>
        <v/>
      </c>
      <c r="F157" s="392" t="n"/>
      <c r="G157" s="392" t="n"/>
      <c r="H157" s="392" t="n"/>
      <c r="I157" s="392" t="n"/>
      <c r="J157" s="392" t="n"/>
      <c r="K157" s="392" t="n"/>
      <c r="L157" s="392" t="n"/>
      <c r="M157" s="392" t="n"/>
      <c r="N157" s="392" t="n"/>
      <c r="O157" s="393" t="n"/>
      <c r="P157" s="30" t="n"/>
      <c r="Q157" s="30" t="n"/>
      <c r="R157" s="31">
        <f>IFERROR(VLOOKUP($B157,LD!$B:$J,8,FALSE),"")</f>
        <v/>
      </c>
    </row>
    <row r="158" ht="45" customHeight="1">
      <c r="A158" s="29" t="n"/>
      <c r="B158" s="394" t="n"/>
      <c r="C158" s="392" t="n"/>
      <c r="D158" s="393" t="n"/>
      <c r="E158" s="391">
        <f>IF(B158="","",IFERROR(VLOOKUP(B158,LD!$B:$J,2,FALSE),""))</f>
        <v/>
      </c>
      <c r="F158" s="392" t="n"/>
      <c r="G158" s="392" t="n"/>
      <c r="H158" s="392" t="n"/>
      <c r="I158" s="392" t="n"/>
      <c r="J158" s="392" t="n"/>
      <c r="K158" s="392" t="n"/>
      <c r="L158" s="392" t="n"/>
      <c r="M158" s="392" t="n"/>
      <c r="N158" s="392" t="n"/>
      <c r="O158" s="393" t="n"/>
      <c r="P158" s="30" t="n"/>
      <c r="Q158" s="30" t="n"/>
      <c r="R158" s="31">
        <f>IFERROR(VLOOKUP($B158,LD!$B:$J,8,FALSE),"")</f>
        <v/>
      </c>
    </row>
    <row r="159" ht="45" customHeight="1">
      <c r="A159" s="29" t="n"/>
      <c r="B159" s="394" t="n"/>
      <c r="C159" s="392" t="n"/>
      <c r="D159" s="393" t="n"/>
      <c r="E159" s="391">
        <f>IF(B159="","",IFERROR(VLOOKUP(B159,LD!$B:$J,2,FALSE),""))</f>
        <v/>
      </c>
      <c r="F159" s="392" t="n"/>
      <c r="G159" s="392" t="n"/>
      <c r="H159" s="392" t="n"/>
      <c r="I159" s="392" t="n"/>
      <c r="J159" s="392" t="n"/>
      <c r="K159" s="392" t="n"/>
      <c r="L159" s="392" t="n"/>
      <c r="M159" s="392" t="n"/>
      <c r="N159" s="392" t="n"/>
      <c r="O159" s="393" t="n"/>
      <c r="P159" s="30" t="n"/>
      <c r="Q159" s="30" t="n"/>
      <c r="R159" s="31">
        <f>IFERROR(VLOOKUP($B159,LD!$B:$J,8,FALSE),"")</f>
        <v/>
      </c>
    </row>
    <row r="160" ht="45" customHeight="1">
      <c r="A160" s="29" t="n"/>
      <c r="B160" s="394" t="n"/>
      <c r="C160" s="392" t="n"/>
      <c r="D160" s="393" t="n"/>
      <c r="E160" s="391">
        <f>IF(B160="","",IFERROR(VLOOKUP(B160,LD!$B:$J,2,FALSE),""))</f>
        <v/>
      </c>
      <c r="F160" s="392" t="n"/>
      <c r="G160" s="392" t="n"/>
      <c r="H160" s="392" t="n"/>
      <c r="I160" s="392" t="n"/>
      <c r="J160" s="392" t="n"/>
      <c r="K160" s="392" t="n"/>
      <c r="L160" s="392" t="n"/>
      <c r="M160" s="392" t="n"/>
      <c r="N160" s="392" t="n"/>
      <c r="O160" s="393" t="n"/>
      <c r="P160" s="30" t="n"/>
      <c r="Q160" s="30" t="n"/>
      <c r="R160" s="31">
        <f>IFERROR(VLOOKUP($B160,LD!$B:$J,8,FALSE),"")</f>
        <v/>
      </c>
    </row>
    <row r="161" ht="45" customHeight="1">
      <c r="A161" s="29" t="n"/>
      <c r="B161" s="394" t="n"/>
      <c r="C161" s="392" t="n"/>
      <c r="D161" s="393" t="n"/>
      <c r="E161" s="391">
        <f>IF(B161="","",IFERROR(VLOOKUP(B161,LD!$B:$J,2,FALSE),""))</f>
        <v/>
      </c>
      <c r="F161" s="392" t="n"/>
      <c r="G161" s="392" t="n"/>
      <c r="H161" s="392" t="n"/>
      <c r="I161" s="392" t="n"/>
      <c r="J161" s="392" t="n"/>
      <c r="K161" s="392" t="n"/>
      <c r="L161" s="392" t="n"/>
      <c r="M161" s="392" t="n"/>
      <c r="N161" s="392" t="n"/>
      <c r="O161" s="393" t="n"/>
      <c r="P161" s="30" t="n"/>
      <c r="Q161" s="30" t="n"/>
      <c r="R161" s="31">
        <f>IFERROR(VLOOKUP($B161,LD!$B:$J,8,FALSE),"")</f>
        <v/>
      </c>
    </row>
    <row r="162" ht="45" customHeight="1">
      <c r="A162" s="29" t="n"/>
      <c r="B162" s="394" t="n"/>
      <c r="C162" s="392" t="n"/>
      <c r="D162" s="393" t="n"/>
      <c r="E162" s="391">
        <f>IF(B162="","",IFERROR(VLOOKUP(B162,LD!$B:$J,2,FALSE),""))</f>
        <v/>
      </c>
      <c r="F162" s="392" t="n"/>
      <c r="G162" s="392" t="n"/>
      <c r="H162" s="392" t="n"/>
      <c r="I162" s="392" t="n"/>
      <c r="J162" s="392" t="n"/>
      <c r="K162" s="392" t="n"/>
      <c r="L162" s="392" t="n"/>
      <c r="M162" s="392" t="n"/>
      <c r="N162" s="392" t="n"/>
      <c r="O162" s="393" t="n"/>
      <c r="P162" s="30" t="n"/>
      <c r="Q162" s="30" t="n"/>
      <c r="R162" s="31">
        <f>IFERROR(VLOOKUP($B162,LD!$B:$J,8,FALSE),"")</f>
        <v/>
      </c>
    </row>
    <row r="163" ht="45" customHeight="1">
      <c r="A163" s="29" t="n"/>
      <c r="B163" s="394" t="n"/>
      <c r="C163" s="392" t="n"/>
      <c r="D163" s="393" t="n"/>
      <c r="E163" s="391">
        <f>IF(B163="","",IFERROR(VLOOKUP(B163,LD!$B:$J,2,FALSE),""))</f>
        <v/>
      </c>
      <c r="F163" s="392" t="n"/>
      <c r="G163" s="392" t="n"/>
      <c r="H163" s="392" t="n"/>
      <c r="I163" s="392" t="n"/>
      <c r="J163" s="392" t="n"/>
      <c r="K163" s="392" t="n"/>
      <c r="L163" s="392" t="n"/>
      <c r="M163" s="392" t="n"/>
      <c r="N163" s="392" t="n"/>
      <c r="O163" s="393" t="n"/>
      <c r="P163" s="30" t="n"/>
      <c r="Q163" s="30" t="n"/>
      <c r="R163" s="31">
        <f>IFERROR(VLOOKUP($B163,LD!$B:$J,8,FALSE),"")</f>
        <v/>
      </c>
    </row>
    <row r="164" ht="45" customHeight="1">
      <c r="A164" s="29" t="n"/>
      <c r="B164" s="394" t="n"/>
      <c r="C164" s="392" t="n"/>
      <c r="D164" s="393" t="n"/>
      <c r="E164" s="391">
        <f>IF(B164="","",IFERROR(VLOOKUP(B164,LD!$B:$J,2,FALSE),""))</f>
        <v/>
      </c>
      <c r="F164" s="392" t="n"/>
      <c r="G164" s="392" t="n"/>
      <c r="H164" s="392" t="n"/>
      <c r="I164" s="392" t="n"/>
      <c r="J164" s="392" t="n"/>
      <c r="K164" s="392" t="n"/>
      <c r="L164" s="392" t="n"/>
      <c r="M164" s="392" t="n"/>
      <c r="N164" s="392" t="n"/>
      <c r="O164" s="393" t="n"/>
      <c r="P164" s="30" t="n"/>
      <c r="Q164" s="30" t="n"/>
      <c r="R164" s="31">
        <f>IFERROR(VLOOKUP($B164,LD!$B:$J,8,FALSE),"")</f>
        <v/>
      </c>
    </row>
    <row r="165" ht="45" customHeight="1">
      <c r="A165" s="29" t="n"/>
      <c r="B165" s="394" t="n"/>
      <c r="C165" s="392" t="n"/>
      <c r="D165" s="393" t="n"/>
      <c r="E165" s="391">
        <f>IF(B165="","",IFERROR(VLOOKUP(B165,LD!$B:$J,2,FALSE),""))</f>
        <v/>
      </c>
      <c r="F165" s="392" t="n"/>
      <c r="G165" s="392" t="n"/>
      <c r="H165" s="392" t="n"/>
      <c r="I165" s="392" t="n"/>
      <c r="J165" s="392" t="n"/>
      <c r="K165" s="392" t="n"/>
      <c r="L165" s="392" t="n"/>
      <c r="M165" s="392" t="n"/>
      <c r="N165" s="392" t="n"/>
      <c r="O165" s="393" t="n"/>
      <c r="P165" s="30" t="n"/>
      <c r="Q165" s="30" t="n"/>
      <c r="R165" s="31">
        <f>IFERROR(VLOOKUP($B165,LD!$B:$J,8,FALSE),"")</f>
        <v/>
      </c>
    </row>
    <row r="166" ht="45" customHeight="1">
      <c r="A166" s="29" t="n"/>
      <c r="B166" s="394" t="n"/>
      <c r="C166" s="392" t="n"/>
      <c r="D166" s="393" t="n"/>
      <c r="E166" s="391">
        <f>IF(B166="","",IFERROR(VLOOKUP(B166,LD!$B:$J,2,FALSE),""))</f>
        <v/>
      </c>
      <c r="F166" s="392" t="n"/>
      <c r="G166" s="392" t="n"/>
      <c r="H166" s="392" t="n"/>
      <c r="I166" s="392" t="n"/>
      <c r="J166" s="392" t="n"/>
      <c r="K166" s="392" t="n"/>
      <c r="L166" s="392" t="n"/>
      <c r="M166" s="392" t="n"/>
      <c r="N166" s="392" t="n"/>
      <c r="O166" s="393" t="n"/>
      <c r="P166" s="30" t="n"/>
      <c r="Q166" s="30" t="n"/>
      <c r="R166" s="31">
        <f>IFERROR(VLOOKUP($B166,LD!$B:$J,8,FALSE),"")</f>
        <v/>
      </c>
    </row>
    <row r="167" ht="45" customHeight="1">
      <c r="A167" s="29" t="n"/>
      <c r="B167" s="394" t="n"/>
      <c r="C167" s="392" t="n"/>
      <c r="D167" s="393" t="n"/>
      <c r="E167" s="391">
        <f>IF(B167="","",IFERROR(VLOOKUP(B167,LD!$B:$J,2,FALSE),""))</f>
        <v/>
      </c>
      <c r="F167" s="392" t="n"/>
      <c r="G167" s="392" t="n"/>
      <c r="H167" s="392" t="n"/>
      <c r="I167" s="392" t="n"/>
      <c r="J167" s="392" t="n"/>
      <c r="K167" s="392" t="n"/>
      <c r="L167" s="392" t="n"/>
      <c r="M167" s="392" t="n"/>
      <c r="N167" s="392" t="n"/>
      <c r="O167" s="393" t="n"/>
      <c r="P167" s="30" t="n"/>
      <c r="Q167" s="30" t="n"/>
      <c r="R167" s="31">
        <f>IFERROR(VLOOKUP($B167,LD!$B:$J,8,FALSE),"")</f>
        <v/>
      </c>
    </row>
    <row r="168" ht="45" customHeight="1">
      <c r="A168" s="29" t="n"/>
      <c r="B168" s="394" t="n"/>
      <c r="C168" s="392" t="n"/>
      <c r="D168" s="393" t="n"/>
      <c r="E168" s="391">
        <f>IF(B168="","",IFERROR(VLOOKUP(B168,LD!$B:$J,2,FALSE),""))</f>
        <v/>
      </c>
      <c r="F168" s="392" t="n"/>
      <c r="G168" s="392" t="n"/>
      <c r="H168" s="392" t="n"/>
      <c r="I168" s="392" t="n"/>
      <c r="J168" s="392" t="n"/>
      <c r="K168" s="392" t="n"/>
      <c r="L168" s="392" t="n"/>
      <c r="M168" s="392" t="n"/>
      <c r="N168" s="392" t="n"/>
      <c r="O168" s="393" t="n"/>
      <c r="P168" s="30" t="n"/>
      <c r="Q168" s="30" t="n"/>
      <c r="R168" s="31">
        <f>IFERROR(VLOOKUP($B168,LD!$B:$J,8,FALSE),"")</f>
        <v/>
      </c>
    </row>
    <row r="169" ht="45" customHeight="1">
      <c r="A169" s="29" t="n"/>
      <c r="B169" s="394" t="n"/>
      <c r="C169" s="392" t="n"/>
      <c r="D169" s="393" t="n"/>
      <c r="E169" s="391">
        <f>IF(B169="","",IFERROR(VLOOKUP(B169,LD!$B:$J,2,FALSE),""))</f>
        <v/>
      </c>
      <c r="F169" s="392" t="n"/>
      <c r="G169" s="392" t="n"/>
      <c r="H169" s="392" t="n"/>
      <c r="I169" s="392" t="n"/>
      <c r="J169" s="392" t="n"/>
      <c r="K169" s="392" t="n"/>
      <c r="L169" s="392" t="n"/>
      <c r="M169" s="392" t="n"/>
      <c r="N169" s="392" t="n"/>
      <c r="O169" s="393" t="n"/>
      <c r="P169" s="30" t="n"/>
      <c r="Q169" s="30" t="n"/>
      <c r="R169" s="31">
        <f>IFERROR(VLOOKUP($B169,LD!$B:$J,8,FALSE),"")</f>
        <v/>
      </c>
    </row>
    <row r="170" ht="45" customHeight="1">
      <c r="A170" s="29" t="n"/>
      <c r="B170" s="394" t="n"/>
      <c r="C170" s="392" t="n"/>
      <c r="D170" s="393" t="n"/>
      <c r="E170" s="391">
        <f>IF(B170="","",IFERROR(VLOOKUP(B170,LD!$B:$J,2,FALSE),""))</f>
        <v/>
      </c>
      <c r="F170" s="392" t="n"/>
      <c r="G170" s="392" t="n"/>
      <c r="H170" s="392" t="n"/>
      <c r="I170" s="392" t="n"/>
      <c r="J170" s="392" t="n"/>
      <c r="K170" s="392" t="n"/>
      <c r="L170" s="392" t="n"/>
      <c r="M170" s="392" t="n"/>
      <c r="N170" s="392" t="n"/>
      <c r="O170" s="393" t="n"/>
      <c r="P170" s="30" t="n"/>
      <c r="Q170" s="30" t="n"/>
      <c r="R170" s="31">
        <f>IFERROR(VLOOKUP($B170,LD!$B:$J,8,FALSE),"")</f>
        <v/>
      </c>
    </row>
    <row r="171" ht="45" customHeight="1">
      <c r="A171" s="29" t="n"/>
      <c r="B171" s="394" t="n"/>
      <c r="C171" s="392" t="n"/>
      <c r="D171" s="393" t="n"/>
      <c r="E171" s="391">
        <f>IF(B171="","",IFERROR(VLOOKUP(B171,LD!$B:$J,2,FALSE),""))</f>
        <v/>
      </c>
      <c r="F171" s="392" t="n"/>
      <c r="G171" s="392" t="n"/>
      <c r="H171" s="392" t="n"/>
      <c r="I171" s="392" t="n"/>
      <c r="J171" s="392" t="n"/>
      <c r="K171" s="392" t="n"/>
      <c r="L171" s="392" t="n"/>
      <c r="M171" s="392" t="n"/>
      <c r="N171" s="392" t="n"/>
      <c r="O171" s="393" t="n"/>
      <c r="P171" s="30" t="n"/>
      <c r="Q171" s="30" t="n"/>
      <c r="R171" s="31">
        <f>IFERROR(VLOOKUP($B171,LD!$B:$J,8,FALSE),"")</f>
        <v/>
      </c>
    </row>
    <row r="172" ht="45" customHeight="1">
      <c r="A172" s="29" t="n"/>
      <c r="B172" s="394" t="n"/>
      <c r="C172" s="392" t="n"/>
      <c r="D172" s="393" t="n"/>
      <c r="E172" s="391">
        <f>IF(B172="","",IFERROR(VLOOKUP(B172,LD!$B:$J,2,FALSE),""))</f>
        <v/>
      </c>
      <c r="F172" s="392" t="n"/>
      <c r="G172" s="392" t="n"/>
      <c r="H172" s="392" t="n"/>
      <c r="I172" s="392" t="n"/>
      <c r="J172" s="392" t="n"/>
      <c r="K172" s="392" t="n"/>
      <c r="L172" s="392" t="n"/>
      <c r="M172" s="392" t="n"/>
      <c r="N172" s="392" t="n"/>
      <c r="O172" s="393" t="n"/>
      <c r="P172" s="30" t="n"/>
      <c r="Q172" s="30" t="n"/>
      <c r="R172" s="31">
        <f>IFERROR(VLOOKUP($B172,LD!$B:$J,8,FALSE),"")</f>
        <v/>
      </c>
    </row>
    <row r="173" ht="45" customHeight="1">
      <c r="A173" s="29" t="n"/>
      <c r="B173" s="394" t="n"/>
      <c r="C173" s="392" t="n"/>
      <c r="D173" s="393" t="n"/>
      <c r="E173" s="391">
        <f>IF(B173="","",IFERROR(VLOOKUP(B173,LD!$B:$J,2,FALSE),""))</f>
        <v/>
      </c>
      <c r="F173" s="392" t="n"/>
      <c r="G173" s="392" t="n"/>
      <c r="H173" s="392" t="n"/>
      <c r="I173" s="392" t="n"/>
      <c r="J173" s="392" t="n"/>
      <c r="K173" s="392" t="n"/>
      <c r="L173" s="392" t="n"/>
      <c r="M173" s="392" t="n"/>
      <c r="N173" s="392" t="n"/>
      <c r="O173" s="393" t="n"/>
      <c r="P173" s="30" t="n"/>
      <c r="Q173" s="30" t="n"/>
      <c r="R173" s="31">
        <f>IFERROR(VLOOKUP($B173,LD!$B:$J,8,FALSE),"")</f>
        <v/>
      </c>
    </row>
    <row r="174" ht="45" customHeight="1">
      <c r="A174" s="29" t="n"/>
      <c r="B174" s="394" t="n"/>
      <c r="C174" s="392" t="n"/>
      <c r="D174" s="393" t="n"/>
      <c r="E174" s="391">
        <f>IF(B174="","",IFERROR(VLOOKUP(B174,LD!$B:$J,2,FALSE),""))</f>
        <v/>
      </c>
      <c r="F174" s="392" t="n"/>
      <c r="G174" s="392" t="n"/>
      <c r="H174" s="392" t="n"/>
      <c r="I174" s="392" t="n"/>
      <c r="J174" s="392" t="n"/>
      <c r="K174" s="392" t="n"/>
      <c r="L174" s="392" t="n"/>
      <c r="M174" s="392" t="n"/>
      <c r="N174" s="392" t="n"/>
      <c r="O174" s="393" t="n"/>
      <c r="P174" s="30" t="n"/>
      <c r="Q174" s="30" t="n"/>
      <c r="R174" s="31">
        <f>IFERROR(VLOOKUP($B174,LD!$B:$J,8,FALSE),"")</f>
        <v/>
      </c>
    </row>
    <row r="175" ht="45" customHeight="1">
      <c r="A175" s="29" t="n"/>
      <c r="B175" s="394" t="n"/>
      <c r="C175" s="392" t="n"/>
      <c r="D175" s="393" t="n"/>
      <c r="E175" s="391">
        <f>IF(B175="","",IFERROR(VLOOKUP(B175,LD!$B:$J,2,FALSE),""))</f>
        <v/>
      </c>
      <c r="F175" s="392" t="n"/>
      <c r="G175" s="392" t="n"/>
      <c r="H175" s="392" t="n"/>
      <c r="I175" s="392" t="n"/>
      <c r="J175" s="392" t="n"/>
      <c r="K175" s="392" t="n"/>
      <c r="L175" s="392" t="n"/>
      <c r="M175" s="392" t="n"/>
      <c r="N175" s="392" t="n"/>
      <c r="O175" s="393" t="n"/>
      <c r="P175" s="30" t="n"/>
      <c r="Q175" s="30" t="n"/>
      <c r="R175" s="31">
        <f>IFERROR(VLOOKUP($B175,LD!$B:$J,8,FALSE),"")</f>
        <v/>
      </c>
    </row>
    <row r="176" ht="45" customHeight="1">
      <c r="A176" s="29" t="n"/>
      <c r="B176" s="394" t="n"/>
      <c r="C176" s="392" t="n"/>
      <c r="D176" s="393" t="n"/>
      <c r="E176" s="391">
        <f>IF(B176="","",IFERROR(VLOOKUP(B176,LD!$B:$J,2,FALSE),""))</f>
        <v/>
      </c>
      <c r="F176" s="392" t="n"/>
      <c r="G176" s="392" t="n"/>
      <c r="H176" s="392" t="n"/>
      <c r="I176" s="392" t="n"/>
      <c r="J176" s="392" t="n"/>
      <c r="K176" s="392" t="n"/>
      <c r="L176" s="392" t="n"/>
      <c r="M176" s="392" t="n"/>
      <c r="N176" s="392" t="n"/>
      <c r="O176" s="393" t="n"/>
      <c r="P176" s="30" t="n"/>
      <c r="Q176" s="30" t="n"/>
      <c r="R176" s="31">
        <f>IFERROR(VLOOKUP($B176,LD!$B:$J,8,FALSE),"")</f>
        <v/>
      </c>
    </row>
    <row r="177" ht="45" customHeight="1">
      <c r="A177" s="29" t="n"/>
      <c r="B177" s="394" t="n"/>
      <c r="C177" s="392" t="n"/>
      <c r="D177" s="393" t="n"/>
      <c r="E177" s="391">
        <f>IF(B177="","",IFERROR(VLOOKUP(B177,LD!$B:$J,2,FALSE),""))</f>
        <v/>
      </c>
      <c r="F177" s="392" t="n"/>
      <c r="G177" s="392" t="n"/>
      <c r="H177" s="392" t="n"/>
      <c r="I177" s="392" t="n"/>
      <c r="J177" s="392" t="n"/>
      <c r="K177" s="392" t="n"/>
      <c r="L177" s="392" t="n"/>
      <c r="M177" s="392" t="n"/>
      <c r="N177" s="392" t="n"/>
      <c r="O177" s="393" t="n"/>
      <c r="P177" s="30" t="n"/>
      <c r="Q177" s="30" t="n"/>
      <c r="R177" s="31">
        <f>IFERROR(VLOOKUP($B177,LD!$B:$J,8,FALSE),"")</f>
        <v/>
      </c>
    </row>
    <row r="178" ht="45" customHeight="1">
      <c r="A178" s="29" t="n"/>
      <c r="B178" s="394" t="n"/>
      <c r="C178" s="392" t="n"/>
      <c r="D178" s="393" t="n"/>
      <c r="E178" s="391">
        <f>IF(B178="","",IFERROR(VLOOKUP(B178,LD!$B:$J,2,FALSE),""))</f>
        <v/>
      </c>
      <c r="F178" s="392" t="n"/>
      <c r="G178" s="392" t="n"/>
      <c r="H178" s="392" t="n"/>
      <c r="I178" s="392" t="n"/>
      <c r="J178" s="392" t="n"/>
      <c r="K178" s="392" t="n"/>
      <c r="L178" s="392" t="n"/>
      <c r="M178" s="392" t="n"/>
      <c r="N178" s="392" t="n"/>
      <c r="O178" s="393" t="n"/>
      <c r="P178" s="30" t="n"/>
      <c r="Q178" s="30" t="n"/>
      <c r="R178" s="31">
        <f>IFERROR(VLOOKUP($B178,LD!$B:$J,8,FALSE),"")</f>
        <v/>
      </c>
    </row>
    <row r="179" ht="45" customHeight="1">
      <c r="A179" s="29" t="n"/>
      <c r="B179" s="394" t="n"/>
      <c r="C179" s="392" t="n"/>
      <c r="D179" s="393" t="n"/>
      <c r="E179" s="391">
        <f>IF(B179="","",IFERROR(VLOOKUP(B179,LD!$B:$J,2,FALSE),""))</f>
        <v/>
      </c>
      <c r="F179" s="392" t="n"/>
      <c r="G179" s="392" t="n"/>
      <c r="H179" s="392" t="n"/>
      <c r="I179" s="392" t="n"/>
      <c r="J179" s="392" t="n"/>
      <c r="K179" s="392" t="n"/>
      <c r="L179" s="392" t="n"/>
      <c r="M179" s="392" t="n"/>
      <c r="N179" s="392" t="n"/>
      <c r="O179" s="393" t="n"/>
      <c r="P179" s="30" t="n"/>
      <c r="Q179" s="30" t="n"/>
      <c r="R179" s="31">
        <f>IFERROR(VLOOKUP($B179,LD!$B:$J,8,FALSE),"")</f>
        <v/>
      </c>
    </row>
    <row r="180" ht="45" customHeight="1">
      <c r="A180" s="29" t="n"/>
      <c r="B180" s="394" t="n"/>
      <c r="C180" s="392" t="n"/>
      <c r="D180" s="393" t="n"/>
      <c r="E180" s="391">
        <f>IF(B180="","",IFERROR(VLOOKUP(B180,LD!$B:$J,2,FALSE),""))</f>
        <v/>
      </c>
      <c r="F180" s="392" t="n"/>
      <c r="G180" s="392" t="n"/>
      <c r="H180" s="392" t="n"/>
      <c r="I180" s="392" t="n"/>
      <c r="J180" s="392" t="n"/>
      <c r="K180" s="392" t="n"/>
      <c r="L180" s="392" t="n"/>
      <c r="M180" s="392" t="n"/>
      <c r="N180" s="392" t="n"/>
      <c r="O180" s="393" t="n"/>
      <c r="P180" s="30" t="n"/>
      <c r="Q180" s="30" t="n"/>
      <c r="R180" s="31">
        <f>IFERROR(VLOOKUP($B180,LD!$B:$J,8,FALSE),"")</f>
        <v/>
      </c>
    </row>
    <row r="181" ht="45" customHeight="1">
      <c r="A181" s="29" t="n"/>
      <c r="B181" s="394" t="n"/>
      <c r="C181" s="392" t="n"/>
      <c r="D181" s="393" t="n"/>
      <c r="E181" s="391">
        <f>IF(B181="","",IFERROR(VLOOKUP(B181,LD!$B:$J,2,FALSE),""))</f>
        <v/>
      </c>
      <c r="F181" s="392" t="n"/>
      <c r="G181" s="392" t="n"/>
      <c r="H181" s="392" t="n"/>
      <c r="I181" s="392" t="n"/>
      <c r="J181" s="392" t="n"/>
      <c r="K181" s="392" t="n"/>
      <c r="L181" s="392" t="n"/>
      <c r="M181" s="392" t="n"/>
      <c r="N181" s="392" t="n"/>
      <c r="O181" s="393" t="n"/>
      <c r="P181" s="30" t="n"/>
      <c r="Q181" s="30" t="n"/>
      <c r="R181" s="31">
        <f>IFERROR(VLOOKUP($B181,LD!$B:$J,8,FALSE),"")</f>
        <v/>
      </c>
    </row>
    <row r="182" ht="45" customHeight="1">
      <c r="A182" s="29" t="n"/>
      <c r="B182" s="394" t="n"/>
      <c r="C182" s="392" t="n"/>
      <c r="D182" s="393" t="n"/>
      <c r="E182" s="391">
        <f>IF(B182="","",IFERROR(VLOOKUP(B182,LD!$B:$J,2,FALSE),""))</f>
        <v/>
      </c>
      <c r="F182" s="392" t="n"/>
      <c r="G182" s="392" t="n"/>
      <c r="H182" s="392" t="n"/>
      <c r="I182" s="392" t="n"/>
      <c r="J182" s="392" t="n"/>
      <c r="K182" s="392" t="n"/>
      <c r="L182" s="392" t="n"/>
      <c r="M182" s="392" t="n"/>
      <c r="N182" s="392" t="n"/>
      <c r="O182" s="393" t="n"/>
      <c r="P182" s="30" t="n"/>
      <c r="Q182" s="30" t="n"/>
      <c r="R182" s="31">
        <f>IFERROR(VLOOKUP($B182,LD!$B:$J,8,FALSE),"")</f>
        <v/>
      </c>
    </row>
    <row r="183" ht="45" customHeight="1">
      <c r="A183" s="29" t="n"/>
      <c r="B183" s="394" t="n"/>
      <c r="C183" s="392" t="n"/>
      <c r="D183" s="393" t="n"/>
      <c r="E183" s="391">
        <f>IF(B183="","",IFERROR(VLOOKUP(B183,LD!$B:$J,2,FALSE),""))</f>
        <v/>
      </c>
      <c r="F183" s="392" t="n"/>
      <c r="G183" s="392" t="n"/>
      <c r="H183" s="392" t="n"/>
      <c r="I183" s="392" t="n"/>
      <c r="J183" s="392" t="n"/>
      <c r="K183" s="392" t="n"/>
      <c r="L183" s="392" t="n"/>
      <c r="M183" s="392" t="n"/>
      <c r="N183" s="392" t="n"/>
      <c r="O183" s="393" t="n"/>
      <c r="P183" s="30" t="n"/>
      <c r="Q183" s="30" t="n"/>
      <c r="R183" s="31">
        <f>IFERROR(VLOOKUP($B183,LD!$B:$J,8,FALSE),"")</f>
        <v/>
      </c>
    </row>
    <row r="184" ht="45" customHeight="1">
      <c r="A184" s="29" t="n"/>
      <c r="B184" s="394" t="n"/>
      <c r="C184" s="392" t="n"/>
      <c r="D184" s="393" t="n"/>
      <c r="E184" s="391">
        <f>IF(B184="","",IFERROR(VLOOKUP(B184,LD!$B:$J,2,FALSE),""))</f>
        <v/>
      </c>
      <c r="F184" s="392" t="n"/>
      <c r="G184" s="392" t="n"/>
      <c r="H184" s="392" t="n"/>
      <c r="I184" s="392" t="n"/>
      <c r="J184" s="392" t="n"/>
      <c r="K184" s="392" t="n"/>
      <c r="L184" s="392" t="n"/>
      <c r="M184" s="392" t="n"/>
      <c r="N184" s="392" t="n"/>
      <c r="O184" s="393" t="n"/>
      <c r="P184" s="30" t="n"/>
      <c r="Q184" s="30" t="n"/>
      <c r="R184" s="31">
        <f>IFERROR(VLOOKUP($B184,LD!$B:$J,8,FALSE),"")</f>
        <v/>
      </c>
    </row>
    <row r="185" ht="45" customHeight="1">
      <c r="A185" s="29" t="n"/>
      <c r="B185" s="394" t="n"/>
      <c r="C185" s="392" t="n"/>
      <c r="D185" s="393" t="n"/>
      <c r="E185" s="391">
        <f>IF(B185="","",IFERROR(VLOOKUP(B185,LD!$B:$J,2,FALSE),""))</f>
        <v/>
      </c>
      <c r="F185" s="392" t="n"/>
      <c r="G185" s="392" t="n"/>
      <c r="H185" s="392" t="n"/>
      <c r="I185" s="392" t="n"/>
      <c r="J185" s="392" t="n"/>
      <c r="K185" s="392" t="n"/>
      <c r="L185" s="392" t="n"/>
      <c r="M185" s="392" t="n"/>
      <c r="N185" s="392" t="n"/>
      <c r="O185" s="393" t="n"/>
      <c r="P185" s="30" t="n"/>
      <c r="Q185" s="30" t="n"/>
      <c r="R185" s="31">
        <f>IFERROR(VLOOKUP($B185,LD!$B:$J,8,FALSE),"")</f>
        <v/>
      </c>
    </row>
    <row r="186" ht="45" customHeight="1">
      <c r="A186" s="29" t="n"/>
      <c r="B186" s="394" t="n"/>
      <c r="C186" s="392" t="n"/>
      <c r="D186" s="393" t="n"/>
      <c r="E186" s="391">
        <f>IF(B186="","",IFERROR(VLOOKUP(B186,LD!$B:$J,2,FALSE),""))</f>
        <v/>
      </c>
      <c r="F186" s="392" t="n"/>
      <c r="G186" s="392" t="n"/>
      <c r="H186" s="392" t="n"/>
      <c r="I186" s="392" t="n"/>
      <c r="J186" s="392" t="n"/>
      <c r="K186" s="392" t="n"/>
      <c r="L186" s="392" t="n"/>
      <c r="M186" s="392" t="n"/>
      <c r="N186" s="392" t="n"/>
      <c r="O186" s="393" t="n"/>
      <c r="P186" s="30" t="n"/>
      <c r="Q186" s="30" t="n"/>
      <c r="R186" s="31">
        <f>IFERROR(VLOOKUP($B186,LD!$B:$J,8,FALSE),"")</f>
        <v/>
      </c>
    </row>
    <row r="187" ht="45" customHeight="1">
      <c r="A187" s="29" t="n"/>
      <c r="B187" s="394" t="n"/>
      <c r="C187" s="392" t="n"/>
      <c r="D187" s="393" t="n"/>
      <c r="E187" s="391">
        <f>IF(B187="","",IFERROR(VLOOKUP(B187,LD!$B:$J,2,FALSE),""))</f>
        <v/>
      </c>
      <c r="F187" s="392" t="n"/>
      <c r="G187" s="392" t="n"/>
      <c r="H187" s="392" t="n"/>
      <c r="I187" s="392" t="n"/>
      <c r="J187" s="392" t="n"/>
      <c r="K187" s="392" t="n"/>
      <c r="L187" s="392" t="n"/>
      <c r="M187" s="392" t="n"/>
      <c r="N187" s="392" t="n"/>
      <c r="O187" s="393" t="n"/>
      <c r="P187" s="30" t="n"/>
      <c r="Q187" s="30" t="n"/>
      <c r="R187" s="31">
        <f>IFERROR(VLOOKUP($B187,LD!$B:$J,8,FALSE),"")</f>
        <v/>
      </c>
    </row>
    <row r="188" ht="45" customHeight="1">
      <c r="A188" s="29" t="n"/>
      <c r="B188" s="394" t="n"/>
      <c r="C188" s="392" t="n"/>
      <c r="D188" s="393" t="n"/>
      <c r="E188" s="391">
        <f>IF(B188="","",IFERROR(VLOOKUP(B188,LD!$B:$J,2,FALSE),""))</f>
        <v/>
      </c>
      <c r="F188" s="392" t="n"/>
      <c r="G188" s="392" t="n"/>
      <c r="H188" s="392" t="n"/>
      <c r="I188" s="392" t="n"/>
      <c r="J188" s="392" t="n"/>
      <c r="K188" s="392" t="n"/>
      <c r="L188" s="392" t="n"/>
      <c r="M188" s="392" t="n"/>
      <c r="N188" s="392" t="n"/>
      <c r="O188" s="393" t="n"/>
      <c r="P188" s="30" t="n"/>
      <c r="Q188" s="30" t="n"/>
      <c r="R188" s="31">
        <f>IFERROR(VLOOKUP($B188,LD!$B:$J,8,FALSE),"")</f>
        <v/>
      </c>
    </row>
    <row r="189" ht="45" customHeight="1">
      <c r="A189" s="29" t="n"/>
      <c r="B189" s="394" t="n"/>
      <c r="C189" s="392" t="n"/>
      <c r="D189" s="393" t="n"/>
      <c r="E189" s="391">
        <f>IF(B189="","",IFERROR(VLOOKUP(B189,LD!$B:$J,2,FALSE),""))</f>
        <v/>
      </c>
      <c r="F189" s="392" t="n"/>
      <c r="G189" s="392" t="n"/>
      <c r="H189" s="392" t="n"/>
      <c r="I189" s="392" t="n"/>
      <c r="J189" s="392" t="n"/>
      <c r="K189" s="392" t="n"/>
      <c r="L189" s="392" t="n"/>
      <c r="M189" s="392" t="n"/>
      <c r="N189" s="392" t="n"/>
      <c r="O189" s="393" t="n"/>
      <c r="P189" s="30" t="n"/>
      <c r="Q189" s="30" t="n"/>
      <c r="R189" s="31">
        <f>IFERROR(VLOOKUP($B189,LD!$B:$J,8,FALSE),"")</f>
        <v/>
      </c>
    </row>
    <row r="190" ht="45" customHeight="1">
      <c r="A190" s="29" t="n"/>
      <c r="B190" s="394" t="n"/>
      <c r="C190" s="392" t="n"/>
      <c r="D190" s="393" t="n"/>
      <c r="E190" s="391">
        <f>IF(B190="","",IFERROR(VLOOKUP(B190,LD!$B:$J,2,FALSE),""))</f>
        <v/>
      </c>
      <c r="F190" s="392" t="n"/>
      <c r="G190" s="392" t="n"/>
      <c r="H190" s="392" t="n"/>
      <c r="I190" s="392" t="n"/>
      <c r="J190" s="392" t="n"/>
      <c r="K190" s="392" t="n"/>
      <c r="L190" s="392" t="n"/>
      <c r="M190" s="392" t="n"/>
      <c r="N190" s="392" t="n"/>
      <c r="O190" s="393" t="n"/>
      <c r="P190" s="30" t="n"/>
      <c r="Q190" s="30" t="n"/>
      <c r="R190" s="31">
        <f>IFERROR(VLOOKUP($B190,LD!$B:$J,8,FALSE),"")</f>
        <v/>
      </c>
    </row>
    <row r="191" ht="45" customHeight="1">
      <c r="A191" s="29" t="n"/>
      <c r="B191" s="394" t="n"/>
      <c r="C191" s="392" t="n"/>
      <c r="D191" s="393" t="n"/>
      <c r="E191" s="391">
        <f>IF(B191="","",IFERROR(VLOOKUP(B191,LD!$B:$J,2,FALSE),""))</f>
        <v/>
      </c>
      <c r="F191" s="392" t="n"/>
      <c r="G191" s="392" t="n"/>
      <c r="H191" s="392" t="n"/>
      <c r="I191" s="392" t="n"/>
      <c r="J191" s="392" t="n"/>
      <c r="K191" s="392" t="n"/>
      <c r="L191" s="392" t="n"/>
      <c r="M191" s="392" t="n"/>
      <c r="N191" s="392" t="n"/>
      <c r="O191" s="393" t="n"/>
      <c r="P191" s="30" t="n"/>
      <c r="Q191" s="30" t="n"/>
      <c r="R191" s="31">
        <f>IFERROR(VLOOKUP($B191,LD!$B:$J,8,FALSE),"")</f>
        <v/>
      </c>
    </row>
    <row r="192" ht="45" customHeight="1">
      <c r="A192" s="29" t="n"/>
      <c r="B192" s="394" t="n"/>
      <c r="C192" s="392" t="n"/>
      <c r="D192" s="393" t="n"/>
      <c r="E192" s="391">
        <f>IF(B192="","",IFERROR(VLOOKUP(B192,LD!$B:$J,2,FALSE),""))</f>
        <v/>
      </c>
      <c r="F192" s="392" t="n"/>
      <c r="G192" s="392" t="n"/>
      <c r="H192" s="392" t="n"/>
      <c r="I192" s="392" t="n"/>
      <c r="J192" s="392" t="n"/>
      <c r="K192" s="392" t="n"/>
      <c r="L192" s="392" t="n"/>
      <c r="M192" s="392" t="n"/>
      <c r="N192" s="392" t="n"/>
      <c r="O192" s="393" t="n"/>
      <c r="P192" s="30" t="n"/>
      <c r="Q192" s="30" t="n"/>
      <c r="R192" s="31">
        <f>IFERROR(VLOOKUP($B192,LD!$B:$J,8,FALSE),"")</f>
        <v/>
      </c>
    </row>
    <row r="193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</row>
  </sheetData>
  <mergeCells count="372">
    <mergeCell ref="B60:D60"/>
    <mergeCell ref="E71:O71"/>
    <mergeCell ref="E142:O142"/>
    <mergeCell ref="B53:D53"/>
    <mergeCell ref="M15:R15"/>
    <mergeCell ref="E79:O79"/>
    <mergeCell ref="E73:O73"/>
    <mergeCell ref="E171:O171"/>
    <mergeCell ref="B84:D84"/>
    <mergeCell ref="A17:R17"/>
    <mergeCell ref="E137:O137"/>
    <mergeCell ref="E173:O173"/>
    <mergeCell ref="B142:D142"/>
    <mergeCell ref="B80:D80"/>
    <mergeCell ref="E74:O74"/>
    <mergeCell ref="E166:O166"/>
    <mergeCell ref="B144:D144"/>
    <mergeCell ref="A15:F15"/>
    <mergeCell ref="B190:D190"/>
    <mergeCell ref="E168:O168"/>
    <mergeCell ref="B73:D73"/>
    <mergeCell ref="E67:O67"/>
    <mergeCell ref="E48:O48"/>
    <mergeCell ref="B137:D137"/>
    <mergeCell ref="B99:D99"/>
    <mergeCell ref="E87:O87"/>
    <mergeCell ref="B74:D74"/>
    <mergeCell ref="B68:D68"/>
    <mergeCell ref="B139:D139"/>
    <mergeCell ref="J3:R3"/>
    <mergeCell ref="B76:D76"/>
    <mergeCell ref="E110:O110"/>
    <mergeCell ref="B150:D150"/>
    <mergeCell ref="A19:R21"/>
    <mergeCell ref="E187:O187"/>
    <mergeCell ref="E76:O76"/>
    <mergeCell ref="E174:O174"/>
    <mergeCell ref="B152:D152"/>
    <mergeCell ref="E189:O189"/>
    <mergeCell ref="B23:D23"/>
    <mergeCell ref="B145:D145"/>
    <mergeCell ref="B181:D181"/>
    <mergeCell ref="B87:D87"/>
    <mergeCell ref="E92:O92"/>
    <mergeCell ref="E29:O29"/>
    <mergeCell ref="E94:O94"/>
    <mergeCell ref="B51:D51"/>
    <mergeCell ref="E31:O31"/>
    <mergeCell ref="E158:O158"/>
    <mergeCell ref="E108:O108"/>
    <mergeCell ref="B163:D163"/>
    <mergeCell ref="E95:O95"/>
    <mergeCell ref="E89:O89"/>
    <mergeCell ref="B113:D113"/>
    <mergeCell ref="B138:D138"/>
    <mergeCell ref="E162:O162"/>
    <mergeCell ref="B165:D165"/>
    <mergeCell ref="E124:O124"/>
    <mergeCell ref="B140:D140"/>
    <mergeCell ref="B115:D115"/>
    <mergeCell ref="E120:O120"/>
    <mergeCell ref="E72:O72"/>
    <mergeCell ref="E164:O164"/>
    <mergeCell ref="B77:D77"/>
    <mergeCell ref="E184:O184"/>
    <mergeCell ref="E42:O42"/>
    <mergeCell ref="B29:D29"/>
    <mergeCell ref="E188:O188"/>
    <mergeCell ref="E126:O126"/>
    <mergeCell ref="E44:O44"/>
    <mergeCell ref="A9:J9"/>
    <mergeCell ref="E190:O190"/>
    <mergeCell ref="B95:D95"/>
    <mergeCell ref="B89:D89"/>
    <mergeCell ref="B32:D32"/>
    <mergeCell ref="B26:D26"/>
    <mergeCell ref="B97:D97"/>
    <mergeCell ref="B153:D153"/>
    <mergeCell ref="E179:O179"/>
    <mergeCell ref="B90:D90"/>
    <mergeCell ref="B184:D184"/>
    <mergeCell ref="B27:D27"/>
    <mergeCell ref="E32:O32"/>
    <mergeCell ref="E159:O159"/>
    <mergeCell ref="E37:O37"/>
    <mergeCell ref="E97:O97"/>
    <mergeCell ref="E109:O109"/>
    <mergeCell ref="B42:D42"/>
    <mergeCell ref="E47:O47"/>
    <mergeCell ref="E96:O96"/>
    <mergeCell ref="E145:O145"/>
    <mergeCell ref="E139:O139"/>
    <mergeCell ref="B148:D148"/>
    <mergeCell ref="B179:D179"/>
    <mergeCell ref="E111:O111"/>
    <mergeCell ref="B44:D44"/>
    <mergeCell ref="L8:Q8"/>
    <mergeCell ref="B166:D166"/>
    <mergeCell ref="E98:O98"/>
    <mergeCell ref="A18:R18"/>
    <mergeCell ref="B37:D37"/>
    <mergeCell ref="B108:D108"/>
    <mergeCell ref="B168:D168"/>
    <mergeCell ref="G14:L14"/>
    <mergeCell ref="B143:D143"/>
    <mergeCell ref="E63:O63"/>
    <mergeCell ref="A22:R22"/>
    <mergeCell ref="E27:O27"/>
    <mergeCell ref="E45:O45"/>
    <mergeCell ref="E116:O116"/>
    <mergeCell ref="B159:D159"/>
    <mergeCell ref="B134:D134"/>
    <mergeCell ref="A11:I11"/>
    <mergeCell ref="E91:O91"/>
    <mergeCell ref="E85:O85"/>
    <mergeCell ref="B96:D96"/>
    <mergeCell ref="B167:D167"/>
    <mergeCell ref="B161:D161"/>
    <mergeCell ref="E93:O93"/>
    <mergeCell ref="B111:D111"/>
    <mergeCell ref="B98:D98"/>
    <mergeCell ref="B175:D175"/>
    <mergeCell ref="E122:O122"/>
    <mergeCell ref="B162:D162"/>
    <mergeCell ref="L6:R6"/>
    <mergeCell ref="E38:O38"/>
    <mergeCell ref="E147:O147"/>
    <mergeCell ref="B187:D187"/>
    <mergeCell ref="E40:O40"/>
    <mergeCell ref="B124:D124"/>
    <mergeCell ref="B189:D189"/>
    <mergeCell ref="B45:D45"/>
    <mergeCell ref="E148:O148"/>
    <mergeCell ref="E104:O104"/>
    <mergeCell ref="A7:J7"/>
    <mergeCell ref="B188:D188"/>
    <mergeCell ref="B126:D126"/>
    <mergeCell ref="B109:D109"/>
    <mergeCell ref="B47:D47"/>
    <mergeCell ref="B59:D59"/>
    <mergeCell ref="B46:D46"/>
    <mergeCell ref="E66:O66"/>
    <mergeCell ref="B48:D48"/>
    <mergeCell ref="E53:O53"/>
    <mergeCell ref="E130:O130"/>
    <mergeCell ref="E68:O68"/>
    <mergeCell ref="E117:O117"/>
    <mergeCell ref="E55:O55"/>
    <mergeCell ref="E160:O160"/>
    <mergeCell ref="E141:O141"/>
    <mergeCell ref="E132:O132"/>
    <mergeCell ref="E107:O107"/>
    <mergeCell ref="E143:O143"/>
    <mergeCell ref="B183:D183"/>
    <mergeCell ref="E161:O161"/>
    <mergeCell ref="B177:D177"/>
    <mergeCell ref="B164:D164"/>
    <mergeCell ref="B114:D114"/>
    <mergeCell ref="B41:D41"/>
    <mergeCell ref="B35:D35"/>
    <mergeCell ref="B66:D66"/>
    <mergeCell ref="E54:O54"/>
    <mergeCell ref="B180:D180"/>
    <mergeCell ref="E41:O41"/>
    <mergeCell ref="E112:O112"/>
    <mergeCell ref="B130:D130"/>
    <mergeCell ref="B117:D117"/>
    <mergeCell ref="E56:O56"/>
    <mergeCell ref="E43:O43"/>
    <mergeCell ref="B67:D67"/>
    <mergeCell ref="B61:D61"/>
    <mergeCell ref="B132:D132"/>
    <mergeCell ref="B119:D119"/>
    <mergeCell ref="A10:J10"/>
    <mergeCell ref="B69:D69"/>
    <mergeCell ref="B112:D112"/>
    <mergeCell ref="E138:O138"/>
    <mergeCell ref="B127:D127"/>
    <mergeCell ref="B64:D64"/>
    <mergeCell ref="E69:O69"/>
    <mergeCell ref="E167:O167"/>
    <mergeCell ref="G16:L16"/>
    <mergeCell ref="F3:I3"/>
    <mergeCell ref="A13:R13"/>
    <mergeCell ref="E77:O77"/>
    <mergeCell ref="E133:O133"/>
    <mergeCell ref="E169:O169"/>
    <mergeCell ref="B122:D122"/>
    <mergeCell ref="B57:D57"/>
    <mergeCell ref="E64:O64"/>
    <mergeCell ref="E88:O88"/>
    <mergeCell ref="E51:O51"/>
    <mergeCell ref="E82:O82"/>
    <mergeCell ref="E153:O153"/>
    <mergeCell ref="E180:O180"/>
    <mergeCell ref="E128:O128"/>
    <mergeCell ref="E155:O155"/>
    <mergeCell ref="B158:D158"/>
    <mergeCell ref="B133:D133"/>
    <mergeCell ref="E182:O182"/>
    <mergeCell ref="E65:O65"/>
    <mergeCell ref="B160:D160"/>
    <mergeCell ref="E157:O157"/>
    <mergeCell ref="B135:D135"/>
    <mergeCell ref="A1:E2"/>
    <mergeCell ref="B62:D62"/>
    <mergeCell ref="B72:D72"/>
    <mergeCell ref="B70:D70"/>
    <mergeCell ref="E75:O75"/>
    <mergeCell ref="E175:O175"/>
    <mergeCell ref="B88:D88"/>
    <mergeCell ref="B82:D82"/>
    <mergeCell ref="E185:O185"/>
    <mergeCell ref="B146:D146"/>
    <mergeCell ref="Q23:R23"/>
    <mergeCell ref="E170:O170"/>
    <mergeCell ref="B83:D83"/>
    <mergeCell ref="B110:D110"/>
    <mergeCell ref="B85:D85"/>
    <mergeCell ref="E90:O90"/>
    <mergeCell ref="E154:O154"/>
    <mergeCell ref="B141:D141"/>
    <mergeCell ref="E119:O119"/>
    <mergeCell ref="E25:O25"/>
    <mergeCell ref="E183:O183"/>
    <mergeCell ref="B136:D136"/>
    <mergeCell ref="L9:R9"/>
    <mergeCell ref="B78:D78"/>
    <mergeCell ref="M16:R16"/>
    <mergeCell ref="E84:O84"/>
    <mergeCell ref="E78:O78"/>
    <mergeCell ref="A4:R4"/>
    <mergeCell ref="E176:O176"/>
    <mergeCell ref="E114:O114"/>
    <mergeCell ref="B154:D154"/>
    <mergeCell ref="E186:O186"/>
    <mergeCell ref="E86:O86"/>
    <mergeCell ref="E191:O191"/>
    <mergeCell ref="E80:O80"/>
    <mergeCell ref="E178:O178"/>
    <mergeCell ref="B91:D91"/>
    <mergeCell ref="B25:D25"/>
    <mergeCell ref="B156:D156"/>
    <mergeCell ref="E144:O144"/>
    <mergeCell ref="B155:D155"/>
    <mergeCell ref="E23:G23"/>
    <mergeCell ref="B93:D93"/>
    <mergeCell ref="B149:D149"/>
    <mergeCell ref="E81:O81"/>
    <mergeCell ref="K11:P11"/>
    <mergeCell ref="B86:D86"/>
    <mergeCell ref="B151:D151"/>
    <mergeCell ref="B101:D101"/>
    <mergeCell ref="E106:O106"/>
    <mergeCell ref="E33:O33"/>
    <mergeCell ref="B182:D182"/>
    <mergeCell ref="B38:D38"/>
    <mergeCell ref="G15:L15"/>
    <mergeCell ref="E135:O135"/>
    <mergeCell ref="E35:O35"/>
    <mergeCell ref="B40:D40"/>
    <mergeCell ref="E28:O28"/>
    <mergeCell ref="B33:D33"/>
    <mergeCell ref="B104:D104"/>
    <mergeCell ref="B79:D79"/>
    <mergeCell ref="E30:O30"/>
    <mergeCell ref="E59:O59"/>
    <mergeCell ref="E46:O46"/>
    <mergeCell ref="B106:D106"/>
    <mergeCell ref="B81:D81"/>
    <mergeCell ref="E61:O61"/>
    <mergeCell ref="E125:O125"/>
    <mergeCell ref="E192:O192"/>
    <mergeCell ref="B170:D170"/>
    <mergeCell ref="B157:D157"/>
    <mergeCell ref="E129:O129"/>
    <mergeCell ref="E181:O181"/>
    <mergeCell ref="B34:D34"/>
    <mergeCell ref="B172:D172"/>
    <mergeCell ref="B28:D28"/>
    <mergeCell ref="E131:O131"/>
    <mergeCell ref="B186:D186"/>
    <mergeCell ref="B92:D92"/>
    <mergeCell ref="B30:D30"/>
    <mergeCell ref="L7:R7"/>
    <mergeCell ref="M14:R14"/>
    <mergeCell ref="E34:O34"/>
    <mergeCell ref="B94:D94"/>
    <mergeCell ref="E105:O105"/>
    <mergeCell ref="A6:J6"/>
    <mergeCell ref="E99:O99"/>
    <mergeCell ref="E49:O49"/>
    <mergeCell ref="E36:O36"/>
    <mergeCell ref="E163:O163"/>
    <mergeCell ref="B54:D54"/>
    <mergeCell ref="E101:O101"/>
    <mergeCell ref="B125:D125"/>
    <mergeCell ref="B185:D185"/>
    <mergeCell ref="E113:O113"/>
    <mergeCell ref="E100:O100"/>
    <mergeCell ref="B56:D56"/>
    <mergeCell ref="E136:O136"/>
    <mergeCell ref="B105:D105"/>
    <mergeCell ref="B176:D176"/>
    <mergeCell ref="B43:D43"/>
    <mergeCell ref="E115:O115"/>
    <mergeCell ref="E102:O102"/>
    <mergeCell ref="A16:F16"/>
    <mergeCell ref="B120:D120"/>
    <mergeCell ref="B107:D107"/>
    <mergeCell ref="E62:O62"/>
    <mergeCell ref="B147:D147"/>
    <mergeCell ref="E127:O127"/>
    <mergeCell ref="B171:D171"/>
    <mergeCell ref="H23:K23"/>
    <mergeCell ref="E156:O156"/>
    <mergeCell ref="A8:I8"/>
    <mergeCell ref="B36:D36"/>
    <mergeCell ref="B173:D173"/>
    <mergeCell ref="B100:D100"/>
    <mergeCell ref="B75:D75"/>
    <mergeCell ref="E26:O26"/>
    <mergeCell ref="B31:D31"/>
    <mergeCell ref="B102:D102"/>
    <mergeCell ref="B39:D39"/>
    <mergeCell ref="L10:R10"/>
    <mergeCell ref="E146:O146"/>
    <mergeCell ref="E50:O50"/>
    <mergeCell ref="E121:O121"/>
    <mergeCell ref="E151:O151"/>
    <mergeCell ref="B191:D191"/>
    <mergeCell ref="E52:O52"/>
    <mergeCell ref="E123:O123"/>
    <mergeCell ref="B178:D178"/>
    <mergeCell ref="E150:O150"/>
    <mergeCell ref="E39:O39"/>
    <mergeCell ref="B128:D128"/>
    <mergeCell ref="B49:D49"/>
    <mergeCell ref="E103:O103"/>
    <mergeCell ref="E152:O152"/>
    <mergeCell ref="B65:D65"/>
    <mergeCell ref="B192:D192"/>
    <mergeCell ref="E118:O118"/>
    <mergeCell ref="B63:D63"/>
    <mergeCell ref="B123:D123"/>
    <mergeCell ref="B50:D50"/>
    <mergeCell ref="E70:O70"/>
    <mergeCell ref="E57:O57"/>
    <mergeCell ref="E134:O134"/>
    <mergeCell ref="E172:O172"/>
    <mergeCell ref="E58:O58"/>
    <mergeCell ref="B116:D116"/>
    <mergeCell ref="E165:O165"/>
    <mergeCell ref="B103:D103"/>
    <mergeCell ref="B174:D174"/>
    <mergeCell ref="E83:O83"/>
    <mergeCell ref="E140:O140"/>
    <mergeCell ref="A14:F14"/>
    <mergeCell ref="B118:D118"/>
    <mergeCell ref="B55:D55"/>
    <mergeCell ref="E177:O177"/>
    <mergeCell ref="E60:O60"/>
    <mergeCell ref="B169:D169"/>
    <mergeCell ref="E149:O149"/>
    <mergeCell ref="B129:D129"/>
    <mergeCell ref="B121:D121"/>
    <mergeCell ref="A24:R24"/>
    <mergeCell ref="B71:D71"/>
    <mergeCell ref="B131:D131"/>
    <mergeCell ref="B58:D58"/>
    <mergeCell ref="B52:D52"/>
    <mergeCell ref="F1:L2"/>
  </mergeCells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8"/>
</worksheet>
</file>

<file path=xl/worksheets/sheet7.xml><?xml version="1.0" encoding="utf-8"?>
<worksheet xmlns="http://schemas.openxmlformats.org/spreadsheetml/2006/main">
  <sheetPr codeName="Planilha3"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ColWidth="8" defaultRowHeight="12.75"/>
  <cols>
    <col width="4.5703125" customWidth="1" style="16" min="1" max="1"/>
    <col width="5" customWidth="1" style="16" min="2" max="2"/>
    <col width="8" customWidth="1" style="16" min="3" max="3"/>
    <col width="6.5703125" customWidth="1" style="16" min="4" max="4"/>
    <col width="3.7109375" customWidth="1" style="16" min="5" max="5"/>
    <col width="7.42578125" customWidth="1" style="16" min="6" max="6"/>
    <col width="5.85546875" customWidth="1" style="16" min="7" max="7"/>
    <col width="6.7109375" customWidth="1" style="16" min="8" max="8"/>
    <col width="7.7109375" customWidth="1" style="16" min="9" max="9"/>
    <col width="3.28515625" customWidth="1" style="16" min="10" max="11"/>
    <col width="3.85546875" customWidth="1" style="16" min="12" max="12"/>
    <col width="5.42578125" customWidth="1" style="16" min="13" max="13"/>
    <col width="4.140625" customWidth="1" style="16" min="14" max="14"/>
    <col width="4" customWidth="1" style="16" min="15" max="15"/>
    <col width="4.5703125" customWidth="1" style="16" min="16" max="17"/>
    <col width="7.5703125" customWidth="1" style="16" min="18" max="18"/>
    <col width="8" customWidth="1" style="16" min="19" max="19"/>
    <col width="8" customWidth="1" style="16" min="20" max="16384"/>
  </cols>
  <sheetData>
    <row r="1" ht="26.1" customHeight="1">
      <c r="A1" s="411" t="inlineStr">
        <is>
          <t>LOGO CLIENTE</t>
        </is>
      </c>
      <c r="B1" s="352" t="n"/>
      <c r="C1" s="352" t="n"/>
      <c r="D1" s="352" t="n"/>
      <c r="E1" s="412" t="n"/>
      <c r="F1" s="420" t="inlineStr">
        <is>
          <t>NOME DO PROJETO</t>
        </is>
      </c>
      <c r="G1" s="421" t="n"/>
      <c r="H1" s="421" t="n"/>
      <c r="I1" s="421" t="n"/>
      <c r="J1" s="421" t="n"/>
      <c r="K1" s="421" t="n"/>
      <c r="L1" s="422" t="n"/>
      <c r="M1" s="14" t="n"/>
      <c r="N1" s="14" t="n"/>
      <c r="O1" s="14" t="n"/>
      <c r="P1" s="14" t="n"/>
      <c r="Q1" s="14" t="n"/>
      <c r="R1" s="15" t="n"/>
    </row>
    <row r="2" ht="24.4" customHeight="1">
      <c r="A2" s="413" t="n"/>
      <c r="B2" s="414" t="n"/>
      <c r="C2" s="414" t="n"/>
      <c r="D2" s="414" t="n"/>
      <c r="E2" s="415" t="n"/>
      <c r="F2" s="423" t="n"/>
      <c r="G2" s="414" t="n"/>
      <c r="H2" s="414" t="n"/>
      <c r="I2" s="414" t="n"/>
      <c r="J2" s="414" t="n"/>
      <c r="K2" s="414" t="n"/>
      <c r="L2" s="415" t="n"/>
      <c r="M2" s="17" t="n"/>
      <c r="N2" s="17" t="n"/>
      <c r="O2" s="17" t="n"/>
      <c r="P2" s="17" t="n"/>
      <c r="Q2" s="17" t="n"/>
      <c r="R2" s="18" t="n"/>
    </row>
    <row r="3" ht="9.75" customHeight="1">
      <c r="A3" s="19" t="n"/>
      <c r="B3" s="19" t="n"/>
      <c r="C3" s="19" t="n"/>
      <c r="D3" s="19" t="n"/>
      <c r="E3" s="19" t="n"/>
      <c r="F3" s="398" t="inlineStr">
        <is>
          <t>area_e_contratada</t>
        </is>
      </c>
      <c r="G3" s="341" t="n"/>
      <c r="H3" s="341" t="n"/>
      <c r="I3" s="341" t="n"/>
      <c r="J3" s="398" t="inlineStr">
        <is>
          <t>projeto</t>
        </is>
      </c>
      <c r="K3" s="341" t="n"/>
      <c r="L3" s="341" t="n"/>
      <c r="M3" s="341" t="n"/>
      <c r="N3" s="341" t="n"/>
      <c r="O3" s="341" t="n"/>
      <c r="P3" s="341" t="n"/>
      <c r="Q3" s="341" t="n"/>
      <c r="R3" s="341" t="n"/>
    </row>
    <row r="4" ht="18.2" customHeight="1">
      <c r="A4" s="416" t="inlineStr">
        <is>
          <t>GUIA DE REMESSA DE DOCUMENTOS</t>
        </is>
      </c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401" t="n"/>
    </row>
    <row r="5" ht="9.75" customHeight="1">
      <c r="J5" s="20" t="n"/>
      <c r="Q5" s="21" t="n"/>
    </row>
    <row r="6" ht="15" customFormat="1" customHeight="1" s="397">
      <c r="A6" s="400" t="inlineStr">
        <is>
          <t>PARA (DESTINATÁRIO)</t>
        </is>
      </c>
      <c r="B6" s="392" t="n"/>
      <c r="C6" s="392" t="n"/>
      <c r="D6" s="392" t="n"/>
      <c r="E6" s="392" t="n"/>
      <c r="F6" s="392" t="n"/>
      <c r="G6" s="392" t="n"/>
      <c r="H6" s="392" t="n"/>
      <c r="I6" s="392" t="n"/>
      <c r="J6" s="401" t="n"/>
      <c r="L6" s="400" t="inlineStr">
        <is>
          <t>DATA DE ENVIO</t>
        </is>
      </c>
      <c r="M6" s="392" t="n"/>
      <c r="N6" s="392" t="n"/>
      <c r="O6" s="392" t="n"/>
      <c r="P6" s="392" t="n"/>
      <c r="Q6" s="392" t="n"/>
      <c r="R6" s="401" t="n"/>
    </row>
    <row r="7" ht="15" customFormat="1" customHeight="1" s="397">
      <c r="A7" s="407" t="n"/>
      <c r="B7" s="392" t="n"/>
      <c r="C7" s="392" t="n"/>
      <c r="D7" s="392" t="n"/>
      <c r="E7" s="392" t="n"/>
      <c r="F7" s="392" t="n"/>
      <c r="G7" s="392" t="n"/>
      <c r="H7" s="392" t="n"/>
      <c r="I7" s="392" t="n"/>
      <c r="J7" s="401" t="n"/>
      <c r="L7" s="410" t="inlineStr">
        <is>
          <t>10/06/26</t>
        </is>
      </c>
      <c r="M7" s="392" t="n"/>
      <c r="N7" s="392" t="n"/>
      <c r="O7" s="392" t="n"/>
      <c r="P7" s="392" t="n"/>
      <c r="Q7" s="392" t="n"/>
      <c r="R7" s="401" t="n"/>
    </row>
    <row r="8" ht="9.75" customFormat="1" customHeight="1" s="397">
      <c r="A8" s="402" t="inlineStr">
        <is>
          <t>nome_destinatario</t>
        </is>
      </c>
      <c r="J8" s="23" t="n"/>
      <c r="L8" s="402" t="inlineStr">
        <is>
          <t>data_envio</t>
        </is>
      </c>
    </row>
    <row r="9" ht="15" customFormat="1" customHeight="1" s="397">
      <c r="A9" s="400" t="inlineStr">
        <is>
          <t>COORDENADOR</t>
        </is>
      </c>
      <c r="B9" s="392" t="n"/>
      <c r="C9" s="392" t="n"/>
      <c r="D9" s="392" t="n"/>
      <c r="E9" s="392" t="n"/>
      <c r="F9" s="392" t="n"/>
      <c r="G9" s="392" t="n"/>
      <c r="H9" s="392" t="n"/>
      <c r="I9" s="392" t="n"/>
      <c r="J9" s="401" t="n"/>
      <c r="L9" s="400" t="inlineStr">
        <is>
          <t>NÚMERO DA GRD</t>
        </is>
      </c>
      <c r="M9" s="392" t="n"/>
      <c r="N9" s="392" t="n"/>
      <c r="O9" s="392" t="n"/>
      <c r="P9" s="392" t="n"/>
      <c r="Q9" s="392" t="n"/>
      <c r="R9" s="401" t="n"/>
    </row>
    <row r="10" ht="15" customFormat="1" customHeight="1" s="397">
      <c r="A10" s="407" t="n"/>
      <c r="B10" s="392" t="n"/>
      <c r="C10" s="392" t="n"/>
      <c r="D10" s="392" t="n"/>
      <c r="E10" s="392" t="n"/>
      <c r="F10" s="392" t="n"/>
      <c r="G10" s="392" t="n"/>
      <c r="H10" s="392" t="n"/>
      <c r="I10" s="392" t="n"/>
      <c r="J10" s="401" t="n"/>
      <c r="L10" s="418" t="inlineStr">
        <is>
          <t>IFS-GRD-9999-002</t>
        </is>
      </c>
      <c r="M10" s="392" t="n"/>
      <c r="N10" s="392" t="n"/>
      <c r="O10" s="392" t="n"/>
      <c r="P10" s="392" t="n"/>
      <c r="Q10" s="392" t="n"/>
      <c r="R10" s="401" t="n"/>
    </row>
    <row r="11" ht="9.75" customFormat="1" customHeight="1" s="397">
      <c r="A11" s="406" t="inlineStr">
        <is>
          <t>nome_coordenador</t>
        </is>
      </c>
      <c r="B11" s="361" t="n"/>
      <c r="C11" s="361" t="n"/>
      <c r="D11" s="361" t="n"/>
      <c r="E11" s="361" t="n"/>
      <c r="F11" s="361" t="n"/>
      <c r="G11" s="361" t="n"/>
      <c r="H11" s="361" t="n"/>
      <c r="I11" s="361" t="n"/>
      <c r="J11" s="24" t="n"/>
      <c r="K11" s="406" t="inlineStr">
        <is>
          <t>numero_vale</t>
        </is>
      </c>
      <c r="L11" s="361" t="n"/>
      <c r="M11" s="361" t="n"/>
      <c r="N11" s="361" t="n"/>
      <c r="O11" s="361" t="n"/>
      <c r="P11" s="361" t="n"/>
      <c r="Q11" s="24" t="n"/>
      <c r="R11" s="24" t="n"/>
    </row>
    <row r="12" ht="9.75" customFormat="1" customHeight="1" s="397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</row>
    <row r="13" ht="15" customFormat="1" customHeight="1" s="397">
      <c r="A13" s="409" t="inlineStr">
        <is>
          <t>TIPO DE EMISSÃO</t>
        </is>
      </c>
      <c r="B13" s="352" t="n"/>
      <c r="C13" s="352" t="n"/>
      <c r="D13" s="352" t="n"/>
      <c r="E13" s="352" t="n"/>
      <c r="F13" s="352" t="n"/>
      <c r="G13" s="352" t="n"/>
      <c r="H13" s="352" t="n"/>
      <c r="I13" s="352" t="n"/>
      <c r="J13" s="352" t="n"/>
      <c r="K13" s="352" t="n"/>
      <c r="L13" s="352" t="n"/>
      <c r="M13" s="352" t="n"/>
      <c r="N13" s="352" t="n"/>
      <c r="O13" s="352" t="n"/>
      <c r="P13" s="352" t="n"/>
      <c r="Q13" s="352" t="n"/>
      <c r="R13" s="353" t="n"/>
    </row>
    <row r="14" ht="15" customFormat="1" customHeight="1" s="397">
      <c r="A14" s="404" t="inlineStr">
        <is>
          <t>(A) PRELIMINAR</t>
        </is>
      </c>
      <c r="B14" s="352" t="n"/>
      <c r="C14" s="352" t="n"/>
      <c r="D14" s="352" t="n"/>
      <c r="E14" s="352" t="n"/>
      <c r="F14" s="353" t="n"/>
      <c r="G14" s="404" t="inlineStr">
        <is>
          <t>(D) PARA COTAÇÃO</t>
        </is>
      </c>
      <c r="H14" s="352" t="n"/>
      <c r="I14" s="352" t="n"/>
      <c r="J14" s="352" t="n"/>
      <c r="K14" s="352" t="n"/>
      <c r="L14" s="353" t="n"/>
      <c r="M14" s="404" t="inlineStr">
        <is>
          <t>(G) CONFORME CONSTRUIDO</t>
        </is>
      </c>
      <c r="N14" s="352" t="n"/>
      <c r="O14" s="352" t="n"/>
      <c r="P14" s="352" t="n"/>
      <c r="Q14" s="352" t="n"/>
      <c r="R14" s="353" t="n"/>
    </row>
    <row r="15" ht="15" customFormat="1" customHeight="1" s="397">
      <c r="A15" s="396" t="inlineStr">
        <is>
          <t>(B) PARA COMENTÁRIOS</t>
        </is>
      </c>
      <c r="F15" s="305" t="n"/>
      <c r="G15" s="396" t="inlineStr">
        <is>
          <t>(E) PARA CONSTRUÇÃO</t>
        </is>
      </c>
      <c r="L15" s="305" t="n"/>
      <c r="M15" s="396" t="inlineStr">
        <is>
          <t>(H) CANCELADO</t>
        </is>
      </c>
      <c r="R15" s="305" t="n"/>
    </row>
    <row r="16" ht="15" customFormat="1" customHeight="1" s="397">
      <c r="A16" s="408" t="inlineStr">
        <is>
          <t>(C) PARA CONHECIMENTO</t>
        </is>
      </c>
      <c r="B16" s="361" t="n"/>
      <c r="C16" s="361" t="n"/>
      <c r="D16" s="361" t="n"/>
      <c r="E16" s="361" t="n"/>
      <c r="F16" s="362" t="n"/>
      <c r="G16" s="408" t="inlineStr">
        <is>
          <t>(F) CONFORME COMPRADO</t>
        </is>
      </c>
      <c r="H16" s="361" t="n"/>
      <c r="I16" s="361" t="n"/>
      <c r="J16" s="361" t="n"/>
      <c r="K16" s="361" t="n"/>
      <c r="L16" s="362" t="n"/>
      <c r="M16" s="408" t="inlineStr">
        <is>
          <t>(I) APROVADO</t>
        </is>
      </c>
      <c r="N16" s="361" t="n"/>
      <c r="O16" s="361" t="n"/>
      <c r="P16" s="361" t="n"/>
      <c r="Q16" s="361" t="n"/>
      <c r="R16" s="362" t="n"/>
    </row>
    <row r="17" ht="9.75" customFormat="1" customHeight="1" s="397">
      <c r="A17" s="390" t="n"/>
      <c r="B17" s="341" t="n"/>
      <c r="C17" s="341" t="n"/>
      <c r="D17" s="341" t="n"/>
      <c r="E17" s="341" t="n"/>
      <c r="F17" s="341" t="n"/>
      <c r="G17" s="341" t="n"/>
      <c r="H17" s="341" t="n"/>
      <c r="I17" s="341" t="n"/>
      <c r="J17" s="341" t="n"/>
      <c r="K17" s="341" t="n"/>
      <c r="L17" s="341" t="n"/>
      <c r="M17" s="341" t="n"/>
      <c r="N17" s="341" t="n"/>
      <c r="O17" s="341" t="n"/>
      <c r="P17" s="341" t="n"/>
      <c r="Q17" s="341" t="n"/>
      <c r="R17" s="341" t="n"/>
    </row>
    <row r="18" ht="15" customFormat="1" customHeight="1" s="397">
      <c r="A18" s="403" t="inlineStr">
        <is>
          <t>OBSERVAÇÕES</t>
        </is>
      </c>
      <c r="B18" s="341" t="n"/>
      <c r="C18" s="341" t="n"/>
      <c r="D18" s="341" t="n"/>
      <c r="E18" s="341" t="n"/>
      <c r="F18" s="341" t="n"/>
      <c r="G18" s="341" t="n"/>
      <c r="H18" s="341" t="n"/>
      <c r="I18" s="341" t="n"/>
      <c r="J18" s="341" t="n"/>
      <c r="K18" s="341" t="n"/>
      <c r="L18" s="341" t="n"/>
      <c r="M18" s="341" t="n"/>
      <c r="N18" s="341" t="n"/>
      <c r="O18" s="341" t="n"/>
      <c r="P18" s="341" t="n"/>
      <c r="Q18" s="341" t="n"/>
      <c r="R18" s="342" t="n"/>
    </row>
    <row r="19" ht="15" customFormat="1" customHeight="1" s="397">
      <c r="A19" s="399" t="n"/>
      <c r="B19" s="352" t="n"/>
      <c r="C19" s="352" t="n"/>
      <c r="D19" s="352" t="n"/>
      <c r="E19" s="352" t="n"/>
      <c r="F19" s="352" t="n"/>
      <c r="G19" s="352" t="n"/>
      <c r="H19" s="352" t="n"/>
      <c r="I19" s="352" t="n"/>
      <c r="J19" s="352" t="n"/>
      <c r="K19" s="352" t="n"/>
      <c r="L19" s="352" t="n"/>
      <c r="M19" s="352" t="n"/>
      <c r="N19" s="352" t="n"/>
      <c r="O19" s="352" t="n"/>
      <c r="P19" s="352" t="n"/>
      <c r="Q19" s="352" t="n"/>
      <c r="R19" s="353" t="n"/>
    </row>
    <row r="20" ht="15" customFormat="1" customHeight="1" s="397">
      <c r="A20" s="358" t="n"/>
      <c r="R20" s="305" t="n"/>
    </row>
    <row r="21" ht="15" customFormat="1" customHeight="1" s="397">
      <c r="A21" s="360" t="n"/>
      <c r="B21" s="361" t="n"/>
      <c r="C21" s="361" t="n"/>
      <c r="D21" s="361" t="n"/>
      <c r="E21" s="361" t="n"/>
      <c r="F21" s="361" t="n"/>
      <c r="G21" s="361" t="n"/>
      <c r="H21" s="361" t="n"/>
      <c r="I21" s="361" t="n"/>
      <c r="J21" s="361" t="n"/>
      <c r="K21" s="361" t="n"/>
      <c r="L21" s="361" t="n"/>
      <c r="M21" s="361" t="n"/>
      <c r="N21" s="361" t="n"/>
      <c r="O21" s="361" t="n"/>
      <c r="P21" s="361" t="n"/>
      <c r="Q21" s="361" t="n"/>
      <c r="R21" s="362" t="n"/>
    </row>
    <row r="22" ht="12" customFormat="1" customHeight="1" s="397">
      <c r="A22" s="405" t="n"/>
      <c r="B22" s="352" t="n"/>
      <c r="C22" s="352" t="n"/>
      <c r="D22" s="352" t="n"/>
      <c r="E22" s="352" t="n"/>
      <c r="F22" s="352" t="n"/>
      <c r="G22" s="352" t="n"/>
      <c r="H22" s="352" t="n"/>
      <c r="I22" s="352" t="n"/>
      <c r="J22" s="352" t="n"/>
      <c r="K22" s="352" t="n"/>
      <c r="L22" s="352" t="n"/>
      <c r="M22" s="352" t="n"/>
      <c r="N22" s="352" t="n"/>
      <c r="O22" s="352" t="n"/>
      <c r="P22" s="352" t="n"/>
      <c r="Q22" s="352" t="n"/>
      <c r="R22" s="352" t="n"/>
    </row>
    <row r="23" hidden="1" ht="67.5" customFormat="1" customHeight="1" s="397">
      <c r="A23" s="26" t="inlineStr">
        <is>
          <t>item</t>
        </is>
      </c>
      <c r="B23" s="395" t="inlineStr">
        <is>
          <t>numero_vale</t>
        </is>
      </c>
      <c r="C23" s="361" t="n"/>
      <c r="D23" s="361" t="n"/>
      <c r="E23" s="395" t="inlineStr">
        <is>
          <t>numero_vale_antigo</t>
        </is>
      </c>
      <c r="F23" s="361" t="n"/>
      <c r="G23" s="361" t="n"/>
      <c r="H23" s="395" t="inlineStr">
        <is>
          <t>title</t>
        </is>
      </c>
      <c r="I23" s="361" t="n"/>
      <c r="J23" s="361" t="n"/>
      <c r="K23" s="361" t="n"/>
      <c r="L23" s="26" t="inlineStr">
        <is>
          <t>revisao</t>
        </is>
      </c>
      <c r="M23" s="27" t="inlineStr">
        <is>
          <t>sigla_tipo_emissao</t>
        </is>
      </c>
      <c r="N23" s="27" t="inlineStr">
        <is>
          <t>nome_formato</t>
        </is>
      </c>
      <c r="O23" s="27" t="inlineStr">
        <is>
          <t>numero_paginas</t>
        </is>
      </c>
      <c r="P23" s="26" t="inlineStr">
        <is>
          <t>quantidade_copias</t>
        </is>
      </c>
      <c r="Q23" s="395" t="inlineStr">
        <is>
          <t>suporte_transmissao</t>
        </is>
      </c>
      <c r="R23" s="361" t="n"/>
    </row>
    <row r="24" ht="15" customFormat="1" customHeight="1" s="397">
      <c r="A24" s="400" t="inlineStr">
        <is>
          <t xml:space="preserve">RELAÇÃO DE DOCUMENTOS </t>
        </is>
      </c>
      <c r="B24" s="392" t="n"/>
      <c r="C24" s="392" t="n"/>
      <c r="D24" s="392" t="n"/>
      <c r="E24" s="392" t="n"/>
      <c r="F24" s="392" t="n"/>
      <c r="G24" s="392" t="n"/>
      <c r="H24" s="392" t="n"/>
      <c r="I24" s="392" t="n"/>
      <c r="J24" s="392" t="n"/>
      <c r="K24" s="392" t="n"/>
      <c r="L24" s="392" t="n"/>
      <c r="M24" s="392" t="n"/>
      <c r="N24" s="392" t="n"/>
      <c r="O24" s="392" t="n"/>
      <c r="P24" s="392" t="n"/>
      <c r="Q24" s="392" t="n"/>
      <c r="R24" s="401" t="n"/>
    </row>
    <row r="25" ht="28.5" customFormat="1" customHeight="1" s="397">
      <c r="A25" s="28" t="inlineStr">
        <is>
          <t>ITEM</t>
        </is>
      </c>
      <c r="B25" s="419" t="inlineStr">
        <is>
          <t>No. DOC</t>
        </is>
      </c>
      <c r="C25" s="392" t="n"/>
      <c r="D25" s="401" t="n"/>
      <c r="E25" s="417" t="inlineStr">
        <is>
          <t>TÍTULO DO DOCUMENTO</t>
        </is>
      </c>
      <c r="F25" s="341" t="n"/>
      <c r="G25" s="341" t="n"/>
      <c r="H25" s="341" t="n"/>
      <c r="I25" s="341" t="n"/>
      <c r="J25" s="341" t="n"/>
      <c r="K25" s="341" t="n"/>
      <c r="L25" s="341" t="n"/>
      <c r="M25" s="341" t="n"/>
      <c r="N25" s="341" t="n"/>
      <c r="O25" s="342" t="n"/>
      <c r="P25" s="28" t="inlineStr">
        <is>
          <t>REV</t>
        </is>
      </c>
      <c r="Q25" s="28" t="inlineStr">
        <is>
          <t>TE</t>
        </is>
      </c>
      <c r="R25" s="28" t="inlineStr">
        <is>
          <t>FORMATO</t>
        </is>
      </c>
    </row>
    <row r="26" ht="45" customFormat="1" customHeight="1" s="397">
      <c r="A26" s="29" t="n">
        <v>1</v>
      </c>
      <c r="B26" s="394" t="inlineStr">
        <is>
          <t>IFS-9999-001-X-DC-00001</t>
        </is>
      </c>
      <c r="C26" s="392" t="n"/>
      <c r="D26" s="393" t="n"/>
      <c r="E26" s="391">
        <f>IF(B26="","",IFERROR(VLOOKUP(B26,LD!$B:$J,2,FALSE),""))</f>
        <v/>
      </c>
      <c r="F26" s="392" t="n"/>
      <c r="G26" s="392" t="n"/>
      <c r="H26" s="392" t="n"/>
      <c r="I26" s="392" t="n"/>
      <c r="J26" s="392" t="n"/>
      <c r="K26" s="392" t="n"/>
      <c r="L26" s="392" t="n"/>
      <c r="M26" s="392" t="n"/>
      <c r="N26" s="392" t="n"/>
      <c r="O26" s="393" t="n"/>
      <c r="P26" s="30" t="n">
        <v>1</v>
      </c>
      <c r="Q26" s="30" t="n"/>
      <c r="R26" s="31">
        <f>IFERROR(VLOOKUP($B26,LD!$B:$J,8,FALSE),"")</f>
        <v/>
      </c>
    </row>
    <row r="27" ht="45" customFormat="1" customHeight="1" s="397">
      <c r="A27" s="29" t="n">
        <v>2</v>
      </c>
      <c r="B27" s="394" t="inlineStr">
        <is>
          <t>IFS-9999-001-X-DC-00002</t>
        </is>
      </c>
      <c r="C27" s="392" t="n"/>
      <c r="D27" s="393" t="n"/>
      <c r="E27" s="391">
        <f>IF(B27="","",IFERROR(VLOOKUP(B27,LD!$B:$J,2,FALSE),""))</f>
        <v/>
      </c>
      <c r="F27" s="392" t="n"/>
      <c r="G27" s="392" t="n"/>
      <c r="H27" s="392" t="n"/>
      <c r="I27" s="392" t="n"/>
      <c r="J27" s="392" t="n"/>
      <c r="K27" s="392" t="n"/>
      <c r="L27" s="392" t="n"/>
      <c r="M27" s="392" t="n"/>
      <c r="N27" s="392" t="n"/>
      <c r="O27" s="393" t="n"/>
      <c r="P27" s="30" t="n">
        <v>0</v>
      </c>
      <c r="Q27" s="30" t="n"/>
      <c r="R27" s="31">
        <f>IFERROR(VLOOKUP($B27,LD!$B:$J,8,FALSE),"")</f>
        <v/>
      </c>
    </row>
    <row r="28" ht="45" customFormat="1" customHeight="1" s="397">
      <c r="A28" s="29" t="n"/>
      <c r="B28" s="394" t="n"/>
      <c r="C28" s="392" t="n"/>
      <c r="D28" s="393" t="n"/>
      <c r="E28" s="391">
        <f>IF(B28="","",IFERROR(VLOOKUP(B28,LD!$B:$J,2,FALSE),""))</f>
        <v/>
      </c>
      <c r="F28" s="392" t="n"/>
      <c r="G28" s="392" t="n"/>
      <c r="H28" s="392" t="n"/>
      <c r="I28" s="392" t="n"/>
      <c r="J28" s="392" t="n"/>
      <c r="K28" s="392" t="n"/>
      <c r="L28" s="392" t="n"/>
      <c r="M28" s="392" t="n"/>
      <c r="N28" s="392" t="n"/>
      <c r="O28" s="393" t="n"/>
      <c r="P28" s="30" t="n"/>
      <c r="Q28" s="30" t="n"/>
      <c r="R28" s="31">
        <f>IFERROR(VLOOKUP($B28,LD!$B:$J,8,FALSE),"")</f>
        <v/>
      </c>
    </row>
    <row r="29" ht="45" customFormat="1" customHeight="1" s="397">
      <c r="A29" s="29" t="n"/>
      <c r="B29" s="394" t="n"/>
      <c r="C29" s="392" t="n"/>
      <c r="D29" s="393" t="n"/>
      <c r="E29" s="391">
        <f>IF(B29="","",IFERROR(VLOOKUP(B29,LD!$B:$J,2,FALSE),""))</f>
        <v/>
      </c>
      <c r="F29" s="392" t="n"/>
      <c r="G29" s="392" t="n"/>
      <c r="H29" s="392" t="n"/>
      <c r="I29" s="392" t="n"/>
      <c r="J29" s="392" t="n"/>
      <c r="K29" s="392" t="n"/>
      <c r="L29" s="392" t="n"/>
      <c r="M29" s="392" t="n"/>
      <c r="N29" s="392" t="n"/>
      <c r="O29" s="393" t="n"/>
      <c r="P29" s="30" t="n"/>
      <c r="Q29" s="30" t="n"/>
      <c r="R29" s="31">
        <f>IFERROR(VLOOKUP($B29,LD!$B:$J,8,FALSE),"")</f>
        <v/>
      </c>
    </row>
    <row r="30" ht="45" customFormat="1" customHeight="1" s="397">
      <c r="A30" s="29" t="n"/>
      <c r="B30" s="394" t="n"/>
      <c r="C30" s="392" t="n"/>
      <c r="D30" s="393" t="n"/>
      <c r="E30" s="391">
        <f>IF(B30="","",IFERROR(VLOOKUP(B30,LD!$B:$J,2,FALSE),""))</f>
        <v/>
      </c>
      <c r="F30" s="392" t="n"/>
      <c r="G30" s="392" t="n"/>
      <c r="H30" s="392" t="n"/>
      <c r="I30" s="392" t="n"/>
      <c r="J30" s="392" t="n"/>
      <c r="K30" s="392" t="n"/>
      <c r="L30" s="392" t="n"/>
      <c r="M30" s="392" t="n"/>
      <c r="N30" s="392" t="n"/>
      <c r="O30" s="393" t="n"/>
      <c r="P30" s="30" t="n"/>
      <c r="Q30" s="30" t="n"/>
      <c r="R30" s="31">
        <f>IFERROR(VLOOKUP($B30,LD!$B:$J,8,FALSE),"")</f>
        <v/>
      </c>
    </row>
    <row r="31" ht="45" customFormat="1" customHeight="1" s="397">
      <c r="A31" s="29" t="n"/>
      <c r="B31" s="394" t="n"/>
      <c r="C31" s="392" t="n"/>
      <c r="D31" s="393" t="n"/>
      <c r="E31" s="391">
        <f>IF(B31="","",IFERROR(VLOOKUP(B31,LD!$B:$J,2,FALSE),""))</f>
        <v/>
      </c>
      <c r="F31" s="392" t="n"/>
      <c r="G31" s="392" t="n"/>
      <c r="H31" s="392" t="n"/>
      <c r="I31" s="392" t="n"/>
      <c r="J31" s="392" t="n"/>
      <c r="K31" s="392" t="n"/>
      <c r="L31" s="392" t="n"/>
      <c r="M31" s="392" t="n"/>
      <c r="N31" s="392" t="n"/>
      <c r="O31" s="393" t="n"/>
      <c r="P31" s="30" t="n"/>
      <c r="Q31" s="30" t="n"/>
      <c r="R31" s="31">
        <f>IFERROR(VLOOKUP($B31,LD!$B:$J,8,FALSE),"")</f>
        <v/>
      </c>
    </row>
    <row r="32" ht="45" customFormat="1" customHeight="1" s="397">
      <c r="A32" s="29" t="n"/>
      <c r="B32" s="394" t="n"/>
      <c r="C32" s="392" t="n"/>
      <c r="D32" s="393" t="n"/>
      <c r="E32" s="391">
        <f>IF(B32="","",IFERROR(VLOOKUP(B32,LD!$B:$J,2,FALSE),""))</f>
        <v/>
      </c>
      <c r="F32" s="392" t="n"/>
      <c r="G32" s="392" t="n"/>
      <c r="H32" s="392" t="n"/>
      <c r="I32" s="392" t="n"/>
      <c r="J32" s="392" t="n"/>
      <c r="K32" s="392" t="n"/>
      <c r="L32" s="392" t="n"/>
      <c r="M32" s="392" t="n"/>
      <c r="N32" s="392" t="n"/>
      <c r="O32" s="393" t="n"/>
      <c r="P32" s="30" t="n"/>
      <c r="Q32" s="30" t="n"/>
      <c r="R32" s="31">
        <f>IFERROR(VLOOKUP($B32,LD!$B:$J,8,FALSE),"")</f>
        <v/>
      </c>
    </row>
    <row r="33" ht="45" customFormat="1" customHeight="1" s="397">
      <c r="A33" s="29" t="n"/>
      <c r="B33" s="394" t="n"/>
      <c r="C33" s="392" t="n"/>
      <c r="D33" s="393" t="n"/>
      <c r="E33" s="391">
        <f>IF(B33="","",IFERROR(VLOOKUP(B33,LD!$B:$J,2,FALSE),""))</f>
        <v/>
      </c>
      <c r="F33" s="392" t="n"/>
      <c r="G33" s="392" t="n"/>
      <c r="H33" s="392" t="n"/>
      <c r="I33" s="392" t="n"/>
      <c r="J33" s="392" t="n"/>
      <c r="K33" s="392" t="n"/>
      <c r="L33" s="392" t="n"/>
      <c r="M33" s="392" t="n"/>
      <c r="N33" s="392" t="n"/>
      <c r="O33" s="393" t="n"/>
      <c r="P33" s="30" t="n"/>
      <c r="Q33" s="30" t="n"/>
      <c r="R33" s="31">
        <f>IFERROR(VLOOKUP($B33,LD!$B:$J,8,FALSE),"")</f>
        <v/>
      </c>
    </row>
    <row r="34" ht="45" customFormat="1" customHeight="1" s="397">
      <c r="A34" s="29" t="n"/>
      <c r="B34" s="394" t="n"/>
      <c r="C34" s="392" t="n"/>
      <c r="D34" s="393" t="n"/>
      <c r="E34" s="391">
        <f>IF(B34="","",IFERROR(VLOOKUP(B34,LD!$B:$J,2,FALSE),""))</f>
        <v/>
      </c>
      <c r="F34" s="392" t="n"/>
      <c r="G34" s="392" t="n"/>
      <c r="H34" s="392" t="n"/>
      <c r="I34" s="392" t="n"/>
      <c r="J34" s="392" t="n"/>
      <c r="K34" s="392" t="n"/>
      <c r="L34" s="392" t="n"/>
      <c r="M34" s="392" t="n"/>
      <c r="N34" s="392" t="n"/>
      <c r="O34" s="393" t="n"/>
      <c r="P34" s="30" t="n"/>
      <c r="Q34" s="30" t="n"/>
      <c r="R34" s="31">
        <f>IFERROR(VLOOKUP($B34,LD!$B:$J,8,FALSE),"")</f>
        <v/>
      </c>
    </row>
    <row r="35" ht="45" customFormat="1" customHeight="1" s="397">
      <c r="A35" s="29" t="n"/>
      <c r="B35" s="394" t="n"/>
      <c r="C35" s="392" t="n"/>
      <c r="D35" s="393" t="n"/>
      <c r="E35" s="391">
        <f>IF(B35="","",IFERROR(VLOOKUP(B35,LD!$B:$J,2,FALSE),""))</f>
        <v/>
      </c>
      <c r="F35" s="392" t="n"/>
      <c r="G35" s="392" t="n"/>
      <c r="H35" s="392" t="n"/>
      <c r="I35" s="392" t="n"/>
      <c r="J35" s="392" t="n"/>
      <c r="K35" s="392" t="n"/>
      <c r="L35" s="392" t="n"/>
      <c r="M35" s="392" t="n"/>
      <c r="N35" s="392" t="n"/>
      <c r="O35" s="393" t="n"/>
      <c r="P35" s="30" t="n"/>
      <c r="Q35" s="30" t="n"/>
      <c r="R35" s="31">
        <f>IFERROR(VLOOKUP($B35,LD!$B:$J,8,FALSE),"")</f>
        <v/>
      </c>
    </row>
    <row r="36" ht="45" customFormat="1" customHeight="1" s="397">
      <c r="A36" s="29" t="n"/>
      <c r="B36" s="394" t="n"/>
      <c r="C36" s="392" t="n"/>
      <c r="D36" s="393" t="n"/>
      <c r="E36" s="391">
        <f>IF(B36="","",IFERROR(VLOOKUP(B36,LD!$B:$J,2,FALSE),""))</f>
        <v/>
      </c>
      <c r="F36" s="392" t="n"/>
      <c r="G36" s="392" t="n"/>
      <c r="H36" s="392" t="n"/>
      <c r="I36" s="392" t="n"/>
      <c r="J36" s="392" t="n"/>
      <c r="K36" s="392" t="n"/>
      <c r="L36" s="392" t="n"/>
      <c r="M36" s="392" t="n"/>
      <c r="N36" s="392" t="n"/>
      <c r="O36" s="393" t="n"/>
      <c r="P36" s="30" t="n"/>
      <c r="Q36" s="30" t="n"/>
      <c r="R36" s="31">
        <f>IFERROR(VLOOKUP($B36,LD!$B:$J,8,FALSE),"")</f>
        <v/>
      </c>
    </row>
    <row r="37" ht="45" customFormat="1" customHeight="1" s="397">
      <c r="A37" s="29" t="n"/>
      <c r="B37" s="394" t="n"/>
      <c r="C37" s="392" t="n"/>
      <c r="D37" s="393" t="n"/>
      <c r="E37" s="391">
        <f>IF(B37="","",IFERROR(VLOOKUP(B37,LD!$B:$J,2,FALSE),""))</f>
        <v/>
      </c>
      <c r="F37" s="392" t="n"/>
      <c r="G37" s="392" t="n"/>
      <c r="H37" s="392" t="n"/>
      <c r="I37" s="392" t="n"/>
      <c r="J37" s="392" t="n"/>
      <c r="K37" s="392" t="n"/>
      <c r="L37" s="392" t="n"/>
      <c r="M37" s="392" t="n"/>
      <c r="N37" s="392" t="n"/>
      <c r="O37" s="393" t="n"/>
      <c r="P37" s="30" t="n"/>
      <c r="Q37" s="30" t="n"/>
      <c r="R37" s="31">
        <f>IFERROR(VLOOKUP($B37,LD!$B:$J,8,FALSE),"")</f>
        <v/>
      </c>
    </row>
    <row r="38" ht="45" customFormat="1" customHeight="1" s="397">
      <c r="A38" s="29" t="n"/>
      <c r="B38" s="394" t="n"/>
      <c r="C38" s="392" t="n"/>
      <c r="D38" s="393" t="n"/>
      <c r="E38" s="391">
        <f>IF(B38="","",IFERROR(VLOOKUP(B38,LD!$B:$J,2,FALSE),""))</f>
        <v/>
      </c>
      <c r="F38" s="392" t="n"/>
      <c r="G38" s="392" t="n"/>
      <c r="H38" s="392" t="n"/>
      <c r="I38" s="392" t="n"/>
      <c r="J38" s="392" t="n"/>
      <c r="K38" s="392" t="n"/>
      <c r="L38" s="392" t="n"/>
      <c r="M38" s="392" t="n"/>
      <c r="N38" s="392" t="n"/>
      <c r="O38" s="393" t="n"/>
      <c r="P38" s="30" t="n"/>
      <c r="Q38" s="30" t="n"/>
      <c r="R38" s="31">
        <f>IFERROR(VLOOKUP($B38,LD!$B:$J,8,FALSE),"")</f>
        <v/>
      </c>
    </row>
    <row r="39" ht="45" customFormat="1" customHeight="1" s="397">
      <c r="A39" s="29" t="n"/>
      <c r="B39" s="394" t="n"/>
      <c r="C39" s="392" t="n"/>
      <c r="D39" s="393" t="n"/>
      <c r="E39" s="391">
        <f>IF(B39="","",IFERROR(VLOOKUP(B39,LD!$B:$J,2,FALSE),""))</f>
        <v/>
      </c>
      <c r="F39" s="392" t="n"/>
      <c r="G39" s="392" t="n"/>
      <c r="H39" s="392" t="n"/>
      <c r="I39" s="392" t="n"/>
      <c r="J39" s="392" t="n"/>
      <c r="K39" s="392" t="n"/>
      <c r="L39" s="392" t="n"/>
      <c r="M39" s="392" t="n"/>
      <c r="N39" s="392" t="n"/>
      <c r="O39" s="393" t="n"/>
      <c r="P39" s="30" t="n"/>
      <c r="Q39" s="30" t="n"/>
      <c r="R39" s="31">
        <f>IFERROR(VLOOKUP($B39,LD!$B:$J,8,FALSE),"")</f>
        <v/>
      </c>
    </row>
    <row r="40" ht="45" customFormat="1" customHeight="1" s="397">
      <c r="A40" s="29" t="n"/>
      <c r="B40" s="394" t="n"/>
      <c r="C40" s="392" t="n"/>
      <c r="D40" s="393" t="n"/>
      <c r="E40" s="391">
        <f>IF(B40="","",IFERROR(VLOOKUP(B40,LD!$B:$J,2,FALSE),""))</f>
        <v/>
      </c>
      <c r="F40" s="392" t="n"/>
      <c r="G40" s="392" t="n"/>
      <c r="H40" s="392" t="n"/>
      <c r="I40" s="392" t="n"/>
      <c r="J40" s="392" t="n"/>
      <c r="K40" s="392" t="n"/>
      <c r="L40" s="392" t="n"/>
      <c r="M40" s="392" t="n"/>
      <c r="N40" s="392" t="n"/>
      <c r="O40" s="393" t="n"/>
      <c r="P40" s="30" t="n"/>
      <c r="Q40" s="30" t="n"/>
      <c r="R40" s="31">
        <f>IFERROR(VLOOKUP($B40,LD!$B:$J,8,FALSE),"")</f>
        <v/>
      </c>
    </row>
    <row r="41" ht="45" customFormat="1" customHeight="1" s="397">
      <c r="A41" s="29" t="n"/>
      <c r="B41" s="394" t="n"/>
      <c r="C41" s="392" t="n"/>
      <c r="D41" s="393" t="n"/>
      <c r="E41" s="391">
        <f>IF(B41="","",IFERROR(VLOOKUP(B41,LD!$B:$J,2,FALSE),""))</f>
        <v/>
      </c>
      <c r="F41" s="392" t="n"/>
      <c r="G41" s="392" t="n"/>
      <c r="H41" s="392" t="n"/>
      <c r="I41" s="392" t="n"/>
      <c r="J41" s="392" t="n"/>
      <c r="K41" s="392" t="n"/>
      <c r="L41" s="392" t="n"/>
      <c r="M41" s="392" t="n"/>
      <c r="N41" s="392" t="n"/>
      <c r="O41" s="393" t="n"/>
      <c r="P41" s="30" t="n"/>
      <c r="Q41" s="30" t="n"/>
      <c r="R41" s="31">
        <f>IFERROR(VLOOKUP($B41,LD!$B:$J,8,FALSE),"")</f>
        <v/>
      </c>
    </row>
    <row r="42" ht="45" customFormat="1" customHeight="1" s="397">
      <c r="A42" s="29" t="n"/>
      <c r="B42" s="394" t="n"/>
      <c r="C42" s="392" t="n"/>
      <c r="D42" s="393" t="n"/>
      <c r="E42" s="391">
        <f>IF(B42="","",IFERROR(VLOOKUP(B42,LD!$B:$J,2,FALSE),""))</f>
        <v/>
      </c>
      <c r="F42" s="392" t="n"/>
      <c r="G42" s="392" t="n"/>
      <c r="H42" s="392" t="n"/>
      <c r="I42" s="392" t="n"/>
      <c r="J42" s="392" t="n"/>
      <c r="K42" s="392" t="n"/>
      <c r="L42" s="392" t="n"/>
      <c r="M42" s="392" t="n"/>
      <c r="N42" s="392" t="n"/>
      <c r="O42" s="393" t="n"/>
      <c r="P42" s="30" t="n"/>
      <c r="Q42" s="30" t="n"/>
      <c r="R42" s="31">
        <f>IFERROR(VLOOKUP($B42,LD!$B:$J,8,FALSE),"")</f>
        <v/>
      </c>
    </row>
    <row r="43" ht="45" customFormat="1" customHeight="1" s="397">
      <c r="A43" s="29" t="n"/>
      <c r="B43" s="394" t="n"/>
      <c r="C43" s="392" t="n"/>
      <c r="D43" s="393" t="n"/>
      <c r="E43" s="391">
        <f>IF(B43="","",IFERROR(VLOOKUP(B43,LD!$B:$J,2,FALSE),""))</f>
        <v/>
      </c>
      <c r="F43" s="392" t="n"/>
      <c r="G43" s="392" t="n"/>
      <c r="H43" s="392" t="n"/>
      <c r="I43" s="392" t="n"/>
      <c r="J43" s="392" t="n"/>
      <c r="K43" s="392" t="n"/>
      <c r="L43" s="392" t="n"/>
      <c r="M43" s="392" t="n"/>
      <c r="N43" s="392" t="n"/>
      <c r="O43" s="393" t="n"/>
      <c r="P43" s="30" t="n"/>
      <c r="Q43" s="30" t="n"/>
      <c r="R43" s="31">
        <f>IFERROR(VLOOKUP($B43,LD!$B:$J,8,FALSE),"")</f>
        <v/>
      </c>
    </row>
    <row r="44" ht="45" customFormat="1" customHeight="1" s="397">
      <c r="A44" s="29" t="n"/>
      <c r="B44" s="394" t="n"/>
      <c r="C44" s="392" t="n"/>
      <c r="D44" s="393" t="n"/>
      <c r="E44" s="391">
        <f>IF(B44="","",IFERROR(VLOOKUP(B44,LD!$B:$J,2,FALSE),""))</f>
        <v/>
      </c>
      <c r="F44" s="392" t="n"/>
      <c r="G44" s="392" t="n"/>
      <c r="H44" s="392" t="n"/>
      <c r="I44" s="392" t="n"/>
      <c r="J44" s="392" t="n"/>
      <c r="K44" s="392" t="n"/>
      <c r="L44" s="392" t="n"/>
      <c r="M44" s="392" t="n"/>
      <c r="N44" s="392" t="n"/>
      <c r="O44" s="393" t="n"/>
      <c r="P44" s="30" t="n"/>
      <c r="Q44" s="30" t="n"/>
      <c r="R44" s="31">
        <f>IFERROR(VLOOKUP($B44,LD!$B:$J,8,FALSE),"")</f>
        <v/>
      </c>
    </row>
    <row r="45" ht="45" customFormat="1" customHeight="1" s="397">
      <c r="A45" s="29" t="n"/>
      <c r="B45" s="394" t="n"/>
      <c r="C45" s="392" t="n"/>
      <c r="D45" s="393" t="n"/>
      <c r="E45" s="391">
        <f>IF(B45="","",IFERROR(VLOOKUP(B45,LD!$B:$J,2,FALSE),""))</f>
        <v/>
      </c>
      <c r="F45" s="392" t="n"/>
      <c r="G45" s="392" t="n"/>
      <c r="H45" s="392" t="n"/>
      <c r="I45" s="392" t="n"/>
      <c r="J45" s="392" t="n"/>
      <c r="K45" s="392" t="n"/>
      <c r="L45" s="392" t="n"/>
      <c r="M45" s="392" t="n"/>
      <c r="N45" s="392" t="n"/>
      <c r="O45" s="393" t="n"/>
      <c r="P45" s="30" t="n"/>
      <c r="Q45" s="30" t="n"/>
      <c r="R45" s="31">
        <f>IFERROR(VLOOKUP($B45,LD!$B:$J,8,FALSE),"")</f>
        <v/>
      </c>
    </row>
    <row r="46" ht="45" customFormat="1" customHeight="1" s="397">
      <c r="A46" s="29" t="n"/>
      <c r="B46" s="394" t="n"/>
      <c r="C46" s="392" t="n"/>
      <c r="D46" s="393" t="n"/>
      <c r="E46" s="391">
        <f>IF(B46="","",IFERROR(VLOOKUP(B46,LD!$B:$J,2,FALSE),""))</f>
        <v/>
      </c>
      <c r="F46" s="392" t="n"/>
      <c r="G46" s="392" t="n"/>
      <c r="H46" s="392" t="n"/>
      <c r="I46" s="392" t="n"/>
      <c r="J46" s="392" t="n"/>
      <c r="K46" s="392" t="n"/>
      <c r="L46" s="392" t="n"/>
      <c r="M46" s="392" t="n"/>
      <c r="N46" s="392" t="n"/>
      <c r="O46" s="393" t="n"/>
      <c r="P46" s="30" t="n"/>
      <c r="Q46" s="30" t="n"/>
      <c r="R46" s="31">
        <f>IFERROR(VLOOKUP($B46,LD!$B:$J,8,FALSE),"")</f>
        <v/>
      </c>
    </row>
    <row r="47" ht="45" customFormat="1" customHeight="1" s="397">
      <c r="A47" s="29" t="n"/>
      <c r="B47" s="394" t="n"/>
      <c r="C47" s="392" t="n"/>
      <c r="D47" s="393" t="n"/>
      <c r="E47" s="391">
        <f>IF(B47="","",IFERROR(VLOOKUP(B47,LD!$B:$J,2,FALSE),""))</f>
        <v/>
      </c>
      <c r="F47" s="392" t="n"/>
      <c r="G47" s="392" t="n"/>
      <c r="H47" s="392" t="n"/>
      <c r="I47" s="392" t="n"/>
      <c r="J47" s="392" t="n"/>
      <c r="K47" s="392" t="n"/>
      <c r="L47" s="392" t="n"/>
      <c r="M47" s="392" t="n"/>
      <c r="N47" s="392" t="n"/>
      <c r="O47" s="393" t="n"/>
      <c r="P47" s="30" t="n"/>
      <c r="Q47" s="30" t="n"/>
      <c r="R47" s="31">
        <f>IFERROR(VLOOKUP($B47,LD!$B:$J,8,FALSE),"")</f>
        <v/>
      </c>
    </row>
    <row r="48" ht="45" customFormat="1" customHeight="1" s="397">
      <c r="A48" s="29" t="n"/>
      <c r="B48" s="394" t="n"/>
      <c r="C48" s="392" t="n"/>
      <c r="D48" s="393" t="n"/>
      <c r="E48" s="391">
        <f>IF(B48="","",IFERROR(VLOOKUP(B48,LD!$B:$J,2,FALSE),""))</f>
        <v/>
      </c>
      <c r="F48" s="392" t="n"/>
      <c r="G48" s="392" t="n"/>
      <c r="H48" s="392" t="n"/>
      <c r="I48" s="392" t="n"/>
      <c r="J48" s="392" t="n"/>
      <c r="K48" s="392" t="n"/>
      <c r="L48" s="392" t="n"/>
      <c r="M48" s="392" t="n"/>
      <c r="N48" s="392" t="n"/>
      <c r="O48" s="393" t="n"/>
      <c r="P48" s="30" t="n"/>
      <c r="Q48" s="30" t="n"/>
      <c r="R48" s="31">
        <f>IFERROR(VLOOKUP($B48,LD!$B:$J,8,FALSE),"")</f>
        <v/>
      </c>
    </row>
    <row r="49" ht="45" customFormat="1" customHeight="1" s="397">
      <c r="A49" s="29" t="n"/>
      <c r="B49" s="394" t="n"/>
      <c r="C49" s="392" t="n"/>
      <c r="D49" s="393" t="n"/>
      <c r="E49" s="391">
        <f>IF(B49="","",IFERROR(VLOOKUP(B49,LD!$B:$J,2,FALSE),""))</f>
        <v/>
      </c>
      <c r="F49" s="392" t="n"/>
      <c r="G49" s="392" t="n"/>
      <c r="H49" s="392" t="n"/>
      <c r="I49" s="392" t="n"/>
      <c r="J49" s="392" t="n"/>
      <c r="K49" s="392" t="n"/>
      <c r="L49" s="392" t="n"/>
      <c r="M49" s="392" t="n"/>
      <c r="N49" s="392" t="n"/>
      <c r="O49" s="393" t="n"/>
      <c r="P49" s="30" t="n"/>
      <c r="Q49" s="30" t="n"/>
      <c r="R49" s="31">
        <f>IFERROR(VLOOKUP($B49,LD!$B:$J,8,FALSE),"")</f>
        <v/>
      </c>
    </row>
    <row r="50" ht="45" customFormat="1" customHeight="1" s="397">
      <c r="A50" s="29" t="n"/>
      <c r="B50" s="394" t="n"/>
      <c r="C50" s="392" t="n"/>
      <c r="D50" s="393" t="n"/>
      <c r="E50" s="391">
        <f>IF(B50="","",IFERROR(VLOOKUP(B50,LD!$B:$J,2,FALSE),""))</f>
        <v/>
      </c>
      <c r="F50" s="392" t="n"/>
      <c r="G50" s="392" t="n"/>
      <c r="H50" s="392" t="n"/>
      <c r="I50" s="392" t="n"/>
      <c r="J50" s="392" t="n"/>
      <c r="K50" s="392" t="n"/>
      <c r="L50" s="392" t="n"/>
      <c r="M50" s="392" t="n"/>
      <c r="N50" s="392" t="n"/>
      <c r="O50" s="393" t="n"/>
      <c r="P50" s="30" t="n"/>
      <c r="Q50" s="30" t="n"/>
      <c r="R50" s="31">
        <f>IFERROR(VLOOKUP($B50,LD!$B:$J,8,FALSE),"")</f>
        <v/>
      </c>
    </row>
    <row r="51" ht="45" customFormat="1" customHeight="1" s="397">
      <c r="A51" s="29" t="n"/>
      <c r="B51" s="394" t="n"/>
      <c r="C51" s="392" t="n"/>
      <c r="D51" s="393" t="n"/>
      <c r="E51" s="391">
        <f>IF(B51="","",IFERROR(VLOOKUP(B51,LD!$B:$J,2,FALSE),""))</f>
        <v/>
      </c>
      <c r="F51" s="392" t="n"/>
      <c r="G51" s="392" t="n"/>
      <c r="H51" s="392" t="n"/>
      <c r="I51" s="392" t="n"/>
      <c r="J51" s="392" t="n"/>
      <c r="K51" s="392" t="n"/>
      <c r="L51" s="392" t="n"/>
      <c r="M51" s="392" t="n"/>
      <c r="N51" s="392" t="n"/>
      <c r="O51" s="393" t="n"/>
      <c r="P51" s="30" t="n"/>
      <c r="Q51" s="30" t="n"/>
      <c r="R51" s="31">
        <f>IFERROR(VLOOKUP($B51,LD!$B:$J,8,FALSE),"")</f>
        <v/>
      </c>
    </row>
    <row r="52" ht="45" customFormat="1" customHeight="1" s="397">
      <c r="A52" s="29" t="n"/>
      <c r="B52" s="394" t="n"/>
      <c r="C52" s="392" t="n"/>
      <c r="D52" s="393" t="n"/>
      <c r="E52" s="391">
        <f>IF(B52="","",IFERROR(VLOOKUP(B52,LD!$B:$J,2,FALSE),""))</f>
        <v/>
      </c>
      <c r="F52" s="392" t="n"/>
      <c r="G52" s="392" t="n"/>
      <c r="H52" s="392" t="n"/>
      <c r="I52" s="392" t="n"/>
      <c r="J52" s="392" t="n"/>
      <c r="K52" s="392" t="n"/>
      <c r="L52" s="392" t="n"/>
      <c r="M52" s="392" t="n"/>
      <c r="N52" s="392" t="n"/>
      <c r="O52" s="393" t="n"/>
      <c r="P52" s="30" t="n"/>
      <c r="Q52" s="30" t="n"/>
      <c r="R52" s="31">
        <f>IFERROR(VLOOKUP($B52,LD!$B:$J,8,FALSE),"")</f>
        <v/>
      </c>
    </row>
    <row r="53" ht="45" customFormat="1" customHeight="1" s="397">
      <c r="A53" s="29" t="n"/>
      <c r="B53" s="394" t="n"/>
      <c r="C53" s="392" t="n"/>
      <c r="D53" s="393" t="n"/>
      <c r="E53" s="391">
        <f>IF(B53="","",IFERROR(VLOOKUP(B53,LD!$B:$J,2,FALSE),""))</f>
        <v/>
      </c>
      <c r="F53" s="392" t="n"/>
      <c r="G53" s="392" t="n"/>
      <c r="H53" s="392" t="n"/>
      <c r="I53" s="392" t="n"/>
      <c r="J53" s="392" t="n"/>
      <c r="K53" s="392" t="n"/>
      <c r="L53" s="392" t="n"/>
      <c r="M53" s="392" t="n"/>
      <c r="N53" s="392" t="n"/>
      <c r="O53" s="393" t="n"/>
      <c r="P53" s="30" t="n"/>
      <c r="Q53" s="30" t="n"/>
      <c r="R53" s="31">
        <f>IFERROR(VLOOKUP($B53,LD!$B:$J,8,FALSE),"")</f>
        <v/>
      </c>
    </row>
    <row r="54" ht="45" customFormat="1" customHeight="1" s="397">
      <c r="A54" s="29" t="n"/>
      <c r="B54" s="394" t="n"/>
      <c r="C54" s="392" t="n"/>
      <c r="D54" s="393" t="n"/>
      <c r="E54" s="391">
        <f>IF(B54="","",IFERROR(VLOOKUP(B54,LD!$B:$J,2,FALSE),""))</f>
        <v/>
      </c>
      <c r="F54" s="392" t="n"/>
      <c r="G54" s="392" t="n"/>
      <c r="H54" s="392" t="n"/>
      <c r="I54" s="392" t="n"/>
      <c r="J54" s="392" t="n"/>
      <c r="K54" s="392" t="n"/>
      <c r="L54" s="392" t="n"/>
      <c r="M54" s="392" t="n"/>
      <c r="N54" s="392" t="n"/>
      <c r="O54" s="393" t="n"/>
      <c r="P54" s="30" t="n"/>
      <c r="Q54" s="30" t="n"/>
      <c r="R54" s="31">
        <f>IFERROR(VLOOKUP($B54,LD!$B:$J,8,FALSE),"")</f>
        <v/>
      </c>
    </row>
    <row r="55" ht="45" customFormat="1" customHeight="1" s="397">
      <c r="A55" s="29" t="n"/>
      <c r="B55" s="394" t="n"/>
      <c r="C55" s="392" t="n"/>
      <c r="D55" s="393" t="n"/>
      <c r="E55" s="391">
        <f>IF(B55="","",IFERROR(VLOOKUP(B55,LD!$B:$J,2,FALSE),""))</f>
        <v/>
      </c>
      <c r="F55" s="392" t="n"/>
      <c r="G55" s="392" t="n"/>
      <c r="H55" s="392" t="n"/>
      <c r="I55" s="392" t="n"/>
      <c r="J55" s="392" t="n"/>
      <c r="K55" s="392" t="n"/>
      <c r="L55" s="392" t="n"/>
      <c r="M55" s="392" t="n"/>
      <c r="N55" s="392" t="n"/>
      <c r="O55" s="393" t="n"/>
      <c r="P55" s="30" t="n"/>
      <c r="Q55" s="30" t="n"/>
      <c r="R55" s="31">
        <f>IFERROR(VLOOKUP($B55,LD!$B:$J,8,FALSE),"")</f>
        <v/>
      </c>
    </row>
    <row r="56" ht="45" customFormat="1" customHeight="1" s="397">
      <c r="A56" s="29" t="n"/>
      <c r="B56" s="394" t="n"/>
      <c r="C56" s="392" t="n"/>
      <c r="D56" s="393" t="n"/>
      <c r="E56" s="391">
        <f>IF(B56="","",IFERROR(VLOOKUP(B56,LD!$B:$J,2,FALSE),""))</f>
        <v/>
      </c>
      <c r="F56" s="392" t="n"/>
      <c r="G56" s="392" t="n"/>
      <c r="H56" s="392" t="n"/>
      <c r="I56" s="392" t="n"/>
      <c r="J56" s="392" t="n"/>
      <c r="K56" s="392" t="n"/>
      <c r="L56" s="392" t="n"/>
      <c r="M56" s="392" t="n"/>
      <c r="N56" s="392" t="n"/>
      <c r="O56" s="393" t="n"/>
      <c r="P56" s="30" t="n"/>
      <c r="Q56" s="30" t="n"/>
      <c r="R56" s="31">
        <f>IFERROR(VLOOKUP($B56,LD!$B:$J,8,FALSE),"")</f>
        <v/>
      </c>
    </row>
    <row r="57" ht="45" customFormat="1" customHeight="1" s="397">
      <c r="A57" s="29" t="n"/>
      <c r="B57" s="394" t="n"/>
      <c r="C57" s="392" t="n"/>
      <c r="D57" s="393" t="n"/>
      <c r="E57" s="391">
        <f>IF(B57="","",IFERROR(VLOOKUP(B57,LD!$B:$J,2,FALSE),""))</f>
        <v/>
      </c>
      <c r="F57" s="392" t="n"/>
      <c r="G57" s="392" t="n"/>
      <c r="H57" s="392" t="n"/>
      <c r="I57" s="392" t="n"/>
      <c r="J57" s="392" t="n"/>
      <c r="K57" s="392" t="n"/>
      <c r="L57" s="392" t="n"/>
      <c r="M57" s="392" t="n"/>
      <c r="N57" s="392" t="n"/>
      <c r="O57" s="393" t="n"/>
      <c r="P57" s="30" t="n"/>
      <c r="Q57" s="30" t="n"/>
      <c r="R57" s="31">
        <f>IFERROR(VLOOKUP($B57,LD!$B:$J,8,FALSE),"")</f>
        <v/>
      </c>
    </row>
    <row r="58" ht="45" customFormat="1" customHeight="1" s="397">
      <c r="A58" s="29" t="n"/>
      <c r="B58" s="394" t="n"/>
      <c r="C58" s="392" t="n"/>
      <c r="D58" s="393" t="n"/>
      <c r="E58" s="391">
        <f>IF(B58="","",IFERROR(VLOOKUP(B58,LD!$B:$J,2,FALSE),""))</f>
        <v/>
      </c>
      <c r="F58" s="392" t="n"/>
      <c r="G58" s="392" t="n"/>
      <c r="H58" s="392" t="n"/>
      <c r="I58" s="392" t="n"/>
      <c r="J58" s="392" t="n"/>
      <c r="K58" s="392" t="n"/>
      <c r="L58" s="392" t="n"/>
      <c r="M58" s="392" t="n"/>
      <c r="N58" s="392" t="n"/>
      <c r="O58" s="393" t="n"/>
      <c r="P58" s="30" t="n"/>
      <c r="Q58" s="30" t="n"/>
      <c r="R58" s="31">
        <f>IFERROR(VLOOKUP($B58,LD!$B:$J,8,FALSE),"")</f>
        <v/>
      </c>
    </row>
    <row r="59" ht="45" customFormat="1" customHeight="1" s="397">
      <c r="A59" s="29" t="n"/>
      <c r="B59" s="394" t="n"/>
      <c r="C59" s="392" t="n"/>
      <c r="D59" s="393" t="n"/>
      <c r="E59" s="391">
        <f>IF(B59="","",IFERROR(VLOOKUP(B59,LD!$B:$J,2,FALSE),""))</f>
        <v/>
      </c>
      <c r="F59" s="392" t="n"/>
      <c r="G59" s="392" t="n"/>
      <c r="H59" s="392" t="n"/>
      <c r="I59" s="392" t="n"/>
      <c r="J59" s="392" t="n"/>
      <c r="K59" s="392" t="n"/>
      <c r="L59" s="392" t="n"/>
      <c r="M59" s="392" t="n"/>
      <c r="N59" s="392" t="n"/>
      <c r="O59" s="393" t="n"/>
      <c r="P59" s="30" t="n"/>
      <c r="Q59" s="30" t="n"/>
      <c r="R59" s="31">
        <f>IFERROR(VLOOKUP($B59,LD!$B:$J,8,FALSE),"")</f>
        <v/>
      </c>
    </row>
    <row r="60" ht="45" customFormat="1" customHeight="1" s="397">
      <c r="A60" s="29" t="n"/>
      <c r="B60" s="394" t="n"/>
      <c r="C60" s="392" t="n"/>
      <c r="D60" s="393" t="n"/>
      <c r="E60" s="391">
        <f>IF(B60="","",IFERROR(VLOOKUP(B60,LD!$B:$J,2,FALSE),""))</f>
        <v/>
      </c>
      <c r="F60" s="392" t="n"/>
      <c r="G60" s="392" t="n"/>
      <c r="H60" s="392" t="n"/>
      <c r="I60" s="392" t="n"/>
      <c r="J60" s="392" t="n"/>
      <c r="K60" s="392" t="n"/>
      <c r="L60" s="392" t="n"/>
      <c r="M60" s="392" t="n"/>
      <c r="N60" s="392" t="n"/>
      <c r="O60" s="393" t="n"/>
      <c r="P60" s="30" t="n"/>
      <c r="Q60" s="30" t="n"/>
      <c r="R60" s="31">
        <f>IFERROR(VLOOKUP($B60,LD!$B:$J,8,FALSE),"")</f>
        <v/>
      </c>
    </row>
    <row r="61" ht="45" customHeight="1">
      <c r="A61" s="29" t="n"/>
      <c r="B61" s="394" t="n"/>
      <c r="C61" s="392" t="n"/>
      <c r="D61" s="393" t="n"/>
      <c r="E61" s="391">
        <f>IF(B61="","",IFERROR(VLOOKUP(B61,LD!$B:$J,2,FALSE),""))</f>
        <v/>
      </c>
      <c r="F61" s="392" t="n"/>
      <c r="G61" s="392" t="n"/>
      <c r="H61" s="392" t="n"/>
      <c r="I61" s="392" t="n"/>
      <c r="J61" s="392" t="n"/>
      <c r="K61" s="392" t="n"/>
      <c r="L61" s="392" t="n"/>
      <c r="M61" s="392" t="n"/>
      <c r="N61" s="392" t="n"/>
      <c r="O61" s="393" t="n"/>
      <c r="P61" s="30" t="n"/>
      <c r="Q61" s="30" t="n"/>
      <c r="R61" s="31">
        <f>IFERROR(VLOOKUP($B61,LD!$B:$J,8,FALSE),"")</f>
        <v/>
      </c>
    </row>
    <row r="62" ht="45" customHeight="1">
      <c r="A62" s="29" t="n"/>
      <c r="B62" s="394" t="n"/>
      <c r="C62" s="392" t="n"/>
      <c r="D62" s="393" t="n"/>
      <c r="E62" s="391">
        <f>IF(B62="","",IFERROR(VLOOKUP(B62,LD!$B:$J,2,FALSE),""))</f>
        <v/>
      </c>
      <c r="F62" s="392" t="n"/>
      <c r="G62" s="392" t="n"/>
      <c r="H62" s="392" t="n"/>
      <c r="I62" s="392" t="n"/>
      <c r="J62" s="392" t="n"/>
      <c r="K62" s="392" t="n"/>
      <c r="L62" s="392" t="n"/>
      <c r="M62" s="392" t="n"/>
      <c r="N62" s="392" t="n"/>
      <c r="O62" s="393" t="n"/>
      <c r="P62" s="30" t="n"/>
      <c r="Q62" s="30" t="n"/>
      <c r="R62" s="31">
        <f>IFERROR(VLOOKUP($B62,LD!$B:$J,8,FALSE),"")</f>
        <v/>
      </c>
    </row>
    <row r="63" ht="45" customHeight="1">
      <c r="A63" s="29" t="n"/>
      <c r="B63" s="394" t="n"/>
      <c r="C63" s="392" t="n"/>
      <c r="D63" s="393" t="n"/>
      <c r="E63" s="391">
        <f>IF(B63="","",IFERROR(VLOOKUP(B63,LD!$B:$J,2,FALSE),""))</f>
        <v/>
      </c>
      <c r="F63" s="392" t="n"/>
      <c r="G63" s="392" t="n"/>
      <c r="H63" s="392" t="n"/>
      <c r="I63" s="392" t="n"/>
      <c r="J63" s="392" t="n"/>
      <c r="K63" s="392" t="n"/>
      <c r="L63" s="392" t="n"/>
      <c r="M63" s="392" t="n"/>
      <c r="N63" s="392" t="n"/>
      <c r="O63" s="393" t="n"/>
      <c r="P63" s="30" t="n"/>
      <c r="Q63" s="30" t="n"/>
      <c r="R63" s="31">
        <f>IFERROR(VLOOKUP($B63,LD!$B:$J,8,FALSE),"")</f>
        <v/>
      </c>
    </row>
    <row r="64" ht="45" customHeight="1">
      <c r="A64" s="29" t="n"/>
      <c r="B64" s="394" t="n"/>
      <c r="C64" s="392" t="n"/>
      <c r="D64" s="393" t="n"/>
      <c r="E64" s="391">
        <f>IF(B64="","",IFERROR(VLOOKUP(B64,LD!$B:$J,2,FALSE),""))</f>
        <v/>
      </c>
      <c r="F64" s="392" t="n"/>
      <c r="G64" s="392" t="n"/>
      <c r="H64" s="392" t="n"/>
      <c r="I64" s="392" t="n"/>
      <c r="J64" s="392" t="n"/>
      <c r="K64" s="392" t="n"/>
      <c r="L64" s="392" t="n"/>
      <c r="M64" s="392" t="n"/>
      <c r="N64" s="392" t="n"/>
      <c r="O64" s="393" t="n"/>
      <c r="P64" s="30" t="n"/>
      <c r="Q64" s="30" t="n"/>
      <c r="R64" s="31">
        <f>IFERROR(VLOOKUP($B64,LD!$B:$J,8,FALSE),"")</f>
        <v/>
      </c>
    </row>
    <row r="65" ht="45" customHeight="1">
      <c r="A65" s="29" t="n"/>
      <c r="B65" s="394" t="n"/>
      <c r="C65" s="392" t="n"/>
      <c r="D65" s="393" t="n"/>
      <c r="E65" s="391">
        <f>IF(B65="","",IFERROR(VLOOKUP(B65,LD!$B:$J,2,FALSE),""))</f>
        <v/>
      </c>
      <c r="F65" s="392" t="n"/>
      <c r="G65" s="392" t="n"/>
      <c r="H65" s="392" t="n"/>
      <c r="I65" s="392" t="n"/>
      <c r="J65" s="392" t="n"/>
      <c r="K65" s="392" t="n"/>
      <c r="L65" s="392" t="n"/>
      <c r="M65" s="392" t="n"/>
      <c r="N65" s="392" t="n"/>
      <c r="O65" s="393" t="n"/>
      <c r="P65" s="30" t="n"/>
      <c r="Q65" s="30" t="n"/>
      <c r="R65" s="31">
        <f>IFERROR(VLOOKUP($B65,LD!$B:$J,8,FALSE),"")</f>
        <v/>
      </c>
    </row>
    <row r="66" ht="45" customHeight="1">
      <c r="A66" s="29" t="n"/>
      <c r="B66" s="394" t="n"/>
      <c r="C66" s="392" t="n"/>
      <c r="D66" s="393" t="n"/>
      <c r="E66" s="391">
        <f>IF(B66="","",IFERROR(VLOOKUP(B66,LD!$B:$J,2,FALSE),""))</f>
        <v/>
      </c>
      <c r="F66" s="392" t="n"/>
      <c r="G66" s="392" t="n"/>
      <c r="H66" s="392" t="n"/>
      <c r="I66" s="392" t="n"/>
      <c r="J66" s="392" t="n"/>
      <c r="K66" s="392" t="n"/>
      <c r="L66" s="392" t="n"/>
      <c r="M66" s="392" t="n"/>
      <c r="N66" s="392" t="n"/>
      <c r="O66" s="393" t="n"/>
      <c r="P66" s="30" t="n"/>
      <c r="Q66" s="30" t="n"/>
      <c r="R66" s="31">
        <f>IFERROR(VLOOKUP($B66,LD!$B:$J,8,FALSE),"")</f>
        <v/>
      </c>
    </row>
    <row r="67" ht="45" customHeight="1">
      <c r="A67" s="29" t="n"/>
      <c r="B67" s="394" t="n"/>
      <c r="C67" s="392" t="n"/>
      <c r="D67" s="393" t="n"/>
      <c r="E67" s="391">
        <f>IF(B67="","",IFERROR(VLOOKUP(B67,LD!$B:$J,2,FALSE),""))</f>
        <v/>
      </c>
      <c r="F67" s="392" t="n"/>
      <c r="G67" s="392" t="n"/>
      <c r="H67" s="392" t="n"/>
      <c r="I67" s="392" t="n"/>
      <c r="J67" s="392" t="n"/>
      <c r="K67" s="392" t="n"/>
      <c r="L67" s="392" t="n"/>
      <c r="M67" s="392" t="n"/>
      <c r="N67" s="392" t="n"/>
      <c r="O67" s="393" t="n"/>
      <c r="P67" s="30" t="n"/>
      <c r="Q67" s="30" t="n"/>
      <c r="R67" s="31">
        <f>IFERROR(VLOOKUP($B67,LD!$B:$J,8,FALSE),"")</f>
        <v/>
      </c>
    </row>
    <row r="68" ht="45" customHeight="1">
      <c r="A68" s="29" t="n"/>
      <c r="B68" s="394" t="n"/>
      <c r="C68" s="392" t="n"/>
      <c r="D68" s="393" t="n"/>
      <c r="E68" s="391">
        <f>IF(B68="","",IFERROR(VLOOKUP(B68,LD!$B:$J,2,FALSE),""))</f>
        <v/>
      </c>
      <c r="F68" s="392" t="n"/>
      <c r="G68" s="392" t="n"/>
      <c r="H68" s="392" t="n"/>
      <c r="I68" s="392" t="n"/>
      <c r="J68" s="392" t="n"/>
      <c r="K68" s="392" t="n"/>
      <c r="L68" s="392" t="n"/>
      <c r="M68" s="392" t="n"/>
      <c r="N68" s="392" t="n"/>
      <c r="O68" s="393" t="n"/>
      <c r="P68" s="30" t="n"/>
      <c r="Q68" s="30" t="n"/>
      <c r="R68" s="31">
        <f>IFERROR(VLOOKUP($B68,LD!$B:$J,8,FALSE),"")</f>
        <v/>
      </c>
    </row>
    <row r="69" ht="45" customHeight="1">
      <c r="A69" s="29" t="n"/>
      <c r="B69" s="394" t="n"/>
      <c r="C69" s="392" t="n"/>
      <c r="D69" s="393" t="n"/>
      <c r="E69" s="391">
        <f>IF(B69="","",IFERROR(VLOOKUP(B69,LD!$B:$J,2,FALSE),""))</f>
        <v/>
      </c>
      <c r="F69" s="392" t="n"/>
      <c r="G69" s="392" t="n"/>
      <c r="H69" s="392" t="n"/>
      <c r="I69" s="392" t="n"/>
      <c r="J69" s="392" t="n"/>
      <c r="K69" s="392" t="n"/>
      <c r="L69" s="392" t="n"/>
      <c r="M69" s="392" t="n"/>
      <c r="N69" s="392" t="n"/>
      <c r="O69" s="393" t="n"/>
      <c r="P69" s="30" t="n"/>
      <c r="Q69" s="30" t="n"/>
      <c r="R69" s="31">
        <f>IFERROR(VLOOKUP($B69,LD!$B:$J,8,FALSE),"")</f>
        <v/>
      </c>
    </row>
    <row r="70" ht="45" customHeight="1">
      <c r="A70" s="29" t="n"/>
      <c r="B70" s="394" t="n"/>
      <c r="C70" s="392" t="n"/>
      <c r="D70" s="393" t="n"/>
      <c r="E70" s="391">
        <f>IF(B70="","",IFERROR(VLOOKUP(B70,LD!$B:$J,2,FALSE),""))</f>
        <v/>
      </c>
      <c r="F70" s="392" t="n"/>
      <c r="G70" s="392" t="n"/>
      <c r="H70" s="392" t="n"/>
      <c r="I70" s="392" t="n"/>
      <c r="J70" s="392" t="n"/>
      <c r="K70" s="392" t="n"/>
      <c r="L70" s="392" t="n"/>
      <c r="M70" s="392" t="n"/>
      <c r="N70" s="392" t="n"/>
      <c r="O70" s="393" t="n"/>
      <c r="P70" s="30" t="n"/>
      <c r="Q70" s="30" t="n"/>
      <c r="R70" s="31">
        <f>IFERROR(VLOOKUP($B70,LD!$B:$J,8,FALSE),"")</f>
        <v/>
      </c>
    </row>
    <row r="71" ht="45" customHeight="1">
      <c r="A71" s="29" t="n"/>
      <c r="B71" s="394" t="n"/>
      <c r="C71" s="392" t="n"/>
      <c r="D71" s="393" t="n"/>
      <c r="E71" s="391">
        <f>IF(B71="","",IFERROR(VLOOKUP(B71,LD!$B:$J,2,FALSE),""))</f>
        <v/>
      </c>
      <c r="F71" s="392" t="n"/>
      <c r="G71" s="392" t="n"/>
      <c r="H71" s="392" t="n"/>
      <c r="I71" s="392" t="n"/>
      <c r="J71" s="392" t="n"/>
      <c r="K71" s="392" t="n"/>
      <c r="L71" s="392" t="n"/>
      <c r="M71" s="392" t="n"/>
      <c r="N71" s="392" t="n"/>
      <c r="O71" s="393" t="n"/>
      <c r="P71" s="30" t="n"/>
      <c r="Q71" s="30" t="n"/>
      <c r="R71" s="31">
        <f>IFERROR(VLOOKUP($B71,LD!$B:$J,8,FALSE),"")</f>
        <v/>
      </c>
    </row>
    <row r="72" ht="45" customHeight="1">
      <c r="A72" s="29" t="n"/>
      <c r="B72" s="394" t="n"/>
      <c r="C72" s="392" t="n"/>
      <c r="D72" s="393" t="n"/>
      <c r="E72" s="391">
        <f>IF(B72="","",IFERROR(VLOOKUP(B72,LD!$B:$J,2,FALSE),""))</f>
        <v/>
      </c>
      <c r="F72" s="392" t="n"/>
      <c r="G72" s="392" t="n"/>
      <c r="H72" s="392" t="n"/>
      <c r="I72" s="392" t="n"/>
      <c r="J72" s="392" t="n"/>
      <c r="K72" s="392" t="n"/>
      <c r="L72" s="392" t="n"/>
      <c r="M72" s="392" t="n"/>
      <c r="N72" s="392" t="n"/>
      <c r="O72" s="393" t="n"/>
      <c r="P72" s="30" t="n"/>
      <c r="Q72" s="30" t="n"/>
      <c r="R72" s="31">
        <f>IFERROR(VLOOKUP($B72,LD!$B:$J,8,FALSE),"")</f>
        <v/>
      </c>
    </row>
    <row r="73" ht="45" customHeight="1">
      <c r="A73" s="29" t="n"/>
      <c r="B73" s="394" t="n"/>
      <c r="C73" s="392" t="n"/>
      <c r="D73" s="393" t="n"/>
      <c r="E73" s="391">
        <f>IF(B73="","",IFERROR(VLOOKUP(B73,LD!$B:$J,2,FALSE),""))</f>
        <v/>
      </c>
      <c r="F73" s="392" t="n"/>
      <c r="G73" s="392" t="n"/>
      <c r="H73" s="392" t="n"/>
      <c r="I73" s="392" t="n"/>
      <c r="J73" s="392" t="n"/>
      <c r="K73" s="392" t="n"/>
      <c r="L73" s="392" t="n"/>
      <c r="M73" s="392" t="n"/>
      <c r="N73" s="392" t="n"/>
      <c r="O73" s="393" t="n"/>
      <c r="P73" s="30" t="n"/>
      <c r="Q73" s="30" t="n"/>
      <c r="R73" s="31">
        <f>IFERROR(VLOOKUP($B73,LD!$B:$J,8,FALSE),"")</f>
        <v/>
      </c>
    </row>
    <row r="74" ht="45" customHeight="1">
      <c r="A74" s="29" t="n"/>
      <c r="B74" s="394" t="n"/>
      <c r="C74" s="392" t="n"/>
      <c r="D74" s="393" t="n"/>
      <c r="E74" s="391">
        <f>IF(B74="","",IFERROR(VLOOKUP(B74,LD!$B:$J,2,FALSE),""))</f>
        <v/>
      </c>
      <c r="F74" s="392" t="n"/>
      <c r="G74" s="392" t="n"/>
      <c r="H74" s="392" t="n"/>
      <c r="I74" s="392" t="n"/>
      <c r="J74" s="392" t="n"/>
      <c r="K74" s="392" t="n"/>
      <c r="L74" s="392" t="n"/>
      <c r="M74" s="392" t="n"/>
      <c r="N74" s="392" t="n"/>
      <c r="O74" s="393" t="n"/>
      <c r="P74" s="30" t="n"/>
      <c r="Q74" s="30" t="n"/>
      <c r="R74" s="31">
        <f>IFERROR(VLOOKUP($B74,LD!$B:$J,8,FALSE),"")</f>
        <v/>
      </c>
    </row>
    <row r="75" ht="45" customHeight="1">
      <c r="A75" s="29" t="n"/>
      <c r="B75" s="394" t="n"/>
      <c r="C75" s="392" t="n"/>
      <c r="D75" s="393" t="n"/>
      <c r="E75" s="391">
        <f>IF(B75="","",IFERROR(VLOOKUP(B75,LD!$B:$J,2,FALSE),""))</f>
        <v/>
      </c>
      <c r="F75" s="392" t="n"/>
      <c r="G75" s="392" t="n"/>
      <c r="H75" s="392" t="n"/>
      <c r="I75" s="392" t="n"/>
      <c r="J75" s="392" t="n"/>
      <c r="K75" s="392" t="n"/>
      <c r="L75" s="392" t="n"/>
      <c r="M75" s="392" t="n"/>
      <c r="N75" s="392" t="n"/>
      <c r="O75" s="393" t="n"/>
      <c r="P75" s="30" t="n"/>
      <c r="Q75" s="30" t="n"/>
      <c r="R75" s="31">
        <f>IFERROR(VLOOKUP($B75,LD!$B:$J,8,FALSE),"")</f>
        <v/>
      </c>
    </row>
    <row r="76" ht="45" customHeight="1">
      <c r="A76" s="29" t="n"/>
      <c r="B76" s="394" t="n"/>
      <c r="C76" s="392" t="n"/>
      <c r="D76" s="393" t="n"/>
      <c r="E76" s="391">
        <f>IF(B76="","",IFERROR(VLOOKUP(B76,LD!$B:$J,2,FALSE),""))</f>
        <v/>
      </c>
      <c r="F76" s="392" t="n"/>
      <c r="G76" s="392" t="n"/>
      <c r="H76" s="392" t="n"/>
      <c r="I76" s="392" t="n"/>
      <c r="J76" s="392" t="n"/>
      <c r="K76" s="392" t="n"/>
      <c r="L76" s="392" t="n"/>
      <c r="M76" s="392" t="n"/>
      <c r="N76" s="392" t="n"/>
      <c r="O76" s="393" t="n"/>
      <c r="P76" s="30" t="n"/>
      <c r="Q76" s="30" t="n"/>
      <c r="R76" s="31">
        <f>IFERROR(VLOOKUP($B76,LD!$B:$J,8,FALSE),"")</f>
        <v/>
      </c>
    </row>
    <row r="77" ht="45" customHeight="1">
      <c r="A77" s="29" t="n"/>
      <c r="B77" s="394" t="n"/>
      <c r="C77" s="392" t="n"/>
      <c r="D77" s="393" t="n"/>
      <c r="E77" s="391">
        <f>IF(B77="","",IFERROR(VLOOKUP(B77,LD!$B:$J,2,FALSE),""))</f>
        <v/>
      </c>
      <c r="F77" s="392" t="n"/>
      <c r="G77" s="392" t="n"/>
      <c r="H77" s="392" t="n"/>
      <c r="I77" s="392" t="n"/>
      <c r="J77" s="392" t="n"/>
      <c r="K77" s="392" t="n"/>
      <c r="L77" s="392" t="n"/>
      <c r="M77" s="392" t="n"/>
      <c r="N77" s="392" t="n"/>
      <c r="O77" s="393" t="n"/>
      <c r="P77" s="30" t="n"/>
      <c r="Q77" s="30" t="n"/>
      <c r="R77" s="31">
        <f>IFERROR(VLOOKUP($B77,LD!$B:$J,8,FALSE),"")</f>
        <v/>
      </c>
    </row>
    <row r="78" ht="45" customHeight="1">
      <c r="A78" s="29" t="n"/>
      <c r="B78" s="394" t="n"/>
      <c r="C78" s="392" t="n"/>
      <c r="D78" s="393" t="n"/>
      <c r="E78" s="391">
        <f>IF(B78="","",IFERROR(VLOOKUP(B78,LD!$B:$J,2,FALSE),""))</f>
        <v/>
      </c>
      <c r="F78" s="392" t="n"/>
      <c r="G78" s="392" t="n"/>
      <c r="H78" s="392" t="n"/>
      <c r="I78" s="392" t="n"/>
      <c r="J78" s="392" t="n"/>
      <c r="K78" s="392" t="n"/>
      <c r="L78" s="392" t="n"/>
      <c r="M78" s="392" t="n"/>
      <c r="N78" s="392" t="n"/>
      <c r="O78" s="393" t="n"/>
      <c r="P78" s="30" t="n"/>
      <c r="Q78" s="30" t="n"/>
      <c r="R78" s="31">
        <f>IFERROR(VLOOKUP($B78,LD!$B:$J,8,FALSE),"")</f>
        <v/>
      </c>
    </row>
    <row r="79" ht="45" customHeight="1">
      <c r="A79" s="29" t="n"/>
      <c r="B79" s="394" t="n"/>
      <c r="C79" s="392" t="n"/>
      <c r="D79" s="393" t="n"/>
      <c r="E79" s="391">
        <f>IF(B79="","",IFERROR(VLOOKUP(B79,LD!$B:$J,2,FALSE),""))</f>
        <v/>
      </c>
      <c r="F79" s="392" t="n"/>
      <c r="G79" s="392" t="n"/>
      <c r="H79" s="392" t="n"/>
      <c r="I79" s="392" t="n"/>
      <c r="J79" s="392" t="n"/>
      <c r="K79" s="392" t="n"/>
      <c r="L79" s="392" t="n"/>
      <c r="M79" s="392" t="n"/>
      <c r="N79" s="392" t="n"/>
      <c r="O79" s="393" t="n"/>
      <c r="P79" s="30" t="n"/>
      <c r="Q79" s="30" t="n"/>
      <c r="R79" s="31">
        <f>IFERROR(VLOOKUP($B79,LD!$B:$J,8,FALSE),"")</f>
        <v/>
      </c>
    </row>
    <row r="80" ht="45" customHeight="1">
      <c r="A80" s="29" t="n"/>
      <c r="B80" s="394" t="n"/>
      <c r="C80" s="392" t="n"/>
      <c r="D80" s="393" t="n"/>
      <c r="E80" s="391">
        <f>IF(B80="","",IFERROR(VLOOKUP(B80,LD!$B:$J,2,FALSE),""))</f>
        <v/>
      </c>
      <c r="F80" s="392" t="n"/>
      <c r="G80" s="392" t="n"/>
      <c r="H80" s="392" t="n"/>
      <c r="I80" s="392" t="n"/>
      <c r="J80" s="392" t="n"/>
      <c r="K80" s="392" t="n"/>
      <c r="L80" s="392" t="n"/>
      <c r="M80" s="392" t="n"/>
      <c r="N80" s="392" t="n"/>
      <c r="O80" s="393" t="n"/>
      <c r="P80" s="30" t="n"/>
      <c r="Q80" s="30" t="n"/>
      <c r="R80" s="31">
        <f>IFERROR(VLOOKUP($B80,LD!$B:$J,8,FALSE),"")</f>
        <v/>
      </c>
    </row>
    <row r="81" ht="45" customHeight="1">
      <c r="A81" s="29" t="n"/>
      <c r="B81" s="394" t="n"/>
      <c r="C81" s="392" t="n"/>
      <c r="D81" s="393" t="n"/>
      <c r="E81" s="391">
        <f>IF(B81="","",IFERROR(VLOOKUP(B81,LD!$B:$J,2,FALSE),""))</f>
        <v/>
      </c>
      <c r="F81" s="392" t="n"/>
      <c r="G81" s="392" t="n"/>
      <c r="H81" s="392" t="n"/>
      <c r="I81" s="392" t="n"/>
      <c r="J81" s="392" t="n"/>
      <c r="K81" s="392" t="n"/>
      <c r="L81" s="392" t="n"/>
      <c r="M81" s="392" t="n"/>
      <c r="N81" s="392" t="n"/>
      <c r="O81" s="393" t="n"/>
      <c r="P81" s="30" t="n"/>
      <c r="Q81" s="30" t="n"/>
      <c r="R81" s="31">
        <f>IFERROR(VLOOKUP($B81,LD!$B:$J,8,FALSE),"")</f>
        <v/>
      </c>
    </row>
    <row r="82" ht="45" customHeight="1">
      <c r="A82" s="29" t="n"/>
      <c r="B82" s="394" t="n"/>
      <c r="C82" s="392" t="n"/>
      <c r="D82" s="393" t="n"/>
      <c r="E82" s="391">
        <f>IF(B82="","",IFERROR(VLOOKUP(B82,LD!$B:$J,2,FALSE),""))</f>
        <v/>
      </c>
      <c r="F82" s="392" t="n"/>
      <c r="G82" s="392" t="n"/>
      <c r="H82" s="392" t="n"/>
      <c r="I82" s="392" t="n"/>
      <c r="J82" s="392" t="n"/>
      <c r="K82" s="392" t="n"/>
      <c r="L82" s="392" t="n"/>
      <c r="M82" s="392" t="n"/>
      <c r="N82" s="392" t="n"/>
      <c r="O82" s="393" t="n"/>
      <c r="P82" s="30" t="n"/>
      <c r="Q82" s="30" t="n"/>
      <c r="R82" s="31">
        <f>IFERROR(VLOOKUP($B82,LD!$B:$J,8,FALSE),"")</f>
        <v/>
      </c>
    </row>
    <row r="83" ht="45" customHeight="1">
      <c r="A83" s="29" t="n"/>
      <c r="B83" s="394" t="n"/>
      <c r="C83" s="392" t="n"/>
      <c r="D83" s="393" t="n"/>
      <c r="E83" s="391">
        <f>IF(B83="","",IFERROR(VLOOKUP(B83,LD!$B:$J,2,FALSE),""))</f>
        <v/>
      </c>
      <c r="F83" s="392" t="n"/>
      <c r="G83" s="392" t="n"/>
      <c r="H83" s="392" t="n"/>
      <c r="I83" s="392" t="n"/>
      <c r="J83" s="392" t="n"/>
      <c r="K83" s="392" t="n"/>
      <c r="L83" s="392" t="n"/>
      <c r="M83" s="392" t="n"/>
      <c r="N83" s="392" t="n"/>
      <c r="O83" s="393" t="n"/>
      <c r="P83" s="30" t="n"/>
      <c r="Q83" s="30" t="n"/>
      <c r="R83" s="31">
        <f>IFERROR(VLOOKUP($B83,LD!$B:$J,8,FALSE),"")</f>
        <v/>
      </c>
    </row>
    <row r="84" ht="45" customHeight="1">
      <c r="A84" s="29" t="n"/>
      <c r="B84" s="394" t="n"/>
      <c r="C84" s="392" t="n"/>
      <c r="D84" s="393" t="n"/>
      <c r="E84" s="391">
        <f>IF(B84="","",IFERROR(VLOOKUP(B84,LD!$B:$J,2,FALSE),""))</f>
        <v/>
      </c>
      <c r="F84" s="392" t="n"/>
      <c r="G84" s="392" t="n"/>
      <c r="H84" s="392" t="n"/>
      <c r="I84" s="392" t="n"/>
      <c r="J84" s="392" t="n"/>
      <c r="K84" s="392" t="n"/>
      <c r="L84" s="392" t="n"/>
      <c r="M84" s="392" t="n"/>
      <c r="N84" s="392" t="n"/>
      <c r="O84" s="393" t="n"/>
      <c r="P84" s="30" t="n"/>
      <c r="Q84" s="30" t="n"/>
      <c r="R84" s="31">
        <f>IFERROR(VLOOKUP($B84,LD!$B:$J,8,FALSE),"")</f>
        <v/>
      </c>
    </row>
    <row r="85" ht="45" customHeight="1">
      <c r="A85" s="29" t="n"/>
      <c r="B85" s="394" t="n"/>
      <c r="C85" s="392" t="n"/>
      <c r="D85" s="393" t="n"/>
      <c r="E85" s="391">
        <f>IF(B85="","",IFERROR(VLOOKUP(B85,LD!$B:$J,2,FALSE),""))</f>
        <v/>
      </c>
      <c r="F85" s="392" t="n"/>
      <c r="G85" s="392" t="n"/>
      <c r="H85" s="392" t="n"/>
      <c r="I85" s="392" t="n"/>
      <c r="J85" s="392" t="n"/>
      <c r="K85" s="392" t="n"/>
      <c r="L85" s="392" t="n"/>
      <c r="M85" s="392" t="n"/>
      <c r="N85" s="392" t="n"/>
      <c r="O85" s="393" t="n"/>
      <c r="P85" s="30" t="n"/>
      <c r="Q85" s="30" t="n"/>
      <c r="R85" s="31">
        <f>IFERROR(VLOOKUP($B85,LD!$B:$J,8,FALSE),"")</f>
        <v/>
      </c>
    </row>
    <row r="86" ht="45" customHeight="1">
      <c r="A86" s="29" t="n"/>
      <c r="B86" s="394" t="n"/>
      <c r="C86" s="392" t="n"/>
      <c r="D86" s="393" t="n"/>
      <c r="E86" s="391">
        <f>IF(B86="","",IFERROR(VLOOKUP(B86,LD!$B:$J,2,FALSE),""))</f>
        <v/>
      </c>
      <c r="F86" s="392" t="n"/>
      <c r="G86" s="392" t="n"/>
      <c r="H86" s="392" t="n"/>
      <c r="I86" s="392" t="n"/>
      <c r="J86" s="392" t="n"/>
      <c r="K86" s="392" t="n"/>
      <c r="L86" s="392" t="n"/>
      <c r="M86" s="392" t="n"/>
      <c r="N86" s="392" t="n"/>
      <c r="O86" s="393" t="n"/>
      <c r="P86" s="30" t="n"/>
      <c r="Q86" s="30" t="n"/>
      <c r="R86" s="31">
        <f>IFERROR(VLOOKUP($B86,LD!$B:$J,8,FALSE),"")</f>
        <v/>
      </c>
    </row>
    <row r="87" ht="45" customHeight="1">
      <c r="A87" s="29" t="n"/>
      <c r="B87" s="394" t="n"/>
      <c r="C87" s="392" t="n"/>
      <c r="D87" s="393" t="n"/>
      <c r="E87" s="391">
        <f>IF(B87="","",IFERROR(VLOOKUP(B87,LD!$B:$J,2,FALSE),""))</f>
        <v/>
      </c>
      <c r="F87" s="392" t="n"/>
      <c r="G87" s="392" t="n"/>
      <c r="H87" s="392" t="n"/>
      <c r="I87" s="392" t="n"/>
      <c r="J87" s="392" t="n"/>
      <c r="K87" s="392" t="n"/>
      <c r="L87" s="392" t="n"/>
      <c r="M87" s="392" t="n"/>
      <c r="N87" s="392" t="n"/>
      <c r="O87" s="393" t="n"/>
      <c r="P87" s="30" t="n"/>
      <c r="Q87" s="30" t="n"/>
      <c r="R87" s="31">
        <f>IFERROR(VLOOKUP($B87,LD!$B:$J,8,FALSE),"")</f>
        <v/>
      </c>
    </row>
    <row r="88" ht="45" customHeight="1">
      <c r="A88" s="29" t="n"/>
      <c r="B88" s="394" t="n"/>
      <c r="C88" s="392" t="n"/>
      <c r="D88" s="393" t="n"/>
      <c r="E88" s="391">
        <f>IF(B88="","",IFERROR(VLOOKUP(B88,LD!$B:$J,2,FALSE),""))</f>
        <v/>
      </c>
      <c r="F88" s="392" t="n"/>
      <c r="G88" s="392" t="n"/>
      <c r="H88" s="392" t="n"/>
      <c r="I88" s="392" t="n"/>
      <c r="J88" s="392" t="n"/>
      <c r="K88" s="392" t="n"/>
      <c r="L88" s="392" t="n"/>
      <c r="M88" s="392" t="n"/>
      <c r="N88" s="392" t="n"/>
      <c r="O88" s="393" t="n"/>
      <c r="P88" s="30" t="n"/>
      <c r="Q88" s="30" t="n"/>
      <c r="R88" s="31">
        <f>IFERROR(VLOOKUP($B88,LD!$B:$J,8,FALSE),"")</f>
        <v/>
      </c>
    </row>
    <row r="89" ht="45" customHeight="1">
      <c r="A89" s="29" t="n"/>
      <c r="B89" s="394" t="n"/>
      <c r="C89" s="392" t="n"/>
      <c r="D89" s="393" t="n"/>
      <c r="E89" s="391">
        <f>IF(B89="","",IFERROR(VLOOKUP(B89,LD!$B:$J,2,FALSE),""))</f>
        <v/>
      </c>
      <c r="F89" s="392" t="n"/>
      <c r="G89" s="392" t="n"/>
      <c r="H89" s="392" t="n"/>
      <c r="I89" s="392" t="n"/>
      <c r="J89" s="392" t="n"/>
      <c r="K89" s="392" t="n"/>
      <c r="L89" s="392" t="n"/>
      <c r="M89" s="392" t="n"/>
      <c r="N89" s="392" t="n"/>
      <c r="O89" s="393" t="n"/>
      <c r="P89" s="30" t="n"/>
      <c r="Q89" s="30" t="n"/>
      <c r="R89" s="31">
        <f>IFERROR(VLOOKUP($B89,LD!$B:$J,8,FALSE),"")</f>
        <v/>
      </c>
    </row>
    <row r="90" ht="45" customHeight="1">
      <c r="A90" s="29" t="n"/>
      <c r="B90" s="394" t="n"/>
      <c r="C90" s="392" t="n"/>
      <c r="D90" s="393" t="n"/>
      <c r="E90" s="391">
        <f>IF(B90="","",IFERROR(VLOOKUP(B90,LD!$B:$J,2,FALSE),""))</f>
        <v/>
      </c>
      <c r="F90" s="392" t="n"/>
      <c r="G90" s="392" t="n"/>
      <c r="H90" s="392" t="n"/>
      <c r="I90" s="392" t="n"/>
      <c r="J90" s="392" t="n"/>
      <c r="K90" s="392" t="n"/>
      <c r="L90" s="392" t="n"/>
      <c r="M90" s="392" t="n"/>
      <c r="N90" s="392" t="n"/>
      <c r="O90" s="393" t="n"/>
      <c r="P90" s="30" t="n"/>
      <c r="Q90" s="30" t="n"/>
      <c r="R90" s="31">
        <f>IFERROR(VLOOKUP($B90,LD!$B:$J,8,FALSE),"")</f>
        <v/>
      </c>
    </row>
    <row r="91" ht="45" customHeight="1">
      <c r="A91" s="29" t="n"/>
      <c r="B91" s="394" t="n"/>
      <c r="C91" s="392" t="n"/>
      <c r="D91" s="393" t="n"/>
      <c r="E91" s="391">
        <f>IF(B91="","",IFERROR(VLOOKUP(B91,LD!$B:$J,2,FALSE),""))</f>
        <v/>
      </c>
      <c r="F91" s="392" t="n"/>
      <c r="G91" s="392" t="n"/>
      <c r="H91" s="392" t="n"/>
      <c r="I91" s="392" t="n"/>
      <c r="J91" s="392" t="n"/>
      <c r="K91" s="392" t="n"/>
      <c r="L91" s="392" t="n"/>
      <c r="M91" s="392" t="n"/>
      <c r="N91" s="392" t="n"/>
      <c r="O91" s="393" t="n"/>
      <c r="P91" s="30" t="n"/>
      <c r="Q91" s="30" t="n"/>
      <c r="R91" s="31">
        <f>IFERROR(VLOOKUP($B91,LD!$B:$J,8,FALSE),"")</f>
        <v/>
      </c>
    </row>
    <row r="92" ht="45" customHeight="1">
      <c r="A92" s="29" t="n"/>
      <c r="B92" s="394" t="n"/>
      <c r="C92" s="392" t="n"/>
      <c r="D92" s="393" t="n"/>
      <c r="E92" s="391">
        <f>IF(B92="","",IFERROR(VLOOKUP(B92,LD!$B:$J,2,FALSE),""))</f>
        <v/>
      </c>
      <c r="F92" s="392" t="n"/>
      <c r="G92" s="392" t="n"/>
      <c r="H92" s="392" t="n"/>
      <c r="I92" s="392" t="n"/>
      <c r="J92" s="392" t="n"/>
      <c r="K92" s="392" t="n"/>
      <c r="L92" s="392" t="n"/>
      <c r="M92" s="392" t="n"/>
      <c r="N92" s="392" t="n"/>
      <c r="O92" s="393" t="n"/>
      <c r="P92" s="30" t="n"/>
      <c r="Q92" s="30" t="n"/>
      <c r="R92" s="31">
        <f>IFERROR(VLOOKUP($B92,LD!$B:$J,8,FALSE),"")</f>
        <v/>
      </c>
    </row>
    <row r="93" ht="45" customHeight="1">
      <c r="A93" s="29" t="n"/>
      <c r="B93" s="394" t="n"/>
      <c r="C93" s="392" t="n"/>
      <c r="D93" s="393" t="n"/>
      <c r="E93" s="391">
        <f>IF(B93="","",IFERROR(VLOOKUP(B93,LD!$B:$J,2,FALSE),""))</f>
        <v/>
      </c>
      <c r="F93" s="392" t="n"/>
      <c r="G93" s="392" t="n"/>
      <c r="H93" s="392" t="n"/>
      <c r="I93" s="392" t="n"/>
      <c r="J93" s="392" t="n"/>
      <c r="K93" s="392" t="n"/>
      <c r="L93" s="392" t="n"/>
      <c r="M93" s="392" t="n"/>
      <c r="N93" s="392" t="n"/>
      <c r="O93" s="393" t="n"/>
      <c r="P93" s="30" t="n"/>
      <c r="Q93" s="30" t="n"/>
      <c r="R93" s="31">
        <f>IFERROR(VLOOKUP($B93,LD!$B:$J,8,FALSE),"")</f>
        <v/>
      </c>
    </row>
    <row r="94" ht="45" customHeight="1">
      <c r="A94" s="29" t="n"/>
      <c r="B94" s="394" t="n"/>
      <c r="C94" s="392" t="n"/>
      <c r="D94" s="393" t="n"/>
      <c r="E94" s="391">
        <f>IF(B94="","",IFERROR(VLOOKUP(B94,LD!$B:$J,2,FALSE),""))</f>
        <v/>
      </c>
      <c r="F94" s="392" t="n"/>
      <c r="G94" s="392" t="n"/>
      <c r="H94" s="392" t="n"/>
      <c r="I94" s="392" t="n"/>
      <c r="J94" s="392" t="n"/>
      <c r="K94" s="392" t="n"/>
      <c r="L94" s="392" t="n"/>
      <c r="M94" s="392" t="n"/>
      <c r="N94" s="392" t="n"/>
      <c r="O94" s="393" t="n"/>
      <c r="P94" s="30" t="n"/>
      <c r="Q94" s="30" t="n"/>
      <c r="R94" s="31">
        <f>IFERROR(VLOOKUP($B94,LD!$B:$J,8,FALSE),"")</f>
        <v/>
      </c>
    </row>
    <row r="95" ht="45" customHeight="1">
      <c r="A95" s="29" t="n"/>
      <c r="B95" s="394" t="n"/>
      <c r="C95" s="392" t="n"/>
      <c r="D95" s="393" t="n"/>
      <c r="E95" s="391">
        <f>IF(B95="","",IFERROR(VLOOKUP(B95,LD!$B:$J,2,FALSE),""))</f>
        <v/>
      </c>
      <c r="F95" s="392" t="n"/>
      <c r="G95" s="392" t="n"/>
      <c r="H95" s="392" t="n"/>
      <c r="I95" s="392" t="n"/>
      <c r="J95" s="392" t="n"/>
      <c r="K95" s="392" t="n"/>
      <c r="L95" s="392" t="n"/>
      <c r="M95" s="392" t="n"/>
      <c r="N95" s="392" t="n"/>
      <c r="O95" s="393" t="n"/>
      <c r="P95" s="30" t="n"/>
      <c r="Q95" s="30" t="n"/>
      <c r="R95" s="31">
        <f>IFERROR(VLOOKUP($B95,LD!$B:$J,8,FALSE),"")</f>
        <v/>
      </c>
    </row>
    <row r="96" ht="45" customHeight="1">
      <c r="A96" s="29" t="n"/>
      <c r="B96" s="394" t="n"/>
      <c r="C96" s="392" t="n"/>
      <c r="D96" s="393" t="n"/>
      <c r="E96" s="391">
        <f>IF(B96="","",IFERROR(VLOOKUP(B96,LD!$B:$J,2,FALSE),""))</f>
        <v/>
      </c>
      <c r="F96" s="392" t="n"/>
      <c r="G96" s="392" t="n"/>
      <c r="H96" s="392" t="n"/>
      <c r="I96" s="392" t="n"/>
      <c r="J96" s="392" t="n"/>
      <c r="K96" s="392" t="n"/>
      <c r="L96" s="392" t="n"/>
      <c r="M96" s="392" t="n"/>
      <c r="N96" s="392" t="n"/>
      <c r="O96" s="393" t="n"/>
      <c r="P96" s="30" t="n"/>
      <c r="Q96" s="30" t="n"/>
      <c r="R96" s="31">
        <f>IFERROR(VLOOKUP($B96,LD!$B:$J,8,FALSE),"")</f>
        <v/>
      </c>
    </row>
    <row r="97" ht="45" customHeight="1">
      <c r="A97" s="29" t="n"/>
      <c r="B97" s="394" t="n"/>
      <c r="C97" s="392" t="n"/>
      <c r="D97" s="393" t="n"/>
      <c r="E97" s="391">
        <f>IF(B97="","",IFERROR(VLOOKUP(B97,LD!$B:$J,2,FALSE),""))</f>
        <v/>
      </c>
      <c r="F97" s="392" t="n"/>
      <c r="G97" s="392" t="n"/>
      <c r="H97" s="392" t="n"/>
      <c r="I97" s="392" t="n"/>
      <c r="J97" s="392" t="n"/>
      <c r="K97" s="392" t="n"/>
      <c r="L97" s="392" t="n"/>
      <c r="M97" s="392" t="n"/>
      <c r="N97" s="392" t="n"/>
      <c r="O97" s="393" t="n"/>
      <c r="P97" s="30" t="n"/>
      <c r="Q97" s="30" t="n"/>
      <c r="R97" s="31">
        <f>IFERROR(VLOOKUP($B97,LD!$B:$J,8,FALSE),"")</f>
        <v/>
      </c>
    </row>
    <row r="98" ht="45" customHeight="1">
      <c r="A98" s="29" t="n"/>
      <c r="B98" s="394" t="n"/>
      <c r="C98" s="392" t="n"/>
      <c r="D98" s="393" t="n"/>
      <c r="E98" s="391">
        <f>IF(B98="","",IFERROR(VLOOKUP(B98,LD!$B:$J,2,FALSE),""))</f>
        <v/>
      </c>
      <c r="F98" s="392" t="n"/>
      <c r="G98" s="392" t="n"/>
      <c r="H98" s="392" t="n"/>
      <c r="I98" s="392" t="n"/>
      <c r="J98" s="392" t="n"/>
      <c r="K98" s="392" t="n"/>
      <c r="L98" s="392" t="n"/>
      <c r="M98" s="392" t="n"/>
      <c r="N98" s="392" t="n"/>
      <c r="O98" s="393" t="n"/>
      <c r="P98" s="30" t="n"/>
      <c r="Q98" s="30" t="n"/>
      <c r="R98" s="31">
        <f>IFERROR(VLOOKUP($B98,LD!$B:$J,8,FALSE),"")</f>
        <v/>
      </c>
    </row>
    <row r="99" ht="45" customHeight="1">
      <c r="A99" s="29" t="n"/>
      <c r="B99" s="394" t="n"/>
      <c r="C99" s="392" t="n"/>
      <c r="D99" s="393" t="n"/>
      <c r="E99" s="391">
        <f>IF(B99="","",IFERROR(VLOOKUP(B99,LD!$B:$J,2,FALSE),""))</f>
        <v/>
      </c>
      <c r="F99" s="392" t="n"/>
      <c r="G99" s="392" t="n"/>
      <c r="H99" s="392" t="n"/>
      <c r="I99" s="392" t="n"/>
      <c r="J99" s="392" t="n"/>
      <c r="K99" s="392" t="n"/>
      <c r="L99" s="392" t="n"/>
      <c r="M99" s="392" t="n"/>
      <c r="N99" s="392" t="n"/>
      <c r="O99" s="393" t="n"/>
      <c r="P99" s="30" t="n"/>
      <c r="Q99" s="30" t="n"/>
      <c r="R99" s="31">
        <f>IFERROR(VLOOKUP($B99,LD!$B:$J,8,FALSE),"")</f>
        <v/>
      </c>
    </row>
    <row r="100" ht="45" customHeight="1">
      <c r="A100" s="29" t="n"/>
      <c r="B100" s="394" t="n"/>
      <c r="C100" s="392" t="n"/>
      <c r="D100" s="393" t="n"/>
      <c r="E100" s="391">
        <f>IF(B100="","",IFERROR(VLOOKUP(B100,LD!$B:$J,2,FALSE),""))</f>
        <v/>
      </c>
      <c r="F100" s="392" t="n"/>
      <c r="G100" s="392" t="n"/>
      <c r="H100" s="392" t="n"/>
      <c r="I100" s="392" t="n"/>
      <c r="J100" s="392" t="n"/>
      <c r="K100" s="392" t="n"/>
      <c r="L100" s="392" t="n"/>
      <c r="M100" s="392" t="n"/>
      <c r="N100" s="392" t="n"/>
      <c r="O100" s="393" t="n"/>
      <c r="P100" s="30" t="n"/>
      <c r="Q100" s="30" t="n"/>
      <c r="R100" s="31">
        <f>IFERROR(VLOOKUP($B100,LD!$B:$J,8,FALSE),"")</f>
        <v/>
      </c>
    </row>
    <row r="101" ht="45" customHeight="1">
      <c r="A101" s="29" t="n"/>
      <c r="B101" s="394" t="n"/>
      <c r="C101" s="392" t="n"/>
      <c r="D101" s="393" t="n"/>
      <c r="E101" s="391">
        <f>IF(B101="","",IFERROR(VLOOKUP(B101,LD!$B:$J,2,FALSE),""))</f>
        <v/>
      </c>
      <c r="F101" s="392" t="n"/>
      <c r="G101" s="392" t="n"/>
      <c r="H101" s="392" t="n"/>
      <c r="I101" s="392" t="n"/>
      <c r="J101" s="392" t="n"/>
      <c r="K101" s="392" t="n"/>
      <c r="L101" s="392" t="n"/>
      <c r="M101" s="392" t="n"/>
      <c r="N101" s="392" t="n"/>
      <c r="O101" s="393" t="n"/>
      <c r="P101" s="30" t="n"/>
      <c r="Q101" s="30" t="n"/>
      <c r="R101" s="31">
        <f>IFERROR(VLOOKUP($B101,LD!$B:$J,8,FALSE),"")</f>
        <v/>
      </c>
    </row>
    <row r="102" ht="45" customHeight="1">
      <c r="A102" s="29" t="n"/>
      <c r="B102" s="394" t="n"/>
      <c r="C102" s="392" t="n"/>
      <c r="D102" s="393" t="n"/>
      <c r="E102" s="391">
        <f>IF(B102="","",IFERROR(VLOOKUP(B102,LD!$B:$J,2,FALSE),""))</f>
        <v/>
      </c>
      <c r="F102" s="392" t="n"/>
      <c r="G102" s="392" t="n"/>
      <c r="H102" s="392" t="n"/>
      <c r="I102" s="392" t="n"/>
      <c r="J102" s="392" t="n"/>
      <c r="K102" s="392" t="n"/>
      <c r="L102" s="392" t="n"/>
      <c r="M102" s="392" t="n"/>
      <c r="N102" s="392" t="n"/>
      <c r="O102" s="393" t="n"/>
      <c r="P102" s="30" t="n"/>
      <c r="Q102" s="30" t="n"/>
      <c r="R102" s="31">
        <f>IFERROR(VLOOKUP($B102,LD!$B:$J,8,FALSE),"")</f>
        <v/>
      </c>
    </row>
    <row r="103" ht="45" customHeight="1">
      <c r="A103" s="29" t="n"/>
      <c r="B103" s="394" t="n"/>
      <c r="C103" s="392" t="n"/>
      <c r="D103" s="393" t="n"/>
      <c r="E103" s="391">
        <f>IF(B103="","",IFERROR(VLOOKUP(B103,LD!$B:$J,2,FALSE),""))</f>
        <v/>
      </c>
      <c r="F103" s="392" t="n"/>
      <c r="G103" s="392" t="n"/>
      <c r="H103" s="392" t="n"/>
      <c r="I103" s="392" t="n"/>
      <c r="J103" s="392" t="n"/>
      <c r="K103" s="392" t="n"/>
      <c r="L103" s="392" t="n"/>
      <c r="M103" s="392" t="n"/>
      <c r="N103" s="392" t="n"/>
      <c r="O103" s="393" t="n"/>
      <c r="P103" s="30" t="n"/>
      <c r="Q103" s="30" t="n"/>
      <c r="R103" s="31">
        <f>IFERROR(VLOOKUP($B103,LD!$B:$J,8,FALSE),"")</f>
        <v/>
      </c>
    </row>
    <row r="104" ht="45" customHeight="1">
      <c r="A104" s="29" t="n"/>
      <c r="B104" s="394" t="n"/>
      <c r="C104" s="392" t="n"/>
      <c r="D104" s="393" t="n"/>
      <c r="E104" s="391">
        <f>IF(B104="","",IFERROR(VLOOKUP(B104,LD!$B:$J,2,FALSE),""))</f>
        <v/>
      </c>
      <c r="F104" s="392" t="n"/>
      <c r="G104" s="392" t="n"/>
      <c r="H104" s="392" t="n"/>
      <c r="I104" s="392" t="n"/>
      <c r="J104" s="392" t="n"/>
      <c r="K104" s="392" t="n"/>
      <c r="L104" s="392" t="n"/>
      <c r="M104" s="392" t="n"/>
      <c r="N104" s="392" t="n"/>
      <c r="O104" s="393" t="n"/>
      <c r="P104" s="30" t="n"/>
      <c r="Q104" s="30" t="n"/>
      <c r="R104" s="31">
        <f>IFERROR(VLOOKUP($B104,LD!$B:$J,8,FALSE),"")</f>
        <v/>
      </c>
    </row>
    <row r="105" ht="45" customHeight="1">
      <c r="A105" s="29" t="n"/>
      <c r="B105" s="394" t="n"/>
      <c r="C105" s="392" t="n"/>
      <c r="D105" s="393" t="n"/>
      <c r="E105" s="391">
        <f>IF(B105="","",IFERROR(VLOOKUP(B105,LD!$B:$J,2,FALSE),""))</f>
        <v/>
      </c>
      <c r="F105" s="392" t="n"/>
      <c r="G105" s="392" t="n"/>
      <c r="H105" s="392" t="n"/>
      <c r="I105" s="392" t="n"/>
      <c r="J105" s="392" t="n"/>
      <c r="K105" s="392" t="n"/>
      <c r="L105" s="392" t="n"/>
      <c r="M105" s="392" t="n"/>
      <c r="N105" s="392" t="n"/>
      <c r="O105" s="393" t="n"/>
      <c r="P105" s="30" t="n"/>
      <c r="Q105" s="30" t="n"/>
      <c r="R105" s="31">
        <f>IFERROR(VLOOKUP($B105,LD!$B:$J,8,FALSE),"")</f>
        <v/>
      </c>
    </row>
    <row r="106" ht="45" customHeight="1">
      <c r="A106" s="29" t="n"/>
      <c r="B106" s="394" t="n"/>
      <c r="C106" s="392" t="n"/>
      <c r="D106" s="393" t="n"/>
      <c r="E106" s="391">
        <f>IF(B106="","",IFERROR(VLOOKUP(B106,LD!$B:$J,2,FALSE),""))</f>
        <v/>
      </c>
      <c r="F106" s="392" t="n"/>
      <c r="G106" s="392" t="n"/>
      <c r="H106" s="392" t="n"/>
      <c r="I106" s="392" t="n"/>
      <c r="J106" s="392" t="n"/>
      <c r="K106" s="392" t="n"/>
      <c r="L106" s="392" t="n"/>
      <c r="M106" s="392" t="n"/>
      <c r="N106" s="392" t="n"/>
      <c r="O106" s="393" t="n"/>
      <c r="P106" s="30" t="n"/>
      <c r="Q106" s="30" t="n"/>
      <c r="R106" s="31">
        <f>IFERROR(VLOOKUP($B106,LD!$B:$J,8,FALSE),"")</f>
        <v/>
      </c>
    </row>
    <row r="107" ht="45" customHeight="1">
      <c r="A107" s="29" t="n"/>
      <c r="B107" s="394" t="n"/>
      <c r="C107" s="392" t="n"/>
      <c r="D107" s="393" t="n"/>
      <c r="E107" s="391">
        <f>IF(B107="","",IFERROR(VLOOKUP(B107,LD!$B:$J,2,FALSE),""))</f>
        <v/>
      </c>
      <c r="F107" s="392" t="n"/>
      <c r="G107" s="392" t="n"/>
      <c r="H107" s="392" t="n"/>
      <c r="I107" s="392" t="n"/>
      <c r="J107" s="392" t="n"/>
      <c r="K107" s="392" t="n"/>
      <c r="L107" s="392" t="n"/>
      <c r="M107" s="392" t="n"/>
      <c r="N107" s="392" t="n"/>
      <c r="O107" s="393" t="n"/>
      <c r="P107" s="30" t="n"/>
      <c r="Q107" s="30" t="n"/>
      <c r="R107" s="31">
        <f>IFERROR(VLOOKUP($B107,LD!$B:$J,8,FALSE),"")</f>
        <v/>
      </c>
    </row>
    <row r="108" ht="45" customHeight="1">
      <c r="A108" s="29" t="n"/>
      <c r="B108" s="394" t="n"/>
      <c r="C108" s="392" t="n"/>
      <c r="D108" s="393" t="n"/>
      <c r="E108" s="391">
        <f>IF(B108="","",IFERROR(VLOOKUP(B108,LD!$B:$J,2,FALSE),""))</f>
        <v/>
      </c>
      <c r="F108" s="392" t="n"/>
      <c r="G108" s="392" t="n"/>
      <c r="H108" s="392" t="n"/>
      <c r="I108" s="392" t="n"/>
      <c r="J108" s="392" t="n"/>
      <c r="K108" s="392" t="n"/>
      <c r="L108" s="392" t="n"/>
      <c r="M108" s="392" t="n"/>
      <c r="N108" s="392" t="n"/>
      <c r="O108" s="393" t="n"/>
      <c r="P108" s="30" t="n"/>
      <c r="Q108" s="30" t="n"/>
      <c r="R108" s="31">
        <f>IFERROR(VLOOKUP($B108,LD!$B:$J,8,FALSE),"")</f>
        <v/>
      </c>
    </row>
    <row r="109" ht="45" customHeight="1">
      <c r="A109" s="29" t="n"/>
      <c r="B109" s="394" t="n"/>
      <c r="C109" s="392" t="n"/>
      <c r="D109" s="393" t="n"/>
      <c r="E109" s="391">
        <f>IF(B109="","",IFERROR(VLOOKUP(B109,LD!$B:$J,2,FALSE),""))</f>
        <v/>
      </c>
      <c r="F109" s="392" t="n"/>
      <c r="G109" s="392" t="n"/>
      <c r="H109" s="392" t="n"/>
      <c r="I109" s="392" t="n"/>
      <c r="J109" s="392" t="n"/>
      <c r="K109" s="392" t="n"/>
      <c r="L109" s="392" t="n"/>
      <c r="M109" s="392" t="n"/>
      <c r="N109" s="392" t="n"/>
      <c r="O109" s="393" t="n"/>
      <c r="P109" s="30" t="n"/>
      <c r="Q109" s="30" t="n"/>
      <c r="R109" s="31">
        <f>IFERROR(VLOOKUP($B109,LD!$B:$J,8,FALSE),"")</f>
        <v/>
      </c>
    </row>
    <row r="110" ht="45" customHeight="1">
      <c r="A110" s="29" t="n"/>
      <c r="B110" s="394" t="n"/>
      <c r="C110" s="392" t="n"/>
      <c r="D110" s="393" t="n"/>
      <c r="E110" s="391">
        <f>IF(B110="","",IFERROR(VLOOKUP(B110,LD!$B:$J,2,FALSE),""))</f>
        <v/>
      </c>
      <c r="F110" s="392" t="n"/>
      <c r="G110" s="392" t="n"/>
      <c r="H110" s="392" t="n"/>
      <c r="I110" s="392" t="n"/>
      <c r="J110" s="392" t="n"/>
      <c r="K110" s="392" t="n"/>
      <c r="L110" s="392" t="n"/>
      <c r="M110" s="392" t="n"/>
      <c r="N110" s="392" t="n"/>
      <c r="O110" s="393" t="n"/>
      <c r="P110" s="30" t="n"/>
      <c r="Q110" s="30" t="n"/>
      <c r="R110" s="31">
        <f>IFERROR(VLOOKUP($B110,LD!$B:$J,8,FALSE),"")</f>
        <v/>
      </c>
    </row>
    <row r="111" ht="45" customHeight="1">
      <c r="A111" s="29" t="n"/>
      <c r="B111" s="394" t="n"/>
      <c r="C111" s="392" t="n"/>
      <c r="D111" s="393" t="n"/>
      <c r="E111" s="391">
        <f>IF(B111="","",IFERROR(VLOOKUP(B111,LD!$B:$J,2,FALSE),""))</f>
        <v/>
      </c>
      <c r="F111" s="392" t="n"/>
      <c r="G111" s="392" t="n"/>
      <c r="H111" s="392" t="n"/>
      <c r="I111" s="392" t="n"/>
      <c r="J111" s="392" t="n"/>
      <c r="K111" s="392" t="n"/>
      <c r="L111" s="392" t="n"/>
      <c r="M111" s="392" t="n"/>
      <c r="N111" s="392" t="n"/>
      <c r="O111" s="393" t="n"/>
      <c r="P111" s="30" t="n"/>
      <c r="Q111" s="30" t="n"/>
      <c r="R111" s="31">
        <f>IFERROR(VLOOKUP($B111,LD!$B:$J,8,FALSE),"")</f>
        <v/>
      </c>
    </row>
    <row r="112" ht="45" customHeight="1">
      <c r="A112" s="29" t="n"/>
      <c r="B112" s="394" t="n"/>
      <c r="C112" s="392" t="n"/>
      <c r="D112" s="393" t="n"/>
      <c r="E112" s="391">
        <f>IF(B112="","",IFERROR(VLOOKUP(B112,LD!$B:$J,2,FALSE),""))</f>
        <v/>
      </c>
      <c r="F112" s="392" t="n"/>
      <c r="G112" s="392" t="n"/>
      <c r="H112" s="392" t="n"/>
      <c r="I112" s="392" t="n"/>
      <c r="J112" s="392" t="n"/>
      <c r="K112" s="392" t="n"/>
      <c r="L112" s="392" t="n"/>
      <c r="M112" s="392" t="n"/>
      <c r="N112" s="392" t="n"/>
      <c r="O112" s="393" t="n"/>
      <c r="P112" s="30" t="n"/>
      <c r="Q112" s="30" t="n"/>
      <c r="R112" s="31">
        <f>IFERROR(VLOOKUP($B112,LD!$B:$J,8,FALSE),"")</f>
        <v/>
      </c>
    </row>
    <row r="113" ht="45" customHeight="1">
      <c r="A113" s="29" t="n"/>
      <c r="B113" s="394" t="n"/>
      <c r="C113" s="392" t="n"/>
      <c r="D113" s="393" t="n"/>
      <c r="E113" s="391">
        <f>IF(B113="","",IFERROR(VLOOKUP(B113,LD!$B:$J,2,FALSE),""))</f>
        <v/>
      </c>
      <c r="F113" s="392" t="n"/>
      <c r="G113" s="392" t="n"/>
      <c r="H113" s="392" t="n"/>
      <c r="I113" s="392" t="n"/>
      <c r="J113" s="392" t="n"/>
      <c r="K113" s="392" t="n"/>
      <c r="L113" s="392" t="n"/>
      <c r="M113" s="392" t="n"/>
      <c r="N113" s="392" t="n"/>
      <c r="O113" s="393" t="n"/>
      <c r="P113" s="30" t="n"/>
      <c r="Q113" s="30" t="n"/>
      <c r="R113" s="31">
        <f>IFERROR(VLOOKUP($B113,LD!$B:$J,8,FALSE),"")</f>
        <v/>
      </c>
    </row>
    <row r="114" ht="45" customHeight="1">
      <c r="A114" s="29" t="n"/>
      <c r="B114" s="394" t="n"/>
      <c r="C114" s="392" t="n"/>
      <c r="D114" s="393" t="n"/>
      <c r="E114" s="391">
        <f>IF(B114="","",IFERROR(VLOOKUP(B114,LD!$B:$J,2,FALSE),""))</f>
        <v/>
      </c>
      <c r="F114" s="392" t="n"/>
      <c r="G114" s="392" t="n"/>
      <c r="H114" s="392" t="n"/>
      <c r="I114" s="392" t="n"/>
      <c r="J114" s="392" t="n"/>
      <c r="K114" s="392" t="n"/>
      <c r="L114" s="392" t="n"/>
      <c r="M114" s="392" t="n"/>
      <c r="N114" s="392" t="n"/>
      <c r="O114" s="393" t="n"/>
      <c r="P114" s="30" t="n"/>
      <c r="Q114" s="30" t="n"/>
      <c r="R114" s="31">
        <f>IFERROR(VLOOKUP($B114,LD!$B:$J,8,FALSE),"")</f>
        <v/>
      </c>
    </row>
    <row r="115" ht="45" customHeight="1">
      <c r="A115" s="29" t="n"/>
      <c r="B115" s="394" t="n"/>
      <c r="C115" s="392" t="n"/>
      <c r="D115" s="393" t="n"/>
      <c r="E115" s="391">
        <f>IF(B115="","",IFERROR(VLOOKUP(B115,LD!$B:$J,2,FALSE),""))</f>
        <v/>
      </c>
      <c r="F115" s="392" t="n"/>
      <c r="G115" s="392" t="n"/>
      <c r="H115" s="392" t="n"/>
      <c r="I115" s="392" t="n"/>
      <c r="J115" s="392" t="n"/>
      <c r="K115" s="392" t="n"/>
      <c r="L115" s="392" t="n"/>
      <c r="M115" s="392" t="n"/>
      <c r="N115" s="392" t="n"/>
      <c r="O115" s="393" t="n"/>
      <c r="P115" s="30" t="n"/>
      <c r="Q115" s="30" t="n"/>
      <c r="R115" s="31">
        <f>IFERROR(VLOOKUP($B115,LD!$B:$J,8,FALSE),"")</f>
        <v/>
      </c>
    </row>
    <row r="116" ht="45" customHeight="1">
      <c r="A116" s="29" t="n"/>
      <c r="B116" s="394" t="n"/>
      <c r="C116" s="392" t="n"/>
      <c r="D116" s="393" t="n"/>
      <c r="E116" s="391">
        <f>IF(B116="","",IFERROR(VLOOKUP(B116,LD!$B:$J,2,FALSE),""))</f>
        <v/>
      </c>
      <c r="F116" s="392" t="n"/>
      <c r="G116" s="392" t="n"/>
      <c r="H116" s="392" t="n"/>
      <c r="I116" s="392" t="n"/>
      <c r="J116" s="392" t="n"/>
      <c r="K116" s="392" t="n"/>
      <c r="L116" s="392" t="n"/>
      <c r="M116" s="392" t="n"/>
      <c r="N116" s="392" t="n"/>
      <c r="O116" s="393" t="n"/>
      <c r="P116" s="30" t="n"/>
      <c r="Q116" s="30" t="n"/>
      <c r="R116" s="31">
        <f>IFERROR(VLOOKUP($B116,LD!$B:$J,8,FALSE),"")</f>
        <v/>
      </c>
    </row>
    <row r="117" ht="45" customHeight="1">
      <c r="A117" s="29" t="n"/>
      <c r="B117" s="394" t="n"/>
      <c r="C117" s="392" t="n"/>
      <c r="D117" s="393" t="n"/>
      <c r="E117" s="391">
        <f>IF(B117="","",IFERROR(VLOOKUP(B117,LD!$B:$J,2,FALSE),""))</f>
        <v/>
      </c>
      <c r="F117" s="392" t="n"/>
      <c r="G117" s="392" t="n"/>
      <c r="H117" s="392" t="n"/>
      <c r="I117" s="392" t="n"/>
      <c r="J117" s="392" t="n"/>
      <c r="K117" s="392" t="n"/>
      <c r="L117" s="392" t="n"/>
      <c r="M117" s="392" t="n"/>
      <c r="N117" s="392" t="n"/>
      <c r="O117" s="393" t="n"/>
      <c r="P117" s="30" t="n"/>
      <c r="Q117" s="30" t="n"/>
      <c r="R117" s="31">
        <f>IFERROR(VLOOKUP($B117,LD!$B:$J,8,FALSE),"")</f>
        <v/>
      </c>
    </row>
    <row r="118" ht="45" customHeight="1">
      <c r="A118" s="29" t="n"/>
      <c r="B118" s="394" t="n"/>
      <c r="C118" s="392" t="n"/>
      <c r="D118" s="393" t="n"/>
      <c r="E118" s="391">
        <f>IF(B118="","",IFERROR(VLOOKUP(B118,LD!$B:$J,2,FALSE),""))</f>
        <v/>
      </c>
      <c r="F118" s="392" t="n"/>
      <c r="G118" s="392" t="n"/>
      <c r="H118" s="392" t="n"/>
      <c r="I118" s="392" t="n"/>
      <c r="J118" s="392" t="n"/>
      <c r="K118" s="392" t="n"/>
      <c r="L118" s="392" t="n"/>
      <c r="M118" s="392" t="n"/>
      <c r="N118" s="392" t="n"/>
      <c r="O118" s="393" t="n"/>
      <c r="P118" s="30" t="n"/>
      <c r="Q118" s="30" t="n"/>
      <c r="R118" s="31">
        <f>IFERROR(VLOOKUP($B118,LD!$B:$J,8,FALSE),"")</f>
        <v/>
      </c>
    </row>
    <row r="119" ht="45" customHeight="1">
      <c r="A119" s="29" t="n"/>
      <c r="B119" s="394" t="n"/>
      <c r="C119" s="392" t="n"/>
      <c r="D119" s="393" t="n"/>
      <c r="E119" s="391">
        <f>IF(B119="","",IFERROR(VLOOKUP(B119,LD!$B:$J,2,FALSE),""))</f>
        <v/>
      </c>
      <c r="F119" s="392" t="n"/>
      <c r="G119" s="392" t="n"/>
      <c r="H119" s="392" t="n"/>
      <c r="I119" s="392" t="n"/>
      <c r="J119" s="392" t="n"/>
      <c r="K119" s="392" t="n"/>
      <c r="L119" s="392" t="n"/>
      <c r="M119" s="392" t="n"/>
      <c r="N119" s="392" t="n"/>
      <c r="O119" s="393" t="n"/>
      <c r="P119" s="30" t="n"/>
      <c r="Q119" s="30" t="n"/>
      <c r="R119" s="31">
        <f>IFERROR(VLOOKUP($B119,LD!$B:$J,8,FALSE),"")</f>
        <v/>
      </c>
    </row>
    <row r="120" ht="45" customHeight="1">
      <c r="A120" s="29" t="n"/>
      <c r="B120" s="394" t="n"/>
      <c r="C120" s="392" t="n"/>
      <c r="D120" s="393" t="n"/>
      <c r="E120" s="391">
        <f>IF(B120="","",IFERROR(VLOOKUP(B120,LD!$B:$J,2,FALSE),""))</f>
        <v/>
      </c>
      <c r="F120" s="392" t="n"/>
      <c r="G120" s="392" t="n"/>
      <c r="H120" s="392" t="n"/>
      <c r="I120" s="392" t="n"/>
      <c r="J120" s="392" t="n"/>
      <c r="K120" s="392" t="n"/>
      <c r="L120" s="392" t="n"/>
      <c r="M120" s="392" t="n"/>
      <c r="N120" s="392" t="n"/>
      <c r="O120" s="393" t="n"/>
      <c r="P120" s="30" t="n"/>
      <c r="Q120" s="30" t="n"/>
      <c r="R120" s="31">
        <f>IFERROR(VLOOKUP($B120,LD!$B:$J,8,FALSE),"")</f>
        <v/>
      </c>
    </row>
    <row r="121" ht="45" customHeight="1">
      <c r="A121" s="29" t="n"/>
      <c r="B121" s="394" t="n"/>
      <c r="C121" s="392" t="n"/>
      <c r="D121" s="393" t="n"/>
      <c r="E121" s="391">
        <f>IF(B121="","",IFERROR(VLOOKUP(B121,LD!$B:$J,2,FALSE),""))</f>
        <v/>
      </c>
      <c r="F121" s="392" t="n"/>
      <c r="G121" s="392" t="n"/>
      <c r="H121" s="392" t="n"/>
      <c r="I121" s="392" t="n"/>
      <c r="J121" s="392" t="n"/>
      <c r="K121" s="392" t="n"/>
      <c r="L121" s="392" t="n"/>
      <c r="M121" s="392" t="n"/>
      <c r="N121" s="392" t="n"/>
      <c r="O121" s="393" t="n"/>
      <c r="P121" s="30" t="n"/>
      <c r="Q121" s="30" t="n"/>
      <c r="R121" s="31">
        <f>IFERROR(VLOOKUP($B121,LD!$B:$J,8,FALSE),"")</f>
        <v/>
      </c>
    </row>
    <row r="122" ht="45" customHeight="1">
      <c r="A122" s="29" t="n"/>
      <c r="B122" s="394" t="n"/>
      <c r="C122" s="392" t="n"/>
      <c r="D122" s="393" t="n"/>
      <c r="E122" s="391">
        <f>IF(B122="","",IFERROR(VLOOKUP(B122,LD!$B:$J,2,FALSE),""))</f>
        <v/>
      </c>
      <c r="F122" s="392" t="n"/>
      <c r="G122" s="392" t="n"/>
      <c r="H122" s="392" t="n"/>
      <c r="I122" s="392" t="n"/>
      <c r="J122" s="392" t="n"/>
      <c r="K122" s="392" t="n"/>
      <c r="L122" s="392" t="n"/>
      <c r="M122" s="392" t="n"/>
      <c r="N122" s="392" t="n"/>
      <c r="O122" s="393" t="n"/>
      <c r="P122" s="30" t="n"/>
      <c r="Q122" s="30" t="n"/>
      <c r="R122" s="31">
        <f>IFERROR(VLOOKUP($B122,LD!$B:$J,8,FALSE),"")</f>
        <v/>
      </c>
    </row>
    <row r="123" ht="45" customHeight="1">
      <c r="A123" s="29" t="n"/>
      <c r="B123" s="394" t="n"/>
      <c r="C123" s="392" t="n"/>
      <c r="D123" s="393" t="n"/>
      <c r="E123" s="391">
        <f>IF(B123="","",IFERROR(VLOOKUP(B123,LD!$B:$J,2,FALSE),""))</f>
        <v/>
      </c>
      <c r="F123" s="392" t="n"/>
      <c r="G123" s="392" t="n"/>
      <c r="H123" s="392" t="n"/>
      <c r="I123" s="392" t="n"/>
      <c r="J123" s="392" t="n"/>
      <c r="K123" s="392" t="n"/>
      <c r="L123" s="392" t="n"/>
      <c r="M123" s="392" t="n"/>
      <c r="N123" s="392" t="n"/>
      <c r="O123" s="393" t="n"/>
      <c r="P123" s="30" t="n"/>
      <c r="Q123" s="30" t="n"/>
      <c r="R123" s="31">
        <f>IFERROR(VLOOKUP($B123,LD!$B:$J,8,FALSE),"")</f>
        <v/>
      </c>
    </row>
    <row r="124" ht="45" customHeight="1">
      <c r="A124" s="29" t="n"/>
      <c r="B124" s="394" t="n"/>
      <c r="C124" s="392" t="n"/>
      <c r="D124" s="393" t="n"/>
      <c r="E124" s="391">
        <f>IF(B124="","",IFERROR(VLOOKUP(B124,LD!$B:$J,2,FALSE),""))</f>
        <v/>
      </c>
      <c r="F124" s="392" t="n"/>
      <c r="G124" s="392" t="n"/>
      <c r="H124" s="392" t="n"/>
      <c r="I124" s="392" t="n"/>
      <c r="J124" s="392" t="n"/>
      <c r="K124" s="392" t="n"/>
      <c r="L124" s="392" t="n"/>
      <c r="M124" s="392" t="n"/>
      <c r="N124" s="392" t="n"/>
      <c r="O124" s="393" t="n"/>
      <c r="P124" s="30" t="n"/>
      <c r="Q124" s="30" t="n"/>
      <c r="R124" s="31">
        <f>IFERROR(VLOOKUP($B124,LD!$B:$J,8,FALSE),"")</f>
        <v/>
      </c>
    </row>
    <row r="125" ht="45" customHeight="1">
      <c r="A125" s="29" t="n"/>
      <c r="B125" s="394" t="n"/>
      <c r="C125" s="392" t="n"/>
      <c r="D125" s="393" t="n"/>
      <c r="E125" s="391">
        <f>IF(B125="","",IFERROR(VLOOKUP(B125,LD!$B:$J,2,FALSE),""))</f>
        <v/>
      </c>
      <c r="F125" s="392" t="n"/>
      <c r="G125" s="392" t="n"/>
      <c r="H125" s="392" t="n"/>
      <c r="I125" s="392" t="n"/>
      <c r="J125" s="392" t="n"/>
      <c r="K125" s="392" t="n"/>
      <c r="L125" s="392" t="n"/>
      <c r="M125" s="392" t="n"/>
      <c r="N125" s="392" t="n"/>
      <c r="O125" s="393" t="n"/>
      <c r="P125" s="30" t="n"/>
      <c r="Q125" s="30" t="n"/>
      <c r="R125" s="31">
        <f>IFERROR(VLOOKUP($B125,LD!$B:$J,8,FALSE),"")</f>
        <v/>
      </c>
    </row>
    <row r="126" ht="45" customHeight="1">
      <c r="A126" s="29" t="n"/>
      <c r="B126" s="394" t="n"/>
      <c r="C126" s="392" t="n"/>
      <c r="D126" s="393" t="n"/>
      <c r="E126" s="391">
        <f>IF(B126="","",IFERROR(VLOOKUP(B126,LD!$B:$J,2,FALSE),""))</f>
        <v/>
      </c>
      <c r="F126" s="392" t="n"/>
      <c r="G126" s="392" t="n"/>
      <c r="H126" s="392" t="n"/>
      <c r="I126" s="392" t="n"/>
      <c r="J126" s="392" t="n"/>
      <c r="K126" s="392" t="n"/>
      <c r="L126" s="392" t="n"/>
      <c r="M126" s="392" t="n"/>
      <c r="N126" s="392" t="n"/>
      <c r="O126" s="393" t="n"/>
      <c r="P126" s="30" t="n"/>
      <c r="Q126" s="30" t="n"/>
      <c r="R126" s="31">
        <f>IFERROR(VLOOKUP($B126,LD!$B:$J,8,FALSE),"")</f>
        <v/>
      </c>
    </row>
    <row r="127" ht="45" customHeight="1">
      <c r="A127" s="29" t="n"/>
      <c r="B127" s="394" t="n"/>
      <c r="C127" s="392" t="n"/>
      <c r="D127" s="393" t="n"/>
      <c r="E127" s="391">
        <f>IF(B127="","",IFERROR(VLOOKUP(B127,LD!$B:$J,2,FALSE),""))</f>
        <v/>
      </c>
      <c r="F127" s="392" t="n"/>
      <c r="G127" s="392" t="n"/>
      <c r="H127" s="392" t="n"/>
      <c r="I127" s="392" t="n"/>
      <c r="J127" s="392" t="n"/>
      <c r="K127" s="392" t="n"/>
      <c r="L127" s="392" t="n"/>
      <c r="M127" s="392" t="n"/>
      <c r="N127" s="392" t="n"/>
      <c r="O127" s="393" t="n"/>
      <c r="P127" s="30" t="n"/>
      <c r="Q127" s="30" t="n"/>
      <c r="R127" s="31">
        <f>IFERROR(VLOOKUP($B127,LD!$B:$J,8,FALSE),"")</f>
        <v/>
      </c>
    </row>
    <row r="128" ht="45" customHeight="1">
      <c r="A128" s="29" t="n"/>
      <c r="B128" s="394" t="n"/>
      <c r="C128" s="392" t="n"/>
      <c r="D128" s="393" t="n"/>
      <c r="E128" s="391">
        <f>IF(B128="","",IFERROR(VLOOKUP(B128,LD!$B:$J,2,FALSE),""))</f>
        <v/>
      </c>
      <c r="F128" s="392" t="n"/>
      <c r="G128" s="392" t="n"/>
      <c r="H128" s="392" t="n"/>
      <c r="I128" s="392" t="n"/>
      <c r="J128" s="392" t="n"/>
      <c r="K128" s="392" t="n"/>
      <c r="L128" s="392" t="n"/>
      <c r="M128" s="392" t="n"/>
      <c r="N128" s="392" t="n"/>
      <c r="O128" s="393" t="n"/>
      <c r="P128" s="30" t="n"/>
      <c r="Q128" s="30" t="n"/>
      <c r="R128" s="31">
        <f>IFERROR(VLOOKUP($B128,LD!$B:$J,8,FALSE),"")</f>
        <v/>
      </c>
    </row>
    <row r="129" ht="45" customHeight="1">
      <c r="A129" s="29" t="n"/>
      <c r="B129" s="394" t="n"/>
      <c r="C129" s="392" t="n"/>
      <c r="D129" s="393" t="n"/>
      <c r="E129" s="391">
        <f>IF(B129="","",IFERROR(VLOOKUP(B129,LD!$B:$J,2,FALSE),""))</f>
        <v/>
      </c>
      <c r="F129" s="392" t="n"/>
      <c r="G129" s="392" t="n"/>
      <c r="H129" s="392" t="n"/>
      <c r="I129" s="392" t="n"/>
      <c r="J129" s="392" t="n"/>
      <c r="K129" s="392" t="n"/>
      <c r="L129" s="392" t="n"/>
      <c r="M129" s="392" t="n"/>
      <c r="N129" s="392" t="n"/>
      <c r="O129" s="393" t="n"/>
      <c r="P129" s="30" t="n"/>
      <c r="Q129" s="30" t="n"/>
      <c r="R129" s="31">
        <f>IFERROR(VLOOKUP($B129,LD!$B:$J,8,FALSE),"")</f>
        <v/>
      </c>
    </row>
    <row r="130" ht="45" customHeight="1">
      <c r="A130" s="29" t="n"/>
      <c r="B130" s="394" t="n"/>
      <c r="C130" s="392" t="n"/>
      <c r="D130" s="393" t="n"/>
      <c r="E130" s="391">
        <f>IF(B130="","",IFERROR(VLOOKUP(B130,LD!$B:$J,2,FALSE),""))</f>
        <v/>
      </c>
      <c r="F130" s="392" t="n"/>
      <c r="G130" s="392" t="n"/>
      <c r="H130" s="392" t="n"/>
      <c r="I130" s="392" t="n"/>
      <c r="J130" s="392" t="n"/>
      <c r="K130" s="392" t="n"/>
      <c r="L130" s="392" t="n"/>
      <c r="M130" s="392" t="n"/>
      <c r="N130" s="392" t="n"/>
      <c r="O130" s="393" t="n"/>
      <c r="P130" s="30" t="n"/>
      <c r="Q130" s="30" t="n"/>
      <c r="R130" s="31">
        <f>IFERROR(VLOOKUP($B130,LD!$B:$J,8,FALSE),"")</f>
        <v/>
      </c>
    </row>
    <row r="131" ht="45" customHeight="1">
      <c r="A131" s="29" t="n"/>
      <c r="B131" s="394" t="n"/>
      <c r="C131" s="392" t="n"/>
      <c r="D131" s="393" t="n"/>
      <c r="E131" s="391">
        <f>IF(B131="","",IFERROR(VLOOKUP(B131,LD!$B:$J,2,FALSE),""))</f>
        <v/>
      </c>
      <c r="F131" s="392" t="n"/>
      <c r="G131" s="392" t="n"/>
      <c r="H131" s="392" t="n"/>
      <c r="I131" s="392" t="n"/>
      <c r="J131" s="392" t="n"/>
      <c r="K131" s="392" t="n"/>
      <c r="L131" s="392" t="n"/>
      <c r="M131" s="392" t="n"/>
      <c r="N131" s="392" t="n"/>
      <c r="O131" s="393" t="n"/>
      <c r="P131" s="30" t="n"/>
      <c r="Q131" s="30" t="n"/>
      <c r="R131" s="31">
        <f>IFERROR(VLOOKUP($B131,LD!$B:$J,8,FALSE),"")</f>
        <v/>
      </c>
    </row>
    <row r="132" ht="45" customHeight="1">
      <c r="A132" s="29" t="n"/>
      <c r="B132" s="394" t="n"/>
      <c r="C132" s="392" t="n"/>
      <c r="D132" s="393" t="n"/>
      <c r="E132" s="391">
        <f>IF(B132="","",IFERROR(VLOOKUP(B132,LD!$B:$J,2,FALSE),""))</f>
        <v/>
      </c>
      <c r="F132" s="392" t="n"/>
      <c r="G132" s="392" t="n"/>
      <c r="H132" s="392" t="n"/>
      <c r="I132" s="392" t="n"/>
      <c r="J132" s="392" t="n"/>
      <c r="K132" s="392" t="n"/>
      <c r="L132" s="392" t="n"/>
      <c r="M132" s="392" t="n"/>
      <c r="N132" s="392" t="n"/>
      <c r="O132" s="393" t="n"/>
      <c r="P132" s="30" t="n"/>
      <c r="Q132" s="30" t="n"/>
      <c r="R132" s="31">
        <f>IFERROR(VLOOKUP($B132,LD!$B:$J,8,FALSE),"")</f>
        <v/>
      </c>
    </row>
    <row r="133" ht="45" customHeight="1">
      <c r="A133" s="29" t="n"/>
      <c r="B133" s="394" t="n"/>
      <c r="C133" s="392" t="n"/>
      <c r="D133" s="393" t="n"/>
      <c r="E133" s="391">
        <f>IF(B133="","",IFERROR(VLOOKUP(B133,LD!$B:$J,2,FALSE),""))</f>
        <v/>
      </c>
      <c r="F133" s="392" t="n"/>
      <c r="G133" s="392" t="n"/>
      <c r="H133" s="392" t="n"/>
      <c r="I133" s="392" t="n"/>
      <c r="J133" s="392" t="n"/>
      <c r="K133" s="392" t="n"/>
      <c r="L133" s="392" t="n"/>
      <c r="M133" s="392" t="n"/>
      <c r="N133" s="392" t="n"/>
      <c r="O133" s="393" t="n"/>
      <c r="P133" s="30" t="n"/>
      <c r="Q133" s="30" t="n"/>
      <c r="R133" s="31">
        <f>IFERROR(VLOOKUP($B133,LD!$B:$J,8,FALSE),"")</f>
        <v/>
      </c>
    </row>
    <row r="134" ht="45" customHeight="1">
      <c r="A134" s="29" t="n"/>
      <c r="B134" s="394" t="n"/>
      <c r="C134" s="392" t="n"/>
      <c r="D134" s="393" t="n"/>
      <c r="E134" s="391">
        <f>IF(B134="","",IFERROR(VLOOKUP(B134,LD!$B:$J,2,FALSE),""))</f>
        <v/>
      </c>
      <c r="F134" s="392" t="n"/>
      <c r="G134" s="392" t="n"/>
      <c r="H134" s="392" t="n"/>
      <c r="I134" s="392" t="n"/>
      <c r="J134" s="392" t="n"/>
      <c r="K134" s="392" t="n"/>
      <c r="L134" s="392" t="n"/>
      <c r="M134" s="392" t="n"/>
      <c r="N134" s="392" t="n"/>
      <c r="O134" s="393" t="n"/>
      <c r="P134" s="30" t="n"/>
      <c r="Q134" s="30" t="n"/>
      <c r="R134" s="31">
        <f>IFERROR(VLOOKUP($B134,LD!$B:$J,8,FALSE),"")</f>
        <v/>
      </c>
    </row>
    <row r="135" ht="45" customHeight="1">
      <c r="A135" s="29" t="n"/>
      <c r="B135" s="394" t="n"/>
      <c r="C135" s="392" t="n"/>
      <c r="D135" s="393" t="n"/>
      <c r="E135" s="391">
        <f>IF(B135="","",IFERROR(VLOOKUP(B135,LD!$B:$J,2,FALSE),""))</f>
        <v/>
      </c>
      <c r="F135" s="392" t="n"/>
      <c r="G135" s="392" t="n"/>
      <c r="H135" s="392" t="n"/>
      <c r="I135" s="392" t="n"/>
      <c r="J135" s="392" t="n"/>
      <c r="K135" s="392" t="n"/>
      <c r="L135" s="392" t="n"/>
      <c r="M135" s="392" t="n"/>
      <c r="N135" s="392" t="n"/>
      <c r="O135" s="393" t="n"/>
      <c r="P135" s="30" t="n"/>
      <c r="Q135" s="30" t="n"/>
      <c r="R135" s="31">
        <f>IFERROR(VLOOKUP($B135,LD!$B:$J,8,FALSE),"")</f>
        <v/>
      </c>
    </row>
    <row r="136" ht="45" customHeight="1">
      <c r="A136" s="29" t="n"/>
      <c r="B136" s="394" t="n"/>
      <c r="C136" s="392" t="n"/>
      <c r="D136" s="393" t="n"/>
      <c r="E136" s="391">
        <f>IF(B136="","",IFERROR(VLOOKUP(B136,LD!$B:$J,2,FALSE),""))</f>
        <v/>
      </c>
      <c r="F136" s="392" t="n"/>
      <c r="G136" s="392" t="n"/>
      <c r="H136" s="392" t="n"/>
      <c r="I136" s="392" t="n"/>
      <c r="J136" s="392" t="n"/>
      <c r="K136" s="392" t="n"/>
      <c r="L136" s="392" t="n"/>
      <c r="M136" s="392" t="n"/>
      <c r="N136" s="392" t="n"/>
      <c r="O136" s="393" t="n"/>
      <c r="P136" s="30" t="n"/>
      <c r="Q136" s="30" t="n"/>
      <c r="R136" s="31">
        <f>IFERROR(VLOOKUP($B136,LD!$B:$J,8,FALSE),"")</f>
        <v/>
      </c>
    </row>
    <row r="137" ht="45" customHeight="1">
      <c r="A137" s="29" t="n"/>
      <c r="B137" s="394" t="n"/>
      <c r="C137" s="392" t="n"/>
      <c r="D137" s="393" t="n"/>
      <c r="E137" s="391">
        <f>IF(B137="","",IFERROR(VLOOKUP(B137,LD!$B:$J,2,FALSE),""))</f>
        <v/>
      </c>
      <c r="F137" s="392" t="n"/>
      <c r="G137" s="392" t="n"/>
      <c r="H137" s="392" t="n"/>
      <c r="I137" s="392" t="n"/>
      <c r="J137" s="392" t="n"/>
      <c r="K137" s="392" t="n"/>
      <c r="L137" s="392" t="n"/>
      <c r="M137" s="392" t="n"/>
      <c r="N137" s="392" t="n"/>
      <c r="O137" s="393" t="n"/>
      <c r="P137" s="30" t="n"/>
      <c r="Q137" s="30" t="n"/>
      <c r="R137" s="31">
        <f>IFERROR(VLOOKUP($B137,LD!$B:$J,8,FALSE),"")</f>
        <v/>
      </c>
    </row>
    <row r="138" ht="45" customHeight="1">
      <c r="A138" s="29" t="n"/>
      <c r="B138" s="394" t="n"/>
      <c r="C138" s="392" t="n"/>
      <c r="D138" s="393" t="n"/>
      <c r="E138" s="391">
        <f>IF(B138="","",IFERROR(VLOOKUP(B138,LD!$B:$J,2,FALSE),""))</f>
        <v/>
      </c>
      <c r="F138" s="392" t="n"/>
      <c r="G138" s="392" t="n"/>
      <c r="H138" s="392" t="n"/>
      <c r="I138" s="392" t="n"/>
      <c r="J138" s="392" t="n"/>
      <c r="K138" s="392" t="n"/>
      <c r="L138" s="392" t="n"/>
      <c r="M138" s="392" t="n"/>
      <c r="N138" s="392" t="n"/>
      <c r="O138" s="393" t="n"/>
      <c r="P138" s="30" t="n"/>
      <c r="Q138" s="30" t="n"/>
      <c r="R138" s="31">
        <f>IFERROR(VLOOKUP($B138,LD!$B:$J,8,FALSE),"")</f>
        <v/>
      </c>
    </row>
    <row r="139" ht="45" customHeight="1">
      <c r="A139" s="29" t="n"/>
      <c r="B139" s="394" t="n"/>
      <c r="C139" s="392" t="n"/>
      <c r="D139" s="393" t="n"/>
      <c r="E139" s="391">
        <f>IF(B139="","",IFERROR(VLOOKUP(B139,LD!$B:$J,2,FALSE),""))</f>
        <v/>
      </c>
      <c r="F139" s="392" t="n"/>
      <c r="G139" s="392" t="n"/>
      <c r="H139" s="392" t="n"/>
      <c r="I139" s="392" t="n"/>
      <c r="J139" s="392" t="n"/>
      <c r="K139" s="392" t="n"/>
      <c r="L139" s="392" t="n"/>
      <c r="M139" s="392" t="n"/>
      <c r="N139" s="392" t="n"/>
      <c r="O139" s="393" t="n"/>
      <c r="P139" s="30" t="n"/>
      <c r="Q139" s="30" t="n"/>
      <c r="R139" s="31">
        <f>IFERROR(VLOOKUP($B139,LD!$B:$J,8,FALSE),"")</f>
        <v/>
      </c>
    </row>
    <row r="140" ht="45" customHeight="1">
      <c r="A140" s="29" t="n"/>
      <c r="B140" s="394" t="n"/>
      <c r="C140" s="392" t="n"/>
      <c r="D140" s="393" t="n"/>
      <c r="E140" s="391">
        <f>IF(B140="","",IFERROR(VLOOKUP(B140,LD!$B:$J,2,FALSE),""))</f>
        <v/>
      </c>
      <c r="F140" s="392" t="n"/>
      <c r="G140" s="392" t="n"/>
      <c r="H140" s="392" t="n"/>
      <c r="I140" s="392" t="n"/>
      <c r="J140" s="392" t="n"/>
      <c r="K140" s="392" t="n"/>
      <c r="L140" s="392" t="n"/>
      <c r="M140" s="392" t="n"/>
      <c r="N140" s="392" t="n"/>
      <c r="O140" s="393" t="n"/>
      <c r="P140" s="30" t="n"/>
      <c r="Q140" s="30" t="n"/>
      <c r="R140" s="31">
        <f>IFERROR(VLOOKUP($B140,LD!$B:$J,8,FALSE),"")</f>
        <v/>
      </c>
    </row>
    <row r="141" ht="45" customHeight="1">
      <c r="A141" s="29" t="n"/>
      <c r="B141" s="394" t="n"/>
      <c r="C141" s="392" t="n"/>
      <c r="D141" s="393" t="n"/>
      <c r="E141" s="391">
        <f>IF(B141="","",IFERROR(VLOOKUP(B141,LD!$B:$J,2,FALSE),""))</f>
        <v/>
      </c>
      <c r="F141" s="392" t="n"/>
      <c r="G141" s="392" t="n"/>
      <c r="H141" s="392" t="n"/>
      <c r="I141" s="392" t="n"/>
      <c r="J141" s="392" t="n"/>
      <c r="K141" s="392" t="n"/>
      <c r="L141" s="392" t="n"/>
      <c r="M141" s="392" t="n"/>
      <c r="N141" s="392" t="n"/>
      <c r="O141" s="393" t="n"/>
      <c r="P141" s="30" t="n"/>
      <c r="Q141" s="30" t="n"/>
      <c r="R141" s="31">
        <f>IFERROR(VLOOKUP($B141,LD!$B:$J,8,FALSE),"")</f>
        <v/>
      </c>
    </row>
    <row r="142" ht="45" customHeight="1">
      <c r="A142" s="29" t="n"/>
      <c r="B142" s="394" t="n"/>
      <c r="C142" s="392" t="n"/>
      <c r="D142" s="393" t="n"/>
      <c r="E142" s="391">
        <f>IF(B142="","",IFERROR(VLOOKUP(B142,LD!$B:$J,2,FALSE),""))</f>
        <v/>
      </c>
      <c r="F142" s="392" t="n"/>
      <c r="G142" s="392" t="n"/>
      <c r="H142" s="392" t="n"/>
      <c r="I142" s="392" t="n"/>
      <c r="J142" s="392" t="n"/>
      <c r="K142" s="392" t="n"/>
      <c r="L142" s="392" t="n"/>
      <c r="M142" s="392" t="n"/>
      <c r="N142" s="392" t="n"/>
      <c r="O142" s="393" t="n"/>
      <c r="P142" s="30" t="n"/>
      <c r="Q142" s="30" t="n"/>
      <c r="R142" s="31">
        <f>IFERROR(VLOOKUP($B142,LD!$B:$J,8,FALSE),"")</f>
        <v/>
      </c>
    </row>
    <row r="143" ht="45" customHeight="1">
      <c r="A143" s="29" t="n"/>
      <c r="B143" s="394" t="n"/>
      <c r="C143" s="392" t="n"/>
      <c r="D143" s="393" t="n"/>
      <c r="E143" s="391">
        <f>IF(B143="","",IFERROR(VLOOKUP(B143,LD!$B:$J,2,FALSE),""))</f>
        <v/>
      </c>
      <c r="F143" s="392" t="n"/>
      <c r="G143" s="392" t="n"/>
      <c r="H143" s="392" t="n"/>
      <c r="I143" s="392" t="n"/>
      <c r="J143" s="392" t="n"/>
      <c r="K143" s="392" t="n"/>
      <c r="L143" s="392" t="n"/>
      <c r="M143" s="392" t="n"/>
      <c r="N143" s="392" t="n"/>
      <c r="O143" s="393" t="n"/>
      <c r="P143" s="30" t="n"/>
      <c r="Q143" s="30" t="n"/>
      <c r="R143" s="31">
        <f>IFERROR(VLOOKUP($B143,LD!$B:$J,8,FALSE),"")</f>
        <v/>
      </c>
    </row>
    <row r="144" ht="45" customHeight="1">
      <c r="A144" s="29" t="n"/>
      <c r="B144" s="394" t="n"/>
      <c r="C144" s="392" t="n"/>
      <c r="D144" s="393" t="n"/>
      <c r="E144" s="391">
        <f>IF(B144="","",IFERROR(VLOOKUP(B144,LD!$B:$J,2,FALSE),""))</f>
        <v/>
      </c>
      <c r="F144" s="392" t="n"/>
      <c r="G144" s="392" t="n"/>
      <c r="H144" s="392" t="n"/>
      <c r="I144" s="392" t="n"/>
      <c r="J144" s="392" t="n"/>
      <c r="K144" s="392" t="n"/>
      <c r="L144" s="392" t="n"/>
      <c r="M144" s="392" t="n"/>
      <c r="N144" s="392" t="n"/>
      <c r="O144" s="393" t="n"/>
      <c r="P144" s="30" t="n"/>
      <c r="Q144" s="30" t="n"/>
      <c r="R144" s="31">
        <f>IFERROR(VLOOKUP($B144,LD!$B:$J,8,FALSE),"")</f>
        <v/>
      </c>
    </row>
    <row r="145" ht="45" customHeight="1">
      <c r="A145" s="29" t="n"/>
      <c r="B145" s="394" t="n"/>
      <c r="C145" s="392" t="n"/>
      <c r="D145" s="393" t="n"/>
      <c r="E145" s="391">
        <f>IF(B145="","",IFERROR(VLOOKUP(B145,LD!$B:$J,2,FALSE),""))</f>
        <v/>
      </c>
      <c r="F145" s="392" t="n"/>
      <c r="G145" s="392" t="n"/>
      <c r="H145" s="392" t="n"/>
      <c r="I145" s="392" t="n"/>
      <c r="J145" s="392" t="n"/>
      <c r="K145" s="392" t="n"/>
      <c r="L145" s="392" t="n"/>
      <c r="M145" s="392" t="n"/>
      <c r="N145" s="392" t="n"/>
      <c r="O145" s="393" t="n"/>
      <c r="P145" s="30" t="n"/>
      <c r="Q145" s="30" t="n"/>
      <c r="R145" s="31">
        <f>IFERROR(VLOOKUP($B145,LD!$B:$J,8,FALSE),"")</f>
        <v/>
      </c>
    </row>
    <row r="146" ht="45" customHeight="1">
      <c r="A146" s="29" t="n"/>
      <c r="B146" s="394" t="n"/>
      <c r="C146" s="392" t="n"/>
      <c r="D146" s="393" t="n"/>
      <c r="E146" s="391">
        <f>IF(B146="","",IFERROR(VLOOKUP(B146,LD!$B:$J,2,FALSE),""))</f>
        <v/>
      </c>
      <c r="F146" s="392" t="n"/>
      <c r="G146" s="392" t="n"/>
      <c r="H146" s="392" t="n"/>
      <c r="I146" s="392" t="n"/>
      <c r="J146" s="392" t="n"/>
      <c r="K146" s="392" t="n"/>
      <c r="L146" s="392" t="n"/>
      <c r="M146" s="392" t="n"/>
      <c r="N146" s="392" t="n"/>
      <c r="O146" s="393" t="n"/>
      <c r="P146" s="30" t="n"/>
      <c r="Q146" s="30" t="n"/>
      <c r="R146" s="31">
        <f>IFERROR(VLOOKUP($B146,LD!$B:$J,8,FALSE),"")</f>
        <v/>
      </c>
    </row>
    <row r="147" ht="45" customHeight="1">
      <c r="A147" s="29" t="n"/>
      <c r="B147" s="394" t="n"/>
      <c r="C147" s="392" t="n"/>
      <c r="D147" s="393" t="n"/>
      <c r="E147" s="391">
        <f>IF(B147="","",IFERROR(VLOOKUP(B147,LD!$B:$J,2,FALSE),""))</f>
        <v/>
      </c>
      <c r="F147" s="392" t="n"/>
      <c r="G147" s="392" t="n"/>
      <c r="H147" s="392" t="n"/>
      <c r="I147" s="392" t="n"/>
      <c r="J147" s="392" t="n"/>
      <c r="K147" s="392" t="n"/>
      <c r="L147" s="392" t="n"/>
      <c r="M147" s="392" t="n"/>
      <c r="N147" s="392" t="n"/>
      <c r="O147" s="393" t="n"/>
      <c r="P147" s="30" t="n"/>
      <c r="Q147" s="30" t="n"/>
      <c r="R147" s="31">
        <f>IFERROR(VLOOKUP($B147,LD!$B:$J,8,FALSE),"")</f>
        <v/>
      </c>
    </row>
    <row r="148" ht="45" customHeight="1">
      <c r="A148" s="29" t="n"/>
      <c r="B148" s="394" t="n"/>
      <c r="C148" s="392" t="n"/>
      <c r="D148" s="393" t="n"/>
      <c r="E148" s="391">
        <f>IF(B148="","",IFERROR(VLOOKUP(B148,LD!$B:$J,2,FALSE),""))</f>
        <v/>
      </c>
      <c r="F148" s="392" t="n"/>
      <c r="G148" s="392" t="n"/>
      <c r="H148" s="392" t="n"/>
      <c r="I148" s="392" t="n"/>
      <c r="J148" s="392" t="n"/>
      <c r="K148" s="392" t="n"/>
      <c r="L148" s="392" t="n"/>
      <c r="M148" s="392" t="n"/>
      <c r="N148" s="392" t="n"/>
      <c r="O148" s="393" t="n"/>
      <c r="P148" s="30" t="n"/>
      <c r="Q148" s="30" t="n"/>
      <c r="R148" s="31">
        <f>IFERROR(VLOOKUP($B148,LD!$B:$J,8,FALSE),"")</f>
        <v/>
      </c>
    </row>
    <row r="149" ht="45" customHeight="1">
      <c r="A149" s="29" t="n"/>
      <c r="B149" s="394" t="n"/>
      <c r="C149" s="392" t="n"/>
      <c r="D149" s="393" t="n"/>
      <c r="E149" s="391">
        <f>IF(B149="","",IFERROR(VLOOKUP(B149,LD!$B:$J,2,FALSE),""))</f>
        <v/>
      </c>
      <c r="F149" s="392" t="n"/>
      <c r="G149" s="392" t="n"/>
      <c r="H149" s="392" t="n"/>
      <c r="I149" s="392" t="n"/>
      <c r="J149" s="392" t="n"/>
      <c r="K149" s="392" t="n"/>
      <c r="L149" s="392" t="n"/>
      <c r="M149" s="392" t="n"/>
      <c r="N149" s="392" t="n"/>
      <c r="O149" s="393" t="n"/>
      <c r="P149" s="30" t="n"/>
      <c r="Q149" s="30" t="n"/>
      <c r="R149" s="31">
        <f>IFERROR(VLOOKUP($B149,LD!$B:$J,8,FALSE),"")</f>
        <v/>
      </c>
    </row>
    <row r="150" ht="45" customHeight="1">
      <c r="A150" s="29" t="n"/>
      <c r="B150" s="394" t="n"/>
      <c r="C150" s="392" t="n"/>
      <c r="D150" s="393" t="n"/>
      <c r="E150" s="391">
        <f>IF(B150="","",IFERROR(VLOOKUP(B150,LD!$B:$J,2,FALSE),""))</f>
        <v/>
      </c>
      <c r="F150" s="392" t="n"/>
      <c r="G150" s="392" t="n"/>
      <c r="H150" s="392" t="n"/>
      <c r="I150" s="392" t="n"/>
      <c r="J150" s="392" t="n"/>
      <c r="K150" s="392" t="n"/>
      <c r="L150" s="392" t="n"/>
      <c r="M150" s="392" t="n"/>
      <c r="N150" s="392" t="n"/>
      <c r="O150" s="393" t="n"/>
      <c r="P150" s="30" t="n"/>
      <c r="Q150" s="30" t="n"/>
      <c r="R150" s="31">
        <f>IFERROR(VLOOKUP($B150,LD!$B:$J,8,FALSE),"")</f>
        <v/>
      </c>
    </row>
    <row r="151" ht="45" customHeight="1">
      <c r="A151" s="29" t="n"/>
      <c r="B151" s="394" t="n"/>
      <c r="C151" s="392" t="n"/>
      <c r="D151" s="393" t="n"/>
      <c r="E151" s="391">
        <f>IF(B151="","",IFERROR(VLOOKUP(B151,LD!$B:$J,2,FALSE),""))</f>
        <v/>
      </c>
      <c r="F151" s="392" t="n"/>
      <c r="G151" s="392" t="n"/>
      <c r="H151" s="392" t="n"/>
      <c r="I151" s="392" t="n"/>
      <c r="J151" s="392" t="n"/>
      <c r="K151" s="392" t="n"/>
      <c r="L151" s="392" t="n"/>
      <c r="M151" s="392" t="n"/>
      <c r="N151" s="392" t="n"/>
      <c r="O151" s="393" t="n"/>
      <c r="P151" s="30" t="n"/>
      <c r="Q151" s="30" t="n"/>
      <c r="R151" s="31">
        <f>IFERROR(VLOOKUP($B151,LD!$B:$J,8,FALSE),"")</f>
        <v/>
      </c>
    </row>
    <row r="152" ht="45" customHeight="1">
      <c r="A152" s="29" t="n"/>
      <c r="B152" s="394" t="n"/>
      <c r="C152" s="392" t="n"/>
      <c r="D152" s="393" t="n"/>
      <c r="E152" s="391">
        <f>IF(B152="","",IFERROR(VLOOKUP(B152,LD!$B:$J,2,FALSE),""))</f>
        <v/>
      </c>
      <c r="F152" s="392" t="n"/>
      <c r="G152" s="392" t="n"/>
      <c r="H152" s="392" t="n"/>
      <c r="I152" s="392" t="n"/>
      <c r="J152" s="392" t="n"/>
      <c r="K152" s="392" t="n"/>
      <c r="L152" s="392" t="n"/>
      <c r="M152" s="392" t="n"/>
      <c r="N152" s="392" t="n"/>
      <c r="O152" s="393" t="n"/>
      <c r="P152" s="30" t="n"/>
      <c r="Q152" s="30" t="n"/>
      <c r="R152" s="31">
        <f>IFERROR(VLOOKUP($B152,LD!$B:$J,8,FALSE),"")</f>
        <v/>
      </c>
    </row>
    <row r="153" ht="45" customHeight="1">
      <c r="A153" s="29" t="n"/>
      <c r="B153" s="394" t="n"/>
      <c r="C153" s="392" t="n"/>
      <c r="D153" s="393" t="n"/>
      <c r="E153" s="391">
        <f>IF(B153="","",IFERROR(VLOOKUP(B153,LD!$B:$J,2,FALSE),""))</f>
        <v/>
      </c>
      <c r="F153" s="392" t="n"/>
      <c r="G153" s="392" t="n"/>
      <c r="H153" s="392" t="n"/>
      <c r="I153" s="392" t="n"/>
      <c r="J153" s="392" t="n"/>
      <c r="K153" s="392" t="n"/>
      <c r="L153" s="392" t="n"/>
      <c r="M153" s="392" t="n"/>
      <c r="N153" s="392" t="n"/>
      <c r="O153" s="393" t="n"/>
      <c r="P153" s="30" t="n"/>
      <c r="Q153" s="30" t="n"/>
      <c r="R153" s="31">
        <f>IFERROR(VLOOKUP($B153,LD!$B:$J,8,FALSE),"")</f>
        <v/>
      </c>
    </row>
    <row r="154" ht="45" customHeight="1">
      <c r="A154" s="29" t="n"/>
      <c r="B154" s="394" t="n"/>
      <c r="C154" s="392" t="n"/>
      <c r="D154" s="393" t="n"/>
      <c r="E154" s="391">
        <f>IF(B154="","",IFERROR(VLOOKUP(B154,LD!$B:$J,2,FALSE),""))</f>
        <v/>
      </c>
      <c r="F154" s="392" t="n"/>
      <c r="G154" s="392" t="n"/>
      <c r="H154" s="392" t="n"/>
      <c r="I154" s="392" t="n"/>
      <c r="J154" s="392" t="n"/>
      <c r="K154" s="392" t="n"/>
      <c r="L154" s="392" t="n"/>
      <c r="M154" s="392" t="n"/>
      <c r="N154" s="392" t="n"/>
      <c r="O154" s="393" t="n"/>
      <c r="P154" s="30" t="n"/>
      <c r="Q154" s="30" t="n"/>
      <c r="R154" s="31">
        <f>IFERROR(VLOOKUP($B154,LD!$B:$J,8,FALSE),"")</f>
        <v/>
      </c>
    </row>
    <row r="155" ht="45" customHeight="1">
      <c r="A155" s="29" t="n"/>
      <c r="B155" s="394" t="n"/>
      <c r="C155" s="392" t="n"/>
      <c r="D155" s="393" t="n"/>
      <c r="E155" s="391">
        <f>IF(B155="","",IFERROR(VLOOKUP(B155,LD!$B:$J,2,FALSE),""))</f>
        <v/>
      </c>
      <c r="F155" s="392" t="n"/>
      <c r="G155" s="392" t="n"/>
      <c r="H155" s="392" t="n"/>
      <c r="I155" s="392" t="n"/>
      <c r="J155" s="392" t="n"/>
      <c r="K155" s="392" t="n"/>
      <c r="L155" s="392" t="n"/>
      <c r="M155" s="392" t="n"/>
      <c r="N155" s="392" t="n"/>
      <c r="O155" s="393" t="n"/>
      <c r="P155" s="30" t="n"/>
      <c r="Q155" s="30" t="n"/>
      <c r="R155" s="31">
        <f>IFERROR(VLOOKUP($B155,LD!$B:$J,8,FALSE),"")</f>
        <v/>
      </c>
    </row>
    <row r="156" ht="45" customHeight="1">
      <c r="A156" s="29" t="n"/>
      <c r="B156" s="394" t="n"/>
      <c r="C156" s="392" t="n"/>
      <c r="D156" s="393" t="n"/>
      <c r="E156" s="391">
        <f>IF(B156="","",IFERROR(VLOOKUP(B156,LD!$B:$J,2,FALSE),""))</f>
        <v/>
      </c>
      <c r="F156" s="392" t="n"/>
      <c r="G156" s="392" t="n"/>
      <c r="H156" s="392" t="n"/>
      <c r="I156" s="392" t="n"/>
      <c r="J156" s="392" t="n"/>
      <c r="K156" s="392" t="n"/>
      <c r="L156" s="392" t="n"/>
      <c r="M156" s="392" t="n"/>
      <c r="N156" s="392" t="n"/>
      <c r="O156" s="393" t="n"/>
      <c r="P156" s="30" t="n"/>
      <c r="Q156" s="30" t="n"/>
      <c r="R156" s="31">
        <f>IFERROR(VLOOKUP($B156,LD!$B:$J,8,FALSE),"")</f>
        <v/>
      </c>
    </row>
    <row r="157" ht="45" customHeight="1">
      <c r="A157" s="29" t="n"/>
      <c r="B157" s="394" t="n"/>
      <c r="C157" s="392" t="n"/>
      <c r="D157" s="393" t="n"/>
      <c r="E157" s="391">
        <f>IF(B157="","",IFERROR(VLOOKUP(B157,LD!$B:$J,2,FALSE),""))</f>
        <v/>
      </c>
      <c r="F157" s="392" t="n"/>
      <c r="G157" s="392" t="n"/>
      <c r="H157" s="392" t="n"/>
      <c r="I157" s="392" t="n"/>
      <c r="J157" s="392" t="n"/>
      <c r="K157" s="392" t="n"/>
      <c r="L157" s="392" t="n"/>
      <c r="M157" s="392" t="n"/>
      <c r="N157" s="392" t="n"/>
      <c r="O157" s="393" t="n"/>
      <c r="P157" s="30" t="n"/>
      <c r="Q157" s="30" t="n"/>
      <c r="R157" s="31">
        <f>IFERROR(VLOOKUP($B157,LD!$B:$J,8,FALSE),"")</f>
        <v/>
      </c>
    </row>
    <row r="158" ht="45" customHeight="1">
      <c r="A158" s="29" t="n"/>
      <c r="B158" s="394" t="n"/>
      <c r="C158" s="392" t="n"/>
      <c r="D158" s="393" t="n"/>
      <c r="E158" s="391">
        <f>IF(B158="","",IFERROR(VLOOKUP(B158,LD!$B:$J,2,FALSE),""))</f>
        <v/>
      </c>
      <c r="F158" s="392" t="n"/>
      <c r="G158" s="392" t="n"/>
      <c r="H158" s="392" t="n"/>
      <c r="I158" s="392" t="n"/>
      <c r="J158" s="392" t="n"/>
      <c r="K158" s="392" t="n"/>
      <c r="L158" s="392" t="n"/>
      <c r="M158" s="392" t="n"/>
      <c r="N158" s="392" t="n"/>
      <c r="O158" s="393" t="n"/>
      <c r="P158" s="30" t="n"/>
      <c r="Q158" s="30" t="n"/>
      <c r="R158" s="31">
        <f>IFERROR(VLOOKUP($B158,LD!$B:$J,8,FALSE),"")</f>
        <v/>
      </c>
    </row>
    <row r="159" ht="45" customHeight="1">
      <c r="A159" s="29" t="n"/>
      <c r="B159" s="394" t="n"/>
      <c r="C159" s="392" t="n"/>
      <c r="D159" s="393" t="n"/>
      <c r="E159" s="391">
        <f>IF(B159="","",IFERROR(VLOOKUP(B159,LD!$B:$J,2,FALSE),""))</f>
        <v/>
      </c>
      <c r="F159" s="392" t="n"/>
      <c r="G159" s="392" t="n"/>
      <c r="H159" s="392" t="n"/>
      <c r="I159" s="392" t="n"/>
      <c r="J159" s="392" t="n"/>
      <c r="K159" s="392" t="n"/>
      <c r="L159" s="392" t="n"/>
      <c r="M159" s="392" t="n"/>
      <c r="N159" s="392" t="n"/>
      <c r="O159" s="393" t="n"/>
      <c r="P159" s="30" t="n"/>
      <c r="Q159" s="30" t="n"/>
      <c r="R159" s="31">
        <f>IFERROR(VLOOKUP($B159,LD!$B:$J,8,FALSE),"")</f>
        <v/>
      </c>
    </row>
    <row r="160" ht="45" customHeight="1">
      <c r="A160" s="29" t="n"/>
      <c r="B160" s="394" t="n"/>
      <c r="C160" s="392" t="n"/>
      <c r="D160" s="393" t="n"/>
      <c r="E160" s="391">
        <f>IF(B160="","",IFERROR(VLOOKUP(B160,LD!$B:$J,2,FALSE),""))</f>
        <v/>
      </c>
      <c r="F160" s="392" t="n"/>
      <c r="G160" s="392" t="n"/>
      <c r="H160" s="392" t="n"/>
      <c r="I160" s="392" t="n"/>
      <c r="J160" s="392" t="n"/>
      <c r="K160" s="392" t="n"/>
      <c r="L160" s="392" t="n"/>
      <c r="M160" s="392" t="n"/>
      <c r="N160" s="392" t="n"/>
      <c r="O160" s="393" t="n"/>
      <c r="P160" s="30" t="n"/>
      <c r="Q160" s="30" t="n"/>
      <c r="R160" s="31">
        <f>IFERROR(VLOOKUP($B160,LD!$B:$J,8,FALSE),"")</f>
        <v/>
      </c>
    </row>
    <row r="161" ht="45" customHeight="1">
      <c r="A161" s="29" t="n"/>
      <c r="B161" s="394" t="n"/>
      <c r="C161" s="392" t="n"/>
      <c r="D161" s="393" t="n"/>
      <c r="E161" s="391">
        <f>IF(B161="","",IFERROR(VLOOKUP(B161,LD!$B:$J,2,FALSE),""))</f>
        <v/>
      </c>
      <c r="F161" s="392" t="n"/>
      <c r="G161" s="392" t="n"/>
      <c r="H161" s="392" t="n"/>
      <c r="I161" s="392" t="n"/>
      <c r="J161" s="392" t="n"/>
      <c r="K161" s="392" t="n"/>
      <c r="L161" s="392" t="n"/>
      <c r="M161" s="392" t="n"/>
      <c r="N161" s="392" t="n"/>
      <c r="O161" s="393" t="n"/>
      <c r="P161" s="30" t="n"/>
      <c r="Q161" s="30" t="n"/>
      <c r="R161" s="31">
        <f>IFERROR(VLOOKUP($B161,LD!$B:$J,8,FALSE),"")</f>
        <v/>
      </c>
    </row>
    <row r="162" ht="45" customHeight="1">
      <c r="A162" s="29" t="n"/>
      <c r="B162" s="394" t="n"/>
      <c r="C162" s="392" t="n"/>
      <c r="D162" s="393" t="n"/>
      <c r="E162" s="391">
        <f>IF(B162="","",IFERROR(VLOOKUP(B162,LD!$B:$J,2,FALSE),""))</f>
        <v/>
      </c>
      <c r="F162" s="392" t="n"/>
      <c r="G162" s="392" t="n"/>
      <c r="H162" s="392" t="n"/>
      <c r="I162" s="392" t="n"/>
      <c r="J162" s="392" t="n"/>
      <c r="K162" s="392" t="n"/>
      <c r="L162" s="392" t="n"/>
      <c r="M162" s="392" t="n"/>
      <c r="N162" s="392" t="n"/>
      <c r="O162" s="393" t="n"/>
      <c r="P162" s="30" t="n"/>
      <c r="Q162" s="30" t="n"/>
      <c r="R162" s="31">
        <f>IFERROR(VLOOKUP($B162,LD!$B:$J,8,FALSE),"")</f>
        <v/>
      </c>
    </row>
    <row r="163" ht="45" customHeight="1">
      <c r="A163" s="29" t="n"/>
      <c r="B163" s="394" t="n"/>
      <c r="C163" s="392" t="n"/>
      <c r="D163" s="393" t="n"/>
      <c r="E163" s="391">
        <f>IF(B163="","",IFERROR(VLOOKUP(B163,LD!$B:$J,2,FALSE),""))</f>
        <v/>
      </c>
      <c r="F163" s="392" t="n"/>
      <c r="G163" s="392" t="n"/>
      <c r="H163" s="392" t="n"/>
      <c r="I163" s="392" t="n"/>
      <c r="J163" s="392" t="n"/>
      <c r="K163" s="392" t="n"/>
      <c r="L163" s="392" t="n"/>
      <c r="M163" s="392" t="n"/>
      <c r="N163" s="392" t="n"/>
      <c r="O163" s="393" t="n"/>
      <c r="P163" s="30" t="n"/>
      <c r="Q163" s="30" t="n"/>
      <c r="R163" s="31">
        <f>IFERROR(VLOOKUP($B163,LD!$B:$J,8,FALSE),"")</f>
        <v/>
      </c>
    </row>
    <row r="164" ht="45" customHeight="1">
      <c r="A164" s="29" t="n"/>
      <c r="B164" s="394" t="n"/>
      <c r="C164" s="392" t="n"/>
      <c r="D164" s="393" t="n"/>
      <c r="E164" s="391">
        <f>IF(B164="","",IFERROR(VLOOKUP(B164,LD!$B:$J,2,FALSE),""))</f>
        <v/>
      </c>
      <c r="F164" s="392" t="n"/>
      <c r="G164" s="392" t="n"/>
      <c r="H164" s="392" t="n"/>
      <c r="I164" s="392" t="n"/>
      <c r="J164" s="392" t="n"/>
      <c r="K164" s="392" t="n"/>
      <c r="L164" s="392" t="n"/>
      <c r="M164" s="392" t="n"/>
      <c r="N164" s="392" t="n"/>
      <c r="O164" s="393" t="n"/>
      <c r="P164" s="30" t="n"/>
      <c r="Q164" s="30" t="n"/>
      <c r="R164" s="31">
        <f>IFERROR(VLOOKUP($B164,LD!$B:$J,8,FALSE),"")</f>
        <v/>
      </c>
    </row>
    <row r="165" ht="45" customHeight="1">
      <c r="A165" s="29" t="n"/>
      <c r="B165" s="394" t="n"/>
      <c r="C165" s="392" t="n"/>
      <c r="D165" s="393" t="n"/>
      <c r="E165" s="391">
        <f>IF(B165="","",IFERROR(VLOOKUP(B165,LD!$B:$J,2,FALSE),""))</f>
        <v/>
      </c>
      <c r="F165" s="392" t="n"/>
      <c r="G165" s="392" t="n"/>
      <c r="H165" s="392" t="n"/>
      <c r="I165" s="392" t="n"/>
      <c r="J165" s="392" t="n"/>
      <c r="K165" s="392" t="n"/>
      <c r="L165" s="392" t="n"/>
      <c r="M165" s="392" t="n"/>
      <c r="N165" s="392" t="n"/>
      <c r="O165" s="393" t="n"/>
      <c r="P165" s="30" t="n"/>
      <c r="Q165" s="30" t="n"/>
      <c r="R165" s="31">
        <f>IFERROR(VLOOKUP($B165,LD!$B:$J,8,FALSE),"")</f>
        <v/>
      </c>
    </row>
    <row r="166" ht="45" customHeight="1">
      <c r="A166" s="29" t="n"/>
      <c r="B166" s="394" t="n"/>
      <c r="C166" s="392" t="n"/>
      <c r="D166" s="393" t="n"/>
      <c r="E166" s="391">
        <f>IF(B166="","",IFERROR(VLOOKUP(B166,LD!$B:$J,2,FALSE),""))</f>
        <v/>
      </c>
      <c r="F166" s="392" t="n"/>
      <c r="G166" s="392" t="n"/>
      <c r="H166" s="392" t="n"/>
      <c r="I166" s="392" t="n"/>
      <c r="J166" s="392" t="n"/>
      <c r="K166" s="392" t="n"/>
      <c r="L166" s="392" t="n"/>
      <c r="M166" s="392" t="n"/>
      <c r="N166" s="392" t="n"/>
      <c r="O166" s="393" t="n"/>
      <c r="P166" s="30" t="n"/>
      <c r="Q166" s="30" t="n"/>
      <c r="R166" s="31">
        <f>IFERROR(VLOOKUP($B166,LD!$B:$J,8,FALSE),"")</f>
        <v/>
      </c>
    </row>
    <row r="167" ht="45" customHeight="1">
      <c r="A167" s="29" t="n"/>
      <c r="B167" s="394" t="n"/>
      <c r="C167" s="392" t="n"/>
      <c r="D167" s="393" t="n"/>
      <c r="E167" s="391">
        <f>IF(B167="","",IFERROR(VLOOKUP(B167,LD!$B:$J,2,FALSE),""))</f>
        <v/>
      </c>
      <c r="F167" s="392" t="n"/>
      <c r="G167" s="392" t="n"/>
      <c r="H167" s="392" t="n"/>
      <c r="I167" s="392" t="n"/>
      <c r="J167" s="392" t="n"/>
      <c r="K167" s="392" t="n"/>
      <c r="L167" s="392" t="n"/>
      <c r="M167" s="392" t="n"/>
      <c r="N167" s="392" t="n"/>
      <c r="O167" s="393" t="n"/>
      <c r="P167" s="30" t="n"/>
      <c r="Q167" s="30" t="n"/>
      <c r="R167" s="31">
        <f>IFERROR(VLOOKUP($B167,LD!$B:$J,8,FALSE),"")</f>
        <v/>
      </c>
    </row>
    <row r="168" ht="45" customHeight="1">
      <c r="A168" s="29" t="n"/>
      <c r="B168" s="394" t="n"/>
      <c r="C168" s="392" t="n"/>
      <c r="D168" s="393" t="n"/>
      <c r="E168" s="391">
        <f>IF(B168="","",IFERROR(VLOOKUP(B168,LD!$B:$J,2,FALSE),""))</f>
        <v/>
      </c>
      <c r="F168" s="392" t="n"/>
      <c r="G168" s="392" t="n"/>
      <c r="H168" s="392" t="n"/>
      <c r="I168" s="392" t="n"/>
      <c r="J168" s="392" t="n"/>
      <c r="K168" s="392" t="n"/>
      <c r="L168" s="392" t="n"/>
      <c r="M168" s="392" t="n"/>
      <c r="N168" s="392" t="n"/>
      <c r="O168" s="393" t="n"/>
      <c r="P168" s="30" t="n"/>
      <c r="Q168" s="30" t="n"/>
      <c r="R168" s="31">
        <f>IFERROR(VLOOKUP($B168,LD!$B:$J,8,FALSE),"")</f>
        <v/>
      </c>
    </row>
    <row r="169" ht="45" customHeight="1">
      <c r="A169" s="29" t="n"/>
      <c r="B169" s="394" t="n"/>
      <c r="C169" s="392" t="n"/>
      <c r="D169" s="393" t="n"/>
      <c r="E169" s="391">
        <f>IF(B169="","",IFERROR(VLOOKUP(B169,LD!$B:$J,2,FALSE),""))</f>
        <v/>
      </c>
      <c r="F169" s="392" t="n"/>
      <c r="G169" s="392" t="n"/>
      <c r="H169" s="392" t="n"/>
      <c r="I169" s="392" t="n"/>
      <c r="J169" s="392" t="n"/>
      <c r="K169" s="392" t="n"/>
      <c r="L169" s="392" t="n"/>
      <c r="M169" s="392" t="n"/>
      <c r="N169" s="392" t="n"/>
      <c r="O169" s="393" t="n"/>
      <c r="P169" s="30" t="n"/>
      <c r="Q169" s="30" t="n"/>
      <c r="R169" s="31">
        <f>IFERROR(VLOOKUP($B169,LD!$B:$J,8,FALSE),"")</f>
        <v/>
      </c>
    </row>
    <row r="170" ht="45" customHeight="1">
      <c r="A170" s="29" t="n"/>
      <c r="B170" s="394" t="n"/>
      <c r="C170" s="392" t="n"/>
      <c r="D170" s="393" t="n"/>
      <c r="E170" s="391">
        <f>IF(B170="","",IFERROR(VLOOKUP(B170,LD!$B:$J,2,FALSE),""))</f>
        <v/>
      </c>
      <c r="F170" s="392" t="n"/>
      <c r="G170" s="392" t="n"/>
      <c r="H170" s="392" t="n"/>
      <c r="I170" s="392" t="n"/>
      <c r="J170" s="392" t="n"/>
      <c r="K170" s="392" t="n"/>
      <c r="L170" s="392" t="n"/>
      <c r="M170" s="392" t="n"/>
      <c r="N170" s="392" t="n"/>
      <c r="O170" s="393" t="n"/>
      <c r="P170" s="30" t="n"/>
      <c r="Q170" s="30" t="n"/>
      <c r="R170" s="31">
        <f>IFERROR(VLOOKUP($B170,LD!$B:$J,8,FALSE),"")</f>
        <v/>
      </c>
    </row>
    <row r="171" ht="45" customHeight="1">
      <c r="A171" s="29" t="n"/>
      <c r="B171" s="394" t="n"/>
      <c r="C171" s="392" t="n"/>
      <c r="D171" s="393" t="n"/>
      <c r="E171" s="391">
        <f>IF(B171="","",IFERROR(VLOOKUP(B171,LD!$B:$J,2,FALSE),""))</f>
        <v/>
      </c>
      <c r="F171" s="392" t="n"/>
      <c r="G171" s="392" t="n"/>
      <c r="H171" s="392" t="n"/>
      <c r="I171" s="392" t="n"/>
      <c r="J171" s="392" t="n"/>
      <c r="K171" s="392" t="n"/>
      <c r="L171" s="392" t="n"/>
      <c r="M171" s="392" t="n"/>
      <c r="N171" s="392" t="n"/>
      <c r="O171" s="393" t="n"/>
      <c r="P171" s="30" t="n"/>
      <c r="Q171" s="30" t="n"/>
      <c r="R171" s="31">
        <f>IFERROR(VLOOKUP($B171,LD!$B:$J,8,FALSE),"")</f>
        <v/>
      </c>
    </row>
    <row r="172" ht="45" customHeight="1">
      <c r="A172" s="29" t="n"/>
      <c r="B172" s="394" t="n"/>
      <c r="C172" s="392" t="n"/>
      <c r="D172" s="393" t="n"/>
      <c r="E172" s="391">
        <f>IF(B172="","",IFERROR(VLOOKUP(B172,LD!$B:$J,2,FALSE),""))</f>
        <v/>
      </c>
      <c r="F172" s="392" t="n"/>
      <c r="G172" s="392" t="n"/>
      <c r="H172" s="392" t="n"/>
      <c r="I172" s="392" t="n"/>
      <c r="J172" s="392" t="n"/>
      <c r="K172" s="392" t="n"/>
      <c r="L172" s="392" t="n"/>
      <c r="M172" s="392" t="n"/>
      <c r="N172" s="392" t="n"/>
      <c r="O172" s="393" t="n"/>
      <c r="P172" s="30" t="n"/>
      <c r="Q172" s="30" t="n"/>
      <c r="R172" s="31">
        <f>IFERROR(VLOOKUP($B172,LD!$B:$J,8,FALSE),"")</f>
        <v/>
      </c>
    </row>
    <row r="173" ht="45" customHeight="1">
      <c r="A173" s="29" t="n"/>
      <c r="B173" s="394" t="n"/>
      <c r="C173" s="392" t="n"/>
      <c r="D173" s="393" t="n"/>
      <c r="E173" s="391">
        <f>IF(B173="","",IFERROR(VLOOKUP(B173,LD!$B:$J,2,FALSE),""))</f>
        <v/>
      </c>
      <c r="F173" s="392" t="n"/>
      <c r="G173" s="392" t="n"/>
      <c r="H173" s="392" t="n"/>
      <c r="I173" s="392" t="n"/>
      <c r="J173" s="392" t="n"/>
      <c r="K173" s="392" t="n"/>
      <c r="L173" s="392" t="n"/>
      <c r="M173" s="392" t="n"/>
      <c r="N173" s="392" t="n"/>
      <c r="O173" s="393" t="n"/>
      <c r="P173" s="30" t="n"/>
      <c r="Q173" s="30" t="n"/>
      <c r="R173" s="31">
        <f>IFERROR(VLOOKUP($B173,LD!$B:$J,8,FALSE),"")</f>
        <v/>
      </c>
    </row>
    <row r="174" ht="45" customHeight="1">
      <c r="A174" s="29" t="n"/>
      <c r="B174" s="394" t="n"/>
      <c r="C174" s="392" t="n"/>
      <c r="D174" s="393" t="n"/>
      <c r="E174" s="391">
        <f>IF(B174="","",IFERROR(VLOOKUP(B174,LD!$B:$J,2,FALSE),""))</f>
        <v/>
      </c>
      <c r="F174" s="392" t="n"/>
      <c r="G174" s="392" t="n"/>
      <c r="H174" s="392" t="n"/>
      <c r="I174" s="392" t="n"/>
      <c r="J174" s="392" t="n"/>
      <c r="K174" s="392" t="n"/>
      <c r="L174" s="392" t="n"/>
      <c r="M174" s="392" t="n"/>
      <c r="N174" s="392" t="n"/>
      <c r="O174" s="393" t="n"/>
      <c r="P174" s="30" t="n"/>
      <c r="Q174" s="30" t="n"/>
      <c r="R174" s="31">
        <f>IFERROR(VLOOKUP($B174,LD!$B:$J,8,FALSE),"")</f>
        <v/>
      </c>
    </row>
    <row r="175" ht="45" customHeight="1">
      <c r="A175" s="29" t="n"/>
      <c r="B175" s="394" t="n"/>
      <c r="C175" s="392" t="n"/>
      <c r="D175" s="393" t="n"/>
      <c r="E175" s="391">
        <f>IF(B175="","",IFERROR(VLOOKUP(B175,LD!$B:$J,2,FALSE),""))</f>
        <v/>
      </c>
      <c r="F175" s="392" t="n"/>
      <c r="G175" s="392" t="n"/>
      <c r="H175" s="392" t="n"/>
      <c r="I175" s="392" t="n"/>
      <c r="J175" s="392" t="n"/>
      <c r="K175" s="392" t="n"/>
      <c r="L175" s="392" t="n"/>
      <c r="M175" s="392" t="n"/>
      <c r="N175" s="392" t="n"/>
      <c r="O175" s="393" t="n"/>
      <c r="P175" s="30" t="n"/>
      <c r="Q175" s="30" t="n"/>
      <c r="R175" s="31">
        <f>IFERROR(VLOOKUP($B175,LD!$B:$J,8,FALSE),"")</f>
        <v/>
      </c>
    </row>
    <row r="176" ht="45" customHeight="1">
      <c r="A176" s="29" t="n"/>
      <c r="B176" s="394" t="n"/>
      <c r="C176" s="392" t="n"/>
      <c r="D176" s="393" t="n"/>
      <c r="E176" s="391">
        <f>IF(B176="","",IFERROR(VLOOKUP(B176,LD!$B:$J,2,FALSE),""))</f>
        <v/>
      </c>
      <c r="F176" s="392" t="n"/>
      <c r="G176" s="392" t="n"/>
      <c r="H176" s="392" t="n"/>
      <c r="I176" s="392" t="n"/>
      <c r="J176" s="392" t="n"/>
      <c r="K176" s="392" t="n"/>
      <c r="L176" s="392" t="n"/>
      <c r="M176" s="392" t="n"/>
      <c r="N176" s="392" t="n"/>
      <c r="O176" s="393" t="n"/>
      <c r="P176" s="30" t="n"/>
      <c r="Q176" s="30" t="n"/>
      <c r="R176" s="31">
        <f>IFERROR(VLOOKUP($B176,LD!$B:$J,8,FALSE),"")</f>
        <v/>
      </c>
    </row>
    <row r="177" ht="45" customHeight="1">
      <c r="A177" s="29" t="n"/>
      <c r="B177" s="394" t="n"/>
      <c r="C177" s="392" t="n"/>
      <c r="D177" s="393" t="n"/>
      <c r="E177" s="391">
        <f>IF(B177="","",IFERROR(VLOOKUP(B177,LD!$B:$J,2,FALSE),""))</f>
        <v/>
      </c>
      <c r="F177" s="392" t="n"/>
      <c r="G177" s="392" t="n"/>
      <c r="H177" s="392" t="n"/>
      <c r="I177" s="392" t="n"/>
      <c r="J177" s="392" t="n"/>
      <c r="K177" s="392" t="n"/>
      <c r="L177" s="392" t="n"/>
      <c r="M177" s="392" t="n"/>
      <c r="N177" s="392" t="n"/>
      <c r="O177" s="393" t="n"/>
      <c r="P177" s="30" t="n"/>
      <c r="Q177" s="30" t="n"/>
      <c r="R177" s="31">
        <f>IFERROR(VLOOKUP($B177,LD!$B:$J,8,FALSE),"")</f>
        <v/>
      </c>
    </row>
    <row r="178" ht="45" customHeight="1">
      <c r="A178" s="29" t="n"/>
      <c r="B178" s="394" t="n"/>
      <c r="C178" s="392" t="n"/>
      <c r="D178" s="393" t="n"/>
      <c r="E178" s="391">
        <f>IF(B178="","",IFERROR(VLOOKUP(B178,LD!$B:$J,2,FALSE),""))</f>
        <v/>
      </c>
      <c r="F178" s="392" t="n"/>
      <c r="G178" s="392" t="n"/>
      <c r="H178" s="392" t="n"/>
      <c r="I178" s="392" t="n"/>
      <c r="J178" s="392" t="n"/>
      <c r="K178" s="392" t="n"/>
      <c r="L178" s="392" t="n"/>
      <c r="M178" s="392" t="n"/>
      <c r="N178" s="392" t="n"/>
      <c r="O178" s="393" t="n"/>
      <c r="P178" s="30" t="n"/>
      <c r="Q178" s="30" t="n"/>
      <c r="R178" s="31">
        <f>IFERROR(VLOOKUP($B178,LD!$B:$J,8,FALSE),"")</f>
        <v/>
      </c>
    </row>
    <row r="179" ht="45" customHeight="1">
      <c r="A179" s="29" t="n"/>
      <c r="B179" s="394" t="n"/>
      <c r="C179" s="392" t="n"/>
      <c r="D179" s="393" t="n"/>
      <c r="E179" s="391">
        <f>IF(B179="","",IFERROR(VLOOKUP(B179,LD!$B:$J,2,FALSE),""))</f>
        <v/>
      </c>
      <c r="F179" s="392" t="n"/>
      <c r="G179" s="392" t="n"/>
      <c r="H179" s="392" t="n"/>
      <c r="I179" s="392" t="n"/>
      <c r="J179" s="392" t="n"/>
      <c r="K179" s="392" t="n"/>
      <c r="L179" s="392" t="n"/>
      <c r="M179" s="392" t="n"/>
      <c r="N179" s="392" t="n"/>
      <c r="O179" s="393" t="n"/>
      <c r="P179" s="30" t="n"/>
      <c r="Q179" s="30" t="n"/>
      <c r="R179" s="31">
        <f>IFERROR(VLOOKUP($B179,LD!$B:$J,8,FALSE),"")</f>
        <v/>
      </c>
    </row>
    <row r="180" ht="45" customHeight="1">
      <c r="A180" s="29" t="n"/>
      <c r="B180" s="394" t="n"/>
      <c r="C180" s="392" t="n"/>
      <c r="D180" s="393" t="n"/>
      <c r="E180" s="391">
        <f>IF(B180="","",IFERROR(VLOOKUP(B180,LD!$B:$J,2,FALSE),""))</f>
        <v/>
      </c>
      <c r="F180" s="392" t="n"/>
      <c r="G180" s="392" t="n"/>
      <c r="H180" s="392" t="n"/>
      <c r="I180" s="392" t="n"/>
      <c r="J180" s="392" t="n"/>
      <c r="K180" s="392" t="n"/>
      <c r="L180" s="392" t="n"/>
      <c r="M180" s="392" t="n"/>
      <c r="N180" s="392" t="n"/>
      <c r="O180" s="393" t="n"/>
      <c r="P180" s="30" t="n"/>
      <c r="Q180" s="30" t="n"/>
      <c r="R180" s="31">
        <f>IFERROR(VLOOKUP($B180,LD!$B:$J,8,FALSE),"")</f>
        <v/>
      </c>
    </row>
    <row r="181" ht="45" customHeight="1">
      <c r="A181" s="29" t="n"/>
      <c r="B181" s="394" t="n"/>
      <c r="C181" s="392" t="n"/>
      <c r="D181" s="393" t="n"/>
      <c r="E181" s="391">
        <f>IF(B181="","",IFERROR(VLOOKUP(B181,LD!$B:$J,2,FALSE),""))</f>
        <v/>
      </c>
      <c r="F181" s="392" t="n"/>
      <c r="G181" s="392" t="n"/>
      <c r="H181" s="392" t="n"/>
      <c r="I181" s="392" t="n"/>
      <c r="J181" s="392" t="n"/>
      <c r="K181" s="392" t="n"/>
      <c r="L181" s="392" t="n"/>
      <c r="M181" s="392" t="n"/>
      <c r="N181" s="392" t="n"/>
      <c r="O181" s="393" t="n"/>
      <c r="P181" s="30" t="n"/>
      <c r="Q181" s="30" t="n"/>
      <c r="R181" s="31">
        <f>IFERROR(VLOOKUP($B181,LD!$B:$J,8,FALSE),"")</f>
        <v/>
      </c>
    </row>
    <row r="182" ht="45" customHeight="1">
      <c r="A182" s="29" t="n"/>
      <c r="B182" s="394" t="n"/>
      <c r="C182" s="392" t="n"/>
      <c r="D182" s="393" t="n"/>
      <c r="E182" s="391">
        <f>IF(B182="","",IFERROR(VLOOKUP(B182,LD!$B:$J,2,FALSE),""))</f>
        <v/>
      </c>
      <c r="F182" s="392" t="n"/>
      <c r="G182" s="392" t="n"/>
      <c r="H182" s="392" t="n"/>
      <c r="I182" s="392" t="n"/>
      <c r="J182" s="392" t="n"/>
      <c r="K182" s="392" t="n"/>
      <c r="L182" s="392" t="n"/>
      <c r="M182" s="392" t="n"/>
      <c r="N182" s="392" t="n"/>
      <c r="O182" s="393" t="n"/>
      <c r="P182" s="30" t="n"/>
      <c r="Q182" s="30" t="n"/>
      <c r="R182" s="31">
        <f>IFERROR(VLOOKUP($B182,LD!$B:$J,8,FALSE),"")</f>
        <v/>
      </c>
    </row>
    <row r="183" ht="45" customHeight="1">
      <c r="A183" s="29" t="n"/>
      <c r="B183" s="394" t="n"/>
      <c r="C183" s="392" t="n"/>
      <c r="D183" s="393" t="n"/>
      <c r="E183" s="391">
        <f>IF(B183="","",IFERROR(VLOOKUP(B183,LD!$B:$J,2,FALSE),""))</f>
        <v/>
      </c>
      <c r="F183" s="392" t="n"/>
      <c r="G183" s="392" t="n"/>
      <c r="H183" s="392" t="n"/>
      <c r="I183" s="392" t="n"/>
      <c r="J183" s="392" t="n"/>
      <c r="K183" s="392" t="n"/>
      <c r="L183" s="392" t="n"/>
      <c r="M183" s="392" t="n"/>
      <c r="N183" s="392" t="n"/>
      <c r="O183" s="393" t="n"/>
      <c r="P183" s="30" t="n"/>
      <c r="Q183" s="30" t="n"/>
      <c r="R183" s="31">
        <f>IFERROR(VLOOKUP($B183,LD!$B:$J,8,FALSE),"")</f>
        <v/>
      </c>
    </row>
    <row r="184" ht="45" customHeight="1">
      <c r="A184" s="29" t="n"/>
      <c r="B184" s="394" t="n"/>
      <c r="C184" s="392" t="n"/>
      <c r="D184" s="393" t="n"/>
      <c r="E184" s="391">
        <f>IF(B184="","",IFERROR(VLOOKUP(B184,LD!$B:$J,2,FALSE),""))</f>
        <v/>
      </c>
      <c r="F184" s="392" t="n"/>
      <c r="G184" s="392" t="n"/>
      <c r="H184" s="392" t="n"/>
      <c r="I184" s="392" t="n"/>
      <c r="J184" s="392" t="n"/>
      <c r="K184" s="392" t="n"/>
      <c r="L184" s="392" t="n"/>
      <c r="M184" s="392" t="n"/>
      <c r="N184" s="392" t="n"/>
      <c r="O184" s="393" t="n"/>
      <c r="P184" s="30" t="n"/>
      <c r="Q184" s="30" t="n"/>
      <c r="R184" s="31">
        <f>IFERROR(VLOOKUP($B184,LD!$B:$J,8,FALSE),"")</f>
        <v/>
      </c>
    </row>
    <row r="185" ht="45" customHeight="1">
      <c r="A185" s="29" t="n"/>
      <c r="B185" s="394" t="n"/>
      <c r="C185" s="392" t="n"/>
      <c r="D185" s="393" t="n"/>
      <c r="E185" s="391">
        <f>IF(B185="","",IFERROR(VLOOKUP(B185,LD!$B:$J,2,FALSE),""))</f>
        <v/>
      </c>
      <c r="F185" s="392" t="n"/>
      <c r="G185" s="392" t="n"/>
      <c r="H185" s="392" t="n"/>
      <c r="I185" s="392" t="n"/>
      <c r="J185" s="392" t="n"/>
      <c r="K185" s="392" t="n"/>
      <c r="L185" s="392" t="n"/>
      <c r="M185" s="392" t="n"/>
      <c r="N185" s="392" t="n"/>
      <c r="O185" s="393" t="n"/>
      <c r="P185" s="30" t="n"/>
      <c r="Q185" s="30" t="n"/>
      <c r="R185" s="31">
        <f>IFERROR(VLOOKUP($B185,LD!$B:$J,8,FALSE),"")</f>
        <v/>
      </c>
    </row>
    <row r="186" ht="45" customHeight="1">
      <c r="A186" s="29" t="n"/>
      <c r="B186" s="394" t="n"/>
      <c r="C186" s="392" t="n"/>
      <c r="D186" s="393" t="n"/>
      <c r="E186" s="391">
        <f>IF(B186="","",IFERROR(VLOOKUP(B186,LD!$B:$J,2,FALSE),""))</f>
        <v/>
      </c>
      <c r="F186" s="392" t="n"/>
      <c r="G186" s="392" t="n"/>
      <c r="H186" s="392" t="n"/>
      <c r="I186" s="392" t="n"/>
      <c r="J186" s="392" t="n"/>
      <c r="K186" s="392" t="n"/>
      <c r="L186" s="392" t="n"/>
      <c r="M186" s="392" t="n"/>
      <c r="N186" s="392" t="n"/>
      <c r="O186" s="393" t="n"/>
      <c r="P186" s="30" t="n"/>
      <c r="Q186" s="30" t="n"/>
      <c r="R186" s="31">
        <f>IFERROR(VLOOKUP($B186,LD!$B:$J,8,FALSE),"")</f>
        <v/>
      </c>
    </row>
    <row r="187" ht="45" customHeight="1">
      <c r="A187" s="29" t="n"/>
      <c r="B187" s="394" t="n"/>
      <c r="C187" s="392" t="n"/>
      <c r="D187" s="393" t="n"/>
      <c r="E187" s="391">
        <f>IF(B187="","",IFERROR(VLOOKUP(B187,LD!$B:$J,2,FALSE),""))</f>
        <v/>
      </c>
      <c r="F187" s="392" t="n"/>
      <c r="G187" s="392" t="n"/>
      <c r="H187" s="392" t="n"/>
      <c r="I187" s="392" t="n"/>
      <c r="J187" s="392" t="n"/>
      <c r="K187" s="392" t="n"/>
      <c r="L187" s="392" t="n"/>
      <c r="M187" s="392" t="n"/>
      <c r="N187" s="392" t="n"/>
      <c r="O187" s="393" t="n"/>
      <c r="P187" s="30" t="n"/>
      <c r="Q187" s="30" t="n"/>
      <c r="R187" s="31">
        <f>IFERROR(VLOOKUP($B187,LD!$B:$J,8,FALSE),"")</f>
        <v/>
      </c>
    </row>
    <row r="188" ht="45" customHeight="1">
      <c r="A188" s="29" t="n"/>
      <c r="B188" s="394" t="n"/>
      <c r="C188" s="392" t="n"/>
      <c r="D188" s="393" t="n"/>
      <c r="E188" s="391">
        <f>IF(B188="","",IFERROR(VLOOKUP(B188,LD!$B:$J,2,FALSE),""))</f>
        <v/>
      </c>
      <c r="F188" s="392" t="n"/>
      <c r="G188" s="392" t="n"/>
      <c r="H188" s="392" t="n"/>
      <c r="I188" s="392" t="n"/>
      <c r="J188" s="392" t="n"/>
      <c r="K188" s="392" t="n"/>
      <c r="L188" s="392" t="n"/>
      <c r="M188" s="392" t="n"/>
      <c r="N188" s="392" t="n"/>
      <c r="O188" s="393" t="n"/>
      <c r="P188" s="30" t="n"/>
      <c r="Q188" s="30" t="n"/>
      <c r="R188" s="31">
        <f>IFERROR(VLOOKUP($B188,LD!$B:$J,8,FALSE),"")</f>
        <v/>
      </c>
    </row>
    <row r="189" ht="45" customHeight="1">
      <c r="A189" s="29" t="n"/>
      <c r="B189" s="394" t="n"/>
      <c r="C189" s="392" t="n"/>
      <c r="D189" s="393" t="n"/>
      <c r="E189" s="391">
        <f>IF(B189="","",IFERROR(VLOOKUP(B189,LD!$B:$J,2,FALSE),""))</f>
        <v/>
      </c>
      <c r="F189" s="392" t="n"/>
      <c r="G189" s="392" t="n"/>
      <c r="H189" s="392" t="n"/>
      <c r="I189" s="392" t="n"/>
      <c r="J189" s="392" t="n"/>
      <c r="K189" s="392" t="n"/>
      <c r="L189" s="392" t="n"/>
      <c r="M189" s="392" t="n"/>
      <c r="N189" s="392" t="n"/>
      <c r="O189" s="393" t="n"/>
      <c r="P189" s="30" t="n"/>
      <c r="Q189" s="30" t="n"/>
      <c r="R189" s="31">
        <f>IFERROR(VLOOKUP($B189,LD!$B:$J,8,FALSE),"")</f>
        <v/>
      </c>
    </row>
    <row r="190" ht="45" customHeight="1">
      <c r="A190" s="29" t="n"/>
      <c r="B190" s="394" t="n"/>
      <c r="C190" s="392" t="n"/>
      <c r="D190" s="393" t="n"/>
      <c r="E190" s="391">
        <f>IF(B190="","",IFERROR(VLOOKUP(B190,LD!$B:$J,2,FALSE),""))</f>
        <v/>
      </c>
      <c r="F190" s="392" t="n"/>
      <c r="G190" s="392" t="n"/>
      <c r="H190" s="392" t="n"/>
      <c r="I190" s="392" t="n"/>
      <c r="J190" s="392" t="n"/>
      <c r="K190" s="392" t="n"/>
      <c r="L190" s="392" t="n"/>
      <c r="M190" s="392" t="n"/>
      <c r="N190" s="392" t="n"/>
      <c r="O190" s="393" t="n"/>
      <c r="P190" s="30" t="n"/>
      <c r="Q190" s="30" t="n"/>
      <c r="R190" s="31">
        <f>IFERROR(VLOOKUP($B190,LD!$B:$J,8,FALSE),"")</f>
        <v/>
      </c>
    </row>
    <row r="191" ht="45" customHeight="1">
      <c r="A191" s="29" t="n"/>
      <c r="B191" s="394" t="n"/>
      <c r="C191" s="392" t="n"/>
      <c r="D191" s="393" t="n"/>
      <c r="E191" s="391">
        <f>IF(B191="","",IFERROR(VLOOKUP(B191,LD!$B:$J,2,FALSE),""))</f>
        <v/>
      </c>
      <c r="F191" s="392" t="n"/>
      <c r="G191" s="392" t="n"/>
      <c r="H191" s="392" t="n"/>
      <c r="I191" s="392" t="n"/>
      <c r="J191" s="392" t="n"/>
      <c r="K191" s="392" t="n"/>
      <c r="L191" s="392" t="n"/>
      <c r="M191" s="392" t="n"/>
      <c r="N191" s="392" t="n"/>
      <c r="O191" s="393" t="n"/>
      <c r="P191" s="30" t="n"/>
      <c r="Q191" s="30" t="n"/>
      <c r="R191" s="31">
        <f>IFERROR(VLOOKUP($B191,LD!$B:$J,8,FALSE),"")</f>
        <v/>
      </c>
    </row>
    <row r="192" ht="45" customHeight="1">
      <c r="A192" s="29" t="n"/>
      <c r="B192" s="394" t="n"/>
      <c r="C192" s="392" t="n"/>
      <c r="D192" s="393" t="n"/>
      <c r="E192" s="391">
        <f>IF(B192="","",IFERROR(VLOOKUP(B192,LD!$B:$J,2,FALSE),""))</f>
        <v/>
      </c>
      <c r="F192" s="392" t="n"/>
      <c r="G192" s="392" t="n"/>
      <c r="H192" s="392" t="n"/>
      <c r="I192" s="392" t="n"/>
      <c r="J192" s="392" t="n"/>
      <c r="K192" s="392" t="n"/>
      <c r="L192" s="392" t="n"/>
      <c r="M192" s="392" t="n"/>
      <c r="N192" s="392" t="n"/>
      <c r="O192" s="393" t="n"/>
      <c r="P192" s="30" t="n"/>
      <c r="Q192" s="30" t="n"/>
      <c r="R192" s="31">
        <f>IFERROR(VLOOKUP($B192,LD!$B:$J,8,FALSE),"")</f>
        <v/>
      </c>
    </row>
    <row r="193">
      <c r="A193" s="32" t="n"/>
      <c r="B193" s="32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</row>
    <row r="194">
      <c r="A194" s="32" t="n"/>
      <c r="B194" s="32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</row>
    <row r="195">
      <c r="A195" s="32" t="n"/>
      <c r="B195" s="32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</row>
    <row r="196">
      <c r="A196" s="32" t="n"/>
      <c r="B196" s="32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</row>
    <row r="197">
      <c r="A197" s="32" t="n"/>
      <c r="B197" s="32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</row>
    <row r="198">
      <c r="A198" s="32" t="n"/>
      <c r="B198" s="32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</row>
    <row r="199">
      <c r="A199" s="32" t="n"/>
      <c r="B199" s="32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</row>
    <row r="200">
      <c r="A200" s="32" t="n"/>
      <c r="B200" s="32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</row>
    <row r="20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</row>
    <row r="202">
      <c r="A202" s="32" t="n"/>
      <c r="B202" s="32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</row>
    <row r="203">
      <c r="A203" s="32" t="n"/>
      <c r="B203" s="32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</row>
    <row r="204">
      <c r="A204" s="32" t="n"/>
      <c r="B204" s="32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</row>
    <row r="205">
      <c r="A205" s="32" t="n"/>
      <c r="B205" s="32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</row>
    <row r="206">
      <c r="A206" s="32" t="n"/>
      <c r="B206" s="32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</row>
    <row r="207">
      <c r="A207" s="32" t="n"/>
      <c r="B207" s="32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</row>
    <row r="208">
      <c r="A208" s="32" t="n"/>
      <c r="B208" s="32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</row>
    <row r="209">
      <c r="A209" s="32" t="n"/>
      <c r="B209" s="32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</row>
    <row r="210">
      <c r="A210" s="32" t="n"/>
      <c r="B210" s="32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</row>
    <row r="211">
      <c r="A211" s="32" t="n"/>
      <c r="B211" s="32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</row>
    <row r="212">
      <c r="A212" s="32" t="n"/>
      <c r="B212" s="32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</row>
    <row r="213">
      <c r="A213" s="32" t="n"/>
      <c r="B213" s="32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</row>
    <row r="214">
      <c r="A214" s="32" t="n"/>
      <c r="B214" s="32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</row>
    <row r="215">
      <c r="A215" s="32" t="n"/>
      <c r="B215" s="32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</row>
    <row r="216">
      <c r="A216" s="32" t="n"/>
      <c r="B216" s="32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</row>
    <row r="217">
      <c r="A217" s="32" t="n"/>
      <c r="B217" s="32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</row>
    <row r="218">
      <c r="A218" s="32" t="n"/>
      <c r="B218" s="32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</row>
    <row r="219">
      <c r="A219" s="32" t="n"/>
      <c r="B219" s="32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</row>
    <row r="220">
      <c r="A220" s="32" t="n"/>
      <c r="B220" s="32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</row>
    <row r="221">
      <c r="A221" s="32" t="n"/>
      <c r="B221" s="32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</row>
    <row r="222">
      <c r="A222" s="32" t="n"/>
      <c r="B222" s="32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</row>
    <row r="223">
      <c r="A223" s="32" t="n"/>
      <c r="B223" s="32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</row>
    <row r="224">
      <c r="A224" s="32" t="n"/>
      <c r="B224" s="32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</row>
    <row r="225">
      <c r="A225" s="32" t="n"/>
      <c r="B225" s="32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</row>
    <row r="226">
      <c r="A226" s="32" t="n"/>
      <c r="B226" s="32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</row>
    <row r="227">
      <c r="A227" s="32" t="n"/>
      <c r="B227" s="32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</row>
    <row r="228">
      <c r="A228" s="32" t="n"/>
      <c r="B228" s="32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</row>
    <row r="229">
      <c r="A229" s="32" t="n"/>
      <c r="B229" s="32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</row>
    <row r="230">
      <c r="A230" s="32" t="n"/>
      <c r="B230" s="32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</row>
    <row r="231">
      <c r="A231" s="32" t="n"/>
      <c r="B231" s="32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</row>
    <row r="232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</row>
    <row r="233">
      <c r="A233" s="32" t="n"/>
      <c r="B233" s="32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</row>
    <row r="234">
      <c r="A234" s="32" t="n"/>
      <c r="B234" s="32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</row>
    <row r="235">
      <c r="A235" s="32" t="n"/>
      <c r="B235" s="32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</row>
    <row r="236">
      <c r="A236" s="32" t="n"/>
      <c r="B236" s="32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</row>
    <row r="237">
      <c r="A237" s="32" t="n"/>
      <c r="B237" s="32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</row>
    <row r="238">
      <c r="A238" s="32" t="n"/>
      <c r="B238" s="32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</row>
    <row r="239">
      <c r="A239" s="32" t="n"/>
      <c r="B239" s="32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</row>
    <row r="240">
      <c r="A240" s="32" t="n"/>
      <c r="B240" s="32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</row>
    <row r="241">
      <c r="A241" s="32" t="n"/>
      <c r="B241" s="32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</row>
    <row r="242">
      <c r="A242" s="32" t="n"/>
      <c r="B242" s="32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</row>
    <row r="243">
      <c r="A243" s="32" t="n"/>
      <c r="B243" s="32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</row>
    <row r="244">
      <c r="A244" s="32" t="n"/>
      <c r="B244" s="32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</row>
    <row r="245">
      <c r="A245" s="32" t="n"/>
      <c r="B245" s="32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</row>
    <row r="246">
      <c r="A246" s="32" t="n"/>
      <c r="B246" s="32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</row>
    <row r="247">
      <c r="A247" s="32" t="n"/>
      <c r="B247" s="32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</row>
    <row r="248">
      <c r="A248" s="32" t="n"/>
      <c r="B248" s="32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</row>
    <row r="249">
      <c r="A249" s="32" t="n"/>
      <c r="B249" s="32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</row>
    <row r="250">
      <c r="A250" s="32" t="n"/>
      <c r="B250" s="32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</row>
    <row r="251">
      <c r="A251" s="32" t="n"/>
      <c r="B251" s="32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</row>
    <row r="252">
      <c r="A252" s="32" t="n"/>
      <c r="B252" s="32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</row>
    <row r="253">
      <c r="A253" s="32" t="n"/>
      <c r="B253" s="32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</row>
    <row r="254">
      <c r="A254" s="32" t="n"/>
      <c r="B254" s="32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</row>
    <row r="255">
      <c r="A255" s="32" t="n"/>
      <c r="B255" s="32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</row>
  </sheetData>
  <mergeCells count="372">
    <mergeCell ref="B60:D60"/>
    <mergeCell ref="E71:O71"/>
    <mergeCell ref="E142:O142"/>
    <mergeCell ref="B53:D53"/>
    <mergeCell ref="M15:R15"/>
    <mergeCell ref="E79:O79"/>
    <mergeCell ref="E73:O73"/>
    <mergeCell ref="E171:O171"/>
    <mergeCell ref="B84:D84"/>
    <mergeCell ref="A17:R17"/>
    <mergeCell ref="E137:O137"/>
    <mergeCell ref="E173:O173"/>
    <mergeCell ref="B142:D142"/>
    <mergeCell ref="B80:D80"/>
    <mergeCell ref="E74:O74"/>
    <mergeCell ref="E166:O166"/>
    <mergeCell ref="B144:D144"/>
    <mergeCell ref="A15:F15"/>
    <mergeCell ref="B190:D190"/>
    <mergeCell ref="E168:O168"/>
    <mergeCell ref="B73:D73"/>
    <mergeCell ref="E67:O67"/>
    <mergeCell ref="E48:O48"/>
    <mergeCell ref="B137:D137"/>
    <mergeCell ref="B99:D99"/>
    <mergeCell ref="E87:O87"/>
    <mergeCell ref="B74:D74"/>
    <mergeCell ref="B68:D68"/>
    <mergeCell ref="B139:D139"/>
    <mergeCell ref="J3:R3"/>
    <mergeCell ref="B76:D76"/>
    <mergeCell ref="E110:O110"/>
    <mergeCell ref="B150:D150"/>
    <mergeCell ref="A19:R21"/>
    <mergeCell ref="E187:O187"/>
    <mergeCell ref="E76:O76"/>
    <mergeCell ref="E174:O174"/>
    <mergeCell ref="B152:D152"/>
    <mergeCell ref="E189:O189"/>
    <mergeCell ref="B23:D23"/>
    <mergeCell ref="B145:D145"/>
    <mergeCell ref="B181:D181"/>
    <mergeCell ref="B87:D87"/>
    <mergeCell ref="E92:O92"/>
    <mergeCell ref="E29:O29"/>
    <mergeCell ref="E94:O94"/>
    <mergeCell ref="B51:D51"/>
    <mergeCell ref="E31:O31"/>
    <mergeCell ref="E158:O158"/>
    <mergeCell ref="E108:O108"/>
    <mergeCell ref="B163:D163"/>
    <mergeCell ref="E95:O95"/>
    <mergeCell ref="E89:O89"/>
    <mergeCell ref="B113:D113"/>
    <mergeCell ref="B138:D138"/>
    <mergeCell ref="E162:O162"/>
    <mergeCell ref="B165:D165"/>
    <mergeCell ref="E124:O124"/>
    <mergeCell ref="B140:D140"/>
    <mergeCell ref="B115:D115"/>
    <mergeCell ref="E120:O120"/>
    <mergeCell ref="E72:O72"/>
    <mergeCell ref="E164:O164"/>
    <mergeCell ref="B77:D77"/>
    <mergeCell ref="E184:O184"/>
    <mergeCell ref="E42:O42"/>
    <mergeCell ref="B29:D29"/>
    <mergeCell ref="E188:O188"/>
    <mergeCell ref="E126:O126"/>
    <mergeCell ref="E44:O44"/>
    <mergeCell ref="A9:J9"/>
    <mergeCell ref="E190:O190"/>
    <mergeCell ref="B95:D95"/>
    <mergeCell ref="B89:D89"/>
    <mergeCell ref="B32:D32"/>
    <mergeCell ref="B26:D26"/>
    <mergeCell ref="B97:D97"/>
    <mergeCell ref="B153:D153"/>
    <mergeCell ref="E179:O179"/>
    <mergeCell ref="B90:D90"/>
    <mergeCell ref="B184:D184"/>
    <mergeCell ref="B27:D27"/>
    <mergeCell ref="E32:O32"/>
    <mergeCell ref="E159:O159"/>
    <mergeCell ref="E37:O37"/>
    <mergeCell ref="E97:O97"/>
    <mergeCell ref="E109:O109"/>
    <mergeCell ref="B42:D42"/>
    <mergeCell ref="E47:O47"/>
    <mergeCell ref="E96:O96"/>
    <mergeCell ref="E145:O145"/>
    <mergeCell ref="E139:O139"/>
    <mergeCell ref="B148:D148"/>
    <mergeCell ref="B179:D179"/>
    <mergeCell ref="E111:O111"/>
    <mergeCell ref="B44:D44"/>
    <mergeCell ref="L8:Q8"/>
    <mergeCell ref="B166:D166"/>
    <mergeCell ref="E98:O98"/>
    <mergeCell ref="A18:R18"/>
    <mergeCell ref="B37:D37"/>
    <mergeCell ref="B108:D108"/>
    <mergeCell ref="B168:D168"/>
    <mergeCell ref="G14:L14"/>
    <mergeCell ref="B143:D143"/>
    <mergeCell ref="E63:O63"/>
    <mergeCell ref="A22:R22"/>
    <mergeCell ref="E27:O27"/>
    <mergeCell ref="E45:O45"/>
    <mergeCell ref="E116:O116"/>
    <mergeCell ref="B159:D159"/>
    <mergeCell ref="B134:D134"/>
    <mergeCell ref="A11:I11"/>
    <mergeCell ref="E91:O91"/>
    <mergeCell ref="E85:O85"/>
    <mergeCell ref="B96:D96"/>
    <mergeCell ref="B167:D167"/>
    <mergeCell ref="B161:D161"/>
    <mergeCell ref="E93:O93"/>
    <mergeCell ref="B111:D111"/>
    <mergeCell ref="B98:D98"/>
    <mergeCell ref="B175:D175"/>
    <mergeCell ref="E122:O122"/>
    <mergeCell ref="B162:D162"/>
    <mergeCell ref="L6:R6"/>
    <mergeCell ref="E38:O38"/>
    <mergeCell ref="E147:O147"/>
    <mergeCell ref="B187:D187"/>
    <mergeCell ref="E40:O40"/>
    <mergeCell ref="B124:D124"/>
    <mergeCell ref="B189:D189"/>
    <mergeCell ref="B45:D45"/>
    <mergeCell ref="E148:O148"/>
    <mergeCell ref="E104:O104"/>
    <mergeCell ref="A7:J7"/>
    <mergeCell ref="B188:D188"/>
    <mergeCell ref="B126:D126"/>
    <mergeCell ref="B109:D109"/>
    <mergeCell ref="B47:D47"/>
    <mergeCell ref="B59:D59"/>
    <mergeCell ref="B46:D46"/>
    <mergeCell ref="E66:O66"/>
    <mergeCell ref="B48:D48"/>
    <mergeCell ref="E53:O53"/>
    <mergeCell ref="E130:O130"/>
    <mergeCell ref="E68:O68"/>
    <mergeCell ref="E117:O117"/>
    <mergeCell ref="E55:O55"/>
    <mergeCell ref="E160:O160"/>
    <mergeCell ref="E141:O141"/>
    <mergeCell ref="E132:O132"/>
    <mergeCell ref="E107:O107"/>
    <mergeCell ref="E143:O143"/>
    <mergeCell ref="B183:D183"/>
    <mergeCell ref="E161:O161"/>
    <mergeCell ref="B177:D177"/>
    <mergeCell ref="B164:D164"/>
    <mergeCell ref="B114:D114"/>
    <mergeCell ref="B41:D41"/>
    <mergeCell ref="B35:D35"/>
    <mergeCell ref="B66:D66"/>
    <mergeCell ref="E54:O54"/>
    <mergeCell ref="B180:D180"/>
    <mergeCell ref="E41:O41"/>
    <mergeCell ref="E112:O112"/>
    <mergeCell ref="B130:D130"/>
    <mergeCell ref="B117:D117"/>
    <mergeCell ref="E56:O56"/>
    <mergeCell ref="E43:O43"/>
    <mergeCell ref="B67:D67"/>
    <mergeCell ref="B61:D61"/>
    <mergeCell ref="B132:D132"/>
    <mergeCell ref="B119:D119"/>
    <mergeCell ref="A10:J10"/>
    <mergeCell ref="B69:D69"/>
    <mergeCell ref="B112:D112"/>
    <mergeCell ref="E138:O138"/>
    <mergeCell ref="B127:D127"/>
    <mergeCell ref="B64:D64"/>
    <mergeCell ref="E69:O69"/>
    <mergeCell ref="E167:O167"/>
    <mergeCell ref="G16:L16"/>
    <mergeCell ref="F3:I3"/>
    <mergeCell ref="A13:R13"/>
    <mergeCell ref="E77:O77"/>
    <mergeCell ref="E133:O133"/>
    <mergeCell ref="E169:O169"/>
    <mergeCell ref="B122:D122"/>
    <mergeCell ref="B57:D57"/>
    <mergeCell ref="E64:O64"/>
    <mergeCell ref="E88:O88"/>
    <mergeCell ref="E51:O51"/>
    <mergeCell ref="E82:O82"/>
    <mergeCell ref="E153:O153"/>
    <mergeCell ref="E180:O180"/>
    <mergeCell ref="E128:O128"/>
    <mergeCell ref="E155:O155"/>
    <mergeCell ref="B158:D158"/>
    <mergeCell ref="B133:D133"/>
    <mergeCell ref="E182:O182"/>
    <mergeCell ref="E65:O65"/>
    <mergeCell ref="B160:D160"/>
    <mergeCell ref="E157:O157"/>
    <mergeCell ref="B135:D135"/>
    <mergeCell ref="A1:E2"/>
    <mergeCell ref="B62:D62"/>
    <mergeCell ref="B72:D72"/>
    <mergeCell ref="B70:D70"/>
    <mergeCell ref="E75:O75"/>
    <mergeCell ref="E175:O175"/>
    <mergeCell ref="B88:D88"/>
    <mergeCell ref="B82:D82"/>
    <mergeCell ref="E185:O185"/>
    <mergeCell ref="B146:D146"/>
    <mergeCell ref="Q23:R23"/>
    <mergeCell ref="E170:O170"/>
    <mergeCell ref="B83:D83"/>
    <mergeCell ref="B110:D110"/>
    <mergeCell ref="B85:D85"/>
    <mergeCell ref="E90:O90"/>
    <mergeCell ref="E154:O154"/>
    <mergeCell ref="B141:D141"/>
    <mergeCell ref="E119:O119"/>
    <mergeCell ref="E25:O25"/>
    <mergeCell ref="E183:O183"/>
    <mergeCell ref="B136:D136"/>
    <mergeCell ref="L9:R9"/>
    <mergeCell ref="B78:D78"/>
    <mergeCell ref="M16:R16"/>
    <mergeCell ref="E84:O84"/>
    <mergeCell ref="E78:O78"/>
    <mergeCell ref="A4:R4"/>
    <mergeCell ref="E176:O176"/>
    <mergeCell ref="E114:O114"/>
    <mergeCell ref="B154:D154"/>
    <mergeCell ref="E186:O186"/>
    <mergeCell ref="E86:O86"/>
    <mergeCell ref="E191:O191"/>
    <mergeCell ref="E80:O80"/>
    <mergeCell ref="E178:O178"/>
    <mergeCell ref="B91:D91"/>
    <mergeCell ref="B25:D25"/>
    <mergeCell ref="B156:D156"/>
    <mergeCell ref="E144:O144"/>
    <mergeCell ref="B155:D155"/>
    <mergeCell ref="E23:G23"/>
    <mergeCell ref="B93:D93"/>
    <mergeCell ref="B149:D149"/>
    <mergeCell ref="E81:O81"/>
    <mergeCell ref="K11:P11"/>
    <mergeCell ref="B86:D86"/>
    <mergeCell ref="B151:D151"/>
    <mergeCell ref="B101:D101"/>
    <mergeCell ref="E106:O106"/>
    <mergeCell ref="E33:O33"/>
    <mergeCell ref="B182:D182"/>
    <mergeCell ref="B38:D38"/>
    <mergeCell ref="G15:L15"/>
    <mergeCell ref="E135:O135"/>
    <mergeCell ref="E35:O35"/>
    <mergeCell ref="B40:D40"/>
    <mergeCell ref="E28:O28"/>
    <mergeCell ref="B33:D33"/>
    <mergeCell ref="B104:D104"/>
    <mergeCell ref="B79:D79"/>
    <mergeCell ref="E30:O30"/>
    <mergeCell ref="E59:O59"/>
    <mergeCell ref="E46:O46"/>
    <mergeCell ref="B106:D106"/>
    <mergeCell ref="B81:D81"/>
    <mergeCell ref="E61:O61"/>
    <mergeCell ref="E125:O125"/>
    <mergeCell ref="E192:O192"/>
    <mergeCell ref="B170:D170"/>
    <mergeCell ref="B157:D157"/>
    <mergeCell ref="E129:O129"/>
    <mergeCell ref="E181:O181"/>
    <mergeCell ref="B34:D34"/>
    <mergeCell ref="B172:D172"/>
    <mergeCell ref="B28:D28"/>
    <mergeCell ref="E131:O131"/>
    <mergeCell ref="B186:D186"/>
    <mergeCell ref="B92:D92"/>
    <mergeCell ref="B30:D30"/>
    <mergeCell ref="L7:R7"/>
    <mergeCell ref="M14:R14"/>
    <mergeCell ref="E34:O34"/>
    <mergeCell ref="B94:D94"/>
    <mergeCell ref="E105:O105"/>
    <mergeCell ref="A6:J6"/>
    <mergeCell ref="E99:O99"/>
    <mergeCell ref="E49:O49"/>
    <mergeCell ref="E36:O36"/>
    <mergeCell ref="E163:O163"/>
    <mergeCell ref="B54:D54"/>
    <mergeCell ref="E101:O101"/>
    <mergeCell ref="B125:D125"/>
    <mergeCell ref="B185:D185"/>
    <mergeCell ref="E113:O113"/>
    <mergeCell ref="E100:O100"/>
    <mergeCell ref="B56:D56"/>
    <mergeCell ref="E136:O136"/>
    <mergeCell ref="B105:D105"/>
    <mergeCell ref="B176:D176"/>
    <mergeCell ref="B43:D43"/>
    <mergeCell ref="E115:O115"/>
    <mergeCell ref="E102:O102"/>
    <mergeCell ref="A16:F16"/>
    <mergeCell ref="B120:D120"/>
    <mergeCell ref="B107:D107"/>
    <mergeCell ref="E62:O62"/>
    <mergeCell ref="B147:D147"/>
    <mergeCell ref="E127:O127"/>
    <mergeCell ref="B171:D171"/>
    <mergeCell ref="H23:K23"/>
    <mergeCell ref="E156:O156"/>
    <mergeCell ref="A8:I8"/>
    <mergeCell ref="B36:D36"/>
    <mergeCell ref="B173:D173"/>
    <mergeCell ref="B100:D100"/>
    <mergeCell ref="B75:D75"/>
    <mergeCell ref="E26:O26"/>
    <mergeCell ref="B31:D31"/>
    <mergeCell ref="B102:D102"/>
    <mergeCell ref="B39:D39"/>
    <mergeCell ref="L10:R10"/>
    <mergeCell ref="E146:O146"/>
    <mergeCell ref="E50:O50"/>
    <mergeCell ref="E121:O121"/>
    <mergeCell ref="E151:O151"/>
    <mergeCell ref="B191:D191"/>
    <mergeCell ref="E52:O52"/>
    <mergeCell ref="E123:O123"/>
    <mergeCell ref="B178:D178"/>
    <mergeCell ref="E150:O150"/>
    <mergeCell ref="E39:O39"/>
    <mergeCell ref="B128:D128"/>
    <mergeCell ref="B49:D49"/>
    <mergeCell ref="E103:O103"/>
    <mergeCell ref="E152:O152"/>
    <mergeCell ref="B65:D65"/>
    <mergeCell ref="B192:D192"/>
    <mergeCell ref="E118:O118"/>
    <mergeCell ref="B63:D63"/>
    <mergeCell ref="B123:D123"/>
    <mergeCell ref="B50:D50"/>
    <mergeCell ref="E70:O70"/>
    <mergeCell ref="E57:O57"/>
    <mergeCell ref="E134:O134"/>
    <mergeCell ref="E172:O172"/>
    <mergeCell ref="E58:O58"/>
    <mergeCell ref="B116:D116"/>
    <mergeCell ref="E165:O165"/>
    <mergeCell ref="B103:D103"/>
    <mergeCell ref="B174:D174"/>
    <mergeCell ref="E83:O83"/>
    <mergeCell ref="E140:O140"/>
    <mergeCell ref="A14:F14"/>
    <mergeCell ref="B118:D118"/>
    <mergeCell ref="B55:D55"/>
    <mergeCell ref="E177:O177"/>
    <mergeCell ref="E60:O60"/>
    <mergeCell ref="B169:D169"/>
    <mergeCell ref="E149:O149"/>
    <mergeCell ref="B129:D129"/>
    <mergeCell ref="B121:D121"/>
    <mergeCell ref="A24:R24"/>
    <mergeCell ref="B71:D71"/>
    <mergeCell ref="B131:D131"/>
    <mergeCell ref="B58:D58"/>
    <mergeCell ref="B52:D52"/>
    <mergeCell ref="F1:L2"/>
  </mergeCells>
  <conditionalFormatting sqref="E26:O192">
    <cfRule type="expression" priority="1" dxfId="2" stopIfTrue="0">
      <formula>AND($B26&lt;&gt;"",E26="")</formula>
    </cfRule>
  </conditionalFormatting>
  <conditionalFormatting sqref="Q26:R192">
    <cfRule type="expression" priority="2" dxfId="2" stopIfTrue="0">
      <formula>AND($B26&lt;&gt;"",Q26="")</formula>
    </cfRule>
  </conditionalFormatting>
  <printOptions horizontalCentered="1"/>
  <pageMargins left="0.2362204724409449" right="0.2362204724409449" top="0.7480314960629921" bottom="0.7480314960629921" header="0.3149606299212598" footer="0.3149606299212598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</dc:creator>
  <dcterms:created xmlns:dcterms="http://purl.org/dc/terms/" xmlns:xsi="http://www.w3.org/2001/XMLSchema-instance" xsi:type="dcterms:W3CDTF">2012-07-26T15:03:24Z</dcterms:created>
  <dcterms:modified xmlns:dcterms="http://purl.org/dc/terms/" xmlns:xsi="http://www.w3.org/2001/XMLSchema-instance" xsi:type="dcterms:W3CDTF">2026-06-10T11:49:45Z</dcterms:modified>
  <cp:lastModifiedBy>andré marques Marques</cp:lastModifiedBy>
</cp:coreProperties>
</file>